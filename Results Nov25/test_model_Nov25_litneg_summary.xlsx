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468F5679-815E-4E21-B04B-7937CFF0BF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_output" sheetId="1" r:id="rId1"/>
    <sheet name="Summary" sheetId="2" r:id="rId2"/>
    <sheet name="counts for errors" sheetId="6" r:id="rId3"/>
    <sheet name="old incorrect ids copied" sheetId="3" state="hidden" r:id="rId4"/>
  </sheets>
  <externalReferences>
    <externalReference r:id="rId5"/>
    <externalReference r:id="rId6"/>
    <externalReference r:id="rId7"/>
  </externalReferences>
  <definedNames>
    <definedName name="_xlnm._FilterDatabase" localSheetId="0" hidden="1">test_output!$A$1:$CN$10257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" i="1"/>
  <c r="G2" i="1" l="1"/>
  <c r="D2" i="2" a="1"/>
  <c r="D2" i="2" s="1"/>
  <c r="H2" i="1"/>
  <c r="CL21" i="6" l="1" a="1"/>
  <c r="CL21" i="6" s="1"/>
  <c r="CK21" i="6" a="1"/>
  <c r="CK21" i="6" s="1"/>
  <c r="CJ21" i="6" a="1"/>
  <c r="CJ21" i="6" s="1"/>
  <c r="CG21" i="6" a="1"/>
  <c r="CG21" i="6" s="1"/>
  <c r="CF21" i="6" a="1"/>
  <c r="CF21" i="6" s="1"/>
  <c r="CE21" i="6" a="1"/>
  <c r="CE21" i="6" s="1"/>
  <c r="CB21" i="6" a="1"/>
  <c r="CB21" i="6" s="1"/>
  <c r="CA21" i="6" a="1"/>
  <c r="CA21" i="6" s="1"/>
  <c r="BZ21" i="6" a="1"/>
  <c r="BZ21" i="6" s="1"/>
  <c r="BW21" i="6" a="1"/>
  <c r="BW21" i="6" s="1"/>
  <c r="BV21" i="6" a="1"/>
  <c r="BV21" i="6" s="1"/>
  <c r="BU21" i="6" a="1"/>
  <c r="BU21" i="6" s="1"/>
  <c r="BR21" i="6" a="1"/>
  <c r="BR21" i="6" s="1"/>
  <c r="BQ21" i="6" a="1"/>
  <c r="BQ21" i="6" s="1"/>
  <c r="BP21" i="6" a="1"/>
  <c r="BP21" i="6" s="1"/>
  <c r="BM21" i="6" a="1"/>
  <c r="BM21" i="6" s="1"/>
  <c r="BL21" i="6" a="1"/>
  <c r="BL21" i="6" s="1"/>
  <c r="BK21" i="6" a="1"/>
  <c r="BK21" i="6" s="1"/>
  <c r="BH21" i="6" a="1"/>
  <c r="BH21" i="6" s="1"/>
  <c r="BG21" i="6" a="1"/>
  <c r="BG21" i="6" s="1"/>
  <c r="BF21" i="6" a="1"/>
  <c r="BF21" i="6" s="1"/>
  <c r="BC21" i="6" a="1"/>
  <c r="BC21" i="6" s="1"/>
  <c r="BB21" i="6" a="1"/>
  <c r="BB21" i="6" s="1"/>
  <c r="BA21" i="6" a="1"/>
  <c r="BA21" i="6" s="1"/>
  <c r="AX21" i="6" a="1"/>
  <c r="AX21" i="6" s="1"/>
  <c r="AW21" i="6" a="1"/>
  <c r="AW21" i="6" s="1"/>
  <c r="AV21" i="6" a="1"/>
  <c r="AV21" i="6" s="1"/>
  <c r="AS21" i="6" a="1"/>
  <c r="AS21" i="6" s="1"/>
  <c r="AR21" i="6" a="1"/>
  <c r="AR21" i="6" s="1"/>
  <c r="AQ21" i="6" a="1"/>
  <c r="AQ21" i="6" s="1"/>
  <c r="AN21" i="6" a="1"/>
  <c r="AN21" i="6" s="1"/>
  <c r="AM21" i="6" a="1"/>
  <c r="AM21" i="6" s="1"/>
  <c r="AL21" i="6" a="1"/>
  <c r="AL21" i="6" s="1"/>
  <c r="AI21" i="6" a="1"/>
  <c r="AI21" i="6" s="1"/>
  <c r="AH21" i="6" a="1"/>
  <c r="AH21" i="6" s="1"/>
  <c r="AG21" i="6" a="1"/>
  <c r="AG21" i="6" s="1"/>
  <c r="AD21" i="6" a="1"/>
  <c r="AD21" i="6" s="1"/>
  <c r="AC21" i="6" a="1"/>
  <c r="AC21" i="6" s="1"/>
  <c r="O21" i="6" a="1"/>
  <c r="O21" i="6" s="1"/>
  <c r="N21" i="6" a="1"/>
  <c r="N21" i="6" s="1"/>
  <c r="M21" i="6" a="1"/>
  <c r="M21" i="6" s="1"/>
  <c r="J21" i="6" a="1"/>
  <c r="J21" i="6" s="1"/>
  <c r="I21" i="6" a="1"/>
  <c r="I21" i="6" s="1"/>
  <c r="H21" i="6" a="1"/>
  <c r="H21" i="6" s="1"/>
  <c r="E21" i="6" a="1"/>
  <c r="E21" i="6" s="1"/>
  <c r="D21" i="6"/>
  <c r="C21" i="6"/>
  <c r="B21" i="6" a="1"/>
  <c r="B21" i="6" s="1"/>
  <c r="CL20" i="6" a="1"/>
  <c r="CL20" i="6" s="1"/>
  <c r="CK20" i="6" a="1"/>
  <c r="CK20" i="6" s="1"/>
  <c r="CJ20" i="6" a="1"/>
  <c r="CJ20" i="6" s="1"/>
  <c r="CG20" i="6" a="1"/>
  <c r="CG20" i="6" s="1"/>
  <c r="CF20" i="6" a="1"/>
  <c r="CF20" i="6" s="1"/>
  <c r="CE20" i="6" a="1"/>
  <c r="CE20" i="6" s="1"/>
  <c r="CB20" i="6" a="1"/>
  <c r="CB20" i="6" s="1"/>
  <c r="CA20" i="6" a="1"/>
  <c r="CA20" i="6" s="1"/>
  <c r="BZ20" i="6" a="1"/>
  <c r="BZ20" i="6" s="1"/>
  <c r="BW20" i="6" a="1"/>
  <c r="BW20" i="6" s="1"/>
  <c r="BV20" i="6" a="1"/>
  <c r="BV20" i="6" s="1"/>
  <c r="BU20" i="6" a="1"/>
  <c r="BU20" i="6" s="1"/>
  <c r="BR20" i="6" a="1"/>
  <c r="BR20" i="6" s="1"/>
  <c r="BQ20" i="6" a="1"/>
  <c r="BQ20" i="6" s="1"/>
  <c r="BP20" i="6" a="1"/>
  <c r="BP20" i="6" s="1"/>
  <c r="BM20" i="6" a="1"/>
  <c r="BM20" i="6" s="1"/>
  <c r="BL20" i="6" a="1"/>
  <c r="BL20" i="6" s="1"/>
  <c r="BK20" i="6" a="1"/>
  <c r="BK20" i="6" s="1"/>
  <c r="BH20" i="6" a="1"/>
  <c r="BH20" i="6" s="1"/>
  <c r="BG20" i="6" a="1"/>
  <c r="BG20" i="6" s="1"/>
  <c r="BF20" i="6" a="1"/>
  <c r="BF20" i="6" s="1"/>
  <c r="BC20" i="6" a="1"/>
  <c r="BC20" i="6" s="1"/>
  <c r="BB20" i="6" a="1"/>
  <c r="BB20" i="6" s="1"/>
  <c r="BA20" i="6" a="1"/>
  <c r="BA20" i="6" s="1"/>
  <c r="AX20" i="6" a="1"/>
  <c r="AX20" i="6" s="1"/>
  <c r="AW20" i="6" a="1"/>
  <c r="AW20" i="6" s="1"/>
  <c r="AV20" i="6" a="1"/>
  <c r="AV20" i="6" s="1"/>
  <c r="AS20" i="6" a="1"/>
  <c r="AS20" i="6" s="1"/>
  <c r="AR20" i="6" a="1"/>
  <c r="AR20" i="6" s="1"/>
  <c r="AQ20" i="6" a="1"/>
  <c r="AQ20" i="6" s="1"/>
  <c r="AN20" i="6" a="1"/>
  <c r="AN20" i="6" s="1"/>
  <c r="AM20" i="6" a="1"/>
  <c r="AM20" i="6" s="1"/>
  <c r="AL20" i="6" a="1"/>
  <c r="AL20" i="6" s="1"/>
  <c r="AI20" i="6" a="1"/>
  <c r="AI20" i="6" s="1"/>
  <c r="AH20" i="6" a="1"/>
  <c r="AH20" i="6" s="1"/>
  <c r="AG20" i="6" a="1"/>
  <c r="AG20" i="6" s="1"/>
  <c r="AD20" i="6" a="1"/>
  <c r="AD20" i="6" s="1"/>
  <c r="AC20" i="6" a="1"/>
  <c r="AC20" i="6" s="1"/>
  <c r="AB20" i="6" a="1"/>
  <c r="AB20" i="6" s="1"/>
  <c r="O20" i="6" a="1"/>
  <c r="O20" i="6" s="1"/>
  <c r="N20" i="6" a="1"/>
  <c r="N20" i="6" s="1"/>
  <c r="M20" i="6" a="1"/>
  <c r="M20" i="6" s="1"/>
  <c r="J20" i="6" a="1"/>
  <c r="J20" i="6" s="1"/>
  <c r="I20" i="6" a="1"/>
  <c r="I20" i="6" s="1"/>
  <c r="H20" i="6" a="1"/>
  <c r="H20" i="6" s="1"/>
  <c r="E20" i="6" a="1"/>
  <c r="E20" i="6" s="1"/>
  <c r="D20" i="6"/>
  <c r="C20" i="6"/>
  <c r="B20" i="6" a="1"/>
  <c r="B20" i="6" s="1"/>
  <c r="CL19" i="6" a="1"/>
  <c r="CL19" i="6" s="1"/>
  <c r="CK19" i="6" a="1"/>
  <c r="CK19" i="6" s="1"/>
  <c r="CJ19" i="6" a="1"/>
  <c r="CJ19" i="6" s="1"/>
  <c r="CG19" i="6" a="1"/>
  <c r="CG19" i="6" s="1"/>
  <c r="CF19" i="6" a="1"/>
  <c r="CF19" i="6" s="1"/>
  <c r="CE19" i="6" a="1"/>
  <c r="CE19" i="6" s="1"/>
  <c r="CB19" i="6" a="1"/>
  <c r="CB19" i="6" s="1"/>
  <c r="CA19" i="6" a="1"/>
  <c r="CA19" i="6" s="1"/>
  <c r="BZ19" i="6" a="1"/>
  <c r="BZ19" i="6" s="1"/>
  <c r="BW19" i="6" a="1"/>
  <c r="BW19" i="6" s="1"/>
  <c r="BV19" i="6" a="1"/>
  <c r="BV19" i="6" s="1"/>
  <c r="BU19" i="6" a="1"/>
  <c r="BU19" i="6" s="1"/>
  <c r="BR19" i="6" a="1"/>
  <c r="BR19" i="6" s="1"/>
  <c r="BQ19" i="6" a="1"/>
  <c r="BQ19" i="6" s="1"/>
  <c r="BP19" i="6" a="1"/>
  <c r="BP19" i="6" s="1"/>
  <c r="BM19" i="6" a="1"/>
  <c r="BM19" i="6" s="1"/>
  <c r="BL19" i="6" a="1"/>
  <c r="BL19" i="6" s="1"/>
  <c r="BK19" i="6" a="1"/>
  <c r="BK19" i="6" s="1"/>
  <c r="BH19" i="6" a="1"/>
  <c r="BH19" i="6" s="1"/>
  <c r="BG19" i="6" a="1"/>
  <c r="BG19" i="6" s="1"/>
  <c r="BF19" i="6" a="1"/>
  <c r="BF19" i="6" s="1"/>
  <c r="BC19" i="6" a="1"/>
  <c r="BC19" i="6" s="1"/>
  <c r="BB19" i="6" a="1"/>
  <c r="BB19" i="6" s="1"/>
  <c r="BA19" i="6" a="1"/>
  <c r="BA19" i="6" s="1"/>
  <c r="AX19" i="6" a="1"/>
  <c r="AX19" i="6" s="1"/>
  <c r="AW19" i="6" a="1"/>
  <c r="AW19" i="6" s="1"/>
  <c r="AV19" i="6" a="1"/>
  <c r="AV19" i="6" s="1"/>
  <c r="AS19" i="6" a="1"/>
  <c r="AS19" i="6" s="1"/>
  <c r="AR19" i="6" a="1"/>
  <c r="AR19" i="6" s="1"/>
  <c r="AQ19" i="6" a="1"/>
  <c r="AQ19" i="6" s="1"/>
  <c r="AN19" i="6" a="1"/>
  <c r="AN19" i="6" s="1"/>
  <c r="AM19" i="6" a="1"/>
  <c r="AM19" i="6" s="1"/>
  <c r="AL19" i="6" a="1"/>
  <c r="AL19" i="6" s="1"/>
  <c r="AI19" i="6" a="1"/>
  <c r="AI19" i="6" s="1"/>
  <c r="AH19" i="6" a="1"/>
  <c r="AH19" i="6" s="1"/>
  <c r="AG19" i="6" a="1"/>
  <c r="AG19" i="6" s="1"/>
  <c r="AD19" i="6" a="1"/>
  <c r="AD19" i="6" s="1"/>
  <c r="AC19" i="6" a="1"/>
  <c r="AC19" i="6" s="1"/>
  <c r="AB19" i="6" a="1"/>
  <c r="AB19" i="6" s="1"/>
  <c r="O19" i="6" a="1"/>
  <c r="O19" i="6" s="1"/>
  <c r="N19" i="6" a="1"/>
  <c r="N19" i="6" s="1"/>
  <c r="M19" i="6" a="1"/>
  <c r="M19" i="6" s="1"/>
  <c r="J19" i="6" a="1"/>
  <c r="J19" i="6" s="1"/>
  <c r="I19" i="6" a="1"/>
  <c r="I19" i="6" s="1"/>
  <c r="H19" i="6" a="1"/>
  <c r="H19" i="6" s="1"/>
  <c r="E19" i="6" a="1"/>
  <c r="E19" i="6" s="1"/>
  <c r="D19" i="6"/>
  <c r="C19" i="6"/>
  <c r="B19" i="6" a="1"/>
  <c r="B19" i="6" s="1"/>
  <c r="CL18" i="6" a="1"/>
  <c r="CL18" i="6" s="1"/>
  <c r="CK18" i="6" a="1"/>
  <c r="CK18" i="6" s="1"/>
  <c r="CJ18" i="6" a="1"/>
  <c r="CJ18" i="6" s="1"/>
  <c r="CG18" i="6" a="1"/>
  <c r="CG18" i="6" s="1"/>
  <c r="CF18" i="6" a="1"/>
  <c r="CF18" i="6" s="1"/>
  <c r="CE18" i="6" a="1"/>
  <c r="CE18" i="6" s="1"/>
  <c r="CB18" i="6" a="1"/>
  <c r="CB18" i="6" s="1"/>
  <c r="CA18" i="6" a="1"/>
  <c r="CA18" i="6" s="1"/>
  <c r="BZ18" i="6" a="1"/>
  <c r="BZ18" i="6" s="1"/>
  <c r="BW18" i="6" a="1"/>
  <c r="BW18" i="6" s="1"/>
  <c r="BV18" i="6" a="1"/>
  <c r="BV18" i="6" s="1"/>
  <c r="BU18" i="6" a="1"/>
  <c r="BU18" i="6" s="1"/>
  <c r="BR18" i="6" a="1"/>
  <c r="BR18" i="6" s="1"/>
  <c r="BQ18" i="6" a="1"/>
  <c r="BQ18" i="6" s="1"/>
  <c r="BP18" i="6" a="1"/>
  <c r="BP18" i="6" s="1"/>
  <c r="BM18" i="6" a="1"/>
  <c r="BM18" i="6" s="1"/>
  <c r="BL18" i="6" a="1"/>
  <c r="BL18" i="6" s="1"/>
  <c r="BK18" i="6" a="1"/>
  <c r="BK18" i="6" s="1"/>
  <c r="BH18" i="6" a="1"/>
  <c r="BH18" i="6" s="1"/>
  <c r="BG18" i="6" a="1"/>
  <c r="BG18" i="6" s="1"/>
  <c r="BF18" i="6" a="1"/>
  <c r="BF18" i="6" s="1"/>
  <c r="BC18" i="6" a="1"/>
  <c r="BC18" i="6" s="1"/>
  <c r="BB18" i="6" a="1"/>
  <c r="BB18" i="6" s="1"/>
  <c r="BA18" i="6" a="1"/>
  <c r="BA18" i="6" s="1"/>
  <c r="AX18" i="6" a="1"/>
  <c r="AX18" i="6" s="1"/>
  <c r="AW18" i="6" a="1"/>
  <c r="AW18" i="6" s="1"/>
  <c r="AV18" i="6" a="1"/>
  <c r="AV18" i="6" s="1"/>
  <c r="AS18" i="6" a="1"/>
  <c r="AS18" i="6" s="1"/>
  <c r="AR18" i="6" a="1"/>
  <c r="AR18" i="6" s="1"/>
  <c r="AQ18" i="6" a="1"/>
  <c r="AQ18" i="6" s="1"/>
  <c r="AN18" i="6" a="1"/>
  <c r="AN18" i="6" s="1"/>
  <c r="AM18" i="6" a="1"/>
  <c r="AM18" i="6" s="1"/>
  <c r="AL18" i="6" a="1"/>
  <c r="AL18" i="6" s="1"/>
  <c r="AI18" i="6" a="1"/>
  <c r="AI18" i="6" s="1"/>
  <c r="AH18" i="6" a="1"/>
  <c r="AH18" i="6" s="1"/>
  <c r="AG18" i="6" a="1"/>
  <c r="AG18" i="6" s="1"/>
  <c r="AD18" i="6" a="1"/>
  <c r="AD18" i="6" s="1"/>
  <c r="AC18" i="6" a="1"/>
  <c r="AC18" i="6" s="1"/>
  <c r="AB18" i="6" a="1"/>
  <c r="AB18" i="6" s="1"/>
  <c r="O18" i="6" a="1"/>
  <c r="O18" i="6" s="1"/>
  <c r="N18" i="6" a="1"/>
  <c r="N18" i="6" s="1"/>
  <c r="M18" i="6" a="1"/>
  <c r="M18" i="6" s="1"/>
  <c r="J18" i="6" a="1"/>
  <c r="J18" i="6" s="1"/>
  <c r="I18" i="6" a="1"/>
  <c r="I18" i="6" s="1"/>
  <c r="H18" i="6" a="1"/>
  <c r="H18" i="6" s="1"/>
  <c r="E18" i="6" a="1"/>
  <c r="E18" i="6" s="1"/>
  <c r="D18" i="6"/>
  <c r="C18" i="6"/>
  <c r="B18" i="6" a="1"/>
  <c r="B18" i="6" s="1"/>
  <c r="CL17" i="6" a="1"/>
  <c r="CL17" i="6" s="1"/>
  <c r="CK17" i="6" a="1"/>
  <c r="CK17" i="6" s="1"/>
  <c r="CJ17" i="6" a="1"/>
  <c r="CJ17" i="6" s="1"/>
  <c r="CG17" i="6" a="1"/>
  <c r="CG17" i="6" s="1"/>
  <c r="CF17" i="6" a="1"/>
  <c r="CF17" i="6" s="1"/>
  <c r="CE17" i="6" a="1"/>
  <c r="CE17" i="6" s="1"/>
  <c r="CB17" i="6" a="1"/>
  <c r="CB17" i="6" s="1"/>
  <c r="CA17" i="6" a="1"/>
  <c r="CA17" i="6" s="1"/>
  <c r="BZ17" i="6" a="1"/>
  <c r="BZ17" i="6" s="1"/>
  <c r="BW17" i="6" a="1"/>
  <c r="BW17" i="6" s="1"/>
  <c r="BV17" i="6" a="1"/>
  <c r="BV17" i="6" s="1"/>
  <c r="BU17" i="6" a="1"/>
  <c r="BU17" i="6" s="1"/>
  <c r="BR17" i="6" a="1"/>
  <c r="BR17" i="6" s="1"/>
  <c r="BQ17" i="6" a="1"/>
  <c r="BQ17" i="6" s="1"/>
  <c r="BP17" i="6" a="1"/>
  <c r="BP17" i="6" s="1"/>
  <c r="BM17" i="6" a="1"/>
  <c r="BM17" i="6" s="1"/>
  <c r="BL17" i="6" a="1"/>
  <c r="BL17" i="6" s="1"/>
  <c r="BK17" i="6" a="1"/>
  <c r="BK17" i="6" s="1"/>
  <c r="BH17" i="6" a="1"/>
  <c r="BH17" i="6" s="1"/>
  <c r="BG17" i="6" a="1"/>
  <c r="BG17" i="6" s="1"/>
  <c r="BF17" i="6" a="1"/>
  <c r="BF17" i="6" s="1"/>
  <c r="BC17" i="6" a="1"/>
  <c r="BC17" i="6" s="1"/>
  <c r="BB17" i="6" a="1"/>
  <c r="BB17" i="6" s="1"/>
  <c r="BA17" i="6" a="1"/>
  <c r="BA17" i="6" s="1"/>
  <c r="AX17" i="6" a="1"/>
  <c r="AX17" i="6" s="1"/>
  <c r="AW17" i="6" a="1"/>
  <c r="AW17" i="6" s="1"/>
  <c r="AV17" i="6" a="1"/>
  <c r="AV17" i="6" s="1"/>
  <c r="AS17" i="6" a="1"/>
  <c r="AS17" i="6" s="1"/>
  <c r="AR17" i="6" a="1"/>
  <c r="AR17" i="6" s="1"/>
  <c r="AQ17" i="6" a="1"/>
  <c r="AQ17" i="6" s="1"/>
  <c r="AN17" i="6" a="1"/>
  <c r="AN17" i="6" s="1"/>
  <c r="AM17" i="6" a="1"/>
  <c r="AM17" i="6" s="1"/>
  <c r="AL17" i="6" a="1"/>
  <c r="AL17" i="6" s="1"/>
  <c r="AI17" i="6" a="1"/>
  <c r="AI17" i="6" s="1"/>
  <c r="AH17" i="6" a="1"/>
  <c r="AH17" i="6" s="1"/>
  <c r="AG17" i="6" a="1"/>
  <c r="AG17" i="6" s="1"/>
  <c r="AD17" i="6" a="1"/>
  <c r="AD17" i="6" s="1"/>
  <c r="AC17" i="6" a="1"/>
  <c r="AC17" i="6" s="1"/>
  <c r="AB17" i="6" a="1"/>
  <c r="AB17" i="6" s="1"/>
  <c r="O17" i="6" a="1"/>
  <c r="O17" i="6" s="1"/>
  <c r="N17" i="6" a="1"/>
  <c r="N17" i="6" s="1"/>
  <c r="M17" i="6" a="1"/>
  <c r="M17" i="6" s="1"/>
  <c r="J17" i="6" a="1"/>
  <c r="J17" i="6" s="1"/>
  <c r="I17" i="6" a="1"/>
  <c r="I17" i="6" s="1"/>
  <c r="H17" i="6" a="1"/>
  <c r="H17" i="6" s="1"/>
  <c r="E17" i="6" a="1"/>
  <c r="E17" i="6" s="1"/>
  <c r="D17" i="6"/>
  <c r="C17" i="6"/>
  <c r="B17" i="6" a="1"/>
  <c r="B17" i="6" s="1"/>
  <c r="CL16" i="6" a="1"/>
  <c r="CL16" i="6" s="1"/>
  <c r="CK16" i="6" a="1"/>
  <c r="CK16" i="6" s="1"/>
  <c r="CJ16" i="6" a="1"/>
  <c r="CJ16" i="6" s="1"/>
  <c r="CG16" i="6" a="1"/>
  <c r="CG16" i="6" s="1"/>
  <c r="CF16" i="6" a="1"/>
  <c r="CF16" i="6" s="1"/>
  <c r="CE16" i="6" a="1"/>
  <c r="CE16" i="6" s="1"/>
  <c r="CB16" i="6" a="1"/>
  <c r="CB16" i="6" s="1"/>
  <c r="CA16" i="6" a="1"/>
  <c r="CA16" i="6" s="1"/>
  <c r="BZ16" i="6" a="1"/>
  <c r="BZ16" i="6" s="1"/>
  <c r="BW16" i="6" a="1"/>
  <c r="BW16" i="6" s="1"/>
  <c r="BV16" i="6" a="1"/>
  <c r="BV16" i="6" s="1"/>
  <c r="BU16" i="6" a="1"/>
  <c r="BU16" i="6" s="1"/>
  <c r="BR16" i="6" a="1"/>
  <c r="BR16" i="6" s="1"/>
  <c r="BQ16" i="6" a="1"/>
  <c r="BQ16" i="6" s="1"/>
  <c r="BP16" i="6" a="1"/>
  <c r="BP16" i="6" s="1"/>
  <c r="BM16" i="6" a="1"/>
  <c r="BM16" i="6" s="1"/>
  <c r="BL16" i="6" a="1"/>
  <c r="BL16" i="6" s="1"/>
  <c r="BK16" i="6" a="1"/>
  <c r="BK16" i="6" s="1"/>
  <c r="BH16" i="6" a="1"/>
  <c r="BH16" i="6" s="1"/>
  <c r="BG16" i="6" a="1"/>
  <c r="BG16" i="6" s="1"/>
  <c r="BF16" i="6" a="1"/>
  <c r="BF16" i="6" s="1"/>
  <c r="BC16" i="6" a="1"/>
  <c r="BC16" i="6" s="1"/>
  <c r="BB16" i="6" a="1"/>
  <c r="BB16" i="6" s="1"/>
  <c r="BA16" i="6" a="1"/>
  <c r="BA16" i="6" s="1"/>
  <c r="AX16" i="6" a="1"/>
  <c r="AX16" i="6" s="1"/>
  <c r="AW16" i="6" a="1"/>
  <c r="AW16" i="6" s="1"/>
  <c r="AV16" i="6" a="1"/>
  <c r="AV16" i="6" s="1"/>
  <c r="AS16" i="6" a="1"/>
  <c r="AS16" i="6" s="1"/>
  <c r="AR16" i="6" a="1"/>
  <c r="AR16" i="6" s="1"/>
  <c r="AQ16" i="6" a="1"/>
  <c r="AQ16" i="6" s="1"/>
  <c r="AN16" i="6" a="1"/>
  <c r="AN16" i="6" s="1"/>
  <c r="AM16" i="6" a="1"/>
  <c r="AM16" i="6" s="1"/>
  <c r="AL16" i="6" a="1"/>
  <c r="AL16" i="6" s="1"/>
  <c r="AI16" i="6" a="1"/>
  <c r="AI16" i="6" s="1"/>
  <c r="AH16" i="6" a="1"/>
  <c r="AH16" i="6" s="1"/>
  <c r="AG16" i="6" a="1"/>
  <c r="AG16" i="6" s="1"/>
  <c r="AD16" i="6" a="1"/>
  <c r="AD16" i="6" s="1"/>
  <c r="AC16" i="6" a="1"/>
  <c r="AC16" i="6" s="1"/>
  <c r="AB16" i="6" a="1"/>
  <c r="AB16" i="6" s="1"/>
  <c r="O16" i="6" a="1"/>
  <c r="O16" i="6" s="1"/>
  <c r="N16" i="6" a="1"/>
  <c r="N16" i="6" s="1"/>
  <c r="M16" i="6" a="1"/>
  <c r="M16" i="6" s="1"/>
  <c r="J16" i="6" a="1"/>
  <c r="J16" i="6" s="1"/>
  <c r="I16" i="6" a="1"/>
  <c r="I16" i="6" s="1"/>
  <c r="H16" i="6" a="1"/>
  <c r="H16" i="6" s="1"/>
  <c r="E16" i="6" a="1"/>
  <c r="E16" i="6" s="1"/>
  <c r="D16" i="6"/>
  <c r="C16" i="6"/>
  <c r="B16" i="6" a="1"/>
  <c r="B16" i="6" s="1"/>
  <c r="CL15" i="6" a="1"/>
  <c r="CL15" i="6" s="1"/>
  <c r="CK15" i="6" a="1"/>
  <c r="CK15" i="6" s="1"/>
  <c r="CJ15" i="6" a="1"/>
  <c r="CJ15" i="6" s="1"/>
  <c r="CG15" i="6" a="1"/>
  <c r="CG15" i="6" s="1"/>
  <c r="CF15" i="6" a="1"/>
  <c r="CF15" i="6" s="1"/>
  <c r="CE15" i="6" a="1"/>
  <c r="CE15" i="6" s="1"/>
  <c r="CB15" i="6" a="1"/>
  <c r="CB15" i="6" s="1"/>
  <c r="CA15" i="6" a="1"/>
  <c r="CA15" i="6" s="1"/>
  <c r="BZ15" i="6" a="1"/>
  <c r="BZ15" i="6" s="1"/>
  <c r="BW15" i="6" a="1"/>
  <c r="BW15" i="6" s="1"/>
  <c r="BV15" i="6" a="1"/>
  <c r="BV15" i="6" s="1"/>
  <c r="BU15" i="6" a="1"/>
  <c r="BU15" i="6" s="1"/>
  <c r="BR15" i="6" a="1"/>
  <c r="BR15" i="6" s="1"/>
  <c r="BQ15" i="6" a="1"/>
  <c r="BQ15" i="6" s="1"/>
  <c r="BP15" i="6" a="1"/>
  <c r="BP15" i="6" s="1"/>
  <c r="BM15" i="6" a="1"/>
  <c r="BM15" i="6" s="1"/>
  <c r="BL15" i="6" a="1"/>
  <c r="BL15" i="6" s="1"/>
  <c r="BK15" i="6" a="1"/>
  <c r="BK15" i="6" s="1"/>
  <c r="BH15" i="6" a="1"/>
  <c r="BH15" i="6" s="1"/>
  <c r="BG15" i="6" a="1"/>
  <c r="BG15" i="6" s="1"/>
  <c r="BF15" i="6" a="1"/>
  <c r="BF15" i="6" s="1"/>
  <c r="BC15" i="6" a="1"/>
  <c r="BC15" i="6" s="1"/>
  <c r="BB15" i="6" a="1"/>
  <c r="BB15" i="6" s="1"/>
  <c r="BA15" i="6" a="1"/>
  <c r="BA15" i="6" s="1"/>
  <c r="AX15" i="6" a="1"/>
  <c r="AX15" i="6" s="1"/>
  <c r="AW15" i="6" a="1"/>
  <c r="AW15" i="6" s="1"/>
  <c r="AV15" i="6" a="1"/>
  <c r="AV15" i="6" s="1"/>
  <c r="AS15" i="6" a="1"/>
  <c r="AS15" i="6" s="1"/>
  <c r="AR15" i="6" a="1"/>
  <c r="AR15" i="6" s="1"/>
  <c r="AQ15" i="6" a="1"/>
  <c r="AQ15" i="6" s="1"/>
  <c r="AN15" i="6" a="1"/>
  <c r="AN15" i="6" s="1"/>
  <c r="AM15" i="6" a="1"/>
  <c r="AM15" i="6" s="1"/>
  <c r="AL15" i="6" a="1"/>
  <c r="AL15" i="6" s="1"/>
  <c r="AI15" i="6" a="1"/>
  <c r="AI15" i="6" s="1"/>
  <c r="AH15" i="6" a="1"/>
  <c r="AH15" i="6" s="1"/>
  <c r="AG15" i="6" a="1"/>
  <c r="AG15" i="6" s="1"/>
  <c r="AD15" i="6" a="1"/>
  <c r="AD15" i="6" s="1"/>
  <c r="AC15" i="6" a="1"/>
  <c r="AC15" i="6" s="1"/>
  <c r="AB15" i="6" a="1"/>
  <c r="AB15" i="6" s="1"/>
  <c r="O15" i="6" a="1"/>
  <c r="O15" i="6" s="1"/>
  <c r="N15" i="6" a="1"/>
  <c r="N15" i="6" s="1"/>
  <c r="M15" i="6" a="1"/>
  <c r="M15" i="6" s="1"/>
  <c r="J15" i="6" a="1"/>
  <c r="J15" i="6" s="1"/>
  <c r="I15" i="6" a="1"/>
  <c r="I15" i="6" s="1"/>
  <c r="H15" i="6" a="1"/>
  <c r="H15" i="6" s="1"/>
  <c r="E15" i="6" a="1"/>
  <c r="E15" i="6" s="1"/>
  <c r="D15" i="6"/>
  <c r="C15" i="6"/>
  <c r="B15" i="6" a="1"/>
  <c r="B15" i="6" s="1"/>
  <c r="CL14" i="6" a="1"/>
  <c r="CL14" i="6" s="1"/>
  <c r="CK14" i="6" a="1"/>
  <c r="CK14" i="6" s="1"/>
  <c r="CJ14" i="6" a="1"/>
  <c r="CJ14" i="6" s="1"/>
  <c r="CG14" i="6" a="1"/>
  <c r="CG14" i="6" s="1"/>
  <c r="CF14" i="6" a="1"/>
  <c r="CF14" i="6" s="1"/>
  <c r="CE14" i="6" a="1"/>
  <c r="CE14" i="6" s="1"/>
  <c r="CB14" i="6" a="1"/>
  <c r="CB14" i="6" s="1"/>
  <c r="CA14" i="6" a="1"/>
  <c r="CA14" i="6" s="1"/>
  <c r="BZ14" i="6" a="1"/>
  <c r="BZ14" i="6" s="1"/>
  <c r="BW14" i="6" a="1"/>
  <c r="BW14" i="6" s="1"/>
  <c r="BV14" i="6" a="1"/>
  <c r="BV14" i="6" s="1"/>
  <c r="BU14" i="6" a="1"/>
  <c r="BU14" i="6" s="1"/>
  <c r="BR14" i="6" a="1"/>
  <c r="BR14" i="6" s="1"/>
  <c r="BQ14" i="6" a="1"/>
  <c r="BQ14" i="6" s="1"/>
  <c r="BP14" i="6" a="1"/>
  <c r="BP14" i="6" s="1"/>
  <c r="BM14" i="6" a="1"/>
  <c r="BM14" i="6" s="1"/>
  <c r="BL14" i="6" a="1"/>
  <c r="BL14" i="6" s="1"/>
  <c r="BK14" i="6" a="1"/>
  <c r="BK14" i="6" s="1"/>
  <c r="BH14" i="6" a="1"/>
  <c r="BH14" i="6" s="1"/>
  <c r="BG14" i="6" a="1"/>
  <c r="BG14" i="6" s="1"/>
  <c r="BF14" i="6" a="1"/>
  <c r="BF14" i="6" s="1"/>
  <c r="BC14" i="6" a="1"/>
  <c r="BC14" i="6" s="1"/>
  <c r="BB14" i="6" a="1"/>
  <c r="BB14" i="6" s="1"/>
  <c r="BA14" i="6" a="1"/>
  <c r="BA14" i="6" s="1"/>
  <c r="AX14" i="6" a="1"/>
  <c r="AX14" i="6" s="1"/>
  <c r="AW14" i="6" a="1"/>
  <c r="AW14" i="6" s="1"/>
  <c r="AV14" i="6" a="1"/>
  <c r="AV14" i="6" s="1"/>
  <c r="AS14" i="6" a="1"/>
  <c r="AS14" i="6" s="1"/>
  <c r="AR14" i="6" a="1"/>
  <c r="AR14" i="6" s="1"/>
  <c r="AQ14" i="6" a="1"/>
  <c r="AQ14" i="6" s="1"/>
  <c r="AN14" i="6" a="1"/>
  <c r="AN14" i="6" s="1"/>
  <c r="AM14" i="6" a="1"/>
  <c r="AM14" i="6" s="1"/>
  <c r="AL14" i="6" a="1"/>
  <c r="AL14" i="6" s="1"/>
  <c r="AI14" i="6" a="1"/>
  <c r="AI14" i="6" s="1"/>
  <c r="AH14" i="6" a="1"/>
  <c r="AH14" i="6" s="1"/>
  <c r="AG14" i="6" a="1"/>
  <c r="AG14" i="6" s="1"/>
  <c r="AD14" i="6" a="1"/>
  <c r="AD14" i="6" s="1"/>
  <c r="AC14" i="6" a="1"/>
  <c r="AC14" i="6" s="1"/>
  <c r="AB14" i="6" a="1"/>
  <c r="AB14" i="6" s="1"/>
  <c r="O14" i="6" a="1"/>
  <c r="O14" i="6" s="1"/>
  <c r="N14" i="6" a="1"/>
  <c r="N14" i="6" s="1"/>
  <c r="M14" i="6" a="1"/>
  <c r="M14" i="6" s="1"/>
  <c r="J14" i="6" a="1"/>
  <c r="J14" i="6" s="1"/>
  <c r="I14" i="6" a="1"/>
  <c r="I14" i="6" s="1"/>
  <c r="H14" i="6" a="1"/>
  <c r="H14" i="6" s="1"/>
  <c r="E14" i="6" a="1"/>
  <c r="E14" i="6" s="1"/>
  <c r="D14" i="6"/>
  <c r="C14" i="6"/>
  <c r="B14" i="6" a="1"/>
  <c r="B14" i="6" s="1"/>
  <c r="CL13" i="6" a="1"/>
  <c r="CL13" i="6" s="1"/>
  <c r="CK13" i="6" a="1"/>
  <c r="CK13" i="6" s="1"/>
  <c r="CJ13" i="6" a="1"/>
  <c r="CJ13" i="6" s="1"/>
  <c r="CG13" i="6" a="1"/>
  <c r="CG13" i="6" s="1"/>
  <c r="CF13" i="6" a="1"/>
  <c r="CF13" i="6" s="1"/>
  <c r="CE13" i="6" a="1"/>
  <c r="CE13" i="6" s="1"/>
  <c r="CB13" i="6" a="1"/>
  <c r="CB13" i="6" s="1"/>
  <c r="CA13" i="6" a="1"/>
  <c r="CA13" i="6" s="1"/>
  <c r="BZ13" i="6" a="1"/>
  <c r="BZ13" i="6" s="1"/>
  <c r="BW13" i="6" a="1"/>
  <c r="BW13" i="6" s="1"/>
  <c r="BV13" i="6" a="1"/>
  <c r="BV13" i="6" s="1"/>
  <c r="BU13" i="6" a="1"/>
  <c r="BU13" i="6" s="1"/>
  <c r="BR13" i="6" a="1"/>
  <c r="BR13" i="6" s="1"/>
  <c r="BQ13" i="6" a="1"/>
  <c r="BQ13" i="6" s="1"/>
  <c r="BP13" i="6" a="1"/>
  <c r="BP13" i="6" s="1"/>
  <c r="BM13" i="6" a="1"/>
  <c r="BM13" i="6" s="1"/>
  <c r="BL13" i="6" a="1"/>
  <c r="BL13" i="6" s="1"/>
  <c r="BK13" i="6" a="1"/>
  <c r="BK13" i="6" s="1"/>
  <c r="BH13" i="6" a="1"/>
  <c r="BH13" i="6" s="1"/>
  <c r="BG13" i="6" a="1"/>
  <c r="BG13" i="6" s="1"/>
  <c r="BF13" i="6" a="1"/>
  <c r="BF13" i="6" s="1"/>
  <c r="BC13" i="6" a="1"/>
  <c r="BC13" i="6" s="1"/>
  <c r="BB13" i="6" a="1"/>
  <c r="BB13" i="6" s="1"/>
  <c r="BA13" i="6" a="1"/>
  <c r="BA13" i="6" s="1"/>
  <c r="AX13" i="6" a="1"/>
  <c r="AX13" i="6" s="1"/>
  <c r="AW13" i="6" a="1"/>
  <c r="AW13" i="6" s="1"/>
  <c r="AV13" i="6" a="1"/>
  <c r="AV13" i="6" s="1"/>
  <c r="AS13" i="6" a="1"/>
  <c r="AS13" i="6" s="1"/>
  <c r="AR13" i="6" a="1"/>
  <c r="AR13" i="6" s="1"/>
  <c r="AQ13" i="6" a="1"/>
  <c r="AQ13" i="6" s="1"/>
  <c r="AN13" i="6" a="1"/>
  <c r="AN13" i="6" s="1"/>
  <c r="AM13" i="6" a="1"/>
  <c r="AM13" i="6" s="1"/>
  <c r="AL13" i="6" a="1"/>
  <c r="AL13" i="6" s="1"/>
  <c r="AI13" i="6" a="1"/>
  <c r="AI13" i="6" s="1"/>
  <c r="AH13" i="6" a="1"/>
  <c r="AH13" i="6" s="1"/>
  <c r="AG13" i="6" a="1"/>
  <c r="AG13" i="6" s="1"/>
  <c r="AD13" i="6" a="1"/>
  <c r="AD13" i="6" s="1"/>
  <c r="AC13" i="6" a="1"/>
  <c r="AC13" i="6" s="1"/>
  <c r="AB13" i="6" a="1"/>
  <c r="AB13" i="6" s="1"/>
  <c r="O13" i="6" a="1"/>
  <c r="O13" i="6" s="1"/>
  <c r="N13" i="6" a="1"/>
  <c r="N13" i="6" s="1"/>
  <c r="M13" i="6" a="1"/>
  <c r="M13" i="6" s="1"/>
  <c r="J13" i="6" a="1"/>
  <c r="J13" i="6" s="1"/>
  <c r="I13" i="6" a="1"/>
  <c r="I13" i="6" s="1"/>
  <c r="H13" i="6" a="1"/>
  <c r="H13" i="6" s="1"/>
  <c r="E13" i="6" a="1"/>
  <c r="E13" i="6" s="1"/>
  <c r="D13" i="6"/>
  <c r="C13" i="6"/>
  <c r="B13" i="6" a="1"/>
  <c r="B13" i="6" s="1"/>
  <c r="CL12" i="6" a="1"/>
  <c r="CL12" i="6" s="1"/>
  <c r="CK12" i="6" a="1"/>
  <c r="CK12" i="6" s="1"/>
  <c r="CJ12" i="6" a="1"/>
  <c r="CJ12" i="6" s="1"/>
  <c r="CG12" i="6" a="1"/>
  <c r="CG12" i="6" s="1"/>
  <c r="CF12" i="6" a="1"/>
  <c r="CF12" i="6" s="1"/>
  <c r="CE12" i="6" a="1"/>
  <c r="CE12" i="6" s="1"/>
  <c r="CB12" i="6" a="1"/>
  <c r="CB12" i="6" s="1"/>
  <c r="CA12" i="6" a="1"/>
  <c r="CA12" i="6" s="1"/>
  <c r="BZ12" i="6" a="1"/>
  <c r="BZ12" i="6" s="1"/>
  <c r="BW12" i="6" a="1"/>
  <c r="BW12" i="6" s="1"/>
  <c r="BV12" i="6" a="1"/>
  <c r="BV12" i="6" s="1"/>
  <c r="BU12" i="6" a="1"/>
  <c r="BU12" i="6" s="1"/>
  <c r="BR12" i="6" a="1"/>
  <c r="BR12" i="6" s="1"/>
  <c r="BQ12" i="6" a="1"/>
  <c r="BQ12" i="6" s="1"/>
  <c r="BP12" i="6" a="1"/>
  <c r="BP12" i="6" s="1"/>
  <c r="BM12" i="6" a="1"/>
  <c r="BM12" i="6" s="1"/>
  <c r="BL12" i="6" a="1"/>
  <c r="BL12" i="6" s="1"/>
  <c r="BK12" i="6" a="1"/>
  <c r="BK12" i="6" s="1"/>
  <c r="BH12" i="6" a="1"/>
  <c r="BH12" i="6" s="1"/>
  <c r="BG12" i="6" a="1"/>
  <c r="BG12" i="6" s="1"/>
  <c r="BF12" i="6" a="1"/>
  <c r="BF12" i="6" s="1"/>
  <c r="BC12" i="6" a="1"/>
  <c r="BC12" i="6" s="1"/>
  <c r="BB12" i="6" a="1"/>
  <c r="BB12" i="6" s="1"/>
  <c r="BA12" i="6" a="1"/>
  <c r="BA12" i="6" s="1"/>
  <c r="AX12" i="6" a="1"/>
  <c r="AX12" i="6" s="1"/>
  <c r="AW12" i="6" a="1"/>
  <c r="AW12" i="6" s="1"/>
  <c r="AV12" i="6" a="1"/>
  <c r="AV12" i="6" s="1"/>
  <c r="AS12" i="6" a="1"/>
  <c r="AS12" i="6" s="1"/>
  <c r="AR12" i="6" a="1"/>
  <c r="AR12" i="6" s="1"/>
  <c r="AQ12" i="6" a="1"/>
  <c r="AQ12" i="6" s="1"/>
  <c r="AN12" i="6" a="1"/>
  <c r="AN12" i="6" s="1"/>
  <c r="AM12" i="6" a="1"/>
  <c r="AM12" i="6" s="1"/>
  <c r="AL12" i="6" a="1"/>
  <c r="AL12" i="6" s="1"/>
  <c r="AI12" i="6" a="1"/>
  <c r="AI12" i="6" s="1"/>
  <c r="AH12" i="6" a="1"/>
  <c r="AH12" i="6" s="1"/>
  <c r="AG12" i="6" a="1"/>
  <c r="AG12" i="6" s="1"/>
  <c r="AD12" i="6" a="1"/>
  <c r="AD12" i="6" s="1"/>
  <c r="AC12" i="6" a="1"/>
  <c r="AC12" i="6" s="1"/>
  <c r="AB12" i="6" a="1"/>
  <c r="AB12" i="6" s="1"/>
  <c r="O12" i="6" a="1"/>
  <c r="O12" i="6" s="1"/>
  <c r="N12" i="6" a="1"/>
  <c r="N12" i="6" s="1"/>
  <c r="M12" i="6" a="1"/>
  <c r="M12" i="6" s="1"/>
  <c r="J12" i="6" a="1"/>
  <c r="J12" i="6" s="1"/>
  <c r="I12" i="6" a="1"/>
  <c r="I12" i="6" s="1"/>
  <c r="H12" i="6" a="1"/>
  <c r="H12" i="6" s="1"/>
  <c r="E12" i="6" a="1"/>
  <c r="E12" i="6" s="1"/>
  <c r="D12" i="6"/>
  <c r="C12" i="6"/>
  <c r="B12" i="6" a="1"/>
  <c r="B12" i="6" s="1"/>
  <c r="CL11" i="6" a="1"/>
  <c r="CL11" i="6" s="1"/>
  <c r="CK11" i="6" a="1"/>
  <c r="CK11" i="6" s="1"/>
  <c r="CJ11" i="6" a="1"/>
  <c r="CJ11" i="6" s="1"/>
  <c r="CG11" i="6" a="1"/>
  <c r="CG11" i="6" s="1"/>
  <c r="CF11" i="6" a="1"/>
  <c r="CF11" i="6" s="1"/>
  <c r="CE11" i="6" a="1"/>
  <c r="CE11" i="6" s="1"/>
  <c r="CB11" i="6" a="1"/>
  <c r="CB11" i="6" s="1"/>
  <c r="CA11" i="6" a="1"/>
  <c r="CA11" i="6" s="1"/>
  <c r="BZ11" i="6" a="1"/>
  <c r="BZ11" i="6" s="1"/>
  <c r="BW11" i="6" a="1"/>
  <c r="BW11" i="6" s="1"/>
  <c r="BV11" i="6" a="1"/>
  <c r="BV11" i="6" s="1"/>
  <c r="BU11" i="6" a="1"/>
  <c r="BU11" i="6" s="1"/>
  <c r="BR11" i="6" a="1"/>
  <c r="BR11" i="6" s="1"/>
  <c r="BQ11" i="6" a="1"/>
  <c r="BQ11" i="6" s="1"/>
  <c r="BP11" i="6" a="1"/>
  <c r="BP11" i="6" s="1"/>
  <c r="BM11" i="6" a="1"/>
  <c r="BM11" i="6" s="1"/>
  <c r="BL11" i="6" a="1"/>
  <c r="BL11" i="6" s="1"/>
  <c r="BK11" i="6" a="1"/>
  <c r="BK11" i="6" s="1"/>
  <c r="BH11" i="6" a="1"/>
  <c r="BH11" i="6" s="1"/>
  <c r="BG11" i="6" a="1"/>
  <c r="BG11" i="6" s="1"/>
  <c r="BF11" i="6" a="1"/>
  <c r="BF11" i="6" s="1"/>
  <c r="BC11" i="6" a="1"/>
  <c r="BC11" i="6" s="1"/>
  <c r="BB11" i="6" a="1"/>
  <c r="BB11" i="6" s="1"/>
  <c r="BA11" i="6" a="1"/>
  <c r="BA11" i="6" s="1"/>
  <c r="AX11" i="6" a="1"/>
  <c r="AX11" i="6" s="1"/>
  <c r="AW11" i="6" a="1"/>
  <c r="AW11" i="6" s="1"/>
  <c r="AV11" i="6" a="1"/>
  <c r="AV11" i="6" s="1"/>
  <c r="AS11" i="6" a="1"/>
  <c r="AS11" i="6" s="1"/>
  <c r="AR11" i="6" a="1"/>
  <c r="AR11" i="6" s="1"/>
  <c r="AQ11" i="6" a="1"/>
  <c r="AQ11" i="6" s="1"/>
  <c r="AN11" i="6" a="1"/>
  <c r="AN11" i="6" s="1"/>
  <c r="AM11" i="6" a="1"/>
  <c r="AM11" i="6" s="1"/>
  <c r="AL11" i="6" a="1"/>
  <c r="AL11" i="6" s="1"/>
  <c r="AI11" i="6" a="1"/>
  <c r="AI11" i="6" s="1"/>
  <c r="AH11" i="6" a="1"/>
  <c r="AH11" i="6" s="1"/>
  <c r="AG11" i="6" a="1"/>
  <c r="AG11" i="6" s="1"/>
  <c r="AD11" i="6" a="1"/>
  <c r="AD11" i="6" s="1"/>
  <c r="AC11" i="6" a="1"/>
  <c r="AC11" i="6" s="1"/>
  <c r="AB11" i="6" a="1"/>
  <c r="AB11" i="6" s="1"/>
  <c r="O11" i="6" a="1"/>
  <c r="O11" i="6" s="1"/>
  <c r="N11" i="6" a="1"/>
  <c r="N11" i="6" s="1"/>
  <c r="M11" i="6" a="1"/>
  <c r="M11" i="6" s="1"/>
  <c r="J11" i="6" a="1"/>
  <c r="J11" i="6" s="1"/>
  <c r="I11" i="6" a="1"/>
  <c r="I11" i="6" s="1"/>
  <c r="H11" i="6" a="1"/>
  <c r="H11" i="6" s="1"/>
  <c r="E11" i="6" a="1"/>
  <c r="E11" i="6" s="1"/>
  <c r="D11" i="6"/>
  <c r="C11" i="6"/>
  <c r="B11" i="6" a="1"/>
  <c r="B11" i="6" s="1"/>
  <c r="CL10" i="6" a="1"/>
  <c r="CL10" i="6" s="1"/>
  <c r="CK10" i="6" a="1"/>
  <c r="CK10" i="6" s="1"/>
  <c r="CJ10" i="6" a="1"/>
  <c r="CJ10" i="6" s="1"/>
  <c r="CG10" i="6" a="1"/>
  <c r="CG10" i="6" s="1"/>
  <c r="CF10" i="6" a="1"/>
  <c r="CF10" i="6" s="1"/>
  <c r="CE10" i="6" a="1"/>
  <c r="CE10" i="6" s="1"/>
  <c r="CB10" i="6" a="1"/>
  <c r="CB10" i="6" s="1"/>
  <c r="CA10" i="6" a="1"/>
  <c r="CA10" i="6" s="1"/>
  <c r="BZ10" i="6" a="1"/>
  <c r="BZ10" i="6" s="1"/>
  <c r="BW10" i="6" a="1"/>
  <c r="BW10" i="6" s="1"/>
  <c r="BV10" i="6" a="1"/>
  <c r="BV10" i="6" s="1"/>
  <c r="BU10" i="6" a="1"/>
  <c r="BU10" i="6" s="1"/>
  <c r="BR10" i="6" a="1"/>
  <c r="BR10" i="6" s="1"/>
  <c r="BQ10" i="6" a="1"/>
  <c r="BQ10" i="6" s="1"/>
  <c r="BP10" i="6" a="1"/>
  <c r="BP10" i="6" s="1"/>
  <c r="BM10" i="6" a="1"/>
  <c r="BM10" i="6" s="1"/>
  <c r="BL10" i="6" a="1"/>
  <c r="BL10" i="6" s="1"/>
  <c r="BK10" i="6" a="1"/>
  <c r="BK10" i="6" s="1"/>
  <c r="BH10" i="6" a="1"/>
  <c r="BH10" i="6" s="1"/>
  <c r="BG10" i="6" a="1"/>
  <c r="BG10" i="6" s="1"/>
  <c r="BF10" i="6" a="1"/>
  <c r="BF10" i="6" s="1"/>
  <c r="BC10" i="6" a="1"/>
  <c r="BC10" i="6" s="1"/>
  <c r="BB10" i="6" a="1"/>
  <c r="BB10" i="6" s="1"/>
  <c r="BA10" i="6" a="1"/>
  <c r="BA10" i="6" s="1"/>
  <c r="AX10" i="6" a="1"/>
  <c r="AX10" i="6" s="1"/>
  <c r="AW10" i="6" a="1"/>
  <c r="AW10" i="6" s="1"/>
  <c r="AV10" i="6" a="1"/>
  <c r="AV10" i="6" s="1"/>
  <c r="AS10" i="6" a="1"/>
  <c r="AS10" i="6" s="1"/>
  <c r="AR10" i="6" a="1"/>
  <c r="AR10" i="6" s="1"/>
  <c r="AQ10" i="6" a="1"/>
  <c r="AQ10" i="6" s="1"/>
  <c r="AN10" i="6" a="1"/>
  <c r="AN10" i="6" s="1"/>
  <c r="AM10" i="6" a="1"/>
  <c r="AM10" i="6" s="1"/>
  <c r="AL10" i="6" a="1"/>
  <c r="AL10" i="6" s="1"/>
  <c r="AI10" i="6" a="1"/>
  <c r="AI10" i="6" s="1"/>
  <c r="AH10" i="6" a="1"/>
  <c r="AH10" i="6" s="1"/>
  <c r="AG10" i="6" a="1"/>
  <c r="AG10" i="6" s="1"/>
  <c r="AD10" i="6" a="1"/>
  <c r="AD10" i="6" s="1"/>
  <c r="AC10" i="6" a="1"/>
  <c r="AC10" i="6" s="1"/>
  <c r="AB10" i="6" a="1"/>
  <c r="AB10" i="6" s="1"/>
  <c r="O10" i="6" a="1"/>
  <c r="O10" i="6" s="1"/>
  <c r="N10" i="6" a="1"/>
  <c r="N10" i="6" s="1"/>
  <c r="M10" i="6" a="1"/>
  <c r="M10" i="6" s="1"/>
  <c r="J10" i="6" a="1"/>
  <c r="J10" i="6" s="1"/>
  <c r="I10" i="6" a="1"/>
  <c r="I10" i="6" s="1"/>
  <c r="H10" i="6" a="1"/>
  <c r="H10" i="6" s="1"/>
  <c r="E10" i="6" a="1"/>
  <c r="E10" i="6" s="1"/>
  <c r="D10" i="6"/>
  <c r="C10" i="6"/>
  <c r="B10" i="6" a="1"/>
  <c r="B10" i="6" s="1"/>
  <c r="CL9" i="6" a="1"/>
  <c r="CL9" i="6" s="1"/>
  <c r="CK9" i="6" a="1"/>
  <c r="CK9" i="6" s="1"/>
  <c r="CJ9" i="6" a="1"/>
  <c r="CJ9" i="6" s="1"/>
  <c r="CG9" i="6" a="1"/>
  <c r="CG9" i="6" s="1"/>
  <c r="CF9" i="6" a="1"/>
  <c r="CF9" i="6" s="1"/>
  <c r="CE9" i="6" a="1"/>
  <c r="CE9" i="6" s="1"/>
  <c r="CB9" i="6" a="1"/>
  <c r="CB9" i="6" s="1"/>
  <c r="CA9" i="6" a="1"/>
  <c r="CA9" i="6" s="1"/>
  <c r="BZ9" i="6" a="1"/>
  <c r="BZ9" i="6" s="1"/>
  <c r="BW9" i="6" a="1"/>
  <c r="BW9" i="6" s="1"/>
  <c r="BV9" i="6" a="1"/>
  <c r="BV9" i="6" s="1"/>
  <c r="BU9" i="6" a="1"/>
  <c r="BU9" i="6" s="1"/>
  <c r="BR9" i="6" a="1"/>
  <c r="BR9" i="6" s="1"/>
  <c r="BQ9" i="6" a="1"/>
  <c r="BQ9" i="6" s="1"/>
  <c r="BP9" i="6" a="1"/>
  <c r="BP9" i="6" s="1"/>
  <c r="BM9" i="6" a="1"/>
  <c r="BM9" i="6" s="1"/>
  <c r="BL9" i="6" a="1"/>
  <c r="BL9" i="6" s="1"/>
  <c r="BK9" i="6" a="1"/>
  <c r="BK9" i="6" s="1"/>
  <c r="BH9" i="6" a="1"/>
  <c r="BH9" i="6" s="1"/>
  <c r="BG9" i="6" a="1"/>
  <c r="BG9" i="6" s="1"/>
  <c r="BF9" i="6" a="1"/>
  <c r="BF9" i="6" s="1"/>
  <c r="BC9" i="6" a="1"/>
  <c r="BC9" i="6" s="1"/>
  <c r="BB9" i="6" a="1"/>
  <c r="BB9" i="6" s="1"/>
  <c r="BA9" i="6" a="1"/>
  <c r="BA9" i="6" s="1"/>
  <c r="AX9" i="6" a="1"/>
  <c r="AX9" i="6" s="1"/>
  <c r="AW9" i="6" a="1"/>
  <c r="AW9" i="6" s="1"/>
  <c r="AV9" i="6" a="1"/>
  <c r="AV9" i="6" s="1"/>
  <c r="AS9" i="6" a="1"/>
  <c r="AS9" i="6" s="1"/>
  <c r="AR9" i="6" a="1"/>
  <c r="AR9" i="6" s="1"/>
  <c r="AQ9" i="6" a="1"/>
  <c r="AQ9" i="6" s="1"/>
  <c r="AN9" i="6" a="1"/>
  <c r="AN9" i="6" s="1"/>
  <c r="AM9" i="6" a="1"/>
  <c r="AM9" i="6" s="1"/>
  <c r="AL9" i="6" a="1"/>
  <c r="AL9" i="6" s="1"/>
  <c r="AI9" i="6" a="1"/>
  <c r="AI9" i="6" s="1"/>
  <c r="AH9" i="6" a="1"/>
  <c r="AH9" i="6" s="1"/>
  <c r="AG9" i="6" a="1"/>
  <c r="AG9" i="6" s="1"/>
  <c r="AD9" i="6" a="1"/>
  <c r="AD9" i="6" s="1"/>
  <c r="AC9" i="6" a="1"/>
  <c r="AC9" i="6" s="1"/>
  <c r="AB9" i="6" a="1"/>
  <c r="AB9" i="6" s="1"/>
  <c r="O9" i="6" a="1"/>
  <c r="O9" i="6" s="1"/>
  <c r="N9" i="6" a="1"/>
  <c r="N9" i="6" s="1"/>
  <c r="M9" i="6" a="1"/>
  <c r="M9" i="6" s="1"/>
  <c r="J9" i="6" a="1"/>
  <c r="J9" i="6" s="1"/>
  <c r="I9" i="6" a="1"/>
  <c r="I9" i="6" s="1"/>
  <c r="H9" i="6" a="1"/>
  <c r="H9" i="6" s="1"/>
  <c r="E9" i="6" a="1"/>
  <c r="E9" i="6" s="1"/>
  <c r="D9" i="6"/>
  <c r="C9" i="6"/>
  <c r="B9" i="6" a="1"/>
  <c r="B9" i="6" s="1"/>
  <c r="CL8" i="6" a="1"/>
  <c r="CL8" i="6" s="1"/>
  <c r="CK8" i="6" a="1"/>
  <c r="CK8" i="6" s="1"/>
  <c r="CJ8" i="6" a="1"/>
  <c r="CJ8" i="6" s="1"/>
  <c r="CG8" i="6" a="1"/>
  <c r="CG8" i="6" s="1"/>
  <c r="CF8" i="6" a="1"/>
  <c r="CF8" i="6" s="1"/>
  <c r="CE8" i="6" a="1"/>
  <c r="CE8" i="6" s="1"/>
  <c r="CB8" i="6" a="1"/>
  <c r="CB8" i="6" s="1"/>
  <c r="CA8" i="6" a="1"/>
  <c r="CA8" i="6" s="1"/>
  <c r="BZ8" i="6" a="1"/>
  <c r="BZ8" i="6" s="1"/>
  <c r="BW8" i="6" a="1"/>
  <c r="BW8" i="6" s="1"/>
  <c r="BV8" i="6" a="1"/>
  <c r="BV8" i="6" s="1"/>
  <c r="BU8" i="6" a="1"/>
  <c r="BU8" i="6" s="1"/>
  <c r="BR8" i="6" a="1"/>
  <c r="BR8" i="6" s="1"/>
  <c r="BQ8" i="6" a="1"/>
  <c r="BQ8" i="6" s="1"/>
  <c r="BP8" i="6" a="1"/>
  <c r="BP8" i="6" s="1"/>
  <c r="BM8" i="6" a="1"/>
  <c r="BM8" i="6" s="1"/>
  <c r="BL8" i="6" a="1"/>
  <c r="BL8" i="6" s="1"/>
  <c r="BK8" i="6" a="1"/>
  <c r="BK8" i="6" s="1"/>
  <c r="BH8" i="6" a="1"/>
  <c r="BH8" i="6" s="1"/>
  <c r="BG8" i="6" a="1"/>
  <c r="BG8" i="6" s="1"/>
  <c r="BF8" i="6" a="1"/>
  <c r="BF8" i="6" s="1"/>
  <c r="BC8" i="6" a="1"/>
  <c r="BC8" i="6" s="1"/>
  <c r="BB8" i="6" a="1"/>
  <c r="BB8" i="6" s="1"/>
  <c r="BA8" i="6" a="1"/>
  <c r="BA8" i="6" s="1"/>
  <c r="AX8" i="6" a="1"/>
  <c r="AX8" i="6" s="1"/>
  <c r="AW8" i="6" a="1"/>
  <c r="AW8" i="6" s="1"/>
  <c r="AV8" i="6" a="1"/>
  <c r="AV8" i="6" s="1"/>
  <c r="AS8" i="6" a="1"/>
  <c r="AS8" i="6" s="1"/>
  <c r="AR8" i="6" a="1"/>
  <c r="AR8" i="6" s="1"/>
  <c r="AQ8" i="6" a="1"/>
  <c r="AQ8" i="6" s="1"/>
  <c r="AN8" i="6" a="1"/>
  <c r="AN8" i="6" s="1"/>
  <c r="AM8" i="6" a="1"/>
  <c r="AM8" i="6" s="1"/>
  <c r="AL8" i="6" a="1"/>
  <c r="AL8" i="6" s="1"/>
  <c r="AI8" i="6" a="1"/>
  <c r="AI8" i="6" s="1"/>
  <c r="AH8" i="6" a="1"/>
  <c r="AH8" i="6" s="1"/>
  <c r="AG8" i="6" a="1"/>
  <c r="AG8" i="6" s="1"/>
  <c r="AD8" i="6" a="1"/>
  <c r="AD8" i="6" s="1"/>
  <c r="AC8" i="6" a="1"/>
  <c r="AC8" i="6" s="1"/>
  <c r="AB8" i="6" a="1"/>
  <c r="AB8" i="6" s="1"/>
  <c r="O8" i="6" a="1"/>
  <c r="O8" i="6" s="1"/>
  <c r="N8" i="6" a="1"/>
  <c r="N8" i="6" s="1"/>
  <c r="M8" i="6" a="1"/>
  <c r="M8" i="6" s="1"/>
  <c r="J8" i="6" a="1"/>
  <c r="J8" i="6" s="1"/>
  <c r="I8" i="6" a="1"/>
  <c r="I8" i="6" s="1"/>
  <c r="H8" i="6" a="1"/>
  <c r="H8" i="6" s="1"/>
  <c r="E8" i="6" a="1"/>
  <c r="E8" i="6" s="1"/>
  <c r="D8" i="6"/>
  <c r="C8" i="6"/>
  <c r="B8" i="6" a="1"/>
  <c r="B8" i="6" s="1"/>
  <c r="CL7" i="6" a="1"/>
  <c r="CL7" i="6" s="1"/>
  <c r="CK7" i="6" a="1"/>
  <c r="CK7" i="6" s="1"/>
  <c r="CJ7" i="6" a="1"/>
  <c r="CJ7" i="6" s="1"/>
  <c r="CG7" i="6" a="1"/>
  <c r="CG7" i="6" s="1"/>
  <c r="CF7" i="6" a="1"/>
  <c r="CF7" i="6" s="1"/>
  <c r="CE7" i="6" a="1"/>
  <c r="CE7" i="6" s="1"/>
  <c r="CB7" i="6" a="1"/>
  <c r="CB7" i="6" s="1"/>
  <c r="CA7" i="6" a="1"/>
  <c r="CA7" i="6" s="1"/>
  <c r="BZ7" i="6" a="1"/>
  <c r="BZ7" i="6" s="1"/>
  <c r="BW7" i="6" a="1"/>
  <c r="BW7" i="6" s="1"/>
  <c r="BV7" i="6" a="1"/>
  <c r="BV7" i="6" s="1"/>
  <c r="BU7" i="6" a="1"/>
  <c r="BU7" i="6" s="1"/>
  <c r="BR7" i="6" a="1"/>
  <c r="BR7" i="6" s="1"/>
  <c r="BQ7" i="6" a="1"/>
  <c r="BQ7" i="6" s="1"/>
  <c r="BP7" i="6" a="1"/>
  <c r="BP7" i="6" s="1"/>
  <c r="BM7" i="6" a="1"/>
  <c r="BM7" i="6" s="1"/>
  <c r="BL7" i="6" a="1"/>
  <c r="BL7" i="6" s="1"/>
  <c r="BK7" i="6" a="1"/>
  <c r="BK7" i="6" s="1"/>
  <c r="BH7" i="6" a="1"/>
  <c r="BH7" i="6" s="1"/>
  <c r="BG7" i="6" a="1"/>
  <c r="BG7" i="6" s="1"/>
  <c r="BF7" i="6" a="1"/>
  <c r="BF7" i="6" s="1"/>
  <c r="BC7" i="6" a="1"/>
  <c r="BC7" i="6" s="1"/>
  <c r="BB7" i="6" a="1"/>
  <c r="BB7" i="6" s="1"/>
  <c r="BA7" i="6" a="1"/>
  <c r="BA7" i="6" s="1"/>
  <c r="AX7" i="6" a="1"/>
  <c r="AX7" i="6" s="1"/>
  <c r="AW7" i="6" a="1"/>
  <c r="AW7" i="6" s="1"/>
  <c r="AV7" i="6" a="1"/>
  <c r="AV7" i="6" s="1"/>
  <c r="AS7" i="6" a="1"/>
  <c r="AS7" i="6" s="1"/>
  <c r="AR7" i="6" a="1"/>
  <c r="AR7" i="6" s="1"/>
  <c r="AQ7" i="6" a="1"/>
  <c r="AQ7" i="6" s="1"/>
  <c r="AN7" i="6" a="1"/>
  <c r="AN7" i="6" s="1"/>
  <c r="AM7" i="6" a="1"/>
  <c r="AM7" i="6" s="1"/>
  <c r="AL7" i="6" a="1"/>
  <c r="AL7" i="6" s="1"/>
  <c r="AI7" i="6" a="1"/>
  <c r="AI7" i="6" s="1"/>
  <c r="AH7" i="6" a="1"/>
  <c r="AH7" i="6" s="1"/>
  <c r="AG7" i="6" a="1"/>
  <c r="AG7" i="6" s="1"/>
  <c r="AD7" i="6" a="1"/>
  <c r="AD7" i="6" s="1"/>
  <c r="AC7" i="6" a="1"/>
  <c r="AC7" i="6" s="1"/>
  <c r="AB7" i="6" a="1"/>
  <c r="AB7" i="6" s="1"/>
  <c r="O7" i="6" a="1"/>
  <c r="O7" i="6" s="1"/>
  <c r="N7" i="6" a="1"/>
  <c r="N7" i="6" s="1"/>
  <c r="M7" i="6" a="1"/>
  <c r="M7" i="6" s="1"/>
  <c r="J7" i="6" a="1"/>
  <c r="J7" i="6" s="1"/>
  <c r="I7" i="6" a="1"/>
  <c r="I7" i="6" s="1"/>
  <c r="H7" i="6" a="1"/>
  <c r="H7" i="6" s="1"/>
  <c r="E7" i="6" a="1"/>
  <c r="E7" i="6" s="1"/>
  <c r="D7" i="6"/>
  <c r="C7" i="6"/>
  <c r="B7" i="6"/>
  <c r="B7" i="6" a="1"/>
  <c r="CL6" i="6" a="1"/>
  <c r="CL6" i="6" s="1"/>
  <c r="CK6" i="6" a="1"/>
  <c r="CK6" i="6" s="1"/>
  <c r="CJ6" i="6" a="1"/>
  <c r="CJ6" i="6" s="1"/>
  <c r="CG6" i="6" a="1"/>
  <c r="CG6" i="6" s="1"/>
  <c r="CF6" i="6" a="1"/>
  <c r="CF6" i="6" s="1"/>
  <c r="CE6" i="6" a="1"/>
  <c r="CE6" i="6" s="1"/>
  <c r="CB6" i="6" a="1"/>
  <c r="CB6" i="6" s="1"/>
  <c r="CA6" i="6" a="1"/>
  <c r="CA6" i="6" s="1"/>
  <c r="BZ6" i="6" a="1"/>
  <c r="BZ6" i="6" s="1"/>
  <c r="BW6" i="6" a="1"/>
  <c r="BW6" i="6" s="1"/>
  <c r="BV6" i="6" a="1"/>
  <c r="BV6" i="6" s="1"/>
  <c r="BU6" i="6" a="1"/>
  <c r="BU6" i="6" s="1"/>
  <c r="BR6" i="6" a="1"/>
  <c r="BR6" i="6" s="1"/>
  <c r="BQ6" i="6" a="1"/>
  <c r="BQ6" i="6" s="1"/>
  <c r="BP6" i="6" a="1"/>
  <c r="BP6" i="6" s="1"/>
  <c r="BM6" i="6" a="1"/>
  <c r="BM6" i="6" s="1"/>
  <c r="BL6" i="6" a="1"/>
  <c r="BL6" i="6" s="1"/>
  <c r="BK6" i="6" a="1"/>
  <c r="BK6" i="6" s="1"/>
  <c r="BH6" i="6" a="1"/>
  <c r="BH6" i="6" s="1"/>
  <c r="BG6" i="6" a="1"/>
  <c r="BG6" i="6" s="1"/>
  <c r="BF6" i="6" a="1"/>
  <c r="BF6" i="6" s="1"/>
  <c r="BC6" i="6" a="1"/>
  <c r="BC6" i="6" s="1"/>
  <c r="BB6" i="6" a="1"/>
  <c r="BB6" i="6" s="1"/>
  <c r="BA6" i="6" a="1"/>
  <c r="BA6" i="6" s="1"/>
  <c r="AX6" i="6" a="1"/>
  <c r="AX6" i="6" s="1"/>
  <c r="AW6" i="6" a="1"/>
  <c r="AW6" i="6" s="1"/>
  <c r="AV6" i="6" a="1"/>
  <c r="AV6" i="6" s="1"/>
  <c r="AS6" i="6" a="1"/>
  <c r="AS6" i="6" s="1"/>
  <c r="AR6" i="6" a="1"/>
  <c r="AR6" i="6" s="1"/>
  <c r="AQ6" i="6" a="1"/>
  <c r="AQ6" i="6" s="1"/>
  <c r="AN6" i="6" a="1"/>
  <c r="AN6" i="6" s="1"/>
  <c r="AM6" i="6" a="1"/>
  <c r="AM6" i="6" s="1"/>
  <c r="AL6" i="6" a="1"/>
  <c r="AL6" i="6" s="1"/>
  <c r="AI6" i="6" a="1"/>
  <c r="AI6" i="6" s="1"/>
  <c r="AH6" i="6" a="1"/>
  <c r="AH6" i="6" s="1"/>
  <c r="AG6" i="6" a="1"/>
  <c r="AG6" i="6" s="1"/>
  <c r="AD6" i="6" a="1"/>
  <c r="AD6" i="6" s="1"/>
  <c r="AC6" i="6" a="1"/>
  <c r="AC6" i="6" s="1"/>
  <c r="AB6" i="6" a="1"/>
  <c r="AB6" i="6" s="1"/>
  <c r="O6" i="6" a="1"/>
  <c r="O6" i="6" s="1"/>
  <c r="N6" i="6" a="1"/>
  <c r="N6" i="6" s="1"/>
  <c r="M6" i="6" a="1"/>
  <c r="M6" i="6" s="1"/>
  <c r="J6" i="6" a="1"/>
  <c r="J6" i="6" s="1"/>
  <c r="I6" i="6" a="1"/>
  <c r="I6" i="6" s="1"/>
  <c r="H6" i="6" a="1"/>
  <c r="H6" i="6" s="1"/>
  <c r="E6" i="6" a="1"/>
  <c r="E6" i="6" s="1"/>
  <c r="D6" i="6"/>
  <c r="C6" i="6"/>
  <c r="B6" i="6" a="1"/>
  <c r="B6" i="6" s="1"/>
  <c r="CL5" i="6" a="1"/>
  <c r="CL5" i="6" s="1"/>
  <c r="CK5" i="6" a="1"/>
  <c r="CK5" i="6" s="1"/>
  <c r="CJ5" i="6" a="1"/>
  <c r="CJ5" i="6" s="1"/>
  <c r="CG5" i="6" a="1"/>
  <c r="CG5" i="6" s="1"/>
  <c r="CF5" i="6" a="1"/>
  <c r="CF5" i="6" s="1"/>
  <c r="CE5" i="6" a="1"/>
  <c r="CE5" i="6" s="1"/>
  <c r="CB5" i="6" a="1"/>
  <c r="CB5" i="6" s="1"/>
  <c r="CA5" i="6" a="1"/>
  <c r="CA5" i="6" s="1"/>
  <c r="BZ5" i="6" a="1"/>
  <c r="BZ5" i="6" s="1"/>
  <c r="BW5" i="6" a="1"/>
  <c r="BW5" i="6" s="1"/>
  <c r="BV5" i="6" a="1"/>
  <c r="BV5" i="6" s="1"/>
  <c r="BU5" i="6" a="1"/>
  <c r="BU5" i="6" s="1"/>
  <c r="BR5" i="6" a="1"/>
  <c r="BR5" i="6" s="1"/>
  <c r="BQ5" i="6" a="1"/>
  <c r="BQ5" i="6" s="1"/>
  <c r="BP5" i="6" a="1"/>
  <c r="BP5" i="6" s="1"/>
  <c r="BM5" i="6" a="1"/>
  <c r="BM5" i="6" s="1"/>
  <c r="BL5" i="6" a="1"/>
  <c r="BL5" i="6" s="1"/>
  <c r="BK5" i="6" a="1"/>
  <c r="BK5" i="6" s="1"/>
  <c r="BH5" i="6" a="1"/>
  <c r="BH5" i="6" s="1"/>
  <c r="BG5" i="6" a="1"/>
  <c r="BG5" i="6" s="1"/>
  <c r="BF5" i="6" a="1"/>
  <c r="BF5" i="6" s="1"/>
  <c r="BC5" i="6" a="1"/>
  <c r="BC5" i="6" s="1"/>
  <c r="BB5" i="6" a="1"/>
  <c r="BB5" i="6" s="1"/>
  <c r="BA5" i="6" a="1"/>
  <c r="BA5" i="6" s="1"/>
  <c r="AX5" i="6" a="1"/>
  <c r="AX5" i="6" s="1"/>
  <c r="AW5" i="6" a="1"/>
  <c r="AW5" i="6" s="1"/>
  <c r="AV5" i="6" a="1"/>
  <c r="AV5" i="6" s="1"/>
  <c r="AS5" i="6" a="1"/>
  <c r="AS5" i="6" s="1"/>
  <c r="AR5" i="6" a="1"/>
  <c r="AR5" i="6" s="1"/>
  <c r="AQ5" i="6" a="1"/>
  <c r="AQ5" i="6" s="1"/>
  <c r="AN5" i="6" a="1"/>
  <c r="AN5" i="6" s="1"/>
  <c r="AM5" i="6" a="1"/>
  <c r="AM5" i="6" s="1"/>
  <c r="AL5" i="6" a="1"/>
  <c r="AL5" i="6" s="1"/>
  <c r="AI5" i="6" a="1"/>
  <c r="AI5" i="6" s="1"/>
  <c r="AH5" i="6" a="1"/>
  <c r="AH5" i="6" s="1"/>
  <c r="AG5" i="6" a="1"/>
  <c r="AG5" i="6" s="1"/>
  <c r="AD5" i="6" a="1"/>
  <c r="AD5" i="6" s="1"/>
  <c r="AC5" i="6" a="1"/>
  <c r="AC5" i="6" s="1"/>
  <c r="AB5" i="6" a="1"/>
  <c r="AB5" i="6" s="1"/>
  <c r="O5" i="6" a="1"/>
  <c r="O5" i="6" s="1"/>
  <c r="N5" i="6" a="1"/>
  <c r="N5" i="6" s="1"/>
  <c r="M5" i="6" a="1"/>
  <c r="M5" i="6" s="1"/>
  <c r="J5" i="6" a="1"/>
  <c r="J5" i="6" s="1"/>
  <c r="I5" i="6" a="1"/>
  <c r="I5" i="6" s="1"/>
  <c r="H5" i="6" a="1"/>
  <c r="H5" i="6" s="1"/>
  <c r="E5" i="6" a="1"/>
  <c r="E5" i="6" s="1"/>
  <c r="D5" i="6"/>
  <c r="C5" i="6"/>
  <c r="B5" i="6" a="1"/>
  <c r="B5" i="6" s="1"/>
  <c r="CL4" i="6" a="1"/>
  <c r="CL4" i="6" s="1"/>
  <c r="CK4" i="6" a="1"/>
  <c r="CK4" i="6" s="1"/>
  <c r="CJ4" i="6" a="1"/>
  <c r="CJ4" i="6" s="1"/>
  <c r="CG4" i="6" a="1"/>
  <c r="CG4" i="6" s="1"/>
  <c r="CF4" i="6" a="1"/>
  <c r="CF4" i="6" s="1"/>
  <c r="CE4" i="6" a="1"/>
  <c r="CE4" i="6" s="1"/>
  <c r="CB4" i="6" a="1"/>
  <c r="CB4" i="6" s="1"/>
  <c r="CA4" i="6" a="1"/>
  <c r="CA4" i="6" s="1"/>
  <c r="BZ4" i="6" a="1"/>
  <c r="BZ4" i="6" s="1"/>
  <c r="BW4" i="6" a="1"/>
  <c r="BW4" i="6" s="1"/>
  <c r="BV4" i="6" a="1"/>
  <c r="BV4" i="6" s="1"/>
  <c r="BU4" i="6" a="1"/>
  <c r="BU4" i="6" s="1"/>
  <c r="BR4" i="6" a="1"/>
  <c r="BR4" i="6" s="1"/>
  <c r="BQ4" i="6" a="1"/>
  <c r="BQ4" i="6" s="1"/>
  <c r="BP4" i="6" a="1"/>
  <c r="BP4" i="6" s="1"/>
  <c r="BM4" i="6" a="1"/>
  <c r="BM4" i="6" s="1"/>
  <c r="BL4" i="6" a="1"/>
  <c r="BL4" i="6" s="1"/>
  <c r="BK4" i="6" a="1"/>
  <c r="BK4" i="6" s="1"/>
  <c r="BH4" i="6" a="1"/>
  <c r="BH4" i="6" s="1"/>
  <c r="BG4" i="6" a="1"/>
  <c r="BG4" i="6" s="1"/>
  <c r="BF4" i="6" a="1"/>
  <c r="BF4" i="6" s="1"/>
  <c r="BC4" i="6" a="1"/>
  <c r="BC4" i="6" s="1"/>
  <c r="BB4" i="6" a="1"/>
  <c r="BB4" i="6" s="1"/>
  <c r="BA4" i="6" a="1"/>
  <c r="BA4" i="6" s="1"/>
  <c r="AX4" i="6" a="1"/>
  <c r="AX4" i="6" s="1"/>
  <c r="AW4" i="6" a="1"/>
  <c r="AW4" i="6" s="1"/>
  <c r="AV4" i="6" a="1"/>
  <c r="AV4" i="6" s="1"/>
  <c r="AS4" i="6" a="1"/>
  <c r="AS4" i="6" s="1"/>
  <c r="AR4" i="6" a="1"/>
  <c r="AR4" i="6" s="1"/>
  <c r="AQ4" i="6" a="1"/>
  <c r="AQ4" i="6" s="1"/>
  <c r="AN4" i="6" a="1"/>
  <c r="AN4" i="6" s="1"/>
  <c r="AM4" i="6" a="1"/>
  <c r="AM4" i="6" s="1"/>
  <c r="AL4" i="6" a="1"/>
  <c r="AL4" i="6" s="1"/>
  <c r="AI4" i="6" a="1"/>
  <c r="AI4" i="6" s="1"/>
  <c r="AH4" i="6" a="1"/>
  <c r="AH4" i="6" s="1"/>
  <c r="AG4" i="6" a="1"/>
  <c r="AG4" i="6" s="1"/>
  <c r="AD4" i="6" a="1"/>
  <c r="AD4" i="6" s="1"/>
  <c r="AC4" i="6" a="1"/>
  <c r="AC4" i="6" s="1"/>
  <c r="AB4" i="6" a="1"/>
  <c r="AB4" i="6" s="1"/>
  <c r="O4" i="6" a="1"/>
  <c r="O4" i="6" s="1"/>
  <c r="N4" i="6" a="1"/>
  <c r="N4" i="6" s="1"/>
  <c r="M4" i="6" a="1"/>
  <c r="M4" i="6" s="1"/>
  <c r="J4" i="6" a="1"/>
  <c r="J4" i="6" s="1"/>
  <c r="I4" i="6" a="1"/>
  <c r="I4" i="6" s="1"/>
  <c r="H4" i="6" a="1"/>
  <c r="H4" i="6" s="1"/>
  <c r="E4" i="6" a="1"/>
  <c r="E4" i="6" s="1"/>
  <c r="D4" i="6"/>
  <c r="C4" i="6"/>
  <c r="B4" i="6" a="1"/>
  <c r="B4" i="6" s="1"/>
  <c r="CL3" i="6" a="1"/>
  <c r="CL3" i="6" s="1"/>
  <c r="CK3" i="6" a="1"/>
  <c r="CK3" i="6" s="1"/>
  <c r="CJ3" i="6" a="1"/>
  <c r="CJ3" i="6" s="1"/>
  <c r="CG3" i="6" a="1"/>
  <c r="CG3" i="6" s="1"/>
  <c r="CF3" i="6" a="1"/>
  <c r="CF3" i="6" s="1"/>
  <c r="CE3" i="6" a="1"/>
  <c r="CE3" i="6" s="1"/>
  <c r="CB3" i="6" a="1"/>
  <c r="CB3" i="6" s="1"/>
  <c r="CA3" i="6" a="1"/>
  <c r="CA3" i="6" s="1"/>
  <c r="BZ3" i="6" a="1"/>
  <c r="BZ3" i="6" s="1"/>
  <c r="BW3" i="6" a="1"/>
  <c r="BW3" i="6" s="1"/>
  <c r="BV3" i="6" a="1"/>
  <c r="BV3" i="6" s="1"/>
  <c r="BU3" i="6" a="1"/>
  <c r="BU3" i="6" s="1"/>
  <c r="BR3" i="6" a="1"/>
  <c r="BR3" i="6" s="1"/>
  <c r="BQ3" i="6" a="1"/>
  <c r="BQ3" i="6" s="1"/>
  <c r="BP3" i="6" a="1"/>
  <c r="BP3" i="6" s="1"/>
  <c r="BM3" i="6" a="1"/>
  <c r="BM3" i="6" s="1"/>
  <c r="BL3" i="6" a="1"/>
  <c r="BL3" i="6" s="1"/>
  <c r="BK3" i="6" a="1"/>
  <c r="BK3" i="6" s="1"/>
  <c r="BH3" i="6" a="1"/>
  <c r="BH3" i="6" s="1"/>
  <c r="BG3" i="6" a="1"/>
  <c r="BG3" i="6" s="1"/>
  <c r="BF3" i="6" a="1"/>
  <c r="BF3" i="6" s="1"/>
  <c r="BC3" i="6" a="1"/>
  <c r="BC3" i="6" s="1"/>
  <c r="BB3" i="6" a="1"/>
  <c r="BB3" i="6" s="1"/>
  <c r="BA3" i="6" a="1"/>
  <c r="BA3" i="6" s="1"/>
  <c r="AX3" i="6" a="1"/>
  <c r="AX3" i="6" s="1"/>
  <c r="AW3" i="6" a="1"/>
  <c r="AW3" i="6" s="1"/>
  <c r="AV3" i="6" a="1"/>
  <c r="AV3" i="6" s="1"/>
  <c r="AS3" i="6" a="1"/>
  <c r="AS3" i="6" s="1"/>
  <c r="AR3" i="6" a="1"/>
  <c r="AR3" i="6" s="1"/>
  <c r="AQ3" i="6" a="1"/>
  <c r="AQ3" i="6" s="1"/>
  <c r="AN3" i="6" a="1"/>
  <c r="AN3" i="6" s="1"/>
  <c r="AM3" i="6" a="1"/>
  <c r="AM3" i="6" s="1"/>
  <c r="AL3" i="6" a="1"/>
  <c r="AL3" i="6" s="1"/>
  <c r="AI3" i="6" a="1"/>
  <c r="AI3" i="6" s="1"/>
  <c r="AH3" i="6" a="1"/>
  <c r="AH3" i="6" s="1"/>
  <c r="AG3" i="6" a="1"/>
  <c r="AG3" i="6" s="1"/>
  <c r="AD3" i="6" a="1"/>
  <c r="AD3" i="6" s="1"/>
  <c r="AC3" i="6" a="1"/>
  <c r="AC3" i="6" s="1"/>
  <c r="AB3" i="6" a="1"/>
  <c r="AB3" i="6" s="1"/>
  <c r="O3" i="6" a="1"/>
  <c r="O3" i="6" s="1"/>
  <c r="N3" i="6" a="1"/>
  <c r="N3" i="6" s="1"/>
  <c r="M3" i="6" a="1"/>
  <c r="M3" i="6" s="1"/>
  <c r="J3" i="6" a="1"/>
  <c r="J3" i="6" s="1"/>
  <c r="I3" i="6" a="1"/>
  <c r="I3" i="6" s="1"/>
  <c r="H3" i="6" a="1"/>
  <c r="H3" i="6" s="1"/>
  <c r="E3" i="6" a="1"/>
  <c r="E3" i="6" s="1"/>
  <c r="D3" i="6"/>
  <c r="C3" i="6"/>
  <c r="B3" i="6"/>
  <c r="B3" i="6" a="1"/>
  <c r="CL2" i="6" a="1"/>
  <c r="CL2" i="6" s="1"/>
  <c r="CK2" i="6" a="1"/>
  <c r="CK2" i="6" s="1"/>
  <c r="CJ2" i="6" a="1"/>
  <c r="CJ2" i="6" s="1"/>
  <c r="CG2" i="6" a="1"/>
  <c r="CG2" i="6" s="1"/>
  <c r="CF2" i="6" a="1"/>
  <c r="CF2" i="6" s="1"/>
  <c r="CE2" i="6" a="1"/>
  <c r="CE2" i="6" s="1"/>
  <c r="CB2" i="6" a="1"/>
  <c r="CB2" i="6" s="1"/>
  <c r="CA2" i="6" a="1"/>
  <c r="CA2" i="6" s="1"/>
  <c r="BZ2" i="6" a="1"/>
  <c r="BZ2" i="6" s="1"/>
  <c r="BW2" i="6" a="1"/>
  <c r="BW2" i="6" s="1"/>
  <c r="BV2" i="6" a="1"/>
  <c r="BV2" i="6" s="1"/>
  <c r="BU2" i="6" a="1"/>
  <c r="BU2" i="6" s="1"/>
  <c r="BR2" i="6" a="1"/>
  <c r="BR2" i="6" s="1"/>
  <c r="BQ2" i="6" a="1"/>
  <c r="BQ2" i="6" s="1"/>
  <c r="BP2" i="6" a="1"/>
  <c r="BP2" i="6" s="1"/>
  <c r="BM2" i="6" a="1"/>
  <c r="BM2" i="6" s="1"/>
  <c r="BL2" i="6" a="1"/>
  <c r="BL2" i="6" s="1"/>
  <c r="BK2" i="6" a="1"/>
  <c r="BK2" i="6" s="1"/>
  <c r="BH2" i="6" a="1"/>
  <c r="BH2" i="6" s="1"/>
  <c r="BG2" i="6" a="1"/>
  <c r="BG2" i="6" s="1"/>
  <c r="BF2" i="6" a="1"/>
  <c r="BF2" i="6" s="1"/>
  <c r="BC2" i="6" a="1"/>
  <c r="BC2" i="6" s="1"/>
  <c r="BB2" i="6" a="1"/>
  <c r="BB2" i="6" s="1"/>
  <c r="BA2" i="6" a="1"/>
  <c r="BA2" i="6" s="1"/>
  <c r="AX2" i="6" a="1"/>
  <c r="AX2" i="6" s="1"/>
  <c r="AW2" i="6" a="1"/>
  <c r="AW2" i="6" s="1"/>
  <c r="AV2" i="6" a="1"/>
  <c r="AV2" i="6" s="1"/>
  <c r="AS2" i="6" a="1"/>
  <c r="AS2" i="6" s="1"/>
  <c r="AR2" i="6" a="1"/>
  <c r="AR2" i="6" s="1"/>
  <c r="AQ2" i="6" a="1"/>
  <c r="AQ2" i="6" s="1"/>
  <c r="AN2" i="6" a="1"/>
  <c r="AN2" i="6" s="1"/>
  <c r="AM2" i="6" a="1"/>
  <c r="AM2" i="6" s="1"/>
  <c r="AL2" i="6" a="1"/>
  <c r="AL2" i="6" s="1"/>
  <c r="AI2" i="6" a="1"/>
  <c r="AI2" i="6" s="1"/>
  <c r="AH2" i="6" a="1"/>
  <c r="AH2" i="6" s="1"/>
  <c r="AG2" i="6" a="1"/>
  <c r="AG2" i="6" s="1"/>
  <c r="AD2" i="6" a="1"/>
  <c r="AD2" i="6" s="1"/>
  <c r="AC2" i="6" a="1"/>
  <c r="AC2" i="6" s="1"/>
  <c r="AB2" i="6" a="1"/>
  <c r="AB2" i="6" s="1"/>
  <c r="Y2" i="6" a="1"/>
  <c r="Y2" i="6" s="1"/>
  <c r="Y22" i="6" s="1"/>
  <c r="Y30" i="6" s="1"/>
  <c r="X2" i="6" a="1"/>
  <c r="X2" i="6" s="1"/>
  <c r="X22" i="6" s="1"/>
  <c r="X30" i="6" s="1"/>
  <c r="W2" i="6" a="1"/>
  <c r="W2" i="6" s="1"/>
  <c r="W22" i="6" s="1"/>
  <c r="W30" i="6" s="1"/>
  <c r="T2" i="6" a="1"/>
  <c r="T2" i="6" s="1"/>
  <c r="T22" i="6" s="1"/>
  <c r="T30" i="6" s="1"/>
  <c r="S2" i="6" a="1"/>
  <c r="S2" i="6" s="1"/>
  <c r="S22" i="6" s="1"/>
  <c r="S30" i="6" s="1"/>
  <c r="R2" i="6" a="1"/>
  <c r="R2" i="6" s="1"/>
  <c r="R22" i="6" s="1"/>
  <c r="R30" i="6" s="1"/>
  <c r="O2" i="6" a="1"/>
  <c r="O2" i="6" s="1"/>
  <c r="N2" i="6" a="1"/>
  <c r="N2" i="6" s="1"/>
  <c r="M2" i="6" a="1"/>
  <c r="M2" i="6" s="1"/>
  <c r="J2" i="6" a="1"/>
  <c r="J2" i="6" s="1"/>
  <c r="I2" i="6" a="1"/>
  <c r="I2" i="6" s="1"/>
  <c r="H2" i="6" a="1"/>
  <c r="H2" i="6" s="1"/>
  <c r="E2" i="6" a="1"/>
  <c r="E2" i="6" s="1"/>
  <c r="D2" i="6"/>
  <c r="C2" i="6"/>
  <c r="B2" i="6" a="1"/>
  <c r="B2" i="6" s="1"/>
  <c r="B23" i="6" s="1"/>
  <c r="Y29" i="6"/>
  <c r="X29" i="6"/>
  <c r="W29" i="6"/>
  <c r="T29" i="6"/>
  <c r="S29" i="6"/>
  <c r="R29" i="6"/>
  <c r="Y28" i="6"/>
  <c r="X28" i="6"/>
  <c r="W28" i="6"/>
  <c r="T28" i="6"/>
  <c r="S28" i="6"/>
  <c r="R28" i="6"/>
  <c r="Y27" i="6"/>
  <c r="X27" i="6"/>
  <c r="W27" i="6"/>
  <c r="T27" i="6"/>
  <c r="S27" i="6"/>
  <c r="R27" i="6"/>
  <c r="Y26" i="6"/>
  <c r="X26" i="6"/>
  <c r="W26" i="6"/>
  <c r="T26" i="6"/>
  <c r="S26" i="6"/>
  <c r="R26" i="6"/>
  <c r="Y25" i="6"/>
  <c r="X25" i="6"/>
  <c r="W25" i="6"/>
  <c r="T25" i="6"/>
  <c r="S25" i="6"/>
  <c r="R25" i="6"/>
  <c r="Y24" i="6"/>
  <c r="X24" i="6"/>
  <c r="W24" i="6"/>
  <c r="T24" i="6"/>
  <c r="S24" i="6"/>
  <c r="R24" i="6"/>
  <c r="Y23" i="6"/>
  <c r="Y31" i="6" s="1"/>
  <c r="X23" i="6"/>
  <c r="W23" i="6"/>
  <c r="W31" i="6" s="1"/>
  <c r="T23" i="6"/>
  <c r="T31" i="6" s="1"/>
  <c r="S23" i="6"/>
  <c r="S31" i="6" s="1"/>
  <c r="R23" i="6"/>
  <c r="R31" i="6" s="1"/>
  <c r="A3" i="6"/>
  <c r="A4" i="6" s="1"/>
  <c r="AB21" i="6" l="1" a="1"/>
  <c r="AB21" i="6" s="1"/>
  <c r="BU22" i="6"/>
  <c r="BM22" i="6"/>
  <c r="A5" i="6"/>
  <c r="CL22" i="6"/>
  <c r="AN22" i="6"/>
  <c r="BC22" i="6"/>
  <c r="BF22" i="6"/>
  <c r="N22" i="6"/>
  <c r="AG22" i="6"/>
  <c r="AX22" i="6"/>
  <c r="CE22" i="6"/>
  <c r="H22" i="6"/>
  <c r="AH22" i="6"/>
  <c r="BP22" i="6"/>
  <c r="BA22" i="6"/>
  <c r="CF22" i="6"/>
  <c r="X31" i="6"/>
  <c r="E22" i="6"/>
  <c r="AL22" i="6"/>
  <c r="BQ22" i="6"/>
  <c r="I22" i="6"/>
  <c r="J22" i="6"/>
  <c r="BB22" i="6"/>
  <c r="CG22" i="6"/>
  <c r="AM22" i="6"/>
  <c r="BR22" i="6"/>
  <c r="CJ22" i="6"/>
  <c r="O22" i="6"/>
  <c r="BV22" i="6"/>
  <c r="AQ22" i="6"/>
  <c r="AW22" i="6"/>
  <c r="CK22" i="6"/>
  <c r="BW22" i="6"/>
  <c r="BK22" i="6"/>
  <c r="AI22" i="6"/>
  <c r="M22" i="6"/>
  <c r="AB22" i="6"/>
  <c r="BG22" i="6"/>
  <c r="BZ22" i="6"/>
  <c r="AR22" i="6"/>
  <c r="BH22" i="6"/>
  <c r="AC22" i="6"/>
  <c r="CA22" i="6"/>
  <c r="B22" i="6"/>
  <c r="C22" i="6"/>
  <c r="AS22" i="6"/>
  <c r="BL22" i="6"/>
  <c r="D22" i="6"/>
  <c r="AD22" i="6"/>
  <c r="AV22" i="6"/>
  <c r="CB22" i="6"/>
  <c r="A6" i="6" l="1"/>
  <c r="CG23" i="6" l="1"/>
  <c r="BG23" i="6"/>
  <c r="I23" i="6"/>
  <c r="BF23" i="6"/>
  <c r="AR23" i="6"/>
  <c r="AD23" i="6"/>
  <c r="BP23" i="6"/>
  <c r="AI23" i="6"/>
  <c r="BM23" i="6"/>
  <c r="E23" i="6"/>
  <c r="CB23" i="6"/>
  <c r="AW23" i="6"/>
  <c r="D23" i="6"/>
  <c r="BL23" i="6"/>
  <c r="BZ23" i="6"/>
  <c r="A7" i="6"/>
  <c r="BH23" i="6"/>
  <c r="AQ23" i="6"/>
  <c r="BW23" i="6"/>
  <c r="O23" i="6"/>
  <c r="CL23" i="6"/>
  <c r="AN23" i="6"/>
  <c r="BV23" i="6"/>
  <c r="CK23" i="6"/>
  <c r="CJ23" i="6"/>
  <c r="BQ23" i="6"/>
  <c r="AL23" i="6"/>
  <c r="BA23" i="6"/>
  <c r="J23" i="6"/>
  <c r="AG23" i="6"/>
  <c r="CF23" i="6"/>
  <c r="M23" i="6"/>
  <c r="AB23" i="6"/>
  <c r="BB23" i="6"/>
  <c r="AX23" i="6"/>
  <c r="AM23" i="6"/>
  <c r="CE23" i="6"/>
  <c r="BR23" i="6"/>
  <c r="BK23" i="6"/>
  <c r="AH23" i="6"/>
  <c r="N23" i="6"/>
  <c r="AC23" i="6"/>
  <c r="AV23" i="6"/>
  <c r="AS23" i="6"/>
  <c r="BC23" i="6"/>
  <c r="H23" i="6"/>
  <c r="BU23" i="6"/>
  <c r="CA23" i="6"/>
  <c r="C23" i="6"/>
  <c r="A8" i="6" l="1"/>
  <c r="B24" i="6" l="1"/>
  <c r="B25" i="6"/>
  <c r="A9" i="6"/>
  <c r="CG24" i="6" l="1"/>
  <c r="BU24" i="6"/>
  <c r="BG24" i="6"/>
  <c r="AS24" i="6"/>
  <c r="AG24" i="6"/>
  <c r="I24" i="6"/>
  <c r="CB24" i="6"/>
  <c r="BM24" i="6"/>
  <c r="AX24" i="6"/>
  <c r="M24" i="6"/>
  <c r="AI24" i="6"/>
  <c r="CA24" i="6"/>
  <c r="BL24" i="6"/>
  <c r="AW24" i="6"/>
  <c r="J24" i="6"/>
  <c r="AH24" i="6"/>
  <c r="BW24" i="6"/>
  <c r="BC24" i="6"/>
  <c r="BV24" i="6"/>
  <c r="AL24" i="6"/>
  <c r="E24" i="6"/>
  <c r="A10" i="6"/>
  <c r="BB24" i="6"/>
  <c r="D24" i="6"/>
  <c r="C24" i="6"/>
  <c r="CL24" i="6"/>
  <c r="BR24" i="6"/>
  <c r="BA24" i="6"/>
  <c r="AD24" i="6"/>
  <c r="CK24" i="6"/>
  <c r="BQ24" i="6"/>
  <c r="AV24" i="6"/>
  <c r="AC24" i="6"/>
  <c r="CJ24" i="6"/>
  <c r="BP24" i="6"/>
  <c r="AB24" i="6"/>
  <c r="AR24" i="6"/>
  <c r="CF24" i="6"/>
  <c r="BK24" i="6"/>
  <c r="O24" i="6"/>
  <c r="BH24" i="6"/>
  <c r="AQ24" i="6"/>
  <c r="CE24" i="6"/>
  <c r="N24" i="6"/>
  <c r="AN24" i="6"/>
  <c r="BZ24" i="6"/>
  <c r="BF24" i="6"/>
  <c r="AM24" i="6"/>
  <c r="H24" i="6"/>
  <c r="A11" i="6" l="1"/>
  <c r="CG25" i="6" l="1"/>
  <c r="BG25" i="6"/>
  <c r="CF25" i="6"/>
  <c r="BF25" i="6"/>
  <c r="AR25" i="6"/>
  <c r="H25" i="6"/>
  <c r="BK25" i="6"/>
  <c r="A12" i="6"/>
  <c r="BW25" i="6"/>
  <c r="O25" i="6"/>
  <c r="BC25" i="6"/>
  <c r="AX25" i="6"/>
  <c r="BQ25" i="6"/>
  <c r="AW25" i="6"/>
  <c r="CL25" i="6"/>
  <c r="BP25" i="6"/>
  <c r="CK25" i="6"/>
  <c r="AN25" i="6"/>
  <c r="BM25" i="6"/>
  <c r="AM25" i="6"/>
  <c r="CJ25" i="6"/>
  <c r="E25" i="6"/>
  <c r="BL25" i="6"/>
  <c r="AL25" i="6"/>
  <c r="D25" i="6"/>
  <c r="C25" i="6"/>
  <c r="CE25" i="6"/>
  <c r="AI25" i="6"/>
  <c r="CB25" i="6"/>
  <c r="BB25" i="6"/>
  <c r="AH25" i="6"/>
  <c r="CA25" i="6"/>
  <c r="BA25" i="6"/>
  <c r="AC25" i="6"/>
  <c r="I25" i="6"/>
  <c r="M25" i="6"/>
  <c r="N25" i="6"/>
  <c r="AS25" i="6"/>
  <c r="BZ25" i="6"/>
  <c r="BR25" i="6"/>
  <c r="J25" i="6"/>
  <c r="AD25" i="6"/>
  <c r="BU25" i="6"/>
  <c r="AV25" i="6"/>
  <c r="AG25" i="6"/>
  <c r="AB25" i="6"/>
  <c r="BH25" i="6"/>
  <c r="AQ25" i="6"/>
  <c r="BV25" i="6"/>
  <c r="A13" i="6" l="1"/>
  <c r="A14" i="6" l="1"/>
  <c r="B27" i="6"/>
  <c r="B26" i="6"/>
  <c r="CE26" i="6" l="1"/>
  <c r="BQ26" i="6"/>
  <c r="BC26" i="6"/>
  <c r="AQ26" i="6"/>
  <c r="AC26" i="6"/>
  <c r="E26" i="6"/>
  <c r="D26" i="6"/>
  <c r="A15" i="6"/>
  <c r="BH26" i="6"/>
  <c r="AB26" i="6"/>
  <c r="BW26" i="6"/>
  <c r="AR26" i="6"/>
  <c r="O26" i="6"/>
  <c r="BV26" i="6"/>
  <c r="AN26" i="6"/>
  <c r="N26" i="6"/>
  <c r="BM26" i="6"/>
  <c r="AV26" i="6"/>
  <c r="CG26" i="6"/>
  <c r="BL26" i="6"/>
  <c r="AS26" i="6"/>
  <c r="M26" i="6"/>
  <c r="CF26" i="6"/>
  <c r="CB26" i="6"/>
  <c r="CA26" i="6"/>
  <c r="BG26" i="6"/>
  <c r="AL26" i="6"/>
  <c r="I26" i="6"/>
  <c r="AM26" i="6"/>
  <c r="BU26" i="6"/>
  <c r="AI26" i="6"/>
  <c r="BR26" i="6"/>
  <c r="AH26" i="6"/>
  <c r="BP26" i="6"/>
  <c r="BK26" i="6"/>
  <c r="AG26" i="6"/>
  <c r="BF26" i="6"/>
  <c r="CL26" i="6"/>
  <c r="AD26" i="6"/>
  <c r="CK26" i="6"/>
  <c r="BB26" i="6"/>
  <c r="BA26" i="6"/>
  <c r="J26" i="6"/>
  <c r="CJ26" i="6"/>
  <c r="AX26" i="6"/>
  <c r="H26" i="6"/>
  <c r="BZ26" i="6"/>
  <c r="AW26" i="6"/>
  <c r="C26" i="6"/>
  <c r="A16" i="6" l="1"/>
  <c r="AS27" i="6" l="1"/>
  <c r="A17" i="6"/>
  <c r="AV27" i="6"/>
  <c r="CG27" i="6"/>
  <c r="BM27" i="6"/>
  <c r="BL27" i="6"/>
  <c r="CF27" i="6"/>
  <c r="CE27" i="6"/>
  <c r="AM27" i="6"/>
  <c r="AL27" i="6"/>
  <c r="AI27" i="6"/>
  <c r="BR27" i="6"/>
  <c r="AH27" i="6"/>
  <c r="BH27" i="6"/>
  <c r="AG27" i="6"/>
  <c r="CL27" i="6"/>
  <c r="CK27" i="6"/>
  <c r="BC27" i="6"/>
  <c r="J27" i="6"/>
  <c r="CJ27" i="6"/>
  <c r="BA27" i="6"/>
  <c r="AX27" i="6"/>
  <c r="H27" i="6"/>
  <c r="AW27" i="6"/>
  <c r="E27" i="6"/>
  <c r="BF27" i="6"/>
  <c r="BV27" i="6"/>
  <c r="C27" i="6"/>
  <c r="BW27" i="6"/>
  <c r="N27" i="6"/>
  <c r="AB27" i="6"/>
  <c r="AN27" i="6"/>
  <c r="BG27" i="6"/>
  <c r="BB27" i="6"/>
  <c r="BP27" i="6"/>
  <c r="AC27" i="6"/>
  <c r="CB27" i="6"/>
  <c r="D27" i="6"/>
  <c r="AD27" i="6"/>
  <c r="BQ27" i="6"/>
  <c r="I27" i="6"/>
  <c r="BZ27" i="6"/>
  <c r="BK27" i="6"/>
  <c r="O27" i="6"/>
  <c r="AQ27" i="6"/>
  <c r="BU27" i="6"/>
  <c r="M27" i="6"/>
  <c r="AR27" i="6"/>
  <c r="CA27" i="6"/>
  <c r="A18" i="6" l="1"/>
  <c r="A19" i="6" l="1"/>
  <c r="B29" i="6"/>
  <c r="B28" i="6"/>
  <c r="CL28" i="6" l="1"/>
  <c r="CL30" i="6" s="1"/>
  <c r="BZ28" i="6"/>
  <c r="BZ30" i="6" s="1"/>
  <c r="BL28" i="6"/>
  <c r="BL30" i="6" s="1"/>
  <c r="AX28" i="6"/>
  <c r="AX30" i="6" s="1"/>
  <c r="AL28" i="6"/>
  <c r="AL30" i="6" s="1"/>
  <c r="N28" i="6"/>
  <c r="N30" i="6" s="1"/>
  <c r="CK28" i="6"/>
  <c r="CK30" i="6" s="1"/>
  <c r="BW28" i="6"/>
  <c r="BW30" i="6" s="1"/>
  <c r="BK28" i="6"/>
  <c r="BK30" i="6" s="1"/>
  <c r="AW28" i="6"/>
  <c r="AW30" i="6" s="1"/>
  <c r="AI28" i="6"/>
  <c r="AI30" i="6" s="1"/>
  <c r="M28" i="6"/>
  <c r="M30" i="6" s="1"/>
  <c r="BP28" i="6"/>
  <c r="BP30" i="6" s="1"/>
  <c r="H28" i="6"/>
  <c r="H30" i="6" s="1"/>
  <c r="CE28" i="6"/>
  <c r="CE30" i="6" s="1"/>
  <c r="AG28" i="6"/>
  <c r="AG30" i="6" s="1"/>
  <c r="CB28" i="6"/>
  <c r="CB30" i="6" s="1"/>
  <c r="AD28" i="6"/>
  <c r="AD30" i="6" s="1"/>
  <c r="D28" i="6"/>
  <c r="D30" i="6" s="1"/>
  <c r="CG28" i="6"/>
  <c r="CG30" i="6" s="1"/>
  <c r="BM28" i="6"/>
  <c r="BM30" i="6" s="1"/>
  <c r="AR28" i="6"/>
  <c r="AR30" i="6" s="1"/>
  <c r="O28" i="6"/>
  <c r="O30" i="6" s="1"/>
  <c r="CF28" i="6"/>
  <c r="CF30" i="6" s="1"/>
  <c r="BH28" i="6"/>
  <c r="BH30" i="6" s="1"/>
  <c r="AQ28" i="6"/>
  <c r="AQ30" i="6" s="1"/>
  <c r="BG28" i="6"/>
  <c r="BG30" i="6" s="1"/>
  <c r="AN28" i="6"/>
  <c r="AN30" i="6" s="1"/>
  <c r="CA28" i="6"/>
  <c r="CA30" i="6" s="1"/>
  <c r="I28" i="6"/>
  <c r="I30" i="6" s="1"/>
  <c r="E28" i="6"/>
  <c r="E30" i="6" s="1"/>
  <c r="AM28" i="6"/>
  <c r="AM30" i="6" s="1"/>
  <c r="BU28" i="6"/>
  <c r="BU30" i="6" s="1"/>
  <c r="AH28" i="6"/>
  <c r="AH30" i="6" s="1"/>
  <c r="BR28" i="6"/>
  <c r="BR30" i="6" s="1"/>
  <c r="BQ28" i="6"/>
  <c r="BQ30" i="6" s="1"/>
  <c r="AC28" i="6"/>
  <c r="AC30" i="6" s="1"/>
  <c r="BF28" i="6"/>
  <c r="BF30" i="6" s="1"/>
  <c r="AB28" i="6"/>
  <c r="AB30" i="6" s="1"/>
  <c r="BC28" i="6"/>
  <c r="BC30" i="6" s="1"/>
  <c r="J28" i="6"/>
  <c r="J30" i="6" s="1"/>
  <c r="A20" i="6"/>
  <c r="BB28" i="6"/>
  <c r="BB30" i="6" s="1"/>
  <c r="C28" i="6"/>
  <c r="C30" i="6" s="1"/>
  <c r="CJ28" i="6"/>
  <c r="CJ30" i="6" s="1"/>
  <c r="BA28" i="6"/>
  <c r="BA30" i="6" s="1"/>
  <c r="AV28" i="6"/>
  <c r="AV30" i="6" s="1"/>
  <c r="AS28" i="6"/>
  <c r="AS30" i="6" s="1"/>
  <c r="BV28" i="6"/>
  <c r="BV30" i="6" s="1"/>
  <c r="A21" i="6" l="1"/>
  <c r="CK29" i="6" l="1"/>
  <c r="CK31" i="6" s="1"/>
  <c r="BW29" i="6"/>
  <c r="BW31" i="6" s="1"/>
  <c r="AW29" i="6"/>
  <c r="AW31" i="6" s="1"/>
  <c r="AI29" i="6"/>
  <c r="AI31" i="6" s="1"/>
  <c r="M29" i="6"/>
  <c r="M31" i="6" s="1"/>
  <c r="CJ29" i="6"/>
  <c r="CJ31" i="6" s="1"/>
  <c r="BV29" i="6"/>
  <c r="BV31" i="6" s="1"/>
  <c r="BH29" i="6"/>
  <c r="BH31" i="6" s="1"/>
  <c r="AV29" i="6"/>
  <c r="AV31" i="6" s="1"/>
  <c r="AH29" i="6"/>
  <c r="AH31" i="6" s="1"/>
  <c r="BQ29" i="6"/>
  <c r="BQ31" i="6" s="1"/>
  <c r="AL29" i="6"/>
  <c r="AL31" i="6" s="1"/>
  <c r="I29" i="6"/>
  <c r="I31" i="6" s="1"/>
  <c r="CF29" i="6"/>
  <c r="CF31" i="6" s="1"/>
  <c r="BA29" i="6"/>
  <c r="BA31" i="6" s="1"/>
  <c r="AX29" i="6"/>
  <c r="AX31" i="6" s="1"/>
  <c r="AG29" i="6"/>
  <c r="AG31" i="6" s="1"/>
  <c r="BM29" i="6"/>
  <c r="BM31" i="6" s="1"/>
  <c r="CG29" i="6"/>
  <c r="CG31" i="6" s="1"/>
  <c r="AR29" i="6"/>
  <c r="AR31" i="6" s="1"/>
  <c r="O29" i="6"/>
  <c r="O31" i="6" s="1"/>
  <c r="AQ29" i="6"/>
  <c r="AQ31" i="6" s="1"/>
  <c r="N29" i="6"/>
  <c r="N31" i="6" s="1"/>
  <c r="BG29" i="6"/>
  <c r="BG31" i="6" s="1"/>
  <c r="AN29" i="6"/>
  <c r="AN31" i="6" s="1"/>
  <c r="CA29" i="6"/>
  <c r="CA31" i="6" s="1"/>
  <c r="H29" i="6"/>
  <c r="H31" i="6" s="1"/>
  <c r="D29" i="6"/>
  <c r="D31" i="6" s="1"/>
  <c r="BC29" i="6"/>
  <c r="BC31" i="6" s="1"/>
  <c r="BF29" i="6"/>
  <c r="BF31" i="6" s="1"/>
  <c r="E29" i="6"/>
  <c r="E31" i="6" s="1"/>
  <c r="BB29" i="6"/>
  <c r="BB31" i="6" s="1"/>
  <c r="C29" i="6"/>
  <c r="C31" i="6" s="1"/>
  <c r="A22" i="6"/>
  <c r="A23" i="6" s="1"/>
  <c r="A24" i="6" s="1"/>
  <c r="A25" i="6" s="1"/>
  <c r="A26" i="6" s="1"/>
  <c r="A27" i="6" s="1"/>
  <c r="A28" i="6" s="1"/>
  <c r="A29" i="6" s="1"/>
  <c r="A30" i="6" s="1"/>
  <c r="A31" i="6" s="1"/>
  <c r="CL29" i="6"/>
  <c r="CL31" i="6" s="1"/>
  <c r="AS29" i="6"/>
  <c r="AS31" i="6" s="1"/>
  <c r="CB29" i="6"/>
  <c r="CB31" i="6" s="1"/>
  <c r="AM29" i="6"/>
  <c r="AM31" i="6" s="1"/>
  <c r="BU29" i="6"/>
  <c r="BU31" i="6" s="1"/>
  <c r="AD29" i="6"/>
  <c r="AD31" i="6" s="1"/>
  <c r="BR29" i="6"/>
  <c r="BR31" i="6" s="1"/>
  <c r="AC29" i="6"/>
  <c r="AC31" i="6" s="1"/>
  <c r="BP29" i="6"/>
  <c r="BP31" i="6" s="1"/>
  <c r="AB29" i="6"/>
  <c r="AB31" i="6" s="1"/>
  <c r="CE29" i="6"/>
  <c r="CE31" i="6" s="1"/>
  <c r="BL29" i="6"/>
  <c r="BL31" i="6" s="1"/>
  <c r="J29" i="6"/>
  <c r="J31" i="6" s="1"/>
  <c r="BK29" i="6"/>
  <c r="BK31" i="6" s="1"/>
  <c r="BZ29" i="6"/>
  <c r="BZ31" i="6" s="1"/>
  <c r="B2" i="2" l="1" a="1"/>
  <c r="B2" i="2" s="1"/>
  <c r="C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F2" i="1"/>
  <c r="G19" i="2" l="1" a="1"/>
  <c r="G19" i="2" s="1"/>
  <c r="H2" i="2" a="1"/>
  <c r="H2" i="2" s="1"/>
  <c r="D3" i="2" a="1"/>
  <c r="D3" i="2" s="1"/>
  <c r="E3" i="2" a="1"/>
  <c r="E3" i="2" s="1"/>
  <c r="D6" i="2" a="1"/>
  <c r="D6" i="2" s="1"/>
  <c r="G8" i="2" a="1"/>
  <c r="G8" i="2" s="1"/>
  <c r="E12" i="2" a="1"/>
  <c r="E12" i="2" s="1"/>
  <c r="H14" i="2" a="1"/>
  <c r="H14" i="2" s="1"/>
  <c r="F18" i="2" a="1"/>
  <c r="F18" i="2" s="1"/>
  <c r="I20" i="2" a="1"/>
  <c r="I20" i="2" s="1"/>
  <c r="I4" i="2" a="1"/>
  <c r="I4" i="2" s="1"/>
  <c r="F7" i="2" a="1"/>
  <c r="F7" i="2" s="1"/>
  <c r="I9" i="2" a="1"/>
  <c r="I9" i="2" s="1"/>
  <c r="D11" i="2" a="1"/>
  <c r="D11" i="2" s="1"/>
  <c r="G13" i="2" a="1"/>
  <c r="G13" i="2" s="1"/>
  <c r="E17" i="2" a="1"/>
  <c r="E17" i="2" s="1"/>
  <c r="H19" i="2" a="1"/>
  <c r="H19" i="2" s="1"/>
  <c r="G3" i="2" a="1"/>
  <c r="G3" i="2" s="1"/>
  <c r="E6" i="2" a="1"/>
  <c r="E6" i="2" s="1"/>
  <c r="H8" i="2" a="1"/>
  <c r="H8" i="2" s="1"/>
  <c r="F12" i="2" a="1"/>
  <c r="F12" i="2" s="1"/>
  <c r="I14" i="2" a="1"/>
  <c r="I14" i="2" s="1"/>
  <c r="D16" i="2" a="1"/>
  <c r="D16" i="2" s="1"/>
  <c r="G18" i="2" a="1"/>
  <c r="G18" i="2" s="1"/>
  <c r="I2" i="2" a="1"/>
  <c r="I2" i="2" s="1"/>
  <c r="D5" i="2" a="1"/>
  <c r="D5" i="2" s="1"/>
  <c r="G7" i="2" a="1"/>
  <c r="G7" i="2" s="1"/>
  <c r="E11" i="2" a="1"/>
  <c r="E11" i="2" s="1"/>
  <c r="H13" i="2" a="1"/>
  <c r="H13" i="2" s="1"/>
  <c r="F17" i="2" a="1"/>
  <c r="F17" i="2" s="1"/>
  <c r="I19" i="2" a="1"/>
  <c r="I19" i="2" s="1"/>
  <c r="D21" i="2" a="1"/>
  <c r="D21" i="2" s="1"/>
  <c r="F3" i="2" a="1"/>
  <c r="F3" i="2" s="1"/>
  <c r="F6" i="2" a="1"/>
  <c r="F6" i="2" s="1"/>
  <c r="I8" i="2" a="1"/>
  <c r="I8" i="2" s="1"/>
  <c r="D10" i="2" a="1"/>
  <c r="D10" i="2" s="1"/>
  <c r="G12" i="2" a="1"/>
  <c r="G12" i="2" s="1"/>
  <c r="E16" i="2" a="1"/>
  <c r="E16" i="2" s="1"/>
  <c r="H18" i="2" a="1"/>
  <c r="H18" i="2" s="1"/>
  <c r="H3" i="2" a="1"/>
  <c r="H3" i="2" s="1"/>
  <c r="E5" i="2" a="1"/>
  <c r="E5" i="2" s="1"/>
  <c r="H7" i="2" a="1"/>
  <c r="H7" i="2" s="1"/>
  <c r="F11" i="2" a="1"/>
  <c r="F11" i="2" s="1"/>
  <c r="I13" i="2" a="1"/>
  <c r="I13" i="2" s="1"/>
  <c r="D15" i="2" a="1"/>
  <c r="D15" i="2" s="1"/>
  <c r="G17" i="2" a="1"/>
  <c r="G17" i="2" s="1"/>
  <c r="E21" i="2" a="1"/>
  <c r="E21" i="2" s="1"/>
  <c r="I3" i="2" a="1"/>
  <c r="I3" i="2" s="1"/>
  <c r="G6" i="2" a="1"/>
  <c r="G6" i="2" s="1"/>
  <c r="E10" i="2" a="1"/>
  <c r="E10" i="2" s="1"/>
  <c r="H12" i="2" a="1"/>
  <c r="H12" i="2" s="1"/>
  <c r="F16" i="2" a="1"/>
  <c r="F16" i="2" s="1"/>
  <c r="I18" i="2" a="1"/>
  <c r="I18" i="2" s="1"/>
  <c r="D20" i="2" a="1"/>
  <c r="D20" i="2" s="1"/>
  <c r="F5" i="2" a="1"/>
  <c r="F5" i="2" s="1"/>
  <c r="I7" i="2" a="1"/>
  <c r="I7" i="2" s="1"/>
  <c r="D9" i="2" a="1"/>
  <c r="D9" i="2" s="1"/>
  <c r="G11" i="2" a="1"/>
  <c r="G11" i="2" s="1"/>
  <c r="E15" i="2" a="1"/>
  <c r="E15" i="2" s="1"/>
  <c r="H17" i="2" a="1"/>
  <c r="H17" i="2" s="1"/>
  <c r="F21" i="2" a="1"/>
  <c r="F21" i="2" s="1"/>
  <c r="E2" i="2" a="1"/>
  <c r="E2" i="2" s="1"/>
  <c r="D4" i="2" a="1"/>
  <c r="D4" i="2" s="1"/>
  <c r="H6" i="2" a="1"/>
  <c r="H6" i="2" s="1"/>
  <c r="F10" i="2" a="1"/>
  <c r="F10" i="2" s="1"/>
  <c r="I12" i="2" a="1"/>
  <c r="I12" i="2" s="1"/>
  <c r="D14" i="2" a="1"/>
  <c r="D14" i="2" s="1"/>
  <c r="G16" i="2" a="1"/>
  <c r="G16" i="2" s="1"/>
  <c r="E20" i="2" a="1"/>
  <c r="E20" i="2" s="1"/>
  <c r="F2" i="2" a="1"/>
  <c r="F2" i="2" s="1"/>
  <c r="G5" i="2" a="1"/>
  <c r="G5" i="2" s="1"/>
  <c r="E9" i="2" a="1"/>
  <c r="E9" i="2" s="1"/>
  <c r="H11" i="2" a="1"/>
  <c r="H11" i="2" s="1"/>
  <c r="F15" i="2" a="1"/>
  <c r="F15" i="2" s="1"/>
  <c r="I17" i="2" a="1"/>
  <c r="I17" i="2" s="1"/>
  <c r="D19" i="2" a="1"/>
  <c r="D19" i="2" s="1"/>
  <c r="G21" i="2" a="1"/>
  <c r="G21" i="2" s="1"/>
  <c r="G2" i="2" a="1"/>
  <c r="G2" i="2" s="1"/>
  <c r="E4" i="2" a="1"/>
  <c r="E4" i="2" s="1"/>
  <c r="I6" i="2" a="1"/>
  <c r="I6" i="2" s="1"/>
  <c r="D8" i="2" a="1"/>
  <c r="D8" i="2" s="1"/>
  <c r="G10" i="2" a="1"/>
  <c r="G10" i="2" s="1"/>
  <c r="E14" i="2" a="1"/>
  <c r="E14" i="2" s="1"/>
  <c r="H16" i="2" a="1"/>
  <c r="H16" i="2" s="1"/>
  <c r="F20" i="2" a="1"/>
  <c r="F20" i="2" s="1"/>
  <c r="H5" i="2" a="1"/>
  <c r="H5" i="2" s="1"/>
  <c r="F9" i="2" a="1"/>
  <c r="F9" i="2" s="1"/>
  <c r="I11" i="2" a="1"/>
  <c r="I11" i="2" s="1"/>
  <c r="D13" i="2" a="1"/>
  <c r="D13" i="2" s="1"/>
  <c r="G15" i="2" a="1"/>
  <c r="G15" i="2" s="1"/>
  <c r="E19" i="2" a="1"/>
  <c r="E19" i="2" s="1"/>
  <c r="H21" i="2" a="1"/>
  <c r="H21" i="2" s="1"/>
  <c r="F4" i="2" a="1"/>
  <c r="F4" i="2" s="1"/>
  <c r="E8" i="2" a="1"/>
  <c r="E8" i="2" s="1"/>
  <c r="H10" i="2" a="1"/>
  <c r="H10" i="2" s="1"/>
  <c r="F14" i="2" a="1"/>
  <c r="F14" i="2" s="1"/>
  <c r="I16" i="2" a="1"/>
  <c r="I16" i="2" s="1"/>
  <c r="D18" i="2" a="1"/>
  <c r="D18" i="2" s="1"/>
  <c r="G20" i="2" a="1"/>
  <c r="G20" i="2" s="1"/>
  <c r="G4" i="2" a="1"/>
  <c r="G4" i="2" s="1"/>
  <c r="D7" i="2" a="1"/>
  <c r="D7" i="2" s="1"/>
  <c r="G9" i="2" a="1"/>
  <c r="G9" i="2" s="1"/>
  <c r="E13" i="2" a="1"/>
  <c r="E13" i="2" s="1"/>
  <c r="H15" i="2" a="1"/>
  <c r="H15" i="2" s="1"/>
  <c r="F19" i="2" a="1"/>
  <c r="F19" i="2" s="1"/>
  <c r="I21" i="2" a="1"/>
  <c r="I21" i="2" s="1"/>
  <c r="I5" i="2" a="1"/>
  <c r="I5" i="2" s="1"/>
  <c r="F8" i="2" a="1"/>
  <c r="F8" i="2" s="1"/>
  <c r="I10" i="2" a="1"/>
  <c r="I10" i="2" s="1"/>
  <c r="D12" i="2" a="1"/>
  <c r="D12" i="2" s="1"/>
  <c r="G14" i="2" a="1"/>
  <c r="G14" i="2" s="1"/>
  <c r="E18" i="2" a="1"/>
  <c r="E18" i="2" s="1"/>
  <c r="H20" i="2" a="1"/>
  <c r="H20" i="2" s="1"/>
  <c r="H4" i="2" a="1"/>
  <c r="H4" i="2" s="1"/>
  <c r="E7" i="2" a="1"/>
  <c r="E7" i="2" s="1"/>
  <c r="H9" i="2" a="1"/>
  <c r="H9" i="2" s="1"/>
  <c r="F13" i="2" a="1"/>
  <c r="F13" i="2" s="1"/>
  <c r="I15" i="2" a="1"/>
  <c r="I15" i="2" s="1"/>
  <c r="D17" i="2" a="1"/>
  <c r="D17" i="2" s="1"/>
  <c r="C22" i="2" l="1"/>
  <c r="D22" i="2" a="1"/>
  <c r="D22" i="2" s="1"/>
  <c r="E22" i="2" a="1"/>
  <c r="E22" i="2" s="1"/>
  <c r="F22" i="2" a="1"/>
  <c r="F22" i="2" s="1"/>
  <c r="G22" i="2" a="1"/>
  <c r="G22" i="2" s="1"/>
  <c r="H22" i="2" a="1"/>
  <c r="H22" i="2" s="1"/>
  <c r="I22" i="2" a="1"/>
  <c r="I22" i="2" s="1"/>
  <c r="C23" i="2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I23" i="2" a="1"/>
  <c r="I23" i="2" s="1"/>
  <c r="C24" i="2"/>
  <c r="D24" i="2" a="1"/>
  <c r="D24" i="2" s="1"/>
  <c r="E24" i="2" a="1"/>
  <c r="E24" i="2" s="1"/>
  <c r="F24" i="2" a="1"/>
  <c r="F24" i="2" s="1"/>
  <c r="G24" i="2" a="1"/>
  <c r="G24" i="2" s="1"/>
  <c r="H24" i="2" a="1"/>
  <c r="H24" i="2" s="1"/>
  <c r="I24" i="2" a="1"/>
  <c r="I24" i="2" s="1"/>
  <c r="C25" i="2"/>
  <c r="D25" i="2" a="1"/>
  <c r="D25" i="2" s="1"/>
  <c r="E25" i="2" a="1"/>
  <c r="E25" i="2" s="1"/>
  <c r="F25" i="2" a="1"/>
  <c r="F25" i="2" s="1"/>
  <c r="G25" i="2" a="1"/>
  <c r="G25" i="2" s="1"/>
  <c r="H25" i="2" a="1"/>
  <c r="H25" i="2" s="1"/>
  <c r="I25" i="2" a="1"/>
  <c r="I25" i="2" s="1"/>
  <c r="C26" i="2"/>
  <c r="D26" i="2" a="1"/>
  <c r="D26" i="2" s="1"/>
  <c r="E26" i="2" a="1"/>
  <c r="E26" i="2" s="1"/>
  <c r="F26" i="2" a="1"/>
  <c r="F26" i="2" s="1"/>
  <c r="G26" i="2" a="1"/>
  <c r="G26" i="2" s="1"/>
  <c r="H26" i="2" a="1"/>
  <c r="H26" i="2" s="1"/>
  <c r="I26" i="2" a="1"/>
  <c r="I26" i="2" s="1"/>
  <c r="C27" i="2"/>
  <c r="D27" i="2" a="1"/>
  <c r="D27" i="2" s="1"/>
  <c r="E27" i="2" a="1"/>
  <c r="E27" i="2" s="1"/>
  <c r="F27" i="2" a="1"/>
  <c r="F27" i="2" s="1"/>
  <c r="G27" i="2" a="1"/>
  <c r="G27" i="2" s="1"/>
  <c r="H27" i="2" a="1"/>
  <c r="H27" i="2" s="1"/>
  <c r="I27" i="2" a="1"/>
  <c r="I27" i="2" s="1"/>
  <c r="C28" i="2"/>
  <c r="D28" i="2" a="1"/>
  <c r="D28" i="2" s="1"/>
  <c r="E28" i="2" a="1"/>
  <c r="E28" i="2" s="1"/>
  <c r="F28" i="2" a="1"/>
  <c r="F28" i="2" s="1"/>
  <c r="G28" i="2" a="1"/>
  <c r="G28" i="2" s="1"/>
  <c r="H28" i="2" a="1"/>
  <c r="H28" i="2" s="1"/>
  <c r="I28" i="2" a="1"/>
  <c r="I28" i="2" s="1"/>
  <c r="C29" i="2"/>
  <c r="D29" i="2" a="1"/>
  <c r="D29" i="2" s="1"/>
  <c r="E29" i="2" a="1"/>
  <c r="E29" i="2" s="1"/>
  <c r="F29" i="2" a="1"/>
  <c r="F29" i="2" s="1"/>
  <c r="G29" i="2" a="1"/>
  <c r="G29" i="2" s="1"/>
  <c r="H29" i="2" a="1"/>
  <c r="H29" i="2" s="1"/>
  <c r="I29" i="2" a="1"/>
  <c r="I29" i="2" s="1"/>
  <c r="C30" i="2"/>
  <c r="D30" i="2" a="1"/>
  <c r="D30" i="2" s="1"/>
  <c r="E30" i="2" a="1"/>
  <c r="E30" i="2" s="1"/>
  <c r="F30" i="2" a="1"/>
  <c r="F30" i="2" s="1"/>
  <c r="G30" i="2" a="1"/>
  <c r="G30" i="2" s="1"/>
  <c r="H30" i="2" a="1"/>
  <c r="H30" i="2" s="1"/>
  <c r="I30" i="2" a="1"/>
  <c r="I30" i="2" s="1"/>
  <c r="C31" i="2"/>
  <c r="D31" i="2" a="1"/>
  <c r="D31" i="2" s="1"/>
  <c r="E31" i="2" a="1"/>
  <c r="E31" i="2" s="1"/>
  <c r="F31" i="2" a="1"/>
  <c r="F31" i="2" s="1"/>
  <c r="G31" i="2" a="1"/>
  <c r="G31" i="2" s="1"/>
  <c r="H31" i="2" a="1"/>
  <c r="H31" i="2" s="1"/>
  <c r="I31" i="2" a="1"/>
  <c r="I31" i="2" s="1"/>
  <c r="C32" i="2"/>
  <c r="D32" i="2" a="1"/>
  <c r="D32" i="2" s="1"/>
  <c r="E32" i="2" a="1"/>
  <c r="E32" i="2" s="1"/>
  <c r="F32" i="2" a="1"/>
  <c r="F32" i="2" s="1"/>
  <c r="G32" i="2" a="1"/>
  <c r="G32" i="2" s="1"/>
  <c r="H32" i="2" a="1"/>
  <c r="H32" i="2" s="1"/>
  <c r="I32" i="2" a="1"/>
  <c r="I32" i="2" s="1"/>
  <c r="C33" i="2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C34" i="2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C35" i="2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C36" i="2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C37" i="2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C38" i="2"/>
  <c r="D38" i="2" a="1"/>
  <c r="D38" i="2" s="1"/>
  <c r="E38" i="2" a="1"/>
  <c r="E38" i="2" s="1"/>
  <c r="F38" i="2" a="1"/>
  <c r="F38" i="2" s="1"/>
  <c r="G38" i="2" a="1"/>
  <c r="G38" i="2" s="1"/>
  <c r="H38" i="2" a="1"/>
  <c r="H38" i="2" s="1"/>
  <c r="I38" i="2" a="1"/>
  <c r="I38" i="2" s="1"/>
  <c r="C39" i="2"/>
  <c r="D39" i="2" a="1"/>
  <c r="D39" i="2" s="1"/>
  <c r="E39" i="2" a="1"/>
  <c r="E39" i="2" s="1"/>
  <c r="F39" i="2" a="1"/>
  <c r="F39" i="2" s="1"/>
  <c r="G39" i="2" a="1"/>
  <c r="G39" i="2" s="1"/>
  <c r="H39" i="2" a="1"/>
  <c r="H39" i="2" s="1"/>
  <c r="I39" i="2" a="1"/>
  <c r="I39" i="2" s="1"/>
  <c r="C40" i="2"/>
  <c r="D40" i="2" a="1"/>
  <c r="D40" i="2" s="1"/>
  <c r="E40" i="2" a="1"/>
  <c r="E40" i="2" s="1"/>
  <c r="F40" i="2" a="1"/>
  <c r="F40" i="2" s="1"/>
  <c r="G40" i="2" a="1"/>
  <c r="G40" i="2" s="1"/>
  <c r="H40" i="2" a="1"/>
  <c r="H40" i="2" s="1"/>
  <c r="I40" i="2" a="1"/>
  <c r="I40" i="2" s="1"/>
  <c r="C41" i="2"/>
  <c r="D41" i="2" a="1"/>
  <c r="D41" i="2" s="1"/>
  <c r="E41" i="2" a="1"/>
  <c r="E41" i="2" s="1"/>
  <c r="F41" i="2" a="1"/>
  <c r="F41" i="2" s="1"/>
  <c r="G41" i="2" a="1"/>
  <c r="G41" i="2" s="1"/>
  <c r="H41" i="2" a="1"/>
  <c r="H41" i="2" s="1"/>
  <c r="I41" i="2" a="1"/>
  <c r="I41" i="2" s="1"/>
  <c r="C42" i="2"/>
  <c r="D42" i="2" a="1"/>
  <c r="D42" i="2" s="1"/>
  <c r="E42" i="2" a="1"/>
  <c r="E42" i="2" s="1"/>
  <c r="F42" i="2" a="1"/>
  <c r="F42" i="2" s="1"/>
  <c r="G42" i="2" a="1"/>
  <c r="G42" i="2" s="1"/>
  <c r="H42" i="2" a="1"/>
  <c r="H42" i="2" s="1"/>
  <c r="I42" i="2" a="1"/>
  <c r="I42" i="2" s="1"/>
  <c r="C43" i="2"/>
  <c r="D43" i="2" a="1"/>
  <c r="D43" i="2" s="1"/>
  <c r="E43" i="2" a="1"/>
  <c r="E43" i="2" s="1"/>
  <c r="F43" i="2" a="1"/>
  <c r="F43" i="2" s="1"/>
  <c r="G43" i="2" a="1"/>
  <c r="G43" i="2" s="1"/>
  <c r="H43" i="2" a="1"/>
  <c r="H43" i="2" s="1"/>
  <c r="I43" i="2" a="1"/>
  <c r="I43" i="2" s="1"/>
  <c r="C44" i="2"/>
  <c r="D44" i="2" a="1"/>
  <c r="D44" i="2" s="1"/>
  <c r="E44" i="2" a="1"/>
  <c r="E44" i="2" s="1"/>
  <c r="F44" i="2" a="1"/>
  <c r="F44" i="2" s="1"/>
  <c r="G44" i="2" a="1"/>
  <c r="G44" i="2" s="1"/>
  <c r="H44" i="2" a="1"/>
  <c r="H44" i="2" s="1"/>
  <c r="I44" i="2" a="1"/>
  <c r="I44" i="2" s="1"/>
  <c r="C45" i="2"/>
  <c r="D45" i="2" a="1"/>
  <c r="D45" i="2" s="1"/>
  <c r="E45" i="2" a="1"/>
  <c r="E45" i="2" s="1"/>
  <c r="F45" i="2" a="1"/>
  <c r="F45" i="2" s="1"/>
  <c r="G45" i="2" a="1"/>
  <c r="G45" i="2" s="1"/>
  <c r="H45" i="2" a="1"/>
  <c r="H45" i="2" s="1"/>
  <c r="I45" i="2" a="1"/>
  <c r="I45" i="2" s="1"/>
  <c r="C46" i="2"/>
  <c r="D46" i="2" a="1"/>
  <c r="D46" i="2" s="1"/>
  <c r="E46" i="2" a="1"/>
  <c r="E46" i="2" s="1"/>
  <c r="F46" i="2" a="1"/>
  <c r="F46" i="2" s="1"/>
  <c r="G46" i="2" a="1"/>
  <c r="G46" i="2" s="1"/>
  <c r="H46" i="2" a="1"/>
  <c r="H46" i="2" s="1"/>
  <c r="I46" i="2" a="1"/>
  <c r="I46" i="2" s="1"/>
  <c r="C47" i="2"/>
  <c r="D47" i="2" a="1"/>
  <c r="D47" i="2" s="1"/>
  <c r="E47" i="2" a="1"/>
  <c r="E47" i="2" s="1"/>
  <c r="F47" i="2" a="1"/>
  <c r="F47" i="2" s="1"/>
  <c r="G47" i="2" a="1"/>
  <c r="G47" i="2" s="1"/>
  <c r="H47" i="2" a="1"/>
  <c r="H47" i="2" s="1"/>
  <c r="I47" i="2" a="1"/>
  <c r="I47" i="2" s="1"/>
  <c r="C48" i="2"/>
  <c r="D48" i="2" a="1"/>
  <c r="D48" i="2" s="1"/>
  <c r="E48" i="2" a="1"/>
  <c r="E48" i="2" s="1"/>
  <c r="F48" i="2" a="1"/>
  <c r="F48" i="2" s="1"/>
  <c r="G48" i="2" a="1"/>
  <c r="G48" i="2" s="1"/>
  <c r="H48" i="2" a="1"/>
  <c r="H48" i="2" s="1"/>
  <c r="I48" i="2" a="1"/>
  <c r="I48" i="2" s="1"/>
  <c r="C49" i="2"/>
  <c r="D49" i="2" a="1"/>
  <c r="D49" i="2" s="1"/>
  <c r="E49" i="2" a="1"/>
  <c r="E49" i="2" s="1"/>
  <c r="F49" i="2" a="1"/>
  <c r="F49" i="2" s="1"/>
  <c r="G49" i="2" a="1"/>
  <c r="G49" i="2" s="1"/>
  <c r="H49" i="2" a="1"/>
  <c r="H49" i="2" s="1"/>
  <c r="I49" i="2" a="1"/>
  <c r="I49" i="2" s="1"/>
  <c r="C50" i="2"/>
  <c r="D50" i="2" a="1"/>
  <c r="D50" i="2" s="1"/>
  <c r="E50" i="2" a="1"/>
  <c r="E50" i="2" s="1"/>
  <c r="F50" i="2" a="1"/>
  <c r="F50" i="2" s="1"/>
  <c r="G50" i="2" a="1"/>
  <c r="G50" i="2" s="1"/>
  <c r="H50" i="2" a="1"/>
  <c r="H50" i="2" s="1"/>
  <c r="I50" i="2" a="1"/>
  <c r="I50" i="2" s="1"/>
  <c r="C51" i="2"/>
  <c r="D51" i="2" a="1"/>
  <c r="D51" i="2" s="1"/>
  <c r="E51" i="2" a="1"/>
  <c r="E51" i="2" s="1"/>
  <c r="F51" i="2" a="1"/>
  <c r="F51" i="2" s="1"/>
  <c r="G51" i="2" a="1"/>
  <c r="G51" i="2" s="1"/>
  <c r="H51" i="2" a="1"/>
  <c r="H51" i="2" s="1"/>
  <c r="I51" i="2" a="1"/>
  <c r="I51" i="2" s="1"/>
  <c r="C52" i="2"/>
  <c r="D52" i="2" a="1"/>
  <c r="D52" i="2" s="1"/>
  <c r="E52" i="2" a="1"/>
  <c r="E52" i="2" s="1"/>
  <c r="F52" i="2" a="1"/>
  <c r="F52" i="2" s="1"/>
  <c r="G52" i="2" a="1"/>
  <c r="G52" i="2" s="1"/>
  <c r="H52" i="2" a="1"/>
  <c r="H52" i="2" s="1"/>
  <c r="I52" i="2" a="1"/>
  <c r="I52" i="2" s="1"/>
  <c r="C53" i="2"/>
  <c r="D53" i="2" a="1"/>
  <c r="D53" i="2" s="1"/>
  <c r="E53" i="2" a="1"/>
  <c r="E53" i="2" s="1"/>
  <c r="F53" i="2" a="1"/>
  <c r="F53" i="2" s="1"/>
  <c r="G53" i="2" a="1"/>
  <c r="G53" i="2" s="1"/>
  <c r="H53" i="2" a="1"/>
  <c r="H53" i="2" s="1"/>
  <c r="I53" i="2" a="1"/>
  <c r="I53" i="2" s="1"/>
  <c r="C54" i="2"/>
  <c r="D54" i="2" a="1"/>
  <c r="D54" i="2" s="1"/>
  <c r="E54" i="2" a="1"/>
  <c r="E54" i="2" s="1"/>
  <c r="F54" i="2" a="1"/>
  <c r="F54" i="2" s="1"/>
  <c r="G54" i="2" a="1"/>
  <c r="G54" i="2" s="1"/>
  <c r="H54" i="2" a="1"/>
  <c r="H54" i="2" s="1"/>
  <c r="I54" i="2" a="1"/>
  <c r="I54" i="2" s="1"/>
  <c r="C55" i="2"/>
  <c r="D55" i="2" a="1"/>
  <c r="D55" i="2" s="1"/>
  <c r="E55" i="2" a="1"/>
  <c r="E55" i="2" s="1"/>
  <c r="F55" i="2" a="1"/>
  <c r="F55" i="2" s="1"/>
  <c r="G55" i="2" a="1"/>
  <c r="G55" i="2" s="1"/>
  <c r="H55" i="2" a="1"/>
  <c r="H55" i="2" s="1"/>
  <c r="I55" i="2" a="1"/>
  <c r="I55" i="2" s="1"/>
  <c r="C56" i="2"/>
  <c r="D56" i="2" a="1"/>
  <c r="D56" i="2" s="1"/>
  <c r="E56" i="2" a="1"/>
  <c r="E56" i="2" s="1"/>
  <c r="F56" i="2" a="1"/>
  <c r="F56" i="2" s="1"/>
  <c r="G56" i="2" a="1"/>
  <c r="G56" i="2" s="1"/>
  <c r="H56" i="2" a="1"/>
  <c r="H56" i="2" s="1"/>
  <c r="I56" i="2" a="1"/>
  <c r="I56" i="2" s="1"/>
  <c r="B56" i="2" l="1" a="1"/>
  <c r="B56" i="2" s="1"/>
  <c r="B55" i="2" a="1"/>
  <c r="B55" i="2" s="1"/>
  <c r="B54" i="2" a="1"/>
  <c r="B54" i="2" s="1"/>
  <c r="B53" i="2" a="1"/>
  <c r="B53" i="2" s="1"/>
  <c r="B52" i="2" a="1"/>
  <c r="B52" i="2" s="1"/>
  <c r="B51" i="2" a="1"/>
  <c r="B51" i="2" s="1"/>
  <c r="B50" i="2" a="1"/>
  <c r="B50" i="2" s="1"/>
  <c r="B49" i="2" a="1"/>
  <c r="B49" i="2" s="1"/>
  <c r="B48" i="2" a="1"/>
  <c r="B48" i="2" s="1"/>
  <c r="B47" i="2" a="1"/>
  <c r="B47" i="2" s="1"/>
  <c r="B46" i="2" a="1"/>
  <c r="B46" i="2" s="1"/>
  <c r="B45" i="2" a="1"/>
  <c r="B45" i="2" s="1"/>
  <c r="B44" i="2" a="1"/>
  <c r="B44" i="2" s="1"/>
  <c r="B43" i="2" a="1"/>
  <c r="B43" i="2" s="1"/>
  <c r="B42" i="2" a="1"/>
  <c r="B42" i="2" s="1"/>
  <c r="B41" i="2" a="1"/>
  <c r="B41" i="2" s="1"/>
  <c r="B40" i="2" a="1"/>
  <c r="B40" i="2" s="1"/>
  <c r="B39" i="2" a="1"/>
  <c r="B39" i="2" s="1"/>
  <c r="B38" i="2" a="1"/>
  <c r="B38" i="2" s="1"/>
  <c r="B37" i="2" a="1"/>
  <c r="B37" i="2" s="1"/>
  <c r="B36" i="2" a="1"/>
  <c r="B36" i="2" s="1"/>
  <c r="B35" i="2" a="1"/>
  <c r="B35" i="2" s="1"/>
  <c r="B34" i="2" a="1"/>
  <c r="B34" i="2" s="1"/>
  <c r="B33" i="2" a="1"/>
  <c r="B33" i="2" s="1"/>
  <c r="B32" i="2" a="1"/>
  <c r="B32" i="2" s="1"/>
  <c r="B31" i="2" a="1"/>
  <c r="B31" i="2" s="1"/>
  <c r="B30" i="2" a="1"/>
  <c r="B30" i="2" s="1"/>
  <c r="B29" i="2" a="1"/>
  <c r="B29" i="2" s="1"/>
  <c r="B28" i="2" a="1"/>
  <c r="B28" i="2" s="1"/>
  <c r="B27" i="2" a="1"/>
  <c r="B27" i="2" s="1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B18" i="2" a="1"/>
  <c r="B18" i="2" s="1"/>
  <c r="B17" i="2" a="1"/>
  <c r="B17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4" i="2" a="1"/>
  <c r="B4" i="2" s="1"/>
  <c r="B5" i="2" a="1"/>
  <c r="B5" i="2" s="1"/>
  <c r="B6" i="2" a="1"/>
  <c r="B6" i="2" s="1"/>
  <c r="B3" i="2" a="1"/>
  <c r="B3" i="2" s="1"/>
  <c r="E57" i="2" l="1" a="1"/>
  <c r="E57" i="2" s="1"/>
  <c r="H58" i="2" a="1"/>
  <c r="H58" i="2" s="1"/>
  <c r="I58" i="2" a="1"/>
  <c r="I58" i="2" s="1"/>
  <c r="D58" i="2" a="1"/>
  <c r="D58" i="2" s="1"/>
  <c r="H57" i="2" a="1"/>
  <c r="H57" i="2" s="1"/>
  <c r="I57" i="2" a="1"/>
  <c r="I57" i="2" s="1"/>
  <c r="F57" i="2" a="1"/>
  <c r="F57" i="2" s="1"/>
  <c r="G57" i="2" a="1"/>
  <c r="G57" i="2" s="1"/>
  <c r="D57" i="2" a="1"/>
  <c r="D57" i="2" s="1"/>
  <c r="G58" i="2" a="1"/>
  <c r="G58" i="2" s="1"/>
  <c r="E58" i="2" a="1"/>
  <c r="E58" i="2" s="1"/>
  <c r="F58" i="2" a="1"/>
  <c r="F58" i="2" s="1"/>
  <c r="C57" i="2" l="1"/>
  <c r="C58" i="2"/>
  <c r="A56" i="2" l="1"/>
  <c r="A57" i="2"/>
  <c r="B57" i="2" s="1" a="1"/>
  <c r="B57" i="2" s="1"/>
  <c r="A58" i="2"/>
  <c r="B58" i="2" s="1" a="1"/>
  <c r="B58" i="2" s="1"/>
  <c r="A52" i="2"/>
  <c r="A53" i="2"/>
  <c r="A54" i="2" l="1"/>
  <c r="A55" i="2" l="1"/>
  <c r="A3" i="2" l="1"/>
  <c r="A4" i="2" l="1"/>
  <c r="A5" i="2" l="1"/>
  <c r="A6" i="2" l="1"/>
  <c r="A7" i="2" l="1"/>
  <c r="A8" i="2" l="1"/>
  <c r="A9" i="2" l="1"/>
  <c r="A10" i="2" l="1"/>
  <c r="A11" i="2" l="1"/>
  <c r="A12" i="2" l="1"/>
  <c r="A13" i="2" l="1"/>
  <c r="A14" i="2" l="1"/>
  <c r="A15" i="2" l="1"/>
  <c r="A16" i="2" l="1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<sst xmlns="http://schemas.openxmlformats.org/spreadsheetml/2006/main" count="1238" uniqueCount="964">
  <si>
    <t>startphrase</t>
  </si>
  <si>
    <t>ending1</t>
  </si>
  <si>
    <t>ending2</t>
  </si>
  <si>
    <t>labels</t>
  </si>
  <si>
    <t>The child was not religious</t>
  </si>
  <si>
    <t>She wasn't entertaining.</t>
  </si>
  <si>
    <t>She was very entertaining.</t>
  </si>
  <si>
    <t>The cat was furry</t>
  </si>
  <si>
    <t>The cat was not furry</t>
  </si>
  <si>
    <t>The disease was very serious</t>
  </si>
  <si>
    <t>The disease was not serious</t>
  </si>
  <si>
    <t>He is a coward</t>
  </si>
  <si>
    <t>He is brave</t>
  </si>
  <si>
    <t>The vase is fragile</t>
  </si>
  <si>
    <t>The cat is hyperactive</t>
  </si>
  <si>
    <t>the work was amazing</t>
  </si>
  <si>
    <t>The child was not smart</t>
  </si>
  <si>
    <t>he was scared</t>
  </si>
  <si>
    <t>he wasn't scared</t>
  </si>
  <si>
    <t>It was not easy</t>
  </si>
  <si>
    <t>The clone is identical</t>
  </si>
  <si>
    <t>The clone isn't identical</t>
  </si>
  <si>
    <t>It lives for a long time</t>
  </si>
  <si>
    <t>It doesn't moisturize well</t>
  </si>
  <si>
    <t>The house was not silent</t>
  </si>
  <si>
    <t>The house was silent</t>
  </si>
  <si>
    <t>The pillow is soft</t>
  </si>
  <si>
    <t>The pillow is not soft</t>
  </si>
  <si>
    <t>The book was enjoyable</t>
  </si>
  <si>
    <t>The book was not enjoyable</t>
  </si>
  <si>
    <t>His movements were delicate</t>
  </si>
  <si>
    <t>His movements were not delicate</t>
  </si>
  <si>
    <t>The light was bright</t>
  </si>
  <si>
    <t>The light was not bright</t>
  </si>
  <si>
    <t>The actors are not talented</t>
  </si>
  <si>
    <t>The actors are very talented</t>
  </si>
  <si>
    <t>The car works well</t>
  </si>
  <si>
    <t>The car does not work well</t>
  </si>
  <si>
    <t>The juice box is sticky</t>
  </si>
  <si>
    <t>The screen play wasn't realistic</t>
  </si>
  <si>
    <t>The screen play was very factual</t>
  </si>
  <si>
    <t>My puppy doesn't have a lot of energy</t>
  </si>
  <si>
    <t>My puppy has a lot of energy</t>
  </si>
  <si>
    <t>She was not interesting</t>
  </si>
  <si>
    <t>Her fingernails were brittle</t>
  </si>
  <si>
    <t>Her fingernails were not brittle</t>
  </si>
  <si>
    <t>The fence is not rusty</t>
  </si>
  <si>
    <t>The game is very hard</t>
  </si>
  <si>
    <t>He sees well</t>
  </si>
  <si>
    <t>The comedian was funny</t>
  </si>
  <si>
    <t>The comedian was not funny</t>
  </si>
  <si>
    <t>The movie is boring</t>
  </si>
  <si>
    <t>The pillow is hard</t>
  </si>
  <si>
    <t>The bone is not white</t>
  </si>
  <si>
    <t>The villain is a genius</t>
  </si>
  <si>
    <t>The lamp gave off a lot of light</t>
  </si>
  <si>
    <t>The invention was very well done</t>
  </si>
  <si>
    <t>The boy is a genius</t>
  </si>
  <si>
    <t>they are hyped</t>
  </si>
  <si>
    <t>The music is not calming</t>
  </si>
  <si>
    <t>The night was dark</t>
  </si>
  <si>
    <t>The food can be digested easily</t>
  </si>
  <si>
    <t>The food can not be digested easily</t>
  </si>
  <si>
    <t>Mary is a good singer</t>
  </si>
  <si>
    <t>The illness is not serious</t>
  </si>
  <si>
    <t>The story was not enthralling</t>
  </si>
  <si>
    <t>The story was enthralling</t>
  </si>
  <si>
    <t>That monster was scary</t>
  </si>
  <si>
    <t>That monster was not scary</t>
  </si>
  <si>
    <t>The blanket was soft</t>
  </si>
  <si>
    <t>The blanket was rough</t>
  </si>
  <si>
    <t>I am very hungry</t>
  </si>
  <si>
    <t>I am not very hungry</t>
  </si>
  <si>
    <t>The lamp was bright</t>
  </si>
  <si>
    <t>The lamp was dim</t>
  </si>
  <si>
    <t>They were close</t>
  </si>
  <si>
    <t>The movie was long</t>
  </si>
  <si>
    <t>The couch was comfortable</t>
  </si>
  <si>
    <t>The computer is fast</t>
  </si>
  <si>
    <t>The computer is slow</t>
  </si>
  <si>
    <t>The lightbulb is very bright</t>
  </si>
  <si>
    <t>She felt bad</t>
  </si>
  <si>
    <t>xid</t>
  </si>
  <si>
    <t>all</t>
  </si>
  <si>
    <t>met</t>
  </si>
  <si>
    <t>sim</t>
  </si>
  <si>
    <t>sim intens</t>
  </si>
  <si>
    <t>sim neg</t>
  </si>
  <si>
    <t>neg pairs</t>
  </si>
  <si>
    <t>not neg pairs</t>
  </si>
  <si>
    <t>neg not</t>
  </si>
  <si>
    <t>intens not</t>
  </si>
  <si>
    <t>neg as as</t>
  </si>
  <si>
    <t>intens as as</t>
  </si>
  <si>
    <t>count correct</t>
  </si>
  <si>
    <t>count total</t>
  </si>
  <si>
    <t>bin glove add_lem</t>
  </si>
  <si>
    <t>bin glove mult_lem</t>
  </si>
  <si>
    <t>bin w2v add_lem</t>
  </si>
  <si>
    <t>bin w2v mult_lem</t>
  </si>
  <si>
    <t>bin ms-word2dm-c5 add_lem</t>
  </si>
  <si>
    <t>bin ms-word2dm-c5 mult_lem</t>
  </si>
  <si>
    <t>bin ms-word2dm-c10 add_lem</t>
  </si>
  <si>
    <t>bin ms-word2dm-c10 mult_lem</t>
  </si>
  <si>
    <t>bin ms-word2dm-d5 add_lem</t>
  </si>
  <si>
    <t>bin ms-word2dm-d5 mult_lem</t>
  </si>
  <si>
    <t>bin ms-word2dm-d10 add_lem</t>
  </si>
  <si>
    <t>bin ms-word2dm-d10 mult_lem</t>
  </si>
  <si>
    <t>bin infersent1_lem</t>
  </si>
  <si>
    <t>bin infersent2_lem</t>
  </si>
  <si>
    <t>bin infersent1_long</t>
  </si>
  <si>
    <t>bin infersent2_long</t>
  </si>
  <si>
    <t>GPT-Neo-1.3B bin</t>
  </si>
  <si>
    <t/>
  </si>
  <si>
    <t>10_0</t>
  </si>
  <si>
    <t>10_1</t>
  </si>
  <si>
    <t>40_0</t>
  </si>
  <si>
    <t>40_1</t>
  </si>
  <si>
    <t>50_0</t>
  </si>
  <si>
    <t>50_1</t>
  </si>
  <si>
    <t>63_0</t>
  </si>
  <si>
    <t>63_1</t>
  </si>
  <si>
    <t>87_0</t>
  </si>
  <si>
    <t>87_1</t>
  </si>
  <si>
    <t>89_0</t>
  </si>
  <si>
    <t>89_1</t>
  </si>
  <si>
    <t>92_0</t>
  </si>
  <si>
    <t>92_1</t>
  </si>
  <si>
    <t>102_0</t>
  </si>
  <si>
    <t>102_1</t>
  </si>
  <si>
    <t>113_0</t>
  </si>
  <si>
    <t>113_1</t>
  </si>
  <si>
    <t>131_0</t>
  </si>
  <si>
    <t>131_1</t>
  </si>
  <si>
    <t>138_0</t>
  </si>
  <si>
    <t>138_1</t>
  </si>
  <si>
    <t>139_0</t>
  </si>
  <si>
    <t>139_1</t>
  </si>
  <si>
    <t>143_0</t>
  </si>
  <si>
    <t>143_1</t>
  </si>
  <si>
    <t>144_0</t>
  </si>
  <si>
    <t>144_1</t>
  </si>
  <si>
    <t>175_0</t>
  </si>
  <si>
    <t>175_1</t>
  </si>
  <si>
    <t>185_0</t>
  </si>
  <si>
    <t>185_1</t>
  </si>
  <si>
    <t>200_0</t>
  </si>
  <si>
    <t>200_1</t>
  </si>
  <si>
    <t>205_0</t>
  </si>
  <si>
    <t>205_1</t>
  </si>
  <si>
    <t>215_0</t>
  </si>
  <si>
    <t>215_1</t>
  </si>
  <si>
    <t>234_0</t>
  </si>
  <si>
    <t>234_1</t>
  </si>
  <si>
    <t>238_0</t>
  </si>
  <si>
    <t>238_1</t>
  </si>
  <si>
    <t>261_0</t>
  </si>
  <si>
    <t>261_1</t>
  </si>
  <si>
    <t>262_0</t>
  </si>
  <si>
    <t>262_1</t>
  </si>
  <si>
    <t>264_0</t>
  </si>
  <si>
    <t>264_1</t>
  </si>
  <si>
    <t>267_0</t>
  </si>
  <si>
    <t>267_1</t>
  </si>
  <si>
    <t>269_0</t>
  </si>
  <si>
    <t>269_1</t>
  </si>
  <si>
    <t>280_0</t>
  </si>
  <si>
    <t>280_1</t>
  </si>
  <si>
    <t>293_0</t>
  </si>
  <si>
    <t>293_1</t>
  </si>
  <si>
    <t>295_0</t>
  </si>
  <si>
    <t>295_1</t>
  </si>
  <si>
    <t>305_0</t>
  </si>
  <si>
    <t>305_1</t>
  </si>
  <si>
    <t>309_0</t>
  </si>
  <si>
    <t>309_1</t>
  </si>
  <si>
    <t>317_0</t>
  </si>
  <si>
    <t>317_1</t>
  </si>
  <si>
    <t>323_0</t>
  </si>
  <si>
    <t>323_1</t>
  </si>
  <si>
    <t>329_0</t>
  </si>
  <si>
    <t>329_1</t>
  </si>
  <si>
    <t>333_0</t>
  </si>
  <si>
    <t>333_1</t>
  </si>
  <si>
    <t>350_0</t>
  </si>
  <si>
    <t>350_1</t>
  </si>
  <si>
    <t>369_0</t>
  </si>
  <si>
    <t>369_1</t>
  </si>
  <si>
    <t>383_0</t>
  </si>
  <si>
    <t>383_1</t>
  </si>
  <si>
    <t>396_0</t>
  </si>
  <si>
    <t>396_1</t>
  </si>
  <si>
    <t>411_0</t>
  </si>
  <si>
    <t>411_1</t>
  </si>
  <si>
    <t>430_0</t>
  </si>
  <si>
    <t>430_1</t>
  </si>
  <si>
    <t>478_0</t>
  </si>
  <si>
    <t>478_1</t>
  </si>
  <si>
    <t>479_0</t>
  </si>
  <si>
    <t>479_1</t>
  </si>
  <si>
    <t>493_0</t>
  </si>
  <si>
    <t>493_1</t>
  </si>
  <si>
    <t>494_0</t>
  </si>
  <si>
    <t>494_1</t>
  </si>
  <si>
    <t>500_0</t>
  </si>
  <si>
    <t>500_1</t>
  </si>
  <si>
    <t>517_0</t>
  </si>
  <si>
    <t>517_1</t>
  </si>
  <si>
    <t>518_0</t>
  </si>
  <si>
    <t>518_1</t>
  </si>
  <si>
    <t>519_0</t>
  </si>
  <si>
    <t>519_1</t>
  </si>
  <si>
    <t>556_0</t>
  </si>
  <si>
    <t>556_1</t>
  </si>
  <si>
    <t>557_0</t>
  </si>
  <si>
    <t>557_1</t>
  </si>
  <si>
    <t>567_0</t>
  </si>
  <si>
    <t>567_1</t>
  </si>
  <si>
    <t>588_0</t>
  </si>
  <si>
    <t>588_1</t>
  </si>
  <si>
    <t>592_0</t>
  </si>
  <si>
    <t>592_1</t>
  </si>
  <si>
    <t>599_0</t>
  </si>
  <si>
    <t>599_1</t>
  </si>
  <si>
    <t>637_0</t>
  </si>
  <si>
    <t>637_1</t>
  </si>
  <si>
    <t>642_0</t>
  </si>
  <si>
    <t>642_1</t>
  </si>
  <si>
    <t>648_0</t>
  </si>
  <si>
    <t>648_1</t>
  </si>
  <si>
    <t>654_0</t>
  </si>
  <si>
    <t>654_1</t>
  </si>
  <si>
    <t>661_0</t>
  </si>
  <si>
    <t>661_1</t>
  </si>
  <si>
    <t>667_0</t>
  </si>
  <si>
    <t>667_1</t>
  </si>
  <si>
    <t>671_0</t>
  </si>
  <si>
    <t>671_1</t>
  </si>
  <si>
    <t>709_0</t>
  </si>
  <si>
    <t>709_1</t>
  </si>
  <si>
    <t>741_0</t>
  </si>
  <si>
    <t>741_1</t>
  </si>
  <si>
    <t>759_0</t>
  </si>
  <si>
    <t>759_1</t>
  </si>
  <si>
    <t>760_0</t>
  </si>
  <si>
    <t>760_1</t>
  </si>
  <si>
    <t>761_0</t>
  </si>
  <si>
    <t>761_1</t>
  </si>
  <si>
    <t>784_0</t>
  </si>
  <si>
    <t>784_1</t>
  </si>
  <si>
    <t>796_0</t>
  </si>
  <si>
    <t>796_1</t>
  </si>
  <si>
    <t>821_0</t>
  </si>
  <si>
    <t>821_1</t>
  </si>
  <si>
    <t>824_0</t>
  </si>
  <si>
    <t>824_1</t>
  </si>
  <si>
    <t>857_0</t>
  </si>
  <si>
    <t>857_1</t>
  </si>
  <si>
    <t>861_0</t>
  </si>
  <si>
    <t>861_1</t>
  </si>
  <si>
    <t>876_0</t>
  </si>
  <si>
    <t>876_1</t>
  </si>
  <si>
    <t>880_0</t>
  </si>
  <si>
    <t>880_1</t>
  </si>
  <si>
    <t>887_0</t>
  </si>
  <si>
    <t>887_1</t>
  </si>
  <si>
    <t>888_0</t>
  </si>
  <si>
    <t>888_1</t>
  </si>
  <si>
    <t>891_0</t>
  </si>
  <si>
    <t>891_1</t>
  </si>
  <si>
    <t>931_0</t>
  </si>
  <si>
    <t>931_1</t>
  </si>
  <si>
    <t>971_0</t>
  </si>
  <si>
    <t>971_1</t>
  </si>
  <si>
    <t>999_0</t>
  </si>
  <si>
    <t>999_1</t>
  </si>
  <si>
    <t>1000_0</t>
  </si>
  <si>
    <t>1000_1</t>
  </si>
  <si>
    <t>1029_0</t>
  </si>
  <si>
    <t>1029_1</t>
  </si>
  <si>
    <t>1072_0</t>
  </si>
  <si>
    <t>1072_1</t>
  </si>
  <si>
    <t>1073_0</t>
  </si>
  <si>
    <t>1073_1</t>
  </si>
  <si>
    <t>1088_0</t>
  </si>
  <si>
    <t>1088_1</t>
  </si>
  <si>
    <t>1100_0</t>
  </si>
  <si>
    <t>1100_1</t>
  </si>
  <si>
    <t>1106_0</t>
  </si>
  <si>
    <t>1106_1</t>
  </si>
  <si>
    <t>1118_0</t>
  </si>
  <si>
    <t>1118_1</t>
  </si>
  <si>
    <t>1141_0</t>
  </si>
  <si>
    <t>1141_1</t>
  </si>
  <si>
    <t>1168_0</t>
  </si>
  <si>
    <t>1168_1</t>
  </si>
  <si>
    <t>1178_0</t>
  </si>
  <si>
    <t>1178_1</t>
  </si>
  <si>
    <t>1253_0</t>
  </si>
  <si>
    <t>1253_1</t>
  </si>
  <si>
    <t>1300_0</t>
  </si>
  <si>
    <t>1300_1</t>
  </si>
  <si>
    <t>1324_0</t>
  </si>
  <si>
    <t>1324_1</t>
  </si>
  <si>
    <t>1337_0</t>
  </si>
  <si>
    <t>1337_1</t>
  </si>
  <si>
    <t>1352_0</t>
  </si>
  <si>
    <t>1352_1</t>
  </si>
  <si>
    <t>1361_0</t>
  </si>
  <si>
    <t>1361_1</t>
  </si>
  <si>
    <t>1374_0</t>
  </si>
  <si>
    <t>1374_1</t>
  </si>
  <si>
    <t>1409_0</t>
  </si>
  <si>
    <t>1409_1</t>
  </si>
  <si>
    <t>1410_0</t>
  </si>
  <si>
    <t>1410_1</t>
  </si>
  <si>
    <t>1436_0</t>
  </si>
  <si>
    <t>1436_1</t>
  </si>
  <si>
    <t>1461_0</t>
  </si>
  <si>
    <t>1461_1</t>
  </si>
  <si>
    <t>1482_0</t>
  </si>
  <si>
    <t>1482_1</t>
  </si>
  <si>
    <t>1534_0</t>
  </si>
  <si>
    <t>1534_1</t>
  </si>
  <si>
    <t>1567_0</t>
  </si>
  <si>
    <t>1567_1</t>
  </si>
  <si>
    <t>1571_0</t>
  </si>
  <si>
    <t>1571_1</t>
  </si>
  <si>
    <t>1572_0</t>
  </si>
  <si>
    <t>1572_1</t>
  </si>
  <si>
    <t>1617_0</t>
  </si>
  <si>
    <t>1617_1</t>
  </si>
  <si>
    <t>1619_0</t>
  </si>
  <si>
    <t>1619_1</t>
  </si>
  <si>
    <t>1623_0</t>
  </si>
  <si>
    <t>1623_1</t>
  </si>
  <si>
    <t>1634_0</t>
  </si>
  <si>
    <t>1634_1</t>
  </si>
  <si>
    <t>1635_0</t>
  </si>
  <si>
    <t>1635_1</t>
  </si>
  <si>
    <t>1672_0</t>
  </si>
  <si>
    <t>1672_1</t>
  </si>
  <si>
    <t>1677_0</t>
  </si>
  <si>
    <t>1677_1</t>
  </si>
  <si>
    <t>1697_0</t>
  </si>
  <si>
    <t>1697_1</t>
  </si>
  <si>
    <t>1699_0</t>
  </si>
  <si>
    <t>1699_1</t>
  </si>
  <si>
    <t>1707_0</t>
  </si>
  <si>
    <t>1707_1</t>
  </si>
  <si>
    <t>1717_0</t>
  </si>
  <si>
    <t>1717_1</t>
  </si>
  <si>
    <t>1760_0</t>
  </si>
  <si>
    <t>1760_1</t>
  </si>
  <si>
    <t>1801_0</t>
  </si>
  <si>
    <t>1801_1</t>
  </si>
  <si>
    <t>X6_0</t>
  </si>
  <si>
    <t>X6_1</t>
  </si>
  <si>
    <t>X10_0</t>
  </si>
  <si>
    <t>X10_1</t>
  </si>
  <si>
    <t>X11_0</t>
  </si>
  <si>
    <t>X11_1</t>
  </si>
  <si>
    <t>X15_0</t>
  </si>
  <si>
    <t>X15_1</t>
  </si>
  <si>
    <t>X19_0</t>
  </si>
  <si>
    <t>X19_1</t>
  </si>
  <si>
    <t>X30_0</t>
  </si>
  <si>
    <t>X30_1</t>
  </si>
  <si>
    <t>X39_0</t>
  </si>
  <si>
    <t>X39_1</t>
  </si>
  <si>
    <t>neg antonym</t>
  </si>
  <si>
    <t>intens antonym</t>
  </si>
  <si>
    <t>Llama-3-70B-Instruct M1 1</t>
  </si>
  <si>
    <t>Llama-3-70B-Instruct M1 2</t>
  </si>
  <si>
    <t>Llama-3-70B-Instruct M1 bin</t>
  </si>
  <si>
    <t>Llama-3-70B-Instruct M2 1</t>
  </si>
  <si>
    <t>Llama-3-70B-Instruct M2 2</t>
  </si>
  <si>
    <t>Llama-3-70B-Instruct M2 bin</t>
  </si>
  <si>
    <t>Llama-3-70B-Instruct M3 1</t>
  </si>
  <si>
    <t>Llama-3-70B-Instruct M3 2</t>
  </si>
  <si>
    <t>Llama-3-70B-Instruct M3 bin</t>
  </si>
  <si>
    <t>Llama-3-70B-Instruct M4 1</t>
  </si>
  <si>
    <t>Llama-3-70B-Instruct M4 2</t>
  </si>
  <si>
    <t>Llama-3-70B-Instruct M4 bin</t>
  </si>
  <si>
    <t>Llama-3-70B-Instruct M5 1</t>
  </si>
  <si>
    <t>Llama-3-70B-Instruct M5 2</t>
  </si>
  <si>
    <t>Llama-3-70B-Instruct M5 bin</t>
  </si>
  <si>
    <t>Llama-3.1-70B-Instruct M1 1</t>
  </si>
  <si>
    <t>Llama-3.1-70B-Instruct M1 2</t>
  </si>
  <si>
    <t>Llama-3.1-70B-Instruct M1 bin</t>
  </si>
  <si>
    <t>Llama-3.1-70B-Instruct M2 1</t>
  </si>
  <si>
    <t>Llama-3.1-70B-Instruct M2 2</t>
  </si>
  <si>
    <t>Llama-3.1-70B-Instruct M2 bin</t>
  </si>
  <si>
    <t>Llama-3.1-70B-Instruct M3 1</t>
  </si>
  <si>
    <t>Llama-3.1-70B-Instruct M3 2</t>
  </si>
  <si>
    <t>Llama-3.1-70B-Instruct M3 bin</t>
  </si>
  <si>
    <t>Llama-3.1-70B-Instruct M4 1</t>
  </si>
  <si>
    <t>Llama-3.1-70B-Instruct M4 2</t>
  </si>
  <si>
    <t>Llama-3.1-70B-Instruct M4 bin</t>
  </si>
  <si>
    <t>Llama-3.1-70B-Instruct M5 1</t>
  </si>
  <si>
    <t>Llama-3.1-70B-Instruct M5 2</t>
  </si>
  <si>
    <t>Llama-3.1-70B-Instruct M5 bin</t>
  </si>
  <si>
    <t>Llama-3.1-405B-Instruct M1 1</t>
  </si>
  <si>
    <t>Llama-3.1-405B-Instruct M1 2</t>
  </si>
  <si>
    <t>Llama-3.1-405B-Instruct M1 bin</t>
  </si>
  <si>
    <t>Llama-3.1-405B-Instruct M2 1</t>
  </si>
  <si>
    <t>Llama-3.1-405B-Instruct M2 2</t>
  </si>
  <si>
    <t>Llama-3.1-405B-Instruct M2 bin</t>
  </si>
  <si>
    <t>Llama-3.1-405B-Instruct M3 1</t>
  </si>
  <si>
    <t>Llama-3.1-405B-Instruct M3 2</t>
  </si>
  <si>
    <t>Llama-3.1-405B-Instruct M3 bin</t>
  </si>
  <si>
    <t>Llama-3.1-405B-Instruct M4 1</t>
  </si>
  <si>
    <t>Llama-3.1-405B-Instruct M4 2</t>
  </si>
  <si>
    <t>Llama-3.1-405B-Instruct M4 bin</t>
  </si>
  <si>
    <t>Llama-3.1-405B-Instruct M5 1</t>
  </si>
  <si>
    <t>Llama-3.1-405B-Instruct M5 2</t>
  </si>
  <si>
    <t>Llama-3.1-405B-Instruct M5 bin</t>
  </si>
  <si>
    <t>Llama-3.3-70B-Instruct M1 1</t>
  </si>
  <si>
    <t>Llama-3.3-70B-Instruct M1 2</t>
  </si>
  <si>
    <t>Llama-3.3-70B-Instruct M1 bin</t>
  </si>
  <si>
    <t>Llama-3.3-70B-Instruct M2 1</t>
  </si>
  <si>
    <t>Llama-3.3-70B-Instruct M2 2</t>
  </si>
  <si>
    <t>Llama-3.3-70B-Instruct M2 bin</t>
  </si>
  <si>
    <t>Llama-3.3-70B-Instruct M3 1</t>
  </si>
  <si>
    <t>Llama-3.3-70B-Instruct M3 2</t>
  </si>
  <si>
    <t>Llama-3.3-70B-Instruct M3 bin</t>
  </si>
  <si>
    <t>Llama-3.3-70B-Instruct M4 1</t>
  </si>
  <si>
    <t>Llama-3.3-70B-Instruct M4 2</t>
  </si>
  <si>
    <t>Llama-3.3-70B-Instruct M4 bin</t>
  </si>
  <si>
    <t>Llama-3.3-70B-Instruct M5 1</t>
  </si>
  <si>
    <t>Llama-3.3-70B-Instruct M5 2</t>
  </si>
  <si>
    <t>Llama-3.3-70B-Instruct M5 bin</t>
  </si>
  <si>
    <t>simile type</t>
  </si>
  <si>
    <t>met sim</t>
  </si>
  <si>
    <t>paired sim neg pair type</t>
  </si>
  <si>
    <t>negation</t>
  </si>
  <si>
    <t>She is honest</t>
  </si>
  <si>
    <t>She can be trusted</t>
  </si>
  <si>
    <t>She can not be trusted</t>
  </si>
  <si>
    <t>she is dishonest</t>
  </si>
  <si>
    <t>The student was cooperative</t>
  </si>
  <si>
    <t>He was helpful</t>
  </si>
  <si>
    <t>he was not helpful</t>
  </si>
  <si>
    <t>The student was uncooperative</t>
  </si>
  <si>
    <t>The man was stylish</t>
  </si>
  <si>
    <t>The man was cool</t>
  </si>
  <si>
    <t>The man was not cool</t>
  </si>
  <si>
    <t>The man was unfashionable</t>
  </si>
  <si>
    <t>The child was devout</t>
  </si>
  <si>
    <t>The child was religious</t>
  </si>
  <si>
    <t>The child was atheistic</t>
  </si>
  <si>
    <t>The hangover made her feel terrible</t>
  </si>
  <si>
    <t>She did not feel bad</t>
  </si>
  <si>
    <t>The hangover made her feel good</t>
  </si>
  <si>
    <t>The room was unenclosed</t>
  </si>
  <si>
    <t>The room was open</t>
  </si>
  <si>
    <t>The room was not open</t>
  </si>
  <si>
    <t>The room was enclosed</t>
  </si>
  <si>
    <t>His joints are crackly</t>
  </si>
  <si>
    <t>His joints snap</t>
  </si>
  <si>
    <t>His joints do not snap</t>
  </si>
  <si>
    <t>His joints are silent</t>
  </si>
  <si>
    <t>The toy was cherished</t>
  </si>
  <si>
    <t>The toy was cared for</t>
  </si>
  <si>
    <t>The toy was not cared for</t>
  </si>
  <si>
    <t>The toy was neglected</t>
  </si>
  <si>
    <t>The movie is humorous</t>
  </si>
  <si>
    <t>The movie is funny</t>
  </si>
  <si>
    <t>The movie is not funny</t>
  </si>
  <si>
    <t>The couch was nice to sit on</t>
  </si>
  <si>
    <t>The couch was not comfortable</t>
  </si>
  <si>
    <t>The couch was nasty to sit on</t>
  </si>
  <si>
    <t>The incense has a sweet smell</t>
  </si>
  <si>
    <t>The incense smells good</t>
  </si>
  <si>
    <t>The incense does not smell good</t>
  </si>
  <si>
    <t>The incense has a disgusting smell</t>
  </si>
  <si>
    <t>The girl was thirsty</t>
  </si>
  <si>
    <t>The girl needed water</t>
  </si>
  <si>
    <t>The girl did not need water</t>
  </si>
  <si>
    <t>The girl was hydrated</t>
  </si>
  <si>
    <t>The room was bright</t>
  </si>
  <si>
    <t>The room was well lit</t>
  </si>
  <si>
    <t>The room was not well lit</t>
  </si>
  <si>
    <t>The room was dark</t>
  </si>
  <si>
    <t>The sun was shining</t>
  </si>
  <si>
    <t>The sun was very bright</t>
  </si>
  <si>
    <t>The sun was not very bright</t>
  </si>
  <si>
    <t>The sun was dim</t>
  </si>
  <si>
    <t>The sand feels smooth</t>
  </si>
  <si>
    <t>it's coarse</t>
  </si>
  <si>
    <t>it's not coarse</t>
  </si>
  <si>
    <t>The sand feels rough</t>
  </si>
  <si>
    <t>She was experienced</t>
  </si>
  <si>
    <t>She was skillful</t>
  </si>
  <si>
    <t>She was not skillful</t>
  </si>
  <si>
    <t>She was inexperienced</t>
  </si>
  <si>
    <t>The movie ending was straightforward</t>
  </si>
  <si>
    <t>The movie ending made sense</t>
  </si>
  <si>
    <t>The movie ending did not make sense</t>
  </si>
  <si>
    <t>The movie ending was confusing</t>
  </si>
  <si>
    <t>She was boring</t>
  </si>
  <si>
    <t>She was fun</t>
  </si>
  <si>
    <t>The cat had a lot of hair</t>
  </si>
  <si>
    <t>The cat was bald</t>
  </si>
  <si>
    <t>The disease was severe</t>
  </si>
  <si>
    <t>The disease was minor</t>
  </si>
  <si>
    <t>The wood floor is smooth</t>
  </si>
  <si>
    <t>The floor is not slippery</t>
  </si>
  <si>
    <t>The floor is slippery</t>
  </si>
  <si>
    <t>The wood floor is rough</t>
  </si>
  <si>
    <t>He's tireless</t>
  </si>
  <si>
    <t>He's busy</t>
  </si>
  <si>
    <t>He's not busy</t>
  </si>
  <si>
    <t>He's lazy</t>
  </si>
  <si>
    <t>The book is chunky</t>
  </si>
  <si>
    <t>The book is thick</t>
  </si>
  <si>
    <t>The book is not thick</t>
  </si>
  <si>
    <t>The book is thin</t>
  </si>
  <si>
    <t>The man's muscles are big</t>
  </si>
  <si>
    <t>The man is muscular</t>
  </si>
  <si>
    <t>The man is not muscular</t>
  </si>
  <si>
    <t>The man's muscles are small</t>
  </si>
  <si>
    <t>The computer is efficient</t>
  </si>
  <si>
    <t>The computer is not fast</t>
  </si>
  <si>
    <t>He is not brave</t>
  </si>
  <si>
    <t>He is a hero</t>
  </si>
  <si>
    <t>The vase was weak</t>
  </si>
  <si>
    <t>The vase is not fragile</t>
  </si>
  <si>
    <t>The vase was strong</t>
  </si>
  <si>
    <t>She was a close friend to him</t>
  </si>
  <si>
    <t>He knew her well</t>
  </si>
  <si>
    <t>He didn't know her well</t>
  </si>
  <si>
    <t>She was a stranger to him</t>
  </si>
  <si>
    <t>It was freezing</t>
  </si>
  <si>
    <t>It wasn't hot</t>
  </si>
  <si>
    <t>It was hot</t>
  </si>
  <si>
    <t>It was scorching</t>
  </si>
  <si>
    <t>The elderly cat is tired</t>
  </si>
  <si>
    <t>The cat is not hyperactive</t>
  </si>
  <si>
    <t>The elderly cat has a lot of energy</t>
  </si>
  <si>
    <t>The work was mediocre</t>
  </si>
  <si>
    <t>the work was not amazing</t>
  </si>
  <si>
    <t>The work was exceptional</t>
  </si>
  <si>
    <t>The child was intelligent</t>
  </si>
  <si>
    <t>The child was smart</t>
  </si>
  <si>
    <t>The child was stupid</t>
  </si>
  <si>
    <t>The government was very productive</t>
  </si>
  <si>
    <t>The government was efficient</t>
  </si>
  <si>
    <t>The government was not efficient</t>
  </si>
  <si>
    <t>The government was unproductive</t>
  </si>
  <si>
    <t>She's lovely</t>
  </si>
  <si>
    <t>She's sweet</t>
  </si>
  <si>
    <t>She's not sweet</t>
  </si>
  <si>
    <t>She's horrible</t>
  </si>
  <si>
    <t>The letter was touching</t>
  </si>
  <si>
    <t>The letter was heartwarming.</t>
  </si>
  <si>
    <t>The letter wasn't heartwarming</t>
  </si>
  <si>
    <t>The letter was distressing</t>
  </si>
  <si>
    <t>The tree canopy has a small shadows</t>
  </si>
  <si>
    <t>The tree canopy does not provide shade</t>
  </si>
  <si>
    <t>The tree canopy provides shade</t>
  </si>
  <si>
    <t>The tree canopy has a large shadows</t>
  </si>
  <si>
    <t>The You Tube tutorial was unenlightening</t>
  </si>
  <si>
    <t>The You Tube tutorial wasn't informative</t>
  </si>
  <si>
    <t>The You Tube tutorial was informative</t>
  </si>
  <si>
    <t>The You Tube tutorial was enlightening</t>
  </si>
  <si>
    <t>He was frightened</t>
  </si>
  <si>
    <t>He was fearless</t>
  </si>
  <si>
    <t>It was effortless</t>
  </si>
  <si>
    <t>It was easy</t>
  </si>
  <si>
    <t>It was difficult</t>
  </si>
  <si>
    <t>The clone was indistinguishable</t>
  </si>
  <si>
    <t>The clone was dissimilar</t>
  </si>
  <si>
    <t>Their relationship was superficial</t>
  </si>
  <si>
    <t>The weren't close</t>
  </si>
  <si>
    <t>Their relationship was intimate</t>
  </si>
  <si>
    <t>It has a huge lifespan</t>
  </si>
  <si>
    <t>It doesn't live for a long time</t>
  </si>
  <si>
    <t>It has a short lifespan</t>
  </si>
  <si>
    <t>The shampoo has a strong moisturizing power</t>
  </si>
  <si>
    <t>It moisturizes well</t>
  </si>
  <si>
    <t>The shampoo has a weak moisturizing power</t>
  </si>
  <si>
    <t>The movie was unsurprising</t>
  </si>
  <si>
    <t>The movie could be predicted</t>
  </si>
  <si>
    <t>The movie couldn't be predicted</t>
  </si>
  <si>
    <t>The movie was surprising</t>
  </si>
  <si>
    <t>The girl gets a lot of attention</t>
  </si>
  <si>
    <t>The girl gets attention.</t>
  </si>
  <si>
    <t>The girl doesn't get attention</t>
  </si>
  <si>
    <t>The girl gets little attention</t>
  </si>
  <si>
    <t>Their marriage was enthusiastic</t>
  </si>
  <si>
    <t>Their marriage is very passionate</t>
  </si>
  <si>
    <t>Their marriage is not very passionate</t>
  </si>
  <si>
    <t>Their marriage was apathetic</t>
  </si>
  <si>
    <t>The house was noisy</t>
  </si>
  <si>
    <t>The house was quiet</t>
  </si>
  <si>
    <t>The pillow is squashy</t>
  </si>
  <si>
    <t>The book was as entertaining</t>
  </si>
  <si>
    <t>The book was as boring</t>
  </si>
  <si>
    <t>His movements were dexterous</t>
  </si>
  <si>
    <t>His movements were clumsy</t>
  </si>
  <si>
    <t>The light was shining</t>
  </si>
  <si>
    <t>The light was faint</t>
  </si>
  <si>
    <t>The bottle is transparent</t>
  </si>
  <si>
    <t>The bottle is clear</t>
  </si>
  <si>
    <t>The bottle is not clear</t>
  </si>
  <si>
    <t>The bottle is opaque</t>
  </si>
  <si>
    <t>That cat was dangerous</t>
  </si>
  <si>
    <t>The cat was deadly</t>
  </si>
  <si>
    <t>The cat was not deadly</t>
  </si>
  <si>
    <t>That cat was harmless</t>
  </si>
  <si>
    <t>The actors in the play were incompetent</t>
  </si>
  <si>
    <t>The actors in the play were skilled</t>
  </si>
  <si>
    <t>The tofu is peppery</t>
  </si>
  <si>
    <t>The tofu is spicy</t>
  </si>
  <si>
    <t>The tofu is not spicy</t>
  </si>
  <si>
    <t>The tofu is mild</t>
  </si>
  <si>
    <t>The car was reliable</t>
  </si>
  <si>
    <t>The car was unreliable</t>
  </si>
  <si>
    <t>The woman was attractive</t>
  </si>
  <si>
    <t>The woman is good looking</t>
  </si>
  <si>
    <t>The woman is not good looking</t>
  </si>
  <si>
    <t>The woman was ugly</t>
  </si>
  <si>
    <t>The drawing was circular</t>
  </si>
  <si>
    <t>The drawing was round</t>
  </si>
  <si>
    <t>The drawing was not round</t>
  </si>
  <si>
    <t>The drawing was square</t>
  </si>
  <si>
    <t>I could eat a lot</t>
  </si>
  <si>
    <t>I could eat a little</t>
  </si>
  <si>
    <t>He is unfriendly</t>
  </si>
  <si>
    <t>He is not sociable</t>
  </si>
  <si>
    <t>He is sociable</t>
  </si>
  <si>
    <t>He is friendly</t>
  </si>
  <si>
    <t>The juice box is adhesive</t>
  </si>
  <si>
    <t>The juice box isn't sticky</t>
  </si>
  <si>
    <t>The juice box is slippery</t>
  </si>
  <si>
    <t>The lightbulb puts out a lot of light</t>
  </si>
  <si>
    <t>The lightbulb does not put out a lot of light</t>
  </si>
  <si>
    <t>The lightbulb is very faint</t>
  </si>
  <si>
    <t>The screen play was ficticious</t>
  </si>
  <si>
    <t>The screen play was realistic</t>
  </si>
  <si>
    <t>The screen play was factual</t>
  </si>
  <si>
    <t>The book is stupid</t>
  </si>
  <si>
    <t>he book was not fantastic</t>
  </si>
  <si>
    <t>The book was fantastic</t>
  </si>
  <si>
    <t>The book is clever</t>
  </si>
  <si>
    <t>My puppy is lethargic</t>
  </si>
  <si>
    <t>My puppy is lively</t>
  </si>
  <si>
    <t>I found her to be boring</t>
  </si>
  <si>
    <t>She was interesting</t>
  </si>
  <si>
    <t>I found her to be intriguing</t>
  </si>
  <si>
    <t>Those peppers I ate were spicy</t>
  </si>
  <si>
    <t>The peppers were hot</t>
  </si>
  <si>
    <t>The peppers were not hot</t>
  </si>
  <si>
    <t>Those peppers I ate were mild</t>
  </si>
  <si>
    <t>Her fingernails were soft</t>
  </si>
  <si>
    <t>Her fingernails were hard</t>
  </si>
  <si>
    <t>He runs quickly</t>
  </si>
  <si>
    <t>He can run really fast</t>
  </si>
  <si>
    <t>He can not run really fast</t>
  </si>
  <si>
    <t>He runs slowly</t>
  </si>
  <si>
    <t>The movie was hilarious</t>
  </si>
  <si>
    <t>The movie wasn't funny</t>
  </si>
  <si>
    <t>The movie was funny</t>
  </si>
  <si>
    <t>The movie was serious</t>
  </si>
  <si>
    <t>The fence is corroded</t>
  </si>
  <si>
    <t>The fence is rusty</t>
  </si>
  <si>
    <t>The fence is pristine</t>
  </si>
  <si>
    <t>That movie was prolonged</t>
  </si>
  <si>
    <t>The movie was not long</t>
  </si>
  <si>
    <t>That movie was brief</t>
  </si>
  <si>
    <t>She was emotionally weak</t>
  </si>
  <si>
    <t>She was not emotionally resilient</t>
  </si>
  <si>
    <t>She was emotionally resilient</t>
  </si>
  <si>
    <t>She was emotionally strong</t>
  </si>
  <si>
    <t>That thing is expensive</t>
  </si>
  <si>
    <t>The item is valuable</t>
  </si>
  <si>
    <t>The item is not valuable</t>
  </si>
  <si>
    <t>That thing is worthless</t>
  </si>
  <si>
    <t>His position on the platform was precarious</t>
  </si>
  <si>
    <t>His position was not stable</t>
  </si>
  <si>
    <t>His position was stable</t>
  </si>
  <si>
    <t>His position on the platform was firm</t>
  </si>
  <si>
    <t>His feet were large</t>
  </si>
  <si>
    <t>His feet were not small</t>
  </si>
  <si>
    <t>His feet were small</t>
  </si>
  <si>
    <t>His feet were tiny</t>
  </si>
  <si>
    <t>The gift I received was desirable</t>
  </si>
  <si>
    <t>The gift was beneficial</t>
  </si>
  <si>
    <t>The gift was not beneficial</t>
  </si>
  <si>
    <t>The gift I received was unsuitable</t>
  </si>
  <si>
    <t>The man was determined</t>
  </si>
  <si>
    <t>The man is ambitious</t>
  </si>
  <si>
    <t>The man is not ambitious</t>
  </si>
  <si>
    <t>The man was unmotivated</t>
  </si>
  <si>
    <t>This game is difficult</t>
  </si>
  <si>
    <t>The game is not very hard</t>
  </si>
  <si>
    <t>This game is easy</t>
  </si>
  <si>
    <t>The boy's voice was very loud</t>
  </si>
  <si>
    <t>The boy's voice could be heard</t>
  </si>
  <si>
    <t>The boy's voice couldn't be heard</t>
  </si>
  <si>
    <t>The boy's voice was very quiet</t>
  </si>
  <si>
    <t>He has good eyesight</t>
  </si>
  <si>
    <t>He doesn't see well</t>
  </si>
  <si>
    <t>He has poor eyesight</t>
  </si>
  <si>
    <t>He's strict</t>
  </si>
  <si>
    <t>He's not lenient</t>
  </si>
  <si>
    <t>He's lenient</t>
  </si>
  <si>
    <t>He's tolerant</t>
  </si>
  <si>
    <t>The comedian was amusing</t>
  </si>
  <si>
    <t>The comedian was boring</t>
  </si>
  <si>
    <t>The judge was unintelligent</t>
  </si>
  <si>
    <t>The judge is not smart</t>
  </si>
  <si>
    <t>The judge is smart</t>
  </si>
  <si>
    <t>The judge was intelligent</t>
  </si>
  <si>
    <t>That wave was huge</t>
  </si>
  <si>
    <t>The wave was very big</t>
  </si>
  <si>
    <t>The wave wasn't very big</t>
  </si>
  <si>
    <t>That wave was small</t>
  </si>
  <si>
    <t>This is entertaining</t>
  </si>
  <si>
    <t>It's fun</t>
  </si>
  <si>
    <t>It's not fun</t>
  </si>
  <si>
    <t>This is boring</t>
  </si>
  <si>
    <t>The shopping list was thorough</t>
  </si>
  <si>
    <t>The shopping list was detailed</t>
  </si>
  <si>
    <t>The shopping list was not detailed</t>
  </si>
  <si>
    <t>The shopping list was unorganised</t>
  </si>
  <si>
    <t>The blanket was velvety</t>
  </si>
  <si>
    <t>The blanket was not soft</t>
  </si>
  <si>
    <t>He sang passionately</t>
  </si>
  <si>
    <t>He was emotional while singing</t>
  </si>
  <si>
    <t>He was not emotional while singing</t>
  </si>
  <si>
    <t>He sang apathetically</t>
  </si>
  <si>
    <t>The football fans at the beginning of the season were hopeful</t>
  </si>
  <si>
    <t>The football fans believed that the football season would be successful</t>
  </si>
  <si>
    <t>The football fans did not believe that the football season would be successful</t>
  </si>
  <si>
    <t>The football fans at the beginning of the season were pessimistic</t>
  </si>
  <si>
    <t>The girl smiled excitedly</t>
  </si>
  <si>
    <t>The girl's smile was exuberant</t>
  </si>
  <si>
    <t>The girl's smile was not exuberant</t>
  </si>
  <si>
    <t>The girl smiled calmly</t>
  </si>
  <si>
    <t>That man was likeable</t>
  </si>
  <si>
    <t>He was not charming</t>
  </si>
  <si>
    <t>He was charming</t>
  </si>
  <si>
    <t>That man was hostile</t>
  </si>
  <si>
    <t>He's selfish</t>
  </si>
  <si>
    <t>He doesn't share a lot</t>
  </si>
  <si>
    <t>He shares a lot</t>
  </si>
  <si>
    <t>He's generous</t>
  </si>
  <si>
    <t>This food is delicious</t>
  </si>
  <si>
    <t>This food is very flavorful</t>
  </si>
  <si>
    <t>This food is not very flavorful</t>
  </si>
  <si>
    <t>This food is tasteless</t>
  </si>
  <si>
    <t>This is painful</t>
  </si>
  <si>
    <t>This hurts</t>
  </si>
  <si>
    <t>This does not hurt</t>
  </si>
  <si>
    <t>This is painless</t>
  </si>
  <si>
    <t>The knife is reflective</t>
  </si>
  <si>
    <t>The knife is shiny</t>
  </si>
  <si>
    <t>The knife is not shiny</t>
  </si>
  <si>
    <t>The knife is matte</t>
  </si>
  <si>
    <t>The bone is pale</t>
  </si>
  <si>
    <t>The bone is white</t>
  </si>
  <si>
    <t>The bone is dark</t>
  </si>
  <si>
    <t>The villain is very intelligent</t>
  </si>
  <si>
    <t>The villain is not a genius</t>
  </si>
  <si>
    <t>The villain is ignorant</t>
  </si>
  <si>
    <t>He has vast knowledge about science</t>
  </si>
  <si>
    <t>He knows a lot about science</t>
  </si>
  <si>
    <t>He doesn't know a lot about science</t>
  </si>
  <si>
    <t>He has limited knowledge about science</t>
  </si>
  <si>
    <t>That man is truthful</t>
  </si>
  <si>
    <t>The man is honest</t>
  </si>
  <si>
    <t>The man is not honest</t>
  </si>
  <si>
    <t>That man is deceitful</t>
  </si>
  <si>
    <t>He fought powerfully</t>
  </si>
  <si>
    <t>He fought well</t>
  </si>
  <si>
    <t>He didn't fight well</t>
  </si>
  <si>
    <t>He fought weakly</t>
  </si>
  <si>
    <t>The house was enticing</t>
  </si>
  <si>
    <t>The house was inviting</t>
  </si>
  <si>
    <t>The house was not inviting</t>
  </si>
  <si>
    <t>The house was repulsive</t>
  </si>
  <si>
    <t>That website is helpful</t>
  </si>
  <si>
    <t>The website was not useful</t>
  </si>
  <si>
    <t>The website was useful</t>
  </si>
  <si>
    <t>That website is unhelpful</t>
  </si>
  <si>
    <t>The lamp did not give off a lot of light</t>
  </si>
  <si>
    <t>The costume fit snugly</t>
  </si>
  <si>
    <t>The costume fit well</t>
  </si>
  <si>
    <t>The costume didn't fit well</t>
  </si>
  <si>
    <t>The costume fit inadiquately</t>
  </si>
  <si>
    <t>They got few people interested</t>
  </si>
  <si>
    <t>There's not many people interested in this</t>
  </si>
  <si>
    <t>There's many people interested in this</t>
  </si>
  <si>
    <t>They got numerous people interested</t>
  </si>
  <si>
    <t>The boy is slim</t>
  </si>
  <si>
    <t>The boy is thin</t>
  </si>
  <si>
    <t>The boy isn't thin</t>
  </si>
  <si>
    <t>The boy is fat</t>
  </si>
  <si>
    <t>The artist's work is identifiable</t>
  </si>
  <si>
    <t>The artist's work is recognizable</t>
  </si>
  <si>
    <t>The artist's work isn't recognizable</t>
  </si>
  <si>
    <t>The artist's work is unremarkable</t>
  </si>
  <si>
    <t>He works busily</t>
  </si>
  <si>
    <t>He works really hard</t>
  </si>
  <si>
    <t>He doesn't work really hard</t>
  </si>
  <si>
    <t>He works lazily</t>
  </si>
  <si>
    <t>He's capable at jumping</t>
  </si>
  <si>
    <t>He can jump really well</t>
  </si>
  <si>
    <t>He can't jump really well</t>
  </si>
  <si>
    <t>He's awful at jumping</t>
  </si>
  <si>
    <t>The love between the two was enthusiastic</t>
  </si>
  <si>
    <t>The love was very passionate</t>
  </si>
  <si>
    <t>The love was not very passionate</t>
  </si>
  <si>
    <t>The love between the two was modest</t>
  </si>
  <si>
    <t>After finishing his invention he felt proud</t>
  </si>
  <si>
    <t>The invention was not very well done</t>
  </si>
  <si>
    <t>After finishing his invention he felt ashamed</t>
  </si>
  <si>
    <t>That boy is very dumb</t>
  </si>
  <si>
    <t>The boy is not a genius</t>
  </si>
  <si>
    <t>That boy is very intelligent</t>
  </si>
  <si>
    <t>They are excited</t>
  </si>
  <si>
    <t>they aren't hyped</t>
  </si>
  <si>
    <t>They are disinterested</t>
  </si>
  <si>
    <t>This blanket is thin</t>
  </si>
  <si>
    <t>The blanket does not keep me warm</t>
  </si>
  <si>
    <t>The blanket keeps me warm</t>
  </si>
  <si>
    <t>This blanket is insulating</t>
  </si>
  <si>
    <t>The music is annoying</t>
  </si>
  <si>
    <t>The music is calming</t>
  </si>
  <si>
    <t>The music is a soothing</t>
  </si>
  <si>
    <t>The route was direct</t>
  </si>
  <si>
    <t>The route followed a straight line</t>
  </si>
  <si>
    <t>The route did not follow a straight line</t>
  </si>
  <si>
    <t>The route was twisting</t>
  </si>
  <si>
    <t>The knife was cutting</t>
  </si>
  <si>
    <t>The knife was sharp</t>
  </si>
  <si>
    <t>The knife wasn't sharp</t>
  </si>
  <si>
    <t>The knife was blunt</t>
  </si>
  <si>
    <t>He's solemn</t>
  </si>
  <si>
    <t>He's very serious</t>
  </si>
  <si>
    <t>He's not very serious</t>
  </si>
  <si>
    <t>He's playful</t>
  </si>
  <si>
    <t>The document is formal</t>
  </si>
  <si>
    <t>The document is official</t>
  </si>
  <si>
    <t>The document isn't official</t>
  </si>
  <si>
    <t>The document is casual</t>
  </si>
  <si>
    <t>The milk was warm</t>
  </si>
  <si>
    <t>The milk was not cold</t>
  </si>
  <si>
    <t>The milk was cold</t>
  </si>
  <si>
    <t>The milk was chilled</t>
  </si>
  <si>
    <t>He is dirty</t>
  </si>
  <si>
    <t>He is not a clean person</t>
  </si>
  <si>
    <t>He is a clean person</t>
  </si>
  <si>
    <t>He is hygienic</t>
  </si>
  <si>
    <t>The night was unilluminated</t>
  </si>
  <si>
    <t>The night was not dark</t>
  </si>
  <si>
    <t>The night was bright</t>
  </si>
  <si>
    <t>The food is edible</t>
  </si>
  <si>
    <t>The food is inedible</t>
  </si>
  <si>
    <t>Mary's voice is pleasing</t>
  </si>
  <si>
    <t>Mary is not a good singer</t>
  </si>
  <si>
    <t>Mary's voice is harsh</t>
  </si>
  <si>
    <t>The illness was benign</t>
  </si>
  <si>
    <t>The illness is serious</t>
  </si>
  <si>
    <t>The illness was deadly</t>
  </si>
  <si>
    <t>The story was tedious</t>
  </si>
  <si>
    <t>The story was captivating</t>
  </si>
  <si>
    <t>That monster was terrifying</t>
  </si>
  <si>
    <t>That monster was harmless</t>
  </si>
  <si>
    <t>model</t>
  </si>
  <si>
    <t>all average</t>
  </si>
  <si>
    <t>all count total</t>
  </si>
  <si>
    <t>all count correct</t>
  </si>
  <si>
    <t>all lower interval</t>
  </si>
  <si>
    <t>all upper interval</t>
  </si>
  <si>
    <t>met average</t>
  </si>
  <si>
    <t>met count total</t>
  </si>
  <si>
    <t>met count correct</t>
  </si>
  <si>
    <t>met lower interval</t>
  </si>
  <si>
    <t>met upper interval</t>
  </si>
  <si>
    <t>sim average</t>
  </si>
  <si>
    <t>sim count total</t>
  </si>
  <si>
    <t>sim count correct</t>
  </si>
  <si>
    <t>sim lower interval</t>
  </si>
  <si>
    <t>sim upper interval</t>
  </si>
  <si>
    <t>not neg pairs average</t>
  </si>
  <si>
    <t>not neg pairs count total</t>
  </si>
  <si>
    <t>not neg pairs count correct</t>
  </si>
  <si>
    <t>not neg pairs lower interval</t>
  </si>
  <si>
    <t>not neg pairs upper interval</t>
  </si>
  <si>
    <t>neg pairs average</t>
  </si>
  <si>
    <t>neg pairs count total</t>
  </si>
  <si>
    <t>neg pairs count correct</t>
  </si>
  <si>
    <t>neg pairs lower interval</t>
  </si>
  <si>
    <t>neg pairs upper interval</t>
  </si>
  <si>
    <t>neg average</t>
  </si>
  <si>
    <t>neg count total</t>
  </si>
  <si>
    <t>neg count correct</t>
  </si>
  <si>
    <t>neg lower interval</t>
  </si>
  <si>
    <t>neg upper interval</t>
  </si>
  <si>
    <t>intens average</t>
  </si>
  <si>
    <t>intens count total</t>
  </si>
  <si>
    <t>intens count correct</t>
  </si>
  <si>
    <t>intens lower interval</t>
  </si>
  <si>
    <t>intens upper interval</t>
  </si>
  <si>
    <t>neg not average</t>
  </si>
  <si>
    <t>neg not count total</t>
  </si>
  <si>
    <t>neg not count correct</t>
  </si>
  <si>
    <t>neg not lower interval</t>
  </si>
  <si>
    <t>neg not upper interval</t>
  </si>
  <si>
    <t>intens not average</t>
  </si>
  <si>
    <t>intens not count total</t>
  </si>
  <si>
    <t>intens not count correct</t>
  </si>
  <si>
    <t>intens not lower interval</t>
  </si>
  <si>
    <t>intens not upper interval</t>
  </si>
  <si>
    <t>neg antonym average</t>
  </si>
  <si>
    <t>neg antonym count total</t>
  </si>
  <si>
    <t>neg antonym count correct</t>
  </si>
  <si>
    <t>neg antonym lower interval</t>
  </si>
  <si>
    <t>neg antonym upper interval</t>
  </si>
  <si>
    <t>intens antonym average</t>
  </si>
  <si>
    <t>intens antonym count total</t>
  </si>
  <si>
    <t>intens antonym count correct</t>
  </si>
  <si>
    <t>intens antonym lower interval</t>
  </si>
  <si>
    <t>intens antonym upper interval</t>
  </si>
  <si>
    <t>past tense average</t>
  </si>
  <si>
    <t>past tense count total</t>
  </si>
  <si>
    <t>past tense count correct</t>
  </si>
  <si>
    <t>past tense lower interval</t>
  </si>
  <si>
    <t>past tense upper interval</t>
  </si>
  <si>
    <t>present tense average</t>
  </si>
  <si>
    <t>present tense count total</t>
  </si>
  <si>
    <t>present tense count correct</t>
  </si>
  <si>
    <t>present tense lower interval</t>
  </si>
  <si>
    <t>present tense upper interval</t>
  </si>
  <si>
    <t>low concreteness average</t>
  </si>
  <si>
    <t>low concreteness count total</t>
  </si>
  <si>
    <t>low concreteness count correct</t>
  </si>
  <si>
    <t>low concreteness lower interval</t>
  </si>
  <si>
    <t>low concreteness upper interval</t>
  </si>
  <si>
    <t>high concreteness average</t>
  </si>
  <si>
    <t>high concreteness count total</t>
  </si>
  <si>
    <t>high concreteness count correct</t>
  </si>
  <si>
    <t>high concreteness lower interval</t>
  </si>
  <si>
    <t>high concreteness upper interval</t>
  </si>
  <si>
    <t>litneg originals average</t>
  </si>
  <si>
    <t>litneg originals count total</t>
  </si>
  <si>
    <t>litneg originals count correct</t>
  </si>
  <si>
    <t>litneg originals lower interval</t>
  </si>
  <si>
    <t>litneg originals upper interval</t>
  </si>
  <si>
    <t>litneg originals intens average</t>
  </si>
  <si>
    <t>litneg originals intens count total</t>
  </si>
  <si>
    <t>litneg originals intens count correct</t>
  </si>
  <si>
    <t>litneg originals intens lower interval</t>
  </si>
  <si>
    <t>litneg originals intens upper interval</t>
  </si>
  <si>
    <t>litneg originals neg average</t>
  </si>
  <si>
    <t>litneg originals neg count total</t>
  </si>
  <si>
    <t>litneg originals neg count correct</t>
  </si>
  <si>
    <t>litneg originals neg lower interval</t>
  </si>
  <si>
    <t>litneg originals neg upper interval</t>
  </si>
  <si>
    <t>Total M123</t>
  </si>
  <si>
    <t>Total M45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</si>
</sst>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A8AC6"/>
      <color rgb="FF4472C4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16726\Documents\GitHub\Negation-in-Fig-Lang\Datasets\Fig-QA%20Dataset%20calc.xlsx" TargetMode="External"/><Relationship Id="rId1" Type="http://schemas.openxmlformats.org/officeDocument/2006/relationships/externalLinkPath" Target="/Users/jo16726/Documents/GitHub/Negation-in-Fig-Lang/Datasets/Fig-QA%20Dataset%20cal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16726\Documents\GitHub\Negation-in-Fig-Lang\Datasets\negation%20sentences.xlsx" TargetMode="External"/><Relationship Id="rId1" Type="http://schemas.openxmlformats.org/officeDocument/2006/relationships/externalLinkPath" Target="/Users/jo16726/Documents/GitHub/Negation-in-Fig-Lang/Datasets/negation%20sentenc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16726\Documents\GitHub\Negation-in-Fig-Lang\Datasets\Fig-QA%20Dataset%20validation.xlsx" TargetMode="External"/><Relationship Id="rId1" Type="http://schemas.openxmlformats.org/officeDocument/2006/relationships/externalLinkPath" Target="/Users/jo16726/Documents/GitHub/Negation-in-Fig-Lang/Datasets/Fig-QA%20Dataset%20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in_xl"/>
      <sheetName val="Sheet1"/>
    </sheetNames>
    <sheetDataSet>
      <sheetData sheetId="0">
        <row r="1">
          <cell r="G1" t="str">
            <v>xid</v>
          </cell>
          <cell r="H1" t="str">
            <v>simile type</v>
          </cell>
          <cell r="I1" t="str">
            <v>met sim</v>
          </cell>
          <cell r="V1" t="str">
            <v>paired sim negpair type</v>
          </cell>
          <cell r="Y1" t="str">
            <v>tense</v>
          </cell>
          <cell r="Z1" t="str">
            <v>subj concreteness</v>
          </cell>
          <cell r="AA1" t="str">
            <v>concreteness category</v>
          </cell>
          <cell r="AB1" t="str">
            <v>litneg</v>
          </cell>
        </row>
        <row r="2">
          <cell r="G2" t="str">
            <v>10_0</v>
          </cell>
          <cell r="H2" t="str">
            <v>the-of</v>
          </cell>
          <cell r="I2" t="str">
            <v>sim</v>
          </cell>
          <cell r="V2" t="str">
            <v>not</v>
          </cell>
          <cell r="Y2" t="str">
            <v>Past</v>
          </cell>
          <cell r="Z2">
            <v>2.09</v>
          </cell>
          <cell r="AA2" t="str">
            <v>L</v>
          </cell>
          <cell r="AB2">
            <v>1</v>
          </cell>
        </row>
        <row r="3">
          <cell r="G3" t="str">
            <v>10_1</v>
          </cell>
          <cell r="H3" t="str">
            <v>the-of</v>
          </cell>
          <cell r="I3" t="str">
            <v>sim</v>
          </cell>
          <cell r="V3" t="str">
            <v>not</v>
          </cell>
          <cell r="Y3" t="str">
            <v>Past</v>
          </cell>
          <cell r="Z3">
            <v>2.09</v>
          </cell>
          <cell r="AA3" t="str">
            <v>L</v>
          </cell>
          <cell r="AB3">
            <v>1</v>
          </cell>
        </row>
        <row r="4">
          <cell r="G4" t="str">
            <v>11_0</v>
          </cell>
          <cell r="H4" t="str">
            <v>the-of</v>
          </cell>
          <cell r="I4" t="str">
            <v>sim</v>
          </cell>
          <cell r="V4" t="str">
            <v>not neg pair</v>
          </cell>
          <cell r="Y4" t="str">
            <v>Pres</v>
          </cell>
          <cell r="Z4">
            <v>4.4800000000000004</v>
          </cell>
          <cell r="AA4">
            <v>0</v>
          </cell>
          <cell r="AB4">
            <v>0</v>
          </cell>
        </row>
        <row r="5">
          <cell r="G5" t="str">
            <v>11_1</v>
          </cell>
          <cell r="H5" t="str">
            <v>the-of</v>
          </cell>
          <cell r="I5" t="str">
            <v>sim</v>
          </cell>
          <cell r="V5" t="str">
            <v>not neg pair</v>
          </cell>
          <cell r="Y5" t="str">
            <v>Pres</v>
          </cell>
          <cell r="Z5">
            <v>4.4800000000000004</v>
          </cell>
          <cell r="AA5">
            <v>0</v>
          </cell>
          <cell r="AB5">
            <v>0</v>
          </cell>
        </row>
        <row r="6">
          <cell r="G6" t="str">
            <v>14_0</v>
          </cell>
          <cell r="H6" t="str">
            <v>as-as</v>
          </cell>
          <cell r="I6" t="str">
            <v>sim</v>
          </cell>
          <cell r="V6" t="str">
            <v>antonym</v>
          </cell>
          <cell r="Y6" t="str">
            <v>Pres</v>
          </cell>
          <cell r="Z6">
            <v>2.81</v>
          </cell>
          <cell r="AA6" t="str">
            <v>L</v>
          </cell>
          <cell r="AB6">
            <v>0</v>
          </cell>
        </row>
        <row r="7">
          <cell r="G7" t="str">
            <v>14_1</v>
          </cell>
          <cell r="H7" t="str">
            <v>as-as</v>
          </cell>
          <cell r="I7" t="str">
            <v>sim</v>
          </cell>
          <cell r="V7" t="str">
            <v>antonym</v>
          </cell>
          <cell r="Y7" t="str">
            <v>Pres</v>
          </cell>
          <cell r="Z7">
            <v>2.81</v>
          </cell>
          <cell r="AA7" t="str">
            <v>L</v>
          </cell>
          <cell r="AB7">
            <v>0</v>
          </cell>
        </row>
        <row r="8">
          <cell r="G8" t="str">
            <v>22_0</v>
          </cell>
          <cell r="H8" t="str">
            <v>as-as</v>
          </cell>
          <cell r="I8" t="str">
            <v>sim</v>
          </cell>
          <cell r="V8" t="str">
            <v>not neg pair</v>
          </cell>
          <cell r="Y8" t="str">
            <v>Past</v>
          </cell>
          <cell r="Z8">
            <v>3.93</v>
          </cell>
          <cell r="AA8">
            <v>0</v>
          </cell>
          <cell r="AB8">
            <v>0</v>
          </cell>
        </row>
        <row r="9">
          <cell r="G9" t="str">
            <v>22_1</v>
          </cell>
          <cell r="H9" t="str">
            <v>as-as</v>
          </cell>
          <cell r="I9" t="str">
            <v>sim</v>
          </cell>
          <cell r="V9" t="str">
            <v>not neg pair</v>
          </cell>
          <cell r="Y9" t="str">
            <v>Past</v>
          </cell>
          <cell r="Z9">
            <v>3.93</v>
          </cell>
          <cell r="AA9">
            <v>0</v>
          </cell>
          <cell r="AB9">
            <v>0</v>
          </cell>
        </row>
        <row r="10">
          <cell r="G10" t="str">
            <v>24_0</v>
          </cell>
          <cell r="H10" t="str">
            <v>as-as</v>
          </cell>
          <cell r="I10" t="str">
            <v>sim</v>
          </cell>
          <cell r="V10" t="str">
            <v>antonym</v>
          </cell>
          <cell r="Y10" t="str">
            <v>Past</v>
          </cell>
          <cell r="Z10">
            <v>3.43</v>
          </cell>
          <cell r="AA10">
            <v>0</v>
          </cell>
          <cell r="AB10">
            <v>0</v>
          </cell>
        </row>
        <row r="11">
          <cell r="G11" t="str">
            <v>24_1</v>
          </cell>
          <cell r="H11" t="str">
            <v>as-as</v>
          </cell>
          <cell r="I11" t="str">
            <v>sim</v>
          </cell>
          <cell r="V11" t="str">
            <v>antonym</v>
          </cell>
          <cell r="Y11" t="str">
            <v>Past</v>
          </cell>
          <cell r="Z11">
            <v>0</v>
          </cell>
          <cell r="AA11">
            <v>0</v>
          </cell>
          <cell r="AB11">
            <v>0</v>
          </cell>
        </row>
        <row r="12">
          <cell r="G12" t="str">
            <v>26_0</v>
          </cell>
          <cell r="H12" t="str">
            <v>the-of</v>
          </cell>
          <cell r="I12" t="str">
            <v>sim</v>
          </cell>
          <cell r="V12" t="str">
            <v>not neg pair</v>
          </cell>
          <cell r="Y12" t="str">
            <v>Past</v>
          </cell>
          <cell r="Z12">
            <v>3.93</v>
          </cell>
          <cell r="AA12">
            <v>0</v>
          </cell>
          <cell r="AB12">
            <v>0</v>
          </cell>
        </row>
        <row r="13">
          <cell r="G13" t="str">
            <v>26_1</v>
          </cell>
          <cell r="H13" t="str">
            <v>the-of</v>
          </cell>
          <cell r="I13" t="str">
            <v>sim</v>
          </cell>
          <cell r="V13" t="str">
            <v>not neg pair</v>
          </cell>
          <cell r="Y13" t="str">
            <v>Past</v>
          </cell>
          <cell r="Z13">
            <v>3.93</v>
          </cell>
          <cell r="AA13">
            <v>0</v>
          </cell>
          <cell r="AB13">
            <v>0</v>
          </cell>
        </row>
        <row r="14">
          <cell r="G14" t="str">
            <v>31_0</v>
          </cell>
          <cell r="H14" t="str">
            <v>like</v>
          </cell>
          <cell r="I14" t="str">
            <v>sim</v>
          </cell>
          <cell r="V14" t="str">
            <v>not neg pair</v>
          </cell>
          <cell r="Y14" t="str">
            <v>Pres</v>
          </cell>
          <cell r="Z14">
            <v>2.81</v>
          </cell>
          <cell r="AA14" t="str">
            <v>L</v>
          </cell>
          <cell r="AB14">
            <v>0</v>
          </cell>
        </row>
        <row r="15">
          <cell r="G15" t="str">
            <v>31_1</v>
          </cell>
          <cell r="H15" t="str">
            <v>like</v>
          </cell>
          <cell r="I15" t="str">
            <v>sim</v>
          </cell>
          <cell r="V15" t="str">
            <v>not neg pair</v>
          </cell>
          <cell r="Y15" t="str">
            <v>Pres</v>
          </cell>
          <cell r="Z15">
            <v>2.81</v>
          </cell>
          <cell r="AA15" t="str">
            <v>L</v>
          </cell>
          <cell r="AB15">
            <v>0</v>
          </cell>
        </row>
        <row r="16">
          <cell r="G16" t="str">
            <v>33_0</v>
          </cell>
          <cell r="H16" t="str">
            <v/>
          </cell>
          <cell r="I16" t="str">
            <v>met</v>
          </cell>
          <cell r="V16" t="str">
            <v>0</v>
          </cell>
          <cell r="Y16" t="str">
            <v>Pres</v>
          </cell>
          <cell r="Z16">
            <v>3.28</v>
          </cell>
          <cell r="AA16">
            <v>0</v>
          </cell>
          <cell r="AB16">
            <v>0</v>
          </cell>
        </row>
        <row r="17">
          <cell r="G17" t="str">
            <v>33_1</v>
          </cell>
          <cell r="H17" t="str">
            <v/>
          </cell>
          <cell r="I17" t="str">
            <v>met</v>
          </cell>
          <cell r="V17" t="str">
            <v>0</v>
          </cell>
          <cell r="Y17" t="str">
            <v>Pres</v>
          </cell>
          <cell r="Z17">
            <v>3.28</v>
          </cell>
          <cell r="AA17">
            <v>0</v>
          </cell>
          <cell r="AB17">
            <v>0</v>
          </cell>
        </row>
        <row r="18">
          <cell r="G18" t="str">
            <v>34_0</v>
          </cell>
          <cell r="H18" t="str">
            <v/>
          </cell>
          <cell r="I18" t="str">
            <v>met</v>
          </cell>
          <cell r="V18" t="str">
            <v>0</v>
          </cell>
          <cell r="Y18" t="str">
            <v>Past</v>
          </cell>
          <cell r="Z18">
            <v>4.21</v>
          </cell>
          <cell r="AA18">
            <v>0</v>
          </cell>
          <cell r="AB18">
            <v>0</v>
          </cell>
        </row>
        <row r="19">
          <cell r="G19" t="str">
            <v>34_1</v>
          </cell>
          <cell r="H19" t="str">
            <v/>
          </cell>
          <cell r="I19" t="str">
            <v>met</v>
          </cell>
          <cell r="V19" t="str">
            <v>0</v>
          </cell>
          <cell r="Y19" t="str">
            <v>Past</v>
          </cell>
          <cell r="Z19">
            <v>4.21</v>
          </cell>
          <cell r="AA19">
            <v>0</v>
          </cell>
          <cell r="AB19">
            <v>0</v>
          </cell>
        </row>
        <row r="20">
          <cell r="G20" t="str">
            <v>36_0</v>
          </cell>
          <cell r="H20" t="str">
            <v/>
          </cell>
          <cell r="I20" t="str">
            <v>met</v>
          </cell>
          <cell r="V20" t="str">
            <v>0</v>
          </cell>
          <cell r="Y20" t="str">
            <v>Pres</v>
          </cell>
          <cell r="Z20">
            <v>4.54</v>
          </cell>
          <cell r="AA20">
            <v>0</v>
          </cell>
          <cell r="AB20">
            <v>0</v>
          </cell>
        </row>
        <row r="21">
          <cell r="G21" t="str">
            <v>36_1</v>
          </cell>
          <cell r="H21" t="str">
            <v/>
          </cell>
          <cell r="I21" t="str">
            <v>met</v>
          </cell>
          <cell r="V21" t="str">
            <v>0</v>
          </cell>
          <cell r="Y21" t="str">
            <v>Pres</v>
          </cell>
          <cell r="Z21">
            <v>4.54</v>
          </cell>
          <cell r="AA21">
            <v>0</v>
          </cell>
          <cell r="AB21">
            <v>0</v>
          </cell>
        </row>
        <row r="22">
          <cell r="G22" t="str">
            <v>37_0</v>
          </cell>
          <cell r="H22" t="str">
            <v/>
          </cell>
          <cell r="I22" t="str">
            <v>met</v>
          </cell>
          <cell r="V22" t="str">
            <v>0</v>
          </cell>
          <cell r="Y22" t="str">
            <v>Past</v>
          </cell>
          <cell r="Z22">
            <v>3.28</v>
          </cell>
          <cell r="AA22">
            <v>0</v>
          </cell>
          <cell r="AB22">
            <v>0</v>
          </cell>
        </row>
        <row r="23">
          <cell r="G23" t="str">
            <v>37_1</v>
          </cell>
          <cell r="H23" t="str">
            <v/>
          </cell>
          <cell r="I23" t="str">
            <v>met</v>
          </cell>
          <cell r="V23" t="str">
            <v>0</v>
          </cell>
          <cell r="Y23" t="str">
            <v>Past</v>
          </cell>
          <cell r="Z23">
            <v>3.28</v>
          </cell>
          <cell r="AA23">
            <v>0</v>
          </cell>
          <cell r="AB23">
            <v>0</v>
          </cell>
        </row>
        <row r="24">
          <cell r="G24" t="str">
            <v>38_0</v>
          </cell>
          <cell r="H24" t="str">
            <v/>
          </cell>
          <cell r="I24" t="str">
            <v>met</v>
          </cell>
          <cell r="V24" t="str">
            <v>0</v>
          </cell>
          <cell r="Y24" t="str">
            <v>Past</v>
          </cell>
          <cell r="Z24">
            <v>4.79</v>
          </cell>
          <cell r="AA24">
            <v>0</v>
          </cell>
          <cell r="AB24">
            <v>0</v>
          </cell>
        </row>
        <row r="25">
          <cell r="G25" t="str">
            <v>38_1</v>
          </cell>
          <cell r="H25" t="str">
            <v/>
          </cell>
          <cell r="I25" t="str">
            <v>met</v>
          </cell>
          <cell r="V25" t="str">
            <v>0</v>
          </cell>
          <cell r="Y25" t="str">
            <v>Past</v>
          </cell>
          <cell r="Z25">
            <v>4.79</v>
          </cell>
          <cell r="AA25">
            <v>0</v>
          </cell>
          <cell r="AB25">
            <v>0</v>
          </cell>
        </row>
        <row r="26">
          <cell r="G26" t="str">
            <v>40_0</v>
          </cell>
          <cell r="H26" t="str">
            <v>as-as</v>
          </cell>
          <cell r="I26" t="str">
            <v>sim</v>
          </cell>
          <cell r="V26" t="str">
            <v>not</v>
          </cell>
          <cell r="Y26" t="str">
            <v>Past</v>
          </cell>
          <cell r="Z26">
            <v>3.93</v>
          </cell>
          <cell r="AA26">
            <v>0</v>
          </cell>
          <cell r="AB26">
            <v>1</v>
          </cell>
        </row>
        <row r="27">
          <cell r="G27" t="str">
            <v>40_1</v>
          </cell>
          <cell r="H27" t="str">
            <v>as-as</v>
          </cell>
          <cell r="I27" t="str">
            <v>sim</v>
          </cell>
          <cell r="V27" t="str">
            <v>not</v>
          </cell>
          <cell r="Y27" t="str">
            <v>Past</v>
          </cell>
          <cell r="Z27">
            <v>3.93</v>
          </cell>
          <cell r="AA27">
            <v>0</v>
          </cell>
          <cell r="AB27">
            <v>1</v>
          </cell>
        </row>
        <row r="28">
          <cell r="G28" t="str">
            <v>42_0</v>
          </cell>
          <cell r="H28" t="str">
            <v>the-of</v>
          </cell>
          <cell r="I28" t="str">
            <v>sim</v>
          </cell>
          <cell r="V28" t="str">
            <v>not neg pair</v>
          </cell>
          <cell r="Y28" t="str">
            <v>Pres</v>
          </cell>
          <cell r="Z28">
            <v>2.8</v>
          </cell>
          <cell r="AA28" t="str">
            <v>L</v>
          </cell>
          <cell r="AB28">
            <v>0</v>
          </cell>
        </row>
        <row r="29">
          <cell r="G29" t="str">
            <v>42_1</v>
          </cell>
          <cell r="H29" t="str">
            <v>the-of</v>
          </cell>
          <cell r="I29" t="str">
            <v>sim</v>
          </cell>
          <cell r="V29" t="str">
            <v>not neg pair</v>
          </cell>
          <cell r="Y29" t="str">
            <v>Pres</v>
          </cell>
          <cell r="Z29">
            <v>2.8</v>
          </cell>
          <cell r="AA29" t="str">
            <v>L</v>
          </cell>
          <cell r="AB29">
            <v>0</v>
          </cell>
        </row>
        <row r="30">
          <cell r="G30" t="str">
            <v>46_0</v>
          </cell>
          <cell r="H30" t="str">
            <v/>
          </cell>
          <cell r="I30" t="str">
            <v>met</v>
          </cell>
          <cell r="V30" t="str">
            <v>0</v>
          </cell>
          <cell r="Y30">
            <v>0</v>
          </cell>
          <cell r="Z30">
            <v>3.43</v>
          </cell>
          <cell r="AA30">
            <v>0</v>
          </cell>
          <cell r="AB30">
            <v>0</v>
          </cell>
        </row>
        <row r="31">
          <cell r="G31" t="str">
            <v>46_1</v>
          </cell>
          <cell r="H31" t="str">
            <v/>
          </cell>
          <cell r="I31" t="str">
            <v>met</v>
          </cell>
          <cell r="V31" t="str">
            <v>0</v>
          </cell>
          <cell r="Y31">
            <v>0</v>
          </cell>
          <cell r="Z31">
            <v>3.43</v>
          </cell>
          <cell r="AA31">
            <v>0</v>
          </cell>
          <cell r="AB31">
            <v>0</v>
          </cell>
        </row>
        <row r="32">
          <cell r="G32" t="str">
            <v>47_0</v>
          </cell>
          <cell r="H32" t="str">
            <v/>
          </cell>
          <cell r="I32" t="str">
            <v>met</v>
          </cell>
          <cell r="V32" t="str">
            <v>0</v>
          </cell>
          <cell r="Y32" t="str">
            <v>Past</v>
          </cell>
          <cell r="Z32">
            <v>2.34</v>
          </cell>
          <cell r="AA32" t="str">
            <v>L</v>
          </cell>
          <cell r="AB32">
            <v>0</v>
          </cell>
        </row>
        <row r="33">
          <cell r="G33" t="str">
            <v>47_1</v>
          </cell>
          <cell r="H33" t="str">
            <v/>
          </cell>
          <cell r="I33" t="str">
            <v>met</v>
          </cell>
          <cell r="V33" t="str">
            <v>0</v>
          </cell>
          <cell r="Y33" t="str">
            <v>Pres</v>
          </cell>
          <cell r="Z33">
            <v>2.34</v>
          </cell>
          <cell r="AA33" t="str">
            <v>L</v>
          </cell>
          <cell r="AB33">
            <v>0</v>
          </cell>
        </row>
        <row r="34">
          <cell r="G34" t="str">
            <v>49_0</v>
          </cell>
          <cell r="H34" t="str">
            <v>as-as</v>
          </cell>
          <cell r="I34" t="str">
            <v>sim</v>
          </cell>
          <cell r="V34" t="str">
            <v>antonym</v>
          </cell>
          <cell r="Y34" t="str">
            <v>Past</v>
          </cell>
          <cell r="Z34">
            <v>4.6900000000000004</v>
          </cell>
          <cell r="AA34">
            <v>0</v>
          </cell>
          <cell r="AB34">
            <v>0</v>
          </cell>
        </row>
        <row r="35">
          <cell r="G35" t="str">
            <v>49_1</v>
          </cell>
          <cell r="H35" t="str">
            <v>as-as</v>
          </cell>
          <cell r="I35" t="str">
            <v>sim</v>
          </cell>
          <cell r="V35" t="str">
            <v>antonym</v>
          </cell>
          <cell r="Y35" t="str">
            <v>Past</v>
          </cell>
          <cell r="Z35">
            <v>4.6900000000000004</v>
          </cell>
          <cell r="AA35">
            <v>0</v>
          </cell>
          <cell r="AB35">
            <v>0</v>
          </cell>
        </row>
        <row r="36">
          <cell r="G36" t="str">
            <v>50_0</v>
          </cell>
          <cell r="H36" t="str">
            <v>as-as</v>
          </cell>
          <cell r="I36" t="str">
            <v>sim</v>
          </cell>
          <cell r="V36" t="str">
            <v>not</v>
          </cell>
          <cell r="Y36" t="str">
            <v>Past</v>
          </cell>
          <cell r="Z36">
            <v>4.79</v>
          </cell>
          <cell r="AA36">
            <v>0</v>
          </cell>
          <cell r="AB36">
            <v>1</v>
          </cell>
        </row>
        <row r="37">
          <cell r="G37" t="str">
            <v>50_1</v>
          </cell>
          <cell r="H37" t="str">
            <v>as-as</v>
          </cell>
          <cell r="I37" t="str">
            <v>sim</v>
          </cell>
          <cell r="V37" t="str">
            <v>not</v>
          </cell>
          <cell r="Y37" t="str">
            <v>Past</v>
          </cell>
          <cell r="Z37">
            <v>4.79</v>
          </cell>
          <cell r="AA37">
            <v>0</v>
          </cell>
          <cell r="AB37">
            <v>1</v>
          </cell>
        </row>
        <row r="38">
          <cell r="G38" t="str">
            <v>51_0</v>
          </cell>
          <cell r="H38" t="str">
            <v/>
          </cell>
          <cell r="I38" t="str">
            <v>met</v>
          </cell>
          <cell r="V38" t="str">
            <v>0</v>
          </cell>
          <cell r="Y38" t="str">
            <v>Past</v>
          </cell>
          <cell r="Z38">
            <v>3.61</v>
          </cell>
          <cell r="AA38">
            <v>0</v>
          </cell>
          <cell r="AB38">
            <v>0</v>
          </cell>
        </row>
        <row r="39">
          <cell r="G39" t="str">
            <v>51_1</v>
          </cell>
          <cell r="H39" t="str">
            <v/>
          </cell>
          <cell r="I39" t="str">
            <v>met</v>
          </cell>
          <cell r="V39" t="str">
            <v>0</v>
          </cell>
          <cell r="Y39" t="str">
            <v>Pres</v>
          </cell>
          <cell r="Z39">
            <v>3.61</v>
          </cell>
          <cell r="AA39">
            <v>0</v>
          </cell>
          <cell r="AB39">
            <v>0</v>
          </cell>
        </row>
        <row r="40">
          <cell r="G40" t="str">
            <v>54_0</v>
          </cell>
          <cell r="H40" t="str">
            <v>like</v>
          </cell>
          <cell r="I40" t="str">
            <v>sim</v>
          </cell>
          <cell r="V40" t="str">
            <v>not neg pair</v>
          </cell>
          <cell r="Y40" t="str">
            <v>Pres</v>
          </cell>
          <cell r="Z40">
            <v>4.75</v>
          </cell>
          <cell r="AA40">
            <v>0</v>
          </cell>
          <cell r="AB40">
            <v>0</v>
          </cell>
        </row>
        <row r="41">
          <cell r="G41" t="str">
            <v>54_1</v>
          </cell>
          <cell r="H41" t="str">
            <v>like</v>
          </cell>
          <cell r="I41" t="str">
            <v>sim</v>
          </cell>
          <cell r="V41" t="str">
            <v>not neg pair</v>
          </cell>
          <cell r="Y41" t="str">
            <v>Pres</v>
          </cell>
          <cell r="Z41">
            <v>4.75</v>
          </cell>
          <cell r="AA41">
            <v>0</v>
          </cell>
          <cell r="AB41">
            <v>0</v>
          </cell>
        </row>
        <row r="42">
          <cell r="G42" t="str">
            <v>56_0</v>
          </cell>
          <cell r="H42" t="str">
            <v>like</v>
          </cell>
          <cell r="I42" t="str">
            <v>sim</v>
          </cell>
          <cell r="V42" t="str">
            <v>not neg pair</v>
          </cell>
          <cell r="Y42" t="str">
            <v>Pres</v>
          </cell>
          <cell r="Z42">
            <v>2.81</v>
          </cell>
          <cell r="AA42" t="str">
            <v>L</v>
          </cell>
          <cell r="AB42">
            <v>0</v>
          </cell>
        </row>
        <row r="43">
          <cell r="G43" t="str">
            <v>56_1</v>
          </cell>
          <cell r="H43" t="str">
            <v>like</v>
          </cell>
          <cell r="I43" t="str">
            <v>sim</v>
          </cell>
          <cell r="V43" t="str">
            <v>not neg pair</v>
          </cell>
          <cell r="Y43" t="str">
            <v>Pres</v>
          </cell>
          <cell r="Z43">
            <v>2.81</v>
          </cell>
          <cell r="AA43" t="str">
            <v>L</v>
          </cell>
          <cell r="AB43">
            <v>0</v>
          </cell>
        </row>
        <row r="44">
          <cell r="G44" t="str">
            <v>61_0</v>
          </cell>
          <cell r="H44" t="str">
            <v>the-of</v>
          </cell>
          <cell r="I44" t="str">
            <v>sim</v>
          </cell>
          <cell r="V44" t="str">
            <v>not neg pair</v>
          </cell>
          <cell r="Y44" t="str">
            <v>Past</v>
          </cell>
          <cell r="Z44">
            <v>4.59</v>
          </cell>
          <cell r="AA44">
            <v>0</v>
          </cell>
          <cell r="AB44">
            <v>0</v>
          </cell>
        </row>
        <row r="45">
          <cell r="G45" t="str">
            <v>61_1</v>
          </cell>
          <cell r="H45" t="str">
            <v>the-of</v>
          </cell>
          <cell r="I45" t="str">
            <v>sim</v>
          </cell>
          <cell r="V45" t="str">
            <v>not neg pair</v>
          </cell>
          <cell r="Y45" t="str">
            <v>Past</v>
          </cell>
          <cell r="Z45">
            <v>4.59</v>
          </cell>
          <cell r="AA45">
            <v>0</v>
          </cell>
          <cell r="AB45">
            <v>0</v>
          </cell>
        </row>
        <row r="46">
          <cell r="G46" t="str">
            <v>63_0</v>
          </cell>
          <cell r="H46" t="str">
            <v>as-as</v>
          </cell>
          <cell r="I46" t="str">
            <v>sim</v>
          </cell>
          <cell r="V46" t="str">
            <v>not</v>
          </cell>
          <cell r="Y46" t="str">
            <v>Past</v>
          </cell>
          <cell r="Z46">
            <v>4.78</v>
          </cell>
          <cell r="AA46">
            <v>0</v>
          </cell>
          <cell r="AB46">
            <v>1</v>
          </cell>
        </row>
        <row r="47">
          <cell r="G47" t="str">
            <v>63_1</v>
          </cell>
          <cell r="H47" t="str">
            <v>as-as</v>
          </cell>
          <cell r="I47" t="str">
            <v>sim</v>
          </cell>
          <cell r="V47" t="str">
            <v>not</v>
          </cell>
          <cell r="Y47" t="str">
            <v>Past</v>
          </cell>
          <cell r="Z47">
            <v>4.78</v>
          </cell>
          <cell r="AA47">
            <v>0</v>
          </cell>
          <cell r="AB47">
            <v>1</v>
          </cell>
        </row>
        <row r="48">
          <cell r="G48" t="str">
            <v>64_0</v>
          </cell>
          <cell r="H48" t="str">
            <v>as-as</v>
          </cell>
          <cell r="I48" t="str">
            <v>sim</v>
          </cell>
          <cell r="V48" t="str">
            <v>antonym</v>
          </cell>
          <cell r="Y48" t="str">
            <v>Past</v>
          </cell>
          <cell r="Z48">
            <v>4.46</v>
          </cell>
          <cell r="AA48">
            <v>0</v>
          </cell>
          <cell r="AB48">
            <v>0</v>
          </cell>
        </row>
        <row r="49">
          <cell r="G49" t="str">
            <v>64_1</v>
          </cell>
          <cell r="H49" t="str">
            <v>as-as</v>
          </cell>
          <cell r="I49" t="str">
            <v>sim</v>
          </cell>
          <cell r="V49" t="str">
            <v>antonym</v>
          </cell>
          <cell r="Y49" t="str">
            <v>Past</v>
          </cell>
          <cell r="Z49">
            <v>4.46</v>
          </cell>
          <cell r="AA49">
            <v>0</v>
          </cell>
          <cell r="AB49">
            <v>0</v>
          </cell>
        </row>
        <row r="50">
          <cell r="G50" t="str">
            <v>70_0</v>
          </cell>
          <cell r="H50" t="str">
            <v>as-as</v>
          </cell>
          <cell r="I50" t="str">
            <v>sim</v>
          </cell>
          <cell r="V50" t="str">
            <v>antonym</v>
          </cell>
          <cell r="Y50" t="str">
            <v>Pres</v>
          </cell>
          <cell r="Z50">
            <v>3.93</v>
          </cell>
          <cell r="AA50">
            <v>0</v>
          </cell>
          <cell r="AB50">
            <v>0</v>
          </cell>
        </row>
        <row r="51">
          <cell r="G51" t="str">
            <v>70_1</v>
          </cell>
          <cell r="H51" t="str">
            <v>as-as</v>
          </cell>
          <cell r="I51" t="str">
            <v>sim</v>
          </cell>
          <cell r="V51" t="str">
            <v>antonym</v>
          </cell>
          <cell r="Y51" t="str">
            <v>Pres</v>
          </cell>
          <cell r="Z51">
            <v>3.93</v>
          </cell>
          <cell r="AA51">
            <v>0</v>
          </cell>
          <cell r="AB51">
            <v>0</v>
          </cell>
        </row>
        <row r="52">
          <cell r="G52" t="str">
            <v>71_0</v>
          </cell>
          <cell r="H52" t="str">
            <v>as</v>
          </cell>
          <cell r="I52" t="str">
            <v>sim</v>
          </cell>
          <cell r="V52" t="str">
            <v>not neg pair</v>
          </cell>
          <cell r="Y52" t="str">
            <v>Pres</v>
          </cell>
          <cell r="Z52">
            <v>3.36</v>
          </cell>
          <cell r="AA52">
            <v>0</v>
          </cell>
          <cell r="AB52">
            <v>0</v>
          </cell>
        </row>
        <row r="53">
          <cell r="G53" t="str">
            <v>71_1</v>
          </cell>
          <cell r="H53" t="str">
            <v>as</v>
          </cell>
          <cell r="I53" t="str">
            <v>sim</v>
          </cell>
          <cell r="V53" t="str">
            <v>not neg pair</v>
          </cell>
          <cell r="Y53" t="str">
            <v>Pres</v>
          </cell>
          <cell r="Z53">
            <v>3.36</v>
          </cell>
          <cell r="AA53">
            <v>0</v>
          </cell>
          <cell r="AB53">
            <v>0</v>
          </cell>
        </row>
        <row r="54">
          <cell r="G54" t="str">
            <v>74_0</v>
          </cell>
          <cell r="H54" t="str">
            <v>as</v>
          </cell>
          <cell r="I54" t="str">
            <v>sim</v>
          </cell>
          <cell r="V54" t="str">
            <v>not neg pair</v>
          </cell>
          <cell r="Y54" t="str">
            <v>Pres</v>
          </cell>
          <cell r="Z54">
            <v>4.0999999999999996</v>
          </cell>
          <cell r="AA54">
            <v>0</v>
          </cell>
          <cell r="AB54">
            <v>0</v>
          </cell>
        </row>
        <row r="55">
          <cell r="G55" t="str">
            <v>74_1</v>
          </cell>
          <cell r="H55" t="str">
            <v>as</v>
          </cell>
          <cell r="I55" t="str">
            <v>sim</v>
          </cell>
          <cell r="V55" t="str">
            <v>not neg pair</v>
          </cell>
          <cell r="Y55" t="str">
            <v>Pres</v>
          </cell>
          <cell r="Z55">
            <v>4.0999999999999996</v>
          </cell>
          <cell r="AA55">
            <v>0</v>
          </cell>
          <cell r="AB55">
            <v>0</v>
          </cell>
        </row>
        <row r="56">
          <cell r="G56" t="str">
            <v>76_0</v>
          </cell>
          <cell r="H56" t="str">
            <v>like</v>
          </cell>
          <cell r="I56" t="str">
            <v>sim</v>
          </cell>
          <cell r="V56" t="str">
            <v>not neg pair</v>
          </cell>
          <cell r="Y56" t="str">
            <v>Past</v>
          </cell>
          <cell r="Z56">
            <v>5</v>
          </cell>
          <cell r="AA56" t="str">
            <v>H</v>
          </cell>
          <cell r="AB56">
            <v>0</v>
          </cell>
        </row>
        <row r="57">
          <cell r="G57" t="str">
            <v>76_1</v>
          </cell>
          <cell r="H57" t="str">
            <v>like</v>
          </cell>
          <cell r="I57" t="str">
            <v>sim</v>
          </cell>
          <cell r="V57" t="str">
            <v>not neg pair</v>
          </cell>
          <cell r="Y57" t="str">
            <v>Past</v>
          </cell>
          <cell r="Z57">
            <v>5</v>
          </cell>
          <cell r="AA57" t="str">
            <v>H</v>
          </cell>
          <cell r="AB57">
            <v>0</v>
          </cell>
        </row>
        <row r="58">
          <cell r="G58" t="str">
            <v>77_0</v>
          </cell>
          <cell r="H58" t="str">
            <v/>
          </cell>
          <cell r="I58" t="str">
            <v>met</v>
          </cell>
          <cell r="V58" t="str">
            <v>0</v>
          </cell>
          <cell r="Y58" t="str">
            <v>Pres</v>
          </cell>
          <cell r="Z58">
            <v>3.17</v>
          </cell>
          <cell r="AA58">
            <v>0</v>
          </cell>
          <cell r="AB58">
            <v>0</v>
          </cell>
        </row>
        <row r="59">
          <cell r="G59" t="str">
            <v>77_1</v>
          </cell>
          <cell r="H59" t="str">
            <v/>
          </cell>
          <cell r="I59" t="str">
            <v>met</v>
          </cell>
          <cell r="V59" t="str">
            <v>0</v>
          </cell>
          <cell r="Y59" t="str">
            <v>Pres</v>
          </cell>
          <cell r="Z59">
            <v>3.17</v>
          </cell>
          <cell r="AA59">
            <v>0</v>
          </cell>
          <cell r="AB59">
            <v>0</v>
          </cell>
        </row>
        <row r="60">
          <cell r="G60" t="str">
            <v>79_0</v>
          </cell>
          <cell r="H60" t="str">
            <v/>
          </cell>
          <cell r="I60" t="str">
            <v>met</v>
          </cell>
          <cell r="V60" t="str">
            <v>0</v>
          </cell>
          <cell r="Y60" t="str">
            <v>Past</v>
          </cell>
          <cell r="Z60">
            <v>3.04</v>
          </cell>
          <cell r="AA60">
            <v>0</v>
          </cell>
          <cell r="AB60">
            <v>0</v>
          </cell>
        </row>
        <row r="61">
          <cell r="G61" t="str">
            <v>79_1</v>
          </cell>
          <cell r="H61" t="str">
            <v>the-of</v>
          </cell>
          <cell r="I61" t="str">
            <v>sim</v>
          </cell>
          <cell r="V61" t="str">
            <v>0</v>
          </cell>
          <cell r="Y61" t="str">
            <v>Past</v>
          </cell>
          <cell r="Z61">
            <v>3.04</v>
          </cell>
          <cell r="AA61">
            <v>0</v>
          </cell>
          <cell r="AB61">
            <v>0</v>
          </cell>
        </row>
        <row r="62">
          <cell r="G62" t="str">
            <v>82_0</v>
          </cell>
          <cell r="H62" t="str">
            <v>as-as</v>
          </cell>
          <cell r="I62" t="str">
            <v>sim</v>
          </cell>
          <cell r="V62" t="str">
            <v>antonym</v>
          </cell>
          <cell r="Y62" t="str">
            <v>Past</v>
          </cell>
          <cell r="Z62">
            <v>4.8499999999999996</v>
          </cell>
          <cell r="AA62">
            <v>0</v>
          </cell>
          <cell r="AB62">
            <v>0</v>
          </cell>
        </row>
        <row r="63">
          <cell r="G63" t="str">
            <v>82_1</v>
          </cell>
          <cell r="H63" t="str">
            <v>as-as</v>
          </cell>
          <cell r="I63" t="str">
            <v>sim</v>
          </cell>
          <cell r="V63" t="str">
            <v>antonym</v>
          </cell>
          <cell r="Y63" t="str">
            <v>Past</v>
          </cell>
          <cell r="Z63">
            <v>4.8499999999999996</v>
          </cell>
          <cell r="AA63">
            <v>0</v>
          </cell>
          <cell r="AB63">
            <v>0</v>
          </cell>
        </row>
        <row r="64">
          <cell r="G64" t="str">
            <v>83_0</v>
          </cell>
          <cell r="H64" t="str">
            <v>as-as</v>
          </cell>
          <cell r="I64" t="str">
            <v>sim</v>
          </cell>
          <cell r="V64" t="str">
            <v>not neg pair</v>
          </cell>
          <cell r="Y64" t="str">
            <v>Past</v>
          </cell>
          <cell r="Z64">
            <v>1.85</v>
          </cell>
          <cell r="AA64" t="str">
            <v>L</v>
          </cell>
          <cell r="AB64">
            <v>0</v>
          </cell>
        </row>
        <row r="65">
          <cell r="G65" t="str">
            <v>83_1</v>
          </cell>
          <cell r="H65" t="str">
            <v>as-as</v>
          </cell>
          <cell r="I65" t="str">
            <v>sim</v>
          </cell>
          <cell r="V65" t="str">
            <v>not neg pair</v>
          </cell>
          <cell r="Y65" t="str">
            <v>Past</v>
          </cell>
          <cell r="Z65">
            <v>4.59</v>
          </cell>
          <cell r="AA65">
            <v>0</v>
          </cell>
          <cell r="AB65">
            <v>0</v>
          </cell>
        </row>
        <row r="66">
          <cell r="G66" t="str">
            <v>85_0</v>
          </cell>
          <cell r="H66" t="str">
            <v>as-as</v>
          </cell>
          <cell r="I66" t="str">
            <v>sim</v>
          </cell>
          <cell r="V66" t="str">
            <v>antonym</v>
          </cell>
          <cell r="Y66" t="str">
            <v>Past</v>
          </cell>
          <cell r="Z66">
            <v>2.79</v>
          </cell>
          <cell r="AA66" t="str">
            <v>L</v>
          </cell>
          <cell r="AB66">
            <v>0</v>
          </cell>
        </row>
        <row r="67">
          <cell r="G67" t="str">
            <v>85_1</v>
          </cell>
          <cell r="H67" t="str">
            <v>as-as</v>
          </cell>
          <cell r="I67" t="str">
            <v>sim</v>
          </cell>
          <cell r="V67" t="str">
            <v>antonym</v>
          </cell>
          <cell r="Y67" t="str">
            <v>Past</v>
          </cell>
          <cell r="Z67">
            <v>2.79</v>
          </cell>
          <cell r="AA67" t="str">
            <v>L</v>
          </cell>
          <cell r="AB67">
            <v>0</v>
          </cell>
        </row>
        <row r="68">
          <cell r="G68" t="str">
            <v>87_0</v>
          </cell>
          <cell r="H68" t="str">
            <v>like</v>
          </cell>
          <cell r="I68" t="str">
            <v>sim</v>
          </cell>
          <cell r="V68" t="str">
            <v>not</v>
          </cell>
          <cell r="Y68" t="str">
            <v>Past</v>
          </cell>
          <cell r="Z68">
            <v>3.57</v>
          </cell>
          <cell r="AA68">
            <v>0</v>
          </cell>
          <cell r="AB68">
            <v>1</v>
          </cell>
        </row>
        <row r="69">
          <cell r="G69" t="str">
            <v>87_1</v>
          </cell>
          <cell r="H69" t="str">
            <v>like</v>
          </cell>
          <cell r="I69" t="str">
            <v>sim</v>
          </cell>
          <cell r="V69" t="str">
            <v>not</v>
          </cell>
          <cell r="Y69" t="str">
            <v>Past</v>
          </cell>
          <cell r="Z69">
            <v>3.57</v>
          </cell>
          <cell r="AA69">
            <v>0</v>
          </cell>
          <cell r="AB69">
            <v>1</v>
          </cell>
        </row>
        <row r="70">
          <cell r="G70" t="str">
            <v>89_0</v>
          </cell>
          <cell r="H70" t="str">
            <v>as-as</v>
          </cell>
          <cell r="I70" t="str">
            <v>sim</v>
          </cell>
          <cell r="V70" t="str">
            <v>not</v>
          </cell>
          <cell r="Y70" t="str">
            <v>Past</v>
          </cell>
          <cell r="Z70">
            <v>4.79</v>
          </cell>
          <cell r="AA70">
            <v>0</v>
          </cell>
          <cell r="AB70">
            <v>1</v>
          </cell>
        </row>
        <row r="71">
          <cell r="G71" t="str">
            <v>89_1</v>
          </cell>
          <cell r="H71" t="str">
            <v>as-as</v>
          </cell>
          <cell r="I71" t="str">
            <v>sim</v>
          </cell>
          <cell r="V71" t="str">
            <v>not</v>
          </cell>
          <cell r="Y71" t="str">
            <v>Past</v>
          </cell>
          <cell r="Z71">
            <v>4.79</v>
          </cell>
          <cell r="AA71">
            <v>0</v>
          </cell>
          <cell r="AB71">
            <v>1</v>
          </cell>
        </row>
        <row r="72">
          <cell r="G72" t="str">
            <v>92_0</v>
          </cell>
          <cell r="H72" t="str">
            <v>the-of</v>
          </cell>
          <cell r="I72" t="str">
            <v>sim</v>
          </cell>
          <cell r="V72" t="str">
            <v>not</v>
          </cell>
          <cell r="Y72" t="str">
            <v>Pres</v>
          </cell>
          <cell r="Z72">
            <v>4.37</v>
          </cell>
          <cell r="AA72">
            <v>0</v>
          </cell>
          <cell r="AB72">
            <v>1</v>
          </cell>
        </row>
        <row r="73">
          <cell r="G73" t="str">
            <v>92_1</v>
          </cell>
          <cell r="H73" t="str">
            <v>the-of</v>
          </cell>
          <cell r="I73" t="str">
            <v>sim</v>
          </cell>
          <cell r="V73" t="str">
            <v>not</v>
          </cell>
          <cell r="Y73" t="str">
            <v>Pres</v>
          </cell>
          <cell r="Z73">
            <v>4.37</v>
          </cell>
          <cell r="AA73">
            <v>0</v>
          </cell>
          <cell r="AB73">
            <v>1</v>
          </cell>
        </row>
        <row r="74">
          <cell r="G74" t="str">
            <v>93_0</v>
          </cell>
          <cell r="H74" t="str">
            <v>the-of</v>
          </cell>
          <cell r="I74" t="str">
            <v>sim</v>
          </cell>
          <cell r="V74" t="str">
            <v>not</v>
          </cell>
          <cell r="Y74" t="str">
            <v>Pres</v>
          </cell>
          <cell r="Z74">
            <v>5</v>
          </cell>
          <cell r="AA74" t="str">
            <v>H</v>
          </cell>
          <cell r="AB74">
            <v>0</v>
          </cell>
        </row>
        <row r="75">
          <cell r="G75" t="str">
            <v>93_1</v>
          </cell>
          <cell r="H75" t="str">
            <v>the-of</v>
          </cell>
          <cell r="I75" t="str">
            <v>sim</v>
          </cell>
          <cell r="V75" t="str">
            <v>not</v>
          </cell>
          <cell r="Y75" t="str">
            <v>Pres</v>
          </cell>
          <cell r="Z75">
            <v>5</v>
          </cell>
          <cell r="AA75" t="str">
            <v>H</v>
          </cell>
          <cell r="AB75">
            <v>0</v>
          </cell>
        </row>
        <row r="76">
          <cell r="G76" t="str">
            <v>95_0</v>
          </cell>
          <cell r="H76" t="str">
            <v>the-of</v>
          </cell>
          <cell r="I76" t="str">
            <v>sim</v>
          </cell>
          <cell r="V76" t="str">
            <v>not neg pair</v>
          </cell>
          <cell r="Y76" t="str">
            <v>Past</v>
          </cell>
          <cell r="Z76">
            <v>4.5</v>
          </cell>
          <cell r="AA76">
            <v>0</v>
          </cell>
          <cell r="AB76">
            <v>0</v>
          </cell>
        </row>
        <row r="77">
          <cell r="G77" t="str">
            <v>95_1</v>
          </cell>
          <cell r="H77" t="str">
            <v>the-of</v>
          </cell>
          <cell r="I77" t="str">
            <v>sim</v>
          </cell>
          <cell r="V77" t="str">
            <v>not neg pair</v>
          </cell>
          <cell r="Y77" t="str">
            <v>Past</v>
          </cell>
          <cell r="Z77">
            <v>4.5</v>
          </cell>
          <cell r="AA77">
            <v>0</v>
          </cell>
          <cell r="AB77">
            <v>0</v>
          </cell>
        </row>
        <row r="78">
          <cell r="G78" t="str">
            <v>96_0</v>
          </cell>
          <cell r="H78" t="str">
            <v/>
          </cell>
          <cell r="I78" t="str">
            <v>met</v>
          </cell>
          <cell r="V78" t="str">
            <v>0</v>
          </cell>
          <cell r="Y78" t="str">
            <v>Past</v>
          </cell>
          <cell r="Z78">
            <v>4.6900000000000004</v>
          </cell>
          <cell r="AA78">
            <v>0</v>
          </cell>
          <cell r="AB78">
            <v>0</v>
          </cell>
        </row>
        <row r="79">
          <cell r="G79" t="str">
            <v>96_1</v>
          </cell>
          <cell r="H79" t="str">
            <v/>
          </cell>
          <cell r="I79" t="str">
            <v>met</v>
          </cell>
          <cell r="V79" t="str">
            <v>0</v>
          </cell>
          <cell r="Y79" t="str">
            <v>Past</v>
          </cell>
          <cell r="Z79">
            <v>4.6900000000000004</v>
          </cell>
          <cell r="AA79">
            <v>0</v>
          </cell>
          <cell r="AB79">
            <v>0</v>
          </cell>
        </row>
        <row r="80">
          <cell r="G80" t="str">
            <v>98_0</v>
          </cell>
          <cell r="H80" t="str">
            <v>like</v>
          </cell>
          <cell r="I80" t="str">
            <v>sim</v>
          </cell>
          <cell r="V80" t="str">
            <v>not neg pair</v>
          </cell>
          <cell r="Y80" t="str">
            <v>Past</v>
          </cell>
          <cell r="Z80">
            <v>3.7</v>
          </cell>
          <cell r="AA80">
            <v>0</v>
          </cell>
          <cell r="AB80">
            <v>0</v>
          </cell>
        </row>
        <row r="81">
          <cell r="G81" t="str">
            <v>98_1</v>
          </cell>
          <cell r="H81" t="str">
            <v>like</v>
          </cell>
          <cell r="I81" t="str">
            <v>sim</v>
          </cell>
          <cell r="V81" t="str">
            <v>not neg pair</v>
          </cell>
          <cell r="Y81" t="str">
            <v>Past</v>
          </cell>
          <cell r="Z81">
            <v>3.7</v>
          </cell>
          <cell r="AA81">
            <v>0</v>
          </cell>
          <cell r="AB81">
            <v>0</v>
          </cell>
        </row>
        <row r="82">
          <cell r="G82" t="str">
            <v>99_0</v>
          </cell>
          <cell r="H82" t="str">
            <v/>
          </cell>
          <cell r="I82" t="str">
            <v>met</v>
          </cell>
          <cell r="V82" t="str">
            <v>0</v>
          </cell>
          <cell r="Y82" t="str">
            <v>Past</v>
          </cell>
          <cell r="Z82">
            <v>3.36</v>
          </cell>
          <cell r="AA82">
            <v>0</v>
          </cell>
          <cell r="AB82">
            <v>0</v>
          </cell>
        </row>
        <row r="83">
          <cell r="G83" t="str">
            <v>99_1</v>
          </cell>
          <cell r="H83" t="str">
            <v/>
          </cell>
          <cell r="I83" t="str">
            <v>met</v>
          </cell>
          <cell r="V83" t="str">
            <v>0</v>
          </cell>
          <cell r="Y83" t="str">
            <v>Past</v>
          </cell>
          <cell r="Z83">
            <v>3.36</v>
          </cell>
          <cell r="AA83">
            <v>0</v>
          </cell>
          <cell r="AB83">
            <v>0</v>
          </cell>
        </row>
        <row r="84">
          <cell r="G84" t="str">
            <v>100_0</v>
          </cell>
          <cell r="H84" t="str">
            <v>as</v>
          </cell>
          <cell r="I84" t="str">
            <v>sim</v>
          </cell>
          <cell r="V84" t="str">
            <v>not neg pair</v>
          </cell>
          <cell r="Y84" t="str">
            <v>Past</v>
          </cell>
          <cell r="Z84">
            <v>4.76</v>
          </cell>
          <cell r="AA84">
            <v>0</v>
          </cell>
          <cell r="AB84">
            <v>0</v>
          </cell>
        </row>
        <row r="85">
          <cell r="G85" t="str">
            <v>100_1</v>
          </cell>
          <cell r="H85" t="str">
            <v>as</v>
          </cell>
          <cell r="I85" t="str">
            <v>sim</v>
          </cell>
          <cell r="V85" t="str">
            <v>not neg pair</v>
          </cell>
          <cell r="Y85" t="str">
            <v>Past</v>
          </cell>
          <cell r="Z85">
            <v>4.76</v>
          </cell>
          <cell r="AA85">
            <v>0</v>
          </cell>
          <cell r="AB85">
            <v>0</v>
          </cell>
        </row>
        <row r="86">
          <cell r="G86" t="str">
            <v>102_0</v>
          </cell>
          <cell r="H86" t="str">
            <v>like</v>
          </cell>
          <cell r="I86" t="str">
            <v>sim</v>
          </cell>
          <cell r="V86" t="str">
            <v>not</v>
          </cell>
          <cell r="Y86" t="str">
            <v>Past</v>
          </cell>
          <cell r="Z86">
            <v>4.93</v>
          </cell>
          <cell r="AA86" t="str">
            <v>H</v>
          </cell>
          <cell r="AB86">
            <v>1</v>
          </cell>
        </row>
        <row r="87">
          <cell r="G87" t="str">
            <v>102_1</v>
          </cell>
          <cell r="H87" t="str">
            <v>like</v>
          </cell>
          <cell r="I87" t="str">
            <v>sim</v>
          </cell>
          <cell r="V87" t="str">
            <v>not</v>
          </cell>
          <cell r="Y87" t="str">
            <v>Past</v>
          </cell>
          <cell r="Z87">
            <v>4.93</v>
          </cell>
          <cell r="AA87" t="str">
            <v>H</v>
          </cell>
          <cell r="AB87">
            <v>1</v>
          </cell>
        </row>
        <row r="88">
          <cell r="G88" t="str">
            <v>103_0</v>
          </cell>
          <cell r="H88" t="str">
            <v>like</v>
          </cell>
          <cell r="I88" t="str">
            <v>sim</v>
          </cell>
          <cell r="V88" t="str">
            <v>not neg pair</v>
          </cell>
          <cell r="Y88" t="str">
            <v>Past</v>
          </cell>
          <cell r="Z88">
            <v>2.48</v>
          </cell>
          <cell r="AA88" t="str">
            <v>L</v>
          </cell>
          <cell r="AB88">
            <v>0</v>
          </cell>
        </row>
        <row r="89">
          <cell r="G89" t="str">
            <v>103_1</v>
          </cell>
          <cell r="H89" t="str">
            <v>like</v>
          </cell>
          <cell r="I89" t="str">
            <v>sim</v>
          </cell>
          <cell r="V89" t="str">
            <v>not neg pair</v>
          </cell>
          <cell r="Y89" t="str">
            <v>Past</v>
          </cell>
          <cell r="Z89">
            <v>2.48</v>
          </cell>
          <cell r="AA89" t="str">
            <v>L</v>
          </cell>
          <cell r="AB89">
            <v>0</v>
          </cell>
        </row>
        <row r="90">
          <cell r="G90" t="str">
            <v>106_0</v>
          </cell>
          <cell r="H90" t="str">
            <v>like</v>
          </cell>
          <cell r="I90" t="str">
            <v>sim</v>
          </cell>
          <cell r="V90" t="str">
            <v>not neg pair</v>
          </cell>
          <cell r="Y90" t="str">
            <v>Past</v>
          </cell>
          <cell r="Z90">
            <v>2.81</v>
          </cell>
          <cell r="AA90" t="str">
            <v>L</v>
          </cell>
          <cell r="AB90">
            <v>0</v>
          </cell>
        </row>
        <row r="91">
          <cell r="G91" t="str">
            <v>106_1</v>
          </cell>
          <cell r="H91" t="str">
            <v>like</v>
          </cell>
          <cell r="I91" t="str">
            <v>sim</v>
          </cell>
          <cell r="V91" t="str">
            <v>not neg pair</v>
          </cell>
          <cell r="Y91" t="str">
            <v>Past</v>
          </cell>
          <cell r="Z91">
            <v>2.81</v>
          </cell>
          <cell r="AA91" t="str">
            <v>L</v>
          </cell>
          <cell r="AB91">
            <v>0</v>
          </cell>
        </row>
        <row r="92">
          <cell r="G92" t="str">
            <v>107_0</v>
          </cell>
          <cell r="H92" t="str">
            <v>as-as</v>
          </cell>
          <cell r="I92" t="str">
            <v>sim</v>
          </cell>
          <cell r="V92" t="str">
            <v>antonym</v>
          </cell>
          <cell r="Y92" t="str">
            <v>Past</v>
          </cell>
          <cell r="Z92">
            <v>4.9000000000000004</v>
          </cell>
          <cell r="AA92" t="str">
            <v>H</v>
          </cell>
          <cell r="AB92">
            <v>0</v>
          </cell>
        </row>
        <row r="93">
          <cell r="G93" t="str">
            <v>107_1</v>
          </cell>
          <cell r="H93" t="str">
            <v>as-as</v>
          </cell>
          <cell r="I93" t="str">
            <v>sim</v>
          </cell>
          <cell r="V93" t="str">
            <v>antonym</v>
          </cell>
          <cell r="Y93" t="str">
            <v>Past</v>
          </cell>
          <cell r="Z93">
            <v>4.9000000000000004</v>
          </cell>
          <cell r="AA93" t="str">
            <v>H</v>
          </cell>
          <cell r="AB93">
            <v>0</v>
          </cell>
        </row>
        <row r="94">
          <cell r="G94" t="str">
            <v>110_0</v>
          </cell>
          <cell r="H94" t="str">
            <v>the-of</v>
          </cell>
          <cell r="I94" t="str">
            <v>sim</v>
          </cell>
          <cell r="V94" t="str">
            <v>not neg pair</v>
          </cell>
          <cell r="Y94" t="str">
            <v>Past</v>
          </cell>
          <cell r="Z94">
            <v>4.79</v>
          </cell>
          <cell r="AA94">
            <v>0</v>
          </cell>
          <cell r="AB94">
            <v>0</v>
          </cell>
        </row>
        <row r="95">
          <cell r="G95" t="str">
            <v>110_1</v>
          </cell>
          <cell r="H95" t="str">
            <v>the-of</v>
          </cell>
          <cell r="I95" t="str">
            <v>sim</v>
          </cell>
          <cell r="V95" t="str">
            <v>not neg pair</v>
          </cell>
          <cell r="Y95" t="str">
            <v>Past</v>
          </cell>
          <cell r="Z95">
            <v>4.79</v>
          </cell>
          <cell r="AA95">
            <v>0</v>
          </cell>
          <cell r="AB95">
            <v>0</v>
          </cell>
        </row>
        <row r="96">
          <cell r="G96" t="str">
            <v>112_0</v>
          </cell>
          <cell r="H96" t="str">
            <v/>
          </cell>
          <cell r="I96" t="str">
            <v>met</v>
          </cell>
          <cell r="V96" t="str">
            <v>0</v>
          </cell>
          <cell r="Y96" t="str">
            <v>Pres</v>
          </cell>
          <cell r="Z96">
            <v>4.8499999999999996</v>
          </cell>
          <cell r="AA96">
            <v>0</v>
          </cell>
          <cell r="AB96">
            <v>0</v>
          </cell>
        </row>
        <row r="97">
          <cell r="G97" t="str">
            <v>112_1</v>
          </cell>
          <cell r="H97" t="str">
            <v/>
          </cell>
          <cell r="I97" t="str">
            <v>met</v>
          </cell>
          <cell r="V97" t="str">
            <v>0</v>
          </cell>
          <cell r="Y97" t="str">
            <v>Pres</v>
          </cell>
          <cell r="Z97">
            <v>4.8499999999999996</v>
          </cell>
          <cell r="AA97">
            <v>0</v>
          </cell>
          <cell r="AB97">
            <v>0</v>
          </cell>
        </row>
        <row r="98">
          <cell r="G98" t="str">
            <v>113_0</v>
          </cell>
          <cell r="H98" t="str">
            <v>the-of</v>
          </cell>
          <cell r="I98" t="str">
            <v>sim</v>
          </cell>
          <cell r="V98" t="str">
            <v>not</v>
          </cell>
          <cell r="Y98" t="str">
            <v>Pres</v>
          </cell>
          <cell r="Z98">
            <v>4.59</v>
          </cell>
          <cell r="AA98">
            <v>0</v>
          </cell>
          <cell r="AB98">
            <v>1</v>
          </cell>
        </row>
        <row r="99">
          <cell r="G99" t="str">
            <v>113_1</v>
          </cell>
          <cell r="H99" t="str">
            <v>the-of</v>
          </cell>
          <cell r="I99" t="str">
            <v>sim</v>
          </cell>
          <cell r="V99" t="str">
            <v>not</v>
          </cell>
          <cell r="Y99" t="str">
            <v>Pres</v>
          </cell>
          <cell r="Z99">
            <v>4.59</v>
          </cell>
          <cell r="AA99">
            <v>0</v>
          </cell>
          <cell r="AB99">
            <v>1</v>
          </cell>
        </row>
        <row r="100">
          <cell r="G100" t="str">
            <v>115_0</v>
          </cell>
          <cell r="H100" t="str">
            <v/>
          </cell>
          <cell r="I100" t="str">
            <v>met</v>
          </cell>
          <cell r="V100" t="str">
            <v>0</v>
          </cell>
          <cell r="Y100" t="str">
            <v>Pres</v>
          </cell>
          <cell r="Z100">
            <v>4.59</v>
          </cell>
          <cell r="AA100">
            <v>0</v>
          </cell>
          <cell r="AB100">
            <v>0</v>
          </cell>
        </row>
        <row r="101">
          <cell r="G101" t="str">
            <v>115_1</v>
          </cell>
          <cell r="H101" t="str">
            <v/>
          </cell>
          <cell r="I101" t="str">
            <v>met</v>
          </cell>
          <cell r="V101" t="str">
            <v>0</v>
          </cell>
          <cell r="Y101" t="str">
            <v>Pres</v>
          </cell>
          <cell r="Z101">
            <v>4.59</v>
          </cell>
          <cell r="AA101">
            <v>0</v>
          </cell>
          <cell r="AB101">
            <v>0</v>
          </cell>
        </row>
        <row r="102">
          <cell r="G102" t="str">
            <v>119_0</v>
          </cell>
          <cell r="H102" t="str">
            <v>as-as</v>
          </cell>
          <cell r="I102" t="str">
            <v>sim</v>
          </cell>
          <cell r="V102" t="str">
            <v>antonym</v>
          </cell>
          <cell r="Y102" t="str">
            <v>Past</v>
          </cell>
          <cell r="Z102">
            <v>2.2400000000000002</v>
          </cell>
          <cell r="AA102" t="str">
            <v>L</v>
          </cell>
          <cell r="AB102">
            <v>0</v>
          </cell>
        </row>
        <row r="103">
          <cell r="G103" t="str">
            <v>119_1</v>
          </cell>
          <cell r="H103" t="str">
            <v>as-as</v>
          </cell>
          <cell r="I103" t="str">
            <v>sim</v>
          </cell>
          <cell r="V103" t="str">
            <v>antonym</v>
          </cell>
          <cell r="Y103" t="str">
            <v>Past</v>
          </cell>
          <cell r="Z103">
            <v>2.2400000000000002</v>
          </cell>
          <cell r="AA103" t="str">
            <v>L</v>
          </cell>
          <cell r="AB103">
            <v>0</v>
          </cell>
        </row>
        <row r="104">
          <cell r="G104" t="str">
            <v>120_0</v>
          </cell>
          <cell r="H104" t="str">
            <v>as-as</v>
          </cell>
          <cell r="I104" t="str">
            <v>sim</v>
          </cell>
          <cell r="V104" t="str">
            <v>antonym</v>
          </cell>
          <cell r="Y104" t="str">
            <v>Past</v>
          </cell>
          <cell r="Z104">
            <v>4.75</v>
          </cell>
          <cell r="AA104">
            <v>0</v>
          </cell>
          <cell r="AB104">
            <v>0</v>
          </cell>
        </row>
        <row r="105">
          <cell r="G105" t="str">
            <v>120_1</v>
          </cell>
          <cell r="H105" t="str">
            <v>as-as</v>
          </cell>
          <cell r="I105" t="str">
            <v>sim</v>
          </cell>
          <cell r="V105" t="str">
            <v>antonym</v>
          </cell>
          <cell r="Y105" t="str">
            <v>Past</v>
          </cell>
          <cell r="Z105">
            <v>4.75</v>
          </cell>
          <cell r="AA105">
            <v>0</v>
          </cell>
          <cell r="AB105">
            <v>0</v>
          </cell>
        </row>
        <row r="106">
          <cell r="G106" t="str">
            <v>125_0</v>
          </cell>
          <cell r="H106" t="str">
            <v>as-as</v>
          </cell>
          <cell r="I106" t="str">
            <v>sim</v>
          </cell>
          <cell r="V106" t="str">
            <v>not neg pair</v>
          </cell>
          <cell r="Y106" t="str">
            <v>Pres</v>
          </cell>
          <cell r="Z106">
            <v>4.72</v>
          </cell>
          <cell r="AA106">
            <v>0</v>
          </cell>
          <cell r="AB106">
            <v>0</v>
          </cell>
        </row>
        <row r="107">
          <cell r="G107" t="str">
            <v>125_1</v>
          </cell>
          <cell r="H107" t="str">
            <v>as-as</v>
          </cell>
          <cell r="I107" t="str">
            <v>sim</v>
          </cell>
          <cell r="V107" t="str">
            <v>not neg pair</v>
          </cell>
          <cell r="Y107" t="str">
            <v>Pres</v>
          </cell>
          <cell r="Z107">
            <v>4.72</v>
          </cell>
          <cell r="AA107">
            <v>0</v>
          </cell>
          <cell r="AB107">
            <v>0</v>
          </cell>
        </row>
        <row r="108">
          <cell r="G108" t="str">
            <v>128_0</v>
          </cell>
          <cell r="H108" t="str">
            <v/>
          </cell>
          <cell r="I108" t="str">
            <v>met</v>
          </cell>
          <cell r="V108" t="str">
            <v>0</v>
          </cell>
          <cell r="Y108" t="str">
            <v>Past</v>
          </cell>
          <cell r="Z108">
            <v>1.62</v>
          </cell>
          <cell r="AA108" t="str">
            <v>L</v>
          </cell>
          <cell r="AB108">
            <v>0</v>
          </cell>
        </row>
        <row r="109">
          <cell r="G109" t="str">
            <v>128_1</v>
          </cell>
          <cell r="H109" t="str">
            <v/>
          </cell>
          <cell r="I109" t="str">
            <v>met</v>
          </cell>
          <cell r="V109" t="str">
            <v>0</v>
          </cell>
          <cell r="Y109" t="str">
            <v>Past</v>
          </cell>
          <cell r="Z109">
            <v>1.62</v>
          </cell>
          <cell r="AA109" t="str">
            <v>L</v>
          </cell>
          <cell r="AB109">
            <v>0</v>
          </cell>
        </row>
        <row r="110">
          <cell r="G110" t="str">
            <v>131_0</v>
          </cell>
          <cell r="H110" t="str">
            <v>the-of</v>
          </cell>
          <cell r="I110" t="str">
            <v>sim</v>
          </cell>
          <cell r="V110" t="str">
            <v>not</v>
          </cell>
          <cell r="Y110" t="str">
            <v>Past</v>
          </cell>
          <cell r="Z110">
            <v>4.71</v>
          </cell>
          <cell r="AA110">
            <v>0</v>
          </cell>
          <cell r="AB110">
            <v>1</v>
          </cell>
        </row>
        <row r="111">
          <cell r="G111" t="str">
            <v>131_1</v>
          </cell>
          <cell r="H111" t="str">
            <v>the-of</v>
          </cell>
          <cell r="I111" t="str">
            <v>sim</v>
          </cell>
          <cell r="V111" t="str">
            <v>not</v>
          </cell>
          <cell r="Y111" t="str">
            <v>Past</v>
          </cell>
          <cell r="Z111">
            <v>4.71</v>
          </cell>
          <cell r="AA111">
            <v>0</v>
          </cell>
          <cell r="AB111">
            <v>1</v>
          </cell>
        </row>
        <row r="112">
          <cell r="G112" t="str">
            <v>133_0</v>
          </cell>
          <cell r="H112" t="str">
            <v/>
          </cell>
          <cell r="I112" t="str">
            <v>met</v>
          </cell>
          <cell r="V112" t="str">
            <v>0</v>
          </cell>
          <cell r="Y112" t="str">
            <v>Pres</v>
          </cell>
          <cell r="Z112">
            <v>4.6100000000000003</v>
          </cell>
          <cell r="AA112">
            <v>0</v>
          </cell>
          <cell r="AB112">
            <v>0</v>
          </cell>
        </row>
        <row r="113">
          <cell r="G113" t="str">
            <v>133_1</v>
          </cell>
          <cell r="H113" t="str">
            <v/>
          </cell>
          <cell r="I113" t="str">
            <v>met</v>
          </cell>
          <cell r="V113" t="str">
            <v>0</v>
          </cell>
          <cell r="Y113" t="str">
            <v>Pres</v>
          </cell>
          <cell r="Z113">
            <v>4.6100000000000003</v>
          </cell>
          <cell r="AA113">
            <v>0</v>
          </cell>
          <cell r="AB113">
            <v>0</v>
          </cell>
        </row>
        <row r="114">
          <cell r="G114" t="str">
            <v>134_0</v>
          </cell>
          <cell r="H114" t="str">
            <v>the-of</v>
          </cell>
          <cell r="I114" t="str">
            <v>sim</v>
          </cell>
          <cell r="V114" t="str">
            <v>not neg pair</v>
          </cell>
          <cell r="Y114" t="str">
            <v>Pres</v>
          </cell>
          <cell r="Z114">
            <v>4.1399999999999997</v>
          </cell>
          <cell r="AA114">
            <v>0</v>
          </cell>
          <cell r="AB114">
            <v>0</v>
          </cell>
        </row>
        <row r="115">
          <cell r="G115" t="str">
            <v>134_1</v>
          </cell>
          <cell r="H115" t="str">
            <v>the-of</v>
          </cell>
          <cell r="I115" t="str">
            <v>sim</v>
          </cell>
          <cell r="V115" t="str">
            <v>not neg pair</v>
          </cell>
          <cell r="Y115" t="str">
            <v>Pres</v>
          </cell>
          <cell r="Z115">
            <v>4.1399999999999997</v>
          </cell>
          <cell r="AA115">
            <v>0</v>
          </cell>
          <cell r="AB115">
            <v>0</v>
          </cell>
        </row>
        <row r="116">
          <cell r="G116" t="str">
            <v>135_0</v>
          </cell>
          <cell r="H116" t="str">
            <v>as</v>
          </cell>
          <cell r="I116" t="str">
            <v>sim</v>
          </cell>
          <cell r="V116" t="str">
            <v>not neg pair</v>
          </cell>
          <cell r="Y116" t="str">
            <v>Pres</v>
          </cell>
          <cell r="Z116">
            <v>3.93</v>
          </cell>
          <cell r="AA116">
            <v>0</v>
          </cell>
          <cell r="AB116">
            <v>0</v>
          </cell>
        </row>
        <row r="117">
          <cell r="G117" t="str">
            <v>135_1</v>
          </cell>
          <cell r="H117" t="str">
            <v>as</v>
          </cell>
          <cell r="I117" t="str">
            <v>sim</v>
          </cell>
          <cell r="V117" t="str">
            <v>not neg pair</v>
          </cell>
          <cell r="Y117" t="str">
            <v>Pres</v>
          </cell>
          <cell r="Z117">
            <v>3.93</v>
          </cell>
          <cell r="AA117">
            <v>0</v>
          </cell>
          <cell r="AB117">
            <v>0</v>
          </cell>
        </row>
        <row r="118">
          <cell r="G118" t="str">
            <v>138_0</v>
          </cell>
          <cell r="H118" t="str">
            <v>the-of</v>
          </cell>
          <cell r="I118" t="str">
            <v>sim</v>
          </cell>
          <cell r="V118" t="str">
            <v>not</v>
          </cell>
          <cell r="Y118" t="str">
            <v>Past</v>
          </cell>
          <cell r="Z118">
            <v>4.04</v>
          </cell>
          <cell r="AA118">
            <v>0</v>
          </cell>
          <cell r="AB118">
            <v>1</v>
          </cell>
        </row>
        <row r="119">
          <cell r="G119" t="str">
            <v>138_1</v>
          </cell>
          <cell r="H119" t="str">
            <v>the-of</v>
          </cell>
          <cell r="I119" t="str">
            <v>sim</v>
          </cell>
          <cell r="V119" t="str">
            <v>not</v>
          </cell>
          <cell r="Y119" t="str">
            <v>Past</v>
          </cell>
          <cell r="Z119">
            <v>4.04</v>
          </cell>
          <cell r="AA119">
            <v>0</v>
          </cell>
          <cell r="AB119">
            <v>1</v>
          </cell>
        </row>
        <row r="120">
          <cell r="G120" t="str">
            <v>139_0</v>
          </cell>
          <cell r="H120" t="str">
            <v>the-of</v>
          </cell>
          <cell r="I120" t="str">
            <v>sim</v>
          </cell>
          <cell r="V120" t="str">
            <v>not</v>
          </cell>
          <cell r="Y120" t="str">
            <v>Past</v>
          </cell>
          <cell r="Z120">
            <v>4.8499999999999996</v>
          </cell>
          <cell r="AA120">
            <v>0</v>
          </cell>
          <cell r="AB120">
            <v>1</v>
          </cell>
        </row>
        <row r="121">
          <cell r="G121" t="str">
            <v>139_1</v>
          </cell>
          <cell r="H121" t="str">
            <v>the-of</v>
          </cell>
          <cell r="I121" t="str">
            <v>sim</v>
          </cell>
          <cell r="V121" t="str">
            <v>not</v>
          </cell>
          <cell r="Y121" t="str">
            <v>Past</v>
          </cell>
          <cell r="Z121">
            <v>4.8499999999999996</v>
          </cell>
          <cell r="AA121">
            <v>0</v>
          </cell>
          <cell r="AB121">
            <v>1</v>
          </cell>
        </row>
        <row r="122">
          <cell r="G122" t="str">
            <v>140_0</v>
          </cell>
          <cell r="H122" t="str">
            <v>the-of</v>
          </cell>
          <cell r="I122" t="str">
            <v>sim</v>
          </cell>
          <cell r="V122" t="str">
            <v>not neg pair</v>
          </cell>
          <cell r="Y122" t="str">
            <v>Past</v>
          </cell>
          <cell r="Z122">
            <v>4.96</v>
          </cell>
          <cell r="AA122" t="str">
            <v>H</v>
          </cell>
          <cell r="AB122">
            <v>0</v>
          </cell>
        </row>
        <row r="123">
          <cell r="G123" t="str">
            <v>140_1</v>
          </cell>
          <cell r="H123" t="str">
            <v>the-of</v>
          </cell>
          <cell r="I123" t="str">
            <v>sim</v>
          </cell>
          <cell r="V123" t="str">
            <v>not neg pair</v>
          </cell>
          <cell r="Y123" t="str">
            <v>Past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 t="str">
            <v>142_0</v>
          </cell>
          <cell r="H124" t="str">
            <v>as-as</v>
          </cell>
          <cell r="I124" t="str">
            <v>sim</v>
          </cell>
          <cell r="V124" t="str">
            <v>antonym</v>
          </cell>
          <cell r="Y124" t="str">
            <v>Past</v>
          </cell>
          <cell r="Z124">
            <v>4.8099999999999996</v>
          </cell>
          <cell r="AA124">
            <v>0</v>
          </cell>
          <cell r="AB124">
            <v>0</v>
          </cell>
        </row>
        <row r="125">
          <cell r="G125" t="str">
            <v>142_1</v>
          </cell>
          <cell r="H125" t="str">
            <v>as-as</v>
          </cell>
          <cell r="I125" t="str">
            <v>sim</v>
          </cell>
          <cell r="V125" t="str">
            <v>antonym</v>
          </cell>
          <cell r="Y125" t="str">
            <v>Past</v>
          </cell>
          <cell r="Z125">
            <v>4.8099999999999996</v>
          </cell>
          <cell r="AA125">
            <v>0</v>
          </cell>
          <cell r="AB125">
            <v>0</v>
          </cell>
        </row>
        <row r="126">
          <cell r="G126" t="str">
            <v>143_0</v>
          </cell>
          <cell r="H126" t="str">
            <v>as-as</v>
          </cell>
          <cell r="I126" t="str">
            <v>sim</v>
          </cell>
          <cell r="V126" t="str">
            <v>not</v>
          </cell>
          <cell r="Y126" t="str">
            <v>Past</v>
          </cell>
          <cell r="Z126">
            <v>4.79</v>
          </cell>
          <cell r="AA126">
            <v>0</v>
          </cell>
          <cell r="AB126">
            <v>1</v>
          </cell>
        </row>
        <row r="127">
          <cell r="G127" t="str">
            <v>143_1</v>
          </cell>
          <cell r="H127" t="str">
            <v>as-as</v>
          </cell>
          <cell r="I127" t="str">
            <v>sim</v>
          </cell>
          <cell r="V127" t="str">
            <v>not</v>
          </cell>
          <cell r="Y127" t="str">
            <v>Past</v>
          </cell>
          <cell r="Z127">
            <v>4.79</v>
          </cell>
          <cell r="AA127">
            <v>0</v>
          </cell>
          <cell r="AB127">
            <v>1</v>
          </cell>
        </row>
        <row r="128">
          <cell r="G128" t="str">
            <v>144_0</v>
          </cell>
          <cell r="H128" t="str">
            <v>like</v>
          </cell>
          <cell r="I128" t="str">
            <v>sim</v>
          </cell>
          <cell r="V128" t="str">
            <v>not</v>
          </cell>
          <cell r="Y128" t="str">
            <v>Past</v>
          </cell>
          <cell r="Z128">
            <v>4.83</v>
          </cell>
          <cell r="AA128">
            <v>0</v>
          </cell>
          <cell r="AB128">
            <v>1</v>
          </cell>
        </row>
        <row r="129">
          <cell r="G129" t="str">
            <v>144_1</v>
          </cell>
          <cell r="H129" t="str">
            <v>like</v>
          </cell>
          <cell r="I129" t="str">
            <v>sim</v>
          </cell>
          <cell r="V129" t="str">
            <v>not</v>
          </cell>
          <cell r="Y129" t="str">
            <v>Past</v>
          </cell>
          <cell r="Z129">
            <v>4.83</v>
          </cell>
          <cell r="AA129">
            <v>0</v>
          </cell>
          <cell r="AB129">
            <v>1</v>
          </cell>
        </row>
        <row r="130">
          <cell r="G130" t="str">
            <v>145_0</v>
          </cell>
          <cell r="H130" t="str">
            <v>as-as</v>
          </cell>
          <cell r="I130" t="str">
            <v>sim</v>
          </cell>
          <cell r="V130" t="str">
            <v>antonym</v>
          </cell>
          <cell r="Y130" t="str">
            <v>Past</v>
          </cell>
          <cell r="Z130">
            <v>3.41</v>
          </cell>
          <cell r="AA130">
            <v>0</v>
          </cell>
          <cell r="AB130">
            <v>0</v>
          </cell>
        </row>
        <row r="131">
          <cell r="G131" t="str">
            <v>145_1</v>
          </cell>
          <cell r="H131" t="str">
            <v>as-as</v>
          </cell>
          <cell r="I131" t="str">
            <v>sim</v>
          </cell>
          <cell r="V131" t="str">
            <v>antonym</v>
          </cell>
          <cell r="Y131" t="str">
            <v>Past</v>
          </cell>
          <cell r="Z131">
            <v>3.41</v>
          </cell>
          <cell r="AA131">
            <v>0</v>
          </cell>
          <cell r="AB131">
            <v>0</v>
          </cell>
        </row>
        <row r="132">
          <cell r="G132" t="str">
            <v>151_0</v>
          </cell>
          <cell r="H132" t="str">
            <v>the-of</v>
          </cell>
          <cell r="I132" t="str">
            <v>sim</v>
          </cell>
          <cell r="V132" t="str">
            <v>not neg pair</v>
          </cell>
          <cell r="Y132" t="str">
            <v>Pres</v>
          </cell>
          <cell r="Z132">
            <v>4.59</v>
          </cell>
          <cell r="AA132">
            <v>0</v>
          </cell>
          <cell r="AB132">
            <v>0</v>
          </cell>
        </row>
        <row r="133">
          <cell r="G133" t="str">
            <v>151_1</v>
          </cell>
          <cell r="H133" t="str">
            <v>the-of</v>
          </cell>
          <cell r="I133" t="str">
            <v>sim</v>
          </cell>
          <cell r="V133" t="str">
            <v>not neg pair</v>
          </cell>
          <cell r="Y133" t="str">
            <v>Pres</v>
          </cell>
          <cell r="Z133">
            <v>4.59</v>
          </cell>
          <cell r="AA133">
            <v>0</v>
          </cell>
          <cell r="AB133">
            <v>0</v>
          </cell>
        </row>
        <row r="134">
          <cell r="G134" t="str">
            <v>152_0</v>
          </cell>
          <cell r="H134" t="str">
            <v>the-of</v>
          </cell>
          <cell r="I134" t="str">
            <v>sim</v>
          </cell>
          <cell r="V134" t="str">
            <v>not neg pair</v>
          </cell>
          <cell r="Y134" t="str">
            <v>Pres</v>
          </cell>
          <cell r="Z134">
            <v>3.14</v>
          </cell>
          <cell r="AA134">
            <v>0</v>
          </cell>
          <cell r="AB134">
            <v>0</v>
          </cell>
        </row>
        <row r="135">
          <cell r="G135" t="str">
            <v>152_1</v>
          </cell>
          <cell r="H135" t="str">
            <v>the-of</v>
          </cell>
          <cell r="I135" t="str">
            <v>sim</v>
          </cell>
          <cell r="V135" t="str">
            <v>not neg pair</v>
          </cell>
          <cell r="Y135" t="str">
            <v>Pres</v>
          </cell>
          <cell r="Z135">
            <v>3.14</v>
          </cell>
          <cell r="AA135">
            <v>0</v>
          </cell>
          <cell r="AB135">
            <v>0</v>
          </cell>
        </row>
        <row r="136">
          <cell r="G136" t="str">
            <v>153_0</v>
          </cell>
          <cell r="H136" t="str">
            <v>as-as</v>
          </cell>
          <cell r="I136" t="str">
            <v>sim</v>
          </cell>
          <cell r="V136" t="str">
            <v>not neg pair</v>
          </cell>
          <cell r="Y136" t="str">
            <v>Pres</v>
          </cell>
          <cell r="Z136">
            <v>2.81</v>
          </cell>
          <cell r="AA136" t="str">
            <v>L</v>
          </cell>
          <cell r="AB136">
            <v>0</v>
          </cell>
        </row>
        <row r="137">
          <cell r="G137" t="str">
            <v>153_1</v>
          </cell>
          <cell r="H137" t="str">
            <v>as-as</v>
          </cell>
          <cell r="I137" t="str">
            <v>sim</v>
          </cell>
          <cell r="V137" t="str">
            <v>not neg pair</v>
          </cell>
          <cell r="Y137" t="str">
            <v>Pres</v>
          </cell>
          <cell r="Z137">
            <v>2.81</v>
          </cell>
          <cell r="AA137" t="str">
            <v>L</v>
          </cell>
          <cell r="AB137">
            <v>0</v>
          </cell>
        </row>
        <row r="138">
          <cell r="G138" t="str">
            <v>156_0</v>
          </cell>
          <cell r="H138" t="str">
            <v/>
          </cell>
          <cell r="I138" t="str">
            <v>met</v>
          </cell>
          <cell r="V138" t="str">
            <v>0</v>
          </cell>
          <cell r="Y138" t="str">
            <v>Pres</v>
          </cell>
          <cell r="Z138">
            <v>4.12</v>
          </cell>
          <cell r="AA138">
            <v>0</v>
          </cell>
          <cell r="AB138">
            <v>0</v>
          </cell>
        </row>
        <row r="139">
          <cell r="G139" t="str">
            <v>156_1</v>
          </cell>
          <cell r="H139" t="str">
            <v/>
          </cell>
          <cell r="I139" t="str">
            <v>met</v>
          </cell>
          <cell r="V139" t="str">
            <v>0</v>
          </cell>
          <cell r="Y139" t="str">
            <v>Pres</v>
          </cell>
          <cell r="Z139">
            <v>4.12</v>
          </cell>
          <cell r="AA139">
            <v>0</v>
          </cell>
          <cell r="AB139">
            <v>0</v>
          </cell>
        </row>
        <row r="140">
          <cell r="G140" t="str">
            <v>157_0</v>
          </cell>
          <cell r="H140" t="str">
            <v/>
          </cell>
          <cell r="I140" t="str">
            <v>met</v>
          </cell>
          <cell r="V140" t="str">
            <v>0</v>
          </cell>
          <cell r="Y140" t="str">
            <v>Pres</v>
          </cell>
          <cell r="Z140">
            <v>4.83</v>
          </cell>
          <cell r="AA140">
            <v>0</v>
          </cell>
          <cell r="AB140">
            <v>0</v>
          </cell>
        </row>
        <row r="141">
          <cell r="G141" t="str">
            <v>157_1</v>
          </cell>
          <cell r="H141" t="str">
            <v/>
          </cell>
          <cell r="I141" t="str">
            <v>met</v>
          </cell>
          <cell r="V141" t="str">
            <v>0</v>
          </cell>
          <cell r="Y141" t="str">
            <v>Pres</v>
          </cell>
          <cell r="Z141">
            <v>4.83</v>
          </cell>
          <cell r="AA141">
            <v>0</v>
          </cell>
          <cell r="AB141">
            <v>0</v>
          </cell>
        </row>
        <row r="142">
          <cell r="G142" t="str">
            <v>163_0</v>
          </cell>
          <cell r="H142" t="str">
            <v>like</v>
          </cell>
          <cell r="I142" t="str">
            <v>sim</v>
          </cell>
          <cell r="V142" t="str">
            <v>not neg pair</v>
          </cell>
          <cell r="Y142" t="str">
            <v>Past</v>
          </cell>
          <cell r="Z142">
            <v>3.36</v>
          </cell>
          <cell r="AA142">
            <v>0</v>
          </cell>
          <cell r="AB142">
            <v>0</v>
          </cell>
        </row>
        <row r="143">
          <cell r="G143" t="str">
            <v>163_1</v>
          </cell>
          <cell r="H143" t="str">
            <v>like</v>
          </cell>
          <cell r="I143" t="str">
            <v>sim</v>
          </cell>
          <cell r="V143" t="str">
            <v>not neg pair</v>
          </cell>
          <cell r="Y143" t="str">
            <v>Past</v>
          </cell>
          <cell r="Z143">
            <v>3.36</v>
          </cell>
          <cell r="AA143">
            <v>0</v>
          </cell>
          <cell r="AB143">
            <v>0</v>
          </cell>
        </row>
        <row r="144">
          <cell r="G144" t="str">
            <v>175_0</v>
          </cell>
          <cell r="H144" t="str">
            <v>as-as</v>
          </cell>
          <cell r="I144" t="str">
            <v>sim</v>
          </cell>
          <cell r="V144" t="str">
            <v>antonym</v>
          </cell>
          <cell r="Y144" t="str">
            <v>Pres</v>
          </cell>
          <cell r="Z144">
            <v>2.81</v>
          </cell>
          <cell r="AA144" t="str">
            <v>L</v>
          </cell>
          <cell r="AB144">
            <v>1</v>
          </cell>
        </row>
        <row r="145">
          <cell r="G145" t="str">
            <v>175_1</v>
          </cell>
          <cell r="H145" t="str">
            <v>as-as</v>
          </cell>
          <cell r="I145" t="str">
            <v>sim</v>
          </cell>
          <cell r="V145" t="str">
            <v>antonym</v>
          </cell>
          <cell r="Y145" t="str">
            <v>Pres</v>
          </cell>
          <cell r="Z145">
            <v>2.81</v>
          </cell>
          <cell r="AA145" t="str">
            <v>L</v>
          </cell>
          <cell r="AB145">
            <v>1</v>
          </cell>
        </row>
        <row r="146">
          <cell r="G146" t="str">
            <v>176_0</v>
          </cell>
          <cell r="H146" t="str">
            <v>the-of</v>
          </cell>
          <cell r="I146" t="str">
            <v>sim</v>
          </cell>
          <cell r="V146" t="str">
            <v>not neg pair</v>
          </cell>
          <cell r="Y146" t="str">
            <v>Pres</v>
          </cell>
          <cell r="Z146">
            <v>2.81</v>
          </cell>
          <cell r="AA146" t="str">
            <v>L</v>
          </cell>
          <cell r="AB146">
            <v>0</v>
          </cell>
        </row>
        <row r="147">
          <cell r="G147" t="str">
            <v>176_1</v>
          </cell>
          <cell r="H147" t="str">
            <v>the-of</v>
          </cell>
          <cell r="I147" t="str">
            <v>sim</v>
          </cell>
          <cell r="V147" t="str">
            <v>not neg pair</v>
          </cell>
          <cell r="Y147" t="str">
            <v>Pres</v>
          </cell>
          <cell r="Z147">
            <v>2.81</v>
          </cell>
          <cell r="AA147" t="str">
            <v>L</v>
          </cell>
          <cell r="AB147">
            <v>0</v>
          </cell>
        </row>
        <row r="148">
          <cell r="G148" t="str">
            <v>180_0</v>
          </cell>
          <cell r="H148" t="str">
            <v>as-as</v>
          </cell>
          <cell r="I148" t="str">
            <v>sim</v>
          </cell>
          <cell r="V148" t="str">
            <v>antonym</v>
          </cell>
          <cell r="Y148" t="str">
            <v>Past</v>
          </cell>
          <cell r="Z148">
            <v>2.56</v>
          </cell>
          <cell r="AA148" t="str">
            <v>L</v>
          </cell>
          <cell r="AB148">
            <v>0</v>
          </cell>
        </row>
        <row r="149">
          <cell r="G149" t="str">
            <v>180_1</v>
          </cell>
          <cell r="H149" t="str">
            <v>as-as</v>
          </cell>
          <cell r="I149" t="str">
            <v>sim</v>
          </cell>
          <cell r="V149" t="str">
            <v>antonym</v>
          </cell>
          <cell r="Y149" t="str">
            <v>Past</v>
          </cell>
          <cell r="Z149">
            <v>2.56</v>
          </cell>
          <cell r="AA149" t="str">
            <v>L</v>
          </cell>
          <cell r="AB149">
            <v>0</v>
          </cell>
        </row>
        <row r="150">
          <cell r="G150" t="str">
            <v>181_0</v>
          </cell>
          <cell r="H150" t="str">
            <v>the-of</v>
          </cell>
          <cell r="I150" t="str">
            <v>sim</v>
          </cell>
          <cell r="V150" t="str">
            <v>not neg pair</v>
          </cell>
          <cell r="Y150" t="str">
            <v>Pres</v>
          </cell>
          <cell r="Z150">
            <v>4.3099999999999996</v>
          </cell>
          <cell r="AA150">
            <v>0</v>
          </cell>
          <cell r="AB150">
            <v>0</v>
          </cell>
        </row>
        <row r="151">
          <cell r="G151" t="str">
            <v>181_1</v>
          </cell>
          <cell r="H151" t="str">
            <v>the-of</v>
          </cell>
          <cell r="I151" t="str">
            <v>sim</v>
          </cell>
          <cell r="V151" t="str">
            <v>not neg pair</v>
          </cell>
          <cell r="Y151" t="str">
            <v>Pres</v>
          </cell>
          <cell r="Z151">
            <v>4.3099999999999996</v>
          </cell>
          <cell r="AA151">
            <v>0</v>
          </cell>
          <cell r="AB151">
            <v>0</v>
          </cell>
        </row>
        <row r="152">
          <cell r="G152" t="str">
            <v>182_0</v>
          </cell>
          <cell r="H152" t="str">
            <v>the-of</v>
          </cell>
          <cell r="I152" t="str">
            <v>sim</v>
          </cell>
          <cell r="V152" t="str">
            <v>not neg pair</v>
          </cell>
          <cell r="Y152" t="str">
            <v>Pres</v>
          </cell>
          <cell r="Z152">
            <v>4.8600000000000003</v>
          </cell>
          <cell r="AA152">
            <v>0</v>
          </cell>
          <cell r="AB152">
            <v>0</v>
          </cell>
        </row>
        <row r="153">
          <cell r="G153" t="str">
            <v>182_1</v>
          </cell>
          <cell r="H153" t="str">
            <v>the-of</v>
          </cell>
          <cell r="I153" t="str">
            <v>sim</v>
          </cell>
          <cell r="V153" t="str">
            <v>not neg pair</v>
          </cell>
          <cell r="Y153" t="str">
            <v>Pres</v>
          </cell>
          <cell r="Z153">
            <v>4.8600000000000003</v>
          </cell>
          <cell r="AA153">
            <v>0</v>
          </cell>
          <cell r="AB153">
            <v>0</v>
          </cell>
        </row>
        <row r="154">
          <cell r="G154" t="str">
            <v>185_0</v>
          </cell>
          <cell r="H154" t="str">
            <v>like</v>
          </cell>
          <cell r="I154" t="str">
            <v>sim</v>
          </cell>
          <cell r="V154" t="str">
            <v>not</v>
          </cell>
          <cell r="Y154" t="str">
            <v>Past</v>
          </cell>
          <cell r="Z154">
            <v>3.36</v>
          </cell>
          <cell r="AA154">
            <v>0</v>
          </cell>
          <cell r="AB154">
            <v>1</v>
          </cell>
        </row>
        <row r="155">
          <cell r="G155" t="str">
            <v>185_1</v>
          </cell>
          <cell r="H155" t="str">
            <v>like</v>
          </cell>
          <cell r="I155" t="str">
            <v>sim</v>
          </cell>
          <cell r="V155" t="str">
            <v>not</v>
          </cell>
          <cell r="Y155" t="str">
            <v>Past</v>
          </cell>
          <cell r="Z155">
            <v>3.36</v>
          </cell>
          <cell r="AA155">
            <v>0</v>
          </cell>
          <cell r="AB155">
            <v>1</v>
          </cell>
        </row>
        <row r="156">
          <cell r="G156" t="str">
            <v>190_0</v>
          </cell>
          <cell r="H156" t="str">
            <v>as-as</v>
          </cell>
          <cell r="I156" t="str">
            <v>sim</v>
          </cell>
          <cell r="V156" t="str">
            <v>not neg pair</v>
          </cell>
          <cell r="Y156" t="str">
            <v>Pres</v>
          </cell>
          <cell r="Z156">
            <v>2.81</v>
          </cell>
          <cell r="AA156">
            <v>0</v>
          </cell>
          <cell r="AB156">
            <v>0</v>
          </cell>
        </row>
        <row r="157">
          <cell r="G157" t="str">
            <v>190_1</v>
          </cell>
          <cell r="H157" t="str">
            <v>as-as</v>
          </cell>
          <cell r="I157" t="str">
            <v>sim</v>
          </cell>
          <cell r="V157" t="str">
            <v>not neg pair</v>
          </cell>
          <cell r="Y157" t="str">
            <v>Pres</v>
          </cell>
          <cell r="Z157">
            <v>2.81</v>
          </cell>
          <cell r="AA157">
            <v>0</v>
          </cell>
          <cell r="AB157">
            <v>0</v>
          </cell>
        </row>
        <row r="158">
          <cell r="G158" t="str">
            <v>191_0</v>
          </cell>
          <cell r="H158" t="str">
            <v>as-as</v>
          </cell>
          <cell r="I158" t="str">
            <v>sim</v>
          </cell>
          <cell r="V158" t="str">
            <v>not neg pair</v>
          </cell>
          <cell r="Y158" t="str">
            <v>Pres</v>
          </cell>
          <cell r="Z158">
            <v>3.36</v>
          </cell>
          <cell r="AA158">
            <v>0</v>
          </cell>
          <cell r="AB158">
            <v>0</v>
          </cell>
        </row>
        <row r="159">
          <cell r="G159" t="str">
            <v>191_1</v>
          </cell>
          <cell r="H159" t="str">
            <v>as-as</v>
          </cell>
          <cell r="I159" t="str">
            <v>sim</v>
          </cell>
          <cell r="V159" t="str">
            <v>not neg pair</v>
          </cell>
          <cell r="Y159" t="str">
            <v>Pres</v>
          </cell>
          <cell r="Z159">
            <v>3.36</v>
          </cell>
          <cell r="AA159">
            <v>0</v>
          </cell>
          <cell r="AB159">
            <v>0</v>
          </cell>
        </row>
        <row r="160">
          <cell r="G160" t="str">
            <v>195_0</v>
          </cell>
          <cell r="H160" t="str">
            <v>the-of</v>
          </cell>
          <cell r="I160" t="str">
            <v>sim</v>
          </cell>
          <cell r="V160" t="str">
            <v>not neg pair</v>
          </cell>
          <cell r="Y160" t="str">
            <v>Past</v>
          </cell>
          <cell r="Z160">
            <v>4.5199999999999996</v>
          </cell>
          <cell r="AA160">
            <v>0</v>
          </cell>
          <cell r="AB160">
            <v>0</v>
          </cell>
        </row>
        <row r="161">
          <cell r="G161" t="str">
            <v>195_1</v>
          </cell>
          <cell r="H161" t="str">
            <v>the-of</v>
          </cell>
          <cell r="I161" t="str">
            <v>sim</v>
          </cell>
          <cell r="V161" t="str">
            <v>not neg pair</v>
          </cell>
          <cell r="Y161" t="str">
            <v>Past</v>
          </cell>
          <cell r="Z161">
            <v>4.5199999999999996</v>
          </cell>
          <cell r="AA161">
            <v>0</v>
          </cell>
          <cell r="AB161">
            <v>0</v>
          </cell>
        </row>
        <row r="162">
          <cell r="G162" t="str">
            <v>199_0</v>
          </cell>
          <cell r="H162" t="str">
            <v>as-as</v>
          </cell>
          <cell r="I162" t="str">
            <v>sim</v>
          </cell>
          <cell r="V162" t="str">
            <v>antonym</v>
          </cell>
          <cell r="Y162" t="str">
            <v>Past</v>
          </cell>
          <cell r="Z162">
            <v>4.59</v>
          </cell>
          <cell r="AA162">
            <v>0</v>
          </cell>
          <cell r="AB162">
            <v>0</v>
          </cell>
        </row>
        <row r="163">
          <cell r="G163" t="str">
            <v>199_1</v>
          </cell>
          <cell r="H163" t="str">
            <v>as-as</v>
          </cell>
          <cell r="I163" t="str">
            <v>sim</v>
          </cell>
          <cell r="V163" t="str">
            <v>antonym</v>
          </cell>
          <cell r="Y163" t="str">
            <v>Past</v>
          </cell>
          <cell r="Z163">
            <v>4.59</v>
          </cell>
          <cell r="AA163">
            <v>0</v>
          </cell>
          <cell r="AB163">
            <v>0</v>
          </cell>
        </row>
        <row r="164">
          <cell r="G164" t="str">
            <v>200_0</v>
          </cell>
          <cell r="H164" t="str">
            <v>as-as</v>
          </cell>
          <cell r="I164" t="str">
            <v>sim</v>
          </cell>
          <cell r="V164" t="str">
            <v>not</v>
          </cell>
          <cell r="Y164" t="str">
            <v>Past</v>
          </cell>
          <cell r="Z164">
            <v>4.59</v>
          </cell>
          <cell r="AA164">
            <v>0</v>
          </cell>
          <cell r="AB164">
            <v>1</v>
          </cell>
        </row>
        <row r="165">
          <cell r="G165" t="str">
            <v>200_1</v>
          </cell>
          <cell r="H165" t="str">
            <v>as-as</v>
          </cell>
          <cell r="I165" t="str">
            <v>sim</v>
          </cell>
          <cell r="V165" t="str">
            <v>not</v>
          </cell>
          <cell r="Y165" t="str">
            <v>Past</v>
          </cell>
          <cell r="Z165">
            <v>4.59</v>
          </cell>
          <cell r="AA165">
            <v>0</v>
          </cell>
          <cell r="AB165">
            <v>1</v>
          </cell>
        </row>
        <row r="166">
          <cell r="G166" t="str">
            <v>202_0</v>
          </cell>
          <cell r="H166" t="str">
            <v/>
          </cell>
          <cell r="I166" t="str">
            <v>met</v>
          </cell>
          <cell r="V166" t="str">
            <v>0</v>
          </cell>
          <cell r="Y166" t="str">
            <v>Pres</v>
          </cell>
          <cell r="Z166">
            <v>4.07</v>
          </cell>
          <cell r="AA166">
            <v>0</v>
          </cell>
          <cell r="AB166">
            <v>0</v>
          </cell>
        </row>
        <row r="167">
          <cell r="G167" t="str">
            <v>202_1</v>
          </cell>
          <cell r="H167" t="str">
            <v/>
          </cell>
          <cell r="I167" t="str">
            <v>met</v>
          </cell>
          <cell r="V167" t="str">
            <v>0</v>
          </cell>
          <cell r="Y167" t="str">
            <v>Pres</v>
          </cell>
          <cell r="Z167">
            <v>4.07</v>
          </cell>
          <cell r="AA167">
            <v>0</v>
          </cell>
          <cell r="AB167">
            <v>0</v>
          </cell>
        </row>
        <row r="168">
          <cell r="G168" t="str">
            <v>204_0</v>
          </cell>
          <cell r="H168" t="str">
            <v>as-as</v>
          </cell>
          <cell r="I168" t="str">
            <v>sim</v>
          </cell>
          <cell r="V168" t="str">
            <v>not</v>
          </cell>
          <cell r="Y168" t="str">
            <v>Past</v>
          </cell>
          <cell r="Z168">
            <v>3.36</v>
          </cell>
          <cell r="AA168">
            <v>0</v>
          </cell>
          <cell r="AB168">
            <v>0</v>
          </cell>
        </row>
        <row r="169">
          <cell r="G169" t="str">
            <v>204_1</v>
          </cell>
          <cell r="H169" t="str">
            <v>as-as</v>
          </cell>
          <cell r="I169" t="str">
            <v>sim</v>
          </cell>
          <cell r="V169" t="str">
            <v>not</v>
          </cell>
          <cell r="Y169" t="str">
            <v>Past</v>
          </cell>
          <cell r="Z169">
            <v>3.36</v>
          </cell>
          <cell r="AA169">
            <v>0</v>
          </cell>
          <cell r="AB169">
            <v>0</v>
          </cell>
        </row>
        <row r="170">
          <cell r="G170" t="str">
            <v>205_0</v>
          </cell>
          <cell r="H170" t="str">
            <v>as-as</v>
          </cell>
          <cell r="I170" t="str">
            <v>sim</v>
          </cell>
          <cell r="V170" t="str">
            <v>not</v>
          </cell>
          <cell r="Y170" t="str">
            <v>Past</v>
          </cell>
          <cell r="Z170">
            <v>3.36</v>
          </cell>
          <cell r="AA170">
            <v>0</v>
          </cell>
          <cell r="AB170">
            <v>1</v>
          </cell>
        </row>
        <row r="171">
          <cell r="G171" t="str">
            <v>205_1</v>
          </cell>
          <cell r="H171" t="str">
            <v>as-as</v>
          </cell>
          <cell r="I171" t="str">
            <v>sim</v>
          </cell>
          <cell r="V171" t="str">
            <v>not</v>
          </cell>
          <cell r="Y171" t="str">
            <v>Past</v>
          </cell>
          <cell r="Z171">
            <v>3.36</v>
          </cell>
          <cell r="AA171">
            <v>0</v>
          </cell>
          <cell r="AB171">
            <v>1</v>
          </cell>
        </row>
        <row r="172">
          <cell r="G172" t="str">
            <v>207_0</v>
          </cell>
          <cell r="H172" t="str">
            <v>as-as</v>
          </cell>
          <cell r="I172" t="str">
            <v>sim</v>
          </cell>
          <cell r="V172" t="str">
            <v>not neg pair</v>
          </cell>
          <cell r="Y172" t="str">
            <v>Pres</v>
          </cell>
          <cell r="Z172">
            <v>2.0699999999999998</v>
          </cell>
          <cell r="AA172" t="str">
            <v>L</v>
          </cell>
          <cell r="AB172">
            <v>0</v>
          </cell>
        </row>
        <row r="173">
          <cell r="G173" t="str">
            <v>207_1</v>
          </cell>
          <cell r="H173" t="str">
            <v>as-as</v>
          </cell>
          <cell r="I173" t="str">
            <v>sim</v>
          </cell>
          <cell r="V173" t="str">
            <v>not neg pair</v>
          </cell>
          <cell r="Y173" t="str">
            <v>Pres</v>
          </cell>
          <cell r="Z173">
            <v>2.0699999999999998</v>
          </cell>
          <cell r="AA173" t="str">
            <v>L</v>
          </cell>
          <cell r="AB173">
            <v>0</v>
          </cell>
        </row>
        <row r="174">
          <cell r="G174" t="str">
            <v>208_0</v>
          </cell>
          <cell r="H174" t="str">
            <v>as-as</v>
          </cell>
          <cell r="I174" t="str">
            <v>sim</v>
          </cell>
          <cell r="V174" t="str">
            <v>not neg pair</v>
          </cell>
          <cell r="Y174" t="str">
            <v>Pres</v>
          </cell>
          <cell r="Z174">
            <v>4.6399999999999997</v>
          </cell>
          <cell r="AA174">
            <v>0</v>
          </cell>
          <cell r="AB174">
            <v>0</v>
          </cell>
        </row>
        <row r="175">
          <cell r="G175" t="str">
            <v>208_1</v>
          </cell>
          <cell r="H175" t="str">
            <v>as-as</v>
          </cell>
          <cell r="I175" t="str">
            <v>sim</v>
          </cell>
          <cell r="V175" t="str">
            <v>not neg pair</v>
          </cell>
          <cell r="Y175" t="str">
            <v>Pres</v>
          </cell>
          <cell r="Z175">
            <v>4.6399999999999997</v>
          </cell>
          <cell r="AA175">
            <v>0</v>
          </cell>
          <cell r="AB175">
            <v>0</v>
          </cell>
        </row>
        <row r="176">
          <cell r="G176" t="str">
            <v>209_0</v>
          </cell>
          <cell r="H176" t="str">
            <v>as-as</v>
          </cell>
          <cell r="I176" t="str">
            <v>sim</v>
          </cell>
          <cell r="V176" t="str">
            <v>antonym</v>
          </cell>
          <cell r="Y176" t="str">
            <v>Pres</v>
          </cell>
          <cell r="Z176">
            <v>4.75</v>
          </cell>
          <cell r="AA176">
            <v>0</v>
          </cell>
          <cell r="AB176">
            <v>0</v>
          </cell>
        </row>
        <row r="177">
          <cell r="G177" t="str">
            <v>209_1</v>
          </cell>
          <cell r="H177" t="str">
            <v>as-as</v>
          </cell>
          <cell r="I177" t="str">
            <v>sim</v>
          </cell>
          <cell r="V177" t="str">
            <v>antonym</v>
          </cell>
          <cell r="Y177" t="str">
            <v>Pres</v>
          </cell>
          <cell r="Z177">
            <v>4.75</v>
          </cell>
          <cell r="AA177">
            <v>0</v>
          </cell>
          <cell r="AB177">
            <v>0</v>
          </cell>
        </row>
        <row r="178">
          <cell r="G178" t="str">
            <v>211_0</v>
          </cell>
          <cell r="H178" t="str">
            <v>as-as</v>
          </cell>
          <cell r="I178" t="str">
            <v>sim</v>
          </cell>
          <cell r="V178" t="str">
            <v>not</v>
          </cell>
          <cell r="Y178" t="str">
            <v>Pres</v>
          </cell>
          <cell r="Z178">
            <v>1.86</v>
          </cell>
          <cell r="AA178" t="str">
            <v>L</v>
          </cell>
          <cell r="AB178">
            <v>0</v>
          </cell>
        </row>
        <row r="179">
          <cell r="G179" t="str">
            <v>211_1</v>
          </cell>
          <cell r="H179" t="str">
            <v>as-as</v>
          </cell>
          <cell r="I179" t="str">
            <v>sim</v>
          </cell>
          <cell r="V179" t="str">
            <v>not</v>
          </cell>
          <cell r="Y179" t="str">
            <v>Pres</v>
          </cell>
          <cell r="Z179">
            <v>1.86</v>
          </cell>
          <cell r="AA179" t="str">
            <v>L</v>
          </cell>
          <cell r="AB179">
            <v>0</v>
          </cell>
        </row>
        <row r="180">
          <cell r="G180" t="str">
            <v>215_0</v>
          </cell>
          <cell r="H180" t="str">
            <v>the-of</v>
          </cell>
          <cell r="I180" t="str">
            <v>sim</v>
          </cell>
          <cell r="V180" t="str">
            <v>not</v>
          </cell>
          <cell r="Y180" t="str">
            <v>Past</v>
          </cell>
          <cell r="Z180">
            <v>4.8600000000000003</v>
          </cell>
          <cell r="AA180">
            <v>0</v>
          </cell>
          <cell r="AB180">
            <v>1</v>
          </cell>
        </row>
        <row r="181">
          <cell r="G181" t="str">
            <v>215_1</v>
          </cell>
          <cell r="H181" t="str">
            <v>the-of</v>
          </cell>
          <cell r="I181" t="str">
            <v>sim</v>
          </cell>
          <cell r="V181" t="str">
            <v>not</v>
          </cell>
          <cell r="Y181" t="str">
            <v>Past</v>
          </cell>
          <cell r="Z181">
            <v>4.8600000000000003</v>
          </cell>
          <cell r="AA181">
            <v>0</v>
          </cell>
          <cell r="AB181">
            <v>1</v>
          </cell>
        </row>
        <row r="182">
          <cell r="G182" t="str">
            <v>223_0</v>
          </cell>
          <cell r="H182" t="str">
            <v>the-of</v>
          </cell>
          <cell r="I182" t="str">
            <v>sim</v>
          </cell>
          <cell r="V182" t="str">
            <v>not neg pair</v>
          </cell>
          <cell r="Y182" t="str">
            <v>Pres</v>
          </cell>
          <cell r="Z182">
            <v>3.36</v>
          </cell>
          <cell r="AA182">
            <v>0</v>
          </cell>
          <cell r="AB182">
            <v>0</v>
          </cell>
        </row>
        <row r="183">
          <cell r="G183" t="str">
            <v>223_1</v>
          </cell>
          <cell r="H183" t="str">
            <v>as</v>
          </cell>
          <cell r="I183" t="str">
            <v>sim</v>
          </cell>
          <cell r="V183" t="str">
            <v>not neg pair</v>
          </cell>
          <cell r="Y183" t="str">
            <v>Pres</v>
          </cell>
          <cell r="Z183">
            <v>3.36</v>
          </cell>
          <cell r="AA183">
            <v>0</v>
          </cell>
          <cell r="AB183">
            <v>0</v>
          </cell>
        </row>
        <row r="184">
          <cell r="G184" t="str">
            <v>225_0</v>
          </cell>
          <cell r="H184" t="str">
            <v>as-as</v>
          </cell>
          <cell r="I184" t="str">
            <v>sim</v>
          </cell>
          <cell r="V184" t="str">
            <v>not neg pair</v>
          </cell>
          <cell r="Y184" t="str">
            <v>Pres</v>
          </cell>
          <cell r="Z184">
            <v>3.93</v>
          </cell>
          <cell r="AA184">
            <v>0</v>
          </cell>
          <cell r="AB184">
            <v>0</v>
          </cell>
        </row>
        <row r="185">
          <cell r="G185" t="str">
            <v>225_1</v>
          </cell>
          <cell r="H185" t="str">
            <v>as-as</v>
          </cell>
          <cell r="I185" t="str">
            <v>sim</v>
          </cell>
          <cell r="V185" t="str">
            <v>not neg pair</v>
          </cell>
          <cell r="Y185" t="str">
            <v>Pres</v>
          </cell>
          <cell r="Z185">
            <v>3.93</v>
          </cell>
          <cell r="AA185">
            <v>0</v>
          </cell>
          <cell r="AB185">
            <v>0</v>
          </cell>
        </row>
        <row r="186">
          <cell r="G186" t="str">
            <v>226_0</v>
          </cell>
          <cell r="H186" t="str">
            <v>as-as</v>
          </cell>
          <cell r="I186" t="str">
            <v>sim</v>
          </cell>
          <cell r="V186" t="str">
            <v>not neg pair</v>
          </cell>
          <cell r="Y186" t="str">
            <v>Pres</v>
          </cell>
          <cell r="Z186">
            <v>4.8499999999999996</v>
          </cell>
          <cell r="AA186">
            <v>0</v>
          </cell>
          <cell r="AB186">
            <v>0</v>
          </cell>
        </row>
        <row r="187">
          <cell r="G187" t="str">
            <v>226_1</v>
          </cell>
          <cell r="H187" t="str">
            <v>as-as</v>
          </cell>
          <cell r="I187" t="str">
            <v>sim</v>
          </cell>
          <cell r="V187" t="str">
            <v>not neg pair</v>
          </cell>
          <cell r="Y187" t="str">
            <v>Pres</v>
          </cell>
          <cell r="Z187">
            <v>4.8499999999999996</v>
          </cell>
          <cell r="AA187">
            <v>0</v>
          </cell>
          <cell r="AB187">
            <v>0</v>
          </cell>
        </row>
        <row r="188">
          <cell r="G188" t="str">
            <v>227_0</v>
          </cell>
          <cell r="H188" t="str">
            <v>as-as</v>
          </cell>
          <cell r="I188" t="str">
            <v>sim</v>
          </cell>
          <cell r="V188" t="str">
            <v>not neg pair</v>
          </cell>
          <cell r="Y188" t="str">
            <v>Pres</v>
          </cell>
          <cell r="Z188">
            <v>3.36</v>
          </cell>
          <cell r="AA188">
            <v>0</v>
          </cell>
          <cell r="AB188">
            <v>0</v>
          </cell>
        </row>
        <row r="189">
          <cell r="G189" t="str">
            <v>227_1</v>
          </cell>
          <cell r="H189" t="str">
            <v>as-as</v>
          </cell>
          <cell r="I189" t="str">
            <v>sim</v>
          </cell>
          <cell r="V189" t="str">
            <v>not neg pair</v>
          </cell>
          <cell r="Y189" t="str">
            <v>Pres</v>
          </cell>
          <cell r="Z189">
            <v>3.36</v>
          </cell>
          <cell r="AA189">
            <v>0</v>
          </cell>
          <cell r="AB189">
            <v>0</v>
          </cell>
        </row>
        <row r="190">
          <cell r="G190" t="str">
            <v>230_0</v>
          </cell>
          <cell r="H190" t="str">
            <v>the-of</v>
          </cell>
          <cell r="I190" t="str">
            <v>sim</v>
          </cell>
          <cell r="V190" t="str">
            <v>not neg pair</v>
          </cell>
          <cell r="Y190" t="str">
            <v>Pres</v>
          </cell>
          <cell r="Z190">
            <v>4.5199999999999996</v>
          </cell>
          <cell r="AA190">
            <v>0</v>
          </cell>
          <cell r="AB190">
            <v>0</v>
          </cell>
        </row>
        <row r="191">
          <cell r="G191" t="str">
            <v>230_1</v>
          </cell>
          <cell r="H191" t="str">
            <v>the-of</v>
          </cell>
          <cell r="I191" t="str">
            <v>sim</v>
          </cell>
          <cell r="V191" t="str">
            <v>not neg pair</v>
          </cell>
          <cell r="Y191" t="str">
            <v>Pres</v>
          </cell>
          <cell r="Z191">
            <v>4.5199999999999996</v>
          </cell>
          <cell r="AA191">
            <v>0</v>
          </cell>
          <cell r="AB191">
            <v>0</v>
          </cell>
        </row>
        <row r="192">
          <cell r="G192" t="str">
            <v>231_0</v>
          </cell>
          <cell r="H192" t="str">
            <v>like</v>
          </cell>
          <cell r="I192" t="str">
            <v>sim</v>
          </cell>
          <cell r="V192" t="str">
            <v>not neg pair</v>
          </cell>
          <cell r="Y192" t="str">
            <v>Pres</v>
          </cell>
          <cell r="Z192">
            <v>2.93</v>
          </cell>
          <cell r="AA192">
            <v>0</v>
          </cell>
          <cell r="AB192">
            <v>0</v>
          </cell>
        </row>
        <row r="193">
          <cell r="G193" t="str">
            <v>231_1</v>
          </cell>
          <cell r="H193" t="str">
            <v>like</v>
          </cell>
          <cell r="I193" t="str">
            <v>sim</v>
          </cell>
          <cell r="V193" t="str">
            <v>not neg pair</v>
          </cell>
          <cell r="Y193" t="str">
            <v>Pres</v>
          </cell>
          <cell r="Z193">
            <v>2.93</v>
          </cell>
          <cell r="AA193">
            <v>0</v>
          </cell>
          <cell r="AB193">
            <v>0</v>
          </cell>
        </row>
        <row r="194">
          <cell r="G194" t="str">
            <v>232_0</v>
          </cell>
          <cell r="H194" t="str">
            <v>like</v>
          </cell>
          <cell r="I194" t="str">
            <v>sim</v>
          </cell>
          <cell r="V194" t="str">
            <v>not neg pair</v>
          </cell>
          <cell r="Y194" t="str">
            <v>Pres</v>
          </cell>
          <cell r="Z194">
            <v>4.76</v>
          </cell>
          <cell r="AA194">
            <v>0</v>
          </cell>
          <cell r="AB194">
            <v>0</v>
          </cell>
        </row>
        <row r="195">
          <cell r="G195" t="str">
            <v>232_1</v>
          </cell>
          <cell r="H195" t="str">
            <v>like</v>
          </cell>
          <cell r="I195" t="str">
            <v>sim</v>
          </cell>
          <cell r="V195" t="str">
            <v>not neg pair</v>
          </cell>
          <cell r="Y195" t="str">
            <v>Pres</v>
          </cell>
          <cell r="Z195">
            <v>4.76</v>
          </cell>
          <cell r="AA195">
            <v>0</v>
          </cell>
          <cell r="AB195">
            <v>0</v>
          </cell>
        </row>
        <row r="196">
          <cell r="G196" t="str">
            <v>234_0</v>
          </cell>
          <cell r="H196" t="str">
            <v>as-as</v>
          </cell>
          <cell r="I196" t="str">
            <v>sim</v>
          </cell>
          <cell r="V196" t="str">
            <v>not</v>
          </cell>
          <cell r="Y196" t="str">
            <v>Past</v>
          </cell>
          <cell r="Z196">
            <v>3.45</v>
          </cell>
          <cell r="AA196">
            <v>0</v>
          </cell>
          <cell r="AB196">
            <v>1</v>
          </cell>
        </row>
        <row r="197">
          <cell r="G197" t="str">
            <v>234_1</v>
          </cell>
          <cell r="H197" t="str">
            <v>as-as</v>
          </cell>
          <cell r="I197" t="str">
            <v>sim</v>
          </cell>
          <cell r="V197" t="str">
            <v>not</v>
          </cell>
          <cell r="Y197" t="str">
            <v>Past</v>
          </cell>
          <cell r="Z197">
            <v>3.45</v>
          </cell>
          <cell r="AA197">
            <v>0</v>
          </cell>
          <cell r="AB197">
            <v>1</v>
          </cell>
        </row>
        <row r="198">
          <cell r="G198" t="str">
            <v>235_0</v>
          </cell>
          <cell r="H198" t="str">
            <v>like</v>
          </cell>
          <cell r="I198" t="str">
            <v>sim</v>
          </cell>
          <cell r="V198" t="str">
            <v>not neg pair</v>
          </cell>
          <cell r="Y198" t="str">
            <v>Past</v>
          </cell>
          <cell r="Z198">
            <v>4.6900000000000004</v>
          </cell>
          <cell r="AA198">
            <v>0</v>
          </cell>
          <cell r="AB198">
            <v>0</v>
          </cell>
        </row>
        <row r="199">
          <cell r="G199" t="str">
            <v>235_1</v>
          </cell>
          <cell r="H199" t="str">
            <v>like</v>
          </cell>
          <cell r="I199" t="str">
            <v>sim</v>
          </cell>
          <cell r="V199" t="str">
            <v>not neg pair</v>
          </cell>
          <cell r="Y199" t="str">
            <v>Past</v>
          </cell>
          <cell r="Z199">
            <v>4.6900000000000004</v>
          </cell>
          <cell r="AA199">
            <v>0</v>
          </cell>
          <cell r="AB199">
            <v>0</v>
          </cell>
        </row>
        <row r="200">
          <cell r="G200" t="str">
            <v>236_0</v>
          </cell>
          <cell r="H200" t="str">
            <v>the-of</v>
          </cell>
          <cell r="I200" t="str">
            <v>sim</v>
          </cell>
          <cell r="V200" t="str">
            <v>not neg pair</v>
          </cell>
          <cell r="Y200" t="str">
            <v>Pres</v>
          </cell>
          <cell r="Z200">
            <v>4.63</v>
          </cell>
          <cell r="AA200">
            <v>0</v>
          </cell>
          <cell r="AB200">
            <v>0</v>
          </cell>
        </row>
        <row r="201">
          <cell r="G201" t="str">
            <v>236_1</v>
          </cell>
          <cell r="H201" t="str">
            <v>the-of</v>
          </cell>
          <cell r="I201" t="str">
            <v>sim</v>
          </cell>
          <cell r="V201" t="str">
            <v>not neg pair</v>
          </cell>
          <cell r="Y201" t="str">
            <v>Pres</v>
          </cell>
          <cell r="Z201">
            <v>3.92</v>
          </cell>
          <cell r="AA201">
            <v>0</v>
          </cell>
          <cell r="AB201">
            <v>0</v>
          </cell>
        </row>
        <row r="202">
          <cell r="G202" t="str">
            <v>238_0</v>
          </cell>
          <cell r="H202" t="str">
            <v>as-as</v>
          </cell>
          <cell r="I202" t="str">
            <v>sim</v>
          </cell>
          <cell r="V202" t="str">
            <v>not</v>
          </cell>
          <cell r="Y202" t="str">
            <v>Pres</v>
          </cell>
          <cell r="Z202">
            <v>4.8</v>
          </cell>
          <cell r="AA202">
            <v>0</v>
          </cell>
          <cell r="AB202">
            <v>1</v>
          </cell>
        </row>
        <row r="203">
          <cell r="G203" t="str">
            <v>238_1</v>
          </cell>
          <cell r="H203" t="str">
            <v>as-as</v>
          </cell>
          <cell r="I203" t="str">
            <v>sim</v>
          </cell>
          <cell r="V203" t="str">
            <v>not</v>
          </cell>
          <cell r="Y203" t="str">
            <v>Pres</v>
          </cell>
          <cell r="Z203">
            <v>4.8</v>
          </cell>
          <cell r="AA203">
            <v>0</v>
          </cell>
          <cell r="AB203">
            <v>1</v>
          </cell>
        </row>
        <row r="204">
          <cell r="G204" t="str">
            <v>239_0</v>
          </cell>
          <cell r="H204" t="str">
            <v/>
          </cell>
          <cell r="I204" t="str">
            <v>met</v>
          </cell>
          <cell r="V204" t="str">
            <v>0</v>
          </cell>
          <cell r="Y204" t="str">
            <v>Past</v>
          </cell>
          <cell r="Z204">
            <v>4.63</v>
          </cell>
          <cell r="AA204">
            <v>0</v>
          </cell>
          <cell r="AB204">
            <v>0</v>
          </cell>
        </row>
        <row r="205">
          <cell r="G205" t="str">
            <v>239_1</v>
          </cell>
          <cell r="H205" t="str">
            <v/>
          </cell>
          <cell r="I205" t="str">
            <v>met</v>
          </cell>
          <cell r="V205" t="str">
            <v>0</v>
          </cell>
          <cell r="Y205" t="str">
            <v>Past</v>
          </cell>
          <cell r="Z205">
            <v>4.63</v>
          </cell>
          <cell r="AA205">
            <v>0</v>
          </cell>
          <cell r="AB205">
            <v>0</v>
          </cell>
        </row>
        <row r="206">
          <cell r="G206" t="str">
            <v>240_0</v>
          </cell>
          <cell r="H206" t="str">
            <v>like</v>
          </cell>
          <cell r="I206" t="str">
            <v>sim</v>
          </cell>
          <cell r="V206" t="str">
            <v>not neg pair</v>
          </cell>
          <cell r="Y206" t="str">
            <v>Past</v>
          </cell>
          <cell r="Z206">
            <v>4.9000000000000004</v>
          </cell>
          <cell r="AA206" t="str">
            <v>H</v>
          </cell>
          <cell r="AB206">
            <v>0</v>
          </cell>
        </row>
        <row r="207">
          <cell r="G207" t="str">
            <v>240_1</v>
          </cell>
          <cell r="H207" t="str">
            <v>like</v>
          </cell>
          <cell r="I207" t="str">
            <v>sim</v>
          </cell>
          <cell r="V207" t="str">
            <v>not neg pair</v>
          </cell>
          <cell r="Y207" t="str">
            <v>Past</v>
          </cell>
          <cell r="Z207">
            <v>4.9000000000000004</v>
          </cell>
          <cell r="AA207" t="str">
            <v>H</v>
          </cell>
          <cell r="AB207">
            <v>0</v>
          </cell>
        </row>
        <row r="208">
          <cell r="G208" t="str">
            <v>241_0</v>
          </cell>
          <cell r="H208" t="str">
            <v>like</v>
          </cell>
          <cell r="I208" t="str">
            <v>sim</v>
          </cell>
          <cell r="V208" t="str">
            <v>not neg pair</v>
          </cell>
          <cell r="Y208" t="str">
            <v>Pres</v>
          </cell>
          <cell r="Z208">
            <v>3.73</v>
          </cell>
          <cell r="AA208">
            <v>0</v>
          </cell>
          <cell r="AB208">
            <v>0</v>
          </cell>
        </row>
        <row r="209">
          <cell r="G209" t="str">
            <v>241_1</v>
          </cell>
          <cell r="H209" t="str">
            <v>like</v>
          </cell>
          <cell r="I209" t="str">
            <v>sim</v>
          </cell>
          <cell r="V209" t="str">
            <v>not neg pair</v>
          </cell>
          <cell r="Y209" t="str">
            <v>Past</v>
          </cell>
          <cell r="Z209">
            <v>3.73</v>
          </cell>
          <cell r="AA209">
            <v>0</v>
          </cell>
          <cell r="AB209">
            <v>0</v>
          </cell>
        </row>
        <row r="210">
          <cell r="G210" t="str">
            <v>242_0</v>
          </cell>
          <cell r="H210" t="str">
            <v/>
          </cell>
          <cell r="I210" t="str">
            <v>met</v>
          </cell>
          <cell r="V210" t="str">
            <v>0</v>
          </cell>
          <cell r="Y210" t="str">
            <v>Past</v>
          </cell>
          <cell r="Z210">
            <v>4.1500000000000004</v>
          </cell>
          <cell r="AA210">
            <v>0</v>
          </cell>
          <cell r="AB210">
            <v>0</v>
          </cell>
        </row>
        <row r="211">
          <cell r="G211" t="str">
            <v>242_1</v>
          </cell>
          <cell r="H211" t="str">
            <v/>
          </cell>
          <cell r="I211" t="str">
            <v>met</v>
          </cell>
          <cell r="V211" t="str">
            <v>0</v>
          </cell>
          <cell r="Y211" t="str">
            <v>Past</v>
          </cell>
          <cell r="Z211">
            <v>4.1500000000000004</v>
          </cell>
          <cell r="AA211">
            <v>0</v>
          </cell>
          <cell r="AB211">
            <v>0</v>
          </cell>
        </row>
        <row r="212">
          <cell r="G212" t="str">
            <v>246_0</v>
          </cell>
          <cell r="H212" t="str">
            <v/>
          </cell>
          <cell r="I212" t="str">
            <v>met</v>
          </cell>
          <cell r="V212" t="str">
            <v>0</v>
          </cell>
          <cell r="Y212" t="str">
            <v>Past</v>
          </cell>
          <cell r="Z212">
            <v>4.79</v>
          </cell>
          <cell r="AA212">
            <v>0</v>
          </cell>
          <cell r="AB212">
            <v>0</v>
          </cell>
        </row>
        <row r="213">
          <cell r="G213" t="str">
            <v>246_1</v>
          </cell>
          <cell r="H213" t="str">
            <v/>
          </cell>
          <cell r="I213" t="str">
            <v>met</v>
          </cell>
          <cell r="V213" t="str">
            <v>0</v>
          </cell>
          <cell r="Y213" t="str">
            <v>Past</v>
          </cell>
          <cell r="Z213">
            <v>4.79</v>
          </cell>
          <cell r="AA213">
            <v>0</v>
          </cell>
          <cell r="AB213">
            <v>0</v>
          </cell>
        </row>
        <row r="214">
          <cell r="G214" t="str">
            <v>249_0</v>
          </cell>
          <cell r="H214" t="str">
            <v/>
          </cell>
          <cell r="I214" t="str">
            <v>met</v>
          </cell>
          <cell r="V214" t="str">
            <v>0</v>
          </cell>
          <cell r="Y214" t="str">
            <v>Pres</v>
          </cell>
          <cell r="Z214">
            <v>2.83</v>
          </cell>
          <cell r="AA214">
            <v>0</v>
          </cell>
          <cell r="AB214">
            <v>0</v>
          </cell>
        </row>
        <row r="215">
          <cell r="G215" t="str">
            <v>249_1</v>
          </cell>
          <cell r="H215" t="str">
            <v/>
          </cell>
          <cell r="I215" t="str">
            <v>met</v>
          </cell>
          <cell r="V215" t="str">
            <v>0</v>
          </cell>
          <cell r="Y215" t="str">
            <v>Past</v>
          </cell>
          <cell r="Z215">
            <v>2.83</v>
          </cell>
          <cell r="AA215">
            <v>0</v>
          </cell>
          <cell r="AB215">
            <v>0</v>
          </cell>
        </row>
        <row r="216">
          <cell r="G216" t="str">
            <v>251_0</v>
          </cell>
          <cell r="H216" t="str">
            <v>the-of</v>
          </cell>
          <cell r="I216" t="str">
            <v>sim</v>
          </cell>
          <cell r="V216" t="str">
            <v>not neg pair</v>
          </cell>
          <cell r="Y216" t="str">
            <v>Pres</v>
          </cell>
          <cell r="Z216">
            <v>4.33</v>
          </cell>
          <cell r="AA216">
            <v>0</v>
          </cell>
          <cell r="AB216">
            <v>0</v>
          </cell>
        </row>
        <row r="217">
          <cell r="G217" t="str">
            <v>251_1</v>
          </cell>
          <cell r="H217" t="str">
            <v>the-of</v>
          </cell>
          <cell r="I217" t="str">
            <v>sim</v>
          </cell>
          <cell r="V217" t="str">
            <v>not neg pair</v>
          </cell>
          <cell r="Y217" t="str">
            <v>Pres</v>
          </cell>
          <cell r="Z217">
            <v>4.33</v>
          </cell>
          <cell r="AA217">
            <v>0</v>
          </cell>
          <cell r="AB217">
            <v>0</v>
          </cell>
        </row>
        <row r="218">
          <cell r="G218" t="str">
            <v>258_0</v>
          </cell>
          <cell r="H218" t="str">
            <v>the-of</v>
          </cell>
          <cell r="I218" t="str">
            <v>sim</v>
          </cell>
          <cell r="V218" t="str">
            <v>not neg pair</v>
          </cell>
          <cell r="Y218" t="str">
            <v>Past</v>
          </cell>
          <cell r="Z218">
            <v>4.83</v>
          </cell>
          <cell r="AA218">
            <v>0</v>
          </cell>
          <cell r="AB218">
            <v>0</v>
          </cell>
        </row>
        <row r="219">
          <cell r="G219" t="str">
            <v>258_1</v>
          </cell>
          <cell r="H219" t="str">
            <v>the-of</v>
          </cell>
          <cell r="I219" t="str">
            <v>sim</v>
          </cell>
          <cell r="V219" t="str">
            <v>not neg pair</v>
          </cell>
          <cell r="Y219" t="str">
            <v>Past</v>
          </cell>
          <cell r="Z219">
            <v>4.83</v>
          </cell>
          <cell r="AA219">
            <v>0</v>
          </cell>
          <cell r="AB219">
            <v>0</v>
          </cell>
        </row>
        <row r="220">
          <cell r="G220" t="str">
            <v>261_0</v>
          </cell>
          <cell r="H220" t="str">
            <v>as</v>
          </cell>
          <cell r="I220" t="str">
            <v>sim</v>
          </cell>
          <cell r="V220" t="str">
            <v>not</v>
          </cell>
          <cell r="Y220" t="str">
            <v>Pres</v>
          </cell>
          <cell r="Z220">
            <v>3.93</v>
          </cell>
          <cell r="AA220">
            <v>0</v>
          </cell>
          <cell r="AB220">
            <v>1</v>
          </cell>
        </row>
        <row r="221">
          <cell r="G221" t="str">
            <v>261_1</v>
          </cell>
          <cell r="H221" t="str">
            <v>as</v>
          </cell>
          <cell r="I221" t="str">
            <v>sim</v>
          </cell>
          <cell r="V221" t="str">
            <v>not</v>
          </cell>
          <cell r="Y221" t="str">
            <v>Pres</v>
          </cell>
          <cell r="Z221">
            <v>3.93</v>
          </cell>
          <cell r="AA221">
            <v>0</v>
          </cell>
          <cell r="AB221">
            <v>1</v>
          </cell>
        </row>
        <row r="222">
          <cell r="G222" t="str">
            <v>262_0</v>
          </cell>
          <cell r="H222" t="str">
            <v>as-as</v>
          </cell>
          <cell r="I222" t="str">
            <v>sim</v>
          </cell>
          <cell r="V222" t="str">
            <v>antonym</v>
          </cell>
          <cell r="Y222" t="str">
            <v>Pres</v>
          </cell>
          <cell r="Z222">
            <v>4.9000000000000004</v>
          </cell>
          <cell r="AA222" t="str">
            <v>H</v>
          </cell>
          <cell r="AB222">
            <v>1</v>
          </cell>
        </row>
        <row r="223">
          <cell r="G223" t="str">
            <v>262_1</v>
          </cell>
          <cell r="H223" t="str">
            <v>as-as</v>
          </cell>
          <cell r="I223" t="str">
            <v>sim</v>
          </cell>
          <cell r="V223" t="str">
            <v>antonym</v>
          </cell>
          <cell r="Y223" t="str">
            <v>Pres</v>
          </cell>
          <cell r="Z223">
            <v>4.9000000000000004</v>
          </cell>
          <cell r="AA223" t="str">
            <v>H</v>
          </cell>
          <cell r="AB223">
            <v>1</v>
          </cell>
        </row>
        <row r="224">
          <cell r="G224" t="str">
            <v>264_0</v>
          </cell>
          <cell r="H224" t="str">
            <v>the-of</v>
          </cell>
          <cell r="I224" t="str">
            <v>sim</v>
          </cell>
          <cell r="V224" t="str">
            <v>not</v>
          </cell>
          <cell r="Y224" t="str">
            <v>Pres</v>
          </cell>
          <cell r="Z224">
            <v>4.79</v>
          </cell>
          <cell r="AA224">
            <v>0</v>
          </cell>
          <cell r="AB224">
            <v>1</v>
          </cell>
        </row>
        <row r="225">
          <cell r="G225" t="str">
            <v>264_1</v>
          </cell>
          <cell r="H225" t="str">
            <v>the-of</v>
          </cell>
          <cell r="I225" t="str">
            <v>sim</v>
          </cell>
          <cell r="V225" t="str">
            <v>not</v>
          </cell>
          <cell r="Y225" t="str">
            <v>Pres</v>
          </cell>
          <cell r="Z225">
            <v>4.79</v>
          </cell>
          <cell r="AA225">
            <v>0</v>
          </cell>
          <cell r="AB225">
            <v>1</v>
          </cell>
        </row>
        <row r="226">
          <cell r="G226" t="str">
            <v>266_0</v>
          </cell>
          <cell r="H226" t="str">
            <v>as</v>
          </cell>
          <cell r="I226" t="str">
            <v>sim</v>
          </cell>
          <cell r="V226" t="str">
            <v>not neg pair</v>
          </cell>
          <cell r="Y226" t="str">
            <v>Pres</v>
          </cell>
          <cell r="Z226">
            <v>4.96</v>
          </cell>
          <cell r="AA226" t="str">
            <v>H</v>
          </cell>
          <cell r="AB226">
            <v>0</v>
          </cell>
        </row>
        <row r="227">
          <cell r="G227" t="str">
            <v>266_1</v>
          </cell>
          <cell r="H227" t="str">
            <v>as</v>
          </cell>
          <cell r="I227" t="str">
            <v>sim</v>
          </cell>
          <cell r="V227" t="str">
            <v>not neg pair</v>
          </cell>
          <cell r="Y227" t="str">
            <v>Pres</v>
          </cell>
          <cell r="Z227">
            <v>4.96</v>
          </cell>
          <cell r="AA227" t="str">
            <v>H</v>
          </cell>
          <cell r="AB227">
            <v>0</v>
          </cell>
        </row>
        <row r="228">
          <cell r="G228" t="str">
            <v>267_0</v>
          </cell>
          <cell r="H228" t="str">
            <v>as-as</v>
          </cell>
          <cell r="I228" t="str">
            <v>sim</v>
          </cell>
          <cell r="V228" t="str">
            <v>antonym</v>
          </cell>
          <cell r="Y228" t="str">
            <v>Pres</v>
          </cell>
          <cell r="Z228">
            <v>4.93</v>
          </cell>
          <cell r="AA228" t="str">
            <v>H</v>
          </cell>
          <cell r="AB228">
            <v>1</v>
          </cell>
        </row>
        <row r="229">
          <cell r="G229" t="str">
            <v>267_1</v>
          </cell>
          <cell r="H229" t="str">
            <v>as-as</v>
          </cell>
          <cell r="I229" t="str">
            <v>sim</v>
          </cell>
          <cell r="V229" t="str">
            <v>antonym</v>
          </cell>
          <cell r="Y229" t="str">
            <v>Pres</v>
          </cell>
          <cell r="Z229">
            <v>4.93</v>
          </cell>
          <cell r="AA229" t="str">
            <v>H</v>
          </cell>
          <cell r="AB229">
            <v>1</v>
          </cell>
        </row>
        <row r="230">
          <cell r="G230" t="str">
            <v>269_0</v>
          </cell>
          <cell r="H230" t="str">
            <v>as-as</v>
          </cell>
          <cell r="I230" t="str">
            <v>sim</v>
          </cell>
          <cell r="V230" t="str">
            <v>antonym</v>
          </cell>
          <cell r="Y230" t="str">
            <v>Pres</v>
          </cell>
          <cell r="Z230">
            <v>3.93</v>
          </cell>
          <cell r="AA230">
            <v>0</v>
          </cell>
          <cell r="AB230">
            <v>1</v>
          </cell>
        </row>
        <row r="231">
          <cell r="G231" t="str">
            <v>269_1</v>
          </cell>
          <cell r="H231" t="str">
            <v>as-as</v>
          </cell>
          <cell r="I231" t="str">
            <v>sim</v>
          </cell>
          <cell r="V231" t="str">
            <v>antonym</v>
          </cell>
          <cell r="Y231" t="str">
            <v>Pres</v>
          </cell>
          <cell r="Z231">
            <v>3.93</v>
          </cell>
          <cell r="AA231">
            <v>0</v>
          </cell>
          <cell r="AB231">
            <v>1</v>
          </cell>
        </row>
        <row r="232">
          <cell r="G232" t="str">
            <v>273_0</v>
          </cell>
          <cell r="H232" t="str">
            <v>as-as</v>
          </cell>
          <cell r="I232" t="str">
            <v>sim</v>
          </cell>
          <cell r="V232" t="str">
            <v>not neg pair</v>
          </cell>
          <cell r="Y232" t="str">
            <v>Past</v>
          </cell>
          <cell r="Z232">
            <v>2.81</v>
          </cell>
          <cell r="AA232">
            <v>0</v>
          </cell>
          <cell r="AB232">
            <v>0</v>
          </cell>
        </row>
        <row r="233">
          <cell r="G233" t="str">
            <v>273_1</v>
          </cell>
          <cell r="H233" t="str">
            <v>as-as</v>
          </cell>
          <cell r="I233" t="str">
            <v>sim</v>
          </cell>
          <cell r="V233" t="str">
            <v>not neg pair</v>
          </cell>
          <cell r="Y233" t="str">
            <v>Past</v>
          </cell>
          <cell r="Z233">
            <v>2.81</v>
          </cell>
          <cell r="AA233">
            <v>0</v>
          </cell>
          <cell r="AB233">
            <v>0</v>
          </cell>
        </row>
        <row r="234">
          <cell r="G234" t="str">
            <v>275_0</v>
          </cell>
          <cell r="H234" t="str">
            <v>like</v>
          </cell>
          <cell r="I234" t="str">
            <v>sim</v>
          </cell>
          <cell r="V234" t="str">
            <v>not neg pair</v>
          </cell>
          <cell r="Y234" t="str">
            <v>Past</v>
          </cell>
          <cell r="Z234">
            <v>3.93</v>
          </cell>
          <cell r="AA234">
            <v>0</v>
          </cell>
          <cell r="AB234">
            <v>0</v>
          </cell>
        </row>
        <row r="235">
          <cell r="G235" t="str">
            <v>275_1</v>
          </cell>
          <cell r="H235" t="str">
            <v>like</v>
          </cell>
          <cell r="I235" t="str">
            <v>sim</v>
          </cell>
          <cell r="V235" t="str">
            <v>not neg pair</v>
          </cell>
          <cell r="Y235" t="str">
            <v>Past</v>
          </cell>
          <cell r="Z235">
            <v>3.93</v>
          </cell>
          <cell r="AA235">
            <v>0</v>
          </cell>
          <cell r="AB235">
            <v>0</v>
          </cell>
        </row>
        <row r="236">
          <cell r="G236" t="str">
            <v>279_0</v>
          </cell>
          <cell r="H236" t="str">
            <v>as-as</v>
          </cell>
          <cell r="I236" t="str">
            <v>sim</v>
          </cell>
          <cell r="V236" t="str">
            <v>not neg pair</v>
          </cell>
          <cell r="Y236" t="str">
            <v>Past</v>
          </cell>
          <cell r="Z236">
            <v>4.59</v>
          </cell>
          <cell r="AA236">
            <v>0</v>
          </cell>
          <cell r="AB236">
            <v>0</v>
          </cell>
        </row>
        <row r="237">
          <cell r="G237" t="str">
            <v>279_1</v>
          </cell>
          <cell r="H237" t="str">
            <v>as-as</v>
          </cell>
          <cell r="I237" t="str">
            <v>sim</v>
          </cell>
          <cell r="V237" t="str">
            <v>not neg pair</v>
          </cell>
          <cell r="Y237" t="str">
            <v>Past</v>
          </cell>
          <cell r="Z237">
            <v>4.59</v>
          </cell>
          <cell r="AA237">
            <v>0</v>
          </cell>
          <cell r="AB237">
            <v>0</v>
          </cell>
        </row>
        <row r="238">
          <cell r="G238" t="str">
            <v>280_0</v>
          </cell>
          <cell r="H238" t="str">
            <v>as-as</v>
          </cell>
          <cell r="I238" t="str">
            <v>sim</v>
          </cell>
          <cell r="V238" t="str">
            <v>not</v>
          </cell>
          <cell r="Y238" t="str">
            <v>Pres</v>
          </cell>
          <cell r="Z238">
            <v>5</v>
          </cell>
          <cell r="AA238" t="str">
            <v>H</v>
          </cell>
          <cell r="AB238">
            <v>1</v>
          </cell>
        </row>
        <row r="239">
          <cell r="G239" t="str">
            <v>280_1</v>
          </cell>
          <cell r="H239" t="str">
            <v>as-as</v>
          </cell>
          <cell r="I239" t="str">
            <v>sim</v>
          </cell>
          <cell r="V239" t="str">
            <v>not</v>
          </cell>
          <cell r="Y239" t="str">
            <v>Pres</v>
          </cell>
          <cell r="Z239">
            <v>5</v>
          </cell>
          <cell r="AA239" t="str">
            <v>H</v>
          </cell>
          <cell r="AB239">
            <v>1</v>
          </cell>
        </row>
        <row r="240">
          <cell r="G240" t="str">
            <v>290_0</v>
          </cell>
          <cell r="H240" t="str">
            <v/>
          </cell>
          <cell r="I240" t="str">
            <v>met</v>
          </cell>
          <cell r="V240" t="str">
            <v>0</v>
          </cell>
          <cell r="Y240" t="str">
            <v>Past</v>
          </cell>
          <cell r="Z240">
            <v>4.6900000000000004</v>
          </cell>
          <cell r="AA240">
            <v>0</v>
          </cell>
          <cell r="AB240">
            <v>0</v>
          </cell>
        </row>
        <row r="241">
          <cell r="G241" t="str">
            <v>290_1</v>
          </cell>
          <cell r="H241" t="str">
            <v/>
          </cell>
          <cell r="I241" t="str">
            <v>met</v>
          </cell>
          <cell r="V241" t="str">
            <v>0</v>
          </cell>
          <cell r="Y241" t="str">
            <v>Past</v>
          </cell>
          <cell r="Z241">
            <v>4.6900000000000004</v>
          </cell>
          <cell r="AA241">
            <v>0</v>
          </cell>
          <cell r="AB241">
            <v>0</v>
          </cell>
        </row>
        <row r="242">
          <cell r="G242" t="str">
            <v>293_0</v>
          </cell>
          <cell r="H242" t="str">
            <v>like</v>
          </cell>
          <cell r="I242" t="str">
            <v>sim</v>
          </cell>
          <cell r="V242" t="str">
            <v>not</v>
          </cell>
          <cell r="Y242" t="str">
            <v>Past</v>
          </cell>
          <cell r="Z242">
            <v>3.93</v>
          </cell>
          <cell r="AA242">
            <v>0</v>
          </cell>
          <cell r="AB242">
            <v>1</v>
          </cell>
        </row>
        <row r="243">
          <cell r="G243" t="str">
            <v>293_1</v>
          </cell>
          <cell r="H243" t="str">
            <v>like</v>
          </cell>
          <cell r="I243" t="str">
            <v>sim</v>
          </cell>
          <cell r="V243" t="str">
            <v>not</v>
          </cell>
          <cell r="Y243" t="str">
            <v>Past</v>
          </cell>
          <cell r="Z243">
            <v>3.93</v>
          </cell>
          <cell r="AA243">
            <v>0</v>
          </cell>
          <cell r="AB243">
            <v>1</v>
          </cell>
        </row>
        <row r="244">
          <cell r="G244" t="str">
            <v>295_0</v>
          </cell>
          <cell r="H244" t="str">
            <v>as-as</v>
          </cell>
          <cell r="I244" t="str">
            <v>sim</v>
          </cell>
          <cell r="V244" t="str">
            <v>not</v>
          </cell>
          <cell r="Y244" t="str">
            <v>Past</v>
          </cell>
          <cell r="Z244">
            <v>2.81</v>
          </cell>
          <cell r="AA244">
            <v>0</v>
          </cell>
          <cell r="AB244">
            <v>1</v>
          </cell>
        </row>
        <row r="245">
          <cell r="G245" t="str">
            <v>295_1</v>
          </cell>
          <cell r="H245" t="str">
            <v>as-as</v>
          </cell>
          <cell r="I245" t="str">
            <v>sim</v>
          </cell>
          <cell r="V245" t="str">
            <v>not</v>
          </cell>
          <cell r="Y245" t="str">
            <v>Past</v>
          </cell>
          <cell r="Z245">
            <v>2.81</v>
          </cell>
          <cell r="AA245">
            <v>0</v>
          </cell>
          <cell r="AB245">
            <v>1</v>
          </cell>
        </row>
        <row r="246">
          <cell r="G246" t="str">
            <v>296_0</v>
          </cell>
          <cell r="H246" t="str">
            <v>as-as</v>
          </cell>
          <cell r="I246" t="str">
            <v>sim</v>
          </cell>
          <cell r="V246" t="str">
            <v>antonym</v>
          </cell>
          <cell r="Y246" t="str">
            <v>Past</v>
          </cell>
          <cell r="Z246">
            <v>4.9000000000000004</v>
          </cell>
          <cell r="AA246" t="str">
            <v>H</v>
          </cell>
          <cell r="AB246">
            <v>0</v>
          </cell>
        </row>
        <row r="247">
          <cell r="G247" t="str">
            <v>296_1</v>
          </cell>
          <cell r="H247" t="str">
            <v>as-as</v>
          </cell>
          <cell r="I247" t="str">
            <v>sim</v>
          </cell>
          <cell r="V247" t="str">
            <v>antonym</v>
          </cell>
          <cell r="Y247" t="str">
            <v>Past</v>
          </cell>
          <cell r="Z247">
            <v>4.9000000000000004</v>
          </cell>
          <cell r="AA247" t="str">
            <v>H</v>
          </cell>
          <cell r="AB247">
            <v>0</v>
          </cell>
        </row>
        <row r="248">
          <cell r="G248" t="str">
            <v>298_0</v>
          </cell>
          <cell r="H248" t="str">
            <v>as-as</v>
          </cell>
          <cell r="I248" t="str">
            <v>sim</v>
          </cell>
          <cell r="V248" t="str">
            <v>not neg pair</v>
          </cell>
          <cell r="Y248" t="str">
            <v>Past</v>
          </cell>
          <cell r="Z248">
            <v>4.21</v>
          </cell>
          <cell r="AA248">
            <v>0</v>
          </cell>
          <cell r="AB248">
            <v>0</v>
          </cell>
        </row>
        <row r="249">
          <cell r="G249" t="str">
            <v>298_1</v>
          </cell>
          <cell r="H249" t="str">
            <v>as-as</v>
          </cell>
          <cell r="I249" t="str">
            <v>sim</v>
          </cell>
          <cell r="V249" t="str">
            <v>not neg pair</v>
          </cell>
          <cell r="Y249" t="str">
            <v>Past</v>
          </cell>
          <cell r="Z249">
            <v>4.21</v>
          </cell>
          <cell r="AA249">
            <v>0</v>
          </cell>
          <cell r="AB249">
            <v>0</v>
          </cell>
        </row>
        <row r="250">
          <cell r="G250" t="str">
            <v>304_0</v>
          </cell>
          <cell r="H250" t="str">
            <v>the-of</v>
          </cell>
          <cell r="I250" t="str">
            <v>sim</v>
          </cell>
          <cell r="V250" t="str">
            <v>not neg pair</v>
          </cell>
          <cell r="Y250" t="str">
            <v>Pres</v>
          </cell>
          <cell r="Z250">
            <v>4.32</v>
          </cell>
          <cell r="AA250">
            <v>0</v>
          </cell>
          <cell r="AB250">
            <v>0</v>
          </cell>
        </row>
        <row r="251">
          <cell r="G251" t="str">
            <v>304_1</v>
          </cell>
          <cell r="H251" t="str">
            <v>the-of</v>
          </cell>
          <cell r="I251" t="str">
            <v>sim</v>
          </cell>
          <cell r="V251" t="str">
            <v>not neg pair</v>
          </cell>
          <cell r="Y251" t="str">
            <v>Pres</v>
          </cell>
          <cell r="Z251">
            <v>4.32</v>
          </cell>
          <cell r="AA251">
            <v>0</v>
          </cell>
          <cell r="AB251">
            <v>0</v>
          </cell>
        </row>
        <row r="252">
          <cell r="G252" t="str">
            <v>305_0</v>
          </cell>
          <cell r="H252" t="str">
            <v>the-of</v>
          </cell>
          <cell r="I252" t="str">
            <v>sim</v>
          </cell>
          <cell r="V252" t="str">
            <v>not</v>
          </cell>
          <cell r="Y252" t="str">
            <v>Pres</v>
          </cell>
          <cell r="Z252">
            <v>4.8600000000000003</v>
          </cell>
          <cell r="AA252">
            <v>0</v>
          </cell>
          <cell r="AB252">
            <v>1</v>
          </cell>
        </row>
        <row r="253">
          <cell r="G253" t="str">
            <v>305_1</v>
          </cell>
          <cell r="H253" t="str">
            <v>the-of</v>
          </cell>
          <cell r="I253" t="str">
            <v>sim</v>
          </cell>
          <cell r="V253" t="str">
            <v>not</v>
          </cell>
          <cell r="Y253" t="str">
            <v>Pres</v>
          </cell>
          <cell r="Z253">
            <v>4.8600000000000003</v>
          </cell>
          <cell r="AA253">
            <v>0</v>
          </cell>
          <cell r="AB253">
            <v>1</v>
          </cell>
        </row>
        <row r="254">
          <cell r="G254" t="str">
            <v>308_0</v>
          </cell>
          <cell r="H254" t="str">
            <v>as-as</v>
          </cell>
          <cell r="I254" t="str">
            <v>sim</v>
          </cell>
          <cell r="V254" t="str">
            <v>not neg pair</v>
          </cell>
          <cell r="Y254" t="str">
            <v>Past</v>
          </cell>
          <cell r="Z254">
            <v>3.36</v>
          </cell>
          <cell r="AA254">
            <v>0</v>
          </cell>
          <cell r="AB254">
            <v>0</v>
          </cell>
        </row>
        <row r="255">
          <cell r="G255" t="str">
            <v>308_1</v>
          </cell>
          <cell r="H255" t="str">
            <v>as-as</v>
          </cell>
          <cell r="I255" t="str">
            <v>sim</v>
          </cell>
          <cell r="V255" t="str">
            <v>not neg pair</v>
          </cell>
          <cell r="Y255" t="str">
            <v>Past</v>
          </cell>
          <cell r="Z255">
            <v>3.36</v>
          </cell>
          <cell r="AA255">
            <v>0</v>
          </cell>
          <cell r="AB255">
            <v>0</v>
          </cell>
        </row>
        <row r="256">
          <cell r="G256" t="str">
            <v>309_0</v>
          </cell>
          <cell r="H256" t="str">
            <v>as-as</v>
          </cell>
          <cell r="I256" t="str">
            <v>sim</v>
          </cell>
          <cell r="V256" t="str">
            <v>antonym</v>
          </cell>
          <cell r="Y256" t="str">
            <v>Past</v>
          </cell>
          <cell r="Z256">
            <v>3.48</v>
          </cell>
          <cell r="AA256">
            <v>0</v>
          </cell>
          <cell r="AB256">
            <v>1</v>
          </cell>
        </row>
        <row r="257">
          <cell r="G257" t="str">
            <v>309_1</v>
          </cell>
          <cell r="H257" t="str">
            <v>as-as</v>
          </cell>
          <cell r="I257" t="str">
            <v>sim</v>
          </cell>
          <cell r="V257" t="str">
            <v>antonym</v>
          </cell>
          <cell r="Y257" t="str">
            <v>Past</v>
          </cell>
          <cell r="Z257">
            <v>3.48</v>
          </cell>
          <cell r="AA257">
            <v>0</v>
          </cell>
          <cell r="AB257">
            <v>1</v>
          </cell>
        </row>
        <row r="258">
          <cell r="G258" t="str">
            <v>310_0</v>
          </cell>
          <cell r="H258" t="str">
            <v/>
          </cell>
          <cell r="I258" t="str">
            <v>met</v>
          </cell>
          <cell r="V258" t="str">
            <v>0</v>
          </cell>
          <cell r="Y258" t="str">
            <v>Past</v>
          </cell>
          <cell r="Z258">
            <v>2.93</v>
          </cell>
          <cell r="AA258">
            <v>0</v>
          </cell>
          <cell r="AB258">
            <v>0</v>
          </cell>
        </row>
        <row r="259">
          <cell r="G259" t="str">
            <v>310_1</v>
          </cell>
          <cell r="H259" t="str">
            <v/>
          </cell>
          <cell r="I259" t="str">
            <v>met</v>
          </cell>
          <cell r="V259" t="str">
            <v>0</v>
          </cell>
          <cell r="Y259" t="str">
            <v>Past</v>
          </cell>
          <cell r="Z259">
            <v>2.93</v>
          </cell>
          <cell r="AA259">
            <v>0</v>
          </cell>
          <cell r="AB259">
            <v>0</v>
          </cell>
        </row>
        <row r="260">
          <cell r="G260" t="str">
            <v>312_0</v>
          </cell>
          <cell r="H260" t="str">
            <v>as-as</v>
          </cell>
          <cell r="I260" t="str">
            <v>sim</v>
          </cell>
          <cell r="V260" t="str">
            <v>antonym</v>
          </cell>
          <cell r="Y260" t="str">
            <v>Past</v>
          </cell>
          <cell r="Z260">
            <v>4.45</v>
          </cell>
          <cell r="AA260">
            <v>0</v>
          </cell>
          <cell r="AB260">
            <v>0</v>
          </cell>
        </row>
        <row r="261">
          <cell r="G261" t="str">
            <v>312_1</v>
          </cell>
          <cell r="H261" t="str">
            <v>as-as</v>
          </cell>
          <cell r="I261" t="str">
            <v>sim</v>
          </cell>
          <cell r="V261" t="str">
            <v>antonym</v>
          </cell>
          <cell r="Y261" t="str">
            <v>Past</v>
          </cell>
          <cell r="Z261">
            <v>4.45</v>
          </cell>
          <cell r="AA261">
            <v>0</v>
          </cell>
          <cell r="AB261">
            <v>0</v>
          </cell>
        </row>
        <row r="262">
          <cell r="G262" t="str">
            <v>313_0</v>
          </cell>
          <cell r="H262" t="str">
            <v>as</v>
          </cell>
          <cell r="I262" t="str">
            <v>sim</v>
          </cell>
          <cell r="V262" t="str">
            <v>not neg pair</v>
          </cell>
          <cell r="Y262" t="str">
            <v>Past</v>
          </cell>
          <cell r="Z262">
            <v>4.79</v>
          </cell>
          <cell r="AA262">
            <v>0</v>
          </cell>
          <cell r="AB262">
            <v>0</v>
          </cell>
        </row>
        <row r="263">
          <cell r="G263" t="str">
            <v>313_1</v>
          </cell>
          <cell r="H263" t="str">
            <v>as</v>
          </cell>
          <cell r="I263" t="str">
            <v>sim</v>
          </cell>
          <cell r="V263" t="str">
            <v>not neg pair</v>
          </cell>
          <cell r="Y263" t="str">
            <v>Past</v>
          </cell>
          <cell r="Z263">
            <v>4.79</v>
          </cell>
          <cell r="AA263">
            <v>0</v>
          </cell>
          <cell r="AB263">
            <v>0</v>
          </cell>
        </row>
        <row r="264">
          <cell r="G264" t="str">
            <v>314_0</v>
          </cell>
          <cell r="H264" t="str">
            <v>like</v>
          </cell>
          <cell r="I264" t="str">
            <v>sim</v>
          </cell>
          <cell r="V264" t="str">
            <v>not neg pair</v>
          </cell>
          <cell r="Y264" t="str">
            <v>Past</v>
          </cell>
          <cell r="Z264">
            <v>2.8</v>
          </cell>
          <cell r="AA264" t="str">
            <v>L</v>
          </cell>
          <cell r="AB264">
            <v>0</v>
          </cell>
        </row>
        <row r="265">
          <cell r="G265" t="str">
            <v>314_1</v>
          </cell>
          <cell r="H265" t="str">
            <v>like</v>
          </cell>
          <cell r="I265" t="str">
            <v>sim</v>
          </cell>
          <cell r="V265" t="str">
            <v>not neg pair</v>
          </cell>
          <cell r="Y265" t="str">
            <v>Past</v>
          </cell>
          <cell r="Z265">
            <v>2.8</v>
          </cell>
          <cell r="AA265" t="str">
            <v>L</v>
          </cell>
          <cell r="AB265">
            <v>0</v>
          </cell>
        </row>
        <row r="266">
          <cell r="G266" t="str">
            <v>316_0</v>
          </cell>
          <cell r="H266" t="str">
            <v>as-as</v>
          </cell>
          <cell r="I266" t="str">
            <v>sim</v>
          </cell>
          <cell r="V266" t="str">
            <v>not neg pair</v>
          </cell>
          <cell r="Y266" t="str">
            <v>Past</v>
          </cell>
          <cell r="Z266">
            <v>4.12</v>
          </cell>
          <cell r="AA266">
            <v>0</v>
          </cell>
          <cell r="AB266">
            <v>0</v>
          </cell>
        </row>
        <row r="267">
          <cell r="G267" t="str">
            <v>316_1</v>
          </cell>
          <cell r="H267" t="str">
            <v>as-as</v>
          </cell>
          <cell r="I267" t="str">
            <v>sim</v>
          </cell>
          <cell r="V267" t="str">
            <v>not neg pair</v>
          </cell>
          <cell r="Y267" t="str">
            <v>Past</v>
          </cell>
          <cell r="Z267">
            <v>4.12</v>
          </cell>
          <cell r="AA267">
            <v>0</v>
          </cell>
          <cell r="AB267">
            <v>0</v>
          </cell>
        </row>
        <row r="268">
          <cell r="G268" t="str">
            <v>317_0</v>
          </cell>
          <cell r="H268" t="str">
            <v>as-as</v>
          </cell>
          <cell r="I268" t="str">
            <v>sim</v>
          </cell>
          <cell r="V268" t="str">
            <v>not</v>
          </cell>
          <cell r="Y268" t="str">
            <v>Past</v>
          </cell>
          <cell r="Z268">
            <v>4.78</v>
          </cell>
          <cell r="AA268">
            <v>0</v>
          </cell>
          <cell r="AB268">
            <v>1</v>
          </cell>
        </row>
        <row r="269">
          <cell r="G269" t="str">
            <v>317_1</v>
          </cell>
          <cell r="H269" t="str">
            <v>as-as</v>
          </cell>
          <cell r="I269" t="str">
            <v>sim</v>
          </cell>
          <cell r="V269" t="str">
            <v>not</v>
          </cell>
          <cell r="Y269" t="str">
            <v>Past</v>
          </cell>
          <cell r="Z269">
            <v>4.78</v>
          </cell>
          <cell r="AA269">
            <v>0</v>
          </cell>
          <cell r="AB269">
            <v>1</v>
          </cell>
        </row>
        <row r="270">
          <cell r="G270" t="str">
            <v>319_0</v>
          </cell>
          <cell r="H270" t="str">
            <v>as-as</v>
          </cell>
          <cell r="I270" t="str">
            <v>sim</v>
          </cell>
          <cell r="V270" t="str">
            <v>antonym</v>
          </cell>
          <cell r="Y270" t="str">
            <v>Pres</v>
          </cell>
          <cell r="Z270">
            <v>5</v>
          </cell>
          <cell r="AA270" t="str">
            <v>H</v>
          </cell>
          <cell r="AB270">
            <v>0</v>
          </cell>
        </row>
        <row r="271">
          <cell r="G271" t="str">
            <v>319_1</v>
          </cell>
          <cell r="H271" t="str">
            <v>as-as</v>
          </cell>
          <cell r="I271" t="str">
            <v>sim</v>
          </cell>
          <cell r="V271" t="str">
            <v>antonym</v>
          </cell>
          <cell r="Y271" t="str">
            <v>Pres</v>
          </cell>
          <cell r="Z271">
            <v>5</v>
          </cell>
          <cell r="AA271" t="str">
            <v>H</v>
          </cell>
          <cell r="AB271">
            <v>0</v>
          </cell>
        </row>
        <row r="272">
          <cell r="G272" t="str">
            <v>320_0</v>
          </cell>
          <cell r="H272" t="str">
            <v>as-as</v>
          </cell>
          <cell r="I272" t="str">
            <v>sim</v>
          </cell>
          <cell r="V272" t="str">
            <v>antonym</v>
          </cell>
          <cell r="Y272" t="str">
            <v>Pres</v>
          </cell>
          <cell r="Z272">
            <v>3.93</v>
          </cell>
          <cell r="AA272">
            <v>0</v>
          </cell>
          <cell r="AB272">
            <v>0</v>
          </cell>
        </row>
        <row r="273">
          <cell r="G273" t="str">
            <v>320_1</v>
          </cell>
          <cell r="H273" t="str">
            <v>as-as</v>
          </cell>
          <cell r="I273" t="str">
            <v>sim</v>
          </cell>
          <cell r="V273" t="str">
            <v>antonym</v>
          </cell>
          <cell r="Y273" t="str">
            <v>Pres</v>
          </cell>
          <cell r="Z273">
            <v>3.93</v>
          </cell>
          <cell r="AA273">
            <v>0</v>
          </cell>
          <cell r="AB273">
            <v>0</v>
          </cell>
        </row>
        <row r="274">
          <cell r="G274" t="str">
            <v>321_0</v>
          </cell>
          <cell r="H274" t="str">
            <v>as</v>
          </cell>
          <cell r="I274" t="str">
            <v>sim</v>
          </cell>
          <cell r="V274" t="str">
            <v>not neg pair</v>
          </cell>
          <cell r="Y274" t="str">
            <v>Past</v>
          </cell>
          <cell r="Z274">
            <v>5</v>
          </cell>
          <cell r="AA274" t="str">
            <v>H</v>
          </cell>
          <cell r="AB274">
            <v>0</v>
          </cell>
        </row>
        <row r="275">
          <cell r="G275" t="str">
            <v>321_1</v>
          </cell>
          <cell r="H275" t="str">
            <v>as</v>
          </cell>
          <cell r="I275" t="str">
            <v>sim</v>
          </cell>
          <cell r="V275" t="str">
            <v>not neg pair</v>
          </cell>
          <cell r="Y275" t="str">
            <v>Past</v>
          </cell>
          <cell r="Z275">
            <v>5</v>
          </cell>
          <cell r="AA275" t="str">
            <v>H</v>
          </cell>
          <cell r="AB275">
            <v>0</v>
          </cell>
        </row>
        <row r="276">
          <cell r="G276" t="str">
            <v>323_0</v>
          </cell>
          <cell r="H276" t="str">
            <v>the-of</v>
          </cell>
          <cell r="I276" t="str">
            <v>sim</v>
          </cell>
          <cell r="V276" t="str">
            <v>not</v>
          </cell>
          <cell r="Y276" t="str">
            <v>Past</v>
          </cell>
          <cell r="Z276">
            <v>2.88</v>
          </cell>
          <cell r="AA276">
            <v>0</v>
          </cell>
          <cell r="AB276">
            <v>1</v>
          </cell>
        </row>
        <row r="277">
          <cell r="G277" t="str">
            <v>323_1</v>
          </cell>
          <cell r="H277" t="str">
            <v>the-of</v>
          </cell>
          <cell r="I277" t="str">
            <v>sim</v>
          </cell>
          <cell r="V277" t="str">
            <v>not</v>
          </cell>
          <cell r="Y277" t="str">
            <v>Past</v>
          </cell>
          <cell r="Z277">
            <v>2.88</v>
          </cell>
          <cell r="AA277">
            <v>0</v>
          </cell>
          <cell r="AB277">
            <v>1</v>
          </cell>
        </row>
        <row r="278">
          <cell r="G278" t="str">
            <v>324_0</v>
          </cell>
          <cell r="H278" t="str">
            <v>as-as</v>
          </cell>
          <cell r="I278" t="str">
            <v>sim</v>
          </cell>
          <cell r="V278" t="str">
            <v>antonym</v>
          </cell>
          <cell r="Y278" t="str">
            <v>Past</v>
          </cell>
          <cell r="Z278">
            <v>2.2400000000000002</v>
          </cell>
          <cell r="AA278" t="str">
            <v>L</v>
          </cell>
          <cell r="AB278">
            <v>0</v>
          </cell>
        </row>
        <row r="279">
          <cell r="G279" t="str">
            <v>324_1</v>
          </cell>
          <cell r="H279" t="str">
            <v>as-as</v>
          </cell>
          <cell r="I279" t="str">
            <v>sim</v>
          </cell>
          <cell r="V279" t="str">
            <v>antonym</v>
          </cell>
          <cell r="Y279" t="str">
            <v>Past</v>
          </cell>
          <cell r="Z279">
            <v>2.2400000000000002</v>
          </cell>
          <cell r="AA279" t="str">
            <v>L</v>
          </cell>
          <cell r="AB279">
            <v>0</v>
          </cell>
        </row>
        <row r="280">
          <cell r="G280" t="str">
            <v>325_0</v>
          </cell>
          <cell r="H280" t="str">
            <v>the-of</v>
          </cell>
          <cell r="I280" t="str">
            <v>sim</v>
          </cell>
          <cell r="V280" t="str">
            <v>not neg pair</v>
          </cell>
          <cell r="Y280" t="str">
            <v>Past</v>
          </cell>
          <cell r="Z280">
            <v>4.7</v>
          </cell>
          <cell r="AA280">
            <v>0</v>
          </cell>
          <cell r="AB280">
            <v>0</v>
          </cell>
        </row>
        <row r="281">
          <cell r="G281" t="str">
            <v>325_1</v>
          </cell>
          <cell r="H281" t="str">
            <v>the-of</v>
          </cell>
          <cell r="I281" t="str">
            <v>sim</v>
          </cell>
          <cell r="V281" t="str">
            <v>not neg pair</v>
          </cell>
          <cell r="Y281" t="str">
            <v>Past</v>
          </cell>
          <cell r="Z281">
            <v>4.7</v>
          </cell>
          <cell r="AA281">
            <v>0</v>
          </cell>
          <cell r="AB281">
            <v>0</v>
          </cell>
        </row>
        <row r="282">
          <cell r="G282" t="str">
            <v>328_0</v>
          </cell>
          <cell r="H282" t="str">
            <v>the-of</v>
          </cell>
          <cell r="I282" t="str">
            <v>sim</v>
          </cell>
          <cell r="V282" t="str">
            <v>not neg pair</v>
          </cell>
          <cell r="Y282" t="str">
            <v>Pres</v>
          </cell>
          <cell r="Z282">
            <v>4.96</v>
          </cell>
          <cell r="AA282" t="str">
            <v>H</v>
          </cell>
          <cell r="AB282">
            <v>0</v>
          </cell>
        </row>
        <row r="283">
          <cell r="G283" t="str">
            <v>328_1</v>
          </cell>
          <cell r="H283" t="str">
            <v>the-of</v>
          </cell>
          <cell r="I283" t="str">
            <v>sim</v>
          </cell>
          <cell r="V283" t="str">
            <v>not neg pair</v>
          </cell>
          <cell r="Y283" t="str">
            <v>Pres</v>
          </cell>
          <cell r="Z283">
            <v>4.96</v>
          </cell>
          <cell r="AA283" t="str">
            <v>H</v>
          </cell>
          <cell r="AB283">
            <v>0</v>
          </cell>
        </row>
        <row r="284">
          <cell r="G284" t="str">
            <v>329_0</v>
          </cell>
          <cell r="H284" t="str">
            <v>as-as</v>
          </cell>
          <cell r="I284" t="str">
            <v>sim</v>
          </cell>
          <cell r="V284" t="str">
            <v>antonym</v>
          </cell>
          <cell r="Y284" t="str">
            <v>Pres</v>
          </cell>
          <cell r="Z284">
            <v>3.36</v>
          </cell>
          <cell r="AA284">
            <v>0</v>
          </cell>
          <cell r="AB284">
            <v>1</v>
          </cell>
        </row>
        <row r="285">
          <cell r="G285" t="str">
            <v>329_1</v>
          </cell>
          <cell r="H285" t="str">
            <v>as-as</v>
          </cell>
          <cell r="I285" t="str">
            <v>sim</v>
          </cell>
          <cell r="V285" t="str">
            <v>antonym</v>
          </cell>
          <cell r="Y285" t="str">
            <v>Pres</v>
          </cell>
          <cell r="Z285">
            <v>3.36</v>
          </cell>
          <cell r="AA285">
            <v>0</v>
          </cell>
          <cell r="AB285">
            <v>1</v>
          </cell>
        </row>
        <row r="286">
          <cell r="G286" t="str">
            <v>332_0</v>
          </cell>
          <cell r="H286" t="str">
            <v>as-as</v>
          </cell>
          <cell r="I286" t="str">
            <v>sim</v>
          </cell>
          <cell r="V286" t="str">
            <v>not neg pair</v>
          </cell>
          <cell r="Y286" t="str">
            <v>Pres</v>
          </cell>
          <cell r="Z286">
            <v>2.76</v>
          </cell>
          <cell r="AA286" t="str">
            <v>L</v>
          </cell>
          <cell r="AB286">
            <v>0</v>
          </cell>
        </row>
        <row r="287">
          <cell r="G287" t="str">
            <v>332_1</v>
          </cell>
          <cell r="H287" t="str">
            <v>as-as</v>
          </cell>
          <cell r="I287" t="str">
            <v>sim</v>
          </cell>
          <cell r="V287" t="str">
            <v>not neg pair</v>
          </cell>
          <cell r="Y287" t="str">
            <v>Pres</v>
          </cell>
          <cell r="Z287">
            <v>2.76</v>
          </cell>
          <cell r="AA287" t="str">
            <v>L</v>
          </cell>
          <cell r="AB287">
            <v>0</v>
          </cell>
        </row>
        <row r="288">
          <cell r="G288" t="str">
            <v>333_0</v>
          </cell>
          <cell r="H288" t="str">
            <v>as-as</v>
          </cell>
          <cell r="I288" t="str">
            <v>sim</v>
          </cell>
          <cell r="V288" t="str">
            <v>not</v>
          </cell>
          <cell r="Y288" t="str">
            <v>Past</v>
          </cell>
          <cell r="Z288">
            <v>4.7</v>
          </cell>
          <cell r="AA288">
            <v>0</v>
          </cell>
          <cell r="AB288">
            <v>1</v>
          </cell>
        </row>
        <row r="289">
          <cell r="G289" t="str">
            <v>333_1</v>
          </cell>
          <cell r="H289" t="str">
            <v>as-as</v>
          </cell>
          <cell r="I289" t="str">
            <v>sim</v>
          </cell>
          <cell r="V289" t="str">
            <v>not</v>
          </cell>
          <cell r="Y289" t="str">
            <v>Past</v>
          </cell>
          <cell r="Z289">
            <v>4.7</v>
          </cell>
          <cell r="AA289">
            <v>0</v>
          </cell>
          <cell r="AB289">
            <v>1</v>
          </cell>
        </row>
        <row r="290">
          <cell r="G290" t="str">
            <v>341_0</v>
          </cell>
          <cell r="H290" t="str">
            <v/>
          </cell>
          <cell r="I290" t="str">
            <v>met</v>
          </cell>
          <cell r="V290" t="str">
            <v>0</v>
          </cell>
          <cell r="Y290" t="str">
            <v>Pres</v>
          </cell>
          <cell r="Z290">
            <v>2.88</v>
          </cell>
          <cell r="AA290">
            <v>0</v>
          </cell>
          <cell r="AB290">
            <v>0</v>
          </cell>
        </row>
        <row r="291">
          <cell r="G291" t="str">
            <v>341_1</v>
          </cell>
          <cell r="H291" t="str">
            <v/>
          </cell>
          <cell r="I291" t="str">
            <v>met</v>
          </cell>
          <cell r="V291" t="str">
            <v>0</v>
          </cell>
          <cell r="Y291">
            <v>0</v>
          </cell>
          <cell r="Z291">
            <v>2.88</v>
          </cell>
          <cell r="AA291">
            <v>0</v>
          </cell>
          <cell r="AB291">
            <v>0</v>
          </cell>
        </row>
        <row r="292">
          <cell r="G292" t="str">
            <v>343_0</v>
          </cell>
          <cell r="H292" t="str">
            <v/>
          </cell>
          <cell r="I292" t="str">
            <v>met</v>
          </cell>
          <cell r="V292" t="str">
            <v>0</v>
          </cell>
          <cell r="Y292" t="str">
            <v>Pres</v>
          </cell>
          <cell r="Z292">
            <v>4.6900000000000004</v>
          </cell>
          <cell r="AA292">
            <v>0</v>
          </cell>
          <cell r="AB292">
            <v>0</v>
          </cell>
        </row>
        <row r="293">
          <cell r="G293" t="str">
            <v>343_1</v>
          </cell>
          <cell r="H293" t="str">
            <v/>
          </cell>
          <cell r="I293" t="str">
            <v>met</v>
          </cell>
          <cell r="V293" t="str">
            <v>0</v>
          </cell>
          <cell r="Y293" t="str">
            <v>Pres</v>
          </cell>
          <cell r="Z293">
            <v>4.6900000000000004</v>
          </cell>
          <cell r="AA293">
            <v>0</v>
          </cell>
          <cell r="AB293">
            <v>0</v>
          </cell>
        </row>
        <row r="294">
          <cell r="G294" t="str">
            <v>345_0</v>
          </cell>
          <cell r="H294" t="str">
            <v>as-as</v>
          </cell>
          <cell r="I294" t="str">
            <v>sim</v>
          </cell>
          <cell r="V294" t="str">
            <v>antonym</v>
          </cell>
          <cell r="Y294" t="str">
            <v>Pres</v>
          </cell>
          <cell r="Z294">
            <v>4.1100000000000003</v>
          </cell>
          <cell r="AA294">
            <v>0</v>
          </cell>
          <cell r="AB294">
            <v>0</v>
          </cell>
        </row>
        <row r="295">
          <cell r="G295" t="str">
            <v>345_1</v>
          </cell>
          <cell r="H295" t="str">
            <v>as-as</v>
          </cell>
          <cell r="I295" t="str">
            <v>sim</v>
          </cell>
          <cell r="V295" t="str">
            <v>antonym</v>
          </cell>
          <cell r="Y295" t="str">
            <v>Pres</v>
          </cell>
          <cell r="Z295">
            <v>4.1100000000000003</v>
          </cell>
          <cell r="AA295">
            <v>0</v>
          </cell>
          <cell r="AB295">
            <v>0</v>
          </cell>
        </row>
        <row r="296">
          <cell r="G296" t="str">
            <v>349_0</v>
          </cell>
          <cell r="H296" t="str">
            <v>the-of</v>
          </cell>
          <cell r="I296" t="str">
            <v>sim</v>
          </cell>
          <cell r="V296" t="str">
            <v>not</v>
          </cell>
          <cell r="Y296" t="str">
            <v>Pres</v>
          </cell>
          <cell r="Z296">
            <v>2.81</v>
          </cell>
          <cell r="AA296">
            <v>0</v>
          </cell>
          <cell r="AB296">
            <v>0</v>
          </cell>
        </row>
        <row r="297">
          <cell r="G297" t="str">
            <v>349_1</v>
          </cell>
          <cell r="H297" t="str">
            <v>as</v>
          </cell>
          <cell r="I297" t="str">
            <v>sim</v>
          </cell>
          <cell r="V297" t="str">
            <v>not</v>
          </cell>
          <cell r="Y297" t="str">
            <v>Pres</v>
          </cell>
          <cell r="Z297">
            <v>2.81</v>
          </cell>
          <cell r="AA297">
            <v>0</v>
          </cell>
          <cell r="AB297">
            <v>0</v>
          </cell>
        </row>
        <row r="298">
          <cell r="G298" t="str">
            <v>350_0</v>
          </cell>
          <cell r="H298" t="str">
            <v>the-of</v>
          </cell>
          <cell r="I298" t="str">
            <v>sim</v>
          </cell>
          <cell r="V298" t="str">
            <v>not</v>
          </cell>
          <cell r="Y298" t="str">
            <v>Pres</v>
          </cell>
          <cell r="Z298">
            <v>4.5199999999999996</v>
          </cell>
          <cell r="AA298">
            <v>0</v>
          </cell>
          <cell r="AB298">
            <v>1</v>
          </cell>
        </row>
        <row r="299">
          <cell r="G299" t="str">
            <v>350_1</v>
          </cell>
          <cell r="H299" t="str">
            <v>the-of</v>
          </cell>
          <cell r="I299" t="str">
            <v>sim</v>
          </cell>
          <cell r="V299" t="str">
            <v>not</v>
          </cell>
          <cell r="Y299" t="str">
            <v>Pres</v>
          </cell>
          <cell r="Z299">
            <v>4.5199999999999996</v>
          </cell>
          <cell r="AA299">
            <v>0</v>
          </cell>
          <cell r="AB299">
            <v>1</v>
          </cell>
        </row>
        <row r="300">
          <cell r="G300" t="str">
            <v>354_0</v>
          </cell>
          <cell r="H300" t="str">
            <v>like</v>
          </cell>
          <cell r="I300" t="str">
            <v>sim</v>
          </cell>
          <cell r="V300" t="str">
            <v>not neg pair</v>
          </cell>
          <cell r="Y300" t="str">
            <v>Past</v>
          </cell>
          <cell r="Z300">
            <v>2.7</v>
          </cell>
          <cell r="AA300" t="str">
            <v>L</v>
          </cell>
          <cell r="AB300">
            <v>0</v>
          </cell>
        </row>
        <row r="301">
          <cell r="G301" t="str">
            <v>354_1</v>
          </cell>
          <cell r="H301" t="str">
            <v>like</v>
          </cell>
          <cell r="I301" t="str">
            <v>sim</v>
          </cell>
          <cell r="V301" t="str">
            <v>not neg pair</v>
          </cell>
          <cell r="Y301" t="str">
            <v>Past</v>
          </cell>
          <cell r="Z301">
            <v>2.7</v>
          </cell>
          <cell r="AA301" t="str">
            <v>L</v>
          </cell>
          <cell r="AB301">
            <v>0</v>
          </cell>
        </row>
        <row r="302">
          <cell r="G302" t="str">
            <v>357_0</v>
          </cell>
          <cell r="H302" t="str">
            <v>the-of</v>
          </cell>
          <cell r="I302" t="str">
            <v>sim</v>
          </cell>
          <cell r="V302" t="str">
            <v>not neg pair</v>
          </cell>
          <cell r="Y302" t="str">
            <v>Pres</v>
          </cell>
          <cell r="Z302">
            <v>5</v>
          </cell>
          <cell r="AA302" t="str">
            <v>H</v>
          </cell>
          <cell r="AB302">
            <v>0</v>
          </cell>
        </row>
        <row r="303">
          <cell r="G303" t="str">
            <v>357_1</v>
          </cell>
          <cell r="H303" t="str">
            <v>the-of</v>
          </cell>
          <cell r="I303" t="str">
            <v>sim</v>
          </cell>
          <cell r="V303" t="str">
            <v>not neg pair</v>
          </cell>
          <cell r="Y303" t="str">
            <v>Pres</v>
          </cell>
          <cell r="Z303">
            <v>5</v>
          </cell>
          <cell r="AA303" t="str">
            <v>H</v>
          </cell>
          <cell r="AB303">
            <v>0</v>
          </cell>
        </row>
        <row r="304">
          <cell r="G304" t="str">
            <v>359_0</v>
          </cell>
          <cell r="H304" t="str">
            <v>as-as</v>
          </cell>
          <cell r="I304" t="str">
            <v>sim</v>
          </cell>
          <cell r="V304" t="str">
            <v>not neg pair</v>
          </cell>
          <cell r="Y304" t="str">
            <v>Pres</v>
          </cell>
          <cell r="Z304">
            <v>3.36</v>
          </cell>
          <cell r="AA304">
            <v>0</v>
          </cell>
          <cell r="AB304">
            <v>0</v>
          </cell>
        </row>
        <row r="305">
          <cell r="G305" t="str">
            <v>359_1</v>
          </cell>
          <cell r="H305" t="str">
            <v>as-as</v>
          </cell>
          <cell r="I305" t="str">
            <v>sim</v>
          </cell>
          <cell r="V305" t="str">
            <v>not neg pair</v>
          </cell>
          <cell r="Y305" t="str">
            <v>Pres</v>
          </cell>
          <cell r="Z305">
            <v>3.36</v>
          </cell>
          <cell r="AA305">
            <v>0</v>
          </cell>
          <cell r="AB305">
            <v>0</v>
          </cell>
        </row>
        <row r="306">
          <cell r="G306" t="str">
            <v>360_0</v>
          </cell>
          <cell r="H306" t="str">
            <v>as-as</v>
          </cell>
          <cell r="I306" t="str">
            <v>sim</v>
          </cell>
          <cell r="V306" t="str">
            <v>not neg pair</v>
          </cell>
          <cell r="Y306" t="str">
            <v>Pres</v>
          </cell>
          <cell r="Z306">
            <v>3.36</v>
          </cell>
          <cell r="AA306">
            <v>0</v>
          </cell>
          <cell r="AB306">
            <v>0</v>
          </cell>
        </row>
        <row r="307">
          <cell r="G307" t="str">
            <v>360_1</v>
          </cell>
          <cell r="H307" t="str">
            <v>as-as</v>
          </cell>
          <cell r="I307" t="str">
            <v>sim</v>
          </cell>
          <cell r="V307" t="str">
            <v>not neg pair</v>
          </cell>
          <cell r="Y307" t="str">
            <v>Pres</v>
          </cell>
          <cell r="Z307">
            <v>3.36</v>
          </cell>
          <cell r="AA307">
            <v>0</v>
          </cell>
          <cell r="AB307">
            <v>0</v>
          </cell>
        </row>
        <row r="308">
          <cell r="G308" t="str">
            <v>364_0</v>
          </cell>
          <cell r="H308" t="str">
            <v>as-as</v>
          </cell>
          <cell r="I308" t="str">
            <v>sim</v>
          </cell>
          <cell r="V308" t="str">
            <v>not neg pair</v>
          </cell>
          <cell r="Y308" t="str">
            <v>Pres</v>
          </cell>
          <cell r="Z308">
            <v>3.93</v>
          </cell>
          <cell r="AA308">
            <v>0</v>
          </cell>
          <cell r="AB308">
            <v>0</v>
          </cell>
        </row>
        <row r="309">
          <cell r="G309" t="str">
            <v>364_1</v>
          </cell>
          <cell r="H309" t="str">
            <v>as-as</v>
          </cell>
          <cell r="I309" t="str">
            <v>sim</v>
          </cell>
          <cell r="V309" t="str">
            <v>not neg pair</v>
          </cell>
          <cell r="Y309" t="str">
            <v>Pres</v>
          </cell>
          <cell r="Z309">
            <v>0</v>
          </cell>
          <cell r="AA309">
            <v>0</v>
          </cell>
          <cell r="AB309">
            <v>0</v>
          </cell>
        </row>
        <row r="310">
          <cell r="G310" t="str">
            <v>369_0</v>
          </cell>
          <cell r="H310" t="str">
            <v>as-as</v>
          </cell>
          <cell r="I310" t="str">
            <v>sim</v>
          </cell>
          <cell r="V310" t="str">
            <v>not</v>
          </cell>
          <cell r="Y310" t="str">
            <v>Past</v>
          </cell>
          <cell r="Z310">
            <v>3.07</v>
          </cell>
          <cell r="AA310">
            <v>0</v>
          </cell>
          <cell r="AB310">
            <v>1</v>
          </cell>
        </row>
        <row r="311">
          <cell r="G311" t="str">
            <v>369_1</v>
          </cell>
          <cell r="H311" t="str">
            <v>as-as</v>
          </cell>
          <cell r="I311" t="str">
            <v>sim</v>
          </cell>
          <cell r="V311" t="str">
            <v>not</v>
          </cell>
          <cell r="Y311" t="str">
            <v>Past</v>
          </cell>
          <cell r="Z311">
            <v>3.07</v>
          </cell>
          <cell r="AA311">
            <v>0</v>
          </cell>
          <cell r="AB311">
            <v>1</v>
          </cell>
        </row>
        <row r="312">
          <cell r="G312" t="str">
            <v>376_0</v>
          </cell>
          <cell r="H312" t="str">
            <v>as-as</v>
          </cell>
          <cell r="I312" t="str">
            <v>sim</v>
          </cell>
          <cell r="V312" t="str">
            <v>antonym</v>
          </cell>
          <cell r="Y312" t="str">
            <v>Past</v>
          </cell>
          <cell r="Z312">
            <v>4.8499999999999996</v>
          </cell>
          <cell r="AA312">
            <v>0</v>
          </cell>
          <cell r="AB312">
            <v>0</v>
          </cell>
        </row>
        <row r="313">
          <cell r="G313" t="str">
            <v>376_1</v>
          </cell>
          <cell r="H313" t="str">
            <v>as-as</v>
          </cell>
          <cell r="I313" t="str">
            <v>sim</v>
          </cell>
          <cell r="V313" t="str">
            <v>antonym</v>
          </cell>
          <cell r="Y313" t="str">
            <v>Past</v>
          </cell>
          <cell r="Z313">
            <v>4.8499999999999996</v>
          </cell>
          <cell r="AA313">
            <v>0</v>
          </cell>
          <cell r="AB313">
            <v>0</v>
          </cell>
        </row>
        <row r="314">
          <cell r="G314" t="str">
            <v>379_0</v>
          </cell>
          <cell r="H314" t="str">
            <v>the-of</v>
          </cell>
          <cell r="I314" t="str">
            <v>sim</v>
          </cell>
          <cell r="V314" t="str">
            <v>not neg pair</v>
          </cell>
          <cell r="Y314" t="str">
            <v>Pres</v>
          </cell>
          <cell r="Z314">
            <v>4.96</v>
          </cell>
          <cell r="AA314" t="str">
            <v>H</v>
          </cell>
          <cell r="AB314">
            <v>0</v>
          </cell>
        </row>
        <row r="315">
          <cell r="G315" t="str">
            <v>379_1</v>
          </cell>
          <cell r="H315" t="str">
            <v>the-of</v>
          </cell>
          <cell r="I315" t="str">
            <v>sim</v>
          </cell>
          <cell r="V315" t="str">
            <v>not neg pair</v>
          </cell>
          <cell r="Y315" t="str">
            <v>Pres</v>
          </cell>
          <cell r="Z315">
            <v>4.96</v>
          </cell>
          <cell r="AA315" t="str">
            <v>H</v>
          </cell>
          <cell r="AB315">
            <v>0</v>
          </cell>
        </row>
        <row r="316">
          <cell r="G316" t="str">
            <v>383_0</v>
          </cell>
          <cell r="H316" t="str">
            <v>as-as</v>
          </cell>
          <cell r="I316" t="str">
            <v>sim</v>
          </cell>
          <cell r="V316" t="str">
            <v>not</v>
          </cell>
          <cell r="Y316" t="str">
            <v>Past</v>
          </cell>
          <cell r="Z316">
            <v>3.93</v>
          </cell>
          <cell r="AA316">
            <v>0</v>
          </cell>
          <cell r="AB316">
            <v>1</v>
          </cell>
        </row>
        <row r="317">
          <cell r="G317" t="str">
            <v>383_1</v>
          </cell>
          <cell r="H317" t="str">
            <v>as-as</v>
          </cell>
          <cell r="I317" t="str">
            <v>sim</v>
          </cell>
          <cell r="V317" t="str">
            <v>not</v>
          </cell>
          <cell r="Y317" t="str">
            <v>Past</v>
          </cell>
          <cell r="Z317">
            <v>3.93</v>
          </cell>
          <cell r="AA317">
            <v>0</v>
          </cell>
          <cell r="AB317">
            <v>1</v>
          </cell>
        </row>
        <row r="318">
          <cell r="G318" t="str">
            <v>388_0</v>
          </cell>
          <cell r="H318" t="str">
            <v/>
          </cell>
          <cell r="I318" t="str">
            <v>met</v>
          </cell>
          <cell r="V318" t="str">
            <v>0</v>
          </cell>
          <cell r="Y318" t="str">
            <v>Past</v>
          </cell>
          <cell r="Z318">
            <v>4.75</v>
          </cell>
          <cell r="AA318">
            <v>0</v>
          </cell>
          <cell r="AB318">
            <v>0</v>
          </cell>
        </row>
        <row r="319">
          <cell r="G319" t="str">
            <v>388_1</v>
          </cell>
          <cell r="H319" t="str">
            <v/>
          </cell>
          <cell r="I319" t="str">
            <v>met</v>
          </cell>
          <cell r="V319" t="str">
            <v>0</v>
          </cell>
          <cell r="Y319" t="str">
            <v>Past</v>
          </cell>
          <cell r="Z319">
            <v>4.75</v>
          </cell>
          <cell r="AA319">
            <v>0</v>
          </cell>
          <cell r="AB319">
            <v>0</v>
          </cell>
        </row>
        <row r="320">
          <cell r="G320" t="str">
            <v>392_0</v>
          </cell>
          <cell r="H320" t="str">
            <v>the-of</v>
          </cell>
          <cell r="I320" t="str">
            <v>sim</v>
          </cell>
          <cell r="V320" t="str">
            <v>not neg pair</v>
          </cell>
          <cell r="Y320" t="str">
            <v>Past</v>
          </cell>
          <cell r="Z320">
            <v>2.85</v>
          </cell>
          <cell r="AA320">
            <v>0</v>
          </cell>
          <cell r="AB320">
            <v>0</v>
          </cell>
        </row>
        <row r="321">
          <cell r="G321" t="str">
            <v>392_1</v>
          </cell>
          <cell r="H321" t="str">
            <v>the-of</v>
          </cell>
          <cell r="I321" t="str">
            <v>sim</v>
          </cell>
          <cell r="V321" t="str">
            <v>not neg pair</v>
          </cell>
          <cell r="Y321" t="str">
            <v>Past</v>
          </cell>
          <cell r="Z321">
            <v>2.85</v>
          </cell>
          <cell r="AA321">
            <v>0</v>
          </cell>
          <cell r="AB321">
            <v>0</v>
          </cell>
        </row>
        <row r="322">
          <cell r="G322" t="str">
            <v>394_0</v>
          </cell>
          <cell r="H322" t="str">
            <v>the-of</v>
          </cell>
          <cell r="I322" t="str">
            <v>sim</v>
          </cell>
          <cell r="V322" t="str">
            <v>not neg pair</v>
          </cell>
          <cell r="Y322" t="str">
            <v>Past</v>
          </cell>
          <cell r="Z322">
            <v>4.67</v>
          </cell>
          <cell r="AA322">
            <v>0</v>
          </cell>
          <cell r="AB322">
            <v>0</v>
          </cell>
        </row>
        <row r="323">
          <cell r="G323" t="str">
            <v>394_1</v>
          </cell>
          <cell r="H323" t="str">
            <v>the-of</v>
          </cell>
          <cell r="I323" t="str">
            <v>sim</v>
          </cell>
          <cell r="V323" t="str">
            <v>not neg pair</v>
          </cell>
          <cell r="Y323" t="str">
            <v>Past</v>
          </cell>
          <cell r="Z323">
            <v>4.67</v>
          </cell>
          <cell r="AA323">
            <v>0</v>
          </cell>
          <cell r="AB323">
            <v>0</v>
          </cell>
        </row>
        <row r="324">
          <cell r="G324" t="str">
            <v>395_0</v>
          </cell>
          <cell r="H324" t="str">
            <v>the-of</v>
          </cell>
          <cell r="I324" t="str">
            <v>sim</v>
          </cell>
          <cell r="V324" t="str">
            <v>not neg pair</v>
          </cell>
          <cell r="Y324" t="str">
            <v>Past</v>
          </cell>
          <cell r="Z324">
            <v>3.93</v>
          </cell>
          <cell r="AA324">
            <v>0</v>
          </cell>
          <cell r="AB324">
            <v>0</v>
          </cell>
        </row>
        <row r="325">
          <cell r="G325" t="str">
            <v>395_1</v>
          </cell>
          <cell r="H325" t="str">
            <v>the-of</v>
          </cell>
          <cell r="I325" t="str">
            <v>sim</v>
          </cell>
          <cell r="V325" t="str">
            <v>not neg pair</v>
          </cell>
          <cell r="Y325" t="str">
            <v>Past</v>
          </cell>
          <cell r="Z325">
            <v>3.93</v>
          </cell>
          <cell r="AA325">
            <v>0</v>
          </cell>
          <cell r="AB325">
            <v>0</v>
          </cell>
        </row>
        <row r="326">
          <cell r="G326" t="str">
            <v>396_0</v>
          </cell>
          <cell r="H326" t="str">
            <v>as-as</v>
          </cell>
          <cell r="I326" t="str">
            <v>sim</v>
          </cell>
          <cell r="V326" t="str">
            <v>not</v>
          </cell>
          <cell r="Y326" t="str">
            <v>Past</v>
          </cell>
          <cell r="Z326">
            <v>2.81</v>
          </cell>
          <cell r="AA326">
            <v>0</v>
          </cell>
          <cell r="AB326">
            <v>1</v>
          </cell>
        </row>
        <row r="327">
          <cell r="G327" t="str">
            <v>396_1</v>
          </cell>
          <cell r="H327" t="str">
            <v>as-as</v>
          </cell>
          <cell r="I327" t="str">
            <v>sim</v>
          </cell>
          <cell r="V327" t="str">
            <v>not</v>
          </cell>
          <cell r="Y327" t="str">
            <v>Past</v>
          </cell>
          <cell r="Z327">
            <v>2.81</v>
          </cell>
          <cell r="AA327">
            <v>0</v>
          </cell>
          <cell r="AB327">
            <v>1</v>
          </cell>
        </row>
        <row r="328">
          <cell r="G328" t="str">
            <v>400_0</v>
          </cell>
          <cell r="H328" t="str">
            <v>the-of</v>
          </cell>
          <cell r="I328" t="str">
            <v>sim</v>
          </cell>
          <cell r="V328" t="str">
            <v>not</v>
          </cell>
          <cell r="Y328" t="str">
            <v>Past</v>
          </cell>
          <cell r="Z328">
            <v>4.59</v>
          </cell>
          <cell r="AA328">
            <v>0</v>
          </cell>
          <cell r="AB328">
            <v>0</v>
          </cell>
        </row>
        <row r="329">
          <cell r="G329" t="str">
            <v>400_1</v>
          </cell>
          <cell r="H329" t="str">
            <v>the-of</v>
          </cell>
          <cell r="I329" t="str">
            <v>sim</v>
          </cell>
          <cell r="V329" t="str">
            <v>not</v>
          </cell>
          <cell r="Y329" t="str">
            <v>Past</v>
          </cell>
          <cell r="Z329">
            <v>4.59</v>
          </cell>
          <cell r="AA329">
            <v>0</v>
          </cell>
          <cell r="AB329">
            <v>0</v>
          </cell>
        </row>
        <row r="330">
          <cell r="G330" t="str">
            <v>402_0</v>
          </cell>
          <cell r="H330" t="str">
            <v>as-as</v>
          </cell>
          <cell r="I330" t="str">
            <v>sim</v>
          </cell>
          <cell r="V330" t="str">
            <v>not neg pair</v>
          </cell>
          <cell r="Y330" t="str">
            <v>Pres</v>
          </cell>
          <cell r="Z330">
            <v>4.82</v>
          </cell>
          <cell r="AA330">
            <v>0</v>
          </cell>
          <cell r="AB330">
            <v>0</v>
          </cell>
        </row>
        <row r="331">
          <cell r="G331" t="str">
            <v>402_1</v>
          </cell>
          <cell r="H331" t="str">
            <v>as-as</v>
          </cell>
          <cell r="I331" t="str">
            <v>sim</v>
          </cell>
          <cell r="V331" t="str">
            <v>not neg pair</v>
          </cell>
          <cell r="Y331" t="str">
            <v>Pres</v>
          </cell>
          <cell r="Z331">
            <v>4.82</v>
          </cell>
          <cell r="AA331">
            <v>0</v>
          </cell>
          <cell r="AB331">
            <v>0</v>
          </cell>
        </row>
        <row r="332">
          <cell r="G332" t="str">
            <v>406_0</v>
          </cell>
          <cell r="H332" t="str">
            <v>as-as</v>
          </cell>
          <cell r="I332" t="str">
            <v>sim</v>
          </cell>
          <cell r="V332" t="str">
            <v>not neg pair</v>
          </cell>
          <cell r="Y332" t="str">
            <v>Past</v>
          </cell>
          <cell r="Z332">
            <v>3.48</v>
          </cell>
          <cell r="AA332">
            <v>0</v>
          </cell>
          <cell r="AB332">
            <v>0</v>
          </cell>
        </row>
        <row r="333">
          <cell r="G333" t="str">
            <v>406_1</v>
          </cell>
          <cell r="H333" t="str">
            <v>as-as</v>
          </cell>
          <cell r="I333" t="str">
            <v>sim</v>
          </cell>
          <cell r="V333" t="str">
            <v>not neg pair</v>
          </cell>
          <cell r="Y333" t="str">
            <v>Past</v>
          </cell>
          <cell r="Z333">
            <v>3.48</v>
          </cell>
          <cell r="AA333">
            <v>0</v>
          </cell>
          <cell r="AB333">
            <v>0</v>
          </cell>
        </row>
        <row r="334">
          <cell r="G334" t="str">
            <v>409_0</v>
          </cell>
          <cell r="H334" t="str">
            <v>as-as</v>
          </cell>
          <cell r="I334" t="str">
            <v>sim</v>
          </cell>
          <cell r="V334" t="str">
            <v>antonym</v>
          </cell>
          <cell r="Y334" t="str">
            <v>Pres</v>
          </cell>
          <cell r="Z334">
            <v>3.62</v>
          </cell>
          <cell r="AA334">
            <v>0</v>
          </cell>
          <cell r="AB334">
            <v>0</v>
          </cell>
        </row>
        <row r="335">
          <cell r="G335" t="str">
            <v>409_1</v>
          </cell>
          <cell r="H335" t="str">
            <v>as-as</v>
          </cell>
          <cell r="I335" t="str">
            <v>sim</v>
          </cell>
          <cell r="V335" t="str">
            <v>antonym</v>
          </cell>
          <cell r="Y335" t="str">
            <v>Pres</v>
          </cell>
          <cell r="Z335">
            <v>3.62</v>
          </cell>
          <cell r="AA335">
            <v>0</v>
          </cell>
          <cell r="AB335">
            <v>0</v>
          </cell>
        </row>
        <row r="336">
          <cell r="G336" t="str">
            <v>411_0</v>
          </cell>
          <cell r="H336" t="str">
            <v>the-of</v>
          </cell>
          <cell r="I336" t="str">
            <v>sim</v>
          </cell>
          <cell r="V336" t="str">
            <v>not</v>
          </cell>
          <cell r="Y336" t="str">
            <v>Pres</v>
          </cell>
          <cell r="Z336">
            <v>4.34</v>
          </cell>
          <cell r="AA336">
            <v>0</v>
          </cell>
          <cell r="AB336">
            <v>1</v>
          </cell>
        </row>
        <row r="337">
          <cell r="G337" t="str">
            <v>411_1</v>
          </cell>
          <cell r="H337" t="str">
            <v>the-of</v>
          </cell>
          <cell r="I337" t="str">
            <v>sim</v>
          </cell>
          <cell r="V337" t="str">
            <v>not</v>
          </cell>
          <cell r="Y337" t="str">
            <v>Pres</v>
          </cell>
          <cell r="Z337">
            <v>4.34</v>
          </cell>
          <cell r="AA337">
            <v>0</v>
          </cell>
          <cell r="AB337">
            <v>1</v>
          </cell>
        </row>
        <row r="338">
          <cell r="G338" t="str">
            <v>415_0</v>
          </cell>
          <cell r="H338" t="str">
            <v>like</v>
          </cell>
          <cell r="I338" t="str">
            <v>sim</v>
          </cell>
          <cell r="V338" t="str">
            <v>not neg pair</v>
          </cell>
          <cell r="Y338" t="str">
            <v>Past</v>
          </cell>
          <cell r="Z338">
            <v>4.76</v>
          </cell>
          <cell r="AA338">
            <v>0</v>
          </cell>
          <cell r="AB338">
            <v>0</v>
          </cell>
        </row>
        <row r="339">
          <cell r="G339" t="str">
            <v>415_1</v>
          </cell>
          <cell r="H339" t="str">
            <v>like</v>
          </cell>
          <cell r="I339" t="str">
            <v>sim</v>
          </cell>
          <cell r="V339" t="str">
            <v>not neg pair</v>
          </cell>
          <cell r="Y339" t="str">
            <v>Past</v>
          </cell>
          <cell r="Z339">
            <v>4.76</v>
          </cell>
          <cell r="AA339">
            <v>0</v>
          </cell>
          <cell r="AB339">
            <v>0</v>
          </cell>
        </row>
        <row r="340">
          <cell r="G340" t="str">
            <v>418_0</v>
          </cell>
          <cell r="H340" t="str">
            <v>like</v>
          </cell>
          <cell r="I340" t="str">
            <v>sim</v>
          </cell>
          <cell r="V340" t="str">
            <v>not neg pair</v>
          </cell>
          <cell r="Y340" t="str">
            <v>Pres</v>
          </cell>
          <cell r="Z340">
            <v>4.68</v>
          </cell>
          <cell r="AA340">
            <v>0</v>
          </cell>
          <cell r="AB340">
            <v>0</v>
          </cell>
        </row>
        <row r="341">
          <cell r="G341" t="str">
            <v>418_1</v>
          </cell>
          <cell r="H341" t="str">
            <v>like</v>
          </cell>
          <cell r="I341" t="str">
            <v>sim</v>
          </cell>
          <cell r="V341" t="str">
            <v>not neg pair</v>
          </cell>
          <cell r="Y341" t="str">
            <v>Pres</v>
          </cell>
          <cell r="Z341">
            <v>4.68</v>
          </cell>
          <cell r="AA341">
            <v>0</v>
          </cell>
          <cell r="AB341">
            <v>0</v>
          </cell>
        </row>
        <row r="342">
          <cell r="G342" t="str">
            <v>420_0</v>
          </cell>
          <cell r="H342" t="str">
            <v>as-as</v>
          </cell>
          <cell r="I342" t="str">
            <v>sim</v>
          </cell>
          <cell r="V342" t="str">
            <v>not neg pair</v>
          </cell>
          <cell r="Y342" t="str">
            <v>Pres</v>
          </cell>
          <cell r="Z342">
            <v>1.62</v>
          </cell>
          <cell r="AA342" t="str">
            <v>L</v>
          </cell>
          <cell r="AB342">
            <v>0</v>
          </cell>
        </row>
        <row r="343">
          <cell r="G343" t="str">
            <v>420_1</v>
          </cell>
          <cell r="H343" t="str">
            <v>as</v>
          </cell>
          <cell r="I343" t="str">
            <v>sim</v>
          </cell>
          <cell r="V343" t="str">
            <v>not neg pair</v>
          </cell>
          <cell r="Y343" t="str">
            <v>Pres</v>
          </cell>
          <cell r="Z343">
            <v>1.62</v>
          </cell>
          <cell r="AA343" t="str">
            <v>L</v>
          </cell>
          <cell r="AB343">
            <v>0</v>
          </cell>
        </row>
        <row r="344">
          <cell r="G344" t="str">
            <v>426_0</v>
          </cell>
          <cell r="H344" t="str">
            <v>like</v>
          </cell>
          <cell r="I344" t="str">
            <v>sim</v>
          </cell>
          <cell r="V344" t="str">
            <v>not neg pair</v>
          </cell>
          <cell r="Y344" t="str">
            <v>Pres</v>
          </cell>
          <cell r="Z344">
            <v>1.62</v>
          </cell>
          <cell r="AA344" t="str">
            <v>L</v>
          </cell>
          <cell r="AB344">
            <v>0</v>
          </cell>
        </row>
        <row r="345">
          <cell r="G345" t="str">
            <v>426_1</v>
          </cell>
          <cell r="H345" t="str">
            <v>like</v>
          </cell>
          <cell r="I345" t="str">
            <v>sim</v>
          </cell>
          <cell r="V345" t="str">
            <v>not neg pair</v>
          </cell>
          <cell r="Y345" t="str">
            <v>Past</v>
          </cell>
          <cell r="Z345">
            <v>1.62</v>
          </cell>
          <cell r="AA345" t="str">
            <v>L</v>
          </cell>
          <cell r="AB345">
            <v>0</v>
          </cell>
        </row>
        <row r="346">
          <cell r="G346" t="str">
            <v>427_0</v>
          </cell>
          <cell r="H346" t="str">
            <v>as-as</v>
          </cell>
          <cell r="I346" t="str">
            <v>sim</v>
          </cell>
          <cell r="V346" t="str">
            <v>antonym</v>
          </cell>
          <cell r="Y346" t="str">
            <v>Pres</v>
          </cell>
          <cell r="Z346">
            <v>4.33</v>
          </cell>
          <cell r="AA346">
            <v>0</v>
          </cell>
          <cell r="AB346">
            <v>0</v>
          </cell>
        </row>
        <row r="347">
          <cell r="G347" t="str">
            <v>427_1</v>
          </cell>
          <cell r="H347" t="str">
            <v>as-as</v>
          </cell>
          <cell r="I347" t="str">
            <v>sim</v>
          </cell>
          <cell r="V347" t="str">
            <v>antonym</v>
          </cell>
          <cell r="Y347" t="str">
            <v>Pres</v>
          </cell>
          <cell r="Z347">
            <v>4.33</v>
          </cell>
          <cell r="AA347">
            <v>0</v>
          </cell>
          <cell r="AB347">
            <v>0</v>
          </cell>
        </row>
        <row r="348">
          <cell r="G348" t="str">
            <v>428_0</v>
          </cell>
          <cell r="H348" t="str">
            <v>like</v>
          </cell>
          <cell r="I348" t="str">
            <v>sim</v>
          </cell>
          <cell r="V348" t="str">
            <v>not neg pair</v>
          </cell>
          <cell r="Y348" t="str">
            <v>Past</v>
          </cell>
          <cell r="Z348">
            <v>3.36</v>
          </cell>
          <cell r="AA348">
            <v>0</v>
          </cell>
          <cell r="AB348">
            <v>0</v>
          </cell>
        </row>
        <row r="349">
          <cell r="G349" t="str">
            <v>428_1</v>
          </cell>
          <cell r="H349" t="str">
            <v>like</v>
          </cell>
          <cell r="I349" t="str">
            <v>sim</v>
          </cell>
          <cell r="V349" t="str">
            <v>not neg pair</v>
          </cell>
          <cell r="Y349" t="str">
            <v>Past</v>
          </cell>
          <cell r="Z349">
            <v>3.36</v>
          </cell>
          <cell r="AA349">
            <v>0</v>
          </cell>
          <cell r="AB349">
            <v>0</v>
          </cell>
        </row>
        <row r="350">
          <cell r="G350" t="str">
            <v>430_0</v>
          </cell>
          <cell r="H350" t="str">
            <v>as-as</v>
          </cell>
          <cell r="I350" t="str">
            <v>sim</v>
          </cell>
          <cell r="V350" t="str">
            <v>not</v>
          </cell>
          <cell r="Y350" t="str">
            <v>Past</v>
          </cell>
          <cell r="Z350">
            <v>1.43</v>
          </cell>
          <cell r="AA350" t="str">
            <v>L</v>
          </cell>
          <cell r="AB350">
            <v>1</v>
          </cell>
        </row>
        <row r="351">
          <cell r="G351" t="str">
            <v>430_1</v>
          </cell>
          <cell r="H351" t="str">
            <v>as-as</v>
          </cell>
          <cell r="I351" t="str">
            <v>sim</v>
          </cell>
          <cell r="V351" t="str">
            <v>not</v>
          </cell>
          <cell r="Y351" t="str">
            <v>Past</v>
          </cell>
          <cell r="Z351">
            <v>2.93</v>
          </cell>
          <cell r="AA351">
            <v>0</v>
          </cell>
          <cell r="AB351">
            <v>1</v>
          </cell>
        </row>
        <row r="352">
          <cell r="G352" t="str">
            <v>436_0</v>
          </cell>
          <cell r="H352" t="str">
            <v/>
          </cell>
          <cell r="I352" t="str">
            <v>met</v>
          </cell>
          <cell r="V352" t="str">
            <v>0</v>
          </cell>
          <cell r="Y352" t="str">
            <v>Past</v>
          </cell>
          <cell r="Z352">
            <v>2.67</v>
          </cell>
          <cell r="AA352" t="str">
            <v>L</v>
          </cell>
          <cell r="AB352">
            <v>0</v>
          </cell>
        </row>
        <row r="353">
          <cell r="G353" t="str">
            <v>436_1</v>
          </cell>
          <cell r="H353" t="str">
            <v/>
          </cell>
          <cell r="I353" t="str">
            <v>met</v>
          </cell>
          <cell r="V353" t="str">
            <v>0</v>
          </cell>
          <cell r="Y353" t="str">
            <v>Past</v>
          </cell>
          <cell r="Z353">
            <v>2.67</v>
          </cell>
          <cell r="AA353" t="str">
            <v>L</v>
          </cell>
          <cell r="AB353">
            <v>0</v>
          </cell>
        </row>
        <row r="354">
          <cell r="G354" t="str">
            <v>438_0</v>
          </cell>
          <cell r="H354" t="str">
            <v>as-as</v>
          </cell>
          <cell r="I354" t="str">
            <v>sim</v>
          </cell>
          <cell r="V354" t="str">
            <v>not neg pair</v>
          </cell>
          <cell r="Y354" t="str">
            <v>Pres</v>
          </cell>
          <cell r="Z354">
            <v>4.9000000000000004</v>
          </cell>
          <cell r="AA354" t="str">
            <v>H</v>
          </cell>
          <cell r="AB354">
            <v>0</v>
          </cell>
        </row>
        <row r="355">
          <cell r="G355" t="str">
            <v>438_1</v>
          </cell>
          <cell r="H355" t="str">
            <v>as-as</v>
          </cell>
          <cell r="I355" t="str">
            <v>sim</v>
          </cell>
          <cell r="V355" t="str">
            <v>not neg pair</v>
          </cell>
          <cell r="Y355" t="str">
            <v>Pres</v>
          </cell>
          <cell r="Z355">
            <v>4.9000000000000004</v>
          </cell>
          <cell r="AA355" t="str">
            <v>H</v>
          </cell>
          <cell r="AB355">
            <v>0</v>
          </cell>
        </row>
        <row r="356">
          <cell r="G356" t="str">
            <v>443_0</v>
          </cell>
          <cell r="H356" t="str">
            <v>the-of</v>
          </cell>
          <cell r="I356" t="str">
            <v>sim</v>
          </cell>
          <cell r="V356" t="str">
            <v>not neg pair</v>
          </cell>
          <cell r="Y356" t="str">
            <v>Past</v>
          </cell>
          <cell r="Z356">
            <v>3.85</v>
          </cell>
          <cell r="AA356">
            <v>0</v>
          </cell>
          <cell r="AB356">
            <v>0</v>
          </cell>
        </row>
        <row r="357">
          <cell r="G357" t="str">
            <v>443_1</v>
          </cell>
          <cell r="H357" t="str">
            <v>the-of</v>
          </cell>
          <cell r="I357" t="str">
            <v>sim</v>
          </cell>
          <cell r="V357" t="str">
            <v>not neg pair</v>
          </cell>
          <cell r="Y357" t="str">
            <v>Past</v>
          </cell>
          <cell r="Z357">
            <v>3.85</v>
          </cell>
          <cell r="AA357">
            <v>0</v>
          </cell>
          <cell r="AB357">
            <v>0</v>
          </cell>
        </row>
        <row r="358">
          <cell r="G358" t="str">
            <v>444_0</v>
          </cell>
          <cell r="H358" t="str">
            <v>like</v>
          </cell>
          <cell r="I358" t="str">
            <v>sim</v>
          </cell>
          <cell r="V358" t="str">
            <v>not neg pair</v>
          </cell>
          <cell r="Y358" t="str">
            <v>Past</v>
          </cell>
          <cell r="Z358">
            <v>4.5</v>
          </cell>
          <cell r="AA358">
            <v>0</v>
          </cell>
          <cell r="AB358">
            <v>0</v>
          </cell>
        </row>
        <row r="359">
          <cell r="G359" t="str">
            <v>444_1</v>
          </cell>
          <cell r="H359" t="str">
            <v>like</v>
          </cell>
          <cell r="I359" t="str">
            <v>sim</v>
          </cell>
          <cell r="V359" t="str">
            <v>not neg pair</v>
          </cell>
          <cell r="Y359" t="str">
            <v>Past</v>
          </cell>
          <cell r="Z359">
            <v>4.5</v>
          </cell>
          <cell r="AA359">
            <v>0</v>
          </cell>
          <cell r="AB359">
            <v>0</v>
          </cell>
        </row>
        <row r="360">
          <cell r="G360" t="str">
            <v>450_0</v>
          </cell>
          <cell r="H360" t="str">
            <v>as-as</v>
          </cell>
          <cell r="I360" t="str">
            <v>sim</v>
          </cell>
          <cell r="V360" t="str">
            <v>not neg pair</v>
          </cell>
          <cell r="Y360" t="str">
            <v>Past</v>
          </cell>
          <cell r="Z360">
            <v>3.36</v>
          </cell>
          <cell r="AA360">
            <v>0</v>
          </cell>
          <cell r="AB360">
            <v>0</v>
          </cell>
        </row>
        <row r="361">
          <cell r="G361" t="str">
            <v>450_1</v>
          </cell>
          <cell r="H361" t="str">
            <v>as-as</v>
          </cell>
          <cell r="I361" t="str">
            <v>sim</v>
          </cell>
          <cell r="V361" t="str">
            <v>not neg pair</v>
          </cell>
          <cell r="Y361" t="str">
            <v>Past</v>
          </cell>
          <cell r="Z361">
            <v>3.36</v>
          </cell>
          <cell r="AA361">
            <v>0</v>
          </cell>
          <cell r="AB361">
            <v>0</v>
          </cell>
        </row>
        <row r="362">
          <cell r="G362" t="str">
            <v>451_0</v>
          </cell>
          <cell r="H362" t="str">
            <v>as-as</v>
          </cell>
          <cell r="I362" t="str">
            <v>sim</v>
          </cell>
          <cell r="V362" t="str">
            <v>not neg pair</v>
          </cell>
          <cell r="Y362" t="str">
            <v>Past</v>
          </cell>
          <cell r="Z362">
            <v>2.5</v>
          </cell>
          <cell r="AA362" t="str">
            <v>L</v>
          </cell>
          <cell r="AB362">
            <v>0</v>
          </cell>
        </row>
        <row r="363">
          <cell r="G363" t="str">
            <v>451_1</v>
          </cell>
          <cell r="H363" t="str">
            <v>as-as</v>
          </cell>
          <cell r="I363" t="str">
            <v>sim</v>
          </cell>
          <cell r="V363" t="str">
            <v>not neg pair</v>
          </cell>
          <cell r="Y363" t="str">
            <v>Past</v>
          </cell>
          <cell r="Z363">
            <v>2.5</v>
          </cell>
          <cell r="AA363" t="str">
            <v>L</v>
          </cell>
          <cell r="AB363">
            <v>0</v>
          </cell>
        </row>
        <row r="364">
          <cell r="G364" t="str">
            <v>452_0</v>
          </cell>
          <cell r="H364" t="str">
            <v/>
          </cell>
          <cell r="I364" t="str">
            <v>met</v>
          </cell>
          <cell r="V364" t="str">
            <v>0</v>
          </cell>
          <cell r="Y364" t="str">
            <v>Past</v>
          </cell>
          <cell r="Z364">
            <v>4.76</v>
          </cell>
          <cell r="AA364">
            <v>0</v>
          </cell>
          <cell r="AB364">
            <v>0</v>
          </cell>
        </row>
        <row r="365">
          <cell r="G365" t="str">
            <v>452_1</v>
          </cell>
          <cell r="H365" t="str">
            <v/>
          </cell>
          <cell r="I365" t="str">
            <v>met</v>
          </cell>
          <cell r="V365" t="str">
            <v>0</v>
          </cell>
          <cell r="Y365" t="str">
            <v>Past</v>
          </cell>
          <cell r="Z365">
            <v>4.76</v>
          </cell>
          <cell r="AA365">
            <v>0</v>
          </cell>
          <cell r="AB365">
            <v>0</v>
          </cell>
        </row>
        <row r="366">
          <cell r="G366" t="str">
            <v>454_0</v>
          </cell>
          <cell r="H366" t="str">
            <v/>
          </cell>
          <cell r="I366" t="str">
            <v>met</v>
          </cell>
          <cell r="V366" t="str">
            <v>0</v>
          </cell>
          <cell r="Y366" t="str">
            <v>Past</v>
          </cell>
          <cell r="Z366">
            <v>1.74</v>
          </cell>
          <cell r="AA366" t="str">
            <v>L</v>
          </cell>
          <cell r="AB366">
            <v>0</v>
          </cell>
        </row>
        <row r="367">
          <cell r="G367" t="str">
            <v>454_1</v>
          </cell>
          <cell r="H367" t="str">
            <v/>
          </cell>
          <cell r="I367" t="str">
            <v>met</v>
          </cell>
          <cell r="V367" t="str">
            <v>0</v>
          </cell>
          <cell r="Y367" t="str">
            <v>Past</v>
          </cell>
          <cell r="Z367">
            <v>1.74</v>
          </cell>
          <cell r="AA367" t="str">
            <v>L</v>
          </cell>
          <cell r="AB367">
            <v>0</v>
          </cell>
        </row>
        <row r="368">
          <cell r="G368" t="str">
            <v>455_0</v>
          </cell>
          <cell r="H368" t="str">
            <v>like</v>
          </cell>
          <cell r="I368" t="str">
            <v>sim</v>
          </cell>
          <cell r="V368" t="str">
            <v>not neg pair</v>
          </cell>
          <cell r="Y368" t="str">
            <v>Past</v>
          </cell>
          <cell r="Z368">
            <v>4.75</v>
          </cell>
          <cell r="AA368">
            <v>0</v>
          </cell>
          <cell r="AB368">
            <v>0</v>
          </cell>
        </row>
        <row r="369">
          <cell r="G369" t="str">
            <v>455_1</v>
          </cell>
          <cell r="H369" t="str">
            <v>like</v>
          </cell>
          <cell r="I369" t="str">
            <v>sim</v>
          </cell>
          <cell r="V369" t="str">
            <v>not neg pair</v>
          </cell>
          <cell r="Y369" t="str">
            <v>Past</v>
          </cell>
          <cell r="Z369">
            <v>4.75</v>
          </cell>
          <cell r="AA369">
            <v>0</v>
          </cell>
          <cell r="AB369">
            <v>0</v>
          </cell>
        </row>
        <row r="370">
          <cell r="G370" t="str">
            <v>456_0</v>
          </cell>
          <cell r="H370" t="str">
            <v>like</v>
          </cell>
          <cell r="I370" t="str">
            <v>sim</v>
          </cell>
          <cell r="V370" t="str">
            <v>not neg pair</v>
          </cell>
          <cell r="Y370" t="str">
            <v>Past</v>
          </cell>
          <cell r="Z370">
            <v>3.58</v>
          </cell>
          <cell r="AA370">
            <v>0</v>
          </cell>
          <cell r="AB370">
            <v>0</v>
          </cell>
        </row>
        <row r="371">
          <cell r="G371" t="str">
            <v>456_1</v>
          </cell>
          <cell r="H371" t="str">
            <v>like</v>
          </cell>
          <cell r="I371" t="str">
            <v>sim</v>
          </cell>
          <cell r="V371" t="str">
            <v>not neg pair</v>
          </cell>
          <cell r="Y371" t="str">
            <v>Past</v>
          </cell>
          <cell r="Z371">
            <v>3.58</v>
          </cell>
          <cell r="AA371">
            <v>0</v>
          </cell>
          <cell r="AB371">
            <v>0</v>
          </cell>
        </row>
        <row r="372">
          <cell r="G372" t="str">
            <v>467_0</v>
          </cell>
          <cell r="H372" t="str">
            <v>as-as</v>
          </cell>
          <cell r="I372" t="str">
            <v>sim</v>
          </cell>
          <cell r="V372" t="str">
            <v>antonym</v>
          </cell>
          <cell r="Y372" t="str">
            <v>Past</v>
          </cell>
          <cell r="Z372">
            <v>4.1100000000000003</v>
          </cell>
          <cell r="AA372">
            <v>0</v>
          </cell>
          <cell r="AB372">
            <v>0</v>
          </cell>
        </row>
        <row r="373">
          <cell r="G373" t="str">
            <v>467_1</v>
          </cell>
          <cell r="H373" t="str">
            <v>as-as</v>
          </cell>
          <cell r="I373" t="str">
            <v>sim</v>
          </cell>
          <cell r="V373" t="str">
            <v>antonym</v>
          </cell>
          <cell r="Y373" t="str">
            <v>Past</v>
          </cell>
          <cell r="Z373">
            <v>4.1100000000000003</v>
          </cell>
          <cell r="AA373">
            <v>0</v>
          </cell>
          <cell r="AB373">
            <v>0</v>
          </cell>
        </row>
        <row r="374">
          <cell r="G374" t="str">
            <v>471_0</v>
          </cell>
          <cell r="H374" t="str">
            <v>as-as</v>
          </cell>
          <cell r="I374" t="str">
            <v>sim</v>
          </cell>
          <cell r="V374" t="str">
            <v>not neg pair</v>
          </cell>
          <cell r="Y374" t="str">
            <v>Pres</v>
          </cell>
          <cell r="Z374">
            <v>4.1100000000000003</v>
          </cell>
          <cell r="AA374">
            <v>0</v>
          </cell>
          <cell r="AB374">
            <v>0</v>
          </cell>
        </row>
        <row r="375">
          <cell r="G375" t="str">
            <v>471_1</v>
          </cell>
          <cell r="H375" t="str">
            <v>as</v>
          </cell>
          <cell r="I375" t="str">
            <v>sim</v>
          </cell>
          <cell r="V375" t="str">
            <v>not neg pair</v>
          </cell>
          <cell r="Y375" t="str">
            <v>Pres</v>
          </cell>
          <cell r="Z375">
            <v>4.1100000000000003</v>
          </cell>
          <cell r="AA375">
            <v>0</v>
          </cell>
          <cell r="AB375">
            <v>0</v>
          </cell>
        </row>
        <row r="376">
          <cell r="G376" t="str">
            <v>474_0</v>
          </cell>
          <cell r="H376" t="str">
            <v>as-as</v>
          </cell>
          <cell r="I376" t="str">
            <v>sim</v>
          </cell>
          <cell r="V376" t="str">
            <v>antonym</v>
          </cell>
          <cell r="Y376" t="str">
            <v>Pres</v>
          </cell>
          <cell r="Z376">
            <v>4.93</v>
          </cell>
          <cell r="AA376" t="str">
            <v>H</v>
          </cell>
          <cell r="AB376">
            <v>0</v>
          </cell>
        </row>
        <row r="377">
          <cell r="G377" t="str">
            <v>474_1</v>
          </cell>
          <cell r="H377" t="str">
            <v>as-as</v>
          </cell>
          <cell r="I377" t="str">
            <v>sim</v>
          </cell>
          <cell r="V377" t="str">
            <v>antonym</v>
          </cell>
          <cell r="Y377" t="str">
            <v>Pres</v>
          </cell>
          <cell r="Z377">
            <v>4.93</v>
          </cell>
          <cell r="AA377" t="str">
            <v>H</v>
          </cell>
          <cell r="AB377">
            <v>0</v>
          </cell>
        </row>
        <row r="378">
          <cell r="G378" t="str">
            <v>475_0</v>
          </cell>
          <cell r="H378" t="str">
            <v>the-of</v>
          </cell>
          <cell r="I378" t="str">
            <v>sim</v>
          </cell>
          <cell r="V378" t="str">
            <v>not neg pair</v>
          </cell>
          <cell r="Y378" t="str">
            <v>Past</v>
          </cell>
          <cell r="Z378">
            <v>4.1100000000000003</v>
          </cell>
          <cell r="AA378">
            <v>0</v>
          </cell>
          <cell r="AB378">
            <v>0</v>
          </cell>
        </row>
        <row r="379">
          <cell r="G379" t="str">
            <v>475_1</v>
          </cell>
          <cell r="H379" t="str">
            <v>the-of</v>
          </cell>
          <cell r="I379" t="str">
            <v>sim</v>
          </cell>
          <cell r="V379" t="str">
            <v>not neg pair</v>
          </cell>
          <cell r="Y379" t="str">
            <v>Past</v>
          </cell>
          <cell r="Z379">
            <v>4.1100000000000003</v>
          </cell>
          <cell r="AA379">
            <v>0</v>
          </cell>
          <cell r="AB379">
            <v>0</v>
          </cell>
        </row>
        <row r="380">
          <cell r="G380" t="str">
            <v>476_0</v>
          </cell>
          <cell r="H380" t="str">
            <v>the-of</v>
          </cell>
          <cell r="I380" t="str">
            <v>sim</v>
          </cell>
          <cell r="V380" t="str">
            <v>not neg pair</v>
          </cell>
          <cell r="Y380" t="str">
            <v>Past</v>
          </cell>
          <cell r="Z380">
            <v>3.74</v>
          </cell>
          <cell r="AA380">
            <v>0</v>
          </cell>
          <cell r="AB380">
            <v>0</v>
          </cell>
        </row>
        <row r="381">
          <cell r="G381" t="str">
            <v>476_1</v>
          </cell>
          <cell r="H381" t="str">
            <v>the-of</v>
          </cell>
          <cell r="I381" t="str">
            <v>sim</v>
          </cell>
          <cell r="V381" t="str">
            <v>not neg pair</v>
          </cell>
          <cell r="Y381" t="str">
            <v>Past</v>
          </cell>
          <cell r="Z381">
            <v>3.74</v>
          </cell>
          <cell r="AA381">
            <v>0</v>
          </cell>
          <cell r="AB381">
            <v>0</v>
          </cell>
        </row>
        <row r="382">
          <cell r="G382" t="str">
            <v>477_0</v>
          </cell>
          <cell r="H382" t="str">
            <v>as-as</v>
          </cell>
          <cell r="I382" t="str">
            <v>sim</v>
          </cell>
          <cell r="V382" t="str">
            <v>not neg pair</v>
          </cell>
          <cell r="Y382" t="str">
            <v>Pres</v>
          </cell>
          <cell r="Z382">
            <v>2.2400000000000002</v>
          </cell>
          <cell r="AA382" t="str">
            <v>L</v>
          </cell>
          <cell r="AB382">
            <v>0</v>
          </cell>
        </row>
        <row r="383">
          <cell r="G383" t="str">
            <v>477_1</v>
          </cell>
          <cell r="H383" t="str">
            <v>as-as</v>
          </cell>
          <cell r="I383" t="str">
            <v>sim</v>
          </cell>
          <cell r="V383" t="str">
            <v>not neg pair</v>
          </cell>
          <cell r="Y383" t="str">
            <v>Past</v>
          </cell>
          <cell r="Z383">
            <v>2.2400000000000002</v>
          </cell>
          <cell r="AA383" t="str">
            <v>L</v>
          </cell>
          <cell r="AB383">
            <v>0</v>
          </cell>
        </row>
        <row r="384">
          <cell r="G384" t="str">
            <v>478_0</v>
          </cell>
          <cell r="H384" t="str">
            <v>the-of</v>
          </cell>
          <cell r="I384" t="str">
            <v>sim</v>
          </cell>
          <cell r="V384" t="str">
            <v>not</v>
          </cell>
          <cell r="Y384" t="str">
            <v>Pres</v>
          </cell>
          <cell r="Z384">
            <v>2.81</v>
          </cell>
          <cell r="AA384">
            <v>0</v>
          </cell>
          <cell r="AB384">
            <v>1</v>
          </cell>
        </row>
        <row r="385">
          <cell r="G385" t="str">
            <v>478_1</v>
          </cell>
          <cell r="H385" t="str">
            <v>the-of</v>
          </cell>
          <cell r="I385" t="str">
            <v>sim</v>
          </cell>
          <cell r="V385" t="str">
            <v>not</v>
          </cell>
          <cell r="Y385" t="str">
            <v>Pres</v>
          </cell>
          <cell r="Z385">
            <v>2.81</v>
          </cell>
          <cell r="AA385">
            <v>0</v>
          </cell>
          <cell r="AB385">
            <v>1</v>
          </cell>
        </row>
        <row r="386">
          <cell r="G386" t="str">
            <v>479_0</v>
          </cell>
          <cell r="H386" t="str">
            <v>the-of</v>
          </cell>
          <cell r="I386" t="str">
            <v>sim</v>
          </cell>
          <cell r="V386" t="str">
            <v>not</v>
          </cell>
          <cell r="Y386" t="str">
            <v>Pres</v>
          </cell>
          <cell r="Z386">
            <v>2.81</v>
          </cell>
          <cell r="AA386">
            <v>0</v>
          </cell>
          <cell r="AB386">
            <v>1</v>
          </cell>
        </row>
        <row r="387">
          <cell r="G387" t="str">
            <v>479_1</v>
          </cell>
          <cell r="H387" t="str">
            <v>the-of</v>
          </cell>
          <cell r="I387" t="str">
            <v>sim</v>
          </cell>
          <cell r="V387" t="str">
            <v>not</v>
          </cell>
          <cell r="Y387" t="str">
            <v>Pres</v>
          </cell>
          <cell r="Z387">
            <v>2.81</v>
          </cell>
          <cell r="AA387">
            <v>0</v>
          </cell>
          <cell r="AB387">
            <v>1</v>
          </cell>
        </row>
        <row r="388">
          <cell r="G388" t="str">
            <v>480_0</v>
          </cell>
          <cell r="H388" t="str">
            <v>the-of</v>
          </cell>
          <cell r="I388" t="str">
            <v>sim</v>
          </cell>
          <cell r="V388" t="str">
            <v>not neg pair</v>
          </cell>
          <cell r="Y388" t="str">
            <v>Past</v>
          </cell>
          <cell r="Z388">
            <v>5</v>
          </cell>
          <cell r="AA388" t="str">
            <v>H</v>
          </cell>
          <cell r="AB388">
            <v>0</v>
          </cell>
        </row>
        <row r="389">
          <cell r="G389" t="str">
            <v>480_1</v>
          </cell>
          <cell r="H389" t="str">
            <v>the-of</v>
          </cell>
          <cell r="I389" t="str">
            <v>sim</v>
          </cell>
          <cell r="V389" t="str">
            <v>not neg pair</v>
          </cell>
          <cell r="Y389" t="str">
            <v>Past</v>
          </cell>
          <cell r="Z389">
            <v>5</v>
          </cell>
          <cell r="AA389" t="str">
            <v>H</v>
          </cell>
          <cell r="AB389">
            <v>0</v>
          </cell>
        </row>
        <row r="390">
          <cell r="G390" t="str">
            <v>481_0</v>
          </cell>
          <cell r="H390" t="str">
            <v/>
          </cell>
          <cell r="I390" t="str">
            <v>met</v>
          </cell>
          <cell r="V390" t="str">
            <v>0</v>
          </cell>
          <cell r="Y390" t="str">
            <v>Past</v>
          </cell>
          <cell r="Z390">
            <v>4.97</v>
          </cell>
          <cell r="AA390" t="str">
            <v>H</v>
          </cell>
          <cell r="AB390">
            <v>0</v>
          </cell>
        </row>
        <row r="391">
          <cell r="G391" t="str">
            <v>481_1</v>
          </cell>
          <cell r="H391" t="str">
            <v/>
          </cell>
          <cell r="I391" t="str">
            <v>met</v>
          </cell>
          <cell r="V391" t="str">
            <v>0</v>
          </cell>
          <cell r="Y391" t="str">
            <v>Past</v>
          </cell>
          <cell r="Z391">
            <v>4.97</v>
          </cell>
          <cell r="AA391" t="str">
            <v>H</v>
          </cell>
          <cell r="AB391">
            <v>0</v>
          </cell>
        </row>
        <row r="392">
          <cell r="G392" t="str">
            <v>483_0</v>
          </cell>
          <cell r="H392" t="str">
            <v/>
          </cell>
          <cell r="I392" t="str">
            <v>met</v>
          </cell>
          <cell r="V392" t="str">
            <v>0</v>
          </cell>
          <cell r="Y392" t="str">
            <v>Past</v>
          </cell>
          <cell r="Z392">
            <v>0</v>
          </cell>
          <cell r="AA392">
            <v>0</v>
          </cell>
          <cell r="AB392">
            <v>0</v>
          </cell>
        </row>
        <row r="393">
          <cell r="G393" t="str">
            <v>483_1</v>
          </cell>
          <cell r="H393" t="str">
            <v/>
          </cell>
          <cell r="I393" t="str">
            <v>met</v>
          </cell>
          <cell r="V393" t="str">
            <v>0</v>
          </cell>
          <cell r="Y393" t="str">
            <v>Past</v>
          </cell>
          <cell r="Z393">
            <v>0</v>
          </cell>
          <cell r="AA393">
            <v>0</v>
          </cell>
          <cell r="AB393">
            <v>0</v>
          </cell>
        </row>
        <row r="394">
          <cell r="G394" t="str">
            <v>489_0</v>
          </cell>
          <cell r="H394" t="str">
            <v>the-of</v>
          </cell>
          <cell r="I394" t="str">
            <v>sim</v>
          </cell>
          <cell r="V394" t="str">
            <v>not neg pair</v>
          </cell>
          <cell r="Y394" t="str">
            <v>Past</v>
          </cell>
          <cell r="Z394">
            <v>4.79</v>
          </cell>
          <cell r="AA394">
            <v>0</v>
          </cell>
          <cell r="AB394">
            <v>0</v>
          </cell>
        </row>
        <row r="395">
          <cell r="G395" t="str">
            <v>489_1</v>
          </cell>
          <cell r="H395" t="str">
            <v>the-of</v>
          </cell>
          <cell r="I395" t="str">
            <v>sim</v>
          </cell>
          <cell r="V395" t="str">
            <v>not neg pair</v>
          </cell>
          <cell r="Y395" t="str">
            <v>Past</v>
          </cell>
          <cell r="Z395">
            <v>4.79</v>
          </cell>
          <cell r="AA395">
            <v>0</v>
          </cell>
          <cell r="AB395">
            <v>0</v>
          </cell>
        </row>
        <row r="396">
          <cell r="G396" t="str">
            <v>490_0</v>
          </cell>
          <cell r="H396" t="str">
            <v/>
          </cell>
          <cell r="I396" t="str">
            <v>met</v>
          </cell>
          <cell r="V396" t="str">
            <v>0</v>
          </cell>
          <cell r="Y396" t="str">
            <v>Past</v>
          </cell>
          <cell r="Z396">
            <v>3.36</v>
          </cell>
          <cell r="AA396">
            <v>0</v>
          </cell>
          <cell r="AB396">
            <v>0</v>
          </cell>
        </row>
        <row r="397">
          <cell r="G397" t="str">
            <v>490_1</v>
          </cell>
          <cell r="H397" t="str">
            <v/>
          </cell>
          <cell r="I397" t="str">
            <v>met</v>
          </cell>
          <cell r="V397" t="str">
            <v>0</v>
          </cell>
          <cell r="Y397" t="str">
            <v>Past</v>
          </cell>
          <cell r="Z397">
            <v>3.36</v>
          </cell>
          <cell r="AA397">
            <v>0</v>
          </cell>
          <cell r="AB397">
            <v>0</v>
          </cell>
        </row>
        <row r="398">
          <cell r="G398" t="str">
            <v>491_0</v>
          </cell>
          <cell r="H398" t="str">
            <v>the-of</v>
          </cell>
          <cell r="I398" t="str">
            <v>sim</v>
          </cell>
          <cell r="V398" t="str">
            <v>not neg pair</v>
          </cell>
          <cell r="Y398" t="str">
            <v>Past</v>
          </cell>
          <cell r="Z398">
            <v>4.1100000000000003</v>
          </cell>
          <cell r="AA398">
            <v>0</v>
          </cell>
          <cell r="AB398">
            <v>0</v>
          </cell>
        </row>
        <row r="399">
          <cell r="G399" t="str">
            <v>491_1</v>
          </cell>
          <cell r="H399" t="str">
            <v>the-of</v>
          </cell>
          <cell r="I399" t="str">
            <v>sim</v>
          </cell>
          <cell r="V399" t="str">
            <v>not neg pair</v>
          </cell>
          <cell r="Y399" t="str">
            <v>Past</v>
          </cell>
          <cell r="Z399">
            <v>4.1100000000000003</v>
          </cell>
          <cell r="AA399">
            <v>0</v>
          </cell>
          <cell r="AB399">
            <v>0</v>
          </cell>
        </row>
        <row r="400">
          <cell r="G400" t="str">
            <v>492_0</v>
          </cell>
          <cell r="H400" t="str">
            <v>the-of</v>
          </cell>
          <cell r="I400" t="str">
            <v>sim</v>
          </cell>
          <cell r="V400" t="str">
            <v>not neg pair</v>
          </cell>
          <cell r="Y400" t="str">
            <v>Past</v>
          </cell>
          <cell r="Z400">
            <v>3.36</v>
          </cell>
          <cell r="AA400">
            <v>0</v>
          </cell>
          <cell r="AB400">
            <v>0</v>
          </cell>
        </row>
        <row r="401">
          <cell r="G401" t="str">
            <v>492_1</v>
          </cell>
          <cell r="H401" t="str">
            <v>the-of</v>
          </cell>
          <cell r="I401" t="str">
            <v>sim</v>
          </cell>
          <cell r="V401" t="str">
            <v>not neg pair</v>
          </cell>
          <cell r="Y401" t="str">
            <v>Past</v>
          </cell>
          <cell r="Z401">
            <v>3.36</v>
          </cell>
          <cell r="AA401">
            <v>0</v>
          </cell>
          <cell r="AB401">
            <v>0</v>
          </cell>
        </row>
        <row r="402">
          <cell r="G402" t="str">
            <v>493_0</v>
          </cell>
          <cell r="H402" t="str">
            <v>as-as</v>
          </cell>
          <cell r="I402" t="str">
            <v>sim</v>
          </cell>
          <cell r="V402" t="str">
            <v>not</v>
          </cell>
          <cell r="Y402" t="str">
            <v>Past</v>
          </cell>
          <cell r="Z402">
            <v>4.59</v>
          </cell>
          <cell r="AA402">
            <v>0</v>
          </cell>
          <cell r="AB402">
            <v>1</v>
          </cell>
        </row>
        <row r="403">
          <cell r="G403" t="str">
            <v>493_1</v>
          </cell>
          <cell r="H403" t="str">
            <v>as-as</v>
          </cell>
          <cell r="I403" t="str">
            <v>sim</v>
          </cell>
          <cell r="V403" t="str">
            <v>not</v>
          </cell>
          <cell r="Y403" t="str">
            <v>Past</v>
          </cell>
          <cell r="Z403">
            <v>4.59</v>
          </cell>
          <cell r="AA403">
            <v>0</v>
          </cell>
          <cell r="AB403">
            <v>1</v>
          </cell>
        </row>
        <row r="404">
          <cell r="G404" t="str">
            <v>494_0</v>
          </cell>
          <cell r="H404" t="str">
            <v>as-as</v>
          </cell>
          <cell r="I404" t="str">
            <v>sim</v>
          </cell>
          <cell r="V404" t="str">
            <v>not</v>
          </cell>
          <cell r="Y404" t="str">
            <v>Past</v>
          </cell>
          <cell r="Z404">
            <v>4.8499999999999996</v>
          </cell>
          <cell r="AA404">
            <v>0</v>
          </cell>
          <cell r="AB404">
            <v>1</v>
          </cell>
        </row>
        <row r="405">
          <cell r="G405" t="str">
            <v>494_1</v>
          </cell>
          <cell r="H405" t="str">
            <v>as-as</v>
          </cell>
          <cell r="I405" t="str">
            <v>sim</v>
          </cell>
          <cell r="V405" t="str">
            <v>not</v>
          </cell>
          <cell r="Y405" t="str">
            <v>Past</v>
          </cell>
          <cell r="Z405">
            <v>4.8499999999999996</v>
          </cell>
          <cell r="AA405">
            <v>0</v>
          </cell>
          <cell r="AB405">
            <v>1</v>
          </cell>
        </row>
        <row r="406">
          <cell r="G406" t="str">
            <v>495_0</v>
          </cell>
          <cell r="H406" t="str">
            <v>as-as</v>
          </cell>
          <cell r="I406" t="str">
            <v>sim</v>
          </cell>
          <cell r="V406" t="str">
            <v>not neg pair</v>
          </cell>
          <cell r="Y406" t="str">
            <v>Past</v>
          </cell>
          <cell r="Z406">
            <v>3.07</v>
          </cell>
          <cell r="AA406">
            <v>0</v>
          </cell>
          <cell r="AB406">
            <v>0</v>
          </cell>
        </row>
        <row r="407">
          <cell r="G407" t="str">
            <v>495_1</v>
          </cell>
          <cell r="H407" t="str">
            <v>as-as</v>
          </cell>
          <cell r="I407" t="str">
            <v>sim</v>
          </cell>
          <cell r="V407" t="str">
            <v>not neg pair</v>
          </cell>
          <cell r="Y407" t="str">
            <v>Past</v>
          </cell>
          <cell r="Z407">
            <v>3.07</v>
          </cell>
          <cell r="AA407">
            <v>0</v>
          </cell>
          <cell r="AB407">
            <v>0</v>
          </cell>
        </row>
        <row r="408">
          <cell r="G408" t="str">
            <v>497_0</v>
          </cell>
          <cell r="H408" t="str">
            <v/>
          </cell>
          <cell r="I408" t="str">
            <v>met</v>
          </cell>
          <cell r="V408" t="str">
            <v>0</v>
          </cell>
          <cell r="Y408" t="str">
            <v>Past</v>
          </cell>
          <cell r="Z408">
            <v>0</v>
          </cell>
          <cell r="AA408">
            <v>0</v>
          </cell>
          <cell r="AB408">
            <v>0</v>
          </cell>
        </row>
        <row r="409">
          <cell r="G409" t="str">
            <v>497_1</v>
          </cell>
          <cell r="H409" t="str">
            <v/>
          </cell>
          <cell r="I409" t="str">
            <v>met</v>
          </cell>
          <cell r="V409" t="str">
            <v>0</v>
          </cell>
          <cell r="Y409" t="str">
            <v>Past</v>
          </cell>
          <cell r="Z409">
            <v>3.31</v>
          </cell>
          <cell r="AA409">
            <v>0</v>
          </cell>
          <cell r="AB409">
            <v>0</v>
          </cell>
        </row>
        <row r="410">
          <cell r="G410" t="str">
            <v>499_0</v>
          </cell>
          <cell r="H410" t="str">
            <v>the-of</v>
          </cell>
          <cell r="I410" t="str">
            <v>sim</v>
          </cell>
          <cell r="V410" t="str">
            <v>not</v>
          </cell>
          <cell r="Y410" t="str">
            <v>Past</v>
          </cell>
          <cell r="Z410">
            <v>3.93</v>
          </cell>
          <cell r="AA410">
            <v>0</v>
          </cell>
          <cell r="AB410">
            <v>0</v>
          </cell>
        </row>
        <row r="411">
          <cell r="G411" t="str">
            <v>499_1</v>
          </cell>
          <cell r="H411" t="str">
            <v>the-of</v>
          </cell>
          <cell r="I411" t="str">
            <v>sim</v>
          </cell>
          <cell r="V411" t="str">
            <v>not</v>
          </cell>
          <cell r="Y411" t="str">
            <v>Past</v>
          </cell>
          <cell r="Z411">
            <v>3.93</v>
          </cell>
          <cell r="AA411">
            <v>0</v>
          </cell>
          <cell r="AB411">
            <v>0</v>
          </cell>
        </row>
        <row r="412">
          <cell r="G412" t="str">
            <v>500_0</v>
          </cell>
          <cell r="H412" t="str">
            <v>the-of</v>
          </cell>
          <cell r="I412" t="str">
            <v>sim</v>
          </cell>
          <cell r="V412" t="str">
            <v>not</v>
          </cell>
          <cell r="Y412" t="str">
            <v>Pres</v>
          </cell>
          <cell r="Z412">
            <v>2.5099999999999998</v>
          </cell>
          <cell r="AA412" t="str">
            <v>L</v>
          </cell>
          <cell r="AB412">
            <v>1</v>
          </cell>
        </row>
        <row r="413">
          <cell r="G413" t="str">
            <v>500_1</v>
          </cell>
          <cell r="H413" t="str">
            <v>the-of</v>
          </cell>
          <cell r="I413" t="str">
            <v>sim</v>
          </cell>
          <cell r="V413" t="str">
            <v>not</v>
          </cell>
          <cell r="Y413" t="str">
            <v>Pres</v>
          </cell>
          <cell r="Z413">
            <v>2.5099999999999998</v>
          </cell>
          <cell r="AA413" t="str">
            <v>L</v>
          </cell>
          <cell r="AB413">
            <v>1</v>
          </cell>
        </row>
        <row r="414">
          <cell r="G414" t="str">
            <v>501_0</v>
          </cell>
          <cell r="H414" t="str">
            <v/>
          </cell>
          <cell r="I414" t="str">
            <v>met</v>
          </cell>
          <cell r="V414" t="str">
            <v>0</v>
          </cell>
          <cell r="Y414" t="str">
            <v>Past</v>
          </cell>
          <cell r="Z414">
            <v>2.8</v>
          </cell>
          <cell r="AA414" t="str">
            <v>L</v>
          </cell>
          <cell r="AB414">
            <v>0</v>
          </cell>
        </row>
        <row r="415">
          <cell r="G415" t="str">
            <v>501_1</v>
          </cell>
          <cell r="H415" t="str">
            <v/>
          </cell>
          <cell r="I415" t="str">
            <v>met</v>
          </cell>
          <cell r="V415" t="str">
            <v>0</v>
          </cell>
          <cell r="Y415" t="str">
            <v>Past</v>
          </cell>
          <cell r="Z415">
            <v>2.8</v>
          </cell>
          <cell r="AA415" t="str">
            <v>L</v>
          </cell>
          <cell r="AB415">
            <v>0</v>
          </cell>
        </row>
        <row r="416">
          <cell r="G416" t="str">
            <v>507_0</v>
          </cell>
          <cell r="H416" t="str">
            <v>as-as</v>
          </cell>
          <cell r="I416" t="str">
            <v>sim</v>
          </cell>
          <cell r="V416" t="str">
            <v>not neg pair</v>
          </cell>
          <cell r="Y416" t="str">
            <v>Past</v>
          </cell>
          <cell r="Z416">
            <v>5</v>
          </cell>
          <cell r="AA416" t="str">
            <v>H</v>
          </cell>
          <cell r="AB416">
            <v>0</v>
          </cell>
        </row>
        <row r="417">
          <cell r="G417" t="str">
            <v>507_1</v>
          </cell>
          <cell r="H417" t="str">
            <v>as-as</v>
          </cell>
          <cell r="I417" t="str">
            <v>sim</v>
          </cell>
          <cell r="V417" t="str">
            <v>not neg pair</v>
          </cell>
          <cell r="Y417" t="str">
            <v>Past</v>
          </cell>
          <cell r="Z417">
            <v>5</v>
          </cell>
          <cell r="AA417" t="str">
            <v>H</v>
          </cell>
          <cell r="AB417">
            <v>0</v>
          </cell>
        </row>
        <row r="418">
          <cell r="G418" t="str">
            <v>510_0</v>
          </cell>
          <cell r="H418" t="str">
            <v>as-as</v>
          </cell>
          <cell r="I418" t="str">
            <v>sim</v>
          </cell>
          <cell r="V418" t="str">
            <v>not neg pair</v>
          </cell>
          <cell r="Y418" t="str">
            <v>Past</v>
          </cell>
          <cell r="Z418">
            <v>3.37</v>
          </cell>
          <cell r="AA418">
            <v>0</v>
          </cell>
          <cell r="AB418">
            <v>0</v>
          </cell>
        </row>
        <row r="419">
          <cell r="G419" t="str">
            <v>510_1</v>
          </cell>
          <cell r="H419" t="str">
            <v>as-as</v>
          </cell>
          <cell r="I419" t="str">
            <v>sim</v>
          </cell>
          <cell r="V419" t="str">
            <v>not neg pair</v>
          </cell>
          <cell r="Y419" t="str">
            <v>Past</v>
          </cell>
          <cell r="Z419">
            <v>3.37</v>
          </cell>
          <cell r="AA419">
            <v>0</v>
          </cell>
          <cell r="AB419">
            <v>0</v>
          </cell>
        </row>
        <row r="420">
          <cell r="G420" t="str">
            <v>514_0</v>
          </cell>
          <cell r="H420" t="str">
            <v>as-as</v>
          </cell>
          <cell r="I420" t="str">
            <v>sim</v>
          </cell>
          <cell r="V420" t="str">
            <v>not neg pair</v>
          </cell>
          <cell r="Y420" t="str">
            <v>Pres</v>
          </cell>
          <cell r="Z420">
            <v>3.36</v>
          </cell>
          <cell r="AA420">
            <v>0</v>
          </cell>
          <cell r="AB420">
            <v>0</v>
          </cell>
        </row>
        <row r="421">
          <cell r="G421" t="str">
            <v>514_1</v>
          </cell>
          <cell r="H421" t="str">
            <v>as-as</v>
          </cell>
          <cell r="I421" t="str">
            <v>sim</v>
          </cell>
          <cell r="V421" t="str">
            <v>not neg pair</v>
          </cell>
          <cell r="Y421" t="str">
            <v>Pres</v>
          </cell>
          <cell r="Z421">
            <v>3.36</v>
          </cell>
          <cell r="AA421">
            <v>0</v>
          </cell>
          <cell r="AB421">
            <v>0</v>
          </cell>
        </row>
        <row r="422">
          <cell r="G422" t="str">
            <v>516_0</v>
          </cell>
          <cell r="H422" t="str">
            <v>as-as</v>
          </cell>
          <cell r="I422" t="str">
            <v>sim</v>
          </cell>
          <cell r="V422" t="str">
            <v>not neg pair</v>
          </cell>
          <cell r="Y422" t="str">
            <v>Pres</v>
          </cell>
          <cell r="Z422">
            <v>2.81</v>
          </cell>
          <cell r="AA422">
            <v>0</v>
          </cell>
          <cell r="AB422">
            <v>0</v>
          </cell>
        </row>
        <row r="423">
          <cell r="G423" t="str">
            <v>516_1</v>
          </cell>
          <cell r="H423" t="str">
            <v>as-as</v>
          </cell>
          <cell r="I423" t="str">
            <v>sim</v>
          </cell>
          <cell r="V423" t="str">
            <v>not neg pair</v>
          </cell>
          <cell r="Y423" t="str">
            <v>Pres</v>
          </cell>
          <cell r="Z423">
            <v>2.81</v>
          </cell>
          <cell r="AA423">
            <v>0</v>
          </cell>
          <cell r="AB423">
            <v>0</v>
          </cell>
        </row>
        <row r="424">
          <cell r="G424" t="str">
            <v>517_0</v>
          </cell>
          <cell r="H424" t="str">
            <v>as-as</v>
          </cell>
          <cell r="I424" t="str">
            <v>sim</v>
          </cell>
          <cell r="V424" t="str">
            <v>not</v>
          </cell>
          <cell r="Y424" t="str">
            <v>Past</v>
          </cell>
          <cell r="Z424">
            <v>5</v>
          </cell>
          <cell r="AA424" t="str">
            <v>H</v>
          </cell>
          <cell r="AB424">
            <v>1</v>
          </cell>
        </row>
        <row r="425">
          <cell r="G425" t="str">
            <v>517_1</v>
          </cell>
          <cell r="H425" t="str">
            <v>as-as</v>
          </cell>
          <cell r="I425" t="str">
            <v>sim</v>
          </cell>
          <cell r="V425" t="str">
            <v>not</v>
          </cell>
          <cell r="Y425" t="str">
            <v>Past</v>
          </cell>
          <cell r="Z425">
            <v>5</v>
          </cell>
          <cell r="AA425" t="str">
            <v>H</v>
          </cell>
          <cell r="AB425">
            <v>1</v>
          </cell>
        </row>
        <row r="426">
          <cell r="G426" t="str">
            <v>518_0</v>
          </cell>
          <cell r="H426" t="str">
            <v>as-as</v>
          </cell>
          <cell r="I426" t="str">
            <v>sim</v>
          </cell>
          <cell r="V426" t="str">
            <v>not</v>
          </cell>
          <cell r="Y426" t="str">
            <v>Pres</v>
          </cell>
          <cell r="Z426">
            <v>5</v>
          </cell>
          <cell r="AA426" t="str">
            <v>H</v>
          </cell>
          <cell r="AB426">
            <v>1</v>
          </cell>
        </row>
        <row r="427">
          <cell r="G427" t="str">
            <v>518_1</v>
          </cell>
          <cell r="H427" t="str">
            <v>as-as</v>
          </cell>
          <cell r="I427" t="str">
            <v>sim</v>
          </cell>
          <cell r="V427" t="str">
            <v>not</v>
          </cell>
          <cell r="Y427" t="str">
            <v>Pres</v>
          </cell>
          <cell r="Z427">
            <v>5</v>
          </cell>
          <cell r="AA427" t="str">
            <v>H</v>
          </cell>
          <cell r="AB427">
            <v>1</v>
          </cell>
        </row>
        <row r="428">
          <cell r="G428" t="str">
            <v>519_0</v>
          </cell>
          <cell r="H428" t="str">
            <v>as-as</v>
          </cell>
          <cell r="I428" t="str">
            <v>sim</v>
          </cell>
          <cell r="V428" t="str">
            <v>not</v>
          </cell>
          <cell r="Y428" t="str">
            <v>Past</v>
          </cell>
          <cell r="Z428">
            <v>4.9000000000000004</v>
          </cell>
          <cell r="AA428" t="str">
            <v>H</v>
          </cell>
          <cell r="AB428">
            <v>1</v>
          </cell>
        </row>
        <row r="429">
          <cell r="G429" t="str">
            <v>519_1</v>
          </cell>
          <cell r="H429" t="str">
            <v>as-as</v>
          </cell>
          <cell r="I429" t="str">
            <v>sim</v>
          </cell>
          <cell r="V429" t="str">
            <v>not</v>
          </cell>
          <cell r="Y429" t="str">
            <v>Past</v>
          </cell>
          <cell r="Z429">
            <v>4.9000000000000004</v>
          </cell>
          <cell r="AA429" t="str">
            <v>H</v>
          </cell>
          <cell r="AB429">
            <v>1</v>
          </cell>
        </row>
        <row r="430">
          <cell r="G430" t="str">
            <v>522_0</v>
          </cell>
          <cell r="H430" t="str">
            <v/>
          </cell>
          <cell r="I430" t="str">
            <v>met</v>
          </cell>
          <cell r="V430" t="str">
            <v>0</v>
          </cell>
          <cell r="Y430" t="str">
            <v>Past</v>
          </cell>
          <cell r="Z430">
            <v>4.5</v>
          </cell>
          <cell r="AA430">
            <v>0</v>
          </cell>
          <cell r="AB430">
            <v>0</v>
          </cell>
        </row>
        <row r="431">
          <cell r="G431" t="str">
            <v>522_1</v>
          </cell>
          <cell r="H431" t="str">
            <v>as-as</v>
          </cell>
          <cell r="I431" t="str">
            <v>sim</v>
          </cell>
          <cell r="V431" t="str">
            <v>0</v>
          </cell>
          <cell r="Y431" t="str">
            <v>Past</v>
          </cell>
          <cell r="Z431">
            <v>4.5</v>
          </cell>
          <cell r="AA431">
            <v>0</v>
          </cell>
          <cell r="AB431">
            <v>0</v>
          </cell>
        </row>
        <row r="432">
          <cell r="G432" t="str">
            <v>528_0</v>
          </cell>
          <cell r="H432" t="str">
            <v>as-as</v>
          </cell>
          <cell r="I432" t="str">
            <v>sim</v>
          </cell>
          <cell r="V432" t="str">
            <v>antonym</v>
          </cell>
          <cell r="Y432" t="str">
            <v>Past</v>
          </cell>
          <cell r="Z432">
            <v>4.5</v>
          </cell>
          <cell r="AA432">
            <v>0</v>
          </cell>
          <cell r="AB432">
            <v>0</v>
          </cell>
        </row>
        <row r="433">
          <cell r="G433" t="str">
            <v>528_1</v>
          </cell>
          <cell r="H433" t="str">
            <v>as-as</v>
          </cell>
          <cell r="I433" t="str">
            <v>sim</v>
          </cell>
          <cell r="V433" t="str">
            <v>antonym</v>
          </cell>
          <cell r="Y433" t="str">
            <v>Past</v>
          </cell>
          <cell r="Z433">
            <v>4.5</v>
          </cell>
          <cell r="AA433">
            <v>0</v>
          </cell>
          <cell r="AB433">
            <v>0</v>
          </cell>
        </row>
        <row r="434">
          <cell r="G434" t="str">
            <v>530_0</v>
          </cell>
          <cell r="H434" t="str">
            <v>as-as</v>
          </cell>
          <cell r="I434" t="str">
            <v>sim</v>
          </cell>
          <cell r="V434" t="str">
            <v>not neg pair</v>
          </cell>
          <cell r="Y434" t="str">
            <v>Pres</v>
          </cell>
          <cell r="Z434">
            <v>3.93</v>
          </cell>
          <cell r="AA434">
            <v>0</v>
          </cell>
          <cell r="AB434">
            <v>0</v>
          </cell>
        </row>
        <row r="435">
          <cell r="G435" t="str">
            <v>530_1</v>
          </cell>
          <cell r="H435" t="str">
            <v>as-as</v>
          </cell>
          <cell r="I435" t="str">
            <v>sim</v>
          </cell>
          <cell r="V435" t="str">
            <v>not neg pair</v>
          </cell>
          <cell r="Y435" t="str">
            <v>Pres</v>
          </cell>
          <cell r="Z435">
            <v>3.93</v>
          </cell>
          <cell r="AA435">
            <v>0</v>
          </cell>
          <cell r="AB435">
            <v>0</v>
          </cell>
        </row>
        <row r="436">
          <cell r="G436" t="str">
            <v>533_0</v>
          </cell>
          <cell r="H436" t="str">
            <v>the-of</v>
          </cell>
          <cell r="I436" t="str">
            <v>sim</v>
          </cell>
          <cell r="V436" t="str">
            <v>not neg pair</v>
          </cell>
          <cell r="Y436" t="str">
            <v>Pres</v>
          </cell>
          <cell r="Z436">
            <v>4.96</v>
          </cell>
          <cell r="AA436" t="str">
            <v>H</v>
          </cell>
          <cell r="AB436">
            <v>0</v>
          </cell>
        </row>
        <row r="437">
          <cell r="G437" t="str">
            <v>533_1</v>
          </cell>
          <cell r="H437" t="str">
            <v>the-of</v>
          </cell>
          <cell r="I437" t="str">
            <v>sim</v>
          </cell>
          <cell r="V437" t="str">
            <v>not neg pair</v>
          </cell>
          <cell r="Y437" t="str">
            <v>Pres</v>
          </cell>
          <cell r="Z437">
            <v>4.96</v>
          </cell>
          <cell r="AA437" t="str">
            <v>H</v>
          </cell>
          <cell r="AB437">
            <v>0</v>
          </cell>
        </row>
        <row r="438">
          <cell r="G438" t="str">
            <v>534_0</v>
          </cell>
          <cell r="H438" t="str">
            <v>the-of</v>
          </cell>
          <cell r="I438" t="str">
            <v>sim</v>
          </cell>
          <cell r="V438" t="str">
            <v>not neg pair</v>
          </cell>
          <cell r="Y438" t="str">
            <v>Pres</v>
          </cell>
          <cell r="Z438">
            <v>4.93</v>
          </cell>
          <cell r="AA438" t="str">
            <v>H</v>
          </cell>
          <cell r="AB438">
            <v>0</v>
          </cell>
        </row>
        <row r="439">
          <cell r="G439" t="str">
            <v>534_1</v>
          </cell>
          <cell r="H439" t="str">
            <v>the-of</v>
          </cell>
          <cell r="I439" t="str">
            <v>sim</v>
          </cell>
          <cell r="V439" t="str">
            <v>not neg pair</v>
          </cell>
          <cell r="Y439" t="str">
            <v>Pres</v>
          </cell>
          <cell r="Z439">
            <v>4.93</v>
          </cell>
          <cell r="AA439" t="str">
            <v>H</v>
          </cell>
          <cell r="AB439">
            <v>0</v>
          </cell>
        </row>
        <row r="440">
          <cell r="G440" t="str">
            <v>536_0</v>
          </cell>
          <cell r="H440" t="str">
            <v>the-of</v>
          </cell>
          <cell r="I440" t="str">
            <v>sim</v>
          </cell>
          <cell r="V440" t="str">
            <v>not neg pair</v>
          </cell>
          <cell r="Y440" t="str">
            <v>Pres</v>
          </cell>
          <cell r="Z440">
            <v>4.21</v>
          </cell>
          <cell r="AA440">
            <v>0</v>
          </cell>
          <cell r="AB440">
            <v>0</v>
          </cell>
        </row>
        <row r="441">
          <cell r="G441" t="str">
            <v>536_1</v>
          </cell>
          <cell r="H441" t="str">
            <v>the-of</v>
          </cell>
          <cell r="I441" t="str">
            <v>sim</v>
          </cell>
          <cell r="V441" t="str">
            <v>not neg pair</v>
          </cell>
          <cell r="Y441" t="str">
            <v>Pres</v>
          </cell>
          <cell r="Z441">
            <v>4.21</v>
          </cell>
          <cell r="AA441">
            <v>0</v>
          </cell>
          <cell r="AB441">
            <v>0</v>
          </cell>
        </row>
        <row r="442">
          <cell r="G442" t="str">
            <v>538_0</v>
          </cell>
          <cell r="H442" t="str">
            <v>the-of</v>
          </cell>
          <cell r="I442" t="str">
            <v>sim</v>
          </cell>
          <cell r="V442" t="str">
            <v>not neg pair</v>
          </cell>
          <cell r="Y442" t="str">
            <v>Pres</v>
          </cell>
          <cell r="Z442">
            <v>4.6399999999999997</v>
          </cell>
          <cell r="AA442">
            <v>0</v>
          </cell>
          <cell r="AB442">
            <v>0</v>
          </cell>
        </row>
        <row r="443">
          <cell r="G443" t="str">
            <v>538_1</v>
          </cell>
          <cell r="H443" t="str">
            <v>the-of</v>
          </cell>
          <cell r="I443" t="str">
            <v>sim</v>
          </cell>
          <cell r="V443" t="str">
            <v>not neg pair</v>
          </cell>
          <cell r="Y443" t="str">
            <v>Pres</v>
          </cell>
          <cell r="Z443">
            <v>4.6399999999999997</v>
          </cell>
          <cell r="AA443">
            <v>0</v>
          </cell>
          <cell r="AB443">
            <v>0</v>
          </cell>
        </row>
        <row r="444">
          <cell r="G444" t="str">
            <v>544_0</v>
          </cell>
          <cell r="H444" t="str">
            <v>the-of</v>
          </cell>
          <cell r="I444" t="str">
            <v>sim</v>
          </cell>
          <cell r="V444" t="str">
            <v>not neg pair</v>
          </cell>
          <cell r="Y444" t="str">
            <v>Past</v>
          </cell>
          <cell r="Z444">
            <v>3.93</v>
          </cell>
          <cell r="AA444">
            <v>0</v>
          </cell>
          <cell r="AB444">
            <v>0</v>
          </cell>
        </row>
        <row r="445">
          <cell r="G445" t="str">
            <v>544_1</v>
          </cell>
          <cell r="H445" t="str">
            <v>the-of</v>
          </cell>
          <cell r="I445" t="str">
            <v>sim</v>
          </cell>
          <cell r="V445" t="str">
            <v>not neg pair</v>
          </cell>
          <cell r="Y445" t="str">
            <v>Past</v>
          </cell>
          <cell r="Z445">
            <v>3.93</v>
          </cell>
          <cell r="AA445">
            <v>0</v>
          </cell>
          <cell r="AB445">
            <v>0</v>
          </cell>
        </row>
        <row r="446">
          <cell r="G446" t="str">
            <v>545_0</v>
          </cell>
          <cell r="H446" t="str">
            <v>as-as</v>
          </cell>
          <cell r="I446" t="str">
            <v>sim</v>
          </cell>
          <cell r="V446" t="str">
            <v>antonym</v>
          </cell>
          <cell r="Y446" t="str">
            <v>Past</v>
          </cell>
          <cell r="Z446">
            <v>3.93</v>
          </cell>
          <cell r="AA446">
            <v>0</v>
          </cell>
          <cell r="AB446">
            <v>0</v>
          </cell>
        </row>
        <row r="447">
          <cell r="G447" t="str">
            <v>545_1</v>
          </cell>
          <cell r="H447" t="str">
            <v>as-as</v>
          </cell>
          <cell r="I447" t="str">
            <v>sim</v>
          </cell>
          <cell r="V447" t="str">
            <v>antonym</v>
          </cell>
          <cell r="Y447" t="str">
            <v>Past</v>
          </cell>
          <cell r="Z447">
            <v>3.93</v>
          </cell>
          <cell r="AA447">
            <v>0</v>
          </cell>
          <cell r="AB447">
            <v>0</v>
          </cell>
        </row>
        <row r="448">
          <cell r="G448" t="str">
            <v>551_0</v>
          </cell>
          <cell r="H448" t="str">
            <v/>
          </cell>
          <cell r="I448" t="str">
            <v>met</v>
          </cell>
          <cell r="V448" t="str">
            <v>0</v>
          </cell>
          <cell r="Y448" t="str">
            <v>Pres</v>
          </cell>
          <cell r="Z448">
            <v>3.79</v>
          </cell>
          <cell r="AA448">
            <v>0</v>
          </cell>
          <cell r="AB448">
            <v>0</v>
          </cell>
        </row>
        <row r="449">
          <cell r="G449" t="str">
            <v>551_1</v>
          </cell>
          <cell r="H449" t="str">
            <v/>
          </cell>
          <cell r="I449" t="str">
            <v>met</v>
          </cell>
          <cell r="V449" t="str">
            <v>0</v>
          </cell>
          <cell r="Y449" t="str">
            <v>Pres</v>
          </cell>
          <cell r="Z449">
            <v>3.79</v>
          </cell>
          <cell r="AA449">
            <v>0</v>
          </cell>
          <cell r="AB449">
            <v>0</v>
          </cell>
        </row>
        <row r="450">
          <cell r="G450" t="str">
            <v>553_0</v>
          </cell>
          <cell r="H450" t="str">
            <v/>
          </cell>
          <cell r="I450" t="str">
            <v>met</v>
          </cell>
          <cell r="V450" t="str">
            <v>0</v>
          </cell>
          <cell r="Y450" t="str">
            <v>Past</v>
          </cell>
          <cell r="Z450">
            <v>3.93</v>
          </cell>
          <cell r="AA450">
            <v>0</v>
          </cell>
          <cell r="AB450">
            <v>0</v>
          </cell>
        </row>
        <row r="451">
          <cell r="G451" t="str">
            <v>553_1</v>
          </cell>
          <cell r="H451" t="str">
            <v/>
          </cell>
          <cell r="I451" t="str">
            <v>met</v>
          </cell>
          <cell r="V451" t="str">
            <v>0</v>
          </cell>
          <cell r="Y451" t="str">
            <v>Past</v>
          </cell>
          <cell r="Z451">
            <v>3.93</v>
          </cell>
          <cell r="AA451">
            <v>0</v>
          </cell>
          <cell r="AB451">
            <v>0</v>
          </cell>
        </row>
        <row r="452">
          <cell r="G452" t="str">
            <v>555_0</v>
          </cell>
          <cell r="H452" t="str">
            <v>as-as</v>
          </cell>
          <cell r="I452" t="str">
            <v>sim</v>
          </cell>
          <cell r="V452" t="str">
            <v>antonym</v>
          </cell>
          <cell r="Y452" t="str">
            <v>Past</v>
          </cell>
          <cell r="Z452">
            <v>3.36</v>
          </cell>
          <cell r="AA452">
            <v>0</v>
          </cell>
          <cell r="AB452">
            <v>0</v>
          </cell>
        </row>
        <row r="453">
          <cell r="G453" t="str">
            <v>555_1</v>
          </cell>
          <cell r="H453" t="str">
            <v>as-as</v>
          </cell>
          <cell r="I453" t="str">
            <v>sim</v>
          </cell>
          <cell r="V453" t="str">
            <v>antonym</v>
          </cell>
          <cell r="Y453" t="str">
            <v>Past</v>
          </cell>
          <cell r="Z453">
            <v>3.36</v>
          </cell>
          <cell r="AA453">
            <v>0</v>
          </cell>
          <cell r="AB453">
            <v>0</v>
          </cell>
        </row>
        <row r="454">
          <cell r="G454" t="str">
            <v>556_0</v>
          </cell>
          <cell r="H454" t="str">
            <v>as-as</v>
          </cell>
          <cell r="I454" t="str">
            <v>sim</v>
          </cell>
          <cell r="V454" t="str">
            <v>not</v>
          </cell>
          <cell r="Y454" t="str">
            <v>Past</v>
          </cell>
          <cell r="Z454">
            <v>3.63</v>
          </cell>
          <cell r="AA454">
            <v>0</v>
          </cell>
          <cell r="AB454">
            <v>1</v>
          </cell>
        </row>
        <row r="455">
          <cell r="G455" t="str">
            <v>556_1</v>
          </cell>
          <cell r="H455" t="str">
            <v>as-as</v>
          </cell>
          <cell r="I455" t="str">
            <v>sim</v>
          </cell>
          <cell r="V455" t="str">
            <v>not</v>
          </cell>
          <cell r="Y455" t="str">
            <v>Past</v>
          </cell>
          <cell r="Z455">
            <v>3.63</v>
          </cell>
          <cell r="AA455">
            <v>0</v>
          </cell>
          <cell r="AB455">
            <v>1</v>
          </cell>
        </row>
        <row r="456">
          <cell r="G456" t="str">
            <v>557_0</v>
          </cell>
          <cell r="H456" t="str">
            <v>as-as</v>
          </cell>
          <cell r="I456" t="str">
            <v>sim</v>
          </cell>
          <cell r="V456" t="str">
            <v>not</v>
          </cell>
          <cell r="Y456" t="str">
            <v>Past</v>
          </cell>
          <cell r="Z456">
            <v>4.21</v>
          </cell>
          <cell r="AA456">
            <v>0</v>
          </cell>
          <cell r="AB456">
            <v>1</v>
          </cell>
        </row>
        <row r="457">
          <cell r="G457" t="str">
            <v>557_1</v>
          </cell>
          <cell r="H457" t="str">
            <v>as-as</v>
          </cell>
          <cell r="I457" t="str">
            <v>sim</v>
          </cell>
          <cell r="V457" t="str">
            <v>not</v>
          </cell>
          <cell r="Y457" t="str">
            <v>Past</v>
          </cell>
          <cell r="Z457">
            <v>4.21</v>
          </cell>
          <cell r="AA457">
            <v>0</v>
          </cell>
          <cell r="AB457">
            <v>1</v>
          </cell>
        </row>
        <row r="458">
          <cell r="G458" t="str">
            <v>561_0</v>
          </cell>
          <cell r="H458" t="str">
            <v>as</v>
          </cell>
          <cell r="I458" t="str">
            <v>sim</v>
          </cell>
          <cell r="V458" t="str">
            <v>not neg pair</v>
          </cell>
          <cell r="Y458" t="str">
            <v>Past</v>
          </cell>
          <cell r="Z458">
            <v>4.1399999999999997</v>
          </cell>
          <cell r="AA458">
            <v>0</v>
          </cell>
          <cell r="AB458">
            <v>0</v>
          </cell>
        </row>
        <row r="459">
          <cell r="G459" t="str">
            <v>561_1</v>
          </cell>
          <cell r="H459" t="str">
            <v>as-as</v>
          </cell>
          <cell r="I459" t="str">
            <v>sim</v>
          </cell>
          <cell r="V459" t="str">
            <v>not neg pair</v>
          </cell>
          <cell r="Y459" t="str">
            <v>Past</v>
          </cell>
          <cell r="Z459">
            <v>2.85</v>
          </cell>
          <cell r="AA459">
            <v>0</v>
          </cell>
          <cell r="AB459">
            <v>0</v>
          </cell>
        </row>
        <row r="460">
          <cell r="G460" t="str">
            <v>562_0</v>
          </cell>
          <cell r="H460" t="str">
            <v>as-as</v>
          </cell>
          <cell r="I460" t="str">
            <v>sim</v>
          </cell>
          <cell r="V460" t="str">
            <v>0</v>
          </cell>
          <cell r="Y460" t="str">
            <v>Past</v>
          </cell>
          <cell r="Z460">
            <v>3</v>
          </cell>
          <cell r="AA460">
            <v>0</v>
          </cell>
          <cell r="AB460">
            <v>0</v>
          </cell>
        </row>
        <row r="461">
          <cell r="G461" t="str">
            <v>562_1</v>
          </cell>
          <cell r="H461" t="str">
            <v/>
          </cell>
          <cell r="I461" t="str">
            <v>met</v>
          </cell>
          <cell r="V461" t="str">
            <v>0</v>
          </cell>
          <cell r="Y461" t="str">
            <v>Past</v>
          </cell>
          <cell r="Z461">
            <v>3</v>
          </cell>
          <cell r="AA461">
            <v>0</v>
          </cell>
          <cell r="AB461">
            <v>0</v>
          </cell>
        </row>
        <row r="462">
          <cell r="G462" t="str">
            <v>563_0</v>
          </cell>
          <cell r="H462" t="str">
            <v>as-as</v>
          </cell>
          <cell r="I462" t="str">
            <v>sim</v>
          </cell>
          <cell r="V462" t="str">
            <v>0</v>
          </cell>
          <cell r="Y462" t="str">
            <v>Pres</v>
          </cell>
          <cell r="Z462">
            <v>2.4500000000000002</v>
          </cell>
          <cell r="AA462" t="str">
            <v>L</v>
          </cell>
          <cell r="AB462">
            <v>0</v>
          </cell>
        </row>
        <row r="463">
          <cell r="G463" t="str">
            <v>563_1</v>
          </cell>
          <cell r="H463" t="str">
            <v/>
          </cell>
          <cell r="I463" t="str">
            <v>met</v>
          </cell>
          <cell r="V463" t="str">
            <v>0</v>
          </cell>
          <cell r="Y463" t="str">
            <v>Pres</v>
          </cell>
          <cell r="Z463">
            <v>2.4500000000000002</v>
          </cell>
          <cell r="AA463" t="str">
            <v>L</v>
          </cell>
          <cell r="AB463">
            <v>0</v>
          </cell>
        </row>
        <row r="464">
          <cell r="G464" t="str">
            <v>566_0</v>
          </cell>
          <cell r="H464" t="str">
            <v>like</v>
          </cell>
          <cell r="I464" t="str">
            <v>sim</v>
          </cell>
          <cell r="V464" t="str">
            <v>not neg pair</v>
          </cell>
          <cell r="Y464" t="str">
            <v>Past</v>
          </cell>
          <cell r="Z464">
            <v>3.36</v>
          </cell>
          <cell r="AA464">
            <v>0</v>
          </cell>
          <cell r="AB464">
            <v>0</v>
          </cell>
        </row>
        <row r="465">
          <cell r="G465" t="str">
            <v>566_1</v>
          </cell>
          <cell r="H465" t="str">
            <v>like</v>
          </cell>
          <cell r="I465" t="str">
            <v>sim</v>
          </cell>
          <cell r="V465" t="str">
            <v>not neg pair</v>
          </cell>
          <cell r="Y465" t="str">
            <v>Past</v>
          </cell>
          <cell r="Z465">
            <v>3.36</v>
          </cell>
          <cell r="AA465">
            <v>0</v>
          </cell>
          <cell r="AB465">
            <v>0</v>
          </cell>
        </row>
        <row r="466">
          <cell r="G466" t="str">
            <v>567_0</v>
          </cell>
          <cell r="H466" t="str">
            <v>as-as</v>
          </cell>
          <cell r="I466" t="str">
            <v>sim</v>
          </cell>
          <cell r="V466" t="str">
            <v>not</v>
          </cell>
          <cell r="Y466" t="str">
            <v>Pres</v>
          </cell>
          <cell r="Z466">
            <v>4.91</v>
          </cell>
          <cell r="AA466" t="str">
            <v>H</v>
          </cell>
          <cell r="AB466">
            <v>1</v>
          </cell>
        </row>
        <row r="467">
          <cell r="G467" t="str">
            <v>567_1</v>
          </cell>
          <cell r="H467" t="str">
            <v>as-as</v>
          </cell>
          <cell r="I467" t="str">
            <v>sim</v>
          </cell>
          <cell r="V467" t="str">
            <v>not</v>
          </cell>
          <cell r="Y467" t="str">
            <v>Pres</v>
          </cell>
          <cell r="Z467">
            <v>4.91</v>
          </cell>
          <cell r="AA467" t="str">
            <v>H</v>
          </cell>
          <cell r="AB467">
            <v>1</v>
          </cell>
        </row>
        <row r="468">
          <cell r="G468" t="str">
            <v>573_0</v>
          </cell>
          <cell r="H468" t="str">
            <v>the-of</v>
          </cell>
          <cell r="I468" t="str">
            <v>sim</v>
          </cell>
          <cell r="V468" t="str">
            <v>0</v>
          </cell>
          <cell r="Y468" t="str">
            <v>Past</v>
          </cell>
          <cell r="Z468">
            <v>2.93</v>
          </cell>
          <cell r="AA468">
            <v>0</v>
          </cell>
          <cell r="AB468">
            <v>0</v>
          </cell>
        </row>
        <row r="469">
          <cell r="G469" t="str">
            <v>573_1</v>
          </cell>
          <cell r="H469" t="str">
            <v/>
          </cell>
          <cell r="I469" t="str">
            <v>met</v>
          </cell>
          <cell r="V469" t="str">
            <v>0</v>
          </cell>
          <cell r="Y469" t="str">
            <v>Past</v>
          </cell>
          <cell r="Z469">
            <v>2.93</v>
          </cell>
          <cell r="AA469">
            <v>0</v>
          </cell>
          <cell r="AB469">
            <v>0</v>
          </cell>
        </row>
        <row r="470">
          <cell r="G470" t="str">
            <v>574_0</v>
          </cell>
          <cell r="H470" t="str">
            <v>the-of</v>
          </cell>
          <cell r="I470" t="str">
            <v>sim</v>
          </cell>
          <cell r="V470" t="str">
            <v>not neg pair</v>
          </cell>
          <cell r="Y470" t="str">
            <v>Past</v>
          </cell>
          <cell r="Z470">
            <v>4.21</v>
          </cell>
          <cell r="AA470">
            <v>0</v>
          </cell>
          <cell r="AB470">
            <v>0</v>
          </cell>
        </row>
        <row r="471">
          <cell r="G471" t="str">
            <v>574_1</v>
          </cell>
          <cell r="H471" t="str">
            <v>the-of</v>
          </cell>
          <cell r="I471" t="str">
            <v>sim</v>
          </cell>
          <cell r="V471" t="str">
            <v>not neg pair</v>
          </cell>
          <cell r="Y471" t="str">
            <v>Pres</v>
          </cell>
          <cell r="Z471">
            <v>4.21</v>
          </cell>
          <cell r="AA471">
            <v>0</v>
          </cell>
          <cell r="AB471">
            <v>0</v>
          </cell>
        </row>
        <row r="472">
          <cell r="G472" t="str">
            <v>578_0</v>
          </cell>
          <cell r="H472" t="str">
            <v>the-of</v>
          </cell>
          <cell r="I472" t="str">
            <v>sim</v>
          </cell>
          <cell r="V472" t="str">
            <v>not neg pair</v>
          </cell>
          <cell r="Y472" t="str">
            <v>Past</v>
          </cell>
          <cell r="Z472">
            <v>4.8499999999999996</v>
          </cell>
          <cell r="AA472">
            <v>0</v>
          </cell>
          <cell r="AB472">
            <v>0</v>
          </cell>
        </row>
        <row r="473">
          <cell r="G473" t="str">
            <v>578_1</v>
          </cell>
          <cell r="H473" t="str">
            <v>the-of</v>
          </cell>
          <cell r="I473" t="str">
            <v>sim</v>
          </cell>
          <cell r="V473" t="str">
            <v>not neg pair</v>
          </cell>
          <cell r="Y473" t="str">
            <v>Past</v>
          </cell>
          <cell r="Z473">
            <v>4.8499999999999996</v>
          </cell>
          <cell r="AA473">
            <v>0</v>
          </cell>
          <cell r="AB473">
            <v>0</v>
          </cell>
        </row>
        <row r="474">
          <cell r="G474" t="str">
            <v>583_0</v>
          </cell>
          <cell r="H474" t="str">
            <v>as-as</v>
          </cell>
          <cell r="I474" t="str">
            <v>sim</v>
          </cell>
          <cell r="V474" t="str">
            <v>not neg pair</v>
          </cell>
          <cell r="Y474" t="str">
            <v>Pres</v>
          </cell>
          <cell r="Z474">
            <v>4.76</v>
          </cell>
          <cell r="AA474">
            <v>0</v>
          </cell>
          <cell r="AB474">
            <v>0</v>
          </cell>
        </row>
        <row r="475">
          <cell r="G475" t="str">
            <v>583_1</v>
          </cell>
          <cell r="H475" t="str">
            <v>as-as</v>
          </cell>
          <cell r="I475" t="str">
            <v>sim</v>
          </cell>
          <cell r="V475" t="str">
            <v>not neg pair</v>
          </cell>
          <cell r="Y475" t="str">
            <v>Pres</v>
          </cell>
          <cell r="Z475">
            <v>4.76</v>
          </cell>
          <cell r="AA475">
            <v>0</v>
          </cell>
          <cell r="AB475">
            <v>0</v>
          </cell>
        </row>
        <row r="476">
          <cell r="G476" t="str">
            <v>585_0</v>
          </cell>
          <cell r="H476" t="str">
            <v>the-of</v>
          </cell>
          <cell r="I476" t="str">
            <v>sim</v>
          </cell>
          <cell r="V476" t="str">
            <v>not neg pair</v>
          </cell>
          <cell r="Y476" t="str">
            <v>Past</v>
          </cell>
          <cell r="Z476">
            <v>4.1900000000000004</v>
          </cell>
          <cell r="AA476">
            <v>0</v>
          </cell>
          <cell r="AB476">
            <v>0</v>
          </cell>
        </row>
        <row r="477">
          <cell r="G477" t="str">
            <v>585_1</v>
          </cell>
          <cell r="H477" t="str">
            <v>the-of</v>
          </cell>
          <cell r="I477" t="str">
            <v>sim</v>
          </cell>
          <cell r="V477" t="str">
            <v>not neg pair</v>
          </cell>
          <cell r="Y477" t="str">
            <v>Past</v>
          </cell>
          <cell r="Z477">
            <v>4.1900000000000004</v>
          </cell>
          <cell r="AA477">
            <v>0</v>
          </cell>
          <cell r="AB477">
            <v>0</v>
          </cell>
        </row>
        <row r="478">
          <cell r="G478" t="str">
            <v>588_0</v>
          </cell>
          <cell r="H478" t="str">
            <v>the-of</v>
          </cell>
          <cell r="I478" t="str">
            <v>sim</v>
          </cell>
          <cell r="V478" t="str">
            <v>not</v>
          </cell>
          <cell r="Y478" t="str">
            <v>Past</v>
          </cell>
          <cell r="Z478">
            <v>4.8600000000000003</v>
          </cell>
          <cell r="AA478">
            <v>0</v>
          </cell>
          <cell r="AB478">
            <v>1</v>
          </cell>
        </row>
        <row r="479">
          <cell r="G479" t="str">
            <v>588_1</v>
          </cell>
          <cell r="H479" t="str">
            <v>the-of</v>
          </cell>
          <cell r="I479" t="str">
            <v>sim</v>
          </cell>
          <cell r="V479" t="str">
            <v>not</v>
          </cell>
          <cell r="Y479" t="str">
            <v>Past</v>
          </cell>
          <cell r="Z479">
            <v>4.8600000000000003</v>
          </cell>
          <cell r="AA479">
            <v>0</v>
          </cell>
          <cell r="AB479">
            <v>1</v>
          </cell>
        </row>
        <row r="480">
          <cell r="G480" t="str">
            <v>591_0</v>
          </cell>
          <cell r="H480" t="str">
            <v>as-as</v>
          </cell>
          <cell r="I480" t="str">
            <v>sim</v>
          </cell>
          <cell r="V480" t="str">
            <v>antonym</v>
          </cell>
          <cell r="Y480" t="str">
            <v>Pres</v>
          </cell>
          <cell r="Z480">
            <v>4.72</v>
          </cell>
          <cell r="AA480">
            <v>0</v>
          </cell>
          <cell r="AB480">
            <v>0</v>
          </cell>
        </row>
        <row r="481">
          <cell r="G481" t="str">
            <v>591_1</v>
          </cell>
          <cell r="H481" t="str">
            <v>as-as</v>
          </cell>
          <cell r="I481" t="str">
            <v>sim</v>
          </cell>
          <cell r="V481" t="str">
            <v>antonym</v>
          </cell>
          <cell r="Y481" t="str">
            <v>Pres</v>
          </cell>
          <cell r="Z481">
            <v>4.72</v>
          </cell>
          <cell r="AA481">
            <v>0</v>
          </cell>
          <cell r="AB481">
            <v>0</v>
          </cell>
        </row>
        <row r="482">
          <cell r="G482" t="str">
            <v>592_0</v>
          </cell>
          <cell r="H482" t="str">
            <v>the-of</v>
          </cell>
          <cell r="I482" t="str">
            <v>sim</v>
          </cell>
          <cell r="V482" t="str">
            <v>not</v>
          </cell>
          <cell r="Y482" t="str">
            <v>Pres</v>
          </cell>
          <cell r="Z482">
            <v>4.57</v>
          </cell>
          <cell r="AA482">
            <v>0</v>
          </cell>
          <cell r="AB482">
            <v>1</v>
          </cell>
        </row>
        <row r="483">
          <cell r="G483" t="str">
            <v>592_1</v>
          </cell>
          <cell r="H483" t="str">
            <v>the-of</v>
          </cell>
          <cell r="I483" t="str">
            <v>sim</v>
          </cell>
          <cell r="V483" t="str">
            <v>not</v>
          </cell>
          <cell r="Y483" t="str">
            <v>Pres</v>
          </cell>
          <cell r="Z483">
            <v>4.57</v>
          </cell>
          <cell r="AA483">
            <v>0</v>
          </cell>
          <cell r="AB483">
            <v>1</v>
          </cell>
        </row>
        <row r="484">
          <cell r="G484" t="str">
            <v>593_0</v>
          </cell>
          <cell r="H484" t="str">
            <v>like</v>
          </cell>
          <cell r="I484" t="str">
            <v>sim</v>
          </cell>
          <cell r="V484" t="str">
            <v>not neg pair</v>
          </cell>
          <cell r="Y484" t="str">
            <v>Pres</v>
          </cell>
          <cell r="Z484">
            <v>3.93</v>
          </cell>
          <cell r="AA484">
            <v>0</v>
          </cell>
          <cell r="AB484">
            <v>0</v>
          </cell>
        </row>
        <row r="485">
          <cell r="G485" t="str">
            <v>593_1</v>
          </cell>
          <cell r="H485" t="str">
            <v>like</v>
          </cell>
          <cell r="I485" t="str">
            <v>sim</v>
          </cell>
          <cell r="V485" t="str">
            <v>not neg pair</v>
          </cell>
          <cell r="Y485" t="str">
            <v>Pres</v>
          </cell>
          <cell r="Z485">
            <v>3.93</v>
          </cell>
          <cell r="AA485">
            <v>0</v>
          </cell>
          <cell r="AB485">
            <v>0</v>
          </cell>
        </row>
        <row r="486">
          <cell r="G486" t="str">
            <v>596_0</v>
          </cell>
          <cell r="H486" t="str">
            <v>the-of</v>
          </cell>
          <cell r="I486" t="str">
            <v>sim</v>
          </cell>
          <cell r="V486" t="str">
            <v>not neg pair</v>
          </cell>
          <cell r="Y486" t="str">
            <v>Pres</v>
          </cell>
          <cell r="Z486">
            <v>4.9000000000000004</v>
          </cell>
          <cell r="AA486" t="str">
            <v>H</v>
          </cell>
          <cell r="AB486">
            <v>0</v>
          </cell>
        </row>
        <row r="487">
          <cell r="G487" t="str">
            <v>596_1</v>
          </cell>
          <cell r="H487" t="str">
            <v>the-of</v>
          </cell>
          <cell r="I487" t="str">
            <v>sim</v>
          </cell>
          <cell r="V487" t="str">
            <v>not neg pair</v>
          </cell>
          <cell r="Y487" t="str">
            <v>Pres</v>
          </cell>
          <cell r="Z487">
            <v>0</v>
          </cell>
          <cell r="AA487">
            <v>0</v>
          </cell>
          <cell r="AB487">
            <v>0</v>
          </cell>
        </row>
        <row r="488">
          <cell r="G488" t="str">
            <v>599_0</v>
          </cell>
          <cell r="H488" t="str">
            <v>as-as</v>
          </cell>
          <cell r="I488" t="str">
            <v>sim</v>
          </cell>
          <cell r="V488" t="str">
            <v>not</v>
          </cell>
          <cell r="Y488" t="str">
            <v>Pres</v>
          </cell>
          <cell r="Z488">
            <v>4.8600000000000003</v>
          </cell>
          <cell r="AA488">
            <v>0</v>
          </cell>
          <cell r="AB488">
            <v>1</v>
          </cell>
        </row>
        <row r="489">
          <cell r="G489" t="str">
            <v>599_1</v>
          </cell>
          <cell r="H489" t="str">
            <v>as-as</v>
          </cell>
          <cell r="I489" t="str">
            <v>sim</v>
          </cell>
          <cell r="V489" t="str">
            <v>not</v>
          </cell>
          <cell r="Y489" t="str">
            <v>Pres</v>
          </cell>
          <cell r="Z489">
            <v>4.8600000000000003</v>
          </cell>
          <cell r="AA489">
            <v>0</v>
          </cell>
          <cell r="AB489">
            <v>1</v>
          </cell>
        </row>
        <row r="490">
          <cell r="G490" t="str">
            <v>600_0</v>
          </cell>
          <cell r="H490" t="str">
            <v>like</v>
          </cell>
          <cell r="I490" t="str">
            <v>sim</v>
          </cell>
          <cell r="V490" t="str">
            <v>not neg pair</v>
          </cell>
          <cell r="Y490" t="str">
            <v>Past</v>
          </cell>
          <cell r="Z490">
            <v>4.33</v>
          </cell>
          <cell r="AA490">
            <v>0</v>
          </cell>
          <cell r="AB490">
            <v>0</v>
          </cell>
        </row>
        <row r="491">
          <cell r="G491" t="str">
            <v>600_1</v>
          </cell>
          <cell r="H491" t="str">
            <v>like</v>
          </cell>
          <cell r="I491" t="str">
            <v>sim</v>
          </cell>
          <cell r="V491" t="str">
            <v>not neg pair</v>
          </cell>
          <cell r="Y491" t="str">
            <v>Past</v>
          </cell>
          <cell r="Z491">
            <v>4.33</v>
          </cell>
          <cell r="AA491">
            <v>0</v>
          </cell>
          <cell r="AB491">
            <v>0</v>
          </cell>
        </row>
        <row r="492">
          <cell r="G492" t="str">
            <v>604_0</v>
          </cell>
          <cell r="H492" t="str">
            <v>as-as</v>
          </cell>
          <cell r="I492" t="str">
            <v>sim</v>
          </cell>
          <cell r="V492" t="str">
            <v>not neg pair</v>
          </cell>
          <cell r="Y492" t="str">
            <v>Pres</v>
          </cell>
          <cell r="Z492">
            <v>4.76</v>
          </cell>
          <cell r="AA492">
            <v>0</v>
          </cell>
          <cell r="AB492">
            <v>0</v>
          </cell>
        </row>
        <row r="493">
          <cell r="G493" t="str">
            <v>604_1</v>
          </cell>
          <cell r="H493" t="str">
            <v>as-as</v>
          </cell>
          <cell r="I493" t="str">
            <v>sim</v>
          </cell>
          <cell r="V493" t="str">
            <v>not neg pair</v>
          </cell>
          <cell r="Y493" t="str">
            <v>Pres</v>
          </cell>
          <cell r="Z493">
            <v>4.76</v>
          </cell>
          <cell r="AA493">
            <v>0</v>
          </cell>
          <cell r="AB493">
            <v>0</v>
          </cell>
        </row>
        <row r="494">
          <cell r="G494" t="str">
            <v>606_0</v>
          </cell>
          <cell r="H494" t="str">
            <v>as-as</v>
          </cell>
          <cell r="I494" t="str">
            <v>sim</v>
          </cell>
          <cell r="V494" t="str">
            <v>antonym</v>
          </cell>
          <cell r="Y494" t="str">
            <v>Pres</v>
          </cell>
          <cell r="Z494">
            <v>5</v>
          </cell>
          <cell r="AA494" t="str">
            <v>H</v>
          </cell>
          <cell r="AB494">
            <v>0</v>
          </cell>
        </row>
        <row r="495">
          <cell r="G495" t="str">
            <v>606_1</v>
          </cell>
          <cell r="H495" t="str">
            <v>as-as</v>
          </cell>
          <cell r="I495" t="str">
            <v>sim</v>
          </cell>
          <cell r="V495" t="str">
            <v>antonym</v>
          </cell>
          <cell r="Y495" t="str">
            <v>Pres</v>
          </cell>
          <cell r="Z495">
            <v>5</v>
          </cell>
          <cell r="AA495" t="str">
            <v>H</v>
          </cell>
          <cell r="AB495">
            <v>0</v>
          </cell>
        </row>
        <row r="496">
          <cell r="G496" t="str">
            <v>609_0</v>
          </cell>
          <cell r="H496" t="str">
            <v>as-as</v>
          </cell>
          <cell r="I496" t="str">
            <v>sim</v>
          </cell>
          <cell r="V496" t="str">
            <v>antonym</v>
          </cell>
          <cell r="Y496" t="str">
            <v>Past</v>
          </cell>
          <cell r="Z496">
            <v>4.3</v>
          </cell>
          <cell r="AA496">
            <v>0</v>
          </cell>
          <cell r="AB496">
            <v>0</v>
          </cell>
        </row>
        <row r="497">
          <cell r="G497" t="str">
            <v>609_1</v>
          </cell>
          <cell r="H497" t="str">
            <v>as-as</v>
          </cell>
          <cell r="I497" t="str">
            <v>sim</v>
          </cell>
          <cell r="V497" t="str">
            <v>antonym</v>
          </cell>
          <cell r="Y497" t="str">
            <v>Past</v>
          </cell>
          <cell r="Z497">
            <v>4.3</v>
          </cell>
          <cell r="AA497">
            <v>0</v>
          </cell>
          <cell r="AB497">
            <v>0</v>
          </cell>
        </row>
        <row r="498">
          <cell r="G498" t="str">
            <v>612_0</v>
          </cell>
          <cell r="H498" t="str">
            <v>the-of</v>
          </cell>
          <cell r="I498" t="str">
            <v>sim</v>
          </cell>
          <cell r="V498" t="str">
            <v>not neg pair</v>
          </cell>
          <cell r="Y498" t="str">
            <v>Pres</v>
          </cell>
          <cell r="Z498">
            <v>2.81</v>
          </cell>
          <cell r="AA498">
            <v>0</v>
          </cell>
          <cell r="AB498">
            <v>0</v>
          </cell>
        </row>
        <row r="499">
          <cell r="G499" t="str">
            <v>612_1</v>
          </cell>
          <cell r="H499" t="str">
            <v>the-of</v>
          </cell>
          <cell r="I499" t="str">
            <v>sim</v>
          </cell>
          <cell r="V499" t="str">
            <v>not neg pair</v>
          </cell>
          <cell r="Y499" t="str">
            <v>Pres</v>
          </cell>
          <cell r="Z499">
            <v>2.81</v>
          </cell>
          <cell r="AA499">
            <v>0</v>
          </cell>
          <cell r="AB499">
            <v>0</v>
          </cell>
        </row>
        <row r="500">
          <cell r="G500" t="str">
            <v>615_0</v>
          </cell>
          <cell r="H500" t="str">
            <v>as-as</v>
          </cell>
          <cell r="I500" t="str">
            <v>sim</v>
          </cell>
          <cell r="V500" t="str">
            <v>antonym</v>
          </cell>
          <cell r="Y500" t="str">
            <v>Pres</v>
          </cell>
          <cell r="Z500">
            <v>4.79</v>
          </cell>
          <cell r="AA500">
            <v>0</v>
          </cell>
          <cell r="AB500">
            <v>0</v>
          </cell>
        </row>
        <row r="501">
          <cell r="G501" t="str">
            <v>615_1</v>
          </cell>
          <cell r="H501" t="str">
            <v>as-as</v>
          </cell>
          <cell r="I501" t="str">
            <v>sim</v>
          </cell>
          <cell r="V501" t="str">
            <v>antonym</v>
          </cell>
          <cell r="Y501" t="str">
            <v>Pres</v>
          </cell>
          <cell r="Z501">
            <v>4.79</v>
          </cell>
          <cell r="AA501">
            <v>0</v>
          </cell>
          <cell r="AB501">
            <v>0</v>
          </cell>
        </row>
        <row r="502">
          <cell r="G502" t="str">
            <v>620_0</v>
          </cell>
          <cell r="H502" t="str">
            <v>the-of</v>
          </cell>
          <cell r="I502" t="str">
            <v>sim</v>
          </cell>
          <cell r="V502" t="str">
            <v>not neg pair</v>
          </cell>
          <cell r="Y502" t="str">
            <v>Pres</v>
          </cell>
          <cell r="Z502">
            <v>4.76</v>
          </cell>
          <cell r="AA502">
            <v>0</v>
          </cell>
          <cell r="AB502">
            <v>0</v>
          </cell>
        </row>
        <row r="503">
          <cell r="G503" t="str">
            <v>620_1</v>
          </cell>
          <cell r="H503" t="str">
            <v>the-of</v>
          </cell>
          <cell r="I503" t="str">
            <v>sim</v>
          </cell>
          <cell r="V503" t="str">
            <v>not neg pair</v>
          </cell>
          <cell r="Y503" t="str">
            <v>Pres</v>
          </cell>
          <cell r="Z503">
            <v>4.76</v>
          </cell>
          <cell r="AA503">
            <v>0</v>
          </cell>
          <cell r="AB503">
            <v>0</v>
          </cell>
        </row>
        <row r="504">
          <cell r="G504" t="str">
            <v>621_0</v>
          </cell>
          <cell r="H504" t="str">
            <v>the-of</v>
          </cell>
          <cell r="I504" t="str">
            <v>sim</v>
          </cell>
          <cell r="V504" t="str">
            <v>not neg pair</v>
          </cell>
          <cell r="Y504" t="str">
            <v>Pres</v>
          </cell>
          <cell r="Z504">
            <v>4.8099999999999996</v>
          </cell>
          <cell r="AA504">
            <v>0</v>
          </cell>
          <cell r="AB504">
            <v>0</v>
          </cell>
        </row>
        <row r="505">
          <cell r="G505" t="str">
            <v>621_1</v>
          </cell>
          <cell r="H505" t="str">
            <v>the-of</v>
          </cell>
          <cell r="I505" t="str">
            <v>sim</v>
          </cell>
          <cell r="V505" t="str">
            <v>not neg pair</v>
          </cell>
          <cell r="Y505" t="str">
            <v>Pres</v>
          </cell>
          <cell r="Z505">
            <v>4.8099999999999996</v>
          </cell>
          <cell r="AA505">
            <v>0</v>
          </cell>
          <cell r="AB505">
            <v>0</v>
          </cell>
        </row>
        <row r="506">
          <cell r="G506" t="str">
            <v>623_0</v>
          </cell>
          <cell r="H506" t="str">
            <v>as</v>
          </cell>
          <cell r="I506" t="str">
            <v>sim</v>
          </cell>
          <cell r="V506" t="str">
            <v>not neg pair</v>
          </cell>
          <cell r="Y506" t="str">
            <v>Pres</v>
          </cell>
          <cell r="Z506">
            <v>3.36</v>
          </cell>
          <cell r="AA506">
            <v>0</v>
          </cell>
          <cell r="AB506">
            <v>0</v>
          </cell>
        </row>
        <row r="507">
          <cell r="G507" t="str">
            <v>623_1</v>
          </cell>
          <cell r="H507" t="str">
            <v>as</v>
          </cell>
          <cell r="I507" t="str">
            <v>sim</v>
          </cell>
          <cell r="V507" t="str">
            <v>not neg pair</v>
          </cell>
          <cell r="Y507" t="str">
            <v>Pres</v>
          </cell>
          <cell r="Z507">
            <v>0</v>
          </cell>
          <cell r="AA507">
            <v>0</v>
          </cell>
          <cell r="AB507">
            <v>0</v>
          </cell>
        </row>
        <row r="508">
          <cell r="G508" t="str">
            <v>624_0</v>
          </cell>
          <cell r="H508" t="str">
            <v>as-as</v>
          </cell>
          <cell r="I508" t="str">
            <v>sim</v>
          </cell>
          <cell r="V508" t="str">
            <v>not neg pair</v>
          </cell>
          <cell r="Y508" t="str">
            <v>Pres</v>
          </cell>
          <cell r="Z508">
            <v>3.36</v>
          </cell>
          <cell r="AA508">
            <v>0</v>
          </cell>
          <cell r="AB508">
            <v>0</v>
          </cell>
        </row>
        <row r="509">
          <cell r="G509" t="str">
            <v>624_1</v>
          </cell>
          <cell r="H509" t="str">
            <v>as-as</v>
          </cell>
          <cell r="I509" t="str">
            <v>sim</v>
          </cell>
          <cell r="V509" t="str">
            <v>not neg pair</v>
          </cell>
          <cell r="Y509" t="str">
            <v>Pres</v>
          </cell>
          <cell r="Z509">
            <v>0</v>
          </cell>
          <cell r="AA509">
            <v>0</v>
          </cell>
          <cell r="AB509">
            <v>0</v>
          </cell>
        </row>
        <row r="510">
          <cell r="G510" t="str">
            <v>625_0</v>
          </cell>
          <cell r="H510" t="str">
            <v>as-as</v>
          </cell>
          <cell r="I510" t="str">
            <v>sim</v>
          </cell>
          <cell r="V510" t="str">
            <v>not neg pair</v>
          </cell>
          <cell r="Y510" t="str">
            <v>Pres</v>
          </cell>
          <cell r="Z510">
            <v>3.83</v>
          </cell>
          <cell r="AA510">
            <v>0</v>
          </cell>
          <cell r="AB510">
            <v>0</v>
          </cell>
        </row>
        <row r="511">
          <cell r="G511" t="str">
            <v>625_1</v>
          </cell>
          <cell r="H511" t="str">
            <v>as-as</v>
          </cell>
          <cell r="I511" t="str">
            <v>sim</v>
          </cell>
          <cell r="V511" t="str">
            <v>not neg pair</v>
          </cell>
          <cell r="Y511" t="str">
            <v>Pres</v>
          </cell>
          <cell r="Z511">
            <v>3.83</v>
          </cell>
          <cell r="AA511">
            <v>0</v>
          </cell>
          <cell r="AB511">
            <v>0</v>
          </cell>
        </row>
        <row r="512">
          <cell r="G512" t="str">
            <v>626_0</v>
          </cell>
          <cell r="H512" t="str">
            <v>as-as</v>
          </cell>
          <cell r="I512" t="str">
            <v>sim</v>
          </cell>
          <cell r="V512" t="str">
            <v>not neg pair</v>
          </cell>
          <cell r="Y512" t="str">
            <v>Pres</v>
          </cell>
          <cell r="Z512">
            <v>3.93</v>
          </cell>
          <cell r="AA512">
            <v>0</v>
          </cell>
          <cell r="AB512">
            <v>0</v>
          </cell>
        </row>
        <row r="513">
          <cell r="G513" t="str">
            <v>626_1</v>
          </cell>
          <cell r="H513" t="str">
            <v>as-as</v>
          </cell>
          <cell r="I513" t="str">
            <v>sim</v>
          </cell>
          <cell r="V513" t="str">
            <v>not neg pair</v>
          </cell>
          <cell r="Y513" t="str">
            <v>Pres</v>
          </cell>
          <cell r="Z513">
            <v>3.93</v>
          </cell>
          <cell r="AA513">
            <v>0</v>
          </cell>
          <cell r="AB513">
            <v>0</v>
          </cell>
        </row>
        <row r="514">
          <cell r="G514" t="str">
            <v>628_0</v>
          </cell>
          <cell r="H514" t="str">
            <v>the-of</v>
          </cell>
          <cell r="I514" t="str">
            <v>sim</v>
          </cell>
          <cell r="V514" t="str">
            <v>not neg pair</v>
          </cell>
          <cell r="Y514" t="str">
            <v>Pres</v>
          </cell>
          <cell r="Z514">
            <v>3.93</v>
          </cell>
          <cell r="AA514">
            <v>0</v>
          </cell>
          <cell r="AB514">
            <v>0</v>
          </cell>
        </row>
        <row r="515">
          <cell r="G515" t="str">
            <v>628_1</v>
          </cell>
          <cell r="H515" t="str">
            <v>the-of</v>
          </cell>
          <cell r="I515" t="str">
            <v>sim</v>
          </cell>
          <cell r="V515" t="str">
            <v>not neg pair</v>
          </cell>
          <cell r="Y515" t="str">
            <v>Pres</v>
          </cell>
          <cell r="Z515">
            <v>3.93</v>
          </cell>
          <cell r="AA515">
            <v>0</v>
          </cell>
          <cell r="AB515">
            <v>0</v>
          </cell>
        </row>
        <row r="516">
          <cell r="G516" t="str">
            <v>631_0</v>
          </cell>
          <cell r="H516" t="str">
            <v>as-as</v>
          </cell>
          <cell r="I516" t="str">
            <v>sim</v>
          </cell>
          <cell r="V516" t="str">
            <v>antonym</v>
          </cell>
          <cell r="Y516" t="str">
            <v>Past</v>
          </cell>
          <cell r="Z516">
            <v>4.46</v>
          </cell>
          <cell r="AA516">
            <v>0</v>
          </cell>
          <cell r="AB516">
            <v>0</v>
          </cell>
        </row>
        <row r="517">
          <cell r="G517" t="str">
            <v>631_1</v>
          </cell>
          <cell r="H517" t="str">
            <v>as-as</v>
          </cell>
          <cell r="I517" t="str">
            <v>sim</v>
          </cell>
          <cell r="V517" t="str">
            <v>antonym</v>
          </cell>
          <cell r="Y517" t="str">
            <v>Past</v>
          </cell>
          <cell r="Z517">
            <v>4.46</v>
          </cell>
          <cell r="AA517">
            <v>0</v>
          </cell>
          <cell r="AB517">
            <v>0</v>
          </cell>
        </row>
        <row r="518">
          <cell r="G518" t="str">
            <v>632_0</v>
          </cell>
          <cell r="H518" t="str">
            <v/>
          </cell>
          <cell r="I518" t="str">
            <v>met</v>
          </cell>
          <cell r="V518" t="str">
            <v>0</v>
          </cell>
          <cell r="Y518" t="str">
            <v>Past</v>
          </cell>
          <cell r="Z518">
            <v>3.22</v>
          </cell>
          <cell r="AA518">
            <v>0</v>
          </cell>
          <cell r="AB518">
            <v>0</v>
          </cell>
        </row>
        <row r="519">
          <cell r="G519" t="str">
            <v>632_1</v>
          </cell>
          <cell r="H519" t="str">
            <v/>
          </cell>
          <cell r="I519" t="str">
            <v>met</v>
          </cell>
          <cell r="V519" t="str">
            <v>0</v>
          </cell>
          <cell r="Y519" t="str">
            <v>Past</v>
          </cell>
          <cell r="Z519">
            <v>3.36</v>
          </cell>
          <cell r="AA519">
            <v>0</v>
          </cell>
          <cell r="AB519">
            <v>0</v>
          </cell>
        </row>
        <row r="520">
          <cell r="G520" t="str">
            <v>633_0</v>
          </cell>
          <cell r="H520" t="str">
            <v>as-as</v>
          </cell>
          <cell r="I520" t="str">
            <v>sim</v>
          </cell>
          <cell r="V520" t="str">
            <v>antonym</v>
          </cell>
          <cell r="Y520" t="str">
            <v>Past</v>
          </cell>
          <cell r="Z520">
            <v>4.83</v>
          </cell>
          <cell r="AA520">
            <v>0</v>
          </cell>
          <cell r="AB520">
            <v>0</v>
          </cell>
        </row>
        <row r="521">
          <cell r="G521" t="str">
            <v>633_1</v>
          </cell>
          <cell r="H521" t="str">
            <v>as-as</v>
          </cell>
          <cell r="I521" t="str">
            <v>sim</v>
          </cell>
          <cell r="V521" t="str">
            <v>antonym</v>
          </cell>
          <cell r="Y521" t="str">
            <v>Past</v>
          </cell>
          <cell r="Z521">
            <v>4.83</v>
          </cell>
          <cell r="AA521">
            <v>0</v>
          </cell>
          <cell r="AB521">
            <v>0</v>
          </cell>
        </row>
        <row r="522">
          <cell r="G522" t="str">
            <v>637_0</v>
          </cell>
          <cell r="H522" t="str">
            <v>the-of</v>
          </cell>
          <cell r="I522" t="str">
            <v>sim</v>
          </cell>
          <cell r="V522" t="str">
            <v>not</v>
          </cell>
          <cell r="Y522" t="str">
            <v>Pres</v>
          </cell>
          <cell r="Z522">
            <v>4.8899999999999997</v>
          </cell>
          <cell r="AA522">
            <v>0</v>
          </cell>
          <cell r="AB522">
            <v>1</v>
          </cell>
        </row>
        <row r="523">
          <cell r="G523" t="str">
            <v>637_1</v>
          </cell>
          <cell r="H523" t="str">
            <v>the-of</v>
          </cell>
          <cell r="I523" t="str">
            <v>sim</v>
          </cell>
          <cell r="V523" t="str">
            <v>not</v>
          </cell>
          <cell r="Y523" t="str">
            <v>Pres</v>
          </cell>
          <cell r="Z523">
            <v>4.8899999999999997</v>
          </cell>
          <cell r="AA523">
            <v>0</v>
          </cell>
          <cell r="AB523">
            <v>1</v>
          </cell>
        </row>
        <row r="524">
          <cell r="G524" t="str">
            <v>638_0</v>
          </cell>
          <cell r="H524" t="str">
            <v>the-of</v>
          </cell>
          <cell r="I524" t="str">
            <v>sim</v>
          </cell>
          <cell r="V524" t="str">
            <v>not neg pair</v>
          </cell>
          <cell r="Y524" t="str">
            <v>Pres</v>
          </cell>
          <cell r="Z524">
            <v>4.8600000000000003</v>
          </cell>
          <cell r="AA524">
            <v>0</v>
          </cell>
          <cell r="AB524">
            <v>0</v>
          </cell>
        </row>
        <row r="525">
          <cell r="G525" t="str">
            <v>638_1</v>
          </cell>
          <cell r="H525" t="str">
            <v>the-of</v>
          </cell>
          <cell r="I525" t="str">
            <v>sim</v>
          </cell>
          <cell r="V525" t="str">
            <v>not neg pair</v>
          </cell>
          <cell r="Y525" t="str">
            <v>Pres</v>
          </cell>
          <cell r="Z525">
            <v>4.8600000000000003</v>
          </cell>
          <cell r="AA525">
            <v>0</v>
          </cell>
          <cell r="AB525">
            <v>0</v>
          </cell>
        </row>
        <row r="526">
          <cell r="G526" t="str">
            <v>641_0</v>
          </cell>
          <cell r="H526" t="str">
            <v>as-as</v>
          </cell>
          <cell r="I526" t="str">
            <v>sim</v>
          </cell>
          <cell r="V526" t="str">
            <v>not neg pair</v>
          </cell>
          <cell r="Y526" t="str">
            <v>Pres</v>
          </cell>
          <cell r="Z526">
            <v>4.8499999999999996</v>
          </cell>
          <cell r="AA526">
            <v>0</v>
          </cell>
          <cell r="AB526">
            <v>0</v>
          </cell>
        </row>
        <row r="527">
          <cell r="G527" t="str">
            <v>641_1</v>
          </cell>
          <cell r="H527" t="str">
            <v>as-as</v>
          </cell>
          <cell r="I527" t="str">
            <v>sim</v>
          </cell>
          <cell r="V527" t="str">
            <v>not neg pair</v>
          </cell>
          <cell r="Y527" t="str">
            <v>Pres</v>
          </cell>
          <cell r="Z527">
            <v>4.8499999999999996</v>
          </cell>
          <cell r="AA527">
            <v>0</v>
          </cell>
          <cell r="AB527">
            <v>0</v>
          </cell>
        </row>
        <row r="528">
          <cell r="G528" t="str">
            <v>642_0</v>
          </cell>
          <cell r="H528" t="str">
            <v>the-of</v>
          </cell>
          <cell r="I528" t="str">
            <v>sim</v>
          </cell>
          <cell r="V528" t="str">
            <v>not</v>
          </cell>
          <cell r="Y528" t="str">
            <v>Pres</v>
          </cell>
          <cell r="Z528">
            <v>4.46</v>
          </cell>
          <cell r="AA528">
            <v>0</v>
          </cell>
          <cell r="AB528">
            <v>1</v>
          </cell>
        </row>
        <row r="529">
          <cell r="G529" t="str">
            <v>642_1</v>
          </cell>
          <cell r="H529" t="str">
            <v>the-of</v>
          </cell>
          <cell r="I529" t="str">
            <v>sim</v>
          </cell>
          <cell r="V529" t="str">
            <v>not</v>
          </cell>
          <cell r="Y529" t="str">
            <v>Pres</v>
          </cell>
          <cell r="Z529">
            <v>4.46</v>
          </cell>
          <cell r="AA529">
            <v>0</v>
          </cell>
          <cell r="AB529">
            <v>1</v>
          </cell>
        </row>
        <row r="530">
          <cell r="G530" t="str">
            <v>644_0</v>
          </cell>
          <cell r="H530" t="str">
            <v>as-as</v>
          </cell>
          <cell r="I530" t="str">
            <v>sim</v>
          </cell>
          <cell r="V530" t="str">
            <v>not neg pair</v>
          </cell>
          <cell r="Y530" t="str">
            <v>Past</v>
          </cell>
          <cell r="Z530">
            <v>3.75</v>
          </cell>
          <cell r="AA530">
            <v>0</v>
          </cell>
          <cell r="AB530">
            <v>0</v>
          </cell>
        </row>
        <row r="531">
          <cell r="G531" t="str">
            <v>644_1</v>
          </cell>
          <cell r="H531" t="str">
            <v>as-as</v>
          </cell>
          <cell r="I531" t="str">
            <v>sim</v>
          </cell>
          <cell r="V531" t="str">
            <v>not neg pair</v>
          </cell>
          <cell r="Y531" t="str">
            <v>Past</v>
          </cell>
          <cell r="Z531">
            <v>3.75</v>
          </cell>
          <cell r="AA531">
            <v>0</v>
          </cell>
          <cell r="AB531">
            <v>0</v>
          </cell>
        </row>
        <row r="532">
          <cell r="G532" t="str">
            <v>648_0</v>
          </cell>
          <cell r="H532" t="str">
            <v>as-as</v>
          </cell>
          <cell r="I532" t="str">
            <v>sim</v>
          </cell>
          <cell r="V532" t="str">
            <v>not</v>
          </cell>
          <cell r="Y532" t="str">
            <v>Past</v>
          </cell>
          <cell r="Z532">
            <v>4.5999999999999996</v>
          </cell>
          <cell r="AA532">
            <v>0</v>
          </cell>
          <cell r="AB532">
            <v>1</v>
          </cell>
        </row>
        <row r="533">
          <cell r="G533" t="str">
            <v>648_1</v>
          </cell>
          <cell r="H533" t="str">
            <v>as-as</v>
          </cell>
          <cell r="I533" t="str">
            <v>sim</v>
          </cell>
          <cell r="V533" t="str">
            <v>not</v>
          </cell>
          <cell r="Y533" t="str">
            <v>Past</v>
          </cell>
          <cell r="Z533">
            <v>4.5999999999999996</v>
          </cell>
          <cell r="AA533">
            <v>0</v>
          </cell>
          <cell r="AB533">
            <v>1</v>
          </cell>
        </row>
        <row r="534">
          <cell r="G534" t="str">
            <v>649_0</v>
          </cell>
          <cell r="H534" t="str">
            <v>the-of</v>
          </cell>
          <cell r="I534" t="str">
            <v>sim</v>
          </cell>
          <cell r="V534" t="str">
            <v>not neg pair</v>
          </cell>
          <cell r="Y534" t="str">
            <v>Past</v>
          </cell>
          <cell r="Z534">
            <v>4.93</v>
          </cell>
          <cell r="AA534" t="str">
            <v>H</v>
          </cell>
          <cell r="AB534">
            <v>0</v>
          </cell>
        </row>
        <row r="535">
          <cell r="G535" t="str">
            <v>649_1</v>
          </cell>
          <cell r="H535" t="str">
            <v>the-of</v>
          </cell>
          <cell r="I535" t="str">
            <v>sim</v>
          </cell>
          <cell r="V535" t="str">
            <v>not neg pair</v>
          </cell>
          <cell r="Y535" t="str">
            <v>Past</v>
          </cell>
          <cell r="Z535">
            <v>4.93</v>
          </cell>
          <cell r="AA535" t="str">
            <v>H</v>
          </cell>
          <cell r="AB535">
            <v>0</v>
          </cell>
        </row>
        <row r="536">
          <cell r="G536" t="str">
            <v>650_0</v>
          </cell>
          <cell r="H536" t="str">
            <v>as</v>
          </cell>
          <cell r="I536" t="str">
            <v>sim</v>
          </cell>
          <cell r="V536" t="str">
            <v>not neg pair</v>
          </cell>
          <cell r="Y536" t="str">
            <v>Past</v>
          </cell>
          <cell r="Z536">
            <v>4.8</v>
          </cell>
          <cell r="AA536">
            <v>0</v>
          </cell>
          <cell r="AB536">
            <v>0</v>
          </cell>
        </row>
        <row r="537">
          <cell r="G537" t="str">
            <v>650_1</v>
          </cell>
          <cell r="H537" t="str">
            <v>as</v>
          </cell>
          <cell r="I537" t="str">
            <v>sim</v>
          </cell>
          <cell r="V537" t="str">
            <v>not neg pair</v>
          </cell>
          <cell r="Y537" t="str">
            <v>Past</v>
          </cell>
          <cell r="Z537">
            <v>4.8</v>
          </cell>
          <cell r="AA537">
            <v>0</v>
          </cell>
          <cell r="AB537">
            <v>0</v>
          </cell>
        </row>
        <row r="538">
          <cell r="G538" t="str">
            <v>654_0</v>
          </cell>
          <cell r="H538" t="str">
            <v>as-as</v>
          </cell>
          <cell r="I538" t="str">
            <v>sim</v>
          </cell>
          <cell r="V538" t="str">
            <v>not</v>
          </cell>
          <cell r="Y538" t="str">
            <v>Pres</v>
          </cell>
          <cell r="Z538">
            <v>3.93</v>
          </cell>
          <cell r="AA538">
            <v>0</v>
          </cell>
          <cell r="AB538">
            <v>1</v>
          </cell>
        </row>
        <row r="539">
          <cell r="G539" t="str">
            <v>654_1</v>
          </cell>
          <cell r="H539" t="str">
            <v>as-as</v>
          </cell>
          <cell r="I539" t="str">
            <v>sim</v>
          </cell>
          <cell r="V539" t="str">
            <v>not</v>
          </cell>
          <cell r="Y539" t="str">
            <v>Pres</v>
          </cell>
          <cell r="Z539">
            <v>3.93</v>
          </cell>
          <cell r="AA539">
            <v>0</v>
          </cell>
          <cell r="AB539">
            <v>1</v>
          </cell>
        </row>
        <row r="540">
          <cell r="G540" t="str">
            <v>661_0</v>
          </cell>
          <cell r="H540" t="str">
            <v>the-of</v>
          </cell>
          <cell r="I540" t="str">
            <v>sim</v>
          </cell>
          <cell r="V540" t="str">
            <v>not</v>
          </cell>
          <cell r="Y540" t="str">
            <v>Pres</v>
          </cell>
          <cell r="Z540">
            <v>3.93</v>
          </cell>
          <cell r="AA540">
            <v>0</v>
          </cell>
          <cell r="AB540">
            <v>1</v>
          </cell>
        </row>
        <row r="541">
          <cell r="G541" t="str">
            <v>661_1</v>
          </cell>
          <cell r="H541" t="str">
            <v>the-of</v>
          </cell>
          <cell r="I541" t="str">
            <v>sim</v>
          </cell>
          <cell r="V541" t="str">
            <v>not</v>
          </cell>
          <cell r="Y541" t="str">
            <v>Pres</v>
          </cell>
          <cell r="Z541">
            <v>3.93</v>
          </cell>
          <cell r="AA541">
            <v>0</v>
          </cell>
          <cell r="AB541">
            <v>1</v>
          </cell>
        </row>
        <row r="542">
          <cell r="G542" t="str">
            <v>663_0</v>
          </cell>
          <cell r="H542" t="str">
            <v>like</v>
          </cell>
          <cell r="I542" t="str">
            <v>sim</v>
          </cell>
          <cell r="V542" t="str">
            <v>not neg pair</v>
          </cell>
          <cell r="Y542" t="str">
            <v>Pres</v>
          </cell>
          <cell r="Z542">
            <v>3.36</v>
          </cell>
          <cell r="AA542">
            <v>0</v>
          </cell>
          <cell r="AB542">
            <v>0</v>
          </cell>
        </row>
        <row r="543">
          <cell r="G543" t="str">
            <v>663_1</v>
          </cell>
          <cell r="H543" t="str">
            <v>like</v>
          </cell>
          <cell r="I543" t="str">
            <v>sim</v>
          </cell>
          <cell r="V543" t="str">
            <v>not neg pair</v>
          </cell>
          <cell r="Y543" t="str">
            <v>Pres</v>
          </cell>
          <cell r="Z543">
            <v>3.36</v>
          </cell>
          <cell r="AA543">
            <v>0</v>
          </cell>
          <cell r="AB543">
            <v>0</v>
          </cell>
        </row>
        <row r="544">
          <cell r="G544" t="str">
            <v>667_0</v>
          </cell>
          <cell r="H544" t="str">
            <v>the-of</v>
          </cell>
          <cell r="I544" t="str">
            <v>sim</v>
          </cell>
          <cell r="V544" t="str">
            <v>not</v>
          </cell>
          <cell r="Y544" t="str">
            <v>Pres</v>
          </cell>
          <cell r="Z544">
            <v>4.9000000000000004</v>
          </cell>
          <cell r="AA544" t="str">
            <v>H</v>
          </cell>
          <cell r="AB544">
            <v>1</v>
          </cell>
        </row>
        <row r="545">
          <cell r="G545" t="str">
            <v>667_1</v>
          </cell>
          <cell r="H545" t="str">
            <v>the-of</v>
          </cell>
          <cell r="I545" t="str">
            <v>sim</v>
          </cell>
          <cell r="V545" t="str">
            <v>not</v>
          </cell>
          <cell r="Y545" t="str">
            <v>Pres</v>
          </cell>
          <cell r="Z545">
            <v>4.9000000000000004</v>
          </cell>
          <cell r="AA545" t="str">
            <v>H</v>
          </cell>
          <cell r="AB545">
            <v>1</v>
          </cell>
        </row>
        <row r="546">
          <cell r="G546" t="str">
            <v>669_0</v>
          </cell>
          <cell r="H546" t="str">
            <v>as-as</v>
          </cell>
          <cell r="I546" t="str">
            <v>sim</v>
          </cell>
          <cell r="V546" t="str">
            <v>not</v>
          </cell>
          <cell r="Y546" t="str">
            <v>Pres</v>
          </cell>
          <cell r="Z546">
            <v>3.36</v>
          </cell>
          <cell r="AA546">
            <v>0</v>
          </cell>
          <cell r="AB546">
            <v>0</v>
          </cell>
        </row>
        <row r="547">
          <cell r="G547" t="str">
            <v>669_1</v>
          </cell>
          <cell r="H547" t="str">
            <v>as-as</v>
          </cell>
          <cell r="I547" t="str">
            <v>sim</v>
          </cell>
          <cell r="V547" t="str">
            <v>not</v>
          </cell>
          <cell r="Y547" t="str">
            <v>Pres</v>
          </cell>
          <cell r="Z547">
            <v>3.36</v>
          </cell>
          <cell r="AA547">
            <v>0</v>
          </cell>
          <cell r="AB547">
            <v>0</v>
          </cell>
        </row>
        <row r="548">
          <cell r="G548" t="str">
            <v>670_0</v>
          </cell>
          <cell r="H548" t="str">
            <v>as-as</v>
          </cell>
          <cell r="I548" t="str">
            <v>sim</v>
          </cell>
          <cell r="V548" t="str">
            <v>antonym</v>
          </cell>
          <cell r="Y548" t="str">
            <v>Pres</v>
          </cell>
          <cell r="Z548">
            <v>4.84</v>
          </cell>
          <cell r="AA548">
            <v>0</v>
          </cell>
          <cell r="AB548">
            <v>0</v>
          </cell>
        </row>
        <row r="549">
          <cell r="G549" t="str">
            <v>670_1</v>
          </cell>
          <cell r="H549" t="str">
            <v>as-as</v>
          </cell>
          <cell r="I549" t="str">
            <v>sim</v>
          </cell>
          <cell r="V549" t="str">
            <v>antonym</v>
          </cell>
          <cell r="Y549" t="str">
            <v>Pres</v>
          </cell>
          <cell r="Z549">
            <v>4.84</v>
          </cell>
          <cell r="AA549">
            <v>0</v>
          </cell>
          <cell r="AB549">
            <v>0</v>
          </cell>
        </row>
        <row r="550">
          <cell r="G550" t="str">
            <v>671_0</v>
          </cell>
          <cell r="H550" t="str">
            <v>as-as</v>
          </cell>
          <cell r="I550" t="str">
            <v>sim</v>
          </cell>
          <cell r="V550" t="str">
            <v>not</v>
          </cell>
          <cell r="Y550" t="str">
            <v>Pres</v>
          </cell>
          <cell r="Z550">
            <v>5</v>
          </cell>
          <cell r="AA550" t="str">
            <v>H</v>
          </cell>
          <cell r="AB550">
            <v>1</v>
          </cell>
        </row>
        <row r="551">
          <cell r="G551" t="str">
            <v>671_1</v>
          </cell>
          <cell r="H551" t="str">
            <v>as-as</v>
          </cell>
          <cell r="I551" t="str">
            <v>sim</v>
          </cell>
          <cell r="V551" t="str">
            <v>not</v>
          </cell>
          <cell r="Y551" t="str">
            <v>Pres</v>
          </cell>
          <cell r="Z551">
            <v>5</v>
          </cell>
          <cell r="AA551" t="str">
            <v>H</v>
          </cell>
          <cell r="AB551">
            <v>1</v>
          </cell>
        </row>
        <row r="552">
          <cell r="G552" t="str">
            <v>676_0</v>
          </cell>
          <cell r="H552" t="str">
            <v>like</v>
          </cell>
          <cell r="I552" t="str">
            <v>sim</v>
          </cell>
          <cell r="V552" t="str">
            <v>not neg pair</v>
          </cell>
          <cell r="Y552" t="str">
            <v>Pres</v>
          </cell>
          <cell r="Z552">
            <v>3.93</v>
          </cell>
          <cell r="AA552">
            <v>0</v>
          </cell>
          <cell r="AB552">
            <v>0</v>
          </cell>
        </row>
        <row r="553">
          <cell r="G553" t="str">
            <v>676_1</v>
          </cell>
          <cell r="H553" t="str">
            <v>like</v>
          </cell>
          <cell r="I553" t="str">
            <v>sim</v>
          </cell>
          <cell r="V553" t="str">
            <v>not neg pair</v>
          </cell>
          <cell r="Y553" t="str">
            <v>Pres</v>
          </cell>
          <cell r="Z553">
            <v>3.93</v>
          </cell>
          <cell r="AA553">
            <v>0</v>
          </cell>
          <cell r="AB553">
            <v>0</v>
          </cell>
        </row>
        <row r="554">
          <cell r="G554" t="str">
            <v>677_0</v>
          </cell>
          <cell r="H554" t="str">
            <v>as-as</v>
          </cell>
          <cell r="I554" t="str">
            <v>sim</v>
          </cell>
          <cell r="V554" t="str">
            <v>antonym</v>
          </cell>
          <cell r="Y554" t="str">
            <v>Past</v>
          </cell>
          <cell r="Z554">
            <v>4.8499999999999996</v>
          </cell>
          <cell r="AA554">
            <v>0</v>
          </cell>
          <cell r="AB554">
            <v>0</v>
          </cell>
        </row>
        <row r="555">
          <cell r="G555" t="str">
            <v>677_1</v>
          </cell>
          <cell r="H555" t="str">
            <v>as-as</v>
          </cell>
          <cell r="I555" t="str">
            <v>sim</v>
          </cell>
          <cell r="V555" t="str">
            <v>antonym</v>
          </cell>
          <cell r="Y555" t="str">
            <v>Past</v>
          </cell>
          <cell r="Z555">
            <v>4.8499999999999996</v>
          </cell>
          <cell r="AA555">
            <v>0</v>
          </cell>
          <cell r="AB555">
            <v>0</v>
          </cell>
        </row>
        <row r="556">
          <cell r="G556" t="str">
            <v>679_0</v>
          </cell>
          <cell r="H556" t="str">
            <v/>
          </cell>
          <cell r="I556" t="str">
            <v>met</v>
          </cell>
          <cell r="V556" t="str">
            <v>0</v>
          </cell>
          <cell r="Y556" t="str">
            <v>Past</v>
          </cell>
          <cell r="Z556">
            <v>4.87</v>
          </cell>
          <cell r="AA556">
            <v>0</v>
          </cell>
          <cell r="AB556">
            <v>0</v>
          </cell>
        </row>
        <row r="557">
          <cell r="G557" t="str">
            <v>679_1</v>
          </cell>
          <cell r="H557" t="str">
            <v/>
          </cell>
          <cell r="I557" t="str">
            <v>met</v>
          </cell>
          <cell r="V557" t="str">
            <v>0</v>
          </cell>
          <cell r="Y557" t="str">
            <v>Past</v>
          </cell>
          <cell r="Z557">
            <v>4.87</v>
          </cell>
          <cell r="AA557">
            <v>0</v>
          </cell>
          <cell r="AB557">
            <v>0</v>
          </cell>
        </row>
        <row r="558">
          <cell r="G558" t="str">
            <v>691_0</v>
          </cell>
          <cell r="H558" t="str">
            <v/>
          </cell>
          <cell r="I558" t="str">
            <v>met</v>
          </cell>
          <cell r="V558" t="str">
            <v>0</v>
          </cell>
          <cell r="Y558" t="str">
            <v>Pres</v>
          </cell>
          <cell r="Z558">
            <v>3.19</v>
          </cell>
          <cell r="AA558">
            <v>0</v>
          </cell>
          <cell r="AB558">
            <v>0</v>
          </cell>
        </row>
        <row r="559">
          <cell r="G559" t="str">
            <v>691_1</v>
          </cell>
          <cell r="H559" t="str">
            <v/>
          </cell>
          <cell r="I559" t="str">
            <v>met</v>
          </cell>
          <cell r="V559" t="str">
            <v>0</v>
          </cell>
          <cell r="Y559" t="str">
            <v>Pres</v>
          </cell>
          <cell r="Z559">
            <v>3.19</v>
          </cell>
          <cell r="AA559">
            <v>0</v>
          </cell>
          <cell r="AB559">
            <v>0</v>
          </cell>
        </row>
        <row r="560">
          <cell r="G560" t="str">
            <v>696_0</v>
          </cell>
          <cell r="H560" t="str">
            <v>the-of</v>
          </cell>
          <cell r="I560" t="str">
            <v>sim</v>
          </cell>
          <cell r="V560" t="str">
            <v>not neg pair</v>
          </cell>
          <cell r="Y560" t="str">
            <v>Pres</v>
          </cell>
          <cell r="Z560">
            <v>4.6900000000000004</v>
          </cell>
          <cell r="AA560">
            <v>0</v>
          </cell>
          <cell r="AB560">
            <v>0</v>
          </cell>
        </row>
        <row r="561">
          <cell r="G561" t="str">
            <v>696_1</v>
          </cell>
          <cell r="H561" t="str">
            <v>the-of</v>
          </cell>
          <cell r="I561" t="str">
            <v>sim</v>
          </cell>
          <cell r="V561" t="str">
            <v>not neg pair</v>
          </cell>
          <cell r="Y561" t="str">
            <v>Pres</v>
          </cell>
          <cell r="Z561">
            <v>4.6900000000000004</v>
          </cell>
          <cell r="AA561">
            <v>0</v>
          </cell>
          <cell r="AB561">
            <v>0</v>
          </cell>
        </row>
        <row r="562">
          <cell r="G562" t="str">
            <v>697_0</v>
          </cell>
          <cell r="H562" t="str">
            <v>the-of</v>
          </cell>
          <cell r="I562" t="str">
            <v>sim</v>
          </cell>
          <cell r="V562" t="str">
            <v>not neg pair</v>
          </cell>
          <cell r="Y562" t="str">
            <v>Pres</v>
          </cell>
          <cell r="Z562">
            <v>4.6900000000000004</v>
          </cell>
          <cell r="AA562">
            <v>0</v>
          </cell>
          <cell r="AB562">
            <v>0</v>
          </cell>
        </row>
        <row r="563">
          <cell r="G563" t="str">
            <v>697_1</v>
          </cell>
          <cell r="H563" t="str">
            <v>the-of</v>
          </cell>
          <cell r="I563" t="str">
            <v>sim</v>
          </cell>
          <cell r="V563" t="str">
            <v>not neg pair</v>
          </cell>
          <cell r="Y563" t="str">
            <v>Pres</v>
          </cell>
          <cell r="Z563">
            <v>4.6900000000000004</v>
          </cell>
          <cell r="AA563">
            <v>0</v>
          </cell>
          <cell r="AB563">
            <v>0</v>
          </cell>
        </row>
        <row r="564">
          <cell r="G564" t="str">
            <v>698_0</v>
          </cell>
          <cell r="H564" t="str">
            <v>as-as</v>
          </cell>
          <cell r="I564" t="str">
            <v>sim</v>
          </cell>
          <cell r="V564" t="str">
            <v>not neg pair</v>
          </cell>
          <cell r="Y564" t="str">
            <v>Past</v>
          </cell>
          <cell r="Z564">
            <v>4.46</v>
          </cell>
          <cell r="AA564">
            <v>0</v>
          </cell>
          <cell r="AB564">
            <v>0</v>
          </cell>
        </row>
        <row r="565">
          <cell r="G565" t="str">
            <v>698_1</v>
          </cell>
          <cell r="H565" t="str">
            <v>as-as</v>
          </cell>
          <cell r="I565" t="str">
            <v>sim</v>
          </cell>
          <cell r="V565" t="str">
            <v>not neg pair</v>
          </cell>
          <cell r="Y565" t="str">
            <v>Past</v>
          </cell>
          <cell r="Z565">
            <v>4.46</v>
          </cell>
          <cell r="AA565">
            <v>0</v>
          </cell>
          <cell r="AB565">
            <v>0</v>
          </cell>
        </row>
        <row r="566">
          <cell r="G566" t="str">
            <v>700_0</v>
          </cell>
          <cell r="H566" t="str">
            <v>as-as</v>
          </cell>
          <cell r="I566" t="str">
            <v>sim</v>
          </cell>
          <cell r="V566" t="str">
            <v>antonym</v>
          </cell>
          <cell r="Y566" t="str">
            <v>Past</v>
          </cell>
          <cell r="Z566">
            <v>4.93</v>
          </cell>
          <cell r="AA566" t="str">
            <v>H</v>
          </cell>
          <cell r="AB566">
            <v>0</v>
          </cell>
        </row>
        <row r="567">
          <cell r="G567" t="str">
            <v>700_1</v>
          </cell>
          <cell r="H567" t="str">
            <v>as-as</v>
          </cell>
          <cell r="I567" t="str">
            <v>sim</v>
          </cell>
          <cell r="V567" t="str">
            <v>antonym</v>
          </cell>
          <cell r="Y567" t="str">
            <v>Past</v>
          </cell>
          <cell r="Z567">
            <v>4.93</v>
          </cell>
          <cell r="AA567" t="str">
            <v>H</v>
          </cell>
          <cell r="AB567">
            <v>0</v>
          </cell>
        </row>
        <row r="568">
          <cell r="G568" t="str">
            <v>703_0</v>
          </cell>
          <cell r="H568" t="str">
            <v>like</v>
          </cell>
          <cell r="I568" t="str">
            <v>sim</v>
          </cell>
          <cell r="V568" t="str">
            <v>not neg pair</v>
          </cell>
          <cell r="Y568" t="str">
            <v>Pres</v>
          </cell>
          <cell r="Z568">
            <v>3.93</v>
          </cell>
          <cell r="AA568">
            <v>0</v>
          </cell>
          <cell r="AB568">
            <v>0</v>
          </cell>
        </row>
        <row r="569">
          <cell r="G569" t="str">
            <v>703_1</v>
          </cell>
          <cell r="H569" t="str">
            <v>like</v>
          </cell>
          <cell r="I569" t="str">
            <v>sim</v>
          </cell>
          <cell r="V569" t="str">
            <v>not neg pair</v>
          </cell>
          <cell r="Y569" t="str">
            <v>Pres</v>
          </cell>
          <cell r="Z569">
            <v>3.93</v>
          </cell>
          <cell r="AA569">
            <v>0</v>
          </cell>
          <cell r="AB569">
            <v>0</v>
          </cell>
        </row>
        <row r="570">
          <cell r="G570" t="str">
            <v>704_0</v>
          </cell>
          <cell r="H570" t="str">
            <v/>
          </cell>
          <cell r="I570" t="str">
            <v>met</v>
          </cell>
          <cell r="V570" t="str">
            <v>0</v>
          </cell>
          <cell r="Y570" t="str">
            <v>Pres</v>
          </cell>
          <cell r="Z570">
            <v>1.72</v>
          </cell>
          <cell r="AA570" t="str">
            <v>L</v>
          </cell>
          <cell r="AB570">
            <v>0</v>
          </cell>
        </row>
        <row r="571">
          <cell r="G571" t="str">
            <v>704_1</v>
          </cell>
          <cell r="H571" t="str">
            <v/>
          </cell>
          <cell r="I571" t="str">
            <v>met</v>
          </cell>
          <cell r="V571" t="str">
            <v>0</v>
          </cell>
          <cell r="Y571" t="str">
            <v>Pres</v>
          </cell>
          <cell r="Z571">
            <v>1.72</v>
          </cell>
          <cell r="AA571" t="str">
            <v>L</v>
          </cell>
          <cell r="AB571">
            <v>0</v>
          </cell>
        </row>
        <row r="572">
          <cell r="G572" t="str">
            <v>705_0</v>
          </cell>
          <cell r="H572" t="str">
            <v/>
          </cell>
          <cell r="I572" t="str">
            <v>met</v>
          </cell>
          <cell r="V572" t="str">
            <v>0</v>
          </cell>
          <cell r="Y572" t="str">
            <v>Pres</v>
          </cell>
          <cell r="Z572">
            <v>4.79</v>
          </cell>
          <cell r="AA572">
            <v>0</v>
          </cell>
          <cell r="AB572">
            <v>0</v>
          </cell>
        </row>
        <row r="573">
          <cell r="G573" t="str">
            <v>705_1</v>
          </cell>
          <cell r="H573" t="str">
            <v/>
          </cell>
          <cell r="I573" t="str">
            <v>met</v>
          </cell>
          <cell r="V573" t="str">
            <v>0</v>
          </cell>
          <cell r="Y573" t="str">
            <v>Pres</v>
          </cell>
          <cell r="Z573">
            <v>4.79</v>
          </cell>
          <cell r="AA573">
            <v>0</v>
          </cell>
          <cell r="AB573">
            <v>0</v>
          </cell>
        </row>
        <row r="574">
          <cell r="G574" t="str">
            <v>706_0</v>
          </cell>
          <cell r="H574" t="str">
            <v/>
          </cell>
          <cell r="I574" t="str">
            <v>met</v>
          </cell>
          <cell r="V574" t="str">
            <v>0</v>
          </cell>
          <cell r="Y574" t="str">
            <v>Past</v>
          </cell>
          <cell r="Z574">
            <v>4.9000000000000004</v>
          </cell>
          <cell r="AA574" t="str">
            <v>H</v>
          </cell>
          <cell r="AB574">
            <v>0</v>
          </cell>
        </row>
        <row r="575">
          <cell r="G575" t="str">
            <v>706_1</v>
          </cell>
          <cell r="H575" t="str">
            <v/>
          </cell>
          <cell r="I575" t="str">
            <v>met</v>
          </cell>
          <cell r="V575" t="str">
            <v>0</v>
          </cell>
          <cell r="Y575" t="str">
            <v>Past</v>
          </cell>
          <cell r="Z575">
            <v>4.9000000000000004</v>
          </cell>
          <cell r="AA575" t="str">
            <v>H</v>
          </cell>
          <cell r="AB575">
            <v>0</v>
          </cell>
        </row>
        <row r="576">
          <cell r="G576" t="str">
            <v>709_0</v>
          </cell>
          <cell r="H576" t="str">
            <v>the-of</v>
          </cell>
          <cell r="I576" t="str">
            <v>sim</v>
          </cell>
          <cell r="V576" t="str">
            <v>not</v>
          </cell>
          <cell r="Y576" t="str">
            <v>Past</v>
          </cell>
          <cell r="Z576">
            <v>3.24</v>
          </cell>
          <cell r="AA576">
            <v>0</v>
          </cell>
          <cell r="AB576">
            <v>1</v>
          </cell>
        </row>
        <row r="577">
          <cell r="G577" t="str">
            <v>709_1</v>
          </cell>
          <cell r="H577" t="str">
            <v>the-of</v>
          </cell>
          <cell r="I577" t="str">
            <v>sim</v>
          </cell>
          <cell r="V577" t="str">
            <v>not</v>
          </cell>
          <cell r="Y577" t="str">
            <v>Past</v>
          </cell>
          <cell r="Z577">
            <v>3.24</v>
          </cell>
          <cell r="AA577">
            <v>0</v>
          </cell>
          <cell r="AB577">
            <v>1</v>
          </cell>
        </row>
        <row r="578">
          <cell r="G578" t="str">
            <v>710_0</v>
          </cell>
          <cell r="H578" t="str">
            <v>like</v>
          </cell>
          <cell r="I578" t="str">
            <v>sim</v>
          </cell>
          <cell r="V578" t="str">
            <v>not neg pair</v>
          </cell>
          <cell r="Y578" t="str">
            <v>Past</v>
          </cell>
          <cell r="Z578">
            <v>3.21</v>
          </cell>
          <cell r="AA578">
            <v>0</v>
          </cell>
          <cell r="AB578">
            <v>0</v>
          </cell>
        </row>
        <row r="579">
          <cell r="G579" t="str">
            <v>710_1</v>
          </cell>
          <cell r="H579" t="str">
            <v>like</v>
          </cell>
          <cell r="I579" t="str">
            <v>sim</v>
          </cell>
          <cell r="V579" t="str">
            <v>not neg pair</v>
          </cell>
          <cell r="Y579" t="str">
            <v>Past</v>
          </cell>
          <cell r="Z579">
            <v>3.21</v>
          </cell>
          <cell r="AA579">
            <v>0</v>
          </cell>
          <cell r="AB579">
            <v>0</v>
          </cell>
        </row>
        <row r="580">
          <cell r="G580" t="str">
            <v>713_0</v>
          </cell>
          <cell r="H580" t="str">
            <v/>
          </cell>
          <cell r="I580" t="str">
            <v>met</v>
          </cell>
          <cell r="V580" t="str">
            <v>0</v>
          </cell>
          <cell r="Y580" t="str">
            <v>Past</v>
          </cell>
          <cell r="Z580">
            <v>3.56</v>
          </cell>
          <cell r="AA580">
            <v>0</v>
          </cell>
          <cell r="AB580">
            <v>0</v>
          </cell>
        </row>
        <row r="581">
          <cell r="G581" t="str">
            <v>713_1</v>
          </cell>
          <cell r="H581" t="str">
            <v>like</v>
          </cell>
          <cell r="I581" t="str">
            <v>sim</v>
          </cell>
          <cell r="V581" t="str">
            <v>0</v>
          </cell>
          <cell r="Y581" t="str">
            <v>Past</v>
          </cell>
          <cell r="Z581">
            <v>3.56</v>
          </cell>
          <cell r="AA581">
            <v>0</v>
          </cell>
          <cell r="AB581">
            <v>0</v>
          </cell>
        </row>
        <row r="582">
          <cell r="G582" t="str">
            <v>715_0</v>
          </cell>
          <cell r="H582" t="str">
            <v/>
          </cell>
          <cell r="I582" t="str">
            <v>met</v>
          </cell>
          <cell r="V582" t="str">
            <v>0</v>
          </cell>
          <cell r="Y582">
            <v>0</v>
          </cell>
          <cell r="Z582">
            <v>3.93</v>
          </cell>
          <cell r="AA582">
            <v>0</v>
          </cell>
          <cell r="AB582">
            <v>0</v>
          </cell>
        </row>
        <row r="583">
          <cell r="G583" t="str">
            <v>715_1</v>
          </cell>
          <cell r="H583" t="str">
            <v/>
          </cell>
          <cell r="I583" t="str">
            <v>met</v>
          </cell>
          <cell r="V583" t="str">
            <v>0</v>
          </cell>
          <cell r="Y583">
            <v>0</v>
          </cell>
          <cell r="Z583">
            <v>3.93</v>
          </cell>
          <cell r="AA583">
            <v>0</v>
          </cell>
          <cell r="AB583">
            <v>0</v>
          </cell>
        </row>
        <row r="584">
          <cell r="G584" t="str">
            <v>722_0</v>
          </cell>
          <cell r="H584" t="str">
            <v>as-as</v>
          </cell>
          <cell r="I584" t="str">
            <v>sim</v>
          </cell>
          <cell r="V584" t="str">
            <v>antonym</v>
          </cell>
          <cell r="Y584" t="str">
            <v>Past</v>
          </cell>
          <cell r="Z584">
            <v>4.79</v>
          </cell>
          <cell r="AA584">
            <v>0</v>
          </cell>
          <cell r="AB584">
            <v>0</v>
          </cell>
        </row>
        <row r="585">
          <cell r="G585" t="str">
            <v>722_1</v>
          </cell>
          <cell r="H585" t="str">
            <v>as-as</v>
          </cell>
          <cell r="I585" t="str">
            <v>sim</v>
          </cell>
          <cell r="V585" t="str">
            <v>antonym</v>
          </cell>
          <cell r="Y585" t="str">
            <v>Past</v>
          </cell>
          <cell r="Z585">
            <v>4.79</v>
          </cell>
          <cell r="AA585">
            <v>0</v>
          </cell>
          <cell r="AB585">
            <v>0</v>
          </cell>
        </row>
        <row r="586">
          <cell r="G586" t="str">
            <v>723_0</v>
          </cell>
          <cell r="H586" t="str">
            <v>like</v>
          </cell>
          <cell r="I586" t="str">
            <v>sim</v>
          </cell>
          <cell r="V586" t="str">
            <v>not neg pair</v>
          </cell>
          <cell r="Y586" t="str">
            <v>Past</v>
          </cell>
          <cell r="Z586">
            <v>4.79</v>
          </cell>
          <cell r="AA586">
            <v>0</v>
          </cell>
          <cell r="AB586">
            <v>0</v>
          </cell>
        </row>
        <row r="587">
          <cell r="G587" t="str">
            <v>723_1</v>
          </cell>
          <cell r="H587" t="str">
            <v>like</v>
          </cell>
          <cell r="I587" t="str">
            <v>sim</v>
          </cell>
          <cell r="V587" t="str">
            <v>not neg pair</v>
          </cell>
          <cell r="Y587" t="str">
            <v>Past</v>
          </cell>
          <cell r="Z587">
            <v>4.79</v>
          </cell>
          <cell r="AA587">
            <v>0</v>
          </cell>
          <cell r="AB587">
            <v>0</v>
          </cell>
        </row>
        <row r="588">
          <cell r="G588" t="str">
            <v>724_0</v>
          </cell>
          <cell r="H588" t="str">
            <v>as-as</v>
          </cell>
          <cell r="I588" t="str">
            <v>sim</v>
          </cell>
          <cell r="V588" t="str">
            <v>antonym</v>
          </cell>
          <cell r="Y588" t="str">
            <v>Past</v>
          </cell>
          <cell r="Z588">
            <v>4.79</v>
          </cell>
          <cell r="AA588">
            <v>0</v>
          </cell>
          <cell r="AB588">
            <v>0</v>
          </cell>
        </row>
        <row r="589">
          <cell r="G589" t="str">
            <v>724_1</v>
          </cell>
          <cell r="H589" t="str">
            <v>as-as</v>
          </cell>
          <cell r="I589" t="str">
            <v>sim</v>
          </cell>
          <cell r="V589" t="str">
            <v>antonym</v>
          </cell>
          <cell r="Y589" t="str">
            <v>Past</v>
          </cell>
          <cell r="Z589">
            <v>4.79</v>
          </cell>
          <cell r="AA589">
            <v>0</v>
          </cell>
          <cell r="AB589">
            <v>0</v>
          </cell>
        </row>
        <row r="590">
          <cell r="G590" t="str">
            <v>726_0</v>
          </cell>
          <cell r="H590" t="str">
            <v/>
          </cell>
          <cell r="I590" t="str">
            <v>met</v>
          </cell>
          <cell r="V590" t="str">
            <v>0</v>
          </cell>
          <cell r="Y590" t="str">
            <v>Pres</v>
          </cell>
          <cell r="Z590">
            <v>4.6399999999999997</v>
          </cell>
          <cell r="AA590">
            <v>0</v>
          </cell>
          <cell r="AB590">
            <v>0</v>
          </cell>
        </row>
        <row r="591">
          <cell r="G591" t="str">
            <v>726_1</v>
          </cell>
          <cell r="H591" t="str">
            <v/>
          </cell>
          <cell r="I591" t="str">
            <v>met</v>
          </cell>
          <cell r="V591" t="str">
            <v>0</v>
          </cell>
          <cell r="Y591" t="str">
            <v>Pres</v>
          </cell>
          <cell r="Z591">
            <v>4.6399999999999997</v>
          </cell>
          <cell r="AA591">
            <v>0</v>
          </cell>
          <cell r="AB591">
            <v>0</v>
          </cell>
        </row>
        <row r="592">
          <cell r="G592" t="str">
            <v>728_0</v>
          </cell>
          <cell r="H592" t="str">
            <v/>
          </cell>
          <cell r="I592" t="str">
            <v>met</v>
          </cell>
          <cell r="V592" t="str">
            <v>0</v>
          </cell>
          <cell r="Y592" t="str">
            <v>Pres</v>
          </cell>
          <cell r="Z592">
            <v>4.97</v>
          </cell>
          <cell r="AA592" t="str">
            <v>H</v>
          </cell>
          <cell r="AB592">
            <v>0</v>
          </cell>
        </row>
        <row r="593">
          <cell r="G593" t="str">
            <v>728_1</v>
          </cell>
          <cell r="H593" t="str">
            <v/>
          </cell>
          <cell r="I593" t="str">
            <v>met</v>
          </cell>
          <cell r="V593" t="str">
            <v>0</v>
          </cell>
          <cell r="Y593" t="str">
            <v>Pres</v>
          </cell>
          <cell r="Z593">
            <v>4.97</v>
          </cell>
          <cell r="AA593" t="str">
            <v>H</v>
          </cell>
          <cell r="AB593">
            <v>0</v>
          </cell>
        </row>
        <row r="594">
          <cell r="G594" t="str">
            <v>732_0</v>
          </cell>
          <cell r="H594" t="str">
            <v/>
          </cell>
          <cell r="I594" t="str">
            <v>met</v>
          </cell>
          <cell r="V594" t="str">
            <v>0</v>
          </cell>
          <cell r="Y594" t="str">
            <v>Pres</v>
          </cell>
          <cell r="Z594">
            <v>4.13</v>
          </cell>
          <cell r="AA594">
            <v>0</v>
          </cell>
          <cell r="AB594">
            <v>0</v>
          </cell>
        </row>
        <row r="595">
          <cell r="G595" t="str">
            <v>732_1</v>
          </cell>
          <cell r="H595" t="str">
            <v/>
          </cell>
          <cell r="I595" t="str">
            <v>met</v>
          </cell>
          <cell r="V595" t="str">
            <v>0</v>
          </cell>
          <cell r="Y595" t="str">
            <v>Pres</v>
          </cell>
          <cell r="Z595">
            <v>4.13</v>
          </cell>
          <cell r="AA595">
            <v>0</v>
          </cell>
          <cell r="AB595">
            <v>0</v>
          </cell>
        </row>
        <row r="596">
          <cell r="G596" t="str">
            <v>737_0</v>
          </cell>
          <cell r="H596" t="str">
            <v>as-as</v>
          </cell>
          <cell r="I596" t="str">
            <v>sim</v>
          </cell>
          <cell r="V596" t="str">
            <v>not neg pair</v>
          </cell>
          <cell r="Y596" t="str">
            <v>Past</v>
          </cell>
          <cell r="Z596">
            <v>4.62</v>
          </cell>
          <cell r="AA596">
            <v>0</v>
          </cell>
          <cell r="AB596">
            <v>0</v>
          </cell>
        </row>
        <row r="597">
          <cell r="G597" t="str">
            <v>737_1</v>
          </cell>
          <cell r="H597" t="str">
            <v>as-as</v>
          </cell>
          <cell r="I597" t="str">
            <v>sim</v>
          </cell>
          <cell r="V597" t="str">
            <v>not neg pair</v>
          </cell>
          <cell r="Y597" t="str">
            <v>Past</v>
          </cell>
          <cell r="Z597">
            <v>4.62</v>
          </cell>
          <cell r="AA597">
            <v>0</v>
          </cell>
          <cell r="AB597">
            <v>0</v>
          </cell>
        </row>
        <row r="598">
          <cell r="G598" t="str">
            <v>739_0</v>
          </cell>
          <cell r="H598" t="str">
            <v>the-of</v>
          </cell>
          <cell r="I598" t="str">
            <v>sim</v>
          </cell>
          <cell r="V598" t="str">
            <v>not neg pair</v>
          </cell>
          <cell r="Y598" t="str">
            <v>Past</v>
          </cell>
          <cell r="Z598">
            <v>4.78</v>
          </cell>
          <cell r="AA598">
            <v>0</v>
          </cell>
          <cell r="AB598">
            <v>0</v>
          </cell>
        </row>
        <row r="599">
          <cell r="G599" t="str">
            <v>739_1</v>
          </cell>
          <cell r="H599" t="str">
            <v>the-of</v>
          </cell>
          <cell r="I599" t="str">
            <v>sim</v>
          </cell>
          <cell r="V599" t="str">
            <v>not neg pair</v>
          </cell>
          <cell r="Y599" t="str">
            <v>Past</v>
          </cell>
          <cell r="Z599">
            <v>4.78</v>
          </cell>
          <cell r="AA599">
            <v>0</v>
          </cell>
          <cell r="AB599">
            <v>0</v>
          </cell>
        </row>
        <row r="600">
          <cell r="G600" t="str">
            <v>741_0</v>
          </cell>
          <cell r="H600" t="str">
            <v>the-of</v>
          </cell>
          <cell r="I600" t="str">
            <v>sim</v>
          </cell>
          <cell r="V600" t="str">
            <v>not</v>
          </cell>
          <cell r="Y600" t="str">
            <v>Pres</v>
          </cell>
          <cell r="Z600">
            <v>4.9000000000000004</v>
          </cell>
          <cell r="AA600" t="str">
            <v>H</v>
          </cell>
          <cell r="AB600">
            <v>1</v>
          </cell>
        </row>
        <row r="601">
          <cell r="G601" t="str">
            <v>741_1</v>
          </cell>
          <cell r="H601" t="str">
            <v>the-of</v>
          </cell>
          <cell r="I601" t="str">
            <v>sim</v>
          </cell>
          <cell r="V601" t="str">
            <v>not</v>
          </cell>
          <cell r="Y601" t="str">
            <v>Past</v>
          </cell>
          <cell r="Z601">
            <v>4.9000000000000004</v>
          </cell>
          <cell r="AA601" t="str">
            <v>H</v>
          </cell>
          <cell r="AB601">
            <v>1</v>
          </cell>
        </row>
        <row r="602">
          <cell r="G602" t="str">
            <v>742_0</v>
          </cell>
          <cell r="H602" t="str">
            <v>as-as</v>
          </cell>
          <cell r="I602" t="str">
            <v>sim</v>
          </cell>
          <cell r="V602" t="str">
            <v>not neg pair</v>
          </cell>
          <cell r="Y602" t="str">
            <v>Pres</v>
          </cell>
          <cell r="Z602">
            <v>4.59</v>
          </cell>
          <cell r="AA602">
            <v>0</v>
          </cell>
          <cell r="AB602">
            <v>0</v>
          </cell>
        </row>
        <row r="603">
          <cell r="G603" t="str">
            <v>742_1</v>
          </cell>
          <cell r="H603" t="str">
            <v>as-as</v>
          </cell>
          <cell r="I603" t="str">
            <v>sim</v>
          </cell>
          <cell r="V603" t="str">
            <v>not neg pair</v>
          </cell>
          <cell r="Y603" t="str">
            <v>Pres</v>
          </cell>
          <cell r="Z603">
            <v>4.59</v>
          </cell>
          <cell r="AA603">
            <v>0</v>
          </cell>
          <cell r="AB603">
            <v>0</v>
          </cell>
        </row>
        <row r="604">
          <cell r="G604" t="str">
            <v>745_0</v>
          </cell>
          <cell r="H604" t="str">
            <v/>
          </cell>
          <cell r="I604" t="str">
            <v>met</v>
          </cell>
          <cell r="V604" t="str">
            <v>0</v>
          </cell>
          <cell r="Y604" t="str">
            <v>Pres</v>
          </cell>
          <cell r="Z604">
            <v>3.7</v>
          </cell>
          <cell r="AA604">
            <v>0</v>
          </cell>
          <cell r="AB604">
            <v>0</v>
          </cell>
        </row>
        <row r="605">
          <cell r="G605" t="str">
            <v>745_1</v>
          </cell>
          <cell r="H605" t="str">
            <v/>
          </cell>
          <cell r="I605" t="str">
            <v>met</v>
          </cell>
          <cell r="V605" t="str">
            <v>0</v>
          </cell>
          <cell r="Y605" t="str">
            <v>Pres</v>
          </cell>
          <cell r="Z605">
            <v>3.7</v>
          </cell>
          <cell r="AA605">
            <v>0</v>
          </cell>
          <cell r="AB605">
            <v>0</v>
          </cell>
        </row>
        <row r="606">
          <cell r="G606" t="str">
            <v>746_0</v>
          </cell>
          <cell r="H606" t="str">
            <v/>
          </cell>
          <cell r="I606" t="str">
            <v>met</v>
          </cell>
          <cell r="V606" t="str">
            <v>0</v>
          </cell>
          <cell r="Y606" t="str">
            <v>Pres</v>
          </cell>
          <cell r="Z606">
            <v>4.92</v>
          </cell>
          <cell r="AA606" t="str">
            <v>H</v>
          </cell>
          <cell r="AB606">
            <v>0</v>
          </cell>
        </row>
        <row r="607">
          <cell r="G607" t="str">
            <v>746_1</v>
          </cell>
          <cell r="H607" t="str">
            <v/>
          </cell>
          <cell r="I607" t="str">
            <v>met</v>
          </cell>
          <cell r="V607" t="str">
            <v>0</v>
          </cell>
          <cell r="Y607" t="str">
            <v>Pres</v>
          </cell>
          <cell r="Z607">
            <v>4.92</v>
          </cell>
          <cell r="AA607" t="str">
            <v>H</v>
          </cell>
          <cell r="AB607">
            <v>0</v>
          </cell>
        </row>
        <row r="608">
          <cell r="G608" t="str">
            <v>747_0</v>
          </cell>
          <cell r="H608" t="str">
            <v>the-of</v>
          </cell>
          <cell r="I608" t="str">
            <v>sim</v>
          </cell>
          <cell r="V608" t="str">
            <v>not neg pair</v>
          </cell>
          <cell r="Y608" t="str">
            <v>Pres</v>
          </cell>
          <cell r="Z608">
            <v>4.96</v>
          </cell>
          <cell r="AA608" t="str">
            <v>H</v>
          </cell>
          <cell r="AB608">
            <v>0</v>
          </cell>
        </row>
        <row r="609">
          <cell r="G609" t="str">
            <v>747_1</v>
          </cell>
          <cell r="H609" t="str">
            <v>the-of</v>
          </cell>
          <cell r="I609" t="str">
            <v>sim</v>
          </cell>
          <cell r="V609" t="str">
            <v>not neg pair</v>
          </cell>
          <cell r="Y609" t="str">
            <v>Pres</v>
          </cell>
          <cell r="Z609">
            <v>4.96</v>
          </cell>
          <cell r="AA609" t="str">
            <v>H</v>
          </cell>
          <cell r="AB609">
            <v>0</v>
          </cell>
        </row>
        <row r="610">
          <cell r="G610" t="str">
            <v>751_0</v>
          </cell>
          <cell r="H610" t="str">
            <v>like</v>
          </cell>
          <cell r="I610" t="str">
            <v>sim</v>
          </cell>
          <cell r="V610" t="str">
            <v>not neg pair</v>
          </cell>
          <cell r="Y610" t="str">
            <v>Pres</v>
          </cell>
          <cell r="Z610">
            <v>3.93</v>
          </cell>
          <cell r="AA610">
            <v>0</v>
          </cell>
          <cell r="AB610">
            <v>0</v>
          </cell>
        </row>
        <row r="611">
          <cell r="G611" t="str">
            <v>751_1</v>
          </cell>
          <cell r="H611" t="str">
            <v>like</v>
          </cell>
          <cell r="I611" t="str">
            <v>sim</v>
          </cell>
          <cell r="V611" t="str">
            <v>not neg pair</v>
          </cell>
          <cell r="Y611" t="str">
            <v>Pres</v>
          </cell>
          <cell r="Z611">
            <v>5</v>
          </cell>
          <cell r="AA611" t="str">
            <v>H</v>
          </cell>
          <cell r="AB611">
            <v>0</v>
          </cell>
        </row>
        <row r="612">
          <cell r="G612" t="str">
            <v>759_0</v>
          </cell>
          <cell r="H612" t="str">
            <v>the-of</v>
          </cell>
          <cell r="I612" t="str">
            <v>sim</v>
          </cell>
          <cell r="V612" t="str">
            <v>not</v>
          </cell>
          <cell r="Y612" t="str">
            <v>Pres</v>
          </cell>
          <cell r="Z612">
            <v>4.78</v>
          </cell>
          <cell r="AA612">
            <v>0</v>
          </cell>
          <cell r="AB612">
            <v>1</v>
          </cell>
        </row>
        <row r="613">
          <cell r="G613" t="str">
            <v>759_1</v>
          </cell>
          <cell r="H613" t="str">
            <v>the-of</v>
          </cell>
          <cell r="I613" t="str">
            <v>sim</v>
          </cell>
          <cell r="V613" t="str">
            <v>not</v>
          </cell>
          <cell r="Y613" t="str">
            <v>Pres</v>
          </cell>
          <cell r="Z613">
            <v>4.78</v>
          </cell>
          <cell r="AA613">
            <v>0</v>
          </cell>
          <cell r="AB613">
            <v>1</v>
          </cell>
        </row>
        <row r="614">
          <cell r="G614" t="str">
            <v>760_0</v>
          </cell>
          <cell r="H614" t="str">
            <v>as-as</v>
          </cell>
          <cell r="I614" t="str">
            <v>sim</v>
          </cell>
          <cell r="V614" t="str">
            <v>not</v>
          </cell>
          <cell r="Y614" t="str">
            <v>Past</v>
          </cell>
          <cell r="Z614">
            <v>3.36</v>
          </cell>
          <cell r="AA614">
            <v>0</v>
          </cell>
          <cell r="AB614">
            <v>1</v>
          </cell>
        </row>
        <row r="615">
          <cell r="G615" t="str">
            <v>760_1</v>
          </cell>
          <cell r="H615" t="str">
            <v>as-as</v>
          </cell>
          <cell r="I615" t="str">
            <v>sim</v>
          </cell>
          <cell r="V615" t="str">
            <v>not</v>
          </cell>
          <cell r="Y615" t="str">
            <v>Past</v>
          </cell>
          <cell r="Z615">
            <v>3.36</v>
          </cell>
          <cell r="AA615">
            <v>0</v>
          </cell>
          <cell r="AB615">
            <v>1</v>
          </cell>
        </row>
        <row r="616">
          <cell r="G616" t="str">
            <v>761_0</v>
          </cell>
          <cell r="H616" t="str">
            <v>as-as</v>
          </cell>
          <cell r="I616" t="str">
            <v>sim</v>
          </cell>
          <cell r="V616" t="str">
            <v>not</v>
          </cell>
          <cell r="Y616" t="str">
            <v>Past</v>
          </cell>
          <cell r="Z616">
            <v>4.59</v>
          </cell>
          <cell r="AA616">
            <v>0</v>
          </cell>
          <cell r="AB616">
            <v>1</v>
          </cell>
        </row>
        <row r="617">
          <cell r="G617" t="str">
            <v>761_1</v>
          </cell>
          <cell r="H617" t="str">
            <v>as-as</v>
          </cell>
          <cell r="I617" t="str">
            <v>sim</v>
          </cell>
          <cell r="V617" t="str">
            <v>not</v>
          </cell>
          <cell r="Y617" t="str">
            <v>Past</v>
          </cell>
          <cell r="Z617">
            <v>4.59</v>
          </cell>
          <cell r="AA617">
            <v>0</v>
          </cell>
          <cell r="AB617">
            <v>1</v>
          </cell>
        </row>
        <row r="618">
          <cell r="G618" t="str">
            <v>762_0</v>
          </cell>
          <cell r="H618" t="str">
            <v>like</v>
          </cell>
          <cell r="I618" t="str">
            <v>sim</v>
          </cell>
          <cell r="V618" t="str">
            <v>not neg pair</v>
          </cell>
          <cell r="Y618" t="str">
            <v>Pres</v>
          </cell>
          <cell r="Z618">
            <v>3.86</v>
          </cell>
          <cell r="AA618">
            <v>0</v>
          </cell>
          <cell r="AB618">
            <v>0</v>
          </cell>
        </row>
        <row r="619">
          <cell r="G619" t="str">
            <v>762_1</v>
          </cell>
          <cell r="H619" t="str">
            <v>like</v>
          </cell>
          <cell r="I619" t="str">
            <v>sim</v>
          </cell>
          <cell r="V619" t="str">
            <v>not neg pair</v>
          </cell>
          <cell r="Y619" t="str">
            <v>Past</v>
          </cell>
          <cell r="Z619">
            <v>3.86</v>
          </cell>
          <cell r="AA619">
            <v>0</v>
          </cell>
          <cell r="AB619">
            <v>0</v>
          </cell>
        </row>
        <row r="620">
          <cell r="G620" t="str">
            <v>765_0</v>
          </cell>
          <cell r="H620" t="str">
            <v/>
          </cell>
          <cell r="I620" t="str">
            <v>met</v>
          </cell>
          <cell r="V620" t="str">
            <v>0</v>
          </cell>
          <cell r="Y620" t="str">
            <v>Pres</v>
          </cell>
          <cell r="Z620">
            <v>4.92</v>
          </cell>
          <cell r="AA620" t="str">
            <v>H</v>
          </cell>
          <cell r="AB620">
            <v>0</v>
          </cell>
        </row>
        <row r="621">
          <cell r="G621" t="str">
            <v>765_1</v>
          </cell>
          <cell r="H621" t="str">
            <v/>
          </cell>
          <cell r="I621" t="str">
            <v>met</v>
          </cell>
          <cell r="V621" t="str">
            <v>0</v>
          </cell>
          <cell r="Y621" t="str">
            <v>Pres</v>
          </cell>
          <cell r="Z621">
            <v>4.92</v>
          </cell>
          <cell r="AA621" t="str">
            <v>H</v>
          </cell>
          <cell r="AB621">
            <v>0</v>
          </cell>
        </row>
        <row r="622">
          <cell r="G622" t="str">
            <v>766_0</v>
          </cell>
          <cell r="H622" t="str">
            <v>the-of</v>
          </cell>
          <cell r="I622" t="str">
            <v>sim</v>
          </cell>
          <cell r="V622" t="str">
            <v>not neg pair</v>
          </cell>
          <cell r="Y622" t="str">
            <v>Pres</v>
          </cell>
          <cell r="Z622">
            <v>4.13</v>
          </cell>
          <cell r="AA622">
            <v>0</v>
          </cell>
          <cell r="AB622">
            <v>0</v>
          </cell>
        </row>
        <row r="623">
          <cell r="G623" t="str">
            <v>766_1</v>
          </cell>
          <cell r="H623" t="str">
            <v>the-of</v>
          </cell>
          <cell r="I623" t="str">
            <v>sim</v>
          </cell>
          <cell r="V623" t="str">
            <v>not neg pair</v>
          </cell>
          <cell r="Y623" t="str">
            <v>Pres</v>
          </cell>
          <cell r="Z623">
            <v>4.13</v>
          </cell>
          <cell r="AA623">
            <v>0</v>
          </cell>
          <cell r="AB623">
            <v>0</v>
          </cell>
        </row>
        <row r="624">
          <cell r="G624" t="str">
            <v>770_0</v>
          </cell>
          <cell r="H624" t="str">
            <v/>
          </cell>
          <cell r="I624" t="str">
            <v>met</v>
          </cell>
          <cell r="V624" t="str">
            <v>0</v>
          </cell>
          <cell r="Y624" t="str">
            <v>Pres</v>
          </cell>
          <cell r="Z624">
            <v>4.97</v>
          </cell>
          <cell r="AA624" t="str">
            <v>H</v>
          </cell>
          <cell r="AB624">
            <v>0</v>
          </cell>
        </row>
        <row r="625">
          <cell r="G625" t="str">
            <v>770_1</v>
          </cell>
          <cell r="H625" t="str">
            <v/>
          </cell>
          <cell r="I625" t="str">
            <v>met</v>
          </cell>
          <cell r="V625" t="str">
            <v>0</v>
          </cell>
          <cell r="Y625" t="str">
            <v>Pres</v>
          </cell>
          <cell r="Z625">
            <v>4.97</v>
          </cell>
          <cell r="AA625" t="str">
            <v>H</v>
          </cell>
          <cell r="AB625">
            <v>0</v>
          </cell>
        </row>
        <row r="626">
          <cell r="G626" t="str">
            <v>775_0</v>
          </cell>
          <cell r="H626" t="str">
            <v>as-as</v>
          </cell>
          <cell r="I626" t="str">
            <v>sim</v>
          </cell>
          <cell r="V626" t="str">
            <v>not neg pair</v>
          </cell>
          <cell r="Y626" t="str">
            <v>Pres</v>
          </cell>
          <cell r="Z626">
            <v>4.84</v>
          </cell>
          <cell r="AA626">
            <v>0</v>
          </cell>
          <cell r="AB626">
            <v>0</v>
          </cell>
        </row>
        <row r="627">
          <cell r="G627" t="str">
            <v>775_1</v>
          </cell>
          <cell r="H627" t="str">
            <v>as-as</v>
          </cell>
          <cell r="I627" t="str">
            <v>sim</v>
          </cell>
          <cell r="V627" t="str">
            <v>not neg pair</v>
          </cell>
          <cell r="Y627" t="str">
            <v>Pres</v>
          </cell>
          <cell r="Z627">
            <v>4.84</v>
          </cell>
          <cell r="AA627">
            <v>0</v>
          </cell>
          <cell r="AB627">
            <v>0</v>
          </cell>
        </row>
        <row r="628">
          <cell r="G628" t="str">
            <v>776_0</v>
          </cell>
          <cell r="H628" t="str">
            <v>as-as</v>
          </cell>
          <cell r="I628" t="str">
            <v>sim</v>
          </cell>
          <cell r="V628" t="str">
            <v>not neg pair</v>
          </cell>
          <cell r="Y628" t="str">
            <v>Pres</v>
          </cell>
          <cell r="Z628">
            <v>4</v>
          </cell>
          <cell r="AA628">
            <v>0</v>
          </cell>
          <cell r="AB628">
            <v>0</v>
          </cell>
        </row>
        <row r="629">
          <cell r="G629" t="str">
            <v>776_1</v>
          </cell>
          <cell r="H629" t="str">
            <v>as-as</v>
          </cell>
          <cell r="I629" t="str">
            <v>sim</v>
          </cell>
          <cell r="V629" t="str">
            <v>not neg pair</v>
          </cell>
          <cell r="Y629" t="str">
            <v>Pres</v>
          </cell>
          <cell r="Z629">
            <v>4</v>
          </cell>
          <cell r="AA629">
            <v>0</v>
          </cell>
          <cell r="AB629">
            <v>0</v>
          </cell>
        </row>
        <row r="630">
          <cell r="G630" t="str">
            <v>777_0</v>
          </cell>
          <cell r="H630" t="str">
            <v>as-as</v>
          </cell>
          <cell r="I630" t="str">
            <v>sim</v>
          </cell>
          <cell r="V630" t="str">
            <v>not neg pair</v>
          </cell>
          <cell r="Y630" t="str">
            <v>Pres</v>
          </cell>
          <cell r="Z630">
            <v>4.75</v>
          </cell>
          <cell r="AA630">
            <v>0</v>
          </cell>
          <cell r="AB630">
            <v>0</v>
          </cell>
        </row>
        <row r="631">
          <cell r="G631" t="str">
            <v>777_1</v>
          </cell>
          <cell r="H631" t="str">
            <v>as-as</v>
          </cell>
          <cell r="I631" t="str">
            <v>sim</v>
          </cell>
          <cell r="V631" t="str">
            <v>not neg pair</v>
          </cell>
          <cell r="Y631" t="str">
            <v>Pres</v>
          </cell>
          <cell r="Z631">
            <v>4.75</v>
          </cell>
          <cell r="AA631">
            <v>0</v>
          </cell>
          <cell r="AB631">
            <v>0</v>
          </cell>
        </row>
        <row r="632">
          <cell r="G632" t="str">
            <v>781_0</v>
          </cell>
          <cell r="H632" t="str">
            <v>the-of</v>
          </cell>
          <cell r="I632" t="str">
            <v>sim</v>
          </cell>
          <cell r="V632" t="str">
            <v>not neg pair</v>
          </cell>
          <cell r="Y632" t="str">
            <v>Pres</v>
          </cell>
          <cell r="Z632">
            <v>2.2799999999999998</v>
          </cell>
          <cell r="AA632" t="str">
            <v>L</v>
          </cell>
          <cell r="AB632">
            <v>0</v>
          </cell>
        </row>
        <row r="633">
          <cell r="G633" t="str">
            <v>781_1</v>
          </cell>
          <cell r="H633" t="str">
            <v>the-of</v>
          </cell>
          <cell r="I633" t="str">
            <v>sim</v>
          </cell>
          <cell r="V633" t="str">
            <v>not neg pair</v>
          </cell>
          <cell r="Y633" t="str">
            <v>Pres</v>
          </cell>
          <cell r="Z633">
            <v>2.2799999999999998</v>
          </cell>
          <cell r="AA633" t="str">
            <v>L</v>
          </cell>
          <cell r="AB633">
            <v>0</v>
          </cell>
        </row>
        <row r="634">
          <cell r="G634" t="str">
            <v>782_0</v>
          </cell>
          <cell r="H634" t="str">
            <v>the-of</v>
          </cell>
          <cell r="I634" t="str">
            <v>sim</v>
          </cell>
          <cell r="V634" t="str">
            <v>not neg pair</v>
          </cell>
          <cell r="Y634" t="str">
            <v>Pres</v>
          </cell>
          <cell r="Z634">
            <v>5</v>
          </cell>
          <cell r="AA634" t="str">
            <v>H</v>
          </cell>
          <cell r="AB634">
            <v>0</v>
          </cell>
        </row>
        <row r="635">
          <cell r="G635" t="str">
            <v>782_1</v>
          </cell>
          <cell r="H635" t="str">
            <v>the-of</v>
          </cell>
          <cell r="I635" t="str">
            <v>sim</v>
          </cell>
          <cell r="V635" t="str">
            <v>not neg pair</v>
          </cell>
          <cell r="Y635" t="str">
            <v>Pres</v>
          </cell>
          <cell r="Z635">
            <v>5</v>
          </cell>
          <cell r="AA635" t="str">
            <v>H</v>
          </cell>
          <cell r="AB635">
            <v>0</v>
          </cell>
        </row>
        <row r="636">
          <cell r="G636" t="str">
            <v>783_0</v>
          </cell>
          <cell r="H636" t="str">
            <v>the-of</v>
          </cell>
          <cell r="I636" t="str">
            <v>sim</v>
          </cell>
          <cell r="V636" t="str">
            <v>not neg pair</v>
          </cell>
          <cell r="Y636" t="str">
            <v>Pres</v>
          </cell>
          <cell r="Z636">
            <v>4.97</v>
          </cell>
          <cell r="AA636" t="str">
            <v>H</v>
          </cell>
          <cell r="AB636">
            <v>0</v>
          </cell>
        </row>
        <row r="637">
          <cell r="G637" t="str">
            <v>783_1</v>
          </cell>
          <cell r="H637" t="str">
            <v>the-of</v>
          </cell>
          <cell r="I637" t="str">
            <v>sim</v>
          </cell>
          <cell r="V637" t="str">
            <v>not neg pair</v>
          </cell>
          <cell r="Y637" t="str">
            <v>Pres</v>
          </cell>
          <cell r="Z637">
            <v>4.97</v>
          </cell>
          <cell r="AA637" t="str">
            <v>H</v>
          </cell>
          <cell r="AB637">
            <v>0</v>
          </cell>
        </row>
        <row r="638">
          <cell r="G638" t="str">
            <v>784_0</v>
          </cell>
          <cell r="H638" t="str">
            <v>like</v>
          </cell>
          <cell r="I638" t="str">
            <v>sim</v>
          </cell>
          <cell r="V638" t="str">
            <v>not</v>
          </cell>
          <cell r="Y638" t="str">
            <v>Past</v>
          </cell>
          <cell r="Z638">
            <v>4.93</v>
          </cell>
          <cell r="AA638" t="str">
            <v>H</v>
          </cell>
          <cell r="AB638">
            <v>1</v>
          </cell>
        </row>
        <row r="639">
          <cell r="G639" t="str">
            <v>784_1</v>
          </cell>
          <cell r="H639" t="str">
            <v>like</v>
          </cell>
          <cell r="I639" t="str">
            <v>sim</v>
          </cell>
          <cell r="V639" t="str">
            <v>not</v>
          </cell>
          <cell r="Y639" t="str">
            <v>Past</v>
          </cell>
          <cell r="Z639">
            <v>4.93</v>
          </cell>
          <cell r="AA639" t="str">
            <v>H</v>
          </cell>
          <cell r="AB639">
            <v>1</v>
          </cell>
        </row>
        <row r="640">
          <cell r="G640" t="str">
            <v>786_0</v>
          </cell>
          <cell r="H640" t="str">
            <v/>
          </cell>
          <cell r="I640" t="str">
            <v>met</v>
          </cell>
          <cell r="V640" t="str">
            <v>0</v>
          </cell>
          <cell r="Y640" t="str">
            <v>Past</v>
          </cell>
          <cell r="Z640">
            <v>1.86</v>
          </cell>
          <cell r="AA640" t="str">
            <v>L</v>
          </cell>
          <cell r="AB640">
            <v>0</v>
          </cell>
        </row>
        <row r="641">
          <cell r="G641" t="str">
            <v>786_1</v>
          </cell>
          <cell r="H641" t="str">
            <v/>
          </cell>
          <cell r="I641" t="str">
            <v>met</v>
          </cell>
          <cell r="V641" t="str">
            <v>0</v>
          </cell>
          <cell r="Y641" t="str">
            <v>Past</v>
          </cell>
          <cell r="Z641">
            <v>1.86</v>
          </cell>
          <cell r="AA641" t="str">
            <v>L</v>
          </cell>
          <cell r="AB641">
            <v>0</v>
          </cell>
        </row>
        <row r="642">
          <cell r="G642" t="str">
            <v>788_0</v>
          </cell>
          <cell r="H642" t="str">
            <v/>
          </cell>
          <cell r="I642" t="str">
            <v>met</v>
          </cell>
          <cell r="V642" t="str">
            <v>0</v>
          </cell>
          <cell r="Y642" t="str">
            <v>Past</v>
          </cell>
          <cell r="Z642">
            <v>3.36</v>
          </cell>
          <cell r="AA642">
            <v>0</v>
          </cell>
          <cell r="AB642">
            <v>0</v>
          </cell>
        </row>
        <row r="643">
          <cell r="G643" t="str">
            <v>788_1</v>
          </cell>
          <cell r="H643" t="str">
            <v/>
          </cell>
          <cell r="I643" t="str">
            <v>met</v>
          </cell>
          <cell r="V643" t="str">
            <v>0</v>
          </cell>
          <cell r="Y643" t="str">
            <v>Past</v>
          </cell>
          <cell r="Z643">
            <v>3.36</v>
          </cell>
          <cell r="AA643">
            <v>0</v>
          </cell>
          <cell r="AB643">
            <v>0</v>
          </cell>
        </row>
        <row r="644">
          <cell r="G644" t="str">
            <v>790_0</v>
          </cell>
          <cell r="H644" t="str">
            <v>as-as</v>
          </cell>
          <cell r="I644" t="str">
            <v>sim</v>
          </cell>
          <cell r="V644" t="str">
            <v>not</v>
          </cell>
          <cell r="Y644" t="str">
            <v>Pres</v>
          </cell>
          <cell r="Z644">
            <v>3.97</v>
          </cell>
          <cell r="AA644">
            <v>0</v>
          </cell>
          <cell r="AB644">
            <v>0</v>
          </cell>
        </row>
        <row r="645">
          <cell r="G645" t="str">
            <v>790_1</v>
          </cell>
          <cell r="H645" t="str">
            <v>as-as</v>
          </cell>
          <cell r="I645" t="str">
            <v>sim</v>
          </cell>
          <cell r="V645" t="str">
            <v>not</v>
          </cell>
          <cell r="Y645" t="str">
            <v>Pres</v>
          </cell>
          <cell r="Z645">
            <v>3.97</v>
          </cell>
          <cell r="AA645">
            <v>0</v>
          </cell>
          <cell r="AB645">
            <v>0</v>
          </cell>
        </row>
        <row r="646">
          <cell r="G646" t="str">
            <v>796_0</v>
          </cell>
          <cell r="H646" t="str">
            <v>like</v>
          </cell>
          <cell r="I646" t="str">
            <v>sim</v>
          </cell>
          <cell r="V646" t="str">
            <v>not</v>
          </cell>
          <cell r="Y646">
            <v>0</v>
          </cell>
          <cell r="Z646">
            <v>3.93</v>
          </cell>
          <cell r="AA646">
            <v>0</v>
          </cell>
          <cell r="AB646">
            <v>1</v>
          </cell>
        </row>
        <row r="647">
          <cell r="G647" t="str">
            <v>796_1</v>
          </cell>
          <cell r="H647" t="str">
            <v>like</v>
          </cell>
          <cell r="I647" t="str">
            <v>sim</v>
          </cell>
          <cell r="V647" t="str">
            <v>not</v>
          </cell>
          <cell r="Y647">
            <v>0</v>
          </cell>
          <cell r="Z647">
            <v>3.93</v>
          </cell>
          <cell r="AA647">
            <v>0</v>
          </cell>
          <cell r="AB647">
            <v>1</v>
          </cell>
        </row>
        <row r="648">
          <cell r="G648" t="str">
            <v>801_0</v>
          </cell>
          <cell r="H648" t="str">
            <v>like</v>
          </cell>
          <cell r="I648" t="str">
            <v>sim</v>
          </cell>
          <cell r="V648" t="str">
            <v>not neg pair</v>
          </cell>
          <cell r="Y648" t="str">
            <v>Pres</v>
          </cell>
          <cell r="Z648">
            <v>4.8600000000000003</v>
          </cell>
          <cell r="AA648">
            <v>0</v>
          </cell>
          <cell r="AB648">
            <v>0</v>
          </cell>
        </row>
        <row r="649">
          <cell r="G649" t="str">
            <v>801_1</v>
          </cell>
          <cell r="H649" t="str">
            <v>like</v>
          </cell>
          <cell r="I649" t="str">
            <v>sim</v>
          </cell>
          <cell r="V649" t="str">
            <v>not neg pair</v>
          </cell>
          <cell r="Y649" t="str">
            <v>Pres</v>
          </cell>
          <cell r="Z649">
            <v>4.8600000000000003</v>
          </cell>
          <cell r="AA649">
            <v>0</v>
          </cell>
          <cell r="AB649">
            <v>0</v>
          </cell>
        </row>
        <row r="650">
          <cell r="G650" t="str">
            <v>805_0</v>
          </cell>
          <cell r="H650" t="str">
            <v>the-of</v>
          </cell>
          <cell r="I650" t="str">
            <v>sim</v>
          </cell>
          <cell r="V650" t="str">
            <v>not neg pair</v>
          </cell>
          <cell r="Y650" t="str">
            <v>Pres</v>
          </cell>
          <cell r="Z650">
            <v>4.59</v>
          </cell>
          <cell r="AA650">
            <v>0</v>
          </cell>
          <cell r="AB650">
            <v>0</v>
          </cell>
        </row>
        <row r="651">
          <cell r="G651" t="str">
            <v>805_1</v>
          </cell>
          <cell r="H651" t="str">
            <v>the-of</v>
          </cell>
          <cell r="I651" t="str">
            <v>sim</v>
          </cell>
          <cell r="V651" t="str">
            <v>not neg pair</v>
          </cell>
          <cell r="Y651" t="str">
            <v>Pres</v>
          </cell>
          <cell r="Z651">
            <v>4.59</v>
          </cell>
          <cell r="AA651">
            <v>0</v>
          </cell>
          <cell r="AB651">
            <v>0</v>
          </cell>
        </row>
        <row r="652">
          <cell r="G652" t="str">
            <v>812_0</v>
          </cell>
          <cell r="H652" t="str">
            <v>like</v>
          </cell>
          <cell r="I652" t="str">
            <v>sim</v>
          </cell>
          <cell r="V652" t="str">
            <v>not neg pair</v>
          </cell>
          <cell r="Y652" t="str">
            <v>Past</v>
          </cell>
          <cell r="Z652">
            <v>4.66</v>
          </cell>
          <cell r="AA652">
            <v>0</v>
          </cell>
          <cell r="AB652">
            <v>0</v>
          </cell>
        </row>
        <row r="653">
          <cell r="G653" t="str">
            <v>812_1</v>
          </cell>
          <cell r="H653" t="str">
            <v>like</v>
          </cell>
          <cell r="I653" t="str">
            <v>sim</v>
          </cell>
          <cell r="V653" t="str">
            <v>not neg pair</v>
          </cell>
          <cell r="Y653" t="str">
            <v>Past</v>
          </cell>
          <cell r="Z653">
            <v>4.66</v>
          </cell>
          <cell r="AA653">
            <v>0</v>
          </cell>
          <cell r="AB653">
            <v>0</v>
          </cell>
        </row>
        <row r="654">
          <cell r="G654" t="str">
            <v>816_0</v>
          </cell>
          <cell r="H654" t="str">
            <v>as-as</v>
          </cell>
          <cell r="I654" t="str">
            <v>sim</v>
          </cell>
          <cell r="V654" t="str">
            <v>not neg pair</v>
          </cell>
          <cell r="Y654" t="str">
            <v>Pres</v>
          </cell>
          <cell r="Z654">
            <v>4.25</v>
          </cell>
          <cell r="AA654">
            <v>0</v>
          </cell>
          <cell r="AB654">
            <v>0</v>
          </cell>
        </row>
        <row r="655">
          <cell r="G655" t="str">
            <v>816_1</v>
          </cell>
          <cell r="H655" t="str">
            <v>as-as</v>
          </cell>
          <cell r="I655" t="str">
            <v>sim</v>
          </cell>
          <cell r="V655" t="str">
            <v>not neg pair</v>
          </cell>
          <cell r="Y655" t="str">
            <v>Pres</v>
          </cell>
          <cell r="Z655">
            <v>4.25</v>
          </cell>
          <cell r="AA655">
            <v>0</v>
          </cell>
          <cell r="AB655">
            <v>0</v>
          </cell>
        </row>
        <row r="656">
          <cell r="G656" t="str">
            <v>817_0</v>
          </cell>
          <cell r="H656" t="str">
            <v>the-of</v>
          </cell>
          <cell r="I656" t="str">
            <v>sim</v>
          </cell>
          <cell r="V656" t="str">
            <v>not neg pair</v>
          </cell>
          <cell r="Y656" t="str">
            <v>Past</v>
          </cell>
          <cell r="Z656">
            <v>3.93</v>
          </cell>
          <cell r="AA656">
            <v>0</v>
          </cell>
          <cell r="AB656">
            <v>0</v>
          </cell>
        </row>
        <row r="657">
          <cell r="G657" t="str">
            <v>817_1</v>
          </cell>
          <cell r="H657" t="str">
            <v>the-of</v>
          </cell>
          <cell r="I657" t="str">
            <v>sim</v>
          </cell>
          <cell r="V657" t="str">
            <v>not neg pair</v>
          </cell>
          <cell r="Y657" t="str">
            <v>Past</v>
          </cell>
          <cell r="Z657">
            <v>3.93</v>
          </cell>
          <cell r="AA657">
            <v>0</v>
          </cell>
          <cell r="AB657">
            <v>0</v>
          </cell>
        </row>
        <row r="658">
          <cell r="G658" t="str">
            <v>818_0</v>
          </cell>
          <cell r="H658" t="str">
            <v/>
          </cell>
          <cell r="I658" t="str">
            <v>met</v>
          </cell>
          <cell r="V658" t="str">
            <v>0</v>
          </cell>
          <cell r="Y658" t="str">
            <v>Past</v>
          </cell>
          <cell r="Z658">
            <v>4.45</v>
          </cell>
          <cell r="AA658">
            <v>0</v>
          </cell>
          <cell r="AB658">
            <v>0</v>
          </cell>
        </row>
        <row r="659">
          <cell r="G659" t="str">
            <v>818_1</v>
          </cell>
          <cell r="H659" t="str">
            <v/>
          </cell>
          <cell r="I659" t="str">
            <v>met</v>
          </cell>
          <cell r="V659" t="str">
            <v>0</v>
          </cell>
          <cell r="Y659" t="str">
            <v>Past</v>
          </cell>
          <cell r="Z659">
            <v>4.45</v>
          </cell>
          <cell r="AA659">
            <v>0</v>
          </cell>
          <cell r="AB659">
            <v>0</v>
          </cell>
        </row>
        <row r="660">
          <cell r="G660" t="str">
            <v>821_0</v>
          </cell>
          <cell r="H660" t="str">
            <v>as-as</v>
          </cell>
          <cell r="I660" t="str">
            <v>sim</v>
          </cell>
          <cell r="V660" t="str">
            <v>antonym</v>
          </cell>
          <cell r="Y660" t="str">
            <v>Past</v>
          </cell>
          <cell r="Z660">
            <v>4.59</v>
          </cell>
          <cell r="AA660">
            <v>0</v>
          </cell>
          <cell r="AB660">
            <v>1</v>
          </cell>
        </row>
        <row r="661">
          <cell r="G661" t="str">
            <v>821_1</v>
          </cell>
          <cell r="H661" t="str">
            <v>as-as</v>
          </cell>
          <cell r="I661" t="str">
            <v>sim</v>
          </cell>
          <cell r="V661" t="str">
            <v>antonym</v>
          </cell>
          <cell r="Y661" t="str">
            <v>Past</v>
          </cell>
          <cell r="Z661">
            <v>4.59</v>
          </cell>
          <cell r="AA661">
            <v>0</v>
          </cell>
          <cell r="AB661">
            <v>1</v>
          </cell>
        </row>
        <row r="662">
          <cell r="G662" t="str">
            <v>824_0</v>
          </cell>
          <cell r="H662" t="str">
            <v>the-of</v>
          </cell>
          <cell r="I662" t="str">
            <v>sim</v>
          </cell>
          <cell r="V662" t="str">
            <v>not</v>
          </cell>
          <cell r="Y662" t="str">
            <v>Pres</v>
          </cell>
          <cell r="Z662">
            <v>4.82</v>
          </cell>
          <cell r="AA662">
            <v>0</v>
          </cell>
          <cell r="AB662">
            <v>1</v>
          </cell>
        </row>
        <row r="663">
          <cell r="G663" t="str">
            <v>824_1</v>
          </cell>
          <cell r="H663" t="str">
            <v>the-of</v>
          </cell>
          <cell r="I663" t="str">
            <v>sim</v>
          </cell>
          <cell r="V663" t="str">
            <v>not</v>
          </cell>
          <cell r="Y663" t="str">
            <v>Pres</v>
          </cell>
          <cell r="Z663">
            <v>4.82</v>
          </cell>
          <cell r="AA663">
            <v>0</v>
          </cell>
          <cell r="AB663">
            <v>1</v>
          </cell>
        </row>
        <row r="664">
          <cell r="G664" t="str">
            <v>827_0</v>
          </cell>
          <cell r="H664" t="str">
            <v>as-as</v>
          </cell>
          <cell r="I664" t="str">
            <v>sim</v>
          </cell>
          <cell r="V664" t="str">
            <v>not</v>
          </cell>
          <cell r="Y664" t="str">
            <v>Pres</v>
          </cell>
          <cell r="Z664">
            <v>3.36</v>
          </cell>
          <cell r="AA664">
            <v>0</v>
          </cell>
          <cell r="AB664">
            <v>0</v>
          </cell>
        </row>
        <row r="665">
          <cell r="G665" t="str">
            <v>827_1</v>
          </cell>
          <cell r="H665" t="str">
            <v>as-as</v>
          </cell>
          <cell r="I665" t="str">
            <v>sim</v>
          </cell>
          <cell r="V665" t="str">
            <v>not</v>
          </cell>
          <cell r="Y665" t="str">
            <v>Pres</v>
          </cell>
          <cell r="Z665">
            <v>3.36</v>
          </cell>
          <cell r="AA665">
            <v>0</v>
          </cell>
          <cell r="AB665">
            <v>0</v>
          </cell>
        </row>
        <row r="666">
          <cell r="G666" t="str">
            <v>828_0</v>
          </cell>
          <cell r="H666" t="str">
            <v/>
          </cell>
          <cell r="I666" t="str">
            <v>met</v>
          </cell>
          <cell r="V666" t="str">
            <v>0</v>
          </cell>
          <cell r="Y666" t="str">
            <v>Pres</v>
          </cell>
          <cell r="Z666">
            <v>4.07</v>
          </cell>
          <cell r="AA666">
            <v>0</v>
          </cell>
          <cell r="AB666">
            <v>0</v>
          </cell>
        </row>
        <row r="667">
          <cell r="G667" t="str">
            <v>828_1</v>
          </cell>
          <cell r="H667" t="str">
            <v/>
          </cell>
          <cell r="I667" t="str">
            <v>met</v>
          </cell>
          <cell r="V667" t="str">
            <v>0</v>
          </cell>
          <cell r="Y667" t="str">
            <v>Pres</v>
          </cell>
          <cell r="Z667">
            <v>4.07</v>
          </cell>
          <cell r="AA667">
            <v>0</v>
          </cell>
          <cell r="AB667">
            <v>0</v>
          </cell>
        </row>
        <row r="668">
          <cell r="G668" t="str">
            <v>835_0</v>
          </cell>
          <cell r="H668" t="str">
            <v/>
          </cell>
          <cell r="I668" t="str">
            <v>met</v>
          </cell>
          <cell r="V668" t="str">
            <v>0</v>
          </cell>
          <cell r="Y668" t="str">
            <v>Pres</v>
          </cell>
          <cell r="Z668">
            <v>3.93</v>
          </cell>
          <cell r="AA668">
            <v>0</v>
          </cell>
          <cell r="AB668">
            <v>0</v>
          </cell>
        </row>
        <row r="669">
          <cell r="G669" t="str">
            <v>835_1</v>
          </cell>
          <cell r="H669" t="str">
            <v/>
          </cell>
          <cell r="I669" t="str">
            <v>met</v>
          </cell>
          <cell r="V669" t="str">
            <v>0</v>
          </cell>
          <cell r="Y669">
            <v>0</v>
          </cell>
          <cell r="Z669">
            <v>3.93</v>
          </cell>
          <cell r="AA669">
            <v>0</v>
          </cell>
          <cell r="AB669">
            <v>0</v>
          </cell>
        </row>
        <row r="670">
          <cell r="G670" t="str">
            <v>836_0</v>
          </cell>
          <cell r="H670" t="str">
            <v>like</v>
          </cell>
          <cell r="I670" t="str">
            <v>sim</v>
          </cell>
          <cell r="V670" t="str">
            <v>not</v>
          </cell>
          <cell r="Y670" t="str">
            <v>Past</v>
          </cell>
          <cell r="Z670">
            <v>2.85</v>
          </cell>
          <cell r="AA670">
            <v>0</v>
          </cell>
          <cell r="AB670">
            <v>0</v>
          </cell>
        </row>
        <row r="671">
          <cell r="G671" t="str">
            <v>836_1</v>
          </cell>
          <cell r="H671" t="str">
            <v>like</v>
          </cell>
          <cell r="I671" t="str">
            <v>sim</v>
          </cell>
          <cell r="V671" t="str">
            <v>not</v>
          </cell>
          <cell r="Y671" t="str">
            <v>Past</v>
          </cell>
          <cell r="Z671">
            <v>2.85</v>
          </cell>
          <cell r="AA671">
            <v>0</v>
          </cell>
          <cell r="AB671">
            <v>0</v>
          </cell>
        </row>
        <row r="672">
          <cell r="G672" t="str">
            <v>837_0</v>
          </cell>
          <cell r="H672" t="str">
            <v>like</v>
          </cell>
          <cell r="I672" t="str">
            <v>sim</v>
          </cell>
          <cell r="V672" t="str">
            <v>not neg pair</v>
          </cell>
          <cell r="Y672" t="str">
            <v>Past</v>
          </cell>
          <cell r="Z672">
            <v>3.92</v>
          </cell>
          <cell r="AA672">
            <v>0</v>
          </cell>
          <cell r="AB672">
            <v>0</v>
          </cell>
        </row>
        <row r="673">
          <cell r="G673" t="str">
            <v>837_1</v>
          </cell>
          <cell r="H673" t="str">
            <v>like</v>
          </cell>
          <cell r="I673" t="str">
            <v>sim</v>
          </cell>
          <cell r="V673" t="str">
            <v>not neg pair</v>
          </cell>
          <cell r="Y673" t="str">
            <v>Past</v>
          </cell>
          <cell r="Z673">
            <v>3.92</v>
          </cell>
          <cell r="AA673">
            <v>0</v>
          </cell>
          <cell r="AB673">
            <v>0</v>
          </cell>
        </row>
        <row r="674">
          <cell r="G674" t="str">
            <v>838_0</v>
          </cell>
          <cell r="H674" t="str">
            <v>as-as</v>
          </cell>
          <cell r="I674" t="str">
            <v>sim</v>
          </cell>
          <cell r="V674" t="str">
            <v>not neg pair</v>
          </cell>
          <cell r="Y674" t="str">
            <v>Past</v>
          </cell>
          <cell r="Z674">
            <v>3.31</v>
          </cell>
          <cell r="AA674">
            <v>0</v>
          </cell>
          <cell r="AB674">
            <v>0</v>
          </cell>
        </row>
        <row r="675">
          <cell r="G675" t="str">
            <v>838_1</v>
          </cell>
          <cell r="H675" t="str">
            <v>as-as</v>
          </cell>
          <cell r="I675" t="str">
            <v>sim</v>
          </cell>
          <cell r="V675" t="str">
            <v>not neg pair</v>
          </cell>
          <cell r="Y675" t="str">
            <v>Past</v>
          </cell>
          <cell r="Z675">
            <v>3.31</v>
          </cell>
          <cell r="AA675">
            <v>0</v>
          </cell>
          <cell r="AB675">
            <v>0</v>
          </cell>
        </row>
        <row r="676">
          <cell r="G676" t="str">
            <v>839_0</v>
          </cell>
          <cell r="H676" t="str">
            <v>like</v>
          </cell>
          <cell r="I676" t="str">
            <v>sim</v>
          </cell>
          <cell r="V676" t="str">
            <v>not neg pair</v>
          </cell>
          <cell r="Y676" t="str">
            <v>Past</v>
          </cell>
          <cell r="Z676">
            <v>1.8</v>
          </cell>
          <cell r="AA676" t="str">
            <v>L</v>
          </cell>
          <cell r="AB676">
            <v>0</v>
          </cell>
        </row>
        <row r="677">
          <cell r="G677" t="str">
            <v>839_1</v>
          </cell>
          <cell r="H677" t="str">
            <v>like</v>
          </cell>
          <cell r="I677" t="str">
            <v>sim</v>
          </cell>
          <cell r="V677" t="str">
            <v>not neg pair</v>
          </cell>
          <cell r="Y677" t="str">
            <v>Past</v>
          </cell>
          <cell r="Z677">
            <v>1.8</v>
          </cell>
          <cell r="AA677" t="str">
            <v>L</v>
          </cell>
          <cell r="AB677">
            <v>0</v>
          </cell>
        </row>
        <row r="678">
          <cell r="G678" t="str">
            <v>840_0</v>
          </cell>
          <cell r="H678" t="str">
            <v>as-as</v>
          </cell>
          <cell r="I678" t="str">
            <v>sim</v>
          </cell>
          <cell r="V678" t="str">
            <v>not neg pair</v>
          </cell>
          <cell r="Y678" t="str">
            <v>Past</v>
          </cell>
          <cell r="Z678">
            <v>4.7</v>
          </cell>
          <cell r="AA678">
            <v>0</v>
          </cell>
          <cell r="AB678">
            <v>0</v>
          </cell>
        </row>
        <row r="679">
          <cell r="G679" t="str">
            <v>840_1</v>
          </cell>
          <cell r="H679" t="str">
            <v>as-as</v>
          </cell>
          <cell r="I679" t="str">
            <v>sim</v>
          </cell>
          <cell r="V679" t="str">
            <v>not neg pair</v>
          </cell>
          <cell r="Y679" t="str">
            <v>Past</v>
          </cell>
          <cell r="Z679">
            <v>4.7</v>
          </cell>
          <cell r="AA679">
            <v>0</v>
          </cell>
          <cell r="AB679">
            <v>0</v>
          </cell>
        </row>
        <row r="680">
          <cell r="G680" t="str">
            <v>842_0</v>
          </cell>
          <cell r="H680" t="str">
            <v>the-of</v>
          </cell>
          <cell r="I680" t="str">
            <v>sim</v>
          </cell>
          <cell r="V680" t="str">
            <v>not neg pair</v>
          </cell>
          <cell r="Y680" t="str">
            <v>Pres</v>
          </cell>
          <cell r="Z680">
            <v>5</v>
          </cell>
          <cell r="AA680" t="str">
            <v>H</v>
          </cell>
          <cell r="AB680">
            <v>0</v>
          </cell>
        </row>
        <row r="681">
          <cell r="G681" t="str">
            <v>842_1</v>
          </cell>
          <cell r="H681" t="str">
            <v>the-of</v>
          </cell>
          <cell r="I681" t="str">
            <v>sim</v>
          </cell>
          <cell r="V681" t="str">
            <v>not neg pair</v>
          </cell>
          <cell r="Y681" t="str">
            <v>Past</v>
          </cell>
          <cell r="Z681">
            <v>5</v>
          </cell>
          <cell r="AA681" t="str">
            <v>H</v>
          </cell>
          <cell r="AB681">
            <v>0</v>
          </cell>
        </row>
        <row r="682">
          <cell r="G682" t="str">
            <v>844_0</v>
          </cell>
          <cell r="H682" t="str">
            <v/>
          </cell>
          <cell r="I682" t="str">
            <v>met</v>
          </cell>
          <cell r="V682" t="str">
            <v>0</v>
          </cell>
          <cell r="Y682" t="str">
            <v>Pres</v>
          </cell>
          <cell r="Z682">
            <v>4.88</v>
          </cell>
          <cell r="AA682">
            <v>0</v>
          </cell>
          <cell r="AB682">
            <v>0</v>
          </cell>
        </row>
        <row r="683">
          <cell r="G683" t="str">
            <v>844_1</v>
          </cell>
          <cell r="H683" t="str">
            <v/>
          </cell>
          <cell r="I683" t="str">
            <v>met</v>
          </cell>
          <cell r="V683" t="str">
            <v>0</v>
          </cell>
          <cell r="Y683" t="str">
            <v>Pres</v>
          </cell>
          <cell r="Z683">
            <v>4.88</v>
          </cell>
          <cell r="AA683">
            <v>0</v>
          </cell>
          <cell r="AB683">
            <v>0</v>
          </cell>
        </row>
        <row r="684">
          <cell r="G684" t="str">
            <v>845_0</v>
          </cell>
          <cell r="H684" t="str">
            <v/>
          </cell>
          <cell r="I684" t="str">
            <v>met</v>
          </cell>
          <cell r="V684" t="str">
            <v>0</v>
          </cell>
          <cell r="Y684" t="str">
            <v>Pres</v>
          </cell>
          <cell r="Z684">
            <v>4.8600000000000003</v>
          </cell>
          <cell r="AA684">
            <v>0</v>
          </cell>
          <cell r="AB684">
            <v>0</v>
          </cell>
        </row>
        <row r="685">
          <cell r="G685" t="str">
            <v>845_1</v>
          </cell>
          <cell r="H685" t="str">
            <v/>
          </cell>
          <cell r="I685" t="str">
            <v>met</v>
          </cell>
          <cell r="V685" t="str">
            <v>0</v>
          </cell>
          <cell r="Y685" t="str">
            <v>Pres</v>
          </cell>
          <cell r="Z685">
            <v>4.8600000000000003</v>
          </cell>
          <cell r="AA685">
            <v>0</v>
          </cell>
          <cell r="AB685">
            <v>0</v>
          </cell>
        </row>
        <row r="686">
          <cell r="G686" t="str">
            <v>846_0</v>
          </cell>
          <cell r="H686" t="str">
            <v>the-of</v>
          </cell>
          <cell r="I686" t="str">
            <v>sim</v>
          </cell>
          <cell r="V686" t="str">
            <v>not neg pair</v>
          </cell>
          <cell r="Y686" t="str">
            <v>Pres</v>
          </cell>
          <cell r="Z686">
            <v>3.97</v>
          </cell>
          <cell r="AA686">
            <v>0</v>
          </cell>
          <cell r="AB686">
            <v>0</v>
          </cell>
        </row>
        <row r="687">
          <cell r="G687" t="str">
            <v>846_1</v>
          </cell>
          <cell r="H687" t="str">
            <v>the-of</v>
          </cell>
          <cell r="I687" t="str">
            <v>sim</v>
          </cell>
          <cell r="V687" t="str">
            <v>not neg pair</v>
          </cell>
          <cell r="Y687" t="str">
            <v>Pres</v>
          </cell>
          <cell r="Z687">
            <v>3.97</v>
          </cell>
          <cell r="AA687">
            <v>0</v>
          </cell>
          <cell r="AB687">
            <v>0</v>
          </cell>
        </row>
        <row r="688">
          <cell r="G688" t="str">
            <v>848_0</v>
          </cell>
          <cell r="H688" t="str">
            <v>as-as</v>
          </cell>
          <cell r="I688" t="str">
            <v>sim</v>
          </cell>
          <cell r="V688" t="str">
            <v>not</v>
          </cell>
          <cell r="Y688" t="str">
            <v>Past</v>
          </cell>
          <cell r="Z688">
            <v>3.36</v>
          </cell>
          <cell r="AA688">
            <v>0</v>
          </cell>
          <cell r="AB688">
            <v>0</v>
          </cell>
        </row>
        <row r="689">
          <cell r="G689" t="str">
            <v>848_1</v>
          </cell>
          <cell r="H689" t="str">
            <v>as-as</v>
          </cell>
          <cell r="I689" t="str">
            <v>sim</v>
          </cell>
          <cell r="V689" t="str">
            <v>not</v>
          </cell>
          <cell r="Y689" t="str">
            <v>Past</v>
          </cell>
          <cell r="Z689">
            <v>3.36</v>
          </cell>
          <cell r="AA689">
            <v>0</v>
          </cell>
          <cell r="AB689">
            <v>0</v>
          </cell>
        </row>
        <row r="690">
          <cell r="G690" t="str">
            <v>849_0</v>
          </cell>
          <cell r="H690" t="str">
            <v>as</v>
          </cell>
          <cell r="I690" t="str">
            <v>sim</v>
          </cell>
          <cell r="V690" t="str">
            <v>not neg pair</v>
          </cell>
          <cell r="Y690" t="str">
            <v>Pres</v>
          </cell>
          <cell r="Z690">
            <v>4.9000000000000004</v>
          </cell>
          <cell r="AA690">
            <v>0</v>
          </cell>
          <cell r="AB690">
            <v>0</v>
          </cell>
        </row>
        <row r="691">
          <cell r="G691" t="str">
            <v>849_1</v>
          </cell>
          <cell r="H691" t="str">
            <v>as</v>
          </cell>
          <cell r="I691" t="str">
            <v>sim</v>
          </cell>
          <cell r="V691" t="str">
            <v>not neg pair</v>
          </cell>
          <cell r="Y691" t="str">
            <v>Pres</v>
          </cell>
          <cell r="Z691">
            <v>4.9000000000000004</v>
          </cell>
          <cell r="AA691">
            <v>0</v>
          </cell>
          <cell r="AB691">
            <v>0</v>
          </cell>
        </row>
        <row r="692">
          <cell r="G692" t="str">
            <v>853_0</v>
          </cell>
          <cell r="H692" t="str">
            <v>like</v>
          </cell>
          <cell r="I692" t="str">
            <v>sim</v>
          </cell>
          <cell r="V692" t="str">
            <v>not neg pair</v>
          </cell>
          <cell r="Y692" t="str">
            <v>Past</v>
          </cell>
          <cell r="Z692">
            <v>4.66</v>
          </cell>
          <cell r="AA692">
            <v>0</v>
          </cell>
          <cell r="AB692">
            <v>0</v>
          </cell>
        </row>
        <row r="693">
          <cell r="G693" t="str">
            <v>853_1</v>
          </cell>
          <cell r="H693" t="str">
            <v>like</v>
          </cell>
          <cell r="I693" t="str">
            <v>sim</v>
          </cell>
          <cell r="V693" t="str">
            <v>not neg pair</v>
          </cell>
          <cell r="Y693" t="str">
            <v>Past</v>
          </cell>
          <cell r="Z693">
            <v>4.66</v>
          </cell>
          <cell r="AA693">
            <v>0</v>
          </cell>
          <cell r="AB693">
            <v>0</v>
          </cell>
        </row>
        <row r="694">
          <cell r="G694" t="str">
            <v>854_0</v>
          </cell>
          <cell r="H694" t="str">
            <v>like</v>
          </cell>
          <cell r="I694" t="str">
            <v>sim</v>
          </cell>
          <cell r="V694" t="str">
            <v>not neg pair</v>
          </cell>
          <cell r="Y694" t="str">
            <v>Pres</v>
          </cell>
          <cell r="Z694">
            <v>3.36</v>
          </cell>
          <cell r="AA694">
            <v>0</v>
          </cell>
          <cell r="AB694">
            <v>0</v>
          </cell>
        </row>
        <row r="695">
          <cell r="G695" t="str">
            <v>854_1</v>
          </cell>
          <cell r="H695" t="str">
            <v>like</v>
          </cell>
          <cell r="I695" t="str">
            <v>sim</v>
          </cell>
          <cell r="V695" t="str">
            <v>not neg pair</v>
          </cell>
          <cell r="Y695" t="str">
            <v>Pres</v>
          </cell>
          <cell r="Z695">
            <v>3.36</v>
          </cell>
          <cell r="AA695">
            <v>0</v>
          </cell>
          <cell r="AB695">
            <v>0</v>
          </cell>
        </row>
        <row r="696">
          <cell r="G696" t="str">
            <v>856_0</v>
          </cell>
          <cell r="H696" t="str">
            <v>as-as</v>
          </cell>
          <cell r="I696" t="str">
            <v>sim</v>
          </cell>
          <cell r="V696" t="str">
            <v>not</v>
          </cell>
          <cell r="Y696" t="str">
            <v>Pres</v>
          </cell>
          <cell r="Z696">
            <v>3.93</v>
          </cell>
          <cell r="AA696">
            <v>0</v>
          </cell>
          <cell r="AB696">
            <v>0</v>
          </cell>
        </row>
        <row r="697">
          <cell r="G697" t="str">
            <v>856_1</v>
          </cell>
          <cell r="H697" t="str">
            <v>as-as</v>
          </cell>
          <cell r="I697" t="str">
            <v>sim</v>
          </cell>
          <cell r="V697" t="str">
            <v>not</v>
          </cell>
          <cell r="Y697" t="str">
            <v>Pres</v>
          </cell>
          <cell r="Z697">
            <v>3.93</v>
          </cell>
          <cell r="AA697">
            <v>0</v>
          </cell>
          <cell r="AB697">
            <v>0</v>
          </cell>
        </row>
        <row r="698">
          <cell r="G698" t="str">
            <v>857_0</v>
          </cell>
          <cell r="H698" t="str">
            <v>as-as</v>
          </cell>
          <cell r="I698" t="str">
            <v>sim</v>
          </cell>
          <cell r="V698" t="str">
            <v>antonym</v>
          </cell>
          <cell r="Y698" t="str">
            <v>Past</v>
          </cell>
          <cell r="Z698">
            <v>4.59</v>
          </cell>
          <cell r="AA698">
            <v>0</v>
          </cell>
          <cell r="AB698">
            <v>1</v>
          </cell>
        </row>
        <row r="699">
          <cell r="G699" t="str">
            <v>857_1</v>
          </cell>
          <cell r="H699" t="str">
            <v>as-as</v>
          </cell>
          <cell r="I699" t="str">
            <v>sim</v>
          </cell>
          <cell r="V699" t="str">
            <v>antonym</v>
          </cell>
          <cell r="Y699" t="str">
            <v>Past</v>
          </cell>
          <cell r="Z699">
            <v>4.59</v>
          </cell>
          <cell r="AA699">
            <v>0</v>
          </cell>
          <cell r="AB699">
            <v>1</v>
          </cell>
        </row>
        <row r="700">
          <cell r="G700" t="str">
            <v>858_0</v>
          </cell>
          <cell r="H700" t="str">
            <v>the-of</v>
          </cell>
          <cell r="I700" t="str">
            <v>sim</v>
          </cell>
          <cell r="V700" t="str">
            <v>not neg pair</v>
          </cell>
          <cell r="Y700" t="str">
            <v>Pres</v>
          </cell>
          <cell r="Z700">
            <v>4.66</v>
          </cell>
          <cell r="AA700">
            <v>0</v>
          </cell>
          <cell r="AB700">
            <v>0</v>
          </cell>
        </row>
        <row r="701">
          <cell r="G701" t="str">
            <v>858_1</v>
          </cell>
          <cell r="H701" t="str">
            <v>the-of</v>
          </cell>
          <cell r="I701" t="str">
            <v>sim</v>
          </cell>
          <cell r="V701" t="str">
            <v>not neg pair</v>
          </cell>
          <cell r="Y701" t="str">
            <v>Pres</v>
          </cell>
          <cell r="Z701">
            <v>4.66</v>
          </cell>
          <cell r="AA701">
            <v>0</v>
          </cell>
          <cell r="AB701">
            <v>0</v>
          </cell>
        </row>
        <row r="702">
          <cell r="G702" t="str">
            <v>859_0</v>
          </cell>
          <cell r="H702" t="str">
            <v>the-of</v>
          </cell>
          <cell r="I702" t="str">
            <v>sim</v>
          </cell>
          <cell r="V702" t="str">
            <v>not neg pair</v>
          </cell>
          <cell r="Y702" t="str">
            <v>Past</v>
          </cell>
          <cell r="Z702">
            <v>3.97</v>
          </cell>
          <cell r="AA702">
            <v>0</v>
          </cell>
          <cell r="AB702">
            <v>0</v>
          </cell>
        </row>
        <row r="703">
          <cell r="G703" t="str">
            <v>859_1</v>
          </cell>
          <cell r="H703" t="str">
            <v>the-of</v>
          </cell>
          <cell r="I703" t="str">
            <v>sim</v>
          </cell>
          <cell r="V703" t="str">
            <v>not neg pair</v>
          </cell>
          <cell r="Y703" t="str">
            <v>Past</v>
          </cell>
          <cell r="Z703">
            <v>3.97</v>
          </cell>
          <cell r="AA703">
            <v>0</v>
          </cell>
          <cell r="AB703">
            <v>0</v>
          </cell>
        </row>
        <row r="704">
          <cell r="G704" t="str">
            <v>861_0</v>
          </cell>
          <cell r="H704" t="str">
            <v>as-as</v>
          </cell>
          <cell r="I704" t="str">
            <v>sim</v>
          </cell>
          <cell r="V704" t="str">
            <v>not</v>
          </cell>
          <cell r="Y704" t="str">
            <v>Past</v>
          </cell>
          <cell r="Z704">
            <v>3.36</v>
          </cell>
          <cell r="AA704">
            <v>0</v>
          </cell>
          <cell r="AB704">
            <v>1</v>
          </cell>
        </row>
        <row r="705">
          <cell r="G705" t="str">
            <v>861_1</v>
          </cell>
          <cell r="H705" t="str">
            <v>as-as</v>
          </cell>
          <cell r="I705" t="str">
            <v>sim</v>
          </cell>
          <cell r="V705" t="str">
            <v>not</v>
          </cell>
          <cell r="Y705" t="str">
            <v>Past</v>
          </cell>
          <cell r="Z705">
            <v>3.36</v>
          </cell>
          <cell r="AA705">
            <v>0</v>
          </cell>
          <cell r="AB705">
            <v>1</v>
          </cell>
        </row>
        <row r="706">
          <cell r="G706" t="str">
            <v>865_0</v>
          </cell>
          <cell r="H706" t="str">
            <v/>
          </cell>
          <cell r="I706" t="str">
            <v>met</v>
          </cell>
          <cell r="V706" t="str">
            <v>0</v>
          </cell>
          <cell r="Y706" t="str">
            <v>Pres</v>
          </cell>
          <cell r="Z706">
            <v>4.03</v>
          </cell>
          <cell r="AA706">
            <v>0</v>
          </cell>
          <cell r="AB706">
            <v>0</v>
          </cell>
        </row>
        <row r="707">
          <cell r="G707" t="str">
            <v>865_1</v>
          </cell>
          <cell r="H707" t="str">
            <v/>
          </cell>
          <cell r="I707" t="str">
            <v>met</v>
          </cell>
          <cell r="V707" t="str">
            <v>0</v>
          </cell>
          <cell r="Y707" t="str">
            <v>Pres</v>
          </cell>
          <cell r="Z707">
            <v>4.03</v>
          </cell>
          <cell r="AA707">
            <v>0</v>
          </cell>
          <cell r="AB707">
            <v>0</v>
          </cell>
        </row>
        <row r="708">
          <cell r="G708" t="str">
            <v>867_0</v>
          </cell>
          <cell r="H708" t="str">
            <v>like</v>
          </cell>
          <cell r="I708" t="str">
            <v>sim</v>
          </cell>
          <cell r="V708" t="str">
            <v>not neg pair</v>
          </cell>
          <cell r="Y708" t="str">
            <v>Pres</v>
          </cell>
          <cell r="Z708">
            <v>4.93</v>
          </cell>
          <cell r="AA708" t="str">
            <v>H</v>
          </cell>
          <cell r="AB708">
            <v>0</v>
          </cell>
        </row>
        <row r="709">
          <cell r="G709" t="str">
            <v>867_1</v>
          </cell>
          <cell r="H709" t="str">
            <v>like</v>
          </cell>
          <cell r="I709" t="str">
            <v>sim</v>
          </cell>
          <cell r="V709" t="str">
            <v>not neg pair</v>
          </cell>
          <cell r="Y709" t="str">
            <v>Pres</v>
          </cell>
          <cell r="Z709">
            <v>4.93</v>
          </cell>
          <cell r="AA709" t="str">
            <v>H</v>
          </cell>
          <cell r="AB709">
            <v>0</v>
          </cell>
        </row>
        <row r="710">
          <cell r="G710" t="str">
            <v>872_0</v>
          </cell>
          <cell r="H710" t="str">
            <v>the-of</v>
          </cell>
          <cell r="I710" t="str">
            <v>sim</v>
          </cell>
          <cell r="V710" t="str">
            <v>not neg pair</v>
          </cell>
          <cell r="Y710" t="str">
            <v>Pres</v>
          </cell>
          <cell r="Z710">
            <v>4.5999999999999996</v>
          </cell>
          <cell r="AA710">
            <v>0</v>
          </cell>
          <cell r="AB710">
            <v>0</v>
          </cell>
        </row>
        <row r="711">
          <cell r="G711" t="str">
            <v>872_1</v>
          </cell>
          <cell r="H711" t="str">
            <v>the-of</v>
          </cell>
          <cell r="I711" t="str">
            <v>sim</v>
          </cell>
          <cell r="V711" t="str">
            <v>not neg pair</v>
          </cell>
          <cell r="Y711" t="str">
            <v>Pres</v>
          </cell>
          <cell r="Z711">
            <v>4.5999999999999996</v>
          </cell>
          <cell r="AA711">
            <v>0</v>
          </cell>
          <cell r="AB711">
            <v>0</v>
          </cell>
        </row>
        <row r="712">
          <cell r="G712" t="str">
            <v>873_0</v>
          </cell>
          <cell r="H712" t="str">
            <v>the-of</v>
          </cell>
          <cell r="I712" t="str">
            <v>sim</v>
          </cell>
          <cell r="V712" t="str">
            <v>not neg pair</v>
          </cell>
          <cell r="Y712" t="str">
            <v>Pres</v>
          </cell>
          <cell r="Z712">
            <v>4.92</v>
          </cell>
          <cell r="AA712" t="str">
            <v>H</v>
          </cell>
          <cell r="AB712">
            <v>0</v>
          </cell>
        </row>
        <row r="713">
          <cell r="G713" t="str">
            <v>873_1</v>
          </cell>
          <cell r="H713" t="str">
            <v>the-of</v>
          </cell>
          <cell r="I713" t="str">
            <v>sim</v>
          </cell>
          <cell r="V713" t="str">
            <v>not neg pair</v>
          </cell>
          <cell r="Y713" t="str">
            <v>Pres</v>
          </cell>
          <cell r="Z713">
            <v>4.92</v>
          </cell>
          <cell r="AA713" t="str">
            <v>H</v>
          </cell>
          <cell r="AB713">
            <v>0</v>
          </cell>
        </row>
        <row r="714">
          <cell r="G714" t="str">
            <v>876_0</v>
          </cell>
          <cell r="H714" t="str">
            <v>as-as</v>
          </cell>
          <cell r="I714" t="str">
            <v>sim</v>
          </cell>
          <cell r="V714" t="str">
            <v>not</v>
          </cell>
          <cell r="Y714" t="str">
            <v>Pres</v>
          </cell>
          <cell r="Z714">
            <v>4.41</v>
          </cell>
          <cell r="AA714">
            <v>0</v>
          </cell>
          <cell r="AB714">
            <v>1</v>
          </cell>
        </row>
        <row r="715">
          <cell r="G715" t="str">
            <v>876_1</v>
          </cell>
          <cell r="H715" t="str">
            <v>as-as</v>
          </cell>
          <cell r="I715" t="str">
            <v>sim</v>
          </cell>
          <cell r="V715" t="str">
            <v>not</v>
          </cell>
          <cell r="Y715" t="str">
            <v>Pres</v>
          </cell>
          <cell r="Z715">
            <v>4.41</v>
          </cell>
          <cell r="AA715">
            <v>0</v>
          </cell>
          <cell r="AB715">
            <v>1</v>
          </cell>
        </row>
        <row r="716">
          <cell r="G716" t="str">
            <v>879_0</v>
          </cell>
          <cell r="H716" t="str">
            <v/>
          </cell>
          <cell r="I716" t="str">
            <v>met</v>
          </cell>
          <cell r="V716" t="str">
            <v>0</v>
          </cell>
          <cell r="Y716" t="str">
            <v>Pres</v>
          </cell>
          <cell r="Z716">
            <v>3.83</v>
          </cell>
          <cell r="AA716">
            <v>0</v>
          </cell>
          <cell r="AB716">
            <v>0</v>
          </cell>
        </row>
        <row r="717">
          <cell r="G717" t="str">
            <v>879_1</v>
          </cell>
          <cell r="H717" t="str">
            <v/>
          </cell>
          <cell r="I717" t="str">
            <v>met</v>
          </cell>
          <cell r="V717" t="str">
            <v>0</v>
          </cell>
          <cell r="Y717" t="str">
            <v>Pres</v>
          </cell>
          <cell r="Z717">
            <v>3.83</v>
          </cell>
          <cell r="AA717">
            <v>0</v>
          </cell>
          <cell r="AB717">
            <v>0</v>
          </cell>
        </row>
        <row r="718">
          <cell r="G718" t="str">
            <v>880_0</v>
          </cell>
          <cell r="H718" t="str">
            <v>like</v>
          </cell>
          <cell r="I718" t="str">
            <v>sim</v>
          </cell>
          <cell r="V718" t="str">
            <v>not</v>
          </cell>
          <cell r="Y718" t="str">
            <v>Past</v>
          </cell>
          <cell r="Z718">
            <v>2.62</v>
          </cell>
          <cell r="AA718" t="str">
            <v>L</v>
          </cell>
          <cell r="AB718">
            <v>1</v>
          </cell>
        </row>
        <row r="719">
          <cell r="G719" t="str">
            <v>880_1</v>
          </cell>
          <cell r="H719" t="str">
            <v>like</v>
          </cell>
          <cell r="I719" t="str">
            <v>sim</v>
          </cell>
          <cell r="V719" t="str">
            <v>not</v>
          </cell>
          <cell r="Y719" t="str">
            <v>Past</v>
          </cell>
          <cell r="Z719">
            <v>2.62</v>
          </cell>
          <cell r="AA719" t="str">
            <v>L</v>
          </cell>
          <cell r="AB719">
            <v>1</v>
          </cell>
        </row>
        <row r="720">
          <cell r="G720" t="str">
            <v>884_0</v>
          </cell>
          <cell r="H720" t="str">
            <v>the-of</v>
          </cell>
          <cell r="I720" t="str">
            <v>sim</v>
          </cell>
          <cell r="V720" t="str">
            <v>not neg pair</v>
          </cell>
          <cell r="Y720" t="str">
            <v>Pres</v>
          </cell>
          <cell r="Z720">
            <v>4.97</v>
          </cell>
          <cell r="AA720" t="str">
            <v>H</v>
          </cell>
          <cell r="AB720">
            <v>0</v>
          </cell>
        </row>
        <row r="721">
          <cell r="G721" t="str">
            <v>884_1</v>
          </cell>
          <cell r="H721" t="str">
            <v>the-of</v>
          </cell>
          <cell r="I721" t="str">
            <v>sim</v>
          </cell>
          <cell r="V721" t="str">
            <v>not neg pair</v>
          </cell>
          <cell r="Y721" t="str">
            <v>Pres</v>
          </cell>
          <cell r="Z721">
            <v>4.97</v>
          </cell>
          <cell r="AA721" t="str">
            <v>H</v>
          </cell>
          <cell r="AB721">
            <v>0</v>
          </cell>
        </row>
        <row r="722">
          <cell r="G722" t="str">
            <v>887_0</v>
          </cell>
          <cell r="H722" t="str">
            <v>as-as</v>
          </cell>
          <cell r="I722" t="str">
            <v>sim</v>
          </cell>
          <cell r="V722" t="str">
            <v>antonym</v>
          </cell>
          <cell r="Y722" t="str">
            <v>Past</v>
          </cell>
          <cell r="Z722">
            <v>4.9000000000000004</v>
          </cell>
          <cell r="AA722">
            <v>0</v>
          </cell>
          <cell r="AB722">
            <v>1</v>
          </cell>
        </row>
        <row r="723">
          <cell r="G723" t="str">
            <v>887_1</v>
          </cell>
          <cell r="H723" t="str">
            <v>as-as</v>
          </cell>
          <cell r="I723" t="str">
            <v>sim</v>
          </cell>
          <cell r="V723" t="str">
            <v>antonym</v>
          </cell>
          <cell r="Y723" t="str">
            <v>Past</v>
          </cell>
          <cell r="Z723">
            <v>4.9000000000000004</v>
          </cell>
          <cell r="AA723">
            <v>0</v>
          </cell>
          <cell r="AB723">
            <v>1</v>
          </cell>
        </row>
        <row r="724">
          <cell r="G724" t="str">
            <v>888_0</v>
          </cell>
          <cell r="H724" t="str">
            <v>as-as</v>
          </cell>
          <cell r="I724" t="str">
            <v>sim</v>
          </cell>
          <cell r="V724" t="str">
            <v>not</v>
          </cell>
          <cell r="Y724" t="str">
            <v>Past</v>
          </cell>
          <cell r="Z724">
            <v>4.5599999999999996</v>
          </cell>
          <cell r="AA724">
            <v>0</v>
          </cell>
          <cell r="AB724">
            <v>1</v>
          </cell>
        </row>
        <row r="725">
          <cell r="G725" t="str">
            <v>888_1</v>
          </cell>
          <cell r="H725" t="str">
            <v>as-as</v>
          </cell>
          <cell r="I725" t="str">
            <v>sim</v>
          </cell>
          <cell r="V725" t="str">
            <v>not</v>
          </cell>
          <cell r="Y725" t="str">
            <v>Past</v>
          </cell>
          <cell r="Z725">
            <v>4.5599999999999996</v>
          </cell>
          <cell r="AA725">
            <v>0</v>
          </cell>
          <cell r="AB725">
            <v>1</v>
          </cell>
        </row>
        <row r="726">
          <cell r="G726" t="str">
            <v>891_0</v>
          </cell>
          <cell r="H726" t="str">
            <v>as-as</v>
          </cell>
          <cell r="I726" t="str">
            <v>sim</v>
          </cell>
          <cell r="V726" t="str">
            <v>antonym</v>
          </cell>
          <cell r="Y726" t="str">
            <v>Past</v>
          </cell>
          <cell r="Z726">
            <v>4.79</v>
          </cell>
          <cell r="AA726">
            <v>0</v>
          </cell>
          <cell r="AB726">
            <v>1</v>
          </cell>
        </row>
        <row r="727">
          <cell r="G727" t="str">
            <v>891_1</v>
          </cell>
          <cell r="H727" t="str">
            <v>as-as</v>
          </cell>
          <cell r="I727" t="str">
            <v>sim</v>
          </cell>
          <cell r="V727" t="str">
            <v>antonym</v>
          </cell>
          <cell r="Y727" t="str">
            <v>Past</v>
          </cell>
          <cell r="Z727">
            <v>4.79</v>
          </cell>
          <cell r="AA727">
            <v>0</v>
          </cell>
          <cell r="AB727">
            <v>1</v>
          </cell>
        </row>
        <row r="728">
          <cell r="G728" t="str">
            <v>894_0</v>
          </cell>
          <cell r="H728" t="str">
            <v>as-as</v>
          </cell>
          <cell r="I728" t="str">
            <v>sim</v>
          </cell>
          <cell r="V728" t="str">
            <v>not neg pair</v>
          </cell>
          <cell r="Y728" t="str">
            <v>Pres</v>
          </cell>
          <cell r="Z728">
            <v>2.93</v>
          </cell>
          <cell r="AA728">
            <v>0</v>
          </cell>
          <cell r="AB728">
            <v>0</v>
          </cell>
        </row>
        <row r="729">
          <cell r="G729" t="str">
            <v>894_1</v>
          </cell>
          <cell r="H729" t="str">
            <v>as-as</v>
          </cell>
          <cell r="I729" t="str">
            <v>sim</v>
          </cell>
          <cell r="V729" t="str">
            <v>not neg pair</v>
          </cell>
          <cell r="Y729" t="str">
            <v>Pres</v>
          </cell>
          <cell r="Z729">
            <v>2.5099999999999998</v>
          </cell>
          <cell r="AA729" t="str">
            <v>L</v>
          </cell>
          <cell r="AB729">
            <v>0</v>
          </cell>
        </row>
        <row r="730">
          <cell r="G730" t="str">
            <v>895_0</v>
          </cell>
          <cell r="H730" t="str">
            <v/>
          </cell>
          <cell r="I730" t="str">
            <v>met</v>
          </cell>
          <cell r="V730" t="str">
            <v>0</v>
          </cell>
          <cell r="Y730" t="str">
            <v>Past</v>
          </cell>
          <cell r="Z730">
            <v>4.13</v>
          </cell>
          <cell r="AA730">
            <v>0</v>
          </cell>
          <cell r="AB730">
            <v>0</v>
          </cell>
        </row>
        <row r="731">
          <cell r="G731" t="str">
            <v>895_1</v>
          </cell>
          <cell r="H731" t="str">
            <v/>
          </cell>
          <cell r="I731" t="str">
            <v>met</v>
          </cell>
          <cell r="V731" t="str">
            <v>0</v>
          </cell>
          <cell r="Y731" t="str">
            <v>Past</v>
          </cell>
          <cell r="Z731">
            <v>4.13</v>
          </cell>
          <cell r="AA731">
            <v>0</v>
          </cell>
          <cell r="AB731">
            <v>0</v>
          </cell>
        </row>
        <row r="732">
          <cell r="G732" t="str">
            <v>900_0</v>
          </cell>
          <cell r="H732" t="str">
            <v>as-as</v>
          </cell>
          <cell r="I732" t="str">
            <v>sim</v>
          </cell>
          <cell r="V732" t="str">
            <v>not neg pair</v>
          </cell>
          <cell r="Y732" t="str">
            <v>Past</v>
          </cell>
          <cell r="Z732">
            <v>4.9000000000000004</v>
          </cell>
          <cell r="AA732">
            <v>0</v>
          </cell>
          <cell r="AB732">
            <v>0</v>
          </cell>
        </row>
        <row r="733">
          <cell r="G733" t="str">
            <v>900_1</v>
          </cell>
          <cell r="H733" t="str">
            <v>as-as</v>
          </cell>
          <cell r="I733" t="str">
            <v>sim</v>
          </cell>
          <cell r="V733" t="str">
            <v>not neg pair</v>
          </cell>
          <cell r="Y733" t="str">
            <v>Pres</v>
          </cell>
          <cell r="Z733">
            <v>4.9000000000000004</v>
          </cell>
          <cell r="AA733">
            <v>0</v>
          </cell>
          <cell r="AB733">
            <v>0</v>
          </cell>
        </row>
        <row r="734">
          <cell r="G734" t="str">
            <v>901_0</v>
          </cell>
          <cell r="H734" t="str">
            <v/>
          </cell>
          <cell r="I734" t="str">
            <v>met</v>
          </cell>
          <cell r="V734" t="str">
            <v>0</v>
          </cell>
          <cell r="Y734" t="str">
            <v>Past</v>
          </cell>
          <cell r="Z734">
            <v>4.5199999999999996</v>
          </cell>
          <cell r="AA734">
            <v>0</v>
          </cell>
          <cell r="AB734">
            <v>0</v>
          </cell>
        </row>
        <row r="735">
          <cell r="G735" t="str">
            <v>901_1</v>
          </cell>
          <cell r="H735" t="str">
            <v/>
          </cell>
          <cell r="I735" t="str">
            <v>met</v>
          </cell>
          <cell r="V735" t="str">
            <v>0</v>
          </cell>
          <cell r="Y735" t="str">
            <v>Past</v>
          </cell>
          <cell r="Z735">
            <v>4.5199999999999996</v>
          </cell>
          <cell r="AA735">
            <v>0</v>
          </cell>
          <cell r="AB735">
            <v>0</v>
          </cell>
        </row>
        <row r="736">
          <cell r="G736" t="str">
            <v>902_0</v>
          </cell>
          <cell r="H736" t="str">
            <v/>
          </cell>
          <cell r="I736" t="str">
            <v>met</v>
          </cell>
          <cell r="V736" t="str">
            <v>0</v>
          </cell>
          <cell r="Y736" t="str">
            <v>Past</v>
          </cell>
          <cell r="Z736">
            <v>4.24</v>
          </cell>
          <cell r="AA736">
            <v>0</v>
          </cell>
          <cell r="AB736">
            <v>0</v>
          </cell>
        </row>
        <row r="737">
          <cell r="G737" t="str">
            <v>902_1</v>
          </cell>
          <cell r="H737" t="str">
            <v/>
          </cell>
          <cell r="I737" t="str">
            <v>met</v>
          </cell>
          <cell r="V737" t="str">
            <v>0</v>
          </cell>
          <cell r="Y737" t="str">
            <v>Past</v>
          </cell>
          <cell r="Z737">
            <v>4.24</v>
          </cell>
          <cell r="AA737">
            <v>0</v>
          </cell>
          <cell r="AB737">
            <v>0</v>
          </cell>
        </row>
        <row r="738">
          <cell r="G738" t="str">
            <v>905_0</v>
          </cell>
          <cell r="H738" t="str">
            <v>as</v>
          </cell>
          <cell r="I738" t="str">
            <v>sim</v>
          </cell>
          <cell r="V738" t="str">
            <v>not neg pair</v>
          </cell>
          <cell r="Y738" t="str">
            <v>Pres</v>
          </cell>
          <cell r="Z738">
            <v>4.9000000000000004</v>
          </cell>
          <cell r="AA738">
            <v>0</v>
          </cell>
          <cell r="AB738">
            <v>0</v>
          </cell>
        </row>
        <row r="739">
          <cell r="G739" t="str">
            <v>905_1</v>
          </cell>
          <cell r="H739" t="str">
            <v>as</v>
          </cell>
          <cell r="I739" t="str">
            <v>sim</v>
          </cell>
          <cell r="V739" t="str">
            <v>not neg pair</v>
          </cell>
          <cell r="Y739" t="str">
            <v>Pres</v>
          </cell>
          <cell r="Z739">
            <v>4.9000000000000004</v>
          </cell>
          <cell r="AA739">
            <v>0</v>
          </cell>
          <cell r="AB739">
            <v>0</v>
          </cell>
        </row>
        <row r="740">
          <cell r="G740" t="str">
            <v>907_0</v>
          </cell>
          <cell r="H740" t="str">
            <v>like</v>
          </cell>
          <cell r="I740" t="str">
            <v>sim</v>
          </cell>
          <cell r="V740" t="str">
            <v>not neg pair</v>
          </cell>
          <cell r="Y740" t="str">
            <v>Pres</v>
          </cell>
          <cell r="Z740">
            <v>4.9000000000000004</v>
          </cell>
          <cell r="AA740">
            <v>0</v>
          </cell>
          <cell r="AB740">
            <v>0</v>
          </cell>
        </row>
        <row r="741">
          <cell r="G741" t="str">
            <v>907_1</v>
          </cell>
          <cell r="H741" t="str">
            <v>like</v>
          </cell>
          <cell r="I741" t="str">
            <v>sim</v>
          </cell>
          <cell r="V741" t="str">
            <v>not neg pair</v>
          </cell>
          <cell r="Y741" t="str">
            <v>Pres</v>
          </cell>
          <cell r="Z741">
            <v>4.9000000000000004</v>
          </cell>
          <cell r="AA741">
            <v>0</v>
          </cell>
          <cell r="AB741">
            <v>0</v>
          </cell>
        </row>
        <row r="742">
          <cell r="G742" t="str">
            <v>909_0</v>
          </cell>
          <cell r="H742" t="str">
            <v/>
          </cell>
          <cell r="I742" t="str">
            <v>met</v>
          </cell>
          <cell r="V742" t="str">
            <v>0</v>
          </cell>
          <cell r="Y742" t="str">
            <v>Pres</v>
          </cell>
          <cell r="Z742">
            <v>4.79</v>
          </cell>
          <cell r="AA742">
            <v>0</v>
          </cell>
          <cell r="AB742">
            <v>0</v>
          </cell>
        </row>
        <row r="743">
          <cell r="G743" t="str">
            <v>909_1</v>
          </cell>
          <cell r="H743" t="str">
            <v/>
          </cell>
          <cell r="I743" t="str">
            <v>met</v>
          </cell>
          <cell r="V743" t="str">
            <v>0</v>
          </cell>
          <cell r="Y743" t="str">
            <v>Pres</v>
          </cell>
          <cell r="Z743">
            <v>4.79</v>
          </cell>
          <cell r="AA743">
            <v>0</v>
          </cell>
          <cell r="AB743">
            <v>0</v>
          </cell>
        </row>
        <row r="744">
          <cell r="G744" t="str">
            <v>914_0</v>
          </cell>
          <cell r="H744" t="str">
            <v>the-of</v>
          </cell>
          <cell r="I744" t="str">
            <v>sim</v>
          </cell>
          <cell r="V744" t="str">
            <v>not neg pair</v>
          </cell>
          <cell r="Y744" t="str">
            <v>Pres</v>
          </cell>
          <cell r="Z744">
            <v>4.8499999999999996</v>
          </cell>
          <cell r="AA744">
            <v>0</v>
          </cell>
          <cell r="AB744">
            <v>0</v>
          </cell>
        </row>
        <row r="745">
          <cell r="G745" t="str">
            <v>914_1</v>
          </cell>
          <cell r="H745" t="str">
            <v>the-of</v>
          </cell>
          <cell r="I745" t="str">
            <v>sim</v>
          </cell>
          <cell r="V745" t="str">
            <v>not neg pair</v>
          </cell>
          <cell r="Y745" t="str">
            <v>Pres</v>
          </cell>
          <cell r="Z745">
            <v>4.8499999999999996</v>
          </cell>
          <cell r="AA745">
            <v>0</v>
          </cell>
          <cell r="AB745">
            <v>0</v>
          </cell>
        </row>
        <row r="746">
          <cell r="G746" t="str">
            <v>915_0</v>
          </cell>
          <cell r="H746" t="str">
            <v>the-of</v>
          </cell>
          <cell r="I746" t="str">
            <v>sim</v>
          </cell>
          <cell r="V746" t="str">
            <v>not neg pair</v>
          </cell>
          <cell r="Y746" t="str">
            <v>Pres</v>
          </cell>
          <cell r="Z746">
            <v>4.46</v>
          </cell>
          <cell r="AA746">
            <v>0</v>
          </cell>
          <cell r="AB746">
            <v>0</v>
          </cell>
        </row>
        <row r="747">
          <cell r="G747" t="str">
            <v>915_1</v>
          </cell>
          <cell r="H747" t="str">
            <v>the-of</v>
          </cell>
          <cell r="I747" t="str">
            <v>sim</v>
          </cell>
          <cell r="V747" t="str">
            <v>not neg pair</v>
          </cell>
          <cell r="Y747" t="str">
            <v>Pres</v>
          </cell>
          <cell r="Z747">
            <v>4.46</v>
          </cell>
          <cell r="AA747">
            <v>0</v>
          </cell>
          <cell r="AB747">
            <v>0</v>
          </cell>
        </row>
        <row r="748">
          <cell r="G748" t="str">
            <v>917_0</v>
          </cell>
          <cell r="H748" t="str">
            <v>like</v>
          </cell>
          <cell r="I748" t="str">
            <v>sim</v>
          </cell>
          <cell r="V748" t="str">
            <v>not neg pair</v>
          </cell>
          <cell r="Y748" t="str">
            <v>Past</v>
          </cell>
          <cell r="Z748">
            <v>4.13</v>
          </cell>
          <cell r="AA748">
            <v>0</v>
          </cell>
          <cell r="AB748">
            <v>0</v>
          </cell>
        </row>
        <row r="749">
          <cell r="G749" t="str">
            <v>917_1</v>
          </cell>
          <cell r="H749" t="str">
            <v>like</v>
          </cell>
          <cell r="I749" t="str">
            <v>sim</v>
          </cell>
          <cell r="V749" t="str">
            <v>not neg pair</v>
          </cell>
          <cell r="Y749" t="str">
            <v>Past</v>
          </cell>
          <cell r="Z749">
            <v>4.13</v>
          </cell>
          <cell r="AA749">
            <v>0</v>
          </cell>
          <cell r="AB749">
            <v>0</v>
          </cell>
        </row>
        <row r="750">
          <cell r="G750" t="str">
            <v>918_0</v>
          </cell>
          <cell r="H750" t="str">
            <v>as-as</v>
          </cell>
          <cell r="I750" t="str">
            <v>sim</v>
          </cell>
          <cell r="V750" t="str">
            <v>not</v>
          </cell>
          <cell r="Y750" t="str">
            <v>Past</v>
          </cell>
          <cell r="Z750">
            <v>3.93</v>
          </cell>
          <cell r="AA750">
            <v>0</v>
          </cell>
          <cell r="AB750">
            <v>0</v>
          </cell>
        </row>
        <row r="751">
          <cell r="G751" t="str">
            <v>918_1</v>
          </cell>
          <cell r="H751" t="str">
            <v>as-as</v>
          </cell>
          <cell r="I751" t="str">
            <v>sim</v>
          </cell>
          <cell r="V751" t="str">
            <v>not</v>
          </cell>
          <cell r="Y751" t="str">
            <v>Past</v>
          </cell>
          <cell r="Z751">
            <v>3.93</v>
          </cell>
          <cell r="AA751">
            <v>0</v>
          </cell>
          <cell r="AB751">
            <v>0</v>
          </cell>
        </row>
        <row r="752">
          <cell r="G752" t="str">
            <v>919_0</v>
          </cell>
          <cell r="H752" t="str">
            <v>as-as</v>
          </cell>
          <cell r="I752" t="str">
            <v>sim</v>
          </cell>
          <cell r="V752" t="str">
            <v>not neg pair</v>
          </cell>
          <cell r="Y752" t="str">
            <v>Past</v>
          </cell>
          <cell r="Z752">
            <v>2.93</v>
          </cell>
          <cell r="AA752">
            <v>0</v>
          </cell>
          <cell r="AB752">
            <v>0</v>
          </cell>
        </row>
        <row r="753">
          <cell r="G753" t="str">
            <v>919_1</v>
          </cell>
          <cell r="H753" t="str">
            <v>as-as</v>
          </cell>
          <cell r="I753" t="str">
            <v>sim</v>
          </cell>
          <cell r="V753" t="str">
            <v>not neg pair</v>
          </cell>
          <cell r="Y753" t="str">
            <v>Past</v>
          </cell>
          <cell r="Z753">
            <v>2.93</v>
          </cell>
          <cell r="AA753">
            <v>0</v>
          </cell>
          <cell r="AB753">
            <v>0</v>
          </cell>
        </row>
        <row r="754">
          <cell r="G754" t="str">
            <v>920_0</v>
          </cell>
          <cell r="H754" t="str">
            <v>as</v>
          </cell>
          <cell r="I754" t="str">
            <v>sim</v>
          </cell>
          <cell r="V754" t="str">
            <v>not neg pair</v>
          </cell>
          <cell r="Y754" t="str">
            <v>Past</v>
          </cell>
          <cell r="Z754">
            <v>2.81</v>
          </cell>
          <cell r="AA754">
            <v>0</v>
          </cell>
          <cell r="AB754">
            <v>0</v>
          </cell>
        </row>
        <row r="755">
          <cell r="G755" t="str">
            <v>920_1</v>
          </cell>
          <cell r="H755" t="str">
            <v>as</v>
          </cell>
          <cell r="I755" t="str">
            <v>sim</v>
          </cell>
          <cell r="V755" t="str">
            <v>not neg pair</v>
          </cell>
          <cell r="Y755" t="str">
            <v>Past</v>
          </cell>
          <cell r="Z755">
            <v>2.81</v>
          </cell>
          <cell r="AA755">
            <v>0</v>
          </cell>
          <cell r="AB755">
            <v>0</v>
          </cell>
        </row>
        <row r="756">
          <cell r="G756" t="str">
            <v>921_0</v>
          </cell>
          <cell r="H756" t="str">
            <v>as-as</v>
          </cell>
          <cell r="I756" t="str">
            <v>sim</v>
          </cell>
          <cell r="V756" t="str">
            <v>not</v>
          </cell>
          <cell r="Y756" t="str">
            <v>Past</v>
          </cell>
          <cell r="Z756">
            <v>2.81</v>
          </cell>
          <cell r="AA756">
            <v>0</v>
          </cell>
          <cell r="AB756">
            <v>0</v>
          </cell>
        </row>
        <row r="757">
          <cell r="G757" t="str">
            <v>921_1</v>
          </cell>
          <cell r="H757" t="str">
            <v>as-as</v>
          </cell>
          <cell r="I757" t="str">
            <v>sim</v>
          </cell>
          <cell r="V757" t="str">
            <v>not</v>
          </cell>
          <cell r="Y757" t="str">
            <v>Past</v>
          </cell>
          <cell r="Z757">
            <v>2.81</v>
          </cell>
          <cell r="AA757">
            <v>0</v>
          </cell>
          <cell r="AB757">
            <v>0</v>
          </cell>
        </row>
        <row r="758">
          <cell r="G758" t="str">
            <v>923_0</v>
          </cell>
          <cell r="H758" t="str">
            <v>the-of</v>
          </cell>
          <cell r="I758" t="str">
            <v>sim</v>
          </cell>
          <cell r="V758" t="str">
            <v>not neg pair</v>
          </cell>
          <cell r="Y758" t="str">
            <v>Past</v>
          </cell>
          <cell r="Z758">
            <v>3.36</v>
          </cell>
          <cell r="AA758">
            <v>0</v>
          </cell>
          <cell r="AB758">
            <v>0</v>
          </cell>
        </row>
        <row r="759">
          <cell r="G759" t="str">
            <v>923_1</v>
          </cell>
          <cell r="H759" t="str">
            <v>the-of</v>
          </cell>
          <cell r="I759" t="str">
            <v>sim</v>
          </cell>
          <cell r="V759" t="str">
            <v>not neg pair</v>
          </cell>
          <cell r="Y759" t="str">
            <v>Past</v>
          </cell>
          <cell r="Z759">
            <v>3.36</v>
          </cell>
          <cell r="AA759">
            <v>0</v>
          </cell>
          <cell r="AB759">
            <v>0</v>
          </cell>
        </row>
        <row r="760">
          <cell r="G760" t="str">
            <v>931_0</v>
          </cell>
          <cell r="H760" t="str">
            <v>as-as</v>
          </cell>
          <cell r="I760" t="str">
            <v>sim</v>
          </cell>
          <cell r="V760" t="str">
            <v>antonym</v>
          </cell>
          <cell r="Y760" t="str">
            <v>Pres</v>
          </cell>
          <cell r="Z760">
            <v>4.5</v>
          </cell>
          <cell r="AA760">
            <v>0</v>
          </cell>
          <cell r="AB760">
            <v>1</v>
          </cell>
        </row>
        <row r="761">
          <cell r="G761" t="str">
            <v>931_1</v>
          </cell>
          <cell r="H761" t="str">
            <v>as-as</v>
          </cell>
          <cell r="I761" t="str">
            <v>sim</v>
          </cell>
          <cell r="V761" t="str">
            <v>antonym</v>
          </cell>
          <cell r="Y761" t="str">
            <v>Pres</v>
          </cell>
          <cell r="Z761">
            <v>4.5</v>
          </cell>
          <cell r="AA761">
            <v>0</v>
          </cell>
          <cell r="AB761">
            <v>1</v>
          </cell>
        </row>
        <row r="762">
          <cell r="G762" t="str">
            <v>934_0</v>
          </cell>
          <cell r="H762" t="str">
            <v>as-as</v>
          </cell>
          <cell r="I762" t="str">
            <v>sim</v>
          </cell>
          <cell r="V762" t="str">
            <v>not</v>
          </cell>
          <cell r="Y762" t="str">
            <v>Past</v>
          </cell>
          <cell r="Z762">
            <v>4.8499999999999996</v>
          </cell>
          <cell r="AA762">
            <v>0</v>
          </cell>
          <cell r="AB762">
            <v>0</v>
          </cell>
        </row>
        <row r="763">
          <cell r="G763" t="str">
            <v>934_1</v>
          </cell>
          <cell r="H763" t="str">
            <v>as-as</v>
          </cell>
          <cell r="I763" t="str">
            <v>sim</v>
          </cell>
          <cell r="V763" t="str">
            <v>not</v>
          </cell>
          <cell r="Y763" t="str">
            <v>Past</v>
          </cell>
          <cell r="Z763">
            <v>2.93</v>
          </cell>
          <cell r="AA763">
            <v>0</v>
          </cell>
          <cell r="AB763">
            <v>0</v>
          </cell>
        </row>
        <row r="764">
          <cell r="G764" t="str">
            <v>937_0</v>
          </cell>
          <cell r="H764" t="str">
            <v>the-of</v>
          </cell>
          <cell r="I764" t="str">
            <v>sim</v>
          </cell>
          <cell r="V764" t="str">
            <v>not</v>
          </cell>
          <cell r="Y764" t="str">
            <v>Pres</v>
          </cell>
          <cell r="Z764">
            <v>3.36</v>
          </cell>
          <cell r="AA764">
            <v>0</v>
          </cell>
          <cell r="AB764">
            <v>0</v>
          </cell>
        </row>
        <row r="765">
          <cell r="G765" t="str">
            <v>937_1</v>
          </cell>
          <cell r="H765" t="str">
            <v>the-of</v>
          </cell>
          <cell r="I765" t="str">
            <v>sim</v>
          </cell>
          <cell r="V765" t="str">
            <v>not</v>
          </cell>
          <cell r="Y765" t="str">
            <v>Pres</v>
          </cell>
          <cell r="Z765">
            <v>3.36</v>
          </cell>
          <cell r="AA765">
            <v>0</v>
          </cell>
          <cell r="AB765">
            <v>0</v>
          </cell>
        </row>
        <row r="766">
          <cell r="G766" t="str">
            <v>939_0</v>
          </cell>
          <cell r="H766" t="str">
            <v>the-of</v>
          </cell>
          <cell r="I766" t="str">
            <v>sim</v>
          </cell>
          <cell r="V766" t="str">
            <v>not neg pair</v>
          </cell>
          <cell r="Y766" t="str">
            <v>Pres</v>
          </cell>
          <cell r="Z766">
            <v>4.59</v>
          </cell>
          <cell r="AA766">
            <v>0</v>
          </cell>
          <cell r="AB766">
            <v>0</v>
          </cell>
        </row>
        <row r="767">
          <cell r="G767" t="str">
            <v>939_1</v>
          </cell>
          <cell r="H767" t="str">
            <v>the-of</v>
          </cell>
          <cell r="I767" t="str">
            <v>sim</v>
          </cell>
          <cell r="V767" t="str">
            <v>not neg pair</v>
          </cell>
          <cell r="Y767" t="str">
            <v>Pres</v>
          </cell>
          <cell r="Z767">
            <v>4.59</v>
          </cell>
          <cell r="AA767">
            <v>0</v>
          </cell>
          <cell r="AB767">
            <v>0</v>
          </cell>
        </row>
        <row r="768">
          <cell r="G768" t="str">
            <v>942_0</v>
          </cell>
          <cell r="H768" t="str">
            <v>the-of</v>
          </cell>
          <cell r="I768" t="str">
            <v>sim</v>
          </cell>
          <cell r="V768" t="str">
            <v>not neg pair</v>
          </cell>
          <cell r="Y768" t="str">
            <v>Pres</v>
          </cell>
          <cell r="Z768">
            <v>0</v>
          </cell>
          <cell r="AA768">
            <v>0</v>
          </cell>
          <cell r="AB768">
            <v>0</v>
          </cell>
        </row>
        <row r="769">
          <cell r="G769" t="str">
            <v>942_1</v>
          </cell>
          <cell r="H769" t="str">
            <v>the-of</v>
          </cell>
          <cell r="I769" t="str">
            <v>sim</v>
          </cell>
          <cell r="V769" t="str">
            <v>not neg pair</v>
          </cell>
          <cell r="Y769" t="str">
            <v>Pres</v>
          </cell>
          <cell r="Z769">
            <v>0</v>
          </cell>
          <cell r="AA769">
            <v>0</v>
          </cell>
          <cell r="AB769">
            <v>0</v>
          </cell>
        </row>
        <row r="770">
          <cell r="G770" t="str">
            <v>943_0</v>
          </cell>
          <cell r="H770" t="str">
            <v/>
          </cell>
          <cell r="I770" t="str">
            <v>met</v>
          </cell>
          <cell r="V770" t="str">
            <v>0</v>
          </cell>
          <cell r="Y770" t="str">
            <v>Pres</v>
          </cell>
          <cell r="Z770">
            <v>4.79</v>
          </cell>
          <cell r="AA770">
            <v>0</v>
          </cell>
          <cell r="AB770">
            <v>0</v>
          </cell>
        </row>
        <row r="771">
          <cell r="G771" t="str">
            <v>943_1</v>
          </cell>
          <cell r="H771" t="str">
            <v/>
          </cell>
          <cell r="I771" t="str">
            <v>met</v>
          </cell>
          <cell r="V771" t="str">
            <v>0</v>
          </cell>
          <cell r="Y771" t="str">
            <v>Pres</v>
          </cell>
          <cell r="Z771">
            <v>4.79</v>
          </cell>
          <cell r="AA771">
            <v>0</v>
          </cell>
          <cell r="AB771">
            <v>0</v>
          </cell>
        </row>
        <row r="772">
          <cell r="G772" t="str">
            <v>950_0</v>
          </cell>
          <cell r="H772" t="str">
            <v>as-as</v>
          </cell>
          <cell r="I772" t="str">
            <v>sim</v>
          </cell>
          <cell r="V772" t="str">
            <v>antonym</v>
          </cell>
          <cell r="Y772" t="str">
            <v>Past</v>
          </cell>
          <cell r="Z772">
            <v>4.5999999999999996</v>
          </cell>
          <cell r="AA772">
            <v>0</v>
          </cell>
          <cell r="AB772">
            <v>0</v>
          </cell>
        </row>
        <row r="773">
          <cell r="G773" t="str">
            <v>950_1</v>
          </cell>
          <cell r="H773" t="str">
            <v>as-as</v>
          </cell>
          <cell r="I773" t="str">
            <v>sim</v>
          </cell>
          <cell r="V773" t="str">
            <v>antonym</v>
          </cell>
          <cell r="Y773" t="str">
            <v>Past</v>
          </cell>
          <cell r="Z773">
            <v>4.5999999999999996</v>
          </cell>
          <cell r="AA773">
            <v>0</v>
          </cell>
          <cell r="AB773">
            <v>0</v>
          </cell>
        </row>
        <row r="774">
          <cell r="G774" t="str">
            <v>952_0</v>
          </cell>
          <cell r="H774" t="str">
            <v>as-as</v>
          </cell>
          <cell r="I774" t="str">
            <v>sim</v>
          </cell>
          <cell r="V774" t="str">
            <v>not</v>
          </cell>
          <cell r="Y774" t="str">
            <v>Pres</v>
          </cell>
          <cell r="Z774">
            <v>3.93</v>
          </cell>
          <cell r="AA774">
            <v>0</v>
          </cell>
          <cell r="AB774">
            <v>0</v>
          </cell>
        </row>
        <row r="775">
          <cell r="G775" t="str">
            <v>952_1</v>
          </cell>
          <cell r="H775" t="str">
            <v>as-as</v>
          </cell>
          <cell r="I775" t="str">
            <v>sim</v>
          </cell>
          <cell r="V775" t="str">
            <v>not</v>
          </cell>
          <cell r="Y775" t="str">
            <v>Pres</v>
          </cell>
          <cell r="Z775">
            <v>3.93</v>
          </cell>
          <cell r="AA775">
            <v>0</v>
          </cell>
          <cell r="AB775">
            <v>0</v>
          </cell>
        </row>
        <row r="776">
          <cell r="G776" t="str">
            <v>954_0</v>
          </cell>
          <cell r="H776" t="str">
            <v>as-as</v>
          </cell>
          <cell r="I776" t="str">
            <v>sim</v>
          </cell>
          <cell r="V776" t="str">
            <v>not neg pair</v>
          </cell>
          <cell r="Y776" t="str">
            <v>Pres</v>
          </cell>
          <cell r="Z776">
            <v>0</v>
          </cell>
          <cell r="AA776">
            <v>0</v>
          </cell>
          <cell r="AB776">
            <v>0</v>
          </cell>
        </row>
        <row r="777">
          <cell r="G777" t="str">
            <v>954_1</v>
          </cell>
          <cell r="H777" t="str">
            <v>as-as</v>
          </cell>
          <cell r="I777" t="str">
            <v>sim</v>
          </cell>
          <cell r="V777" t="str">
            <v>not neg pair</v>
          </cell>
          <cell r="Y777" t="str">
            <v>Pres</v>
          </cell>
          <cell r="Z777">
            <v>0</v>
          </cell>
          <cell r="AA777">
            <v>0</v>
          </cell>
          <cell r="AB777">
            <v>0</v>
          </cell>
        </row>
        <row r="778">
          <cell r="G778" t="str">
            <v>955_0</v>
          </cell>
          <cell r="H778" t="str">
            <v>like</v>
          </cell>
          <cell r="I778" t="str">
            <v>sim</v>
          </cell>
          <cell r="V778" t="str">
            <v>not neg pair</v>
          </cell>
          <cell r="Y778" t="str">
            <v>Pres</v>
          </cell>
          <cell r="Z778">
            <v>0</v>
          </cell>
          <cell r="AA778">
            <v>0</v>
          </cell>
          <cell r="AB778">
            <v>0</v>
          </cell>
        </row>
        <row r="779">
          <cell r="G779" t="str">
            <v>955_1</v>
          </cell>
          <cell r="H779" t="str">
            <v>like</v>
          </cell>
          <cell r="I779" t="str">
            <v>sim</v>
          </cell>
          <cell r="V779" t="str">
            <v>not neg pair</v>
          </cell>
          <cell r="Y779" t="str">
            <v>Past</v>
          </cell>
          <cell r="Z779">
            <v>0</v>
          </cell>
          <cell r="AA779">
            <v>0</v>
          </cell>
          <cell r="AB779">
            <v>0</v>
          </cell>
        </row>
        <row r="780">
          <cell r="G780" t="str">
            <v>956_0</v>
          </cell>
          <cell r="H780" t="str">
            <v>as-as</v>
          </cell>
          <cell r="I780" t="str">
            <v>sim</v>
          </cell>
          <cell r="V780" t="str">
            <v>not neg pair</v>
          </cell>
          <cell r="Y780" t="str">
            <v>Pres</v>
          </cell>
          <cell r="Z780">
            <v>2.69</v>
          </cell>
          <cell r="AA780" t="str">
            <v>L</v>
          </cell>
          <cell r="AB780">
            <v>0</v>
          </cell>
        </row>
        <row r="781">
          <cell r="G781" t="str">
            <v>956_1</v>
          </cell>
          <cell r="H781" t="str">
            <v>as-as</v>
          </cell>
          <cell r="I781" t="str">
            <v>sim</v>
          </cell>
          <cell r="V781" t="str">
            <v>not neg pair</v>
          </cell>
          <cell r="Y781" t="str">
            <v>Pres</v>
          </cell>
          <cell r="Z781">
            <v>2.69</v>
          </cell>
          <cell r="AA781" t="str">
            <v>L</v>
          </cell>
          <cell r="AB781">
            <v>0</v>
          </cell>
        </row>
        <row r="782">
          <cell r="G782" t="str">
            <v>960_0</v>
          </cell>
          <cell r="H782" t="str">
            <v>as-as</v>
          </cell>
          <cell r="I782" t="str">
            <v>sim</v>
          </cell>
          <cell r="V782" t="str">
            <v>not</v>
          </cell>
          <cell r="Y782" t="str">
            <v>Pres</v>
          </cell>
          <cell r="Z782">
            <v>3.36</v>
          </cell>
          <cell r="AA782">
            <v>0</v>
          </cell>
          <cell r="AB782">
            <v>0</v>
          </cell>
        </row>
        <row r="783">
          <cell r="G783" t="str">
            <v>960_1</v>
          </cell>
          <cell r="H783" t="str">
            <v>as-as</v>
          </cell>
          <cell r="I783" t="str">
            <v>sim</v>
          </cell>
          <cell r="V783" t="str">
            <v>not</v>
          </cell>
          <cell r="Y783" t="str">
            <v>Pres</v>
          </cell>
          <cell r="Z783">
            <v>3.36</v>
          </cell>
          <cell r="AA783">
            <v>0</v>
          </cell>
          <cell r="AB783">
            <v>0</v>
          </cell>
        </row>
        <row r="784">
          <cell r="G784" t="str">
            <v>962_0</v>
          </cell>
          <cell r="H784" t="str">
            <v>as-as</v>
          </cell>
          <cell r="I784" t="str">
            <v>sim</v>
          </cell>
          <cell r="V784" t="str">
            <v>not</v>
          </cell>
          <cell r="Y784" t="str">
            <v>Pres</v>
          </cell>
          <cell r="Z784">
            <v>3.93</v>
          </cell>
          <cell r="AA784">
            <v>0</v>
          </cell>
          <cell r="AB784">
            <v>0</v>
          </cell>
        </row>
        <row r="785">
          <cell r="G785" t="str">
            <v>962_1</v>
          </cell>
          <cell r="H785" t="str">
            <v>as-as</v>
          </cell>
          <cell r="I785" t="str">
            <v>sim</v>
          </cell>
          <cell r="V785" t="str">
            <v>not</v>
          </cell>
          <cell r="Y785" t="str">
            <v>Pres</v>
          </cell>
          <cell r="Z785">
            <v>3.93</v>
          </cell>
          <cell r="AA785">
            <v>0</v>
          </cell>
          <cell r="AB785">
            <v>0</v>
          </cell>
        </row>
        <row r="786">
          <cell r="G786" t="str">
            <v>965_0</v>
          </cell>
          <cell r="H786" t="str">
            <v/>
          </cell>
          <cell r="I786" t="str">
            <v>met</v>
          </cell>
          <cell r="V786" t="str">
            <v>0</v>
          </cell>
          <cell r="Y786" t="str">
            <v>Pres</v>
          </cell>
          <cell r="Z786">
            <v>4.17</v>
          </cell>
          <cell r="AA786">
            <v>0</v>
          </cell>
          <cell r="AB786">
            <v>0</v>
          </cell>
        </row>
        <row r="787">
          <cell r="G787" t="str">
            <v>965_1</v>
          </cell>
          <cell r="H787" t="str">
            <v/>
          </cell>
          <cell r="I787" t="str">
            <v>met</v>
          </cell>
          <cell r="V787" t="str">
            <v>0</v>
          </cell>
          <cell r="Y787" t="str">
            <v>Pres</v>
          </cell>
          <cell r="Z787">
            <v>4.17</v>
          </cell>
          <cell r="AA787">
            <v>0</v>
          </cell>
          <cell r="AB787">
            <v>0</v>
          </cell>
        </row>
        <row r="788">
          <cell r="G788" t="str">
            <v>967_0</v>
          </cell>
          <cell r="H788" t="str">
            <v>the-of</v>
          </cell>
          <cell r="I788" t="str">
            <v>sim</v>
          </cell>
          <cell r="V788" t="str">
            <v>not neg pair</v>
          </cell>
          <cell r="Y788" t="str">
            <v>Pres</v>
          </cell>
          <cell r="Z788">
            <v>4.8499999999999996</v>
          </cell>
          <cell r="AA788">
            <v>0</v>
          </cell>
          <cell r="AB788">
            <v>0</v>
          </cell>
        </row>
        <row r="789">
          <cell r="G789" t="str">
            <v>967_1</v>
          </cell>
          <cell r="H789" t="str">
            <v>the-of</v>
          </cell>
          <cell r="I789" t="str">
            <v>sim</v>
          </cell>
          <cell r="V789" t="str">
            <v>not neg pair</v>
          </cell>
          <cell r="Y789" t="str">
            <v>Pres</v>
          </cell>
          <cell r="Z789">
            <v>4.8499999999999996</v>
          </cell>
          <cell r="AA789">
            <v>0</v>
          </cell>
          <cell r="AB789">
            <v>0</v>
          </cell>
        </row>
        <row r="790">
          <cell r="G790" t="str">
            <v>968_0</v>
          </cell>
          <cell r="H790" t="str">
            <v/>
          </cell>
          <cell r="I790" t="str">
            <v>met</v>
          </cell>
          <cell r="V790" t="str">
            <v>0</v>
          </cell>
          <cell r="Y790" t="str">
            <v>Pres</v>
          </cell>
          <cell r="Z790">
            <v>4.57</v>
          </cell>
          <cell r="AA790">
            <v>0</v>
          </cell>
          <cell r="AB790">
            <v>0</v>
          </cell>
        </row>
        <row r="791">
          <cell r="G791" t="str">
            <v>968_1</v>
          </cell>
          <cell r="H791" t="str">
            <v/>
          </cell>
          <cell r="I791" t="str">
            <v>met</v>
          </cell>
          <cell r="V791" t="str">
            <v>0</v>
          </cell>
          <cell r="Y791" t="str">
            <v>Pres</v>
          </cell>
          <cell r="Z791">
            <v>4.57</v>
          </cell>
          <cell r="AA791">
            <v>0</v>
          </cell>
          <cell r="AB791">
            <v>0</v>
          </cell>
        </row>
        <row r="792">
          <cell r="G792" t="str">
            <v>969_0</v>
          </cell>
          <cell r="H792" t="str">
            <v>as-as</v>
          </cell>
          <cell r="I792" t="str">
            <v>sim</v>
          </cell>
          <cell r="V792" t="str">
            <v>antonym</v>
          </cell>
          <cell r="Y792" t="str">
            <v>Past</v>
          </cell>
          <cell r="Z792">
            <v>4.8499999999999996</v>
          </cell>
          <cell r="AA792">
            <v>0</v>
          </cell>
          <cell r="AB792">
            <v>0</v>
          </cell>
        </row>
        <row r="793">
          <cell r="G793" t="str">
            <v>969_1</v>
          </cell>
          <cell r="H793" t="str">
            <v>as-as</v>
          </cell>
          <cell r="I793" t="str">
            <v>sim</v>
          </cell>
          <cell r="V793" t="str">
            <v>antonym</v>
          </cell>
          <cell r="Y793" t="str">
            <v>Past</v>
          </cell>
          <cell r="Z793">
            <v>4.8499999999999996</v>
          </cell>
          <cell r="AA793">
            <v>0</v>
          </cell>
          <cell r="AB793">
            <v>0</v>
          </cell>
        </row>
        <row r="794">
          <cell r="G794" t="str">
            <v>970_0</v>
          </cell>
          <cell r="H794" t="str">
            <v>as-as</v>
          </cell>
          <cell r="I794" t="str">
            <v>sim</v>
          </cell>
          <cell r="V794" t="str">
            <v>not neg pair</v>
          </cell>
          <cell r="Y794" t="str">
            <v>Past</v>
          </cell>
          <cell r="Z794">
            <v>4.79</v>
          </cell>
          <cell r="AA794">
            <v>0</v>
          </cell>
          <cell r="AB794">
            <v>0</v>
          </cell>
        </row>
        <row r="795">
          <cell r="G795" t="str">
            <v>970_1</v>
          </cell>
          <cell r="H795" t="str">
            <v>as-as</v>
          </cell>
          <cell r="I795" t="str">
            <v>sim</v>
          </cell>
          <cell r="V795" t="str">
            <v>not neg pair</v>
          </cell>
          <cell r="Y795" t="str">
            <v>Past</v>
          </cell>
          <cell r="Z795">
            <v>4.79</v>
          </cell>
          <cell r="AA795">
            <v>0</v>
          </cell>
          <cell r="AB795">
            <v>0</v>
          </cell>
        </row>
        <row r="796">
          <cell r="G796" t="str">
            <v>971_0</v>
          </cell>
          <cell r="H796" t="str">
            <v>as-as</v>
          </cell>
          <cell r="I796" t="str">
            <v>sim</v>
          </cell>
          <cell r="V796" t="str">
            <v>antonym</v>
          </cell>
          <cell r="Y796" t="str">
            <v>Past</v>
          </cell>
          <cell r="Z796">
            <v>4.13</v>
          </cell>
          <cell r="AA796">
            <v>0</v>
          </cell>
          <cell r="AB796">
            <v>1</v>
          </cell>
        </row>
        <row r="797">
          <cell r="G797" t="str">
            <v>971_1</v>
          </cell>
          <cell r="H797" t="str">
            <v>as-as</v>
          </cell>
          <cell r="I797" t="str">
            <v>sim</v>
          </cell>
          <cell r="V797" t="str">
            <v>antonym</v>
          </cell>
          <cell r="Y797" t="str">
            <v>Past</v>
          </cell>
          <cell r="Z797">
            <v>4.13</v>
          </cell>
          <cell r="AA797">
            <v>0</v>
          </cell>
          <cell r="AB797">
            <v>1</v>
          </cell>
        </row>
        <row r="798">
          <cell r="G798" t="str">
            <v>973_0</v>
          </cell>
          <cell r="H798" t="str">
            <v>like</v>
          </cell>
          <cell r="I798" t="str">
            <v>sim</v>
          </cell>
          <cell r="V798" t="str">
            <v>not neg pair</v>
          </cell>
          <cell r="Y798" t="str">
            <v>Past</v>
          </cell>
          <cell r="Z798">
            <v>2.93</v>
          </cell>
          <cell r="AA798">
            <v>0</v>
          </cell>
          <cell r="AB798">
            <v>0</v>
          </cell>
        </row>
        <row r="799">
          <cell r="G799" t="str">
            <v>973_1</v>
          </cell>
          <cell r="H799" t="str">
            <v>like</v>
          </cell>
          <cell r="I799" t="str">
            <v>sim</v>
          </cell>
          <cell r="V799" t="str">
            <v>not neg pair</v>
          </cell>
          <cell r="Y799" t="str">
            <v>Past</v>
          </cell>
          <cell r="Z799">
            <v>2.93</v>
          </cell>
          <cell r="AA799">
            <v>0</v>
          </cell>
          <cell r="AB799">
            <v>0</v>
          </cell>
        </row>
        <row r="800">
          <cell r="G800" t="str">
            <v>974_0</v>
          </cell>
          <cell r="H800" t="str">
            <v>the-of</v>
          </cell>
          <cell r="I800" t="str">
            <v>sim</v>
          </cell>
          <cell r="V800" t="str">
            <v>not neg pair</v>
          </cell>
          <cell r="Y800" t="str">
            <v>Past</v>
          </cell>
          <cell r="Z800">
            <v>2.81</v>
          </cell>
          <cell r="AA800">
            <v>0</v>
          </cell>
          <cell r="AB800">
            <v>0</v>
          </cell>
        </row>
        <row r="801">
          <cell r="G801" t="str">
            <v>974_1</v>
          </cell>
          <cell r="H801" t="str">
            <v>the-of</v>
          </cell>
          <cell r="I801" t="str">
            <v>sim</v>
          </cell>
          <cell r="V801" t="str">
            <v>not neg pair</v>
          </cell>
          <cell r="Y801" t="str">
            <v>Past</v>
          </cell>
          <cell r="Z801">
            <v>2.81</v>
          </cell>
          <cell r="AA801">
            <v>0</v>
          </cell>
          <cell r="AB801">
            <v>0</v>
          </cell>
        </row>
        <row r="802">
          <cell r="G802" t="str">
            <v>975_0</v>
          </cell>
          <cell r="H802" t="str">
            <v>like</v>
          </cell>
          <cell r="I802" t="str">
            <v>sim</v>
          </cell>
          <cell r="V802" t="str">
            <v>not</v>
          </cell>
          <cell r="Y802" t="str">
            <v>Pres</v>
          </cell>
          <cell r="Z802">
            <v>0</v>
          </cell>
          <cell r="AA802">
            <v>0</v>
          </cell>
          <cell r="AB802">
            <v>0</v>
          </cell>
        </row>
        <row r="803">
          <cell r="G803" t="str">
            <v>975_1</v>
          </cell>
          <cell r="H803" t="str">
            <v>like</v>
          </cell>
          <cell r="I803" t="str">
            <v>sim</v>
          </cell>
          <cell r="V803" t="str">
            <v>not</v>
          </cell>
          <cell r="Y803" t="str">
            <v>Pres</v>
          </cell>
          <cell r="Z803">
            <v>2.69</v>
          </cell>
          <cell r="AA803" t="str">
            <v>L</v>
          </cell>
          <cell r="AB803">
            <v>0</v>
          </cell>
        </row>
        <row r="804">
          <cell r="G804" t="str">
            <v>976_0</v>
          </cell>
          <cell r="H804" t="str">
            <v>like</v>
          </cell>
          <cell r="I804" t="str">
            <v>sim</v>
          </cell>
          <cell r="V804" t="str">
            <v>not neg pair</v>
          </cell>
          <cell r="Y804">
            <v>0</v>
          </cell>
          <cell r="Z804">
            <v>4.1100000000000003</v>
          </cell>
          <cell r="AA804">
            <v>0</v>
          </cell>
          <cell r="AB804">
            <v>0</v>
          </cell>
        </row>
        <row r="805">
          <cell r="G805" t="str">
            <v>976_1</v>
          </cell>
          <cell r="H805" t="str">
            <v>like</v>
          </cell>
          <cell r="I805" t="str">
            <v>sim</v>
          </cell>
          <cell r="V805" t="str">
            <v>not neg pair</v>
          </cell>
          <cell r="Y805" t="str">
            <v>Pres</v>
          </cell>
          <cell r="Z805">
            <v>0</v>
          </cell>
          <cell r="AA805">
            <v>0</v>
          </cell>
          <cell r="AB805">
            <v>0</v>
          </cell>
        </row>
        <row r="806">
          <cell r="G806" t="str">
            <v>977_0</v>
          </cell>
          <cell r="H806" t="str">
            <v>like</v>
          </cell>
          <cell r="I806" t="str">
            <v>sim</v>
          </cell>
          <cell r="V806" t="str">
            <v>not neg pair</v>
          </cell>
          <cell r="Y806" t="str">
            <v>Pres</v>
          </cell>
          <cell r="Z806">
            <v>2.81</v>
          </cell>
          <cell r="AA806">
            <v>0</v>
          </cell>
          <cell r="AB806">
            <v>0</v>
          </cell>
        </row>
        <row r="807">
          <cell r="G807" t="str">
            <v>977_1</v>
          </cell>
          <cell r="H807" t="str">
            <v>like</v>
          </cell>
          <cell r="I807" t="str">
            <v>sim</v>
          </cell>
          <cell r="V807" t="str">
            <v>not neg pair</v>
          </cell>
          <cell r="Y807">
            <v>0</v>
          </cell>
          <cell r="Z807">
            <v>4.04</v>
          </cell>
          <cell r="AA807">
            <v>0</v>
          </cell>
          <cell r="AB807">
            <v>0</v>
          </cell>
        </row>
        <row r="808">
          <cell r="G808" t="str">
            <v>980_0</v>
          </cell>
          <cell r="H808" t="str">
            <v>like</v>
          </cell>
          <cell r="I808" t="str">
            <v>sim</v>
          </cell>
          <cell r="V808" t="str">
            <v>not neg pair</v>
          </cell>
          <cell r="Y808" t="str">
            <v>Past</v>
          </cell>
          <cell r="Z808">
            <v>3.93</v>
          </cell>
          <cell r="AA808">
            <v>0</v>
          </cell>
          <cell r="AB808">
            <v>0</v>
          </cell>
        </row>
        <row r="809">
          <cell r="G809" t="str">
            <v>980_1</v>
          </cell>
          <cell r="H809" t="str">
            <v>like</v>
          </cell>
          <cell r="I809" t="str">
            <v>sim</v>
          </cell>
          <cell r="V809" t="str">
            <v>not neg pair</v>
          </cell>
          <cell r="Y809" t="str">
            <v>Past</v>
          </cell>
          <cell r="Z809">
            <v>3.93</v>
          </cell>
          <cell r="AA809">
            <v>0</v>
          </cell>
          <cell r="AB809">
            <v>0</v>
          </cell>
        </row>
        <row r="810">
          <cell r="G810" t="str">
            <v>986_0</v>
          </cell>
          <cell r="H810" t="str">
            <v>as-as</v>
          </cell>
          <cell r="I810" t="str">
            <v>sim</v>
          </cell>
          <cell r="V810" t="str">
            <v>not neg pair</v>
          </cell>
          <cell r="Y810" t="str">
            <v>Pres</v>
          </cell>
          <cell r="Z810">
            <v>4.12</v>
          </cell>
          <cell r="AA810">
            <v>0</v>
          </cell>
          <cell r="AB810">
            <v>0</v>
          </cell>
        </row>
        <row r="811">
          <cell r="G811" t="str">
            <v>986_1</v>
          </cell>
          <cell r="H811" t="str">
            <v>as-as</v>
          </cell>
          <cell r="I811" t="str">
            <v>sim</v>
          </cell>
          <cell r="V811" t="str">
            <v>not neg pair</v>
          </cell>
          <cell r="Y811" t="str">
            <v>Pres</v>
          </cell>
          <cell r="Z811">
            <v>4.12</v>
          </cell>
          <cell r="AA811">
            <v>0</v>
          </cell>
          <cell r="AB811">
            <v>0</v>
          </cell>
        </row>
        <row r="812">
          <cell r="G812" t="str">
            <v>987_0</v>
          </cell>
          <cell r="H812" t="str">
            <v/>
          </cell>
          <cell r="I812" t="str">
            <v>met</v>
          </cell>
          <cell r="V812" t="str">
            <v>0</v>
          </cell>
          <cell r="Y812" t="str">
            <v>Pres</v>
          </cell>
          <cell r="Z812">
            <v>0</v>
          </cell>
          <cell r="AA812">
            <v>0</v>
          </cell>
          <cell r="AB812">
            <v>0</v>
          </cell>
        </row>
        <row r="813">
          <cell r="G813" t="str">
            <v>987_1</v>
          </cell>
          <cell r="H813" t="str">
            <v/>
          </cell>
          <cell r="I813" t="str">
            <v>met</v>
          </cell>
          <cell r="V813" t="str">
            <v>0</v>
          </cell>
          <cell r="Y813" t="str">
            <v>Pres</v>
          </cell>
          <cell r="Z813">
            <v>0</v>
          </cell>
          <cell r="AA813">
            <v>0</v>
          </cell>
          <cell r="AB813">
            <v>0</v>
          </cell>
        </row>
        <row r="814">
          <cell r="G814" t="str">
            <v>990_0</v>
          </cell>
          <cell r="H814" t="str">
            <v>like</v>
          </cell>
          <cell r="I814" t="str">
            <v>sim</v>
          </cell>
          <cell r="V814" t="str">
            <v>not neg pair</v>
          </cell>
          <cell r="Y814" t="str">
            <v>Past</v>
          </cell>
          <cell r="Z814">
            <v>4.8099999999999996</v>
          </cell>
          <cell r="AA814">
            <v>0</v>
          </cell>
          <cell r="AB814">
            <v>0</v>
          </cell>
        </row>
        <row r="815">
          <cell r="G815" t="str">
            <v>990_1</v>
          </cell>
          <cell r="H815" t="str">
            <v>like</v>
          </cell>
          <cell r="I815" t="str">
            <v>sim</v>
          </cell>
          <cell r="V815" t="str">
            <v>not neg pair</v>
          </cell>
          <cell r="Y815" t="str">
            <v>Past</v>
          </cell>
          <cell r="Z815">
            <v>4.8099999999999996</v>
          </cell>
          <cell r="AA815">
            <v>0</v>
          </cell>
          <cell r="AB815">
            <v>0</v>
          </cell>
        </row>
        <row r="816">
          <cell r="G816" t="str">
            <v>998_0</v>
          </cell>
          <cell r="H816" t="str">
            <v>as-as</v>
          </cell>
          <cell r="I816" t="str">
            <v>sim</v>
          </cell>
          <cell r="V816" t="str">
            <v>antonym</v>
          </cell>
          <cell r="Y816" t="str">
            <v>Pres</v>
          </cell>
          <cell r="Z816">
            <v>3.93</v>
          </cell>
          <cell r="AA816">
            <v>0</v>
          </cell>
          <cell r="AB816">
            <v>0</v>
          </cell>
        </row>
        <row r="817">
          <cell r="G817" t="str">
            <v>998_1</v>
          </cell>
          <cell r="H817" t="str">
            <v>as-as</v>
          </cell>
          <cell r="I817" t="str">
            <v>sim</v>
          </cell>
          <cell r="V817" t="str">
            <v>antonym</v>
          </cell>
          <cell r="Y817" t="str">
            <v>Pres</v>
          </cell>
          <cell r="Z817">
            <v>3.93</v>
          </cell>
          <cell r="AA817">
            <v>0</v>
          </cell>
          <cell r="AB817">
            <v>0</v>
          </cell>
        </row>
        <row r="818">
          <cell r="G818" t="str">
            <v>999_0</v>
          </cell>
          <cell r="H818" t="str">
            <v>like</v>
          </cell>
          <cell r="I818" t="str">
            <v>sim</v>
          </cell>
          <cell r="V818" t="str">
            <v>not</v>
          </cell>
          <cell r="Y818" t="str">
            <v>Pres</v>
          </cell>
          <cell r="Z818">
            <v>3.93</v>
          </cell>
          <cell r="AA818">
            <v>0</v>
          </cell>
          <cell r="AB818">
            <v>1</v>
          </cell>
        </row>
        <row r="819">
          <cell r="G819" t="str">
            <v>999_1</v>
          </cell>
          <cell r="H819" t="str">
            <v>like</v>
          </cell>
          <cell r="I819" t="str">
            <v>sim</v>
          </cell>
          <cell r="V819" t="str">
            <v>not</v>
          </cell>
          <cell r="Y819">
            <v>0</v>
          </cell>
          <cell r="Z819">
            <v>3.93</v>
          </cell>
          <cell r="AA819">
            <v>0</v>
          </cell>
          <cell r="AB819">
            <v>1</v>
          </cell>
        </row>
        <row r="820">
          <cell r="G820" t="str">
            <v>1000_0</v>
          </cell>
          <cell r="H820" t="str">
            <v>as-as</v>
          </cell>
          <cell r="I820" t="str">
            <v>sim</v>
          </cell>
          <cell r="V820" t="str">
            <v>not</v>
          </cell>
          <cell r="Y820" t="str">
            <v>Pres</v>
          </cell>
          <cell r="Z820">
            <v>3.93</v>
          </cell>
          <cell r="AA820">
            <v>0</v>
          </cell>
          <cell r="AB820">
            <v>1</v>
          </cell>
        </row>
        <row r="821">
          <cell r="G821" t="str">
            <v>1000_1</v>
          </cell>
          <cell r="H821" t="str">
            <v>as-as</v>
          </cell>
          <cell r="I821" t="str">
            <v>sim</v>
          </cell>
          <cell r="V821" t="str">
            <v>not</v>
          </cell>
          <cell r="Y821" t="str">
            <v>Pres</v>
          </cell>
          <cell r="Z821">
            <v>3.93</v>
          </cell>
          <cell r="AA821">
            <v>0</v>
          </cell>
          <cell r="AB821">
            <v>1</v>
          </cell>
        </row>
        <row r="822">
          <cell r="G822" t="str">
            <v>1001_0</v>
          </cell>
          <cell r="H822" t="str">
            <v>like</v>
          </cell>
          <cell r="I822" t="str">
            <v>sim</v>
          </cell>
          <cell r="V822" t="str">
            <v>not</v>
          </cell>
          <cell r="Y822" t="str">
            <v>Pres</v>
          </cell>
          <cell r="Z822">
            <v>3.93</v>
          </cell>
          <cell r="AA822">
            <v>0</v>
          </cell>
          <cell r="AB822">
            <v>0</v>
          </cell>
        </row>
        <row r="823">
          <cell r="G823" t="str">
            <v>1001_1</v>
          </cell>
          <cell r="H823" t="str">
            <v>like</v>
          </cell>
          <cell r="I823" t="str">
            <v>sim</v>
          </cell>
          <cell r="V823" t="str">
            <v>not</v>
          </cell>
          <cell r="Y823" t="str">
            <v>Pres</v>
          </cell>
          <cell r="Z823">
            <v>3.93</v>
          </cell>
          <cell r="AA823">
            <v>0</v>
          </cell>
          <cell r="AB823">
            <v>0</v>
          </cell>
        </row>
        <row r="824">
          <cell r="G824" t="str">
            <v>1006_0</v>
          </cell>
          <cell r="H824" t="str">
            <v>the-of</v>
          </cell>
          <cell r="I824" t="str">
            <v>sim</v>
          </cell>
          <cell r="V824" t="str">
            <v>not neg pair</v>
          </cell>
          <cell r="Y824" t="str">
            <v>Pres</v>
          </cell>
          <cell r="Z824">
            <v>4.17</v>
          </cell>
          <cell r="AA824">
            <v>0</v>
          </cell>
          <cell r="AB824">
            <v>0</v>
          </cell>
        </row>
        <row r="825">
          <cell r="G825" t="str">
            <v>1006_1</v>
          </cell>
          <cell r="H825" t="str">
            <v>the-of</v>
          </cell>
          <cell r="I825" t="str">
            <v>sim</v>
          </cell>
          <cell r="V825" t="str">
            <v>not neg pair</v>
          </cell>
          <cell r="Y825" t="str">
            <v>Pres</v>
          </cell>
          <cell r="Z825">
            <v>4.17</v>
          </cell>
          <cell r="AA825">
            <v>0</v>
          </cell>
          <cell r="AB825">
            <v>0</v>
          </cell>
        </row>
        <row r="826">
          <cell r="G826" t="str">
            <v>1012_0</v>
          </cell>
          <cell r="H826" t="str">
            <v>the-of</v>
          </cell>
          <cell r="I826" t="str">
            <v>sim</v>
          </cell>
          <cell r="V826" t="str">
            <v>not neg pair</v>
          </cell>
          <cell r="Y826" t="str">
            <v>Pres</v>
          </cell>
          <cell r="Z826">
            <v>4.8499999999999996</v>
          </cell>
          <cell r="AA826">
            <v>0</v>
          </cell>
          <cell r="AB826">
            <v>0</v>
          </cell>
        </row>
        <row r="827">
          <cell r="G827" t="str">
            <v>1012_1</v>
          </cell>
          <cell r="H827" t="str">
            <v>the-of</v>
          </cell>
          <cell r="I827" t="str">
            <v>sim</v>
          </cell>
          <cell r="V827" t="str">
            <v>not neg pair</v>
          </cell>
          <cell r="Y827" t="str">
            <v>Pres</v>
          </cell>
          <cell r="Z827">
            <v>4.8499999999999996</v>
          </cell>
          <cell r="AA827">
            <v>0</v>
          </cell>
          <cell r="AB827">
            <v>0</v>
          </cell>
        </row>
        <row r="828">
          <cell r="G828" t="str">
            <v>1013_0</v>
          </cell>
          <cell r="H828" t="str">
            <v>as-as</v>
          </cell>
          <cell r="I828" t="str">
            <v>sim</v>
          </cell>
          <cell r="V828" t="str">
            <v>not neg pair</v>
          </cell>
          <cell r="Y828" t="str">
            <v>Pres</v>
          </cell>
          <cell r="Z828">
            <v>5</v>
          </cell>
          <cell r="AA828" t="str">
            <v>H</v>
          </cell>
          <cell r="AB828">
            <v>0</v>
          </cell>
        </row>
        <row r="829">
          <cell r="G829" t="str">
            <v>1013_1</v>
          </cell>
          <cell r="H829" t="str">
            <v>as-as</v>
          </cell>
          <cell r="I829" t="str">
            <v>sim</v>
          </cell>
          <cell r="V829" t="str">
            <v>not neg pair</v>
          </cell>
          <cell r="Y829" t="str">
            <v>Pres</v>
          </cell>
          <cell r="Z829">
            <v>5</v>
          </cell>
          <cell r="AA829" t="str">
            <v>H</v>
          </cell>
          <cell r="AB829">
            <v>0</v>
          </cell>
        </row>
        <row r="830">
          <cell r="G830" t="str">
            <v>1015_0</v>
          </cell>
          <cell r="H830" t="str">
            <v/>
          </cell>
          <cell r="I830" t="str">
            <v>met</v>
          </cell>
          <cell r="V830" t="str">
            <v>0</v>
          </cell>
          <cell r="Y830" t="str">
            <v>Pres</v>
          </cell>
          <cell r="Z830">
            <v>1.59</v>
          </cell>
          <cell r="AA830" t="str">
            <v>L</v>
          </cell>
          <cell r="AB830">
            <v>0</v>
          </cell>
        </row>
        <row r="831">
          <cell r="G831" t="str">
            <v>1015_1</v>
          </cell>
          <cell r="H831" t="str">
            <v/>
          </cell>
          <cell r="I831" t="str">
            <v>met</v>
          </cell>
          <cell r="V831" t="str">
            <v>0</v>
          </cell>
          <cell r="Y831" t="str">
            <v>Pres</v>
          </cell>
          <cell r="Z831">
            <v>1.59</v>
          </cell>
          <cell r="AA831" t="str">
            <v>L</v>
          </cell>
          <cell r="AB831">
            <v>0</v>
          </cell>
        </row>
        <row r="832">
          <cell r="G832" t="str">
            <v>1017_0</v>
          </cell>
          <cell r="H832" t="str">
            <v>the-of</v>
          </cell>
          <cell r="I832" t="str">
            <v>sim</v>
          </cell>
          <cell r="V832" t="str">
            <v>not neg pair</v>
          </cell>
          <cell r="Y832" t="str">
            <v>Pres</v>
          </cell>
          <cell r="Z832">
            <v>0</v>
          </cell>
          <cell r="AA832">
            <v>0</v>
          </cell>
          <cell r="AB832">
            <v>0</v>
          </cell>
        </row>
        <row r="833">
          <cell r="G833" t="str">
            <v>1017_1</v>
          </cell>
          <cell r="H833" t="str">
            <v>the-of</v>
          </cell>
          <cell r="I833" t="str">
            <v>sim</v>
          </cell>
          <cell r="V833" t="str">
            <v>not neg pair</v>
          </cell>
          <cell r="Y833" t="str">
            <v>Past</v>
          </cell>
          <cell r="Z833">
            <v>4.8899999999999997</v>
          </cell>
          <cell r="AA833">
            <v>0</v>
          </cell>
          <cell r="AB833">
            <v>0</v>
          </cell>
        </row>
        <row r="834">
          <cell r="G834" t="str">
            <v>1022_0</v>
          </cell>
          <cell r="H834" t="str">
            <v>as-as</v>
          </cell>
          <cell r="I834" t="str">
            <v>sim</v>
          </cell>
          <cell r="V834" t="str">
            <v>not neg pair</v>
          </cell>
          <cell r="Y834" t="str">
            <v>Past</v>
          </cell>
          <cell r="Z834">
            <v>4.78</v>
          </cell>
          <cell r="AA834">
            <v>0</v>
          </cell>
          <cell r="AB834">
            <v>0</v>
          </cell>
        </row>
        <row r="835">
          <cell r="G835" t="str">
            <v>1022_1</v>
          </cell>
          <cell r="H835" t="str">
            <v>as-as</v>
          </cell>
          <cell r="I835" t="str">
            <v>sim</v>
          </cell>
          <cell r="V835" t="str">
            <v>not neg pair</v>
          </cell>
          <cell r="Y835" t="str">
            <v>Past</v>
          </cell>
          <cell r="Z835">
            <v>4.78</v>
          </cell>
          <cell r="AA835">
            <v>0</v>
          </cell>
          <cell r="AB835">
            <v>0</v>
          </cell>
        </row>
        <row r="836">
          <cell r="G836" t="str">
            <v>1027_0</v>
          </cell>
          <cell r="H836" t="str">
            <v>like</v>
          </cell>
          <cell r="I836" t="str">
            <v>sim</v>
          </cell>
          <cell r="V836" t="str">
            <v>not neg pair</v>
          </cell>
          <cell r="Y836" t="str">
            <v>Past</v>
          </cell>
          <cell r="Z836">
            <v>3.93</v>
          </cell>
          <cell r="AA836">
            <v>0</v>
          </cell>
          <cell r="AB836">
            <v>0</v>
          </cell>
        </row>
        <row r="837">
          <cell r="G837" t="str">
            <v>1027_1</v>
          </cell>
          <cell r="H837" t="str">
            <v>like</v>
          </cell>
          <cell r="I837" t="str">
            <v>sim</v>
          </cell>
          <cell r="V837" t="str">
            <v>not neg pair</v>
          </cell>
          <cell r="Y837" t="str">
            <v>Past</v>
          </cell>
          <cell r="Z837">
            <v>3.93</v>
          </cell>
          <cell r="AA837">
            <v>0</v>
          </cell>
          <cell r="AB837">
            <v>0</v>
          </cell>
        </row>
        <row r="838">
          <cell r="G838" t="str">
            <v>1028_0</v>
          </cell>
          <cell r="H838" t="str">
            <v>as-as</v>
          </cell>
          <cell r="I838" t="str">
            <v>sim</v>
          </cell>
          <cell r="V838" t="str">
            <v>not neg pair</v>
          </cell>
          <cell r="Y838" t="str">
            <v>Pres</v>
          </cell>
          <cell r="Z838">
            <v>2.4500000000000002</v>
          </cell>
          <cell r="AA838" t="str">
            <v>L</v>
          </cell>
          <cell r="AB838">
            <v>0</v>
          </cell>
        </row>
        <row r="839">
          <cell r="G839" t="str">
            <v>1028_1</v>
          </cell>
          <cell r="H839" t="str">
            <v>as-as</v>
          </cell>
          <cell r="I839" t="str">
            <v>sim</v>
          </cell>
          <cell r="V839" t="str">
            <v>not neg pair</v>
          </cell>
          <cell r="Y839" t="str">
            <v>Pres</v>
          </cell>
          <cell r="Z839">
            <v>2.4500000000000002</v>
          </cell>
          <cell r="AA839" t="str">
            <v>L</v>
          </cell>
          <cell r="AB839">
            <v>0</v>
          </cell>
        </row>
        <row r="840">
          <cell r="G840" t="str">
            <v>1029_0</v>
          </cell>
          <cell r="H840" t="str">
            <v>as-as</v>
          </cell>
          <cell r="I840" t="str">
            <v>sim</v>
          </cell>
          <cell r="V840" t="str">
            <v>not</v>
          </cell>
          <cell r="Y840" t="str">
            <v>Past</v>
          </cell>
          <cell r="Z840">
            <v>4.04</v>
          </cell>
          <cell r="AA840">
            <v>0</v>
          </cell>
          <cell r="AB840">
            <v>1</v>
          </cell>
        </row>
        <row r="841">
          <cell r="G841" t="str">
            <v>1029_1</v>
          </cell>
          <cell r="H841" t="str">
            <v>as-as</v>
          </cell>
          <cell r="I841" t="str">
            <v>sim</v>
          </cell>
          <cell r="V841" t="str">
            <v>not</v>
          </cell>
          <cell r="Y841" t="str">
            <v>Past</v>
          </cell>
          <cell r="Z841">
            <v>4.04</v>
          </cell>
          <cell r="AA841">
            <v>0</v>
          </cell>
          <cell r="AB841">
            <v>1</v>
          </cell>
        </row>
        <row r="842">
          <cell r="G842" t="str">
            <v>1030_0</v>
          </cell>
          <cell r="H842" t="str">
            <v>the-of</v>
          </cell>
          <cell r="I842" t="str">
            <v>sim</v>
          </cell>
          <cell r="V842" t="str">
            <v>0</v>
          </cell>
          <cell r="Y842" t="str">
            <v>Past</v>
          </cell>
          <cell r="Z842">
            <v>4.79</v>
          </cell>
          <cell r="AA842">
            <v>0</v>
          </cell>
          <cell r="AB842">
            <v>0</v>
          </cell>
        </row>
        <row r="843">
          <cell r="G843" t="str">
            <v>1030_1</v>
          </cell>
          <cell r="H843" t="str">
            <v/>
          </cell>
          <cell r="I843" t="str">
            <v>met</v>
          </cell>
          <cell r="V843" t="str">
            <v>0</v>
          </cell>
          <cell r="Y843" t="str">
            <v>Past</v>
          </cell>
          <cell r="Z843">
            <v>4.79</v>
          </cell>
          <cell r="AA843">
            <v>0</v>
          </cell>
          <cell r="AB843">
            <v>0</v>
          </cell>
        </row>
        <row r="844">
          <cell r="G844" t="str">
            <v>1036_0</v>
          </cell>
          <cell r="H844" t="str">
            <v>as-as</v>
          </cell>
          <cell r="I844" t="str">
            <v>sim</v>
          </cell>
          <cell r="V844" t="str">
            <v>not neg pair</v>
          </cell>
          <cell r="Y844" t="str">
            <v>Pres</v>
          </cell>
          <cell r="Z844">
            <v>3.48</v>
          </cell>
          <cell r="AA844">
            <v>0</v>
          </cell>
          <cell r="AB844">
            <v>0</v>
          </cell>
        </row>
        <row r="845">
          <cell r="G845" t="str">
            <v>1036_1</v>
          </cell>
          <cell r="H845" t="str">
            <v>as-as</v>
          </cell>
          <cell r="I845" t="str">
            <v>sim</v>
          </cell>
          <cell r="V845" t="str">
            <v>not neg pair</v>
          </cell>
          <cell r="Y845" t="str">
            <v>Pres</v>
          </cell>
          <cell r="Z845">
            <v>3.48</v>
          </cell>
          <cell r="AA845">
            <v>0</v>
          </cell>
          <cell r="AB845">
            <v>0</v>
          </cell>
        </row>
        <row r="846">
          <cell r="G846" t="str">
            <v>1052_0</v>
          </cell>
          <cell r="H846" t="str">
            <v>the-of</v>
          </cell>
          <cell r="I846" t="str">
            <v>sim</v>
          </cell>
          <cell r="V846" t="str">
            <v>not neg pair</v>
          </cell>
          <cell r="Y846" t="str">
            <v>Pres</v>
          </cell>
          <cell r="Z846">
            <v>4.59</v>
          </cell>
          <cell r="AA846">
            <v>0</v>
          </cell>
          <cell r="AB846">
            <v>0</v>
          </cell>
        </row>
        <row r="847">
          <cell r="G847" t="str">
            <v>1052_1</v>
          </cell>
          <cell r="H847" t="str">
            <v>the-of</v>
          </cell>
          <cell r="I847" t="str">
            <v>sim</v>
          </cell>
          <cell r="V847" t="str">
            <v>not neg pair</v>
          </cell>
          <cell r="Y847" t="str">
            <v>Pres</v>
          </cell>
          <cell r="Z847">
            <v>4.59</v>
          </cell>
          <cell r="AA847">
            <v>0</v>
          </cell>
          <cell r="AB847">
            <v>0</v>
          </cell>
        </row>
        <row r="848">
          <cell r="G848" t="str">
            <v>1064_0</v>
          </cell>
          <cell r="H848" t="str">
            <v>as-as</v>
          </cell>
          <cell r="I848" t="str">
            <v>sim</v>
          </cell>
          <cell r="V848" t="str">
            <v>not neg pair</v>
          </cell>
          <cell r="Y848" t="str">
            <v>Past</v>
          </cell>
          <cell r="Z848">
            <v>4.79</v>
          </cell>
          <cell r="AA848">
            <v>0</v>
          </cell>
          <cell r="AB848">
            <v>0</v>
          </cell>
        </row>
        <row r="849">
          <cell r="G849" t="str">
            <v>1064_1</v>
          </cell>
          <cell r="H849" t="str">
            <v>as-as</v>
          </cell>
          <cell r="I849" t="str">
            <v>sim</v>
          </cell>
          <cell r="V849" t="str">
            <v>not neg pair</v>
          </cell>
          <cell r="Y849" t="str">
            <v>Pres</v>
          </cell>
          <cell r="Z849">
            <v>4.79</v>
          </cell>
          <cell r="AA849">
            <v>0</v>
          </cell>
          <cell r="AB849">
            <v>0</v>
          </cell>
        </row>
        <row r="850">
          <cell r="G850" t="str">
            <v>1065_0</v>
          </cell>
          <cell r="H850" t="str">
            <v>like</v>
          </cell>
          <cell r="I850" t="str">
            <v>sim</v>
          </cell>
          <cell r="V850" t="str">
            <v>not neg pair</v>
          </cell>
          <cell r="Y850" t="str">
            <v>Past</v>
          </cell>
          <cell r="Z850">
            <v>4.17</v>
          </cell>
          <cell r="AA850">
            <v>0</v>
          </cell>
          <cell r="AB850">
            <v>0</v>
          </cell>
        </row>
        <row r="851">
          <cell r="G851" t="str">
            <v>1065_1</v>
          </cell>
          <cell r="H851" t="str">
            <v>like</v>
          </cell>
          <cell r="I851" t="str">
            <v>sim</v>
          </cell>
          <cell r="V851" t="str">
            <v>not neg pair</v>
          </cell>
          <cell r="Y851" t="str">
            <v>Past</v>
          </cell>
          <cell r="Z851">
            <v>4.17</v>
          </cell>
          <cell r="AA851">
            <v>0</v>
          </cell>
          <cell r="AB851">
            <v>0</v>
          </cell>
        </row>
        <row r="852">
          <cell r="G852" t="str">
            <v>1067_0</v>
          </cell>
          <cell r="H852" t="str">
            <v>like</v>
          </cell>
          <cell r="I852" t="str">
            <v>sim</v>
          </cell>
          <cell r="V852" t="str">
            <v>not neg pair</v>
          </cell>
          <cell r="Y852" t="str">
            <v>Pres</v>
          </cell>
          <cell r="Z852">
            <v>4.3899999999999997</v>
          </cell>
          <cell r="AA852">
            <v>0</v>
          </cell>
          <cell r="AB852">
            <v>0</v>
          </cell>
        </row>
        <row r="853">
          <cell r="G853" t="str">
            <v>1067_1</v>
          </cell>
          <cell r="H853" t="str">
            <v>like</v>
          </cell>
          <cell r="I853" t="str">
            <v>sim</v>
          </cell>
          <cell r="V853" t="str">
            <v>not neg pair</v>
          </cell>
          <cell r="Y853" t="str">
            <v>Pres</v>
          </cell>
          <cell r="Z853">
            <v>4.3899999999999997</v>
          </cell>
          <cell r="AA853">
            <v>0</v>
          </cell>
          <cell r="AB853">
            <v>0</v>
          </cell>
        </row>
        <row r="854">
          <cell r="G854" t="str">
            <v>1071_0</v>
          </cell>
          <cell r="H854" t="str">
            <v>the-of</v>
          </cell>
          <cell r="I854" t="str">
            <v>sim</v>
          </cell>
          <cell r="V854" t="str">
            <v>not neg pair</v>
          </cell>
          <cell r="Y854" t="str">
            <v>Pres</v>
          </cell>
          <cell r="Z854">
            <v>5</v>
          </cell>
          <cell r="AA854" t="str">
            <v>H</v>
          </cell>
          <cell r="AB854">
            <v>0</v>
          </cell>
        </row>
        <row r="855">
          <cell r="G855" t="str">
            <v>1071_1</v>
          </cell>
          <cell r="H855" t="str">
            <v>the-of</v>
          </cell>
          <cell r="I855" t="str">
            <v>sim</v>
          </cell>
          <cell r="V855" t="str">
            <v>not neg pair</v>
          </cell>
          <cell r="Y855" t="str">
            <v>Pres</v>
          </cell>
          <cell r="Z855">
            <v>5</v>
          </cell>
          <cell r="AA855" t="str">
            <v>H</v>
          </cell>
          <cell r="AB855">
            <v>0</v>
          </cell>
        </row>
        <row r="856">
          <cell r="G856" t="str">
            <v>1072_0</v>
          </cell>
          <cell r="H856" t="str">
            <v>the-of</v>
          </cell>
          <cell r="I856" t="str">
            <v>sim</v>
          </cell>
          <cell r="V856" t="str">
            <v>not</v>
          </cell>
          <cell r="Y856" t="str">
            <v>Pres</v>
          </cell>
          <cell r="Z856">
            <v>3.75</v>
          </cell>
          <cell r="AA856">
            <v>0</v>
          </cell>
          <cell r="AB856">
            <v>1</v>
          </cell>
        </row>
        <row r="857">
          <cell r="G857" t="str">
            <v>1072_1</v>
          </cell>
          <cell r="H857" t="str">
            <v>the-of</v>
          </cell>
          <cell r="I857" t="str">
            <v>sim</v>
          </cell>
          <cell r="V857" t="str">
            <v>not</v>
          </cell>
          <cell r="Y857" t="str">
            <v>Pres</v>
          </cell>
          <cell r="Z857">
            <v>3.75</v>
          </cell>
          <cell r="AA857">
            <v>0</v>
          </cell>
          <cell r="AB857">
            <v>1</v>
          </cell>
        </row>
        <row r="858">
          <cell r="G858" t="str">
            <v>1073_0</v>
          </cell>
          <cell r="H858" t="str">
            <v>as-as</v>
          </cell>
          <cell r="I858" t="str">
            <v>sim</v>
          </cell>
          <cell r="V858" t="str">
            <v>not</v>
          </cell>
          <cell r="Y858" t="str">
            <v>Past</v>
          </cell>
          <cell r="Z858">
            <v>4.55</v>
          </cell>
          <cell r="AA858">
            <v>0</v>
          </cell>
          <cell r="AB858">
            <v>1</v>
          </cell>
        </row>
        <row r="859">
          <cell r="G859" t="str">
            <v>1073_1</v>
          </cell>
          <cell r="H859" t="str">
            <v>as-as</v>
          </cell>
          <cell r="I859" t="str">
            <v>sim</v>
          </cell>
          <cell r="V859" t="str">
            <v>not</v>
          </cell>
          <cell r="Y859" t="str">
            <v>Past</v>
          </cell>
          <cell r="Z859">
            <v>4.55</v>
          </cell>
          <cell r="AA859">
            <v>0</v>
          </cell>
          <cell r="AB859">
            <v>1</v>
          </cell>
        </row>
        <row r="860">
          <cell r="G860" t="str">
            <v>1074_0</v>
          </cell>
          <cell r="H860" t="str">
            <v>like</v>
          </cell>
          <cell r="I860" t="str">
            <v>sim</v>
          </cell>
          <cell r="V860" t="str">
            <v>not neg pair</v>
          </cell>
          <cell r="Y860" t="str">
            <v>Past</v>
          </cell>
          <cell r="Z860">
            <v>3.36</v>
          </cell>
          <cell r="AA860">
            <v>0</v>
          </cell>
          <cell r="AB860">
            <v>0</v>
          </cell>
        </row>
        <row r="861">
          <cell r="G861" t="str">
            <v>1074_1</v>
          </cell>
          <cell r="H861" t="str">
            <v>like</v>
          </cell>
          <cell r="I861" t="str">
            <v>sim</v>
          </cell>
          <cell r="V861" t="str">
            <v>not neg pair</v>
          </cell>
          <cell r="Y861" t="str">
            <v>Past</v>
          </cell>
          <cell r="Z861">
            <v>3.36</v>
          </cell>
          <cell r="AA861">
            <v>0</v>
          </cell>
          <cell r="AB861">
            <v>0</v>
          </cell>
        </row>
        <row r="862">
          <cell r="G862" t="str">
            <v>1076_0</v>
          </cell>
          <cell r="H862" t="str">
            <v>the-of</v>
          </cell>
          <cell r="I862" t="str">
            <v>sim</v>
          </cell>
          <cell r="V862" t="str">
            <v>not neg pair</v>
          </cell>
          <cell r="Y862" t="str">
            <v>Pres</v>
          </cell>
          <cell r="Z862">
            <v>4.3</v>
          </cell>
          <cell r="AA862">
            <v>0</v>
          </cell>
          <cell r="AB862">
            <v>0</v>
          </cell>
        </row>
        <row r="863">
          <cell r="G863" t="str">
            <v>1076_1</v>
          </cell>
          <cell r="H863" t="str">
            <v>the-of</v>
          </cell>
          <cell r="I863" t="str">
            <v>sim</v>
          </cell>
          <cell r="V863" t="str">
            <v>not neg pair</v>
          </cell>
          <cell r="Y863" t="str">
            <v>Pres</v>
          </cell>
          <cell r="Z863">
            <v>4.3</v>
          </cell>
          <cell r="AA863">
            <v>0</v>
          </cell>
          <cell r="AB863">
            <v>0</v>
          </cell>
        </row>
        <row r="864">
          <cell r="G864" t="str">
            <v>1077_0</v>
          </cell>
          <cell r="H864" t="str">
            <v>as-as</v>
          </cell>
          <cell r="I864" t="str">
            <v>sim</v>
          </cell>
          <cell r="V864" t="str">
            <v>antonym</v>
          </cell>
          <cell r="Y864" t="str">
            <v>Pres</v>
          </cell>
          <cell r="Z864">
            <v>4.8600000000000003</v>
          </cell>
          <cell r="AA864">
            <v>0</v>
          </cell>
          <cell r="AB864">
            <v>0</v>
          </cell>
        </row>
        <row r="865">
          <cell r="G865" t="str">
            <v>1077_1</v>
          </cell>
          <cell r="H865" t="str">
            <v>as-as</v>
          </cell>
          <cell r="I865" t="str">
            <v>sim</v>
          </cell>
          <cell r="V865" t="str">
            <v>antonym</v>
          </cell>
          <cell r="Y865" t="str">
            <v>Pres</v>
          </cell>
          <cell r="Z865">
            <v>4.8600000000000003</v>
          </cell>
          <cell r="AA865">
            <v>0</v>
          </cell>
          <cell r="AB865">
            <v>0</v>
          </cell>
        </row>
        <row r="866">
          <cell r="G866" t="str">
            <v>1079_0</v>
          </cell>
          <cell r="H866" t="str">
            <v/>
          </cell>
          <cell r="I866" t="str">
            <v>met</v>
          </cell>
          <cell r="V866" t="str">
            <v>0</v>
          </cell>
          <cell r="Y866" t="str">
            <v>Pres</v>
          </cell>
          <cell r="Z866">
            <v>0</v>
          </cell>
          <cell r="AA866">
            <v>0</v>
          </cell>
          <cell r="AB866">
            <v>0</v>
          </cell>
        </row>
        <row r="867">
          <cell r="G867" t="str">
            <v>1079_1</v>
          </cell>
          <cell r="H867" t="str">
            <v/>
          </cell>
          <cell r="I867" t="str">
            <v>met</v>
          </cell>
          <cell r="V867" t="str">
            <v>0</v>
          </cell>
          <cell r="Y867" t="str">
            <v>Pres</v>
          </cell>
          <cell r="Z867">
            <v>0</v>
          </cell>
          <cell r="AA867">
            <v>0</v>
          </cell>
          <cell r="AB867">
            <v>0</v>
          </cell>
        </row>
        <row r="868">
          <cell r="G868" t="str">
            <v>1083_0</v>
          </cell>
          <cell r="H868" t="str">
            <v>like</v>
          </cell>
          <cell r="I868" t="str">
            <v>sim</v>
          </cell>
          <cell r="V868" t="str">
            <v>not neg pair</v>
          </cell>
          <cell r="Y868" t="str">
            <v>Pres</v>
          </cell>
          <cell r="Z868">
            <v>4.8499999999999996</v>
          </cell>
          <cell r="AA868">
            <v>0</v>
          </cell>
          <cell r="AB868">
            <v>0</v>
          </cell>
        </row>
        <row r="869">
          <cell r="G869" t="str">
            <v>1083_1</v>
          </cell>
          <cell r="H869" t="str">
            <v>like</v>
          </cell>
          <cell r="I869" t="str">
            <v>sim</v>
          </cell>
          <cell r="V869" t="str">
            <v>not neg pair</v>
          </cell>
          <cell r="Y869" t="str">
            <v>Pres</v>
          </cell>
          <cell r="Z869">
            <v>4.8499999999999996</v>
          </cell>
          <cell r="AA869">
            <v>0</v>
          </cell>
          <cell r="AB869">
            <v>0</v>
          </cell>
        </row>
        <row r="870">
          <cell r="G870" t="str">
            <v>1084_0</v>
          </cell>
          <cell r="H870" t="str">
            <v/>
          </cell>
          <cell r="I870" t="str">
            <v>met</v>
          </cell>
          <cell r="V870" t="str">
            <v>0</v>
          </cell>
          <cell r="Y870" t="str">
            <v>Pres</v>
          </cell>
          <cell r="Z870">
            <v>4.9000000000000004</v>
          </cell>
          <cell r="AA870">
            <v>0</v>
          </cell>
          <cell r="AB870">
            <v>0</v>
          </cell>
        </row>
        <row r="871">
          <cell r="G871" t="str">
            <v>1084_1</v>
          </cell>
          <cell r="H871" t="str">
            <v/>
          </cell>
          <cell r="I871" t="str">
            <v>met</v>
          </cell>
          <cell r="V871" t="str">
            <v>0</v>
          </cell>
          <cell r="Y871" t="str">
            <v>Pres</v>
          </cell>
          <cell r="Z871">
            <v>4.9000000000000004</v>
          </cell>
          <cell r="AA871">
            <v>0</v>
          </cell>
          <cell r="AB871">
            <v>0</v>
          </cell>
        </row>
        <row r="872">
          <cell r="G872" t="str">
            <v>1086_0</v>
          </cell>
          <cell r="H872" t="str">
            <v>as-as</v>
          </cell>
          <cell r="I872" t="str">
            <v>sim</v>
          </cell>
          <cell r="V872" t="str">
            <v>antonym</v>
          </cell>
          <cell r="Y872" t="str">
            <v>Pres</v>
          </cell>
          <cell r="Z872">
            <v>2.81</v>
          </cell>
          <cell r="AA872">
            <v>0</v>
          </cell>
          <cell r="AB872">
            <v>0</v>
          </cell>
        </row>
        <row r="873">
          <cell r="G873" t="str">
            <v>1086_1</v>
          </cell>
          <cell r="H873" t="str">
            <v>as-as</v>
          </cell>
          <cell r="I873" t="str">
            <v>sim</v>
          </cell>
          <cell r="V873" t="str">
            <v>antonym</v>
          </cell>
          <cell r="Y873" t="str">
            <v>Pres</v>
          </cell>
          <cell r="Z873">
            <v>2.81</v>
          </cell>
          <cell r="AA873">
            <v>0</v>
          </cell>
          <cell r="AB873">
            <v>0</v>
          </cell>
        </row>
        <row r="874">
          <cell r="G874" t="str">
            <v>1088_0</v>
          </cell>
          <cell r="H874" t="str">
            <v>as-as</v>
          </cell>
          <cell r="I874" t="str">
            <v>sim</v>
          </cell>
          <cell r="V874" t="str">
            <v>not</v>
          </cell>
          <cell r="Y874" t="str">
            <v>Pres</v>
          </cell>
          <cell r="Z874">
            <v>2.81</v>
          </cell>
          <cell r="AA874">
            <v>0</v>
          </cell>
          <cell r="AB874">
            <v>1</v>
          </cell>
        </row>
        <row r="875">
          <cell r="G875" t="str">
            <v>1088_1</v>
          </cell>
          <cell r="H875" t="str">
            <v>as-as</v>
          </cell>
          <cell r="I875" t="str">
            <v>sim</v>
          </cell>
          <cell r="V875" t="str">
            <v>not</v>
          </cell>
          <cell r="Y875" t="str">
            <v>Pres</v>
          </cell>
          <cell r="Z875">
            <v>2.81</v>
          </cell>
          <cell r="AA875">
            <v>0</v>
          </cell>
          <cell r="AB875">
            <v>1</v>
          </cell>
        </row>
        <row r="876">
          <cell r="G876" t="str">
            <v>1089_0</v>
          </cell>
          <cell r="H876" t="str">
            <v>the-of</v>
          </cell>
          <cell r="I876" t="str">
            <v>sim</v>
          </cell>
          <cell r="V876" t="str">
            <v>not neg pair</v>
          </cell>
          <cell r="Y876" t="str">
            <v>Pres</v>
          </cell>
          <cell r="Z876">
            <v>4.8499999999999996</v>
          </cell>
          <cell r="AA876">
            <v>0</v>
          </cell>
          <cell r="AB876">
            <v>0</v>
          </cell>
        </row>
        <row r="877">
          <cell r="G877" t="str">
            <v>1089_1</v>
          </cell>
          <cell r="H877" t="str">
            <v>the-of</v>
          </cell>
          <cell r="I877" t="str">
            <v>sim</v>
          </cell>
          <cell r="V877" t="str">
            <v>not neg pair</v>
          </cell>
          <cell r="Y877" t="str">
            <v>Pres</v>
          </cell>
          <cell r="Z877">
            <v>3.59</v>
          </cell>
          <cell r="AA877">
            <v>0</v>
          </cell>
          <cell r="AB877">
            <v>0</v>
          </cell>
        </row>
        <row r="878">
          <cell r="G878" t="str">
            <v>1096_0</v>
          </cell>
          <cell r="H878" t="str">
            <v>as</v>
          </cell>
          <cell r="I878" t="str">
            <v>sim</v>
          </cell>
          <cell r="V878" t="str">
            <v>not</v>
          </cell>
          <cell r="Y878" t="str">
            <v>Pres</v>
          </cell>
          <cell r="Z878">
            <v>3.93</v>
          </cell>
          <cell r="AA878">
            <v>0</v>
          </cell>
          <cell r="AB878">
            <v>0</v>
          </cell>
        </row>
        <row r="879">
          <cell r="G879" t="str">
            <v>1096_1</v>
          </cell>
          <cell r="H879" t="str">
            <v>as</v>
          </cell>
          <cell r="I879" t="str">
            <v>sim</v>
          </cell>
          <cell r="V879" t="str">
            <v>not</v>
          </cell>
          <cell r="Y879" t="str">
            <v>Pres</v>
          </cell>
          <cell r="Z879">
            <v>3.93</v>
          </cell>
          <cell r="AA879">
            <v>0</v>
          </cell>
          <cell r="AB879">
            <v>0</v>
          </cell>
        </row>
        <row r="880">
          <cell r="G880" t="str">
            <v>1097_0</v>
          </cell>
          <cell r="H880" t="str">
            <v>as-as</v>
          </cell>
          <cell r="I880" t="str">
            <v>sim</v>
          </cell>
          <cell r="V880" t="str">
            <v>antonym</v>
          </cell>
          <cell r="Y880" t="str">
            <v>Past</v>
          </cell>
          <cell r="Z880">
            <v>4.6900000000000004</v>
          </cell>
          <cell r="AA880">
            <v>0</v>
          </cell>
          <cell r="AB880">
            <v>0</v>
          </cell>
        </row>
        <row r="881">
          <cell r="G881" t="str">
            <v>1097_1</v>
          </cell>
          <cell r="H881" t="str">
            <v>as-as</v>
          </cell>
          <cell r="I881" t="str">
            <v>sim</v>
          </cell>
          <cell r="V881" t="str">
            <v>antonym</v>
          </cell>
          <cell r="Y881" t="str">
            <v>Past</v>
          </cell>
          <cell r="Z881">
            <v>4.6900000000000004</v>
          </cell>
          <cell r="AA881">
            <v>0</v>
          </cell>
          <cell r="AB881">
            <v>0</v>
          </cell>
        </row>
        <row r="882">
          <cell r="G882" t="str">
            <v>1099_0</v>
          </cell>
          <cell r="H882" t="str">
            <v>as-as</v>
          </cell>
          <cell r="I882" t="str">
            <v>sim</v>
          </cell>
          <cell r="V882" t="str">
            <v>not neg pair</v>
          </cell>
          <cell r="Y882" t="str">
            <v>Past</v>
          </cell>
          <cell r="Z882">
            <v>4.57</v>
          </cell>
          <cell r="AA882">
            <v>0</v>
          </cell>
          <cell r="AB882">
            <v>0</v>
          </cell>
        </row>
        <row r="883">
          <cell r="G883" t="str">
            <v>1099_1</v>
          </cell>
          <cell r="H883" t="str">
            <v>as-as</v>
          </cell>
          <cell r="I883" t="str">
            <v>sim</v>
          </cell>
          <cell r="V883" t="str">
            <v>not neg pair</v>
          </cell>
          <cell r="Y883" t="str">
            <v>Past</v>
          </cell>
          <cell r="Z883">
            <v>4.57</v>
          </cell>
          <cell r="AA883">
            <v>0</v>
          </cell>
          <cell r="AB883">
            <v>0</v>
          </cell>
        </row>
        <row r="884">
          <cell r="G884" t="str">
            <v>1100_0</v>
          </cell>
          <cell r="H884" t="str">
            <v>as-as</v>
          </cell>
          <cell r="I884" t="str">
            <v>sim</v>
          </cell>
          <cell r="V884" t="str">
            <v>not</v>
          </cell>
          <cell r="Y884" t="str">
            <v>Past</v>
          </cell>
          <cell r="Z884">
            <v>4.43</v>
          </cell>
          <cell r="AA884">
            <v>0</v>
          </cell>
          <cell r="AB884">
            <v>1</v>
          </cell>
        </row>
        <row r="885">
          <cell r="G885" t="str">
            <v>1100_1</v>
          </cell>
          <cell r="H885" t="str">
            <v>as-as</v>
          </cell>
          <cell r="I885" t="str">
            <v>sim</v>
          </cell>
          <cell r="V885" t="str">
            <v>not</v>
          </cell>
          <cell r="Y885" t="str">
            <v>Past</v>
          </cell>
          <cell r="Z885">
            <v>4.43</v>
          </cell>
          <cell r="AA885">
            <v>0</v>
          </cell>
          <cell r="AB885">
            <v>1</v>
          </cell>
        </row>
        <row r="886">
          <cell r="G886" t="str">
            <v>1101_0</v>
          </cell>
          <cell r="H886" t="str">
            <v>as-as</v>
          </cell>
          <cell r="I886" t="str">
            <v>sim</v>
          </cell>
          <cell r="V886" t="str">
            <v>antonym</v>
          </cell>
          <cell r="Y886" t="str">
            <v>Past</v>
          </cell>
          <cell r="Z886">
            <v>3.86</v>
          </cell>
          <cell r="AA886">
            <v>0</v>
          </cell>
          <cell r="AB886">
            <v>0</v>
          </cell>
        </row>
        <row r="887">
          <cell r="G887" t="str">
            <v>1101_1</v>
          </cell>
          <cell r="H887" t="str">
            <v>as-as</v>
          </cell>
          <cell r="I887" t="str">
            <v>sim</v>
          </cell>
          <cell r="V887" t="str">
            <v>antonym</v>
          </cell>
          <cell r="Y887" t="str">
            <v>Past</v>
          </cell>
          <cell r="Z887">
            <v>3.86</v>
          </cell>
          <cell r="AA887">
            <v>0</v>
          </cell>
          <cell r="AB887">
            <v>0</v>
          </cell>
        </row>
        <row r="888">
          <cell r="G888" t="str">
            <v>1102_0</v>
          </cell>
          <cell r="H888" t="str">
            <v/>
          </cell>
          <cell r="I888" t="str">
            <v>met</v>
          </cell>
          <cell r="V888" t="str">
            <v>0</v>
          </cell>
          <cell r="Y888" t="str">
            <v>Pres</v>
          </cell>
          <cell r="Z888">
            <v>3.36</v>
          </cell>
          <cell r="AA888">
            <v>0</v>
          </cell>
          <cell r="AB888">
            <v>0</v>
          </cell>
        </row>
        <row r="889">
          <cell r="G889" t="str">
            <v>1102_1</v>
          </cell>
          <cell r="H889" t="str">
            <v/>
          </cell>
          <cell r="I889" t="str">
            <v>met</v>
          </cell>
          <cell r="V889" t="str">
            <v>0</v>
          </cell>
          <cell r="Y889" t="str">
            <v>Pres</v>
          </cell>
          <cell r="Z889">
            <v>3.36</v>
          </cell>
          <cell r="AA889">
            <v>0</v>
          </cell>
          <cell r="AB889">
            <v>0</v>
          </cell>
        </row>
        <row r="890">
          <cell r="G890" t="str">
            <v>1105_0</v>
          </cell>
          <cell r="H890" t="str">
            <v>the-of</v>
          </cell>
          <cell r="I890" t="str">
            <v>sim</v>
          </cell>
          <cell r="V890" t="str">
            <v>not neg pair</v>
          </cell>
          <cell r="Y890" t="str">
            <v>Past</v>
          </cell>
          <cell r="Z890">
            <v>1.74</v>
          </cell>
          <cell r="AA890" t="str">
            <v>L</v>
          </cell>
          <cell r="AB890">
            <v>0</v>
          </cell>
        </row>
        <row r="891">
          <cell r="G891" t="str">
            <v>1105_1</v>
          </cell>
          <cell r="H891" t="str">
            <v>the-of</v>
          </cell>
          <cell r="I891" t="str">
            <v>sim</v>
          </cell>
          <cell r="V891" t="str">
            <v>not neg pair</v>
          </cell>
          <cell r="Y891" t="str">
            <v>Past</v>
          </cell>
          <cell r="Z891">
            <v>4.79</v>
          </cell>
          <cell r="AA891">
            <v>0</v>
          </cell>
          <cell r="AB891">
            <v>0</v>
          </cell>
        </row>
        <row r="892">
          <cell r="G892" t="str">
            <v>1106_0</v>
          </cell>
          <cell r="H892" t="str">
            <v>as-as</v>
          </cell>
          <cell r="I892" t="str">
            <v>sim</v>
          </cell>
          <cell r="V892" t="str">
            <v>not</v>
          </cell>
          <cell r="Y892" t="str">
            <v>Past</v>
          </cell>
          <cell r="Z892">
            <v>5</v>
          </cell>
          <cell r="AA892" t="str">
            <v>H</v>
          </cell>
          <cell r="AB892">
            <v>1</v>
          </cell>
        </row>
        <row r="893">
          <cell r="G893" t="str">
            <v>1106_1</v>
          </cell>
          <cell r="H893" t="str">
            <v>as-as</v>
          </cell>
          <cell r="I893" t="str">
            <v>sim</v>
          </cell>
          <cell r="V893" t="str">
            <v>not</v>
          </cell>
          <cell r="Y893" t="str">
            <v>Past</v>
          </cell>
          <cell r="Z893">
            <v>5</v>
          </cell>
          <cell r="AA893" t="str">
            <v>H</v>
          </cell>
          <cell r="AB893">
            <v>1</v>
          </cell>
        </row>
        <row r="894">
          <cell r="G894" t="str">
            <v>1108_0</v>
          </cell>
          <cell r="H894" t="str">
            <v/>
          </cell>
          <cell r="I894" t="str">
            <v>met</v>
          </cell>
          <cell r="V894" t="str">
            <v>0</v>
          </cell>
          <cell r="Y894" t="str">
            <v>Pres</v>
          </cell>
          <cell r="Z894">
            <v>4.1500000000000004</v>
          </cell>
          <cell r="AA894">
            <v>0</v>
          </cell>
          <cell r="AB894">
            <v>0</v>
          </cell>
        </row>
        <row r="895">
          <cell r="G895" t="str">
            <v>1108_1</v>
          </cell>
          <cell r="H895" t="str">
            <v/>
          </cell>
          <cell r="I895" t="str">
            <v>met</v>
          </cell>
          <cell r="V895" t="str">
            <v>0</v>
          </cell>
          <cell r="Y895" t="str">
            <v>Pres</v>
          </cell>
          <cell r="Z895">
            <v>4.1500000000000004</v>
          </cell>
          <cell r="AA895">
            <v>0</v>
          </cell>
          <cell r="AB895">
            <v>0</v>
          </cell>
        </row>
        <row r="896">
          <cell r="G896" t="str">
            <v>1110_0</v>
          </cell>
          <cell r="H896" t="str">
            <v>the-of</v>
          </cell>
          <cell r="I896" t="str">
            <v>sim</v>
          </cell>
          <cell r="V896" t="str">
            <v>not neg pair</v>
          </cell>
          <cell r="Y896" t="str">
            <v>Pres</v>
          </cell>
          <cell r="Z896">
            <v>4.8099999999999996</v>
          </cell>
          <cell r="AA896">
            <v>0</v>
          </cell>
          <cell r="AB896">
            <v>0</v>
          </cell>
        </row>
        <row r="897">
          <cell r="G897" t="str">
            <v>1110_1</v>
          </cell>
          <cell r="H897" t="str">
            <v>the-of</v>
          </cell>
          <cell r="I897" t="str">
            <v>sim</v>
          </cell>
          <cell r="V897" t="str">
            <v>not neg pair</v>
          </cell>
          <cell r="Y897" t="str">
            <v>Pres</v>
          </cell>
          <cell r="Z897">
            <v>4.8099999999999996</v>
          </cell>
          <cell r="AA897">
            <v>0</v>
          </cell>
          <cell r="AB897">
            <v>0</v>
          </cell>
        </row>
        <row r="898">
          <cell r="G898" t="str">
            <v>1111_0</v>
          </cell>
          <cell r="H898" t="str">
            <v>the-of</v>
          </cell>
          <cell r="I898" t="str">
            <v>sim</v>
          </cell>
          <cell r="V898" t="str">
            <v>not</v>
          </cell>
          <cell r="Y898" t="str">
            <v>Pres</v>
          </cell>
          <cell r="Z898">
            <v>4.33</v>
          </cell>
          <cell r="AA898">
            <v>0</v>
          </cell>
          <cell r="AB898">
            <v>0</v>
          </cell>
        </row>
        <row r="899">
          <cell r="G899" t="str">
            <v>1111_1</v>
          </cell>
          <cell r="H899" t="str">
            <v>the-of</v>
          </cell>
          <cell r="I899" t="str">
            <v>sim</v>
          </cell>
          <cell r="V899" t="str">
            <v>not</v>
          </cell>
          <cell r="Y899" t="str">
            <v>Pres</v>
          </cell>
          <cell r="Z899">
            <v>4.33</v>
          </cell>
          <cell r="AA899">
            <v>0</v>
          </cell>
          <cell r="AB899">
            <v>0</v>
          </cell>
        </row>
        <row r="900">
          <cell r="G900" t="str">
            <v>1115_0</v>
          </cell>
          <cell r="H900" t="str">
            <v>the-of</v>
          </cell>
          <cell r="I900" t="str">
            <v>sim</v>
          </cell>
          <cell r="V900" t="str">
            <v>not neg pair</v>
          </cell>
          <cell r="Y900" t="str">
            <v>Past</v>
          </cell>
          <cell r="Z900">
            <v>4.7</v>
          </cell>
          <cell r="AA900">
            <v>0</v>
          </cell>
          <cell r="AB900">
            <v>0</v>
          </cell>
        </row>
        <row r="901">
          <cell r="G901" t="str">
            <v>1115_1</v>
          </cell>
          <cell r="H901" t="str">
            <v>the-of</v>
          </cell>
          <cell r="I901" t="str">
            <v>sim</v>
          </cell>
          <cell r="V901" t="str">
            <v>not neg pair</v>
          </cell>
          <cell r="Y901" t="str">
            <v>Past</v>
          </cell>
          <cell r="Z901">
            <v>4.7</v>
          </cell>
          <cell r="AA901">
            <v>0</v>
          </cell>
          <cell r="AB901">
            <v>0</v>
          </cell>
        </row>
        <row r="902">
          <cell r="G902" t="str">
            <v>1116_0</v>
          </cell>
          <cell r="H902" t="str">
            <v>the-of</v>
          </cell>
          <cell r="I902" t="str">
            <v>sim</v>
          </cell>
          <cell r="V902" t="str">
            <v>not neg pair</v>
          </cell>
          <cell r="Y902" t="str">
            <v>Past</v>
          </cell>
          <cell r="Z902">
            <v>4.8600000000000003</v>
          </cell>
          <cell r="AA902">
            <v>0</v>
          </cell>
          <cell r="AB902">
            <v>0</v>
          </cell>
        </row>
        <row r="903">
          <cell r="G903" t="str">
            <v>1116_1</v>
          </cell>
          <cell r="H903" t="str">
            <v>the-of</v>
          </cell>
          <cell r="I903" t="str">
            <v>sim</v>
          </cell>
          <cell r="V903" t="str">
            <v>not neg pair</v>
          </cell>
          <cell r="Y903" t="str">
            <v>Past</v>
          </cell>
          <cell r="Z903">
            <v>4.8600000000000003</v>
          </cell>
          <cell r="AA903">
            <v>0</v>
          </cell>
          <cell r="AB903">
            <v>0</v>
          </cell>
        </row>
        <row r="904">
          <cell r="G904" t="str">
            <v>1118_0</v>
          </cell>
          <cell r="H904" t="str">
            <v>like</v>
          </cell>
          <cell r="I904" t="str">
            <v>sim</v>
          </cell>
          <cell r="V904" t="str">
            <v>not</v>
          </cell>
          <cell r="Y904" t="str">
            <v>Past</v>
          </cell>
          <cell r="Z904">
            <v>3.93</v>
          </cell>
          <cell r="AA904">
            <v>0</v>
          </cell>
          <cell r="AB904">
            <v>1</v>
          </cell>
        </row>
        <row r="905">
          <cell r="G905" t="str">
            <v>1118_1</v>
          </cell>
          <cell r="H905" t="str">
            <v>like</v>
          </cell>
          <cell r="I905" t="str">
            <v>sim</v>
          </cell>
          <cell r="V905" t="str">
            <v>not</v>
          </cell>
          <cell r="Y905" t="str">
            <v>Past</v>
          </cell>
          <cell r="Z905">
            <v>3.93</v>
          </cell>
          <cell r="AA905">
            <v>0</v>
          </cell>
          <cell r="AB905">
            <v>1</v>
          </cell>
        </row>
        <row r="906">
          <cell r="G906" t="str">
            <v>1121_0</v>
          </cell>
          <cell r="H906" t="str">
            <v>the-of</v>
          </cell>
          <cell r="I906" t="str">
            <v>sim</v>
          </cell>
          <cell r="V906" t="str">
            <v>not neg pair</v>
          </cell>
          <cell r="Y906" t="str">
            <v>Past</v>
          </cell>
          <cell r="Z906">
            <v>4.54</v>
          </cell>
          <cell r="AA906">
            <v>0</v>
          </cell>
          <cell r="AB906">
            <v>0</v>
          </cell>
        </row>
        <row r="907">
          <cell r="G907" t="str">
            <v>1121_1</v>
          </cell>
          <cell r="H907" t="str">
            <v>the-of</v>
          </cell>
          <cell r="I907" t="str">
            <v>sim</v>
          </cell>
          <cell r="V907" t="str">
            <v>not neg pair</v>
          </cell>
          <cell r="Y907" t="str">
            <v>Past</v>
          </cell>
          <cell r="Z907">
            <v>4.54</v>
          </cell>
          <cell r="AA907">
            <v>0</v>
          </cell>
          <cell r="AB907">
            <v>0</v>
          </cell>
        </row>
        <row r="908">
          <cell r="G908" t="str">
            <v>1122_0</v>
          </cell>
          <cell r="H908" t="str">
            <v>as</v>
          </cell>
          <cell r="I908" t="str">
            <v>sim</v>
          </cell>
          <cell r="V908" t="str">
            <v>not neg pair</v>
          </cell>
          <cell r="Y908" t="str">
            <v>Past</v>
          </cell>
          <cell r="Z908">
            <v>3.07</v>
          </cell>
          <cell r="AA908">
            <v>0</v>
          </cell>
          <cell r="AB908">
            <v>0</v>
          </cell>
        </row>
        <row r="909">
          <cell r="G909" t="str">
            <v>1122_1</v>
          </cell>
          <cell r="H909" t="str">
            <v>as</v>
          </cell>
          <cell r="I909" t="str">
            <v>sim</v>
          </cell>
          <cell r="V909" t="str">
            <v>not neg pair</v>
          </cell>
          <cell r="Y909" t="str">
            <v>Past</v>
          </cell>
          <cell r="Z909">
            <v>3.07</v>
          </cell>
          <cell r="AA909">
            <v>0</v>
          </cell>
          <cell r="AB909">
            <v>0</v>
          </cell>
        </row>
        <row r="910">
          <cell r="G910" t="str">
            <v>1125_0</v>
          </cell>
          <cell r="H910" t="str">
            <v>like</v>
          </cell>
          <cell r="I910" t="str">
            <v>sim</v>
          </cell>
          <cell r="V910" t="str">
            <v>not neg pair</v>
          </cell>
          <cell r="Y910" t="str">
            <v>Past</v>
          </cell>
          <cell r="Z910">
            <v>3.07</v>
          </cell>
          <cell r="AA910">
            <v>0</v>
          </cell>
          <cell r="AB910">
            <v>0</v>
          </cell>
        </row>
        <row r="911">
          <cell r="G911" t="str">
            <v>1125_1</v>
          </cell>
          <cell r="H911" t="str">
            <v>like</v>
          </cell>
          <cell r="I911" t="str">
            <v>sim</v>
          </cell>
          <cell r="V911" t="str">
            <v>not neg pair</v>
          </cell>
          <cell r="Y911" t="str">
            <v>Past</v>
          </cell>
          <cell r="Z911">
            <v>3.07</v>
          </cell>
          <cell r="AA911">
            <v>0</v>
          </cell>
          <cell r="AB911">
            <v>0</v>
          </cell>
        </row>
        <row r="912">
          <cell r="G912" t="str">
            <v>1126_0</v>
          </cell>
          <cell r="H912" t="str">
            <v>as-as</v>
          </cell>
          <cell r="I912" t="str">
            <v>sim</v>
          </cell>
          <cell r="V912" t="str">
            <v>antonym</v>
          </cell>
          <cell r="Y912" t="str">
            <v>Past</v>
          </cell>
          <cell r="Z912">
            <v>3.41</v>
          </cell>
          <cell r="AA912">
            <v>0</v>
          </cell>
          <cell r="AB912">
            <v>0</v>
          </cell>
        </row>
        <row r="913">
          <cell r="G913" t="str">
            <v>1126_1</v>
          </cell>
          <cell r="H913" t="str">
            <v>as-as</v>
          </cell>
          <cell r="I913" t="str">
            <v>sim</v>
          </cell>
          <cell r="V913" t="str">
            <v>antonym</v>
          </cell>
          <cell r="Y913" t="str">
            <v>Past</v>
          </cell>
          <cell r="Z913">
            <v>3.41</v>
          </cell>
          <cell r="AA913">
            <v>0</v>
          </cell>
          <cell r="AB913">
            <v>0</v>
          </cell>
        </row>
        <row r="914">
          <cell r="G914" t="str">
            <v>1135_0</v>
          </cell>
          <cell r="H914" t="str">
            <v/>
          </cell>
          <cell r="I914" t="str">
            <v>met</v>
          </cell>
          <cell r="V914" t="str">
            <v>0</v>
          </cell>
          <cell r="Y914" t="str">
            <v>Past</v>
          </cell>
          <cell r="Z914">
            <v>0</v>
          </cell>
          <cell r="AA914">
            <v>0</v>
          </cell>
          <cell r="AB914">
            <v>0</v>
          </cell>
        </row>
        <row r="915">
          <cell r="G915" t="str">
            <v>1135_1</v>
          </cell>
          <cell r="H915" t="str">
            <v/>
          </cell>
          <cell r="I915" t="str">
            <v>met</v>
          </cell>
          <cell r="V915" t="str">
            <v>0</v>
          </cell>
          <cell r="Y915" t="str">
            <v>Past</v>
          </cell>
          <cell r="Z915">
            <v>0</v>
          </cell>
          <cell r="AA915">
            <v>0</v>
          </cell>
          <cell r="AB915">
            <v>0</v>
          </cell>
        </row>
        <row r="916">
          <cell r="G916" t="str">
            <v>1140_0</v>
          </cell>
          <cell r="H916" t="str">
            <v>like</v>
          </cell>
          <cell r="I916" t="str">
            <v>sim</v>
          </cell>
          <cell r="V916" t="str">
            <v>not neg pair</v>
          </cell>
          <cell r="Y916" t="str">
            <v>Past</v>
          </cell>
          <cell r="Z916">
            <v>4.79</v>
          </cell>
          <cell r="AA916">
            <v>0</v>
          </cell>
          <cell r="AB916">
            <v>0</v>
          </cell>
        </row>
        <row r="917">
          <cell r="G917" t="str">
            <v>1140_1</v>
          </cell>
          <cell r="H917" t="str">
            <v>like</v>
          </cell>
          <cell r="I917" t="str">
            <v>sim</v>
          </cell>
          <cell r="V917" t="str">
            <v>not neg pair</v>
          </cell>
          <cell r="Y917" t="str">
            <v>Past</v>
          </cell>
          <cell r="Z917">
            <v>4.79</v>
          </cell>
          <cell r="AA917">
            <v>0</v>
          </cell>
          <cell r="AB917">
            <v>0</v>
          </cell>
        </row>
        <row r="918">
          <cell r="G918" t="str">
            <v>1141_0</v>
          </cell>
          <cell r="H918" t="str">
            <v>as-as</v>
          </cell>
          <cell r="I918" t="str">
            <v>sim</v>
          </cell>
          <cell r="V918" t="str">
            <v>not</v>
          </cell>
          <cell r="Y918" t="str">
            <v>Past</v>
          </cell>
          <cell r="Z918">
            <v>4.71</v>
          </cell>
          <cell r="AA918">
            <v>0</v>
          </cell>
          <cell r="AB918">
            <v>1</v>
          </cell>
        </row>
        <row r="919">
          <cell r="G919" t="str">
            <v>1141_1</v>
          </cell>
          <cell r="H919" t="str">
            <v>as-as</v>
          </cell>
          <cell r="I919" t="str">
            <v>sim</v>
          </cell>
          <cell r="V919" t="str">
            <v>not</v>
          </cell>
          <cell r="Y919" t="str">
            <v>Past</v>
          </cell>
          <cell r="Z919">
            <v>4.71</v>
          </cell>
          <cell r="AA919">
            <v>0</v>
          </cell>
          <cell r="AB919">
            <v>1</v>
          </cell>
        </row>
        <row r="920">
          <cell r="G920" t="str">
            <v>1142_0</v>
          </cell>
          <cell r="H920" t="str">
            <v>the-of</v>
          </cell>
          <cell r="I920" t="str">
            <v>sim</v>
          </cell>
          <cell r="V920" t="str">
            <v>not neg pair</v>
          </cell>
          <cell r="Y920" t="str">
            <v>Past</v>
          </cell>
          <cell r="Z920">
            <v>4.7699999999999996</v>
          </cell>
          <cell r="AA920">
            <v>0</v>
          </cell>
          <cell r="AB920">
            <v>0</v>
          </cell>
        </row>
        <row r="921">
          <cell r="G921" t="str">
            <v>1142_1</v>
          </cell>
          <cell r="H921" t="str">
            <v>the-of</v>
          </cell>
          <cell r="I921" t="str">
            <v>sim</v>
          </cell>
          <cell r="V921" t="str">
            <v>not neg pair</v>
          </cell>
          <cell r="Y921" t="str">
            <v>Past</v>
          </cell>
          <cell r="Z921">
            <v>4.7699999999999996</v>
          </cell>
          <cell r="AA921">
            <v>0</v>
          </cell>
          <cell r="AB921">
            <v>0</v>
          </cell>
        </row>
        <row r="922">
          <cell r="G922" t="str">
            <v>1143_0</v>
          </cell>
          <cell r="H922" t="str">
            <v>as-as</v>
          </cell>
          <cell r="I922" t="str">
            <v>sim</v>
          </cell>
          <cell r="V922" t="str">
            <v>not neg pair</v>
          </cell>
          <cell r="Y922" t="str">
            <v>Past</v>
          </cell>
          <cell r="Z922">
            <v>3.97</v>
          </cell>
          <cell r="AA922">
            <v>0</v>
          </cell>
          <cell r="AB922">
            <v>0</v>
          </cell>
        </row>
        <row r="923">
          <cell r="G923" t="str">
            <v>1143_1</v>
          </cell>
          <cell r="H923" t="str">
            <v>as-as</v>
          </cell>
          <cell r="I923" t="str">
            <v>sim</v>
          </cell>
          <cell r="V923" t="str">
            <v>not neg pair</v>
          </cell>
          <cell r="Y923" t="str">
            <v>Past</v>
          </cell>
          <cell r="Z923">
            <v>3.97</v>
          </cell>
          <cell r="AA923">
            <v>0</v>
          </cell>
          <cell r="AB923">
            <v>0</v>
          </cell>
        </row>
        <row r="924">
          <cell r="G924" t="str">
            <v>1148_0</v>
          </cell>
          <cell r="H924" t="str">
            <v>like</v>
          </cell>
          <cell r="I924" t="str">
            <v>sim</v>
          </cell>
          <cell r="V924" t="str">
            <v>not neg pair</v>
          </cell>
          <cell r="Y924" t="str">
            <v>Pres</v>
          </cell>
          <cell r="Z924">
            <v>4.59</v>
          </cell>
          <cell r="AA924">
            <v>0</v>
          </cell>
          <cell r="AB924">
            <v>0</v>
          </cell>
        </row>
        <row r="925">
          <cell r="G925" t="str">
            <v>1148_1</v>
          </cell>
          <cell r="H925" t="str">
            <v>like</v>
          </cell>
          <cell r="I925" t="str">
            <v>sim</v>
          </cell>
          <cell r="V925" t="str">
            <v>not neg pair</v>
          </cell>
          <cell r="Y925" t="str">
            <v>Pres</v>
          </cell>
          <cell r="Z925">
            <v>4.59</v>
          </cell>
          <cell r="AA925">
            <v>0</v>
          </cell>
          <cell r="AB925">
            <v>0</v>
          </cell>
        </row>
        <row r="926">
          <cell r="G926" t="str">
            <v>1152_0</v>
          </cell>
          <cell r="H926" t="str">
            <v>the-of</v>
          </cell>
          <cell r="I926" t="str">
            <v>sim</v>
          </cell>
          <cell r="V926" t="str">
            <v>not neg pair</v>
          </cell>
          <cell r="Y926" t="str">
            <v>Past</v>
          </cell>
          <cell r="Z926">
            <v>4.9000000000000004</v>
          </cell>
          <cell r="AA926">
            <v>0</v>
          </cell>
          <cell r="AB926">
            <v>0</v>
          </cell>
        </row>
        <row r="927">
          <cell r="G927" t="str">
            <v>1152_1</v>
          </cell>
          <cell r="H927" t="str">
            <v>the-of</v>
          </cell>
          <cell r="I927" t="str">
            <v>sim</v>
          </cell>
          <cell r="V927" t="str">
            <v>not neg pair</v>
          </cell>
          <cell r="Y927" t="str">
            <v>Past</v>
          </cell>
          <cell r="Z927">
            <v>4.9000000000000004</v>
          </cell>
          <cell r="AA927">
            <v>0</v>
          </cell>
          <cell r="AB927">
            <v>0</v>
          </cell>
        </row>
        <row r="928">
          <cell r="G928" t="str">
            <v>1160_0</v>
          </cell>
          <cell r="H928" t="str">
            <v>the-of</v>
          </cell>
          <cell r="I928" t="str">
            <v>sim</v>
          </cell>
          <cell r="V928" t="str">
            <v>not</v>
          </cell>
          <cell r="Y928" t="str">
            <v>Pres</v>
          </cell>
          <cell r="Z928">
            <v>4.8600000000000003</v>
          </cell>
          <cell r="AA928">
            <v>0</v>
          </cell>
          <cell r="AB928">
            <v>0</v>
          </cell>
        </row>
        <row r="929">
          <cell r="G929" t="str">
            <v>1160_1</v>
          </cell>
          <cell r="H929" t="str">
            <v>the-of</v>
          </cell>
          <cell r="I929" t="str">
            <v>sim</v>
          </cell>
          <cell r="V929" t="str">
            <v>not</v>
          </cell>
          <cell r="Y929" t="str">
            <v>Pres</v>
          </cell>
          <cell r="Z929">
            <v>4.8600000000000003</v>
          </cell>
          <cell r="AA929">
            <v>0</v>
          </cell>
          <cell r="AB929">
            <v>0</v>
          </cell>
        </row>
        <row r="930">
          <cell r="G930" t="str">
            <v>1161_0</v>
          </cell>
          <cell r="H930" t="str">
            <v>the-of</v>
          </cell>
          <cell r="I930" t="str">
            <v>sim</v>
          </cell>
          <cell r="V930" t="str">
            <v>not neg pair</v>
          </cell>
          <cell r="Y930" t="str">
            <v>Pres</v>
          </cell>
          <cell r="Z930">
            <v>4.9000000000000004</v>
          </cell>
          <cell r="AA930">
            <v>0</v>
          </cell>
          <cell r="AB930">
            <v>0</v>
          </cell>
        </row>
        <row r="931">
          <cell r="G931" t="str">
            <v>1161_1</v>
          </cell>
          <cell r="H931" t="str">
            <v>the-of</v>
          </cell>
          <cell r="I931" t="str">
            <v>sim</v>
          </cell>
          <cell r="V931" t="str">
            <v>not neg pair</v>
          </cell>
          <cell r="Y931" t="str">
            <v>Pres</v>
          </cell>
          <cell r="Z931">
            <v>4.9000000000000004</v>
          </cell>
          <cell r="AA931">
            <v>0</v>
          </cell>
          <cell r="AB931">
            <v>0</v>
          </cell>
        </row>
        <row r="932">
          <cell r="G932" t="str">
            <v>1162_0</v>
          </cell>
          <cell r="H932" t="str">
            <v>the-of</v>
          </cell>
          <cell r="I932" t="str">
            <v>sim</v>
          </cell>
          <cell r="V932" t="str">
            <v>not neg pair</v>
          </cell>
          <cell r="Y932" t="str">
            <v>Pres</v>
          </cell>
          <cell r="Z932">
            <v>5</v>
          </cell>
          <cell r="AA932" t="str">
            <v>H</v>
          </cell>
          <cell r="AB932">
            <v>0</v>
          </cell>
        </row>
        <row r="933">
          <cell r="G933" t="str">
            <v>1162_1</v>
          </cell>
          <cell r="H933" t="str">
            <v>the-of</v>
          </cell>
          <cell r="I933" t="str">
            <v>sim</v>
          </cell>
          <cell r="V933" t="str">
            <v>not neg pair</v>
          </cell>
          <cell r="Y933" t="str">
            <v>Pres</v>
          </cell>
          <cell r="Z933">
            <v>5</v>
          </cell>
          <cell r="AA933" t="str">
            <v>H</v>
          </cell>
          <cell r="AB933">
            <v>0</v>
          </cell>
        </row>
        <row r="934">
          <cell r="G934" t="str">
            <v>1164_0</v>
          </cell>
          <cell r="H934" t="str">
            <v>as-as</v>
          </cell>
          <cell r="I934" t="str">
            <v>sim</v>
          </cell>
          <cell r="V934" t="str">
            <v>not neg pair</v>
          </cell>
          <cell r="Y934" t="str">
            <v>Past</v>
          </cell>
          <cell r="Z934">
            <v>2.81</v>
          </cell>
          <cell r="AA934">
            <v>0</v>
          </cell>
          <cell r="AB934">
            <v>0</v>
          </cell>
        </row>
        <row r="935">
          <cell r="G935" t="str">
            <v>1164_1</v>
          </cell>
          <cell r="H935" t="str">
            <v>as-as</v>
          </cell>
          <cell r="I935" t="str">
            <v>sim</v>
          </cell>
          <cell r="V935" t="str">
            <v>not neg pair</v>
          </cell>
          <cell r="Y935" t="str">
            <v>Past</v>
          </cell>
          <cell r="Z935">
            <v>2.81</v>
          </cell>
          <cell r="AA935">
            <v>0</v>
          </cell>
          <cell r="AB935">
            <v>0</v>
          </cell>
        </row>
        <row r="936">
          <cell r="G936" t="str">
            <v>1167_0</v>
          </cell>
          <cell r="H936" t="str">
            <v>the-of</v>
          </cell>
          <cell r="I936" t="str">
            <v>sim</v>
          </cell>
          <cell r="V936" t="str">
            <v>not neg pair</v>
          </cell>
          <cell r="Y936" t="str">
            <v>Pres</v>
          </cell>
          <cell r="Z936">
            <v>4.59</v>
          </cell>
          <cell r="AA936">
            <v>0</v>
          </cell>
          <cell r="AB936">
            <v>0</v>
          </cell>
        </row>
        <row r="937">
          <cell r="G937" t="str">
            <v>1167_1</v>
          </cell>
          <cell r="H937" t="str">
            <v>the-of</v>
          </cell>
          <cell r="I937" t="str">
            <v>sim</v>
          </cell>
          <cell r="V937" t="str">
            <v>not neg pair</v>
          </cell>
          <cell r="Y937" t="str">
            <v>Pres</v>
          </cell>
          <cell r="Z937">
            <v>4.59</v>
          </cell>
          <cell r="AA937">
            <v>0</v>
          </cell>
          <cell r="AB937">
            <v>0</v>
          </cell>
        </row>
        <row r="938">
          <cell r="G938" t="str">
            <v>1168_0</v>
          </cell>
          <cell r="H938" t="str">
            <v>as-as</v>
          </cell>
          <cell r="I938" t="str">
            <v>sim</v>
          </cell>
          <cell r="V938" t="str">
            <v>antonym</v>
          </cell>
          <cell r="Y938" t="str">
            <v>Past</v>
          </cell>
          <cell r="Z938">
            <v>4.5</v>
          </cell>
          <cell r="AA938">
            <v>0</v>
          </cell>
          <cell r="AB938">
            <v>1</v>
          </cell>
        </row>
        <row r="939">
          <cell r="G939" t="str">
            <v>1168_1</v>
          </cell>
          <cell r="H939" t="str">
            <v>as-as</v>
          </cell>
          <cell r="I939" t="str">
            <v>sim</v>
          </cell>
          <cell r="V939" t="str">
            <v>antonym</v>
          </cell>
          <cell r="Y939" t="str">
            <v>Past</v>
          </cell>
          <cell r="Z939">
            <v>4.8499999999999996</v>
          </cell>
          <cell r="AA939">
            <v>0</v>
          </cell>
          <cell r="AB939">
            <v>1</v>
          </cell>
        </row>
        <row r="940">
          <cell r="G940" t="str">
            <v>1171_0</v>
          </cell>
          <cell r="H940" t="str">
            <v/>
          </cell>
          <cell r="I940" t="str">
            <v>met</v>
          </cell>
          <cell r="V940" t="str">
            <v>0</v>
          </cell>
          <cell r="Y940" t="str">
            <v>Pres</v>
          </cell>
          <cell r="Z940">
            <v>4.8899999999999997</v>
          </cell>
          <cell r="AA940">
            <v>0</v>
          </cell>
          <cell r="AB940">
            <v>0</v>
          </cell>
        </row>
        <row r="941">
          <cell r="G941" t="str">
            <v>1171_1</v>
          </cell>
          <cell r="H941" t="str">
            <v/>
          </cell>
          <cell r="I941" t="str">
            <v>met</v>
          </cell>
          <cell r="V941" t="str">
            <v>0</v>
          </cell>
          <cell r="Y941" t="str">
            <v>Pres</v>
          </cell>
          <cell r="Z941">
            <v>4.8899999999999997</v>
          </cell>
          <cell r="AA941">
            <v>0</v>
          </cell>
          <cell r="AB941">
            <v>0</v>
          </cell>
        </row>
        <row r="942">
          <cell r="G942" t="str">
            <v>1172_0</v>
          </cell>
          <cell r="H942" t="str">
            <v/>
          </cell>
          <cell r="I942" t="str">
            <v>met</v>
          </cell>
          <cell r="V942" t="str">
            <v>0</v>
          </cell>
          <cell r="Y942" t="str">
            <v>Pres</v>
          </cell>
          <cell r="Z942">
            <v>4.8600000000000003</v>
          </cell>
          <cell r="AA942">
            <v>0</v>
          </cell>
          <cell r="AB942">
            <v>0</v>
          </cell>
        </row>
        <row r="943">
          <cell r="G943" t="str">
            <v>1172_1</v>
          </cell>
          <cell r="H943" t="str">
            <v/>
          </cell>
          <cell r="I943" t="str">
            <v>met</v>
          </cell>
          <cell r="V943" t="str">
            <v>0</v>
          </cell>
          <cell r="Y943" t="str">
            <v>Pres</v>
          </cell>
          <cell r="Z943">
            <v>4.8600000000000003</v>
          </cell>
          <cell r="AA943">
            <v>0</v>
          </cell>
          <cell r="AB943">
            <v>0</v>
          </cell>
        </row>
        <row r="944">
          <cell r="G944" t="str">
            <v>1176_0</v>
          </cell>
          <cell r="H944" t="str">
            <v/>
          </cell>
          <cell r="I944" t="str">
            <v>met</v>
          </cell>
          <cell r="V944" t="str">
            <v>0</v>
          </cell>
          <cell r="Y944" t="str">
            <v>Pres</v>
          </cell>
          <cell r="Z944">
            <v>3.65</v>
          </cell>
          <cell r="AA944">
            <v>0</v>
          </cell>
          <cell r="AB944">
            <v>0</v>
          </cell>
        </row>
        <row r="945">
          <cell r="G945" t="str">
            <v>1176_1</v>
          </cell>
          <cell r="H945" t="str">
            <v/>
          </cell>
          <cell r="I945" t="str">
            <v>met</v>
          </cell>
          <cell r="V945" t="str">
            <v>0</v>
          </cell>
          <cell r="Y945" t="str">
            <v>Pres</v>
          </cell>
          <cell r="Z945">
            <v>3.65</v>
          </cell>
          <cell r="AA945">
            <v>0</v>
          </cell>
          <cell r="AB945">
            <v>0</v>
          </cell>
        </row>
        <row r="946">
          <cell r="G946" t="str">
            <v>1177_0</v>
          </cell>
          <cell r="H946" t="str">
            <v/>
          </cell>
          <cell r="I946" t="str">
            <v>met</v>
          </cell>
          <cell r="V946" t="str">
            <v>0</v>
          </cell>
          <cell r="Y946" t="str">
            <v>Pres</v>
          </cell>
          <cell r="Z946">
            <v>4.29</v>
          </cell>
          <cell r="AA946">
            <v>0</v>
          </cell>
          <cell r="AB946">
            <v>0</v>
          </cell>
        </row>
        <row r="947">
          <cell r="G947" t="str">
            <v>1177_1</v>
          </cell>
          <cell r="H947" t="str">
            <v/>
          </cell>
          <cell r="I947" t="str">
            <v>met</v>
          </cell>
          <cell r="V947" t="str">
            <v>0</v>
          </cell>
          <cell r="Y947" t="str">
            <v>Pres</v>
          </cell>
          <cell r="Z947">
            <v>4.29</v>
          </cell>
          <cell r="AA947">
            <v>0</v>
          </cell>
          <cell r="AB947">
            <v>0</v>
          </cell>
        </row>
        <row r="948">
          <cell r="G948" t="str">
            <v>1178_0</v>
          </cell>
          <cell r="H948" t="str">
            <v>the-of</v>
          </cell>
          <cell r="I948" t="str">
            <v>sim</v>
          </cell>
          <cell r="V948" t="str">
            <v>not</v>
          </cell>
          <cell r="Y948" t="str">
            <v>Past</v>
          </cell>
          <cell r="Z948">
            <v>3.93</v>
          </cell>
          <cell r="AA948">
            <v>0</v>
          </cell>
          <cell r="AB948">
            <v>1</v>
          </cell>
        </row>
        <row r="949">
          <cell r="G949" t="str">
            <v>1178_1</v>
          </cell>
          <cell r="H949" t="str">
            <v>the-of</v>
          </cell>
          <cell r="I949" t="str">
            <v>sim</v>
          </cell>
          <cell r="V949" t="str">
            <v>not</v>
          </cell>
          <cell r="Y949" t="str">
            <v>Past</v>
          </cell>
          <cell r="Z949">
            <v>3.93</v>
          </cell>
          <cell r="AA949">
            <v>0</v>
          </cell>
          <cell r="AB949">
            <v>1</v>
          </cell>
        </row>
        <row r="950">
          <cell r="G950" t="str">
            <v>1179_0</v>
          </cell>
          <cell r="H950" t="str">
            <v>as-as</v>
          </cell>
          <cell r="I950" t="str">
            <v>sim</v>
          </cell>
          <cell r="V950" t="str">
            <v>not neg pair</v>
          </cell>
          <cell r="Y950" t="str">
            <v>Pres</v>
          </cell>
          <cell r="Z950">
            <v>4.8600000000000003</v>
          </cell>
          <cell r="AA950">
            <v>0</v>
          </cell>
          <cell r="AB950">
            <v>0</v>
          </cell>
        </row>
        <row r="951">
          <cell r="G951" t="str">
            <v>1179_1</v>
          </cell>
          <cell r="H951" t="str">
            <v>as-as</v>
          </cell>
          <cell r="I951" t="str">
            <v>sim</v>
          </cell>
          <cell r="V951" t="str">
            <v>not neg pair</v>
          </cell>
          <cell r="Y951" t="str">
            <v>Pres</v>
          </cell>
          <cell r="Z951">
            <v>4.8600000000000003</v>
          </cell>
          <cell r="AA951">
            <v>0</v>
          </cell>
          <cell r="AB951">
            <v>0</v>
          </cell>
        </row>
        <row r="952">
          <cell r="G952" t="str">
            <v>1180_0</v>
          </cell>
          <cell r="H952" t="str">
            <v>as-as</v>
          </cell>
          <cell r="I952" t="str">
            <v>sim</v>
          </cell>
          <cell r="V952" t="str">
            <v>antonym</v>
          </cell>
          <cell r="Y952" t="str">
            <v>Pres</v>
          </cell>
          <cell r="Z952">
            <v>4.26</v>
          </cell>
          <cell r="AA952">
            <v>0</v>
          </cell>
          <cell r="AB952">
            <v>0</v>
          </cell>
        </row>
        <row r="953">
          <cell r="G953" t="str">
            <v>1180_1</v>
          </cell>
          <cell r="H953" t="str">
            <v>as-as</v>
          </cell>
          <cell r="I953" t="str">
            <v>sim</v>
          </cell>
          <cell r="V953" t="str">
            <v>antonym</v>
          </cell>
          <cell r="Y953" t="str">
            <v>Pres</v>
          </cell>
          <cell r="Z953">
            <v>4.26</v>
          </cell>
          <cell r="AA953">
            <v>0</v>
          </cell>
          <cell r="AB953">
            <v>0</v>
          </cell>
        </row>
        <row r="954">
          <cell r="G954" t="str">
            <v>1182_0</v>
          </cell>
          <cell r="H954" t="str">
            <v/>
          </cell>
          <cell r="I954" t="str">
            <v>met</v>
          </cell>
          <cell r="V954" t="str">
            <v>0</v>
          </cell>
          <cell r="Y954" t="str">
            <v>Past</v>
          </cell>
          <cell r="Z954">
            <v>4.8899999999999997</v>
          </cell>
          <cell r="AA954">
            <v>0</v>
          </cell>
          <cell r="AB954">
            <v>0</v>
          </cell>
        </row>
        <row r="955">
          <cell r="G955" t="str">
            <v>1182_1</v>
          </cell>
          <cell r="H955" t="str">
            <v/>
          </cell>
          <cell r="I955" t="str">
            <v>met</v>
          </cell>
          <cell r="V955" t="str">
            <v>0</v>
          </cell>
          <cell r="Y955" t="str">
            <v>Past</v>
          </cell>
          <cell r="Z955">
            <v>4.8899999999999997</v>
          </cell>
          <cell r="AA955">
            <v>0</v>
          </cell>
          <cell r="AB955">
            <v>0</v>
          </cell>
        </row>
        <row r="956">
          <cell r="G956" t="str">
            <v>1183_0</v>
          </cell>
          <cell r="H956" t="str">
            <v/>
          </cell>
          <cell r="I956" t="str">
            <v>met</v>
          </cell>
          <cell r="V956" t="str">
            <v>0</v>
          </cell>
          <cell r="Y956" t="str">
            <v>Pres</v>
          </cell>
          <cell r="Z956">
            <v>1.85</v>
          </cell>
          <cell r="AA956" t="str">
            <v>L</v>
          </cell>
          <cell r="AB956">
            <v>0</v>
          </cell>
        </row>
        <row r="957">
          <cell r="G957" t="str">
            <v>1183_1</v>
          </cell>
          <cell r="H957" t="str">
            <v/>
          </cell>
          <cell r="I957" t="str">
            <v>met</v>
          </cell>
          <cell r="V957" t="str">
            <v>0</v>
          </cell>
          <cell r="Y957" t="str">
            <v>Pres</v>
          </cell>
          <cell r="Z957">
            <v>1.85</v>
          </cell>
          <cell r="AA957" t="str">
            <v>L</v>
          </cell>
          <cell r="AB957">
            <v>0</v>
          </cell>
        </row>
        <row r="958">
          <cell r="G958" t="str">
            <v>1184_0</v>
          </cell>
          <cell r="H958" t="str">
            <v>like</v>
          </cell>
          <cell r="I958" t="str">
            <v>sim</v>
          </cell>
          <cell r="V958" t="str">
            <v>not neg pair</v>
          </cell>
          <cell r="Y958" t="str">
            <v>Past</v>
          </cell>
          <cell r="Z958">
            <v>3.93</v>
          </cell>
          <cell r="AA958">
            <v>0</v>
          </cell>
          <cell r="AB958">
            <v>0</v>
          </cell>
        </row>
        <row r="959">
          <cell r="G959" t="str">
            <v>1184_1</v>
          </cell>
          <cell r="H959" t="str">
            <v>like</v>
          </cell>
          <cell r="I959" t="str">
            <v>sim</v>
          </cell>
          <cell r="V959" t="str">
            <v>not neg pair</v>
          </cell>
          <cell r="Y959" t="str">
            <v>Past</v>
          </cell>
          <cell r="Z959">
            <v>3.93</v>
          </cell>
          <cell r="AA959">
            <v>0</v>
          </cell>
          <cell r="AB959">
            <v>0</v>
          </cell>
        </row>
        <row r="960">
          <cell r="G960" t="str">
            <v>1186_0</v>
          </cell>
          <cell r="H960" t="str">
            <v>like</v>
          </cell>
          <cell r="I960" t="str">
            <v>sim</v>
          </cell>
          <cell r="V960" t="str">
            <v>not neg pair</v>
          </cell>
          <cell r="Y960" t="str">
            <v>Past</v>
          </cell>
          <cell r="Z960">
            <v>3.7</v>
          </cell>
          <cell r="AA960">
            <v>0</v>
          </cell>
          <cell r="AB960">
            <v>0</v>
          </cell>
        </row>
        <row r="961">
          <cell r="G961" t="str">
            <v>1186_1</v>
          </cell>
          <cell r="H961" t="str">
            <v>like</v>
          </cell>
          <cell r="I961" t="str">
            <v>sim</v>
          </cell>
          <cell r="V961" t="str">
            <v>not neg pair</v>
          </cell>
          <cell r="Y961" t="str">
            <v>Past</v>
          </cell>
          <cell r="Z961">
            <v>3.7</v>
          </cell>
          <cell r="AA961">
            <v>0</v>
          </cell>
          <cell r="AB961">
            <v>0</v>
          </cell>
        </row>
        <row r="962">
          <cell r="G962" t="str">
            <v>1189_0</v>
          </cell>
          <cell r="H962" t="str">
            <v>as-as</v>
          </cell>
          <cell r="I962" t="str">
            <v>sim</v>
          </cell>
          <cell r="V962" t="str">
            <v>antonym</v>
          </cell>
          <cell r="Y962" t="str">
            <v>Pres</v>
          </cell>
          <cell r="Z962">
            <v>2.44</v>
          </cell>
          <cell r="AA962" t="str">
            <v>L</v>
          </cell>
          <cell r="AB962">
            <v>0</v>
          </cell>
        </row>
        <row r="963">
          <cell r="G963" t="str">
            <v>1189_1</v>
          </cell>
          <cell r="H963" t="str">
            <v>as-as</v>
          </cell>
          <cell r="I963" t="str">
            <v>sim</v>
          </cell>
          <cell r="V963" t="str">
            <v>antonym</v>
          </cell>
          <cell r="Y963" t="str">
            <v>Pres</v>
          </cell>
          <cell r="Z963">
            <v>2.44</v>
          </cell>
          <cell r="AA963" t="str">
            <v>L</v>
          </cell>
          <cell r="AB963">
            <v>0</v>
          </cell>
        </row>
        <row r="964">
          <cell r="G964" t="str">
            <v>1198_0</v>
          </cell>
          <cell r="H964" t="str">
            <v>like</v>
          </cell>
          <cell r="I964" t="str">
            <v>sim</v>
          </cell>
          <cell r="V964" t="str">
            <v>not</v>
          </cell>
          <cell r="Y964" t="str">
            <v>Past</v>
          </cell>
          <cell r="Z964">
            <v>4.7</v>
          </cell>
          <cell r="AA964">
            <v>0</v>
          </cell>
          <cell r="AB964">
            <v>0</v>
          </cell>
        </row>
        <row r="965">
          <cell r="G965" t="str">
            <v>1198_1</v>
          </cell>
          <cell r="H965" t="str">
            <v>like</v>
          </cell>
          <cell r="I965" t="str">
            <v>sim</v>
          </cell>
          <cell r="V965" t="str">
            <v>not</v>
          </cell>
          <cell r="Y965" t="str">
            <v>Past</v>
          </cell>
          <cell r="Z965">
            <v>4.7</v>
          </cell>
          <cell r="AA965">
            <v>0</v>
          </cell>
          <cell r="AB965">
            <v>0</v>
          </cell>
        </row>
        <row r="966">
          <cell r="G966" t="str">
            <v>1199_0</v>
          </cell>
          <cell r="H966" t="str">
            <v>as-as</v>
          </cell>
          <cell r="I966" t="str">
            <v>sim</v>
          </cell>
          <cell r="V966" t="str">
            <v>not neg pair</v>
          </cell>
          <cell r="Y966" t="str">
            <v>Pres</v>
          </cell>
          <cell r="Z966">
            <v>4.78</v>
          </cell>
          <cell r="AA966">
            <v>0</v>
          </cell>
          <cell r="AB966">
            <v>0</v>
          </cell>
        </row>
        <row r="967">
          <cell r="G967" t="str">
            <v>1199_1</v>
          </cell>
          <cell r="H967" t="str">
            <v>as-as</v>
          </cell>
          <cell r="I967" t="str">
            <v>sim</v>
          </cell>
          <cell r="V967" t="str">
            <v>not neg pair</v>
          </cell>
          <cell r="Y967" t="str">
            <v>Pres</v>
          </cell>
          <cell r="Z967">
            <v>4.78</v>
          </cell>
          <cell r="AA967">
            <v>0</v>
          </cell>
          <cell r="AB967">
            <v>0</v>
          </cell>
        </row>
        <row r="968">
          <cell r="G968" t="str">
            <v>1200_0</v>
          </cell>
          <cell r="H968" t="str">
            <v>as-as</v>
          </cell>
          <cell r="I968" t="str">
            <v>sim</v>
          </cell>
          <cell r="V968" t="str">
            <v>not</v>
          </cell>
          <cell r="Y968" t="str">
            <v>Past</v>
          </cell>
          <cell r="Z968">
            <v>4.8499999999999996</v>
          </cell>
          <cell r="AA968">
            <v>0</v>
          </cell>
          <cell r="AB968">
            <v>0</v>
          </cell>
        </row>
        <row r="969">
          <cell r="G969" t="str">
            <v>1200_1</v>
          </cell>
          <cell r="H969" t="str">
            <v>as-as</v>
          </cell>
          <cell r="I969" t="str">
            <v>sim</v>
          </cell>
          <cell r="V969" t="str">
            <v>not</v>
          </cell>
          <cell r="Y969" t="str">
            <v>Past</v>
          </cell>
          <cell r="Z969">
            <v>4.8499999999999996</v>
          </cell>
          <cell r="AA969">
            <v>0</v>
          </cell>
          <cell r="AB969">
            <v>0</v>
          </cell>
        </row>
        <row r="970">
          <cell r="G970" t="str">
            <v>1201_0</v>
          </cell>
          <cell r="H970" t="str">
            <v>the-of</v>
          </cell>
          <cell r="I970" t="str">
            <v>sim</v>
          </cell>
          <cell r="V970" t="str">
            <v>not neg pair</v>
          </cell>
          <cell r="Y970" t="str">
            <v>Pres</v>
          </cell>
          <cell r="Z970">
            <v>3.43</v>
          </cell>
          <cell r="AA970">
            <v>0</v>
          </cell>
          <cell r="AB970">
            <v>0</v>
          </cell>
        </row>
        <row r="971">
          <cell r="G971" t="str">
            <v>1201_1</v>
          </cell>
          <cell r="H971" t="str">
            <v>the-of</v>
          </cell>
          <cell r="I971" t="str">
            <v>sim</v>
          </cell>
          <cell r="V971" t="str">
            <v>not neg pair</v>
          </cell>
          <cell r="Y971" t="str">
            <v>Pres</v>
          </cell>
          <cell r="Z971">
            <v>3.43</v>
          </cell>
          <cell r="AA971">
            <v>0</v>
          </cell>
          <cell r="AB971">
            <v>0</v>
          </cell>
        </row>
        <row r="972">
          <cell r="G972" t="str">
            <v>1202_0</v>
          </cell>
          <cell r="H972" t="str">
            <v/>
          </cell>
          <cell r="I972" t="str">
            <v>met</v>
          </cell>
          <cell r="V972" t="str">
            <v>0</v>
          </cell>
          <cell r="Y972" t="str">
            <v>Pres</v>
          </cell>
          <cell r="Z972">
            <v>4.7699999999999996</v>
          </cell>
          <cell r="AA972">
            <v>0</v>
          </cell>
          <cell r="AB972">
            <v>0</v>
          </cell>
        </row>
        <row r="973">
          <cell r="G973" t="str">
            <v>1202_1</v>
          </cell>
          <cell r="H973" t="str">
            <v/>
          </cell>
          <cell r="I973" t="str">
            <v>met</v>
          </cell>
          <cell r="V973" t="str">
            <v>0</v>
          </cell>
          <cell r="Y973" t="str">
            <v>Pres</v>
          </cell>
          <cell r="Z973">
            <v>4.7699999999999996</v>
          </cell>
          <cell r="AA973">
            <v>0</v>
          </cell>
          <cell r="AB973">
            <v>0</v>
          </cell>
        </row>
        <row r="974">
          <cell r="G974" t="str">
            <v>1204_0</v>
          </cell>
          <cell r="H974" t="str">
            <v>as-as</v>
          </cell>
          <cell r="I974" t="str">
            <v>sim</v>
          </cell>
          <cell r="V974" t="str">
            <v>not neg pair</v>
          </cell>
          <cell r="Y974" t="str">
            <v>Pres</v>
          </cell>
          <cell r="Z974">
            <v>4.9000000000000004</v>
          </cell>
          <cell r="AA974">
            <v>0</v>
          </cell>
          <cell r="AB974">
            <v>0</v>
          </cell>
        </row>
        <row r="975">
          <cell r="G975" t="str">
            <v>1204_1</v>
          </cell>
          <cell r="H975" t="str">
            <v>as-as</v>
          </cell>
          <cell r="I975" t="str">
            <v>sim</v>
          </cell>
          <cell r="V975" t="str">
            <v>not neg pair</v>
          </cell>
          <cell r="Y975" t="str">
            <v>Pres</v>
          </cell>
          <cell r="Z975">
            <v>4.9000000000000004</v>
          </cell>
          <cell r="AA975">
            <v>0</v>
          </cell>
          <cell r="AB975">
            <v>0</v>
          </cell>
        </row>
        <row r="976">
          <cell r="G976" t="str">
            <v>1205_0</v>
          </cell>
          <cell r="H976" t="str">
            <v>like</v>
          </cell>
          <cell r="I976" t="str">
            <v>sim</v>
          </cell>
          <cell r="V976" t="str">
            <v>not neg pair</v>
          </cell>
          <cell r="Y976" t="str">
            <v>Pres</v>
          </cell>
          <cell r="Z976">
            <v>4.6900000000000004</v>
          </cell>
          <cell r="AA976">
            <v>0</v>
          </cell>
          <cell r="AB976">
            <v>0</v>
          </cell>
        </row>
        <row r="977">
          <cell r="G977" t="str">
            <v>1205_1</v>
          </cell>
          <cell r="H977" t="str">
            <v>like</v>
          </cell>
          <cell r="I977" t="str">
            <v>sim</v>
          </cell>
          <cell r="V977" t="str">
            <v>not neg pair</v>
          </cell>
          <cell r="Y977" t="str">
            <v>Pres</v>
          </cell>
          <cell r="Z977">
            <v>4.6900000000000004</v>
          </cell>
          <cell r="AA977">
            <v>0</v>
          </cell>
          <cell r="AB977">
            <v>0</v>
          </cell>
        </row>
        <row r="978">
          <cell r="G978" t="str">
            <v>1206_0</v>
          </cell>
          <cell r="H978" t="str">
            <v>the-of</v>
          </cell>
          <cell r="I978" t="str">
            <v>sim</v>
          </cell>
          <cell r="V978" t="str">
            <v>not neg pair</v>
          </cell>
          <cell r="Y978" t="str">
            <v>Past</v>
          </cell>
          <cell r="Z978">
            <v>4.92</v>
          </cell>
          <cell r="AA978" t="str">
            <v>H</v>
          </cell>
          <cell r="AB978">
            <v>0</v>
          </cell>
        </row>
        <row r="979">
          <cell r="G979" t="str">
            <v>1206_1</v>
          </cell>
          <cell r="H979" t="str">
            <v>the-of</v>
          </cell>
          <cell r="I979" t="str">
            <v>sim</v>
          </cell>
          <cell r="V979" t="str">
            <v>not neg pair</v>
          </cell>
          <cell r="Y979" t="str">
            <v>Past</v>
          </cell>
          <cell r="Z979">
            <v>4.92</v>
          </cell>
          <cell r="AA979" t="str">
            <v>H</v>
          </cell>
          <cell r="AB979">
            <v>0</v>
          </cell>
        </row>
        <row r="980">
          <cell r="G980" t="str">
            <v>1208_0</v>
          </cell>
          <cell r="H980" t="str">
            <v>the-of</v>
          </cell>
          <cell r="I980" t="str">
            <v>sim</v>
          </cell>
          <cell r="V980" t="str">
            <v>not neg pair</v>
          </cell>
          <cell r="Y980" t="str">
            <v>Past</v>
          </cell>
          <cell r="Z980">
            <v>4.34</v>
          </cell>
          <cell r="AA980">
            <v>0</v>
          </cell>
          <cell r="AB980">
            <v>0</v>
          </cell>
        </row>
        <row r="981">
          <cell r="G981" t="str">
            <v>1208_1</v>
          </cell>
          <cell r="H981" t="str">
            <v>the-of</v>
          </cell>
          <cell r="I981" t="str">
            <v>sim</v>
          </cell>
          <cell r="V981" t="str">
            <v>not neg pair</v>
          </cell>
          <cell r="Y981" t="str">
            <v>Past</v>
          </cell>
          <cell r="Z981">
            <v>4.34</v>
          </cell>
          <cell r="AA981">
            <v>0</v>
          </cell>
          <cell r="AB981">
            <v>0</v>
          </cell>
        </row>
        <row r="982">
          <cell r="G982" t="str">
            <v>1210_0</v>
          </cell>
          <cell r="H982" t="str">
            <v>as-as</v>
          </cell>
          <cell r="I982" t="str">
            <v>sim</v>
          </cell>
          <cell r="V982" t="str">
            <v>0</v>
          </cell>
          <cell r="Y982" t="str">
            <v>Past</v>
          </cell>
          <cell r="Z982">
            <v>3.28</v>
          </cell>
          <cell r="AA982">
            <v>0</v>
          </cell>
          <cell r="AB982">
            <v>0</v>
          </cell>
        </row>
        <row r="983">
          <cell r="G983" t="str">
            <v>1210_1</v>
          </cell>
          <cell r="H983" t="str">
            <v/>
          </cell>
          <cell r="I983" t="str">
            <v>met</v>
          </cell>
          <cell r="V983" t="str">
            <v>0</v>
          </cell>
          <cell r="Y983" t="str">
            <v>Past</v>
          </cell>
          <cell r="Z983">
            <v>3.28</v>
          </cell>
          <cell r="AA983">
            <v>0</v>
          </cell>
          <cell r="AB983">
            <v>0</v>
          </cell>
        </row>
        <row r="984">
          <cell r="G984" t="str">
            <v>1213_0</v>
          </cell>
          <cell r="H984" t="str">
            <v/>
          </cell>
          <cell r="I984" t="str">
            <v>met</v>
          </cell>
          <cell r="V984" t="str">
            <v>0</v>
          </cell>
          <cell r="Y984" t="str">
            <v>Pres</v>
          </cell>
          <cell r="Z984">
            <v>5</v>
          </cell>
          <cell r="AA984" t="str">
            <v>H</v>
          </cell>
          <cell r="AB984">
            <v>0</v>
          </cell>
        </row>
        <row r="985">
          <cell r="G985" t="str">
            <v>1213_1</v>
          </cell>
          <cell r="H985" t="str">
            <v/>
          </cell>
          <cell r="I985" t="str">
            <v>met</v>
          </cell>
          <cell r="V985" t="str">
            <v>0</v>
          </cell>
          <cell r="Y985" t="str">
            <v>Pres</v>
          </cell>
          <cell r="Z985">
            <v>5</v>
          </cell>
          <cell r="AA985" t="str">
            <v>H</v>
          </cell>
          <cell r="AB985">
            <v>0</v>
          </cell>
        </row>
        <row r="986">
          <cell r="G986" t="str">
            <v>1214_0</v>
          </cell>
          <cell r="H986" t="str">
            <v/>
          </cell>
          <cell r="I986" t="str">
            <v>met</v>
          </cell>
          <cell r="V986" t="str">
            <v>0</v>
          </cell>
          <cell r="Y986" t="str">
            <v>Pres</v>
          </cell>
          <cell r="Z986">
            <v>4.1100000000000003</v>
          </cell>
          <cell r="AA986">
            <v>0</v>
          </cell>
          <cell r="AB986">
            <v>0</v>
          </cell>
        </row>
        <row r="987">
          <cell r="G987" t="str">
            <v>1214_1</v>
          </cell>
          <cell r="H987" t="str">
            <v/>
          </cell>
          <cell r="I987" t="str">
            <v>met</v>
          </cell>
          <cell r="V987" t="str">
            <v>0</v>
          </cell>
          <cell r="Y987" t="str">
            <v>Pres</v>
          </cell>
          <cell r="Z987">
            <v>4.1100000000000003</v>
          </cell>
          <cell r="AA987">
            <v>0</v>
          </cell>
          <cell r="AB987">
            <v>0</v>
          </cell>
        </row>
        <row r="988">
          <cell r="G988" t="str">
            <v>1215_0</v>
          </cell>
          <cell r="H988" t="str">
            <v/>
          </cell>
          <cell r="I988" t="str">
            <v>met</v>
          </cell>
          <cell r="V988" t="str">
            <v>0</v>
          </cell>
          <cell r="Y988" t="str">
            <v>Past</v>
          </cell>
          <cell r="Z988">
            <v>4.9000000000000004</v>
          </cell>
          <cell r="AA988">
            <v>0</v>
          </cell>
          <cell r="AB988">
            <v>0</v>
          </cell>
        </row>
        <row r="989">
          <cell r="G989" t="str">
            <v>1215_1</v>
          </cell>
          <cell r="H989" t="str">
            <v/>
          </cell>
          <cell r="I989" t="str">
            <v>met</v>
          </cell>
          <cell r="V989" t="str">
            <v>0</v>
          </cell>
          <cell r="Y989" t="str">
            <v>Past</v>
          </cell>
          <cell r="Z989">
            <v>4.9000000000000004</v>
          </cell>
          <cell r="AA989">
            <v>0</v>
          </cell>
          <cell r="AB989">
            <v>0</v>
          </cell>
        </row>
        <row r="990">
          <cell r="G990" t="str">
            <v>1218_0</v>
          </cell>
          <cell r="H990" t="str">
            <v>the-of</v>
          </cell>
          <cell r="I990" t="str">
            <v>sim</v>
          </cell>
          <cell r="V990" t="str">
            <v>not neg pair</v>
          </cell>
          <cell r="Y990" t="str">
            <v>Past</v>
          </cell>
          <cell r="Z990">
            <v>4.8899999999999997</v>
          </cell>
          <cell r="AA990">
            <v>0</v>
          </cell>
          <cell r="AB990">
            <v>0</v>
          </cell>
        </row>
        <row r="991">
          <cell r="G991" t="str">
            <v>1218_1</v>
          </cell>
          <cell r="H991" t="str">
            <v>the-of</v>
          </cell>
          <cell r="I991" t="str">
            <v>sim</v>
          </cell>
          <cell r="V991" t="str">
            <v>not neg pair</v>
          </cell>
          <cell r="Y991" t="str">
            <v>Past</v>
          </cell>
          <cell r="Z991">
            <v>4.8899999999999997</v>
          </cell>
          <cell r="AA991">
            <v>0</v>
          </cell>
          <cell r="AB991">
            <v>0</v>
          </cell>
        </row>
        <row r="992">
          <cell r="G992" t="str">
            <v>1219_0</v>
          </cell>
          <cell r="H992" t="str">
            <v/>
          </cell>
          <cell r="I992" t="str">
            <v>met</v>
          </cell>
          <cell r="V992" t="str">
            <v>0</v>
          </cell>
          <cell r="Y992" t="str">
            <v>Past</v>
          </cell>
          <cell r="Z992">
            <v>5</v>
          </cell>
          <cell r="AA992" t="str">
            <v>H</v>
          </cell>
          <cell r="AB992">
            <v>0</v>
          </cell>
        </row>
        <row r="993">
          <cell r="G993" t="str">
            <v>1219_1</v>
          </cell>
          <cell r="H993" t="str">
            <v/>
          </cell>
          <cell r="I993" t="str">
            <v>met</v>
          </cell>
          <cell r="V993" t="str">
            <v>0</v>
          </cell>
          <cell r="Y993" t="str">
            <v>Past</v>
          </cell>
          <cell r="Z993">
            <v>5</v>
          </cell>
          <cell r="AA993" t="str">
            <v>H</v>
          </cell>
          <cell r="AB993">
            <v>0</v>
          </cell>
        </row>
        <row r="994">
          <cell r="G994" t="str">
            <v>1226_0</v>
          </cell>
          <cell r="H994" t="str">
            <v>as-as</v>
          </cell>
          <cell r="I994" t="str">
            <v>sim</v>
          </cell>
          <cell r="V994" t="str">
            <v>not neg pair</v>
          </cell>
          <cell r="Y994" t="str">
            <v>Past</v>
          </cell>
          <cell r="Z994">
            <v>2.67</v>
          </cell>
          <cell r="AA994" t="str">
            <v>L</v>
          </cell>
          <cell r="AB994">
            <v>0</v>
          </cell>
        </row>
        <row r="995">
          <cell r="G995" t="str">
            <v>1226_1</v>
          </cell>
          <cell r="H995" t="str">
            <v>as-as</v>
          </cell>
          <cell r="I995" t="str">
            <v>sim</v>
          </cell>
          <cell r="V995" t="str">
            <v>not neg pair</v>
          </cell>
          <cell r="Y995" t="str">
            <v>Past</v>
          </cell>
          <cell r="Z995">
            <v>2.67</v>
          </cell>
          <cell r="AA995" t="str">
            <v>L</v>
          </cell>
          <cell r="AB995">
            <v>0</v>
          </cell>
        </row>
        <row r="996">
          <cell r="G996" t="str">
            <v>1233_0</v>
          </cell>
          <cell r="H996" t="str">
            <v>as-as</v>
          </cell>
          <cell r="I996" t="str">
            <v>sim</v>
          </cell>
          <cell r="V996" t="str">
            <v>not</v>
          </cell>
          <cell r="Y996" t="str">
            <v>Pres</v>
          </cell>
          <cell r="Z996">
            <v>3.36</v>
          </cell>
          <cell r="AA996">
            <v>0</v>
          </cell>
          <cell r="AB996">
            <v>0</v>
          </cell>
        </row>
        <row r="997">
          <cell r="G997" t="str">
            <v>1233_1</v>
          </cell>
          <cell r="H997" t="str">
            <v>as-as</v>
          </cell>
          <cell r="I997" t="str">
            <v>sim</v>
          </cell>
          <cell r="V997" t="str">
            <v>not</v>
          </cell>
          <cell r="Y997" t="str">
            <v>Pres</v>
          </cell>
          <cell r="Z997">
            <v>3.36</v>
          </cell>
          <cell r="AA997">
            <v>0</v>
          </cell>
          <cell r="AB997">
            <v>0</v>
          </cell>
        </row>
        <row r="998">
          <cell r="G998" t="str">
            <v>1241_0</v>
          </cell>
          <cell r="H998" t="str">
            <v/>
          </cell>
          <cell r="I998" t="str">
            <v>met</v>
          </cell>
          <cell r="V998" t="str">
            <v>0</v>
          </cell>
          <cell r="Y998" t="str">
            <v>Pres</v>
          </cell>
          <cell r="Z998">
            <v>3.03</v>
          </cell>
          <cell r="AA998">
            <v>0</v>
          </cell>
          <cell r="AB998">
            <v>0</v>
          </cell>
        </row>
        <row r="999">
          <cell r="G999" t="str">
            <v>1241_1</v>
          </cell>
          <cell r="H999" t="str">
            <v/>
          </cell>
          <cell r="I999" t="str">
            <v>met</v>
          </cell>
          <cell r="V999" t="str">
            <v>0</v>
          </cell>
          <cell r="Y999" t="str">
            <v>Pres</v>
          </cell>
          <cell r="Z999">
            <v>3.03</v>
          </cell>
          <cell r="AA999">
            <v>0</v>
          </cell>
          <cell r="AB999">
            <v>0</v>
          </cell>
        </row>
        <row r="1000">
          <cell r="G1000" t="str">
            <v>1243_0</v>
          </cell>
          <cell r="H1000" t="str">
            <v>as-as</v>
          </cell>
          <cell r="I1000" t="str">
            <v>sim</v>
          </cell>
          <cell r="V1000" t="str">
            <v>antonym</v>
          </cell>
          <cell r="Y1000" t="str">
            <v>Past</v>
          </cell>
          <cell r="Z1000">
            <v>4.2300000000000004</v>
          </cell>
          <cell r="AA1000">
            <v>0</v>
          </cell>
          <cell r="AB1000">
            <v>0</v>
          </cell>
        </row>
        <row r="1001">
          <cell r="G1001" t="str">
            <v>1243_1</v>
          </cell>
          <cell r="H1001" t="str">
            <v>as-as</v>
          </cell>
          <cell r="I1001" t="str">
            <v>sim</v>
          </cell>
          <cell r="V1001" t="str">
            <v>antonym</v>
          </cell>
          <cell r="Y1001" t="str">
            <v>Past</v>
          </cell>
          <cell r="Z1001">
            <v>4.2300000000000004</v>
          </cell>
          <cell r="AA1001">
            <v>0</v>
          </cell>
          <cell r="AB1001">
            <v>0</v>
          </cell>
        </row>
        <row r="1002">
          <cell r="G1002" t="str">
            <v>1244_0</v>
          </cell>
          <cell r="H1002" t="str">
            <v/>
          </cell>
          <cell r="I1002" t="str">
            <v>met</v>
          </cell>
          <cell r="V1002" t="str">
            <v>0</v>
          </cell>
          <cell r="Y1002" t="str">
            <v>Pres</v>
          </cell>
          <cell r="Z1002">
            <v>4.8600000000000003</v>
          </cell>
          <cell r="AA1002">
            <v>0</v>
          </cell>
          <cell r="AB1002">
            <v>0</v>
          </cell>
        </row>
        <row r="1003">
          <cell r="G1003" t="str">
            <v>1244_1</v>
          </cell>
          <cell r="H1003" t="str">
            <v/>
          </cell>
          <cell r="I1003" t="str">
            <v>met</v>
          </cell>
          <cell r="V1003" t="str">
            <v>0</v>
          </cell>
          <cell r="Y1003" t="str">
            <v>Pres</v>
          </cell>
          <cell r="Z1003">
            <v>4.8600000000000003</v>
          </cell>
          <cell r="AA1003">
            <v>0</v>
          </cell>
          <cell r="AB1003">
            <v>0</v>
          </cell>
        </row>
        <row r="1004">
          <cell r="G1004" t="str">
            <v>1246_0</v>
          </cell>
          <cell r="H1004" t="str">
            <v>as-as</v>
          </cell>
          <cell r="I1004" t="str">
            <v>sim</v>
          </cell>
          <cell r="V1004" t="str">
            <v>antonym</v>
          </cell>
          <cell r="Y1004" t="str">
            <v>Pres</v>
          </cell>
          <cell r="Z1004">
            <v>4.8499999999999996</v>
          </cell>
          <cell r="AA1004">
            <v>0</v>
          </cell>
          <cell r="AB1004">
            <v>0</v>
          </cell>
        </row>
        <row r="1005">
          <cell r="G1005" t="str">
            <v>1246_1</v>
          </cell>
          <cell r="H1005" t="str">
            <v>as-as</v>
          </cell>
          <cell r="I1005" t="str">
            <v>sim</v>
          </cell>
          <cell r="V1005" t="str">
            <v>antonym</v>
          </cell>
          <cell r="Y1005" t="str">
            <v>Pres</v>
          </cell>
          <cell r="Z1005">
            <v>4.8499999999999996</v>
          </cell>
          <cell r="AA1005">
            <v>0</v>
          </cell>
          <cell r="AB1005">
            <v>0</v>
          </cell>
        </row>
        <row r="1006">
          <cell r="G1006" t="str">
            <v>1248_0</v>
          </cell>
          <cell r="H1006" t="str">
            <v>as-as</v>
          </cell>
          <cell r="I1006" t="str">
            <v>sim</v>
          </cell>
          <cell r="V1006" t="str">
            <v>not neg pair</v>
          </cell>
          <cell r="Y1006" t="str">
            <v>Past</v>
          </cell>
          <cell r="Z1006">
            <v>4.6900000000000004</v>
          </cell>
          <cell r="AA1006">
            <v>0</v>
          </cell>
          <cell r="AB1006">
            <v>0</v>
          </cell>
        </row>
        <row r="1007">
          <cell r="G1007" t="str">
            <v>1248_1</v>
          </cell>
          <cell r="H1007" t="str">
            <v>as-as</v>
          </cell>
          <cell r="I1007" t="str">
            <v>sim</v>
          </cell>
          <cell r="V1007" t="str">
            <v>not neg pair</v>
          </cell>
          <cell r="Y1007" t="str">
            <v>Past</v>
          </cell>
          <cell r="Z1007">
            <v>4.6900000000000004</v>
          </cell>
          <cell r="AA1007">
            <v>0</v>
          </cell>
          <cell r="AB1007">
            <v>0</v>
          </cell>
        </row>
        <row r="1008">
          <cell r="G1008" t="str">
            <v>1249_0</v>
          </cell>
          <cell r="H1008" t="str">
            <v/>
          </cell>
          <cell r="I1008" t="str">
            <v>met</v>
          </cell>
          <cell r="V1008" t="str">
            <v>0</v>
          </cell>
          <cell r="Y1008" t="str">
            <v>Pres</v>
          </cell>
          <cell r="Z1008">
            <v>4.6900000000000004</v>
          </cell>
          <cell r="AA1008">
            <v>0</v>
          </cell>
          <cell r="AB1008">
            <v>0</v>
          </cell>
        </row>
        <row r="1009">
          <cell r="G1009" t="str">
            <v>1249_1</v>
          </cell>
          <cell r="H1009" t="str">
            <v/>
          </cell>
          <cell r="I1009" t="str">
            <v>met</v>
          </cell>
          <cell r="V1009" t="str">
            <v>0</v>
          </cell>
          <cell r="Y1009" t="str">
            <v>Pres</v>
          </cell>
          <cell r="Z1009">
            <v>4.6900000000000004</v>
          </cell>
          <cell r="AA1009">
            <v>0</v>
          </cell>
          <cell r="AB1009">
            <v>0</v>
          </cell>
        </row>
        <row r="1010">
          <cell r="G1010" t="str">
            <v>1250_0</v>
          </cell>
          <cell r="H1010" t="str">
            <v>like</v>
          </cell>
          <cell r="I1010" t="str">
            <v>sim</v>
          </cell>
          <cell r="V1010" t="str">
            <v>not neg pair</v>
          </cell>
          <cell r="Y1010" t="str">
            <v>Pres</v>
          </cell>
          <cell r="Z1010">
            <v>2.9</v>
          </cell>
          <cell r="AA1010">
            <v>0</v>
          </cell>
          <cell r="AB1010">
            <v>0</v>
          </cell>
        </row>
        <row r="1011">
          <cell r="G1011" t="str">
            <v>1250_1</v>
          </cell>
          <cell r="H1011" t="str">
            <v>like</v>
          </cell>
          <cell r="I1011" t="str">
            <v>sim</v>
          </cell>
          <cell r="V1011" t="str">
            <v>not neg pair</v>
          </cell>
          <cell r="Y1011" t="str">
            <v>Pres</v>
          </cell>
          <cell r="Z1011">
            <v>2.9</v>
          </cell>
          <cell r="AA1011">
            <v>0</v>
          </cell>
          <cell r="AB1011">
            <v>0</v>
          </cell>
        </row>
        <row r="1012">
          <cell r="G1012" t="str">
            <v>1253_0</v>
          </cell>
          <cell r="H1012" t="str">
            <v>as-as</v>
          </cell>
          <cell r="I1012" t="str">
            <v>sim</v>
          </cell>
          <cell r="V1012" t="str">
            <v>antonym</v>
          </cell>
          <cell r="Y1012" t="str">
            <v>Pres</v>
          </cell>
          <cell r="Z1012">
            <v>3.93</v>
          </cell>
          <cell r="AA1012">
            <v>0</v>
          </cell>
          <cell r="AB1012">
            <v>1</v>
          </cell>
        </row>
        <row r="1013">
          <cell r="G1013" t="str">
            <v>1253_1</v>
          </cell>
          <cell r="H1013" t="str">
            <v>as-as</v>
          </cell>
          <cell r="I1013" t="str">
            <v>sim</v>
          </cell>
          <cell r="V1013" t="str">
            <v>antonym</v>
          </cell>
          <cell r="Y1013" t="str">
            <v>Pres</v>
          </cell>
          <cell r="Z1013">
            <v>3.93</v>
          </cell>
          <cell r="AA1013">
            <v>0</v>
          </cell>
          <cell r="AB1013">
            <v>1</v>
          </cell>
        </row>
        <row r="1014">
          <cell r="G1014" t="str">
            <v>1256_0</v>
          </cell>
          <cell r="H1014" t="str">
            <v>the-of</v>
          </cell>
          <cell r="I1014" t="str">
            <v>sim</v>
          </cell>
          <cell r="V1014" t="str">
            <v>not neg pair</v>
          </cell>
          <cell r="Y1014" t="str">
            <v>Past</v>
          </cell>
          <cell r="Z1014">
            <v>4.1500000000000004</v>
          </cell>
          <cell r="AA1014">
            <v>0</v>
          </cell>
          <cell r="AB1014">
            <v>0</v>
          </cell>
        </row>
        <row r="1015">
          <cell r="G1015" t="str">
            <v>1256_1</v>
          </cell>
          <cell r="H1015" t="str">
            <v>the-of</v>
          </cell>
          <cell r="I1015" t="str">
            <v>sim</v>
          </cell>
          <cell r="V1015" t="str">
            <v>not neg pair</v>
          </cell>
          <cell r="Y1015" t="str">
            <v>Past</v>
          </cell>
          <cell r="Z1015">
            <v>4.1500000000000004</v>
          </cell>
          <cell r="AA1015">
            <v>0</v>
          </cell>
          <cell r="AB1015">
            <v>0</v>
          </cell>
        </row>
        <row r="1016">
          <cell r="G1016" t="str">
            <v>1261_0</v>
          </cell>
          <cell r="H1016" t="str">
            <v/>
          </cell>
          <cell r="I1016" t="str">
            <v>met</v>
          </cell>
          <cell r="V1016" t="str">
            <v>0</v>
          </cell>
          <cell r="Y1016" t="str">
            <v>Pres</v>
          </cell>
          <cell r="Z1016">
            <v>4.07</v>
          </cell>
          <cell r="AA1016">
            <v>0</v>
          </cell>
          <cell r="AB1016">
            <v>0</v>
          </cell>
        </row>
        <row r="1017">
          <cell r="G1017" t="str">
            <v>1261_1</v>
          </cell>
          <cell r="H1017" t="str">
            <v/>
          </cell>
          <cell r="I1017" t="str">
            <v>met</v>
          </cell>
          <cell r="V1017" t="str">
            <v>0</v>
          </cell>
          <cell r="Y1017" t="str">
            <v>Pres</v>
          </cell>
          <cell r="Z1017">
            <v>4.07</v>
          </cell>
          <cell r="AA1017">
            <v>0</v>
          </cell>
          <cell r="AB1017">
            <v>0</v>
          </cell>
        </row>
        <row r="1018">
          <cell r="G1018" t="str">
            <v>1262_0</v>
          </cell>
          <cell r="H1018" t="str">
            <v>the-of</v>
          </cell>
          <cell r="I1018" t="str">
            <v>sim</v>
          </cell>
          <cell r="V1018" t="str">
            <v>not neg pair</v>
          </cell>
          <cell r="Y1018" t="str">
            <v>Pres</v>
          </cell>
          <cell r="Z1018">
            <v>2.93</v>
          </cell>
          <cell r="AA1018">
            <v>0</v>
          </cell>
          <cell r="AB1018">
            <v>0</v>
          </cell>
        </row>
        <row r="1019">
          <cell r="G1019" t="str">
            <v>1262_1</v>
          </cell>
          <cell r="H1019" t="str">
            <v>the-of</v>
          </cell>
          <cell r="I1019" t="str">
            <v>sim</v>
          </cell>
          <cell r="V1019" t="str">
            <v>not neg pair</v>
          </cell>
          <cell r="Y1019" t="str">
            <v>Pres</v>
          </cell>
          <cell r="Z1019">
            <v>4.8600000000000003</v>
          </cell>
          <cell r="AA1019">
            <v>0</v>
          </cell>
          <cell r="AB1019">
            <v>0</v>
          </cell>
        </row>
        <row r="1020">
          <cell r="G1020" t="str">
            <v>1263_0</v>
          </cell>
          <cell r="H1020" t="str">
            <v>as-as</v>
          </cell>
          <cell r="I1020" t="str">
            <v>sim</v>
          </cell>
          <cell r="V1020" t="str">
            <v>antonym</v>
          </cell>
          <cell r="Y1020" t="str">
            <v>Past</v>
          </cell>
          <cell r="Z1020">
            <v>5</v>
          </cell>
          <cell r="AA1020" t="str">
            <v>H</v>
          </cell>
          <cell r="AB1020">
            <v>0</v>
          </cell>
        </row>
        <row r="1021">
          <cell r="G1021" t="str">
            <v>1263_1</v>
          </cell>
          <cell r="H1021" t="str">
            <v>as-as</v>
          </cell>
          <cell r="I1021" t="str">
            <v>sim</v>
          </cell>
          <cell r="V1021" t="str">
            <v>antonym</v>
          </cell>
          <cell r="Y1021" t="str">
            <v>Past</v>
          </cell>
          <cell r="Z1021">
            <v>5</v>
          </cell>
          <cell r="AA1021" t="str">
            <v>H</v>
          </cell>
          <cell r="AB1021">
            <v>0</v>
          </cell>
        </row>
        <row r="1022">
          <cell r="G1022" t="str">
            <v>1265_0</v>
          </cell>
          <cell r="H1022" t="str">
            <v>as-as</v>
          </cell>
          <cell r="I1022" t="str">
            <v>sim</v>
          </cell>
          <cell r="V1022" t="str">
            <v>antonym</v>
          </cell>
          <cell r="Y1022" t="str">
            <v>Past</v>
          </cell>
          <cell r="Z1022">
            <v>3.75</v>
          </cell>
          <cell r="AA1022">
            <v>0</v>
          </cell>
          <cell r="AB1022">
            <v>0</v>
          </cell>
        </row>
        <row r="1023">
          <cell r="G1023" t="str">
            <v>1265_1</v>
          </cell>
          <cell r="H1023" t="str">
            <v>as-as</v>
          </cell>
          <cell r="I1023" t="str">
            <v>sim</v>
          </cell>
          <cell r="V1023" t="str">
            <v>antonym</v>
          </cell>
          <cell r="Y1023" t="str">
            <v>Past</v>
          </cell>
          <cell r="Z1023">
            <v>3.75</v>
          </cell>
          <cell r="AA1023">
            <v>0</v>
          </cell>
          <cell r="AB1023">
            <v>0</v>
          </cell>
        </row>
        <row r="1024">
          <cell r="G1024" t="str">
            <v>1266_0</v>
          </cell>
          <cell r="H1024" t="str">
            <v>as</v>
          </cell>
          <cell r="I1024" t="str">
            <v>sim</v>
          </cell>
          <cell r="V1024" t="str">
            <v>not neg pair</v>
          </cell>
          <cell r="Y1024" t="str">
            <v>Pres</v>
          </cell>
          <cell r="Z1024">
            <v>4.59</v>
          </cell>
          <cell r="AA1024">
            <v>0</v>
          </cell>
          <cell r="AB1024">
            <v>0</v>
          </cell>
        </row>
        <row r="1025">
          <cell r="G1025" t="str">
            <v>1266_1</v>
          </cell>
          <cell r="H1025" t="str">
            <v>as</v>
          </cell>
          <cell r="I1025" t="str">
            <v>sim</v>
          </cell>
          <cell r="V1025" t="str">
            <v>not neg pair</v>
          </cell>
          <cell r="Y1025" t="str">
            <v>Pres</v>
          </cell>
          <cell r="Z1025">
            <v>4.59</v>
          </cell>
          <cell r="AA1025">
            <v>0</v>
          </cell>
          <cell r="AB1025">
            <v>0</v>
          </cell>
        </row>
        <row r="1026">
          <cell r="G1026" t="str">
            <v>1271_0</v>
          </cell>
          <cell r="H1026" t="str">
            <v>the-of</v>
          </cell>
          <cell r="I1026" t="str">
            <v>sim</v>
          </cell>
          <cell r="V1026" t="str">
            <v>not neg pair</v>
          </cell>
          <cell r="Y1026" t="str">
            <v>Past</v>
          </cell>
          <cell r="Z1026">
            <v>3.93</v>
          </cell>
          <cell r="AA1026">
            <v>0</v>
          </cell>
          <cell r="AB1026">
            <v>0</v>
          </cell>
        </row>
        <row r="1027">
          <cell r="G1027" t="str">
            <v>1271_1</v>
          </cell>
          <cell r="H1027" t="str">
            <v>the-of</v>
          </cell>
          <cell r="I1027" t="str">
            <v>sim</v>
          </cell>
          <cell r="V1027" t="str">
            <v>not neg pair</v>
          </cell>
          <cell r="Y1027" t="str">
            <v>Past</v>
          </cell>
          <cell r="Z1027">
            <v>3.93</v>
          </cell>
          <cell r="AA1027">
            <v>0</v>
          </cell>
          <cell r="AB1027">
            <v>0</v>
          </cell>
        </row>
        <row r="1028">
          <cell r="G1028" t="str">
            <v>1280_0</v>
          </cell>
          <cell r="H1028" t="str">
            <v/>
          </cell>
          <cell r="I1028" t="str">
            <v>met</v>
          </cell>
          <cell r="V1028" t="str">
            <v>0</v>
          </cell>
          <cell r="Y1028" t="str">
            <v>Pres</v>
          </cell>
          <cell r="Z1028">
            <v>2.81</v>
          </cell>
          <cell r="AA1028">
            <v>0</v>
          </cell>
          <cell r="AB1028">
            <v>0</v>
          </cell>
        </row>
        <row r="1029">
          <cell r="G1029" t="str">
            <v>1280_1</v>
          </cell>
          <cell r="H1029" t="str">
            <v/>
          </cell>
          <cell r="I1029" t="str">
            <v>met</v>
          </cell>
          <cell r="V1029" t="str">
            <v>0</v>
          </cell>
          <cell r="Y1029" t="str">
            <v>Pres</v>
          </cell>
          <cell r="Z1029">
            <v>2.81</v>
          </cell>
          <cell r="AA1029">
            <v>0</v>
          </cell>
          <cell r="AB1029">
            <v>0</v>
          </cell>
        </row>
        <row r="1030">
          <cell r="G1030" t="str">
            <v>1281_0</v>
          </cell>
          <cell r="H1030" t="str">
            <v/>
          </cell>
          <cell r="I1030" t="str">
            <v>met</v>
          </cell>
          <cell r="V1030" t="str">
            <v>0</v>
          </cell>
          <cell r="Y1030" t="str">
            <v>Past</v>
          </cell>
          <cell r="Z1030">
            <v>4.17</v>
          </cell>
          <cell r="AA1030">
            <v>0</v>
          </cell>
          <cell r="AB1030">
            <v>0</v>
          </cell>
        </row>
        <row r="1031">
          <cell r="G1031" t="str">
            <v>1281_1</v>
          </cell>
          <cell r="H1031" t="str">
            <v/>
          </cell>
          <cell r="I1031" t="str">
            <v>met</v>
          </cell>
          <cell r="V1031" t="str">
            <v>0</v>
          </cell>
          <cell r="Y1031" t="str">
            <v>Past</v>
          </cell>
          <cell r="Z1031">
            <v>4.17</v>
          </cell>
          <cell r="AA1031">
            <v>0</v>
          </cell>
          <cell r="AB1031">
            <v>0</v>
          </cell>
        </row>
        <row r="1032">
          <cell r="G1032" t="str">
            <v>1282_0</v>
          </cell>
          <cell r="H1032" t="str">
            <v>as-as</v>
          </cell>
          <cell r="I1032" t="str">
            <v>sim</v>
          </cell>
          <cell r="V1032" t="str">
            <v>not neg pair</v>
          </cell>
          <cell r="Y1032" t="str">
            <v>Pres</v>
          </cell>
          <cell r="Z1032">
            <v>4.62</v>
          </cell>
          <cell r="AA1032">
            <v>0</v>
          </cell>
          <cell r="AB1032">
            <v>0</v>
          </cell>
        </row>
        <row r="1033">
          <cell r="G1033" t="str">
            <v>1282_1</v>
          </cell>
          <cell r="H1033" t="str">
            <v>as-as</v>
          </cell>
          <cell r="I1033" t="str">
            <v>sim</v>
          </cell>
          <cell r="V1033" t="str">
            <v>not neg pair</v>
          </cell>
          <cell r="Y1033" t="str">
            <v>Pres</v>
          </cell>
          <cell r="Z1033">
            <v>4.62</v>
          </cell>
          <cell r="AA1033">
            <v>0</v>
          </cell>
          <cell r="AB1033">
            <v>0</v>
          </cell>
        </row>
        <row r="1034">
          <cell r="G1034" t="str">
            <v>1286_0</v>
          </cell>
          <cell r="H1034" t="str">
            <v>as-as</v>
          </cell>
          <cell r="I1034" t="str">
            <v>sim</v>
          </cell>
          <cell r="V1034" t="str">
            <v>antonym</v>
          </cell>
          <cell r="Y1034" t="str">
            <v>Pres</v>
          </cell>
          <cell r="Z1034">
            <v>3.36</v>
          </cell>
          <cell r="AA1034">
            <v>0</v>
          </cell>
          <cell r="AB1034">
            <v>0</v>
          </cell>
        </row>
        <row r="1035">
          <cell r="G1035" t="str">
            <v>1286_1</v>
          </cell>
          <cell r="H1035" t="str">
            <v>as-as</v>
          </cell>
          <cell r="I1035" t="str">
            <v>sim</v>
          </cell>
          <cell r="V1035" t="str">
            <v>antonym</v>
          </cell>
          <cell r="Y1035" t="str">
            <v>Pres</v>
          </cell>
          <cell r="Z1035">
            <v>3.36</v>
          </cell>
          <cell r="AA1035">
            <v>0</v>
          </cell>
          <cell r="AB1035">
            <v>0</v>
          </cell>
        </row>
        <row r="1036">
          <cell r="G1036" t="str">
            <v>1289_0</v>
          </cell>
          <cell r="H1036" t="str">
            <v>the-of</v>
          </cell>
          <cell r="I1036" t="str">
            <v>sim</v>
          </cell>
          <cell r="V1036" t="str">
            <v>not neg pair</v>
          </cell>
          <cell r="Y1036" t="str">
            <v>Pres</v>
          </cell>
          <cell r="Z1036">
            <v>4.8</v>
          </cell>
          <cell r="AA1036">
            <v>0</v>
          </cell>
          <cell r="AB1036">
            <v>0</v>
          </cell>
        </row>
        <row r="1037">
          <cell r="G1037" t="str">
            <v>1289_1</v>
          </cell>
          <cell r="H1037" t="str">
            <v>the-of</v>
          </cell>
          <cell r="I1037" t="str">
            <v>sim</v>
          </cell>
          <cell r="V1037" t="str">
            <v>not neg pair</v>
          </cell>
          <cell r="Y1037" t="str">
            <v>Pres</v>
          </cell>
          <cell r="Z1037">
            <v>4.8</v>
          </cell>
          <cell r="AA1037">
            <v>0</v>
          </cell>
          <cell r="AB1037">
            <v>0</v>
          </cell>
        </row>
        <row r="1038">
          <cell r="G1038" t="str">
            <v>1295_0</v>
          </cell>
          <cell r="H1038" t="str">
            <v>the-of</v>
          </cell>
          <cell r="I1038" t="str">
            <v>sim</v>
          </cell>
          <cell r="V1038" t="str">
            <v>not neg pair</v>
          </cell>
          <cell r="Y1038" t="str">
            <v>Past</v>
          </cell>
          <cell r="Z1038">
            <v>4.75</v>
          </cell>
          <cell r="AA1038">
            <v>0</v>
          </cell>
          <cell r="AB1038">
            <v>0</v>
          </cell>
        </row>
        <row r="1039">
          <cell r="G1039" t="str">
            <v>1295_1</v>
          </cell>
          <cell r="H1039" t="str">
            <v>the-of</v>
          </cell>
          <cell r="I1039" t="str">
            <v>sim</v>
          </cell>
          <cell r="V1039" t="str">
            <v>not neg pair</v>
          </cell>
          <cell r="Y1039" t="str">
            <v>Past</v>
          </cell>
          <cell r="Z1039">
            <v>4.75</v>
          </cell>
          <cell r="AA1039">
            <v>0</v>
          </cell>
          <cell r="AB1039">
            <v>0</v>
          </cell>
        </row>
        <row r="1040">
          <cell r="G1040" t="str">
            <v>1297_0</v>
          </cell>
          <cell r="H1040" t="str">
            <v>like</v>
          </cell>
          <cell r="I1040" t="str">
            <v>sim</v>
          </cell>
          <cell r="V1040" t="str">
            <v>not</v>
          </cell>
          <cell r="Y1040" t="str">
            <v>Past</v>
          </cell>
          <cell r="Z1040">
            <v>2.81</v>
          </cell>
          <cell r="AA1040">
            <v>0</v>
          </cell>
          <cell r="AB1040">
            <v>0</v>
          </cell>
        </row>
        <row r="1041">
          <cell r="G1041" t="str">
            <v>1297_1</v>
          </cell>
          <cell r="H1041" t="str">
            <v>like</v>
          </cell>
          <cell r="I1041" t="str">
            <v>sim</v>
          </cell>
          <cell r="V1041" t="str">
            <v>not</v>
          </cell>
          <cell r="Y1041" t="str">
            <v>Past</v>
          </cell>
          <cell r="Z1041">
            <v>2.81</v>
          </cell>
          <cell r="AA1041">
            <v>0</v>
          </cell>
          <cell r="AB1041">
            <v>0</v>
          </cell>
        </row>
        <row r="1042">
          <cell r="G1042" t="str">
            <v>1299_0</v>
          </cell>
          <cell r="H1042" t="str">
            <v>like</v>
          </cell>
          <cell r="I1042" t="str">
            <v>sim</v>
          </cell>
          <cell r="V1042" t="str">
            <v>not neg pair</v>
          </cell>
          <cell r="Y1042" t="str">
            <v>Pres</v>
          </cell>
          <cell r="Z1042">
            <v>4.3600000000000003</v>
          </cell>
          <cell r="AA1042">
            <v>0</v>
          </cell>
          <cell r="AB1042">
            <v>0</v>
          </cell>
        </row>
        <row r="1043">
          <cell r="G1043" t="str">
            <v>1299_1</v>
          </cell>
          <cell r="H1043" t="str">
            <v>like</v>
          </cell>
          <cell r="I1043" t="str">
            <v>sim</v>
          </cell>
          <cell r="V1043" t="str">
            <v>not neg pair</v>
          </cell>
          <cell r="Y1043" t="str">
            <v>Past</v>
          </cell>
          <cell r="Z1043">
            <v>4.3600000000000003</v>
          </cell>
          <cell r="AA1043">
            <v>0</v>
          </cell>
          <cell r="AB1043">
            <v>0</v>
          </cell>
        </row>
        <row r="1044">
          <cell r="G1044" t="str">
            <v>1300_0</v>
          </cell>
          <cell r="H1044" t="str">
            <v>as-as</v>
          </cell>
          <cell r="I1044" t="str">
            <v>sim</v>
          </cell>
          <cell r="V1044" t="str">
            <v>not</v>
          </cell>
          <cell r="Y1044" t="str">
            <v>Pres</v>
          </cell>
          <cell r="Z1044">
            <v>2.14</v>
          </cell>
          <cell r="AA1044" t="str">
            <v>L</v>
          </cell>
          <cell r="AB1044">
            <v>1</v>
          </cell>
        </row>
        <row r="1045">
          <cell r="G1045" t="str">
            <v>1300_1</v>
          </cell>
          <cell r="H1045" t="str">
            <v>as-as</v>
          </cell>
          <cell r="I1045" t="str">
            <v>sim</v>
          </cell>
          <cell r="V1045" t="str">
            <v>not</v>
          </cell>
          <cell r="Y1045" t="str">
            <v>Pres</v>
          </cell>
          <cell r="Z1045">
            <v>4.8</v>
          </cell>
          <cell r="AA1045">
            <v>0</v>
          </cell>
          <cell r="AB1045">
            <v>1</v>
          </cell>
        </row>
        <row r="1046">
          <cell r="G1046" t="str">
            <v>1302_0</v>
          </cell>
          <cell r="H1046" t="str">
            <v>like</v>
          </cell>
          <cell r="I1046" t="str">
            <v>sim</v>
          </cell>
          <cell r="V1046" t="str">
            <v>not neg pair</v>
          </cell>
          <cell r="Y1046" t="str">
            <v>Pres</v>
          </cell>
          <cell r="Z1046">
            <v>4.79</v>
          </cell>
          <cell r="AA1046">
            <v>0</v>
          </cell>
          <cell r="AB1046">
            <v>0</v>
          </cell>
        </row>
        <row r="1047">
          <cell r="G1047" t="str">
            <v>1302_1</v>
          </cell>
          <cell r="H1047" t="str">
            <v>like</v>
          </cell>
          <cell r="I1047" t="str">
            <v>sim</v>
          </cell>
          <cell r="V1047" t="str">
            <v>not neg pair</v>
          </cell>
          <cell r="Y1047" t="str">
            <v>Pres</v>
          </cell>
          <cell r="Z1047">
            <v>4.79</v>
          </cell>
          <cell r="AA1047">
            <v>0</v>
          </cell>
          <cell r="AB1047">
            <v>0</v>
          </cell>
        </row>
        <row r="1048">
          <cell r="G1048" t="str">
            <v>1304_0</v>
          </cell>
          <cell r="H1048" t="str">
            <v>the-of</v>
          </cell>
          <cell r="I1048" t="str">
            <v>sim</v>
          </cell>
          <cell r="V1048" t="str">
            <v>not neg pair</v>
          </cell>
          <cell r="Y1048" t="str">
            <v>Pres</v>
          </cell>
          <cell r="Z1048">
            <v>4.7699999999999996</v>
          </cell>
          <cell r="AA1048">
            <v>0</v>
          </cell>
          <cell r="AB1048">
            <v>0</v>
          </cell>
        </row>
        <row r="1049">
          <cell r="G1049" t="str">
            <v>1304_1</v>
          </cell>
          <cell r="H1049" t="str">
            <v>the-of</v>
          </cell>
          <cell r="I1049" t="str">
            <v>sim</v>
          </cell>
          <cell r="V1049" t="str">
            <v>not neg pair</v>
          </cell>
          <cell r="Y1049" t="str">
            <v>Pres</v>
          </cell>
          <cell r="Z1049">
            <v>4.7699999999999996</v>
          </cell>
          <cell r="AA1049">
            <v>0</v>
          </cell>
          <cell r="AB1049">
            <v>0</v>
          </cell>
        </row>
        <row r="1050">
          <cell r="G1050" t="str">
            <v>1305_0</v>
          </cell>
          <cell r="H1050" t="str">
            <v/>
          </cell>
          <cell r="I1050" t="str">
            <v>met</v>
          </cell>
          <cell r="V1050" t="str">
            <v>0</v>
          </cell>
          <cell r="Y1050" t="str">
            <v>Pres</v>
          </cell>
          <cell r="Z1050">
            <v>4.03</v>
          </cell>
          <cell r="AA1050">
            <v>0</v>
          </cell>
          <cell r="AB1050">
            <v>0</v>
          </cell>
        </row>
        <row r="1051">
          <cell r="G1051" t="str">
            <v>1305_1</v>
          </cell>
          <cell r="H1051" t="str">
            <v/>
          </cell>
          <cell r="I1051" t="str">
            <v>met</v>
          </cell>
          <cell r="V1051" t="str">
            <v>0</v>
          </cell>
          <cell r="Y1051" t="str">
            <v>Pres</v>
          </cell>
          <cell r="Z1051">
            <v>4.03</v>
          </cell>
          <cell r="AA1051">
            <v>0</v>
          </cell>
          <cell r="AB1051">
            <v>0</v>
          </cell>
        </row>
        <row r="1052">
          <cell r="G1052" t="str">
            <v>1312_0</v>
          </cell>
          <cell r="H1052" t="str">
            <v/>
          </cell>
          <cell r="I1052" t="str">
            <v>met</v>
          </cell>
          <cell r="V1052" t="str">
            <v>0</v>
          </cell>
          <cell r="Y1052" t="str">
            <v>Past</v>
          </cell>
          <cell r="Z1052">
            <v>4.3099999999999996</v>
          </cell>
          <cell r="AA1052">
            <v>0</v>
          </cell>
          <cell r="AB1052">
            <v>0</v>
          </cell>
        </row>
        <row r="1053">
          <cell r="G1053" t="str">
            <v>1312_1</v>
          </cell>
          <cell r="H1053" t="str">
            <v/>
          </cell>
          <cell r="I1053" t="str">
            <v>met</v>
          </cell>
          <cell r="V1053" t="str">
            <v>0</v>
          </cell>
          <cell r="Y1053" t="str">
            <v>Past</v>
          </cell>
          <cell r="Z1053">
            <v>4.3099999999999996</v>
          </cell>
          <cell r="AA1053">
            <v>0</v>
          </cell>
          <cell r="AB1053">
            <v>0</v>
          </cell>
        </row>
        <row r="1054">
          <cell r="G1054" t="str">
            <v>1313_0</v>
          </cell>
          <cell r="H1054" t="str">
            <v/>
          </cell>
          <cell r="I1054" t="str">
            <v>met</v>
          </cell>
          <cell r="V1054" t="str">
            <v>0</v>
          </cell>
          <cell r="Y1054" t="str">
            <v>Past</v>
          </cell>
          <cell r="Z1054">
            <v>3.93</v>
          </cell>
          <cell r="AA1054">
            <v>0</v>
          </cell>
          <cell r="AB1054">
            <v>0</v>
          </cell>
        </row>
        <row r="1055">
          <cell r="G1055" t="str">
            <v>1313_1</v>
          </cell>
          <cell r="H1055" t="str">
            <v/>
          </cell>
          <cell r="I1055" t="str">
            <v>met</v>
          </cell>
          <cell r="V1055" t="str">
            <v>0</v>
          </cell>
          <cell r="Y1055" t="str">
            <v>Past</v>
          </cell>
          <cell r="Z1055">
            <v>3.93</v>
          </cell>
          <cell r="AA1055">
            <v>0</v>
          </cell>
          <cell r="AB1055">
            <v>0</v>
          </cell>
        </row>
        <row r="1056">
          <cell r="G1056" t="str">
            <v>1314_0</v>
          </cell>
          <cell r="H1056" t="str">
            <v>the-of</v>
          </cell>
          <cell r="I1056" t="str">
            <v>sim</v>
          </cell>
          <cell r="V1056" t="str">
            <v>not</v>
          </cell>
          <cell r="Y1056" t="str">
            <v>Past</v>
          </cell>
          <cell r="Z1056">
            <v>4.71</v>
          </cell>
          <cell r="AA1056">
            <v>0</v>
          </cell>
          <cell r="AB1056">
            <v>0</v>
          </cell>
        </row>
        <row r="1057">
          <cell r="G1057" t="str">
            <v>1314_1</v>
          </cell>
          <cell r="H1057" t="str">
            <v>the-of</v>
          </cell>
          <cell r="I1057" t="str">
            <v>sim</v>
          </cell>
          <cell r="V1057" t="str">
            <v>not</v>
          </cell>
          <cell r="Y1057" t="str">
            <v>Past</v>
          </cell>
          <cell r="Z1057">
            <v>4.71</v>
          </cell>
          <cell r="AA1057">
            <v>0</v>
          </cell>
          <cell r="AB1057">
            <v>0</v>
          </cell>
        </row>
        <row r="1058">
          <cell r="G1058" t="str">
            <v>1320_0</v>
          </cell>
          <cell r="H1058" t="str">
            <v>as-as</v>
          </cell>
          <cell r="I1058" t="str">
            <v>sim</v>
          </cell>
          <cell r="V1058" t="str">
            <v>not</v>
          </cell>
          <cell r="Y1058" t="str">
            <v>Pres</v>
          </cell>
          <cell r="Z1058">
            <v>5</v>
          </cell>
          <cell r="AA1058" t="str">
            <v>H</v>
          </cell>
          <cell r="AB1058">
            <v>0</v>
          </cell>
        </row>
        <row r="1059">
          <cell r="G1059" t="str">
            <v>1320_1</v>
          </cell>
          <cell r="H1059" t="str">
            <v>as-as</v>
          </cell>
          <cell r="I1059" t="str">
            <v>sim</v>
          </cell>
          <cell r="V1059" t="str">
            <v>not</v>
          </cell>
          <cell r="Y1059" t="str">
            <v>Pres</v>
          </cell>
          <cell r="Z1059">
            <v>5</v>
          </cell>
          <cell r="AA1059" t="str">
            <v>H</v>
          </cell>
          <cell r="AB1059">
            <v>0</v>
          </cell>
        </row>
        <row r="1060">
          <cell r="G1060" t="str">
            <v>1322_0</v>
          </cell>
          <cell r="H1060" t="str">
            <v/>
          </cell>
          <cell r="I1060" t="str">
            <v>met</v>
          </cell>
          <cell r="V1060" t="str">
            <v>0</v>
          </cell>
          <cell r="Y1060" t="str">
            <v>Pres</v>
          </cell>
          <cell r="Z1060">
            <v>2.9</v>
          </cell>
          <cell r="AA1060">
            <v>0</v>
          </cell>
          <cell r="AB1060">
            <v>0</v>
          </cell>
        </row>
        <row r="1061">
          <cell r="G1061" t="str">
            <v>1322_1</v>
          </cell>
          <cell r="H1061" t="str">
            <v/>
          </cell>
          <cell r="I1061" t="str">
            <v>met</v>
          </cell>
          <cell r="V1061" t="str">
            <v>0</v>
          </cell>
          <cell r="Y1061" t="str">
            <v>Pres</v>
          </cell>
          <cell r="Z1061">
            <v>2.9</v>
          </cell>
          <cell r="AA1061">
            <v>0</v>
          </cell>
          <cell r="AB1061">
            <v>0</v>
          </cell>
        </row>
        <row r="1062">
          <cell r="G1062" t="str">
            <v>1324_0</v>
          </cell>
          <cell r="H1062" t="str">
            <v>as-as</v>
          </cell>
          <cell r="I1062" t="str">
            <v>sim</v>
          </cell>
          <cell r="V1062" t="str">
            <v>not</v>
          </cell>
          <cell r="Y1062" t="str">
            <v>Pres</v>
          </cell>
          <cell r="Z1062">
            <v>2.14</v>
          </cell>
          <cell r="AA1062" t="str">
            <v>L</v>
          </cell>
          <cell r="AB1062">
            <v>1</v>
          </cell>
        </row>
        <row r="1063">
          <cell r="G1063" t="str">
            <v>1324_1</v>
          </cell>
          <cell r="H1063" t="str">
            <v>as-as</v>
          </cell>
          <cell r="I1063" t="str">
            <v>sim</v>
          </cell>
          <cell r="V1063" t="str">
            <v>not</v>
          </cell>
          <cell r="Y1063" t="str">
            <v>Pres</v>
          </cell>
          <cell r="Z1063">
            <v>2.14</v>
          </cell>
          <cell r="AA1063" t="str">
            <v>L</v>
          </cell>
          <cell r="AB1063">
            <v>1</v>
          </cell>
        </row>
        <row r="1064">
          <cell r="G1064" t="str">
            <v>1328_0</v>
          </cell>
          <cell r="H1064" t="str">
            <v>like</v>
          </cell>
          <cell r="I1064" t="str">
            <v>sim</v>
          </cell>
          <cell r="V1064" t="str">
            <v>not neg pair</v>
          </cell>
          <cell r="Y1064" t="str">
            <v>Pres</v>
          </cell>
          <cell r="Z1064">
            <v>3.36</v>
          </cell>
          <cell r="AA1064">
            <v>0</v>
          </cell>
          <cell r="AB1064">
            <v>0</v>
          </cell>
        </row>
        <row r="1065">
          <cell r="G1065" t="str">
            <v>1328_1</v>
          </cell>
          <cell r="H1065" t="str">
            <v>like</v>
          </cell>
          <cell r="I1065" t="str">
            <v>sim</v>
          </cell>
          <cell r="V1065" t="str">
            <v>not neg pair</v>
          </cell>
          <cell r="Y1065" t="str">
            <v>Pres</v>
          </cell>
          <cell r="Z1065">
            <v>3.36</v>
          </cell>
          <cell r="AA1065">
            <v>0</v>
          </cell>
          <cell r="AB1065">
            <v>0</v>
          </cell>
        </row>
        <row r="1066">
          <cell r="G1066" t="str">
            <v>1331_0</v>
          </cell>
          <cell r="H1066" t="str">
            <v>like</v>
          </cell>
          <cell r="I1066" t="str">
            <v>sim</v>
          </cell>
          <cell r="V1066" t="str">
            <v>not neg pair</v>
          </cell>
          <cell r="Y1066" t="str">
            <v>Pres</v>
          </cell>
          <cell r="Z1066">
            <v>3.36</v>
          </cell>
          <cell r="AA1066">
            <v>0</v>
          </cell>
          <cell r="AB1066">
            <v>0</v>
          </cell>
        </row>
        <row r="1067">
          <cell r="G1067" t="str">
            <v>1331_1</v>
          </cell>
          <cell r="H1067" t="str">
            <v>like</v>
          </cell>
          <cell r="I1067" t="str">
            <v>sim</v>
          </cell>
          <cell r="V1067" t="str">
            <v>not neg pair</v>
          </cell>
          <cell r="Y1067" t="str">
            <v>Past</v>
          </cell>
          <cell r="Z1067">
            <v>3.36</v>
          </cell>
          <cell r="AA1067">
            <v>0</v>
          </cell>
          <cell r="AB1067">
            <v>0</v>
          </cell>
        </row>
        <row r="1068">
          <cell r="G1068" t="str">
            <v>1334_0</v>
          </cell>
          <cell r="H1068" t="str">
            <v>like</v>
          </cell>
          <cell r="I1068" t="str">
            <v>sim</v>
          </cell>
          <cell r="V1068" t="str">
            <v>not neg pair</v>
          </cell>
          <cell r="Y1068" t="str">
            <v>Pres</v>
          </cell>
          <cell r="Z1068">
            <v>2.0699999999999998</v>
          </cell>
          <cell r="AA1068" t="str">
            <v>L</v>
          </cell>
          <cell r="AB1068">
            <v>0</v>
          </cell>
        </row>
        <row r="1069">
          <cell r="G1069" t="str">
            <v>1334_1</v>
          </cell>
          <cell r="H1069" t="str">
            <v>like</v>
          </cell>
          <cell r="I1069" t="str">
            <v>sim</v>
          </cell>
          <cell r="V1069" t="str">
            <v>not neg pair</v>
          </cell>
          <cell r="Y1069" t="str">
            <v>Pres</v>
          </cell>
          <cell r="Z1069">
            <v>2.0699999999999998</v>
          </cell>
          <cell r="AA1069" t="str">
            <v>L</v>
          </cell>
          <cell r="AB1069">
            <v>0</v>
          </cell>
        </row>
        <row r="1070">
          <cell r="G1070" t="str">
            <v>1337_0</v>
          </cell>
          <cell r="H1070" t="str">
            <v>as-as</v>
          </cell>
          <cell r="I1070" t="str">
            <v>sim</v>
          </cell>
          <cell r="V1070" t="str">
            <v>not</v>
          </cell>
          <cell r="Y1070" t="str">
            <v>Pres</v>
          </cell>
          <cell r="Z1070">
            <v>4.9000000000000004</v>
          </cell>
          <cell r="AA1070">
            <v>0</v>
          </cell>
          <cell r="AB1070">
            <v>1</v>
          </cell>
        </row>
        <row r="1071">
          <cell r="G1071" t="str">
            <v>1337_1</v>
          </cell>
          <cell r="H1071" t="str">
            <v>as-as</v>
          </cell>
          <cell r="I1071" t="str">
            <v>sim</v>
          </cell>
          <cell r="V1071" t="str">
            <v>not</v>
          </cell>
          <cell r="Y1071" t="str">
            <v>Pres</v>
          </cell>
          <cell r="Z1071">
            <v>4.9000000000000004</v>
          </cell>
          <cell r="AA1071">
            <v>0</v>
          </cell>
          <cell r="AB1071">
            <v>1</v>
          </cell>
        </row>
        <row r="1072">
          <cell r="G1072" t="str">
            <v>1346_0</v>
          </cell>
          <cell r="H1072" t="str">
            <v>as-as</v>
          </cell>
          <cell r="I1072" t="str">
            <v>sim</v>
          </cell>
          <cell r="V1072" t="str">
            <v>antonym</v>
          </cell>
          <cell r="Y1072" t="str">
            <v>Pres</v>
          </cell>
          <cell r="Z1072">
            <v>4.8499999999999996</v>
          </cell>
          <cell r="AA1072">
            <v>0</v>
          </cell>
          <cell r="AB1072">
            <v>0</v>
          </cell>
        </row>
        <row r="1073">
          <cell r="G1073" t="str">
            <v>1346_1</v>
          </cell>
          <cell r="H1073" t="str">
            <v>as-as</v>
          </cell>
          <cell r="I1073" t="str">
            <v>sim</v>
          </cell>
          <cell r="V1073" t="str">
            <v>antonym</v>
          </cell>
          <cell r="Y1073" t="str">
            <v>Pres</v>
          </cell>
          <cell r="Z1073">
            <v>4.8499999999999996</v>
          </cell>
          <cell r="AA1073">
            <v>0</v>
          </cell>
          <cell r="AB1073">
            <v>0</v>
          </cell>
        </row>
        <row r="1074">
          <cell r="G1074" t="str">
            <v>1352_0</v>
          </cell>
          <cell r="H1074" t="str">
            <v>the-of</v>
          </cell>
          <cell r="I1074" t="str">
            <v>sim</v>
          </cell>
          <cell r="V1074" t="str">
            <v>not</v>
          </cell>
          <cell r="Y1074" t="str">
            <v>Pres</v>
          </cell>
          <cell r="Z1074">
            <v>4.9000000000000004</v>
          </cell>
          <cell r="AA1074">
            <v>0</v>
          </cell>
          <cell r="AB1074">
            <v>1</v>
          </cell>
        </row>
        <row r="1075">
          <cell r="G1075" t="str">
            <v>1352_1</v>
          </cell>
          <cell r="H1075" t="str">
            <v>the-of</v>
          </cell>
          <cell r="I1075" t="str">
            <v>sim</v>
          </cell>
          <cell r="V1075" t="str">
            <v>not</v>
          </cell>
          <cell r="Y1075" t="str">
            <v>Pres</v>
          </cell>
          <cell r="Z1075">
            <v>4.9000000000000004</v>
          </cell>
          <cell r="AA1075">
            <v>0</v>
          </cell>
          <cell r="AB1075">
            <v>1</v>
          </cell>
        </row>
        <row r="1076">
          <cell r="G1076" t="str">
            <v>1354_0</v>
          </cell>
          <cell r="H1076" t="str">
            <v>as-as</v>
          </cell>
          <cell r="I1076" t="str">
            <v>sim</v>
          </cell>
          <cell r="V1076" t="str">
            <v>antonym</v>
          </cell>
          <cell r="Y1076" t="str">
            <v>Pres</v>
          </cell>
          <cell r="Z1076">
            <v>3.93</v>
          </cell>
          <cell r="AA1076">
            <v>0</v>
          </cell>
          <cell r="AB1076">
            <v>0</v>
          </cell>
        </row>
        <row r="1077">
          <cell r="G1077" t="str">
            <v>1354_1</v>
          </cell>
          <cell r="H1077" t="str">
            <v>as-as</v>
          </cell>
          <cell r="I1077" t="str">
            <v>sim</v>
          </cell>
          <cell r="V1077" t="str">
            <v>antonym</v>
          </cell>
          <cell r="Y1077" t="str">
            <v>Pres</v>
          </cell>
          <cell r="Z1077">
            <v>3.93</v>
          </cell>
          <cell r="AA1077">
            <v>0</v>
          </cell>
          <cell r="AB1077">
            <v>0</v>
          </cell>
        </row>
        <row r="1078">
          <cell r="G1078" t="str">
            <v>1356_0</v>
          </cell>
          <cell r="H1078" t="str">
            <v>the-of</v>
          </cell>
          <cell r="I1078" t="str">
            <v>sim</v>
          </cell>
          <cell r="V1078" t="str">
            <v>not neg pair</v>
          </cell>
          <cell r="Y1078" t="str">
            <v>Pres</v>
          </cell>
          <cell r="Z1078">
            <v>4.67</v>
          </cell>
          <cell r="AA1078">
            <v>0</v>
          </cell>
          <cell r="AB1078">
            <v>0</v>
          </cell>
        </row>
        <row r="1079">
          <cell r="G1079" t="str">
            <v>1356_1</v>
          </cell>
          <cell r="H1079" t="str">
            <v>the-of</v>
          </cell>
          <cell r="I1079" t="str">
            <v>sim</v>
          </cell>
          <cell r="V1079" t="str">
            <v>not neg pair</v>
          </cell>
          <cell r="Y1079" t="str">
            <v>Pres</v>
          </cell>
          <cell r="Z1079">
            <v>4.67</v>
          </cell>
          <cell r="AA1079">
            <v>0</v>
          </cell>
          <cell r="AB1079">
            <v>0</v>
          </cell>
        </row>
        <row r="1080">
          <cell r="G1080" t="str">
            <v>1360_0</v>
          </cell>
          <cell r="H1080" t="str">
            <v>the-of</v>
          </cell>
          <cell r="I1080" t="str">
            <v>sim</v>
          </cell>
          <cell r="V1080" t="str">
            <v>not neg pair</v>
          </cell>
          <cell r="Y1080" t="str">
            <v>Pres</v>
          </cell>
          <cell r="Z1080">
            <v>2.83</v>
          </cell>
          <cell r="AA1080">
            <v>0</v>
          </cell>
          <cell r="AB1080">
            <v>0</v>
          </cell>
        </row>
        <row r="1081">
          <cell r="G1081" t="str">
            <v>1360_1</v>
          </cell>
          <cell r="H1081" t="str">
            <v>the-of</v>
          </cell>
          <cell r="I1081" t="str">
            <v>sim</v>
          </cell>
          <cell r="V1081" t="str">
            <v>not neg pair</v>
          </cell>
          <cell r="Y1081" t="str">
            <v>Pres</v>
          </cell>
          <cell r="Z1081">
            <v>2.83</v>
          </cell>
          <cell r="AA1081">
            <v>0</v>
          </cell>
          <cell r="AB1081">
            <v>0</v>
          </cell>
        </row>
        <row r="1082">
          <cell r="G1082" t="str">
            <v>1361_0</v>
          </cell>
          <cell r="H1082" t="str">
            <v>the-of</v>
          </cell>
          <cell r="I1082" t="str">
            <v>sim</v>
          </cell>
          <cell r="V1082" t="str">
            <v>not</v>
          </cell>
          <cell r="Y1082" t="str">
            <v>Pres</v>
          </cell>
          <cell r="Z1082">
            <v>3.79</v>
          </cell>
          <cell r="AA1082">
            <v>0</v>
          </cell>
          <cell r="AB1082">
            <v>1</v>
          </cell>
        </row>
        <row r="1083">
          <cell r="G1083" t="str">
            <v>1361_1</v>
          </cell>
          <cell r="H1083" t="str">
            <v>the-of</v>
          </cell>
          <cell r="I1083" t="str">
            <v>sim</v>
          </cell>
          <cell r="V1083" t="str">
            <v>not</v>
          </cell>
          <cell r="Y1083" t="str">
            <v>Pres</v>
          </cell>
          <cell r="Z1083">
            <v>3.79</v>
          </cell>
          <cell r="AA1083">
            <v>0</v>
          </cell>
          <cell r="AB1083">
            <v>1</v>
          </cell>
        </row>
        <row r="1084">
          <cell r="G1084" t="str">
            <v>1363_0</v>
          </cell>
          <cell r="H1084" t="str">
            <v>the-of</v>
          </cell>
          <cell r="I1084" t="str">
            <v>sim</v>
          </cell>
          <cell r="V1084" t="str">
            <v>not neg pair</v>
          </cell>
          <cell r="Y1084" t="str">
            <v>Pres</v>
          </cell>
          <cell r="Z1084">
            <v>4.8600000000000003</v>
          </cell>
          <cell r="AA1084">
            <v>0</v>
          </cell>
          <cell r="AB1084">
            <v>0</v>
          </cell>
        </row>
        <row r="1085">
          <cell r="G1085" t="str">
            <v>1363_1</v>
          </cell>
          <cell r="H1085" t="str">
            <v>the-of</v>
          </cell>
          <cell r="I1085" t="str">
            <v>sim</v>
          </cell>
          <cell r="V1085" t="str">
            <v>not neg pair</v>
          </cell>
          <cell r="Y1085" t="str">
            <v>Pres</v>
          </cell>
          <cell r="Z1085">
            <v>4.8600000000000003</v>
          </cell>
          <cell r="AA1085">
            <v>0</v>
          </cell>
          <cell r="AB1085">
            <v>0</v>
          </cell>
        </row>
        <row r="1086">
          <cell r="G1086" t="str">
            <v>1367_0</v>
          </cell>
          <cell r="H1086" t="str">
            <v>as-as</v>
          </cell>
          <cell r="I1086" t="str">
            <v>sim</v>
          </cell>
          <cell r="V1086" t="str">
            <v>not neg pair</v>
          </cell>
          <cell r="Y1086" t="str">
            <v>Past</v>
          </cell>
          <cell r="Z1086">
            <v>4.8499999999999996</v>
          </cell>
          <cell r="AA1086">
            <v>0</v>
          </cell>
          <cell r="AB1086">
            <v>0</v>
          </cell>
        </row>
        <row r="1087">
          <cell r="G1087" t="str">
            <v>1367_1</v>
          </cell>
          <cell r="H1087" t="str">
            <v>as-as</v>
          </cell>
          <cell r="I1087" t="str">
            <v>sim</v>
          </cell>
          <cell r="V1087" t="str">
            <v>not neg pair</v>
          </cell>
          <cell r="Y1087" t="str">
            <v>Past</v>
          </cell>
          <cell r="Z1087">
            <v>4.8499999999999996</v>
          </cell>
          <cell r="AA1087">
            <v>0</v>
          </cell>
          <cell r="AB1087">
            <v>0</v>
          </cell>
        </row>
        <row r="1088">
          <cell r="G1088" t="str">
            <v>1374_0</v>
          </cell>
          <cell r="H1088" t="str">
            <v>as-as</v>
          </cell>
          <cell r="I1088" t="str">
            <v>sim</v>
          </cell>
          <cell r="V1088" t="str">
            <v>antonym</v>
          </cell>
          <cell r="Y1088" t="str">
            <v>Pres</v>
          </cell>
          <cell r="Z1088">
            <v>3.93</v>
          </cell>
          <cell r="AA1088">
            <v>0</v>
          </cell>
          <cell r="AB1088">
            <v>1</v>
          </cell>
        </row>
        <row r="1089">
          <cell r="G1089" t="str">
            <v>1374_1</v>
          </cell>
          <cell r="H1089" t="str">
            <v>as-as</v>
          </cell>
          <cell r="I1089" t="str">
            <v>sim</v>
          </cell>
          <cell r="V1089" t="str">
            <v>antonym</v>
          </cell>
          <cell r="Y1089" t="str">
            <v>Pres</v>
          </cell>
          <cell r="Z1089">
            <v>3.93</v>
          </cell>
          <cell r="AA1089">
            <v>0</v>
          </cell>
          <cell r="AB1089">
            <v>1</v>
          </cell>
        </row>
        <row r="1090">
          <cell r="G1090" t="str">
            <v>1378_0</v>
          </cell>
          <cell r="H1090" t="str">
            <v/>
          </cell>
          <cell r="I1090" t="str">
            <v>met</v>
          </cell>
          <cell r="V1090" t="str">
            <v>0</v>
          </cell>
          <cell r="Y1090" t="str">
            <v>Pres</v>
          </cell>
          <cell r="Z1090">
            <v>4.8499999999999996</v>
          </cell>
          <cell r="AA1090">
            <v>0</v>
          </cell>
          <cell r="AB1090">
            <v>0</v>
          </cell>
        </row>
        <row r="1091">
          <cell r="G1091" t="str">
            <v>1378_1</v>
          </cell>
          <cell r="H1091" t="str">
            <v/>
          </cell>
          <cell r="I1091" t="str">
            <v>met</v>
          </cell>
          <cell r="V1091" t="str">
            <v>0</v>
          </cell>
          <cell r="Y1091" t="str">
            <v>Pres</v>
          </cell>
          <cell r="Z1091">
            <v>4.8499999999999996</v>
          </cell>
          <cell r="AA1091">
            <v>0</v>
          </cell>
          <cell r="AB1091">
            <v>0</v>
          </cell>
        </row>
        <row r="1092">
          <cell r="G1092" t="str">
            <v>1381_0</v>
          </cell>
          <cell r="H1092" t="str">
            <v/>
          </cell>
          <cell r="I1092" t="str">
            <v>met</v>
          </cell>
          <cell r="V1092" t="str">
            <v>0</v>
          </cell>
          <cell r="Y1092" t="str">
            <v>Past</v>
          </cell>
          <cell r="Z1092">
            <v>5</v>
          </cell>
          <cell r="AA1092" t="str">
            <v>H</v>
          </cell>
          <cell r="AB1092">
            <v>0</v>
          </cell>
        </row>
        <row r="1093">
          <cell r="G1093" t="str">
            <v>1381_1</v>
          </cell>
          <cell r="H1093" t="str">
            <v/>
          </cell>
          <cell r="I1093" t="str">
            <v>met</v>
          </cell>
          <cell r="V1093" t="str">
            <v>0</v>
          </cell>
          <cell r="Y1093" t="str">
            <v>Past</v>
          </cell>
          <cell r="Z1093">
            <v>5</v>
          </cell>
          <cell r="AA1093" t="str">
            <v>H</v>
          </cell>
          <cell r="AB1093">
            <v>0</v>
          </cell>
        </row>
        <row r="1094">
          <cell r="G1094" t="str">
            <v>1382_0</v>
          </cell>
          <cell r="H1094" t="str">
            <v>like</v>
          </cell>
          <cell r="I1094" t="str">
            <v>sim</v>
          </cell>
          <cell r="V1094" t="str">
            <v>not neg pair</v>
          </cell>
          <cell r="Y1094" t="str">
            <v>Pres</v>
          </cell>
          <cell r="Z1094">
            <v>2.85</v>
          </cell>
          <cell r="AA1094">
            <v>0</v>
          </cell>
          <cell r="AB1094">
            <v>0</v>
          </cell>
        </row>
        <row r="1095">
          <cell r="G1095" t="str">
            <v>1382_1</v>
          </cell>
          <cell r="H1095" t="str">
            <v>like</v>
          </cell>
          <cell r="I1095" t="str">
            <v>sim</v>
          </cell>
          <cell r="V1095" t="str">
            <v>not neg pair</v>
          </cell>
          <cell r="Y1095" t="str">
            <v>Pres</v>
          </cell>
          <cell r="Z1095">
            <v>2.85</v>
          </cell>
          <cell r="AA1095">
            <v>0</v>
          </cell>
          <cell r="AB1095">
            <v>0</v>
          </cell>
        </row>
        <row r="1096">
          <cell r="G1096" t="str">
            <v>1386_0</v>
          </cell>
          <cell r="H1096" t="str">
            <v>the-of</v>
          </cell>
          <cell r="I1096" t="str">
            <v>sim</v>
          </cell>
          <cell r="V1096" t="str">
            <v>not neg pair</v>
          </cell>
          <cell r="Y1096" t="str">
            <v>Pres</v>
          </cell>
          <cell r="Z1096">
            <v>4.83</v>
          </cell>
          <cell r="AA1096">
            <v>0</v>
          </cell>
          <cell r="AB1096">
            <v>0</v>
          </cell>
        </row>
        <row r="1097">
          <cell r="G1097" t="str">
            <v>1386_1</v>
          </cell>
          <cell r="H1097" t="str">
            <v>the-of</v>
          </cell>
          <cell r="I1097" t="str">
            <v>sim</v>
          </cell>
          <cell r="V1097" t="str">
            <v>not neg pair</v>
          </cell>
          <cell r="Y1097" t="str">
            <v>Pres</v>
          </cell>
          <cell r="Z1097">
            <v>4.83</v>
          </cell>
          <cell r="AA1097">
            <v>0</v>
          </cell>
          <cell r="AB1097">
            <v>0</v>
          </cell>
        </row>
        <row r="1098">
          <cell r="G1098" t="str">
            <v>1387_0</v>
          </cell>
          <cell r="H1098" t="str">
            <v/>
          </cell>
          <cell r="I1098" t="str">
            <v>met</v>
          </cell>
          <cell r="V1098" t="str">
            <v>0</v>
          </cell>
          <cell r="Y1098" t="str">
            <v>Pres</v>
          </cell>
          <cell r="Z1098">
            <v>4.46</v>
          </cell>
          <cell r="AA1098">
            <v>0</v>
          </cell>
          <cell r="AB1098">
            <v>0</v>
          </cell>
        </row>
        <row r="1099">
          <cell r="G1099" t="str">
            <v>1387_1</v>
          </cell>
          <cell r="H1099" t="str">
            <v>the-of</v>
          </cell>
          <cell r="I1099" t="str">
            <v>sim</v>
          </cell>
          <cell r="V1099" t="str">
            <v>0</v>
          </cell>
          <cell r="Y1099" t="str">
            <v>Pres</v>
          </cell>
          <cell r="Z1099">
            <v>4.46</v>
          </cell>
          <cell r="AA1099">
            <v>0</v>
          </cell>
          <cell r="AB1099">
            <v>0</v>
          </cell>
        </row>
        <row r="1100">
          <cell r="G1100" t="str">
            <v>1388_0</v>
          </cell>
          <cell r="H1100" t="str">
            <v>as-as</v>
          </cell>
          <cell r="I1100" t="str">
            <v>sim</v>
          </cell>
          <cell r="V1100" t="str">
            <v>antonym</v>
          </cell>
          <cell r="Y1100" t="str">
            <v>Pres</v>
          </cell>
          <cell r="Z1100">
            <v>3.03</v>
          </cell>
          <cell r="AA1100">
            <v>0</v>
          </cell>
          <cell r="AB1100">
            <v>0</v>
          </cell>
        </row>
        <row r="1101">
          <cell r="G1101" t="str">
            <v>1388_1</v>
          </cell>
          <cell r="H1101" t="str">
            <v>as-as</v>
          </cell>
          <cell r="I1101" t="str">
            <v>sim</v>
          </cell>
          <cell r="V1101" t="str">
            <v>antonym</v>
          </cell>
          <cell r="Y1101" t="str">
            <v>Pres</v>
          </cell>
          <cell r="Z1101">
            <v>3.03</v>
          </cell>
          <cell r="AA1101">
            <v>0</v>
          </cell>
          <cell r="AB1101">
            <v>0</v>
          </cell>
        </row>
        <row r="1102">
          <cell r="G1102" t="str">
            <v>1389_0</v>
          </cell>
          <cell r="H1102" t="str">
            <v>the-of</v>
          </cell>
          <cell r="I1102" t="str">
            <v>sim</v>
          </cell>
          <cell r="V1102" t="str">
            <v>not</v>
          </cell>
          <cell r="Y1102" t="str">
            <v>Pres</v>
          </cell>
          <cell r="Z1102">
            <v>3.93</v>
          </cell>
          <cell r="AA1102">
            <v>0</v>
          </cell>
          <cell r="AB1102">
            <v>0</v>
          </cell>
        </row>
        <row r="1103">
          <cell r="G1103" t="str">
            <v>1389_1</v>
          </cell>
          <cell r="H1103" t="str">
            <v>the-of</v>
          </cell>
          <cell r="I1103" t="str">
            <v>sim</v>
          </cell>
          <cell r="V1103" t="str">
            <v>not</v>
          </cell>
          <cell r="Y1103" t="str">
            <v>Pres</v>
          </cell>
          <cell r="Z1103">
            <v>3.93</v>
          </cell>
          <cell r="AA1103">
            <v>0</v>
          </cell>
          <cell r="AB1103">
            <v>0</v>
          </cell>
        </row>
        <row r="1104">
          <cell r="G1104" t="str">
            <v>1395_0</v>
          </cell>
          <cell r="H1104" t="str">
            <v>like</v>
          </cell>
          <cell r="I1104" t="str">
            <v>sim</v>
          </cell>
          <cell r="V1104" t="str">
            <v>not neg pair</v>
          </cell>
          <cell r="Y1104" t="str">
            <v>Past</v>
          </cell>
          <cell r="Z1104">
            <v>4.67</v>
          </cell>
          <cell r="AA1104">
            <v>0</v>
          </cell>
          <cell r="AB1104">
            <v>0</v>
          </cell>
        </row>
        <row r="1105">
          <cell r="G1105" t="str">
            <v>1395_1</v>
          </cell>
          <cell r="H1105" t="str">
            <v>like</v>
          </cell>
          <cell r="I1105" t="str">
            <v>sim</v>
          </cell>
          <cell r="V1105" t="str">
            <v>not neg pair</v>
          </cell>
          <cell r="Y1105" t="str">
            <v>Past</v>
          </cell>
          <cell r="Z1105">
            <v>4.67</v>
          </cell>
          <cell r="AA1105">
            <v>0</v>
          </cell>
          <cell r="AB1105">
            <v>0</v>
          </cell>
        </row>
        <row r="1106">
          <cell r="G1106" t="str">
            <v>1396_0</v>
          </cell>
          <cell r="H1106" t="str">
            <v>like</v>
          </cell>
          <cell r="I1106" t="str">
            <v>sim</v>
          </cell>
          <cell r="V1106" t="str">
            <v>not neg pair</v>
          </cell>
          <cell r="Y1106" t="str">
            <v>Pres</v>
          </cell>
          <cell r="Z1106">
            <v>4.57</v>
          </cell>
          <cell r="AA1106">
            <v>0</v>
          </cell>
          <cell r="AB1106">
            <v>0</v>
          </cell>
        </row>
        <row r="1107">
          <cell r="G1107" t="str">
            <v>1396_1</v>
          </cell>
          <cell r="H1107" t="str">
            <v>like</v>
          </cell>
          <cell r="I1107" t="str">
            <v>sim</v>
          </cell>
          <cell r="V1107" t="str">
            <v>not neg pair</v>
          </cell>
          <cell r="Y1107" t="str">
            <v>Pres</v>
          </cell>
          <cell r="Z1107">
            <v>4.57</v>
          </cell>
          <cell r="AA1107">
            <v>0</v>
          </cell>
          <cell r="AB1107">
            <v>0</v>
          </cell>
        </row>
        <row r="1108">
          <cell r="G1108" t="str">
            <v>1397_0</v>
          </cell>
          <cell r="H1108" t="str">
            <v>as-as</v>
          </cell>
          <cell r="I1108" t="str">
            <v>sim</v>
          </cell>
          <cell r="V1108" t="str">
            <v>antonym</v>
          </cell>
          <cell r="Y1108" t="str">
            <v>Pres</v>
          </cell>
          <cell r="Z1108">
            <v>3.58</v>
          </cell>
          <cell r="AA1108">
            <v>0</v>
          </cell>
          <cell r="AB1108">
            <v>0</v>
          </cell>
        </row>
        <row r="1109">
          <cell r="G1109" t="str">
            <v>1397_1</v>
          </cell>
          <cell r="H1109" t="str">
            <v>as-as</v>
          </cell>
          <cell r="I1109" t="str">
            <v>sim</v>
          </cell>
          <cell r="V1109" t="str">
            <v>antonym</v>
          </cell>
          <cell r="Y1109" t="str">
            <v>Pres</v>
          </cell>
          <cell r="Z1109">
            <v>3.58</v>
          </cell>
          <cell r="AA1109">
            <v>0</v>
          </cell>
          <cell r="AB1109">
            <v>0</v>
          </cell>
        </row>
        <row r="1110">
          <cell r="G1110" t="str">
            <v>1398_0</v>
          </cell>
          <cell r="H1110" t="str">
            <v/>
          </cell>
          <cell r="I1110" t="str">
            <v>met</v>
          </cell>
          <cell r="V1110" t="str">
            <v>0</v>
          </cell>
          <cell r="Y1110">
            <v>0</v>
          </cell>
          <cell r="Z1110">
            <v>3.7</v>
          </cell>
          <cell r="AA1110">
            <v>0</v>
          </cell>
          <cell r="AB1110">
            <v>0</v>
          </cell>
        </row>
        <row r="1111">
          <cell r="G1111" t="str">
            <v>1398_1</v>
          </cell>
          <cell r="H1111" t="str">
            <v/>
          </cell>
          <cell r="I1111" t="str">
            <v>met</v>
          </cell>
          <cell r="V1111" t="str">
            <v>0</v>
          </cell>
          <cell r="Y1111">
            <v>0</v>
          </cell>
          <cell r="Z1111">
            <v>3.7</v>
          </cell>
          <cell r="AA1111">
            <v>0</v>
          </cell>
          <cell r="AB1111">
            <v>0</v>
          </cell>
        </row>
        <row r="1112">
          <cell r="G1112" t="str">
            <v>1402_0</v>
          </cell>
          <cell r="H1112" t="str">
            <v>as-as</v>
          </cell>
          <cell r="I1112" t="str">
            <v>sim</v>
          </cell>
          <cell r="V1112" t="str">
            <v>not neg pair</v>
          </cell>
          <cell r="Y1112" t="str">
            <v>Past</v>
          </cell>
          <cell r="Z1112">
            <v>3.14</v>
          </cell>
          <cell r="AA1112">
            <v>0</v>
          </cell>
          <cell r="AB1112">
            <v>0</v>
          </cell>
        </row>
        <row r="1113">
          <cell r="G1113" t="str">
            <v>1402_1</v>
          </cell>
          <cell r="H1113" t="str">
            <v>as-as</v>
          </cell>
          <cell r="I1113" t="str">
            <v>sim</v>
          </cell>
          <cell r="V1113" t="str">
            <v>not neg pair</v>
          </cell>
          <cell r="Y1113" t="str">
            <v>Past</v>
          </cell>
          <cell r="Z1113">
            <v>3.14</v>
          </cell>
          <cell r="AA1113">
            <v>0</v>
          </cell>
          <cell r="AB1113">
            <v>0</v>
          </cell>
        </row>
        <row r="1114">
          <cell r="G1114" t="str">
            <v>1406_0</v>
          </cell>
          <cell r="H1114" t="str">
            <v>as-as</v>
          </cell>
          <cell r="I1114" t="str">
            <v>sim</v>
          </cell>
          <cell r="V1114" t="str">
            <v>antonym</v>
          </cell>
          <cell r="Y1114" t="str">
            <v>Pres</v>
          </cell>
          <cell r="Z1114">
            <v>4.96</v>
          </cell>
          <cell r="AA1114" t="str">
            <v>H</v>
          </cell>
          <cell r="AB1114">
            <v>0</v>
          </cell>
        </row>
        <row r="1115">
          <cell r="G1115" t="str">
            <v>1406_1</v>
          </cell>
          <cell r="H1115" t="str">
            <v>as-as</v>
          </cell>
          <cell r="I1115" t="str">
            <v>sim</v>
          </cell>
          <cell r="V1115" t="str">
            <v>antonym</v>
          </cell>
          <cell r="Y1115" t="str">
            <v>Pres</v>
          </cell>
          <cell r="Z1115">
            <v>4.96</v>
          </cell>
          <cell r="AA1115" t="str">
            <v>H</v>
          </cell>
          <cell r="AB1115">
            <v>0</v>
          </cell>
        </row>
        <row r="1116">
          <cell r="G1116" t="str">
            <v>1409_0</v>
          </cell>
          <cell r="H1116" t="str">
            <v>the-of</v>
          </cell>
          <cell r="I1116" t="str">
            <v>sim</v>
          </cell>
          <cell r="V1116" t="str">
            <v>not</v>
          </cell>
          <cell r="Y1116" t="str">
            <v>Pres</v>
          </cell>
          <cell r="Z1116">
            <v>4.79</v>
          </cell>
          <cell r="AA1116">
            <v>0</v>
          </cell>
          <cell r="AB1116">
            <v>1</v>
          </cell>
        </row>
        <row r="1117">
          <cell r="G1117" t="str">
            <v>1409_1</v>
          </cell>
          <cell r="H1117" t="str">
            <v>the-of</v>
          </cell>
          <cell r="I1117" t="str">
            <v>sim</v>
          </cell>
          <cell r="V1117" t="str">
            <v>not</v>
          </cell>
          <cell r="Y1117" t="str">
            <v>Pres</v>
          </cell>
          <cell r="Z1117">
            <v>4.79</v>
          </cell>
          <cell r="AA1117">
            <v>0</v>
          </cell>
          <cell r="AB1117">
            <v>1</v>
          </cell>
        </row>
        <row r="1118">
          <cell r="G1118" t="str">
            <v>1410_0</v>
          </cell>
          <cell r="H1118" t="str">
            <v>as-as</v>
          </cell>
          <cell r="I1118" t="str">
            <v>sim</v>
          </cell>
          <cell r="V1118" t="str">
            <v>antonym</v>
          </cell>
          <cell r="Y1118" t="str">
            <v>Past</v>
          </cell>
          <cell r="Z1118">
            <v>3.93</v>
          </cell>
          <cell r="AA1118">
            <v>0</v>
          </cell>
          <cell r="AB1118">
            <v>1</v>
          </cell>
        </row>
        <row r="1119">
          <cell r="G1119" t="str">
            <v>1410_1</v>
          </cell>
          <cell r="H1119" t="str">
            <v>as-as</v>
          </cell>
          <cell r="I1119" t="str">
            <v>sim</v>
          </cell>
          <cell r="V1119" t="str">
            <v>antonym</v>
          </cell>
          <cell r="Y1119" t="str">
            <v>Past</v>
          </cell>
          <cell r="Z1119">
            <v>3.93</v>
          </cell>
          <cell r="AA1119">
            <v>0</v>
          </cell>
          <cell r="AB1119">
            <v>1</v>
          </cell>
        </row>
        <row r="1120">
          <cell r="G1120" t="str">
            <v>1417_0</v>
          </cell>
          <cell r="H1120" t="str">
            <v>like</v>
          </cell>
          <cell r="I1120" t="str">
            <v>sim</v>
          </cell>
          <cell r="V1120" t="str">
            <v>not neg pair</v>
          </cell>
          <cell r="Y1120" t="str">
            <v>Pres</v>
          </cell>
          <cell r="Z1120">
            <v>4.8099999999999996</v>
          </cell>
          <cell r="AA1120">
            <v>0</v>
          </cell>
          <cell r="AB1120">
            <v>0</v>
          </cell>
        </row>
        <row r="1121">
          <cell r="G1121" t="str">
            <v>1417_1</v>
          </cell>
          <cell r="H1121" t="str">
            <v>like</v>
          </cell>
          <cell r="I1121" t="str">
            <v>sim</v>
          </cell>
          <cell r="V1121" t="str">
            <v>not neg pair</v>
          </cell>
          <cell r="Y1121" t="str">
            <v>Pres</v>
          </cell>
          <cell r="Z1121">
            <v>4.8099999999999996</v>
          </cell>
          <cell r="AA1121">
            <v>0</v>
          </cell>
          <cell r="AB1121">
            <v>0</v>
          </cell>
        </row>
        <row r="1122">
          <cell r="G1122" t="str">
            <v>1418_0</v>
          </cell>
          <cell r="H1122" t="str">
            <v>as-as</v>
          </cell>
          <cell r="I1122" t="str">
            <v>sim</v>
          </cell>
          <cell r="V1122" t="str">
            <v>antonym</v>
          </cell>
          <cell r="Y1122" t="str">
            <v>Pres</v>
          </cell>
          <cell r="Z1122">
            <v>4.58</v>
          </cell>
          <cell r="AA1122">
            <v>0</v>
          </cell>
          <cell r="AB1122">
            <v>0</v>
          </cell>
        </row>
        <row r="1123">
          <cell r="G1123" t="str">
            <v>1418_1</v>
          </cell>
          <cell r="H1123" t="str">
            <v>as-as</v>
          </cell>
          <cell r="I1123" t="str">
            <v>sim</v>
          </cell>
          <cell r="V1123" t="str">
            <v>antonym</v>
          </cell>
          <cell r="Y1123" t="str">
            <v>Pres</v>
          </cell>
          <cell r="Z1123">
            <v>4.58</v>
          </cell>
          <cell r="AA1123">
            <v>0</v>
          </cell>
          <cell r="AB1123">
            <v>0</v>
          </cell>
        </row>
        <row r="1124">
          <cell r="G1124" t="str">
            <v>1420_0</v>
          </cell>
          <cell r="H1124" t="str">
            <v>the-of</v>
          </cell>
          <cell r="I1124" t="str">
            <v>sim</v>
          </cell>
          <cell r="V1124" t="str">
            <v>not neg pair</v>
          </cell>
          <cell r="Y1124" t="str">
            <v>Pres</v>
          </cell>
          <cell r="Z1124">
            <v>4.72</v>
          </cell>
          <cell r="AA1124">
            <v>0</v>
          </cell>
          <cell r="AB1124">
            <v>0</v>
          </cell>
        </row>
        <row r="1125">
          <cell r="G1125" t="str">
            <v>1420_1</v>
          </cell>
          <cell r="H1125" t="str">
            <v>the-of</v>
          </cell>
          <cell r="I1125" t="str">
            <v>sim</v>
          </cell>
          <cell r="V1125" t="str">
            <v>not neg pair</v>
          </cell>
          <cell r="Y1125" t="str">
            <v>Pres</v>
          </cell>
          <cell r="Z1125">
            <v>4.72</v>
          </cell>
          <cell r="AA1125">
            <v>0</v>
          </cell>
          <cell r="AB1125">
            <v>0</v>
          </cell>
        </row>
        <row r="1126">
          <cell r="G1126" t="str">
            <v>1424_0</v>
          </cell>
          <cell r="H1126" t="str">
            <v/>
          </cell>
          <cell r="I1126" t="str">
            <v>met</v>
          </cell>
          <cell r="V1126" t="str">
            <v>0</v>
          </cell>
          <cell r="Y1126" t="str">
            <v>Pres</v>
          </cell>
          <cell r="Z1126">
            <v>3.7</v>
          </cell>
          <cell r="AA1126">
            <v>0</v>
          </cell>
          <cell r="AB1126">
            <v>0</v>
          </cell>
        </row>
        <row r="1127">
          <cell r="G1127" t="str">
            <v>1424_1</v>
          </cell>
          <cell r="H1127" t="str">
            <v/>
          </cell>
          <cell r="I1127" t="str">
            <v>met</v>
          </cell>
          <cell r="V1127" t="str">
            <v>0</v>
          </cell>
          <cell r="Y1127" t="str">
            <v>Pres</v>
          </cell>
          <cell r="Z1127">
            <v>3.7</v>
          </cell>
          <cell r="AA1127">
            <v>0</v>
          </cell>
          <cell r="AB1127">
            <v>0</v>
          </cell>
        </row>
        <row r="1128">
          <cell r="G1128" t="str">
            <v>1425_0</v>
          </cell>
          <cell r="H1128" t="str">
            <v>as-as</v>
          </cell>
          <cell r="I1128" t="str">
            <v>sim</v>
          </cell>
          <cell r="V1128" t="str">
            <v>not</v>
          </cell>
          <cell r="Y1128" t="str">
            <v>Past</v>
          </cell>
          <cell r="Z1128">
            <v>4.46</v>
          </cell>
          <cell r="AA1128">
            <v>0</v>
          </cell>
          <cell r="AB1128">
            <v>0</v>
          </cell>
        </row>
        <row r="1129">
          <cell r="G1129" t="str">
            <v>1425_1</v>
          </cell>
          <cell r="H1129" t="str">
            <v>as-as</v>
          </cell>
          <cell r="I1129" t="str">
            <v>sim</v>
          </cell>
          <cell r="V1129" t="str">
            <v>not</v>
          </cell>
          <cell r="Y1129" t="str">
            <v>Past</v>
          </cell>
          <cell r="Z1129">
            <v>4.46</v>
          </cell>
          <cell r="AA1129">
            <v>0</v>
          </cell>
          <cell r="AB1129">
            <v>0</v>
          </cell>
        </row>
        <row r="1130">
          <cell r="G1130" t="str">
            <v>1429_0</v>
          </cell>
          <cell r="H1130" t="str">
            <v>as-as</v>
          </cell>
          <cell r="I1130" t="str">
            <v>sim</v>
          </cell>
          <cell r="V1130" t="str">
            <v>not neg pair</v>
          </cell>
          <cell r="Y1130" t="str">
            <v>Pres</v>
          </cell>
          <cell r="Z1130">
            <v>3.93</v>
          </cell>
          <cell r="AA1130">
            <v>0</v>
          </cell>
          <cell r="AB1130">
            <v>0</v>
          </cell>
        </row>
        <row r="1131">
          <cell r="G1131" t="str">
            <v>1429_1</v>
          </cell>
          <cell r="H1131" t="str">
            <v>as-as</v>
          </cell>
          <cell r="I1131" t="str">
            <v>sim</v>
          </cell>
          <cell r="V1131" t="str">
            <v>not neg pair</v>
          </cell>
          <cell r="Y1131" t="str">
            <v>Pres</v>
          </cell>
          <cell r="Z1131">
            <v>3.93</v>
          </cell>
          <cell r="AA1131">
            <v>0</v>
          </cell>
          <cell r="AB1131">
            <v>0</v>
          </cell>
        </row>
        <row r="1132">
          <cell r="G1132" t="str">
            <v>1431_0</v>
          </cell>
          <cell r="H1132" t="str">
            <v>as-as</v>
          </cell>
          <cell r="I1132" t="str">
            <v>sim</v>
          </cell>
          <cell r="V1132" t="str">
            <v>not neg pair</v>
          </cell>
          <cell r="Y1132" t="str">
            <v>Past</v>
          </cell>
          <cell r="Z1132">
            <v>4.5199999999999996</v>
          </cell>
          <cell r="AA1132">
            <v>0</v>
          </cell>
          <cell r="AB1132">
            <v>0</v>
          </cell>
        </row>
        <row r="1133">
          <cell r="G1133" t="str">
            <v>1431_1</v>
          </cell>
          <cell r="H1133" t="str">
            <v>as-as</v>
          </cell>
          <cell r="I1133" t="str">
            <v>sim</v>
          </cell>
          <cell r="V1133" t="str">
            <v>not neg pair</v>
          </cell>
          <cell r="Y1133" t="str">
            <v>Past</v>
          </cell>
          <cell r="Z1133">
            <v>4.5199999999999996</v>
          </cell>
          <cell r="AA1133">
            <v>0</v>
          </cell>
          <cell r="AB1133">
            <v>0</v>
          </cell>
        </row>
        <row r="1134">
          <cell r="G1134" t="str">
            <v>1432_0</v>
          </cell>
          <cell r="H1134" t="str">
            <v>the-of</v>
          </cell>
          <cell r="I1134" t="str">
            <v>sim</v>
          </cell>
          <cell r="V1134" t="str">
            <v>not neg pair</v>
          </cell>
          <cell r="Y1134" t="str">
            <v>Pres</v>
          </cell>
          <cell r="Z1134">
            <v>4.22</v>
          </cell>
          <cell r="AA1134">
            <v>0</v>
          </cell>
          <cell r="AB1134">
            <v>0</v>
          </cell>
        </row>
        <row r="1135">
          <cell r="G1135" t="str">
            <v>1432_1</v>
          </cell>
          <cell r="H1135" t="str">
            <v>the-of</v>
          </cell>
          <cell r="I1135" t="str">
            <v>sim</v>
          </cell>
          <cell r="V1135" t="str">
            <v>not neg pair</v>
          </cell>
          <cell r="Y1135" t="str">
            <v>Pres</v>
          </cell>
          <cell r="Z1135">
            <v>4.22</v>
          </cell>
          <cell r="AA1135">
            <v>0</v>
          </cell>
          <cell r="AB1135">
            <v>0</v>
          </cell>
        </row>
        <row r="1136">
          <cell r="G1136" t="str">
            <v>1434_0</v>
          </cell>
          <cell r="H1136" t="str">
            <v>as</v>
          </cell>
          <cell r="I1136" t="str">
            <v>sim</v>
          </cell>
          <cell r="V1136" t="str">
            <v>not neg pair</v>
          </cell>
          <cell r="Y1136" t="str">
            <v>Pres</v>
          </cell>
          <cell r="Z1136">
            <v>2.82</v>
          </cell>
          <cell r="AA1136">
            <v>0</v>
          </cell>
          <cell r="AB1136">
            <v>0</v>
          </cell>
        </row>
        <row r="1137">
          <cell r="G1137" t="str">
            <v>1434_1</v>
          </cell>
          <cell r="H1137" t="str">
            <v>as</v>
          </cell>
          <cell r="I1137" t="str">
            <v>sim</v>
          </cell>
          <cell r="V1137" t="str">
            <v>not neg pair</v>
          </cell>
          <cell r="Y1137" t="str">
            <v>Pres</v>
          </cell>
          <cell r="Z1137">
            <v>2.82</v>
          </cell>
          <cell r="AA1137">
            <v>0</v>
          </cell>
          <cell r="AB1137">
            <v>0</v>
          </cell>
        </row>
        <row r="1138">
          <cell r="G1138" t="str">
            <v>1436_0</v>
          </cell>
          <cell r="H1138" t="str">
            <v>the-of</v>
          </cell>
          <cell r="I1138" t="str">
            <v>sim</v>
          </cell>
          <cell r="V1138" t="str">
            <v>not</v>
          </cell>
          <cell r="Y1138" t="str">
            <v>Pres</v>
          </cell>
          <cell r="Z1138">
            <v>5</v>
          </cell>
          <cell r="AA1138" t="str">
            <v>H</v>
          </cell>
          <cell r="AB1138">
            <v>1</v>
          </cell>
        </row>
        <row r="1139">
          <cell r="G1139" t="str">
            <v>1436_1</v>
          </cell>
          <cell r="H1139" t="str">
            <v>the-of</v>
          </cell>
          <cell r="I1139" t="str">
            <v>sim</v>
          </cell>
          <cell r="V1139" t="str">
            <v>not</v>
          </cell>
          <cell r="Y1139" t="str">
            <v>Pres</v>
          </cell>
          <cell r="Z1139">
            <v>5</v>
          </cell>
          <cell r="AA1139" t="str">
            <v>H</v>
          </cell>
          <cell r="AB1139">
            <v>1</v>
          </cell>
        </row>
        <row r="1140">
          <cell r="G1140" t="str">
            <v>1438_0</v>
          </cell>
          <cell r="H1140" t="str">
            <v>like</v>
          </cell>
          <cell r="I1140" t="str">
            <v>sim</v>
          </cell>
          <cell r="V1140" t="str">
            <v>not neg pair</v>
          </cell>
          <cell r="Y1140" t="str">
            <v>Past</v>
          </cell>
          <cell r="Z1140">
            <v>1.75</v>
          </cell>
          <cell r="AA1140" t="str">
            <v>L</v>
          </cell>
          <cell r="AB1140">
            <v>0</v>
          </cell>
        </row>
        <row r="1141">
          <cell r="G1141" t="str">
            <v>1438_1</v>
          </cell>
          <cell r="H1141" t="str">
            <v>like</v>
          </cell>
          <cell r="I1141" t="str">
            <v>sim</v>
          </cell>
          <cell r="V1141" t="str">
            <v>not neg pair</v>
          </cell>
          <cell r="Y1141" t="str">
            <v>Past</v>
          </cell>
          <cell r="Z1141">
            <v>1.75</v>
          </cell>
          <cell r="AA1141" t="str">
            <v>L</v>
          </cell>
          <cell r="AB1141">
            <v>0</v>
          </cell>
        </row>
        <row r="1142">
          <cell r="G1142" t="str">
            <v>1441_0</v>
          </cell>
          <cell r="H1142" t="str">
            <v>as-as</v>
          </cell>
          <cell r="I1142" t="str">
            <v>sim</v>
          </cell>
          <cell r="V1142" t="str">
            <v>antonym</v>
          </cell>
          <cell r="Y1142" t="str">
            <v>Past</v>
          </cell>
          <cell r="Z1142">
            <v>3.85</v>
          </cell>
          <cell r="AA1142">
            <v>0</v>
          </cell>
          <cell r="AB1142">
            <v>0</v>
          </cell>
        </row>
        <row r="1143">
          <cell r="G1143" t="str">
            <v>1441_1</v>
          </cell>
          <cell r="H1143" t="str">
            <v>as-as</v>
          </cell>
          <cell r="I1143" t="str">
            <v>sim</v>
          </cell>
          <cell r="V1143" t="str">
            <v>antonym</v>
          </cell>
          <cell r="Y1143" t="str">
            <v>Past</v>
          </cell>
          <cell r="Z1143">
            <v>3.85</v>
          </cell>
          <cell r="AA1143">
            <v>0</v>
          </cell>
          <cell r="AB1143">
            <v>0</v>
          </cell>
        </row>
        <row r="1144">
          <cell r="G1144" t="str">
            <v>1442_0</v>
          </cell>
          <cell r="H1144" t="str">
            <v>as-as</v>
          </cell>
          <cell r="I1144" t="str">
            <v>sim</v>
          </cell>
          <cell r="V1144" t="str">
            <v>not neg pair</v>
          </cell>
          <cell r="Y1144" t="str">
            <v>Past</v>
          </cell>
          <cell r="Z1144">
            <v>4.8899999999999997</v>
          </cell>
          <cell r="AA1144">
            <v>0</v>
          </cell>
          <cell r="AB1144">
            <v>0</v>
          </cell>
        </row>
        <row r="1145">
          <cell r="G1145" t="str">
            <v>1442_1</v>
          </cell>
          <cell r="H1145" t="str">
            <v>as-as</v>
          </cell>
          <cell r="I1145" t="str">
            <v>sim</v>
          </cell>
          <cell r="V1145" t="str">
            <v>not neg pair</v>
          </cell>
          <cell r="Y1145" t="str">
            <v>Past</v>
          </cell>
          <cell r="Z1145">
            <v>4.8899999999999997</v>
          </cell>
          <cell r="AA1145">
            <v>0</v>
          </cell>
          <cell r="AB1145">
            <v>0</v>
          </cell>
        </row>
        <row r="1146">
          <cell r="G1146" t="str">
            <v>1443_0</v>
          </cell>
          <cell r="H1146" t="str">
            <v>as-as</v>
          </cell>
          <cell r="I1146" t="str">
            <v>sim</v>
          </cell>
          <cell r="V1146" t="str">
            <v>not neg pair</v>
          </cell>
          <cell r="Y1146" t="str">
            <v>Past</v>
          </cell>
          <cell r="Z1146">
            <v>4.8499999999999996</v>
          </cell>
          <cell r="AA1146">
            <v>0</v>
          </cell>
          <cell r="AB1146">
            <v>0</v>
          </cell>
        </row>
        <row r="1147">
          <cell r="G1147" t="str">
            <v>1443_1</v>
          </cell>
          <cell r="H1147" t="str">
            <v>as-as</v>
          </cell>
          <cell r="I1147" t="str">
            <v>sim</v>
          </cell>
          <cell r="V1147" t="str">
            <v>not neg pair</v>
          </cell>
          <cell r="Y1147" t="str">
            <v>Past</v>
          </cell>
          <cell r="Z1147">
            <v>4.8499999999999996</v>
          </cell>
          <cell r="AA1147">
            <v>0</v>
          </cell>
          <cell r="AB1147">
            <v>0</v>
          </cell>
        </row>
        <row r="1148">
          <cell r="G1148" t="str">
            <v>1450_0</v>
          </cell>
          <cell r="H1148" t="str">
            <v>the-of</v>
          </cell>
          <cell r="I1148" t="str">
            <v>sim</v>
          </cell>
          <cell r="V1148" t="str">
            <v>not neg pair</v>
          </cell>
          <cell r="Y1148" t="str">
            <v>Pres</v>
          </cell>
          <cell r="Z1148">
            <v>5</v>
          </cell>
          <cell r="AA1148" t="str">
            <v>H</v>
          </cell>
          <cell r="AB1148">
            <v>0</v>
          </cell>
        </row>
        <row r="1149">
          <cell r="G1149" t="str">
            <v>1450_1</v>
          </cell>
          <cell r="H1149" t="str">
            <v>the-of</v>
          </cell>
          <cell r="I1149" t="str">
            <v>sim</v>
          </cell>
          <cell r="V1149" t="str">
            <v>not neg pair</v>
          </cell>
          <cell r="Y1149" t="str">
            <v>Pres</v>
          </cell>
          <cell r="Z1149">
            <v>5</v>
          </cell>
          <cell r="AA1149" t="str">
            <v>H</v>
          </cell>
          <cell r="AB1149">
            <v>0</v>
          </cell>
        </row>
        <row r="1150">
          <cell r="G1150" t="str">
            <v>1452_0</v>
          </cell>
          <cell r="H1150" t="str">
            <v>the-of</v>
          </cell>
          <cell r="I1150" t="str">
            <v>sim</v>
          </cell>
          <cell r="V1150" t="str">
            <v>not neg pair</v>
          </cell>
          <cell r="Y1150" t="str">
            <v>Pres</v>
          </cell>
          <cell r="Z1150">
            <v>4.25</v>
          </cell>
          <cell r="AA1150">
            <v>0</v>
          </cell>
          <cell r="AB1150">
            <v>0</v>
          </cell>
        </row>
        <row r="1151">
          <cell r="G1151" t="str">
            <v>1452_1</v>
          </cell>
          <cell r="H1151" t="str">
            <v>the-of</v>
          </cell>
          <cell r="I1151" t="str">
            <v>sim</v>
          </cell>
          <cell r="V1151" t="str">
            <v>not neg pair</v>
          </cell>
          <cell r="Y1151" t="str">
            <v>Pres</v>
          </cell>
          <cell r="Z1151">
            <v>4.25</v>
          </cell>
          <cell r="AA1151">
            <v>0</v>
          </cell>
          <cell r="AB1151">
            <v>0</v>
          </cell>
        </row>
        <row r="1152">
          <cell r="G1152" t="str">
            <v>1454_0</v>
          </cell>
          <cell r="H1152" t="str">
            <v>as-as</v>
          </cell>
          <cell r="I1152" t="str">
            <v>sim</v>
          </cell>
          <cell r="V1152" t="str">
            <v>not neg pair</v>
          </cell>
          <cell r="Y1152" t="str">
            <v>Past</v>
          </cell>
          <cell r="Z1152">
            <v>4.97</v>
          </cell>
          <cell r="AA1152" t="str">
            <v>H</v>
          </cell>
          <cell r="AB1152">
            <v>0</v>
          </cell>
        </row>
        <row r="1153">
          <cell r="G1153" t="str">
            <v>1454_1</v>
          </cell>
          <cell r="H1153" t="str">
            <v>as-as</v>
          </cell>
          <cell r="I1153" t="str">
            <v>sim</v>
          </cell>
          <cell r="V1153" t="str">
            <v>not neg pair</v>
          </cell>
          <cell r="Y1153" t="str">
            <v>Past</v>
          </cell>
          <cell r="Z1153">
            <v>4.97</v>
          </cell>
          <cell r="AA1153" t="str">
            <v>H</v>
          </cell>
          <cell r="AB1153">
            <v>0</v>
          </cell>
        </row>
        <row r="1154">
          <cell r="G1154" t="str">
            <v>1455_0</v>
          </cell>
          <cell r="H1154" t="str">
            <v>as-as</v>
          </cell>
          <cell r="I1154" t="str">
            <v>sim</v>
          </cell>
          <cell r="V1154" t="str">
            <v>not neg pair</v>
          </cell>
          <cell r="Y1154" t="str">
            <v>Past</v>
          </cell>
          <cell r="Z1154">
            <v>4.8499999999999996</v>
          </cell>
          <cell r="AA1154">
            <v>0</v>
          </cell>
          <cell r="AB1154">
            <v>0</v>
          </cell>
        </row>
        <row r="1155">
          <cell r="G1155" t="str">
            <v>1455_1</v>
          </cell>
          <cell r="H1155" t="str">
            <v>as-as</v>
          </cell>
          <cell r="I1155" t="str">
            <v>sim</v>
          </cell>
          <cell r="V1155" t="str">
            <v>not neg pair</v>
          </cell>
          <cell r="Y1155" t="str">
            <v>Past</v>
          </cell>
          <cell r="Z1155">
            <v>4.8499999999999996</v>
          </cell>
          <cell r="AA1155">
            <v>0</v>
          </cell>
          <cell r="AB1155">
            <v>0</v>
          </cell>
        </row>
        <row r="1156">
          <cell r="G1156" t="str">
            <v>1456_0</v>
          </cell>
          <cell r="H1156" t="str">
            <v>as-as</v>
          </cell>
          <cell r="I1156" t="str">
            <v>sim</v>
          </cell>
          <cell r="V1156" t="str">
            <v>not neg pair</v>
          </cell>
          <cell r="Y1156" t="str">
            <v>Past</v>
          </cell>
          <cell r="Z1156">
            <v>0</v>
          </cell>
          <cell r="AA1156">
            <v>0</v>
          </cell>
          <cell r="AB1156">
            <v>0</v>
          </cell>
        </row>
        <row r="1157">
          <cell r="G1157" t="str">
            <v>1456_1</v>
          </cell>
          <cell r="H1157" t="str">
            <v>as-as</v>
          </cell>
          <cell r="I1157" t="str">
            <v>sim</v>
          </cell>
          <cell r="V1157" t="str">
            <v>not neg pair</v>
          </cell>
          <cell r="Y1157" t="str">
            <v>Past</v>
          </cell>
          <cell r="Z1157">
            <v>0</v>
          </cell>
          <cell r="AA1157">
            <v>0</v>
          </cell>
          <cell r="AB1157">
            <v>0</v>
          </cell>
        </row>
        <row r="1158">
          <cell r="G1158" t="str">
            <v>1460_0</v>
          </cell>
          <cell r="H1158" t="str">
            <v>as-as</v>
          </cell>
          <cell r="I1158" t="str">
            <v>sim</v>
          </cell>
          <cell r="V1158" t="str">
            <v>antonym</v>
          </cell>
          <cell r="Y1158" t="str">
            <v>Past</v>
          </cell>
          <cell r="Z1158">
            <v>4.93</v>
          </cell>
          <cell r="AA1158" t="str">
            <v>H</v>
          </cell>
          <cell r="AB1158">
            <v>0</v>
          </cell>
        </row>
        <row r="1159">
          <cell r="G1159" t="str">
            <v>1460_1</v>
          </cell>
          <cell r="H1159" t="str">
            <v>as-as</v>
          </cell>
          <cell r="I1159" t="str">
            <v>sim</v>
          </cell>
          <cell r="V1159" t="str">
            <v>antonym</v>
          </cell>
          <cell r="Y1159" t="str">
            <v>Past</v>
          </cell>
          <cell r="Z1159">
            <v>4.93</v>
          </cell>
          <cell r="AA1159" t="str">
            <v>H</v>
          </cell>
          <cell r="AB1159">
            <v>0</v>
          </cell>
        </row>
        <row r="1160">
          <cell r="G1160" t="str">
            <v>1461_0</v>
          </cell>
          <cell r="H1160" t="str">
            <v>as-as</v>
          </cell>
          <cell r="I1160" t="str">
            <v>sim</v>
          </cell>
          <cell r="V1160" t="str">
            <v>not</v>
          </cell>
          <cell r="Y1160" t="str">
            <v>Past</v>
          </cell>
          <cell r="Z1160">
            <v>4.5199999999999996</v>
          </cell>
          <cell r="AA1160">
            <v>0</v>
          </cell>
          <cell r="AB1160">
            <v>1</v>
          </cell>
        </row>
        <row r="1161">
          <cell r="G1161" t="str">
            <v>1461_1</v>
          </cell>
          <cell r="H1161" t="str">
            <v>as-as</v>
          </cell>
          <cell r="I1161" t="str">
            <v>sim</v>
          </cell>
          <cell r="V1161" t="str">
            <v>not</v>
          </cell>
          <cell r="Y1161" t="str">
            <v>Past</v>
          </cell>
          <cell r="Z1161">
            <v>4.5199999999999996</v>
          </cell>
          <cell r="AA1161">
            <v>0</v>
          </cell>
          <cell r="AB1161">
            <v>1</v>
          </cell>
        </row>
        <row r="1162">
          <cell r="G1162" t="str">
            <v>1462_0</v>
          </cell>
          <cell r="H1162" t="str">
            <v>the-of</v>
          </cell>
          <cell r="I1162" t="str">
            <v>sim</v>
          </cell>
          <cell r="V1162" t="str">
            <v>not neg pair</v>
          </cell>
          <cell r="Y1162" t="str">
            <v>Pres</v>
          </cell>
          <cell r="Z1162">
            <v>4.59</v>
          </cell>
          <cell r="AA1162">
            <v>0</v>
          </cell>
          <cell r="AB1162">
            <v>0</v>
          </cell>
        </row>
        <row r="1163">
          <cell r="G1163" t="str">
            <v>1462_1</v>
          </cell>
          <cell r="H1163" t="str">
            <v>the-of</v>
          </cell>
          <cell r="I1163" t="str">
            <v>sim</v>
          </cell>
          <cell r="V1163" t="str">
            <v>not neg pair</v>
          </cell>
          <cell r="Y1163" t="str">
            <v>Pres</v>
          </cell>
          <cell r="Z1163">
            <v>4.59</v>
          </cell>
          <cell r="AA1163">
            <v>0</v>
          </cell>
          <cell r="AB1163">
            <v>0</v>
          </cell>
        </row>
        <row r="1164">
          <cell r="G1164" t="str">
            <v>1464_0</v>
          </cell>
          <cell r="H1164" t="str">
            <v>the-of</v>
          </cell>
          <cell r="I1164" t="str">
            <v>sim</v>
          </cell>
          <cell r="V1164" t="str">
            <v>not neg pair</v>
          </cell>
          <cell r="Y1164" t="str">
            <v>Pres</v>
          </cell>
          <cell r="Z1164">
            <v>4.4000000000000004</v>
          </cell>
          <cell r="AA1164">
            <v>0</v>
          </cell>
          <cell r="AB1164">
            <v>0</v>
          </cell>
        </row>
        <row r="1165">
          <cell r="G1165" t="str">
            <v>1464_1</v>
          </cell>
          <cell r="H1165" t="str">
            <v>the-of</v>
          </cell>
          <cell r="I1165" t="str">
            <v>sim</v>
          </cell>
          <cell r="V1165" t="str">
            <v>not neg pair</v>
          </cell>
          <cell r="Y1165" t="str">
            <v>Pres</v>
          </cell>
          <cell r="Z1165">
            <v>4.4000000000000004</v>
          </cell>
          <cell r="AA1165">
            <v>0</v>
          </cell>
          <cell r="AB1165">
            <v>0</v>
          </cell>
        </row>
        <row r="1166">
          <cell r="G1166" t="str">
            <v>1467_0</v>
          </cell>
          <cell r="H1166" t="str">
            <v>as-as</v>
          </cell>
          <cell r="I1166" t="str">
            <v>sim</v>
          </cell>
          <cell r="V1166" t="str">
            <v>antonym</v>
          </cell>
          <cell r="Y1166" t="str">
            <v>Pres</v>
          </cell>
          <cell r="Z1166">
            <v>4.0999999999999996</v>
          </cell>
          <cell r="AA1166">
            <v>0</v>
          </cell>
          <cell r="AB1166">
            <v>0</v>
          </cell>
        </row>
        <row r="1167">
          <cell r="G1167" t="str">
            <v>1467_1</v>
          </cell>
          <cell r="H1167" t="str">
            <v>as-as</v>
          </cell>
          <cell r="I1167" t="str">
            <v>sim</v>
          </cell>
          <cell r="V1167" t="str">
            <v>antonym</v>
          </cell>
          <cell r="Y1167" t="str">
            <v>Pres</v>
          </cell>
          <cell r="Z1167">
            <v>4.0999999999999996</v>
          </cell>
          <cell r="AA1167">
            <v>0</v>
          </cell>
          <cell r="AB1167">
            <v>0</v>
          </cell>
        </row>
        <row r="1168">
          <cell r="G1168" t="str">
            <v>1468_0</v>
          </cell>
          <cell r="H1168" t="str">
            <v>as</v>
          </cell>
          <cell r="I1168" t="str">
            <v>sim</v>
          </cell>
          <cell r="V1168" t="str">
            <v>not neg pair</v>
          </cell>
          <cell r="Y1168" t="str">
            <v>Pres</v>
          </cell>
          <cell r="Z1168">
            <v>4.72</v>
          </cell>
          <cell r="AA1168">
            <v>0</v>
          </cell>
          <cell r="AB1168">
            <v>0</v>
          </cell>
        </row>
        <row r="1169">
          <cell r="G1169" t="str">
            <v>1468_1</v>
          </cell>
          <cell r="H1169" t="str">
            <v>as</v>
          </cell>
          <cell r="I1169" t="str">
            <v>sim</v>
          </cell>
          <cell r="V1169" t="str">
            <v>not neg pair</v>
          </cell>
          <cell r="Y1169" t="str">
            <v>Pres</v>
          </cell>
          <cell r="Z1169">
            <v>4.72</v>
          </cell>
          <cell r="AA1169">
            <v>0</v>
          </cell>
          <cell r="AB1169">
            <v>0</v>
          </cell>
        </row>
        <row r="1170">
          <cell r="G1170" t="str">
            <v>1471_0</v>
          </cell>
          <cell r="H1170" t="str">
            <v>as-as</v>
          </cell>
          <cell r="I1170" t="str">
            <v>sim</v>
          </cell>
          <cell r="V1170" t="str">
            <v>not neg pair</v>
          </cell>
          <cell r="Y1170" t="str">
            <v>Pres</v>
          </cell>
          <cell r="Z1170">
            <v>2.76</v>
          </cell>
          <cell r="AA1170" t="str">
            <v>L</v>
          </cell>
          <cell r="AB1170">
            <v>0</v>
          </cell>
        </row>
        <row r="1171">
          <cell r="G1171" t="str">
            <v>1471_1</v>
          </cell>
          <cell r="H1171" t="str">
            <v>as-as</v>
          </cell>
          <cell r="I1171" t="str">
            <v>sim</v>
          </cell>
          <cell r="V1171" t="str">
            <v>not neg pair</v>
          </cell>
          <cell r="Y1171" t="str">
            <v>Pres</v>
          </cell>
          <cell r="Z1171">
            <v>2.76</v>
          </cell>
          <cell r="AA1171" t="str">
            <v>L</v>
          </cell>
          <cell r="AB1171">
            <v>0</v>
          </cell>
        </row>
        <row r="1172">
          <cell r="G1172" t="str">
            <v>1475_0</v>
          </cell>
          <cell r="H1172" t="str">
            <v/>
          </cell>
          <cell r="I1172" t="str">
            <v>met</v>
          </cell>
          <cell r="V1172" t="str">
            <v>0</v>
          </cell>
          <cell r="Y1172" t="str">
            <v>Past</v>
          </cell>
          <cell r="Z1172">
            <v>4</v>
          </cell>
          <cell r="AA1172">
            <v>0</v>
          </cell>
          <cell r="AB1172">
            <v>0</v>
          </cell>
        </row>
        <row r="1173">
          <cell r="G1173" t="str">
            <v>1475_1</v>
          </cell>
          <cell r="H1173" t="str">
            <v/>
          </cell>
          <cell r="I1173" t="str">
            <v>met</v>
          </cell>
          <cell r="V1173" t="str">
            <v>0</v>
          </cell>
          <cell r="Y1173" t="str">
            <v>Past</v>
          </cell>
          <cell r="Z1173">
            <v>4</v>
          </cell>
          <cell r="AA1173">
            <v>0</v>
          </cell>
          <cell r="AB1173">
            <v>0</v>
          </cell>
        </row>
        <row r="1174">
          <cell r="G1174" t="str">
            <v>1482_0</v>
          </cell>
          <cell r="H1174" t="str">
            <v>like</v>
          </cell>
          <cell r="I1174" t="str">
            <v>sim</v>
          </cell>
          <cell r="V1174" t="str">
            <v>not</v>
          </cell>
          <cell r="Y1174" t="str">
            <v>Past</v>
          </cell>
          <cell r="Z1174">
            <v>4.97</v>
          </cell>
          <cell r="AA1174" t="str">
            <v>H</v>
          </cell>
          <cell r="AB1174">
            <v>1</v>
          </cell>
        </row>
        <row r="1175">
          <cell r="G1175" t="str">
            <v>1482_1</v>
          </cell>
          <cell r="H1175" t="str">
            <v>like</v>
          </cell>
          <cell r="I1175" t="str">
            <v>sim</v>
          </cell>
          <cell r="V1175" t="str">
            <v>not</v>
          </cell>
          <cell r="Y1175" t="str">
            <v>Past</v>
          </cell>
          <cell r="Z1175">
            <v>4.97</v>
          </cell>
          <cell r="AA1175" t="str">
            <v>H</v>
          </cell>
          <cell r="AB1175">
            <v>1</v>
          </cell>
        </row>
        <row r="1176">
          <cell r="G1176" t="str">
            <v>1483_0</v>
          </cell>
          <cell r="H1176" t="str">
            <v>as-as</v>
          </cell>
          <cell r="I1176" t="str">
            <v>sim</v>
          </cell>
          <cell r="V1176" t="str">
            <v>not</v>
          </cell>
          <cell r="Y1176" t="str">
            <v>Pres</v>
          </cell>
          <cell r="Z1176">
            <v>4.76</v>
          </cell>
          <cell r="AA1176">
            <v>0</v>
          </cell>
          <cell r="AB1176">
            <v>0</v>
          </cell>
        </row>
        <row r="1177">
          <cell r="G1177" t="str">
            <v>1483_1</v>
          </cell>
          <cell r="H1177" t="str">
            <v>as-as</v>
          </cell>
          <cell r="I1177" t="str">
            <v>sim</v>
          </cell>
          <cell r="V1177" t="str">
            <v>not</v>
          </cell>
          <cell r="Y1177" t="str">
            <v>Pres</v>
          </cell>
          <cell r="Z1177">
            <v>4.76</v>
          </cell>
          <cell r="AA1177">
            <v>0</v>
          </cell>
          <cell r="AB1177">
            <v>0</v>
          </cell>
        </row>
        <row r="1178">
          <cell r="G1178" t="str">
            <v>1487_0</v>
          </cell>
          <cell r="H1178" t="str">
            <v/>
          </cell>
          <cell r="I1178" t="str">
            <v>met</v>
          </cell>
          <cell r="V1178" t="str">
            <v>0</v>
          </cell>
          <cell r="Y1178" t="str">
            <v>Pres</v>
          </cell>
          <cell r="Z1178">
            <v>4.9000000000000004</v>
          </cell>
          <cell r="AA1178">
            <v>0</v>
          </cell>
          <cell r="AB1178">
            <v>0</v>
          </cell>
        </row>
        <row r="1179">
          <cell r="G1179" t="str">
            <v>1487_1</v>
          </cell>
          <cell r="H1179" t="str">
            <v/>
          </cell>
          <cell r="I1179" t="str">
            <v>met</v>
          </cell>
          <cell r="V1179" t="str">
            <v>0</v>
          </cell>
          <cell r="Y1179" t="str">
            <v>Pres</v>
          </cell>
          <cell r="Z1179">
            <v>4.9000000000000004</v>
          </cell>
          <cell r="AA1179">
            <v>0</v>
          </cell>
          <cell r="AB1179">
            <v>0</v>
          </cell>
        </row>
        <row r="1180">
          <cell r="G1180" t="str">
            <v>1491_0</v>
          </cell>
          <cell r="H1180" t="str">
            <v/>
          </cell>
          <cell r="I1180" t="str">
            <v>met</v>
          </cell>
          <cell r="V1180" t="str">
            <v>0</v>
          </cell>
          <cell r="Y1180" t="str">
            <v>Pres</v>
          </cell>
          <cell r="Z1180">
            <v>2.57</v>
          </cell>
          <cell r="AA1180" t="str">
            <v>L</v>
          </cell>
          <cell r="AB1180">
            <v>0</v>
          </cell>
        </row>
        <row r="1181">
          <cell r="G1181" t="str">
            <v>1491_1</v>
          </cell>
          <cell r="H1181" t="str">
            <v/>
          </cell>
          <cell r="I1181" t="str">
            <v>met</v>
          </cell>
          <cell r="V1181" t="str">
            <v>0</v>
          </cell>
          <cell r="Y1181" t="str">
            <v>Pres</v>
          </cell>
          <cell r="Z1181">
            <v>2.57</v>
          </cell>
          <cell r="AA1181" t="str">
            <v>L</v>
          </cell>
          <cell r="AB1181">
            <v>0</v>
          </cell>
        </row>
        <row r="1182">
          <cell r="G1182" t="str">
            <v>1492_0</v>
          </cell>
          <cell r="H1182" t="str">
            <v/>
          </cell>
          <cell r="I1182" t="str">
            <v>met</v>
          </cell>
          <cell r="V1182" t="str">
            <v>0</v>
          </cell>
          <cell r="Y1182" t="str">
            <v>Pres</v>
          </cell>
          <cell r="Z1182">
            <v>4.75</v>
          </cell>
          <cell r="AA1182">
            <v>0</v>
          </cell>
          <cell r="AB1182">
            <v>0</v>
          </cell>
        </row>
        <row r="1183">
          <cell r="G1183" t="str">
            <v>1492_1</v>
          </cell>
          <cell r="H1183" t="str">
            <v/>
          </cell>
          <cell r="I1183" t="str">
            <v>met</v>
          </cell>
          <cell r="V1183" t="str">
            <v>0</v>
          </cell>
          <cell r="Y1183" t="str">
            <v>Pres</v>
          </cell>
          <cell r="Z1183">
            <v>4.75</v>
          </cell>
          <cell r="AA1183">
            <v>0</v>
          </cell>
          <cell r="AB1183">
            <v>0</v>
          </cell>
        </row>
        <row r="1184">
          <cell r="G1184" t="str">
            <v>1494_0</v>
          </cell>
          <cell r="H1184" t="str">
            <v>like</v>
          </cell>
          <cell r="I1184" t="str">
            <v>sim</v>
          </cell>
          <cell r="V1184" t="str">
            <v>not neg pair</v>
          </cell>
          <cell r="Y1184" t="str">
            <v>Pres</v>
          </cell>
          <cell r="Z1184">
            <v>4.8</v>
          </cell>
          <cell r="AA1184">
            <v>0</v>
          </cell>
          <cell r="AB1184">
            <v>0</v>
          </cell>
        </row>
        <row r="1185">
          <cell r="G1185" t="str">
            <v>1494_1</v>
          </cell>
          <cell r="H1185" t="str">
            <v>like</v>
          </cell>
          <cell r="I1185" t="str">
            <v>sim</v>
          </cell>
          <cell r="V1185" t="str">
            <v>not neg pair</v>
          </cell>
          <cell r="Y1185" t="str">
            <v>Pres</v>
          </cell>
          <cell r="Z1185">
            <v>4.8</v>
          </cell>
          <cell r="AA1185">
            <v>0</v>
          </cell>
          <cell r="AB1185">
            <v>0</v>
          </cell>
        </row>
        <row r="1186">
          <cell r="G1186" t="str">
            <v>1497_0</v>
          </cell>
          <cell r="H1186" t="str">
            <v/>
          </cell>
          <cell r="I1186" t="str">
            <v>met</v>
          </cell>
          <cell r="V1186" t="str">
            <v>0</v>
          </cell>
          <cell r="Y1186" t="str">
            <v>Pres</v>
          </cell>
          <cell r="Z1186">
            <v>4.57</v>
          </cell>
          <cell r="AA1186">
            <v>0</v>
          </cell>
          <cell r="AB1186">
            <v>0</v>
          </cell>
        </row>
        <row r="1187">
          <cell r="G1187" t="str">
            <v>1497_1</v>
          </cell>
          <cell r="H1187" t="str">
            <v/>
          </cell>
          <cell r="I1187" t="str">
            <v>met</v>
          </cell>
          <cell r="V1187" t="str">
            <v>0</v>
          </cell>
          <cell r="Y1187" t="str">
            <v>Pres</v>
          </cell>
          <cell r="Z1187">
            <v>4.57</v>
          </cell>
          <cell r="AA1187">
            <v>0</v>
          </cell>
          <cell r="AB1187">
            <v>0</v>
          </cell>
        </row>
        <row r="1188">
          <cell r="G1188" t="str">
            <v>1498_0</v>
          </cell>
          <cell r="H1188" t="str">
            <v/>
          </cell>
          <cell r="I1188" t="str">
            <v>met</v>
          </cell>
          <cell r="V1188" t="str">
            <v>0</v>
          </cell>
          <cell r="Y1188" t="str">
            <v>Pres</v>
          </cell>
          <cell r="Z1188">
            <v>4.8600000000000003</v>
          </cell>
          <cell r="AA1188">
            <v>0</v>
          </cell>
          <cell r="AB1188">
            <v>0</v>
          </cell>
        </row>
        <row r="1189">
          <cell r="G1189" t="str">
            <v>1498_1</v>
          </cell>
          <cell r="H1189" t="str">
            <v/>
          </cell>
          <cell r="I1189" t="str">
            <v>met</v>
          </cell>
          <cell r="V1189" t="str">
            <v>0</v>
          </cell>
          <cell r="Y1189" t="str">
            <v>Pres</v>
          </cell>
          <cell r="Z1189">
            <v>4.8600000000000003</v>
          </cell>
          <cell r="AA1189">
            <v>0</v>
          </cell>
          <cell r="AB1189">
            <v>0</v>
          </cell>
        </row>
        <row r="1190">
          <cell r="G1190" t="str">
            <v>1500_0</v>
          </cell>
          <cell r="H1190" t="str">
            <v>the-of</v>
          </cell>
          <cell r="I1190" t="str">
            <v>sim</v>
          </cell>
          <cell r="V1190" t="str">
            <v>not</v>
          </cell>
          <cell r="Y1190" t="str">
            <v>Pres</v>
          </cell>
          <cell r="Z1190">
            <v>4.4000000000000004</v>
          </cell>
          <cell r="AA1190">
            <v>0</v>
          </cell>
          <cell r="AB1190">
            <v>0</v>
          </cell>
        </row>
        <row r="1191">
          <cell r="G1191" t="str">
            <v>1500_1</v>
          </cell>
          <cell r="H1191" t="str">
            <v>the-of</v>
          </cell>
          <cell r="I1191" t="str">
            <v>sim</v>
          </cell>
          <cell r="V1191" t="str">
            <v>not</v>
          </cell>
          <cell r="Y1191" t="str">
            <v>Pres</v>
          </cell>
          <cell r="Z1191">
            <v>4.4000000000000004</v>
          </cell>
          <cell r="AA1191">
            <v>0</v>
          </cell>
          <cell r="AB1191">
            <v>0</v>
          </cell>
        </row>
        <row r="1192">
          <cell r="G1192" t="str">
            <v>1502_0</v>
          </cell>
          <cell r="H1192" t="str">
            <v>as-as</v>
          </cell>
          <cell r="I1192" t="str">
            <v>sim</v>
          </cell>
          <cell r="V1192" t="str">
            <v>not neg pair</v>
          </cell>
          <cell r="Y1192" t="str">
            <v>Pres</v>
          </cell>
          <cell r="Z1192">
            <v>3.93</v>
          </cell>
          <cell r="AA1192">
            <v>0</v>
          </cell>
          <cell r="AB1192">
            <v>0</v>
          </cell>
        </row>
        <row r="1193">
          <cell r="G1193" t="str">
            <v>1502_1</v>
          </cell>
          <cell r="H1193" t="str">
            <v>as-as</v>
          </cell>
          <cell r="I1193" t="str">
            <v>sim</v>
          </cell>
          <cell r="V1193" t="str">
            <v>not neg pair</v>
          </cell>
          <cell r="Y1193" t="str">
            <v>Pres</v>
          </cell>
          <cell r="Z1193">
            <v>3.93</v>
          </cell>
          <cell r="AA1193">
            <v>0</v>
          </cell>
          <cell r="AB1193">
            <v>0</v>
          </cell>
        </row>
        <row r="1194">
          <cell r="G1194" t="str">
            <v>1503_0</v>
          </cell>
          <cell r="H1194" t="str">
            <v>like</v>
          </cell>
          <cell r="I1194" t="str">
            <v>sim</v>
          </cell>
          <cell r="V1194" t="str">
            <v>not neg pair</v>
          </cell>
          <cell r="Y1194" t="str">
            <v>Pres</v>
          </cell>
          <cell r="Z1194">
            <v>3.07</v>
          </cell>
          <cell r="AA1194">
            <v>0</v>
          </cell>
          <cell r="AB1194">
            <v>0</v>
          </cell>
        </row>
        <row r="1195">
          <cell r="G1195" t="str">
            <v>1503_1</v>
          </cell>
          <cell r="H1195" t="str">
            <v>like</v>
          </cell>
          <cell r="I1195" t="str">
            <v>sim</v>
          </cell>
          <cell r="V1195" t="str">
            <v>not neg pair</v>
          </cell>
          <cell r="Y1195" t="str">
            <v>Pres</v>
          </cell>
          <cell r="Z1195">
            <v>3.07</v>
          </cell>
          <cell r="AA1195">
            <v>0</v>
          </cell>
          <cell r="AB1195">
            <v>0</v>
          </cell>
        </row>
        <row r="1196">
          <cell r="G1196" t="str">
            <v>1508_0</v>
          </cell>
          <cell r="H1196" t="str">
            <v>the-of</v>
          </cell>
          <cell r="I1196" t="str">
            <v>sim</v>
          </cell>
          <cell r="V1196" t="str">
            <v>not neg pair</v>
          </cell>
          <cell r="Y1196" t="str">
            <v>Pres</v>
          </cell>
          <cell r="Z1196">
            <v>4.59</v>
          </cell>
          <cell r="AA1196">
            <v>0</v>
          </cell>
          <cell r="AB1196">
            <v>0</v>
          </cell>
        </row>
        <row r="1197">
          <cell r="G1197" t="str">
            <v>1508_1</v>
          </cell>
          <cell r="H1197" t="str">
            <v>the-of</v>
          </cell>
          <cell r="I1197" t="str">
            <v>sim</v>
          </cell>
          <cell r="V1197" t="str">
            <v>not neg pair</v>
          </cell>
          <cell r="Y1197" t="str">
            <v>Pres</v>
          </cell>
          <cell r="Z1197">
            <v>4.59</v>
          </cell>
          <cell r="AA1197">
            <v>0</v>
          </cell>
          <cell r="AB1197">
            <v>0</v>
          </cell>
        </row>
        <row r="1198">
          <cell r="G1198" t="str">
            <v>1513_0</v>
          </cell>
          <cell r="H1198" t="str">
            <v>as-as</v>
          </cell>
          <cell r="I1198" t="str">
            <v>sim</v>
          </cell>
          <cell r="V1198" t="str">
            <v>not</v>
          </cell>
          <cell r="Y1198" t="str">
            <v>Past</v>
          </cell>
          <cell r="Z1198">
            <v>4.8499999999999996</v>
          </cell>
          <cell r="AA1198">
            <v>0</v>
          </cell>
          <cell r="AB1198">
            <v>0</v>
          </cell>
        </row>
        <row r="1199">
          <cell r="G1199" t="str">
            <v>1513_1</v>
          </cell>
          <cell r="H1199" t="str">
            <v>as-as</v>
          </cell>
          <cell r="I1199" t="str">
            <v>sim</v>
          </cell>
          <cell r="V1199" t="str">
            <v>not</v>
          </cell>
          <cell r="Y1199" t="str">
            <v>Past</v>
          </cell>
          <cell r="Z1199">
            <v>4.8499999999999996</v>
          </cell>
          <cell r="AA1199">
            <v>0</v>
          </cell>
          <cell r="AB1199">
            <v>0</v>
          </cell>
        </row>
        <row r="1200">
          <cell r="G1200" t="str">
            <v>1518_0</v>
          </cell>
          <cell r="H1200" t="str">
            <v/>
          </cell>
          <cell r="I1200" t="str">
            <v>met</v>
          </cell>
          <cell r="V1200" t="str">
            <v>0</v>
          </cell>
          <cell r="Y1200" t="str">
            <v>Pres</v>
          </cell>
          <cell r="Z1200">
            <v>2.61</v>
          </cell>
          <cell r="AA1200" t="str">
            <v>L</v>
          </cell>
          <cell r="AB1200">
            <v>0</v>
          </cell>
        </row>
        <row r="1201">
          <cell r="G1201" t="str">
            <v>1518_1</v>
          </cell>
          <cell r="H1201" t="str">
            <v/>
          </cell>
          <cell r="I1201" t="str">
            <v>met</v>
          </cell>
          <cell r="V1201" t="str">
            <v>0</v>
          </cell>
          <cell r="Y1201" t="str">
            <v>Pres</v>
          </cell>
          <cell r="Z1201">
            <v>2.61</v>
          </cell>
          <cell r="AA1201" t="str">
            <v>L</v>
          </cell>
          <cell r="AB1201">
            <v>0</v>
          </cell>
        </row>
        <row r="1202">
          <cell r="G1202" t="str">
            <v>1521_0</v>
          </cell>
          <cell r="H1202" t="str">
            <v>the-of</v>
          </cell>
          <cell r="I1202" t="str">
            <v>sim</v>
          </cell>
          <cell r="V1202" t="str">
            <v>not neg pair</v>
          </cell>
          <cell r="Y1202" t="str">
            <v>Pres</v>
          </cell>
          <cell r="Z1202">
            <v>5</v>
          </cell>
          <cell r="AA1202" t="str">
            <v>H</v>
          </cell>
          <cell r="AB1202">
            <v>0</v>
          </cell>
        </row>
        <row r="1203">
          <cell r="G1203" t="str">
            <v>1521_1</v>
          </cell>
          <cell r="H1203" t="str">
            <v>the-of</v>
          </cell>
          <cell r="I1203" t="str">
            <v>sim</v>
          </cell>
          <cell r="V1203" t="str">
            <v>not neg pair</v>
          </cell>
          <cell r="Y1203" t="str">
            <v>Pres</v>
          </cell>
          <cell r="Z1203">
            <v>5</v>
          </cell>
          <cell r="AA1203" t="str">
            <v>H</v>
          </cell>
          <cell r="AB1203">
            <v>0</v>
          </cell>
        </row>
        <row r="1204">
          <cell r="G1204" t="str">
            <v>1522_0</v>
          </cell>
          <cell r="H1204" t="str">
            <v>as-as</v>
          </cell>
          <cell r="I1204" t="str">
            <v>sim</v>
          </cell>
          <cell r="V1204" t="str">
            <v>not neg pair</v>
          </cell>
          <cell r="Y1204">
            <v>0</v>
          </cell>
          <cell r="Z1204">
            <v>4.1100000000000003</v>
          </cell>
          <cell r="AA1204">
            <v>0</v>
          </cell>
          <cell r="AB1204">
            <v>0</v>
          </cell>
        </row>
        <row r="1205">
          <cell r="G1205" t="str">
            <v>1522_1</v>
          </cell>
          <cell r="H1205" t="str">
            <v>as-as</v>
          </cell>
          <cell r="I1205" t="str">
            <v>sim</v>
          </cell>
          <cell r="V1205" t="str">
            <v>not neg pair</v>
          </cell>
          <cell r="Y1205">
            <v>0</v>
          </cell>
          <cell r="Z1205">
            <v>4.1100000000000003</v>
          </cell>
          <cell r="AA1205">
            <v>0</v>
          </cell>
          <cell r="AB1205">
            <v>0</v>
          </cell>
        </row>
        <row r="1206">
          <cell r="G1206" t="str">
            <v>1523_0</v>
          </cell>
          <cell r="H1206" t="str">
            <v>as-as</v>
          </cell>
          <cell r="I1206" t="str">
            <v>sim</v>
          </cell>
          <cell r="V1206" t="str">
            <v>not</v>
          </cell>
          <cell r="Y1206" t="str">
            <v>Pres</v>
          </cell>
          <cell r="Z1206">
            <v>3.93</v>
          </cell>
          <cell r="AA1206">
            <v>0</v>
          </cell>
          <cell r="AB1206">
            <v>0</v>
          </cell>
        </row>
        <row r="1207">
          <cell r="G1207" t="str">
            <v>1523_1</v>
          </cell>
          <cell r="H1207" t="str">
            <v>as-as</v>
          </cell>
          <cell r="I1207" t="str">
            <v>sim</v>
          </cell>
          <cell r="V1207" t="str">
            <v>not</v>
          </cell>
          <cell r="Y1207" t="str">
            <v>Pres</v>
          </cell>
          <cell r="Z1207">
            <v>3.93</v>
          </cell>
          <cell r="AA1207">
            <v>0</v>
          </cell>
          <cell r="AB1207">
            <v>0</v>
          </cell>
        </row>
        <row r="1208">
          <cell r="G1208" t="str">
            <v>1526_0</v>
          </cell>
          <cell r="H1208" t="str">
            <v>like</v>
          </cell>
          <cell r="I1208" t="str">
            <v>sim</v>
          </cell>
          <cell r="V1208" t="str">
            <v>not neg pair</v>
          </cell>
          <cell r="Y1208" t="str">
            <v>Pres</v>
          </cell>
          <cell r="Z1208">
            <v>3.69</v>
          </cell>
          <cell r="AA1208">
            <v>0</v>
          </cell>
          <cell r="AB1208">
            <v>0</v>
          </cell>
        </row>
        <row r="1209">
          <cell r="G1209" t="str">
            <v>1526_1</v>
          </cell>
          <cell r="H1209" t="str">
            <v>like</v>
          </cell>
          <cell r="I1209" t="str">
            <v>sim</v>
          </cell>
          <cell r="V1209" t="str">
            <v>not neg pair</v>
          </cell>
          <cell r="Y1209" t="str">
            <v>Pres</v>
          </cell>
          <cell r="Z1209">
            <v>3.69</v>
          </cell>
          <cell r="AA1209">
            <v>0</v>
          </cell>
          <cell r="AB1209">
            <v>0</v>
          </cell>
        </row>
        <row r="1210">
          <cell r="G1210" t="str">
            <v>1530_0</v>
          </cell>
          <cell r="H1210" t="str">
            <v/>
          </cell>
          <cell r="I1210" t="str">
            <v>met</v>
          </cell>
          <cell r="V1210" t="str">
            <v>0</v>
          </cell>
          <cell r="Y1210" t="str">
            <v>Pres</v>
          </cell>
          <cell r="Z1210">
            <v>4.79</v>
          </cell>
          <cell r="AA1210">
            <v>0</v>
          </cell>
          <cell r="AB1210">
            <v>0</v>
          </cell>
        </row>
        <row r="1211">
          <cell r="G1211" t="str">
            <v>1530_1</v>
          </cell>
          <cell r="H1211" t="str">
            <v/>
          </cell>
          <cell r="I1211" t="str">
            <v>met</v>
          </cell>
          <cell r="V1211" t="str">
            <v>0</v>
          </cell>
          <cell r="Y1211" t="str">
            <v>Pres</v>
          </cell>
          <cell r="Z1211">
            <v>4.79</v>
          </cell>
          <cell r="AA1211">
            <v>0</v>
          </cell>
          <cell r="AB1211">
            <v>0</v>
          </cell>
        </row>
        <row r="1212">
          <cell r="G1212" t="str">
            <v>1531_0</v>
          </cell>
          <cell r="H1212" t="str">
            <v>as-as</v>
          </cell>
          <cell r="I1212" t="str">
            <v>sim</v>
          </cell>
          <cell r="V1212" t="str">
            <v>not neg pair</v>
          </cell>
          <cell r="Y1212" t="str">
            <v>Pres</v>
          </cell>
          <cell r="Z1212">
            <v>4.8600000000000003</v>
          </cell>
          <cell r="AA1212">
            <v>0</v>
          </cell>
          <cell r="AB1212">
            <v>0</v>
          </cell>
        </row>
        <row r="1213">
          <cell r="G1213" t="str">
            <v>1531_1</v>
          </cell>
          <cell r="H1213" t="str">
            <v>as-as</v>
          </cell>
          <cell r="I1213" t="str">
            <v>sim</v>
          </cell>
          <cell r="V1213" t="str">
            <v>not neg pair</v>
          </cell>
          <cell r="Y1213" t="str">
            <v>Pres</v>
          </cell>
          <cell r="Z1213">
            <v>4.8600000000000003</v>
          </cell>
          <cell r="AA1213">
            <v>0</v>
          </cell>
          <cell r="AB1213">
            <v>0</v>
          </cell>
        </row>
        <row r="1214">
          <cell r="G1214" t="str">
            <v>1532_0</v>
          </cell>
          <cell r="H1214" t="str">
            <v>as</v>
          </cell>
          <cell r="I1214" t="str">
            <v>sim</v>
          </cell>
          <cell r="V1214" t="str">
            <v>not neg pair</v>
          </cell>
          <cell r="Y1214" t="str">
            <v>Pres</v>
          </cell>
          <cell r="Z1214">
            <v>4.8600000000000003</v>
          </cell>
          <cell r="AA1214">
            <v>0</v>
          </cell>
          <cell r="AB1214">
            <v>0</v>
          </cell>
        </row>
        <row r="1215">
          <cell r="G1215" t="str">
            <v>1532_1</v>
          </cell>
          <cell r="H1215" t="str">
            <v>as</v>
          </cell>
          <cell r="I1215" t="str">
            <v>sim</v>
          </cell>
          <cell r="V1215" t="str">
            <v>not neg pair</v>
          </cell>
          <cell r="Y1215" t="str">
            <v>Pres</v>
          </cell>
          <cell r="Z1215">
            <v>4.8600000000000003</v>
          </cell>
          <cell r="AA1215">
            <v>0</v>
          </cell>
          <cell r="AB1215">
            <v>0</v>
          </cell>
        </row>
        <row r="1216">
          <cell r="G1216" t="str">
            <v>1534_0</v>
          </cell>
          <cell r="H1216" t="str">
            <v>as-as</v>
          </cell>
          <cell r="I1216" t="str">
            <v>sim</v>
          </cell>
          <cell r="V1216" t="str">
            <v>not</v>
          </cell>
          <cell r="Y1216" t="str">
            <v>Pres</v>
          </cell>
          <cell r="Z1216">
            <v>4.57</v>
          </cell>
          <cell r="AA1216">
            <v>0</v>
          </cell>
          <cell r="AB1216">
            <v>1</v>
          </cell>
        </row>
        <row r="1217">
          <cell r="G1217" t="str">
            <v>1534_1</v>
          </cell>
          <cell r="H1217" t="str">
            <v>as-as</v>
          </cell>
          <cell r="I1217" t="str">
            <v>sim</v>
          </cell>
          <cell r="V1217" t="str">
            <v>not</v>
          </cell>
          <cell r="Y1217" t="str">
            <v>Pres</v>
          </cell>
          <cell r="Z1217">
            <v>4.57</v>
          </cell>
          <cell r="AA1217">
            <v>0</v>
          </cell>
          <cell r="AB1217">
            <v>1</v>
          </cell>
        </row>
        <row r="1218">
          <cell r="G1218" t="str">
            <v>1536_0</v>
          </cell>
          <cell r="H1218" t="str">
            <v>as-as</v>
          </cell>
          <cell r="I1218" t="str">
            <v>sim</v>
          </cell>
          <cell r="V1218" t="str">
            <v>antonym</v>
          </cell>
          <cell r="Y1218" t="str">
            <v>Past</v>
          </cell>
          <cell r="Z1218">
            <v>4.8600000000000003</v>
          </cell>
          <cell r="AA1218">
            <v>0</v>
          </cell>
          <cell r="AB1218">
            <v>0</v>
          </cell>
        </row>
        <row r="1219">
          <cell r="G1219" t="str">
            <v>1536_1</v>
          </cell>
          <cell r="H1219" t="str">
            <v>as-as</v>
          </cell>
          <cell r="I1219" t="str">
            <v>sim</v>
          </cell>
          <cell r="V1219" t="str">
            <v>antonym</v>
          </cell>
          <cell r="Y1219" t="str">
            <v>Past</v>
          </cell>
          <cell r="Z1219">
            <v>4.8600000000000003</v>
          </cell>
          <cell r="AA1219">
            <v>0</v>
          </cell>
          <cell r="AB1219">
            <v>0</v>
          </cell>
        </row>
        <row r="1220">
          <cell r="G1220" t="str">
            <v>1539_0</v>
          </cell>
          <cell r="H1220" t="str">
            <v>as-as</v>
          </cell>
          <cell r="I1220" t="str">
            <v>sim</v>
          </cell>
          <cell r="V1220" t="str">
            <v>not neg pair</v>
          </cell>
          <cell r="Y1220" t="str">
            <v>Pres</v>
          </cell>
          <cell r="Z1220">
            <v>3.93</v>
          </cell>
          <cell r="AA1220">
            <v>0</v>
          </cell>
          <cell r="AB1220">
            <v>0</v>
          </cell>
        </row>
        <row r="1221">
          <cell r="G1221" t="str">
            <v>1539_1</v>
          </cell>
          <cell r="H1221" t="str">
            <v>as-as</v>
          </cell>
          <cell r="I1221" t="str">
            <v>sim</v>
          </cell>
          <cell r="V1221" t="str">
            <v>not neg pair</v>
          </cell>
          <cell r="Y1221" t="str">
            <v>Pres</v>
          </cell>
          <cell r="Z1221">
            <v>3.93</v>
          </cell>
          <cell r="AA1221">
            <v>0</v>
          </cell>
          <cell r="AB1221">
            <v>0</v>
          </cell>
        </row>
        <row r="1222">
          <cell r="G1222" t="str">
            <v>1540_0</v>
          </cell>
          <cell r="H1222" t="str">
            <v>as-as</v>
          </cell>
          <cell r="I1222" t="str">
            <v>sim</v>
          </cell>
          <cell r="V1222" t="str">
            <v>not neg pair</v>
          </cell>
          <cell r="Y1222" t="str">
            <v>Pres</v>
          </cell>
          <cell r="Z1222">
            <v>3.93</v>
          </cell>
          <cell r="AA1222">
            <v>0</v>
          </cell>
          <cell r="AB1222">
            <v>0</v>
          </cell>
        </row>
        <row r="1223">
          <cell r="G1223" t="str">
            <v>1540_1</v>
          </cell>
          <cell r="H1223" t="str">
            <v>as-as</v>
          </cell>
          <cell r="I1223" t="str">
            <v>sim</v>
          </cell>
          <cell r="V1223" t="str">
            <v>not neg pair</v>
          </cell>
          <cell r="Y1223" t="str">
            <v>Pres</v>
          </cell>
          <cell r="Z1223">
            <v>3.93</v>
          </cell>
          <cell r="AA1223">
            <v>0</v>
          </cell>
          <cell r="AB1223">
            <v>0</v>
          </cell>
        </row>
        <row r="1224">
          <cell r="G1224" t="str">
            <v>1543_0</v>
          </cell>
          <cell r="H1224" t="str">
            <v>as-as</v>
          </cell>
          <cell r="I1224" t="str">
            <v>sim</v>
          </cell>
          <cell r="V1224" t="str">
            <v>antonym</v>
          </cell>
          <cell r="Y1224" t="str">
            <v>Pres</v>
          </cell>
          <cell r="Z1224">
            <v>4.46</v>
          </cell>
          <cell r="AA1224">
            <v>0</v>
          </cell>
          <cell r="AB1224">
            <v>0</v>
          </cell>
        </row>
        <row r="1225">
          <cell r="G1225" t="str">
            <v>1543_1</v>
          </cell>
          <cell r="H1225" t="str">
            <v>as-as</v>
          </cell>
          <cell r="I1225" t="str">
            <v>sim</v>
          </cell>
          <cell r="V1225" t="str">
            <v>antonym</v>
          </cell>
          <cell r="Y1225" t="str">
            <v>Pres</v>
          </cell>
          <cell r="Z1225">
            <v>4.46</v>
          </cell>
          <cell r="AA1225">
            <v>0</v>
          </cell>
          <cell r="AB1225">
            <v>0</v>
          </cell>
        </row>
        <row r="1226">
          <cell r="G1226" t="str">
            <v>1544_0</v>
          </cell>
          <cell r="H1226" t="str">
            <v>like</v>
          </cell>
          <cell r="I1226" t="str">
            <v>sim</v>
          </cell>
          <cell r="V1226" t="str">
            <v>not neg pair</v>
          </cell>
          <cell r="Y1226" t="str">
            <v>Pres</v>
          </cell>
          <cell r="Z1226">
            <v>3.83</v>
          </cell>
          <cell r="AA1226">
            <v>0</v>
          </cell>
          <cell r="AB1226">
            <v>0</v>
          </cell>
        </row>
        <row r="1227">
          <cell r="G1227" t="str">
            <v>1544_1</v>
          </cell>
          <cell r="H1227" t="str">
            <v>like</v>
          </cell>
          <cell r="I1227" t="str">
            <v>sim</v>
          </cell>
          <cell r="V1227" t="str">
            <v>not neg pair</v>
          </cell>
          <cell r="Y1227" t="str">
            <v>Pres</v>
          </cell>
          <cell r="Z1227">
            <v>3.83</v>
          </cell>
          <cell r="AA1227">
            <v>0</v>
          </cell>
          <cell r="AB1227">
            <v>0</v>
          </cell>
        </row>
        <row r="1228">
          <cell r="G1228" t="str">
            <v>1545_0</v>
          </cell>
          <cell r="H1228" t="str">
            <v>the-of</v>
          </cell>
          <cell r="I1228" t="str">
            <v>sim</v>
          </cell>
          <cell r="V1228" t="str">
            <v>not neg pair</v>
          </cell>
          <cell r="Y1228" t="str">
            <v>Past</v>
          </cell>
          <cell r="Z1228">
            <v>3.93</v>
          </cell>
          <cell r="AA1228">
            <v>0</v>
          </cell>
          <cell r="AB1228">
            <v>0</v>
          </cell>
        </row>
        <row r="1229">
          <cell r="G1229" t="str">
            <v>1545_1</v>
          </cell>
          <cell r="H1229" t="str">
            <v>like</v>
          </cell>
          <cell r="I1229" t="str">
            <v>sim</v>
          </cell>
          <cell r="V1229" t="str">
            <v>not neg pair</v>
          </cell>
          <cell r="Y1229" t="str">
            <v>Past</v>
          </cell>
          <cell r="Z1229">
            <v>3.93</v>
          </cell>
          <cell r="AA1229">
            <v>0</v>
          </cell>
          <cell r="AB1229">
            <v>0</v>
          </cell>
        </row>
        <row r="1230">
          <cell r="G1230" t="str">
            <v>1547_0</v>
          </cell>
          <cell r="H1230" t="str">
            <v>like</v>
          </cell>
          <cell r="I1230" t="str">
            <v>sim</v>
          </cell>
          <cell r="V1230" t="str">
            <v>not neg pair</v>
          </cell>
          <cell r="Y1230" t="str">
            <v>Pres</v>
          </cell>
          <cell r="Z1230">
            <v>4.1100000000000003</v>
          </cell>
          <cell r="AA1230">
            <v>0</v>
          </cell>
          <cell r="AB1230">
            <v>0</v>
          </cell>
        </row>
        <row r="1231">
          <cell r="G1231" t="str">
            <v>1547_1</v>
          </cell>
          <cell r="H1231" t="str">
            <v>like</v>
          </cell>
          <cell r="I1231" t="str">
            <v>sim</v>
          </cell>
          <cell r="V1231" t="str">
            <v>not neg pair</v>
          </cell>
          <cell r="Y1231" t="str">
            <v>Pres</v>
          </cell>
          <cell r="Z1231">
            <v>4.1100000000000003</v>
          </cell>
          <cell r="AA1231">
            <v>0</v>
          </cell>
          <cell r="AB1231">
            <v>0</v>
          </cell>
        </row>
        <row r="1232">
          <cell r="G1232" t="str">
            <v>1548_0</v>
          </cell>
          <cell r="H1232" t="str">
            <v/>
          </cell>
          <cell r="I1232" t="str">
            <v>met</v>
          </cell>
          <cell r="V1232" t="str">
            <v>0</v>
          </cell>
          <cell r="Y1232" t="str">
            <v>Pres</v>
          </cell>
          <cell r="Z1232">
            <v>4.33</v>
          </cell>
          <cell r="AA1232">
            <v>0</v>
          </cell>
          <cell r="AB1232">
            <v>0</v>
          </cell>
        </row>
        <row r="1233">
          <cell r="G1233" t="str">
            <v>1548_1</v>
          </cell>
          <cell r="H1233" t="str">
            <v/>
          </cell>
          <cell r="I1233" t="str">
            <v>met</v>
          </cell>
          <cell r="V1233" t="str">
            <v>0</v>
          </cell>
          <cell r="Y1233" t="str">
            <v>Pres</v>
          </cell>
          <cell r="Z1233">
            <v>4.33</v>
          </cell>
          <cell r="AA1233">
            <v>0</v>
          </cell>
          <cell r="AB1233">
            <v>0</v>
          </cell>
        </row>
        <row r="1234">
          <cell r="G1234" t="str">
            <v>1549_0</v>
          </cell>
          <cell r="H1234" t="str">
            <v/>
          </cell>
          <cell r="I1234" t="str">
            <v>met</v>
          </cell>
          <cell r="V1234" t="str">
            <v>0</v>
          </cell>
          <cell r="Y1234" t="str">
            <v>Past</v>
          </cell>
          <cell r="Z1234">
            <v>4.8600000000000003</v>
          </cell>
          <cell r="AA1234">
            <v>0</v>
          </cell>
          <cell r="AB1234">
            <v>0</v>
          </cell>
        </row>
        <row r="1235">
          <cell r="G1235" t="str">
            <v>1549_1</v>
          </cell>
          <cell r="H1235" t="str">
            <v/>
          </cell>
          <cell r="I1235" t="str">
            <v>met</v>
          </cell>
          <cell r="V1235" t="str">
            <v>0</v>
          </cell>
          <cell r="Y1235" t="str">
            <v>Past</v>
          </cell>
          <cell r="Z1235">
            <v>4.8600000000000003</v>
          </cell>
          <cell r="AA1235">
            <v>0</v>
          </cell>
          <cell r="AB1235">
            <v>0</v>
          </cell>
        </row>
        <row r="1236">
          <cell r="G1236" t="str">
            <v>1556_0</v>
          </cell>
          <cell r="H1236" t="str">
            <v/>
          </cell>
          <cell r="I1236" t="str">
            <v>met</v>
          </cell>
          <cell r="V1236" t="str">
            <v>0</v>
          </cell>
          <cell r="Y1236" t="str">
            <v>Pres</v>
          </cell>
          <cell r="Z1236">
            <v>4.3099999999999996</v>
          </cell>
          <cell r="AA1236">
            <v>0</v>
          </cell>
          <cell r="AB1236">
            <v>0</v>
          </cell>
        </row>
        <row r="1237">
          <cell r="G1237" t="str">
            <v>1556_1</v>
          </cell>
          <cell r="H1237" t="str">
            <v/>
          </cell>
          <cell r="I1237" t="str">
            <v>met</v>
          </cell>
          <cell r="V1237" t="str">
            <v>0</v>
          </cell>
          <cell r="Y1237" t="str">
            <v>Pres</v>
          </cell>
          <cell r="Z1237">
            <v>1.9</v>
          </cell>
          <cell r="AA1237" t="str">
            <v>L</v>
          </cell>
          <cell r="AB1237">
            <v>0</v>
          </cell>
        </row>
        <row r="1238">
          <cell r="G1238" t="str">
            <v>1557_0</v>
          </cell>
          <cell r="H1238" t="str">
            <v/>
          </cell>
          <cell r="I1238" t="str">
            <v>met</v>
          </cell>
          <cell r="V1238" t="str">
            <v>0</v>
          </cell>
          <cell r="Y1238" t="str">
            <v>Past</v>
          </cell>
          <cell r="Z1238">
            <v>4.8499999999999996</v>
          </cell>
          <cell r="AA1238">
            <v>0</v>
          </cell>
          <cell r="AB1238">
            <v>0</v>
          </cell>
        </row>
        <row r="1239">
          <cell r="G1239" t="str">
            <v>1557_1</v>
          </cell>
          <cell r="H1239" t="str">
            <v/>
          </cell>
          <cell r="I1239" t="str">
            <v>met</v>
          </cell>
          <cell r="V1239" t="str">
            <v>0</v>
          </cell>
          <cell r="Y1239" t="str">
            <v>Past</v>
          </cell>
          <cell r="Z1239">
            <v>4.8499999999999996</v>
          </cell>
          <cell r="AA1239">
            <v>0</v>
          </cell>
          <cell r="AB1239">
            <v>0</v>
          </cell>
        </row>
        <row r="1240">
          <cell r="G1240" t="str">
            <v>1559_0</v>
          </cell>
          <cell r="H1240" t="str">
            <v>like</v>
          </cell>
          <cell r="I1240" t="str">
            <v>sim</v>
          </cell>
          <cell r="V1240" t="str">
            <v>not</v>
          </cell>
          <cell r="Y1240" t="str">
            <v>Pres</v>
          </cell>
          <cell r="Z1240">
            <v>4.8499999999999996</v>
          </cell>
          <cell r="AA1240">
            <v>0</v>
          </cell>
          <cell r="AB1240">
            <v>0</v>
          </cell>
        </row>
        <row r="1241">
          <cell r="G1241" t="str">
            <v>1559_1</v>
          </cell>
          <cell r="H1241" t="str">
            <v>like</v>
          </cell>
          <cell r="I1241" t="str">
            <v>sim</v>
          </cell>
          <cell r="V1241" t="str">
            <v>not</v>
          </cell>
          <cell r="Y1241" t="str">
            <v>Pres</v>
          </cell>
          <cell r="Z1241">
            <v>4.8499999999999996</v>
          </cell>
          <cell r="AA1241">
            <v>0</v>
          </cell>
          <cell r="AB1241">
            <v>0</v>
          </cell>
        </row>
        <row r="1242">
          <cell r="G1242" t="str">
            <v>1560_0</v>
          </cell>
          <cell r="H1242" t="str">
            <v>the-of</v>
          </cell>
          <cell r="I1242" t="str">
            <v>sim</v>
          </cell>
          <cell r="V1242" t="str">
            <v>not neg pair</v>
          </cell>
          <cell r="Y1242" t="str">
            <v>Past</v>
          </cell>
          <cell r="Z1242">
            <v>4.76</v>
          </cell>
          <cell r="AA1242">
            <v>0</v>
          </cell>
          <cell r="AB1242">
            <v>0</v>
          </cell>
        </row>
        <row r="1243">
          <cell r="G1243" t="str">
            <v>1560_1</v>
          </cell>
          <cell r="H1243" t="str">
            <v>the-of</v>
          </cell>
          <cell r="I1243" t="str">
            <v>sim</v>
          </cell>
          <cell r="V1243" t="str">
            <v>not neg pair</v>
          </cell>
          <cell r="Y1243" t="str">
            <v>Past</v>
          </cell>
          <cell r="Z1243">
            <v>4.76</v>
          </cell>
          <cell r="AA1243">
            <v>0</v>
          </cell>
          <cell r="AB1243">
            <v>0</v>
          </cell>
        </row>
        <row r="1244">
          <cell r="G1244" t="str">
            <v>1567_0</v>
          </cell>
          <cell r="H1244" t="str">
            <v>as-as</v>
          </cell>
          <cell r="I1244" t="str">
            <v>sim</v>
          </cell>
          <cell r="V1244" t="str">
            <v>antonym</v>
          </cell>
          <cell r="Y1244" t="str">
            <v>Pres</v>
          </cell>
          <cell r="Z1244">
            <v>0</v>
          </cell>
          <cell r="AA1244">
            <v>0</v>
          </cell>
          <cell r="AB1244">
            <v>1</v>
          </cell>
        </row>
        <row r="1245">
          <cell r="G1245" t="str">
            <v>1567_1</v>
          </cell>
          <cell r="H1245" t="str">
            <v>as-as</v>
          </cell>
          <cell r="I1245" t="str">
            <v>sim</v>
          </cell>
          <cell r="V1245" t="str">
            <v>antonym</v>
          </cell>
          <cell r="Y1245" t="str">
            <v>Pres</v>
          </cell>
          <cell r="Z1245">
            <v>0</v>
          </cell>
          <cell r="AA1245">
            <v>0</v>
          </cell>
          <cell r="AB1245">
            <v>1</v>
          </cell>
        </row>
        <row r="1246">
          <cell r="G1246" t="str">
            <v>1570_0</v>
          </cell>
          <cell r="H1246" t="str">
            <v>as-as</v>
          </cell>
          <cell r="I1246" t="str">
            <v>sim</v>
          </cell>
          <cell r="V1246" t="str">
            <v>not neg pair</v>
          </cell>
          <cell r="Y1246" t="str">
            <v>Past</v>
          </cell>
          <cell r="Z1246">
            <v>4.79</v>
          </cell>
          <cell r="AA1246">
            <v>0</v>
          </cell>
          <cell r="AB1246">
            <v>0</v>
          </cell>
        </row>
        <row r="1247">
          <cell r="G1247" t="str">
            <v>1570_1</v>
          </cell>
          <cell r="H1247" t="str">
            <v>as-as</v>
          </cell>
          <cell r="I1247" t="str">
            <v>sim</v>
          </cell>
          <cell r="V1247" t="str">
            <v>not neg pair</v>
          </cell>
          <cell r="Y1247" t="str">
            <v>Past</v>
          </cell>
          <cell r="Z1247">
            <v>3.71</v>
          </cell>
          <cell r="AA1247">
            <v>0</v>
          </cell>
          <cell r="AB1247">
            <v>0</v>
          </cell>
        </row>
        <row r="1248">
          <cell r="G1248" t="str">
            <v>1571_0</v>
          </cell>
          <cell r="H1248" t="str">
            <v>as-as</v>
          </cell>
          <cell r="I1248" t="str">
            <v>sim</v>
          </cell>
          <cell r="V1248" t="str">
            <v>antonym</v>
          </cell>
          <cell r="Y1248" t="str">
            <v>Pres</v>
          </cell>
          <cell r="Z1248">
            <v>4.3</v>
          </cell>
          <cell r="AA1248">
            <v>0</v>
          </cell>
          <cell r="AB1248">
            <v>1</v>
          </cell>
        </row>
        <row r="1249">
          <cell r="G1249" t="str">
            <v>1571_1</v>
          </cell>
          <cell r="H1249" t="str">
            <v>as-as</v>
          </cell>
          <cell r="I1249" t="str">
            <v>sim</v>
          </cell>
          <cell r="V1249" t="str">
            <v>antonym</v>
          </cell>
          <cell r="Y1249" t="str">
            <v>Pres</v>
          </cell>
          <cell r="Z1249">
            <v>4.76</v>
          </cell>
          <cell r="AA1249">
            <v>0</v>
          </cell>
          <cell r="AB1249">
            <v>1</v>
          </cell>
        </row>
        <row r="1250">
          <cell r="G1250" t="str">
            <v>1572_0</v>
          </cell>
          <cell r="H1250" t="str">
            <v>as-as</v>
          </cell>
          <cell r="I1250" t="str">
            <v>sim</v>
          </cell>
          <cell r="V1250" t="str">
            <v>not</v>
          </cell>
          <cell r="Y1250" t="str">
            <v>Pres</v>
          </cell>
          <cell r="Z1250">
            <v>3.48</v>
          </cell>
          <cell r="AA1250">
            <v>0</v>
          </cell>
          <cell r="AB1250">
            <v>1</v>
          </cell>
        </row>
        <row r="1251">
          <cell r="G1251" t="str">
            <v>1572_1</v>
          </cell>
          <cell r="H1251" t="str">
            <v>as-as</v>
          </cell>
          <cell r="I1251" t="str">
            <v>sim</v>
          </cell>
          <cell r="V1251" t="str">
            <v>not</v>
          </cell>
          <cell r="Y1251" t="str">
            <v>Pres</v>
          </cell>
          <cell r="Z1251">
            <v>3.48</v>
          </cell>
          <cell r="AA1251">
            <v>0</v>
          </cell>
          <cell r="AB1251">
            <v>1</v>
          </cell>
        </row>
        <row r="1252">
          <cell r="G1252" t="str">
            <v>1580_0</v>
          </cell>
          <cell r="H1252" t="str">
            <v>the-of</v>
          </cell>
          <cell r="I1252" t="str">
            <v>sim</v>
          </cell>
          <cell r="V1252" t="str">
            <v>not neg pair</v>
          </cell>
          <cell r="Y1252" t="str">
            <v>Pres</v>
          </cell>
          <cell r="Z1252">
            <v>4.93</v>
          </cell>
          <cell r="AA1252" t="str">
            <v>H</v>
          </cell>
          <cell r="AB1252">
            <v>0</v>
          </cell>
        </row>
        <row r="1253">
          <cell r="G1253" t="str">
            <v>1580_1</v>
          </cell>
          <cell r="H1253" t="str">
            <v>the-of</v>
          </cell>
          <cell r="I1253" t="str">
            <v>sim</v>
          </cell>
          <cell r="V1253" t="str">
            <v>not neg pair</v>
          </cell>
          <cell r="Y1253" t="str">
            <v>Pres</v>
          </cell>
          <cell r="Z1253">
            <v>4.93</v>
          </cell>
          <cell r="AA1253" t="str">
            <v>H</v>
          </cell>
          <cell r="AB1253">
            <v>0</v>
          </cell>
        </row>
        <row r="1254">
          <cell r="G1254" t="str">
            <v>1586_0</v>
          </cell>
          <cell r="H1254" t="str">
            <v/>
          </cell>
          <cell r="I1254" t="str">
            <v>met</v>
          </cell>
          <cell r="V1254" t="str">
            <v>0</v>
          </cell>
          <cell r="Y1254" t="str">
            <v>Pres</v>
          </cell>
          <cell r="Z1254">
            <v>3.48</v>
          </cell>
          <cell r="AA1254">
            <v>0</v>
          </cell>
          <cell r="AB1254">
            <v>0</v>
          </cell>
        </row>
        <row r="1255">
          <cell r="G1255" t="str">
            <v>1586_1</v>
          </cell>
          <cell r="H1255" t="str">
            <v/>
          </cell>
          <cell r="I1255" t="str">
            <v>met</v>
          </cell>
          <cell r="V1255" t="str">
            <v>0</v>
          </cell>
          <cell r="Y1255" t="str">
            <v>Pres</v>
          </cell>
          <cell r="Z1255">
            <v>3.48</v>
          </cell>
          <cell r="AA1255">
            <v>0</v>
          </cell>
          <cell r="AB1255">
            <v>0</v>
          </cell>
        </row>
        <row r="1256">
          <cell r="G1256" t="str">
            <v>1587_0</v>
          </cell>
          <cell r="H1256" t="str">
            <v/>
          </cell>
          <cell r="I1256" t="str">
            <v>met</v>
          </cell>
          <cell r="V1256" t="str">
            <v>0</v>
          </cell>
          <cell r="Y1256" t="str">
            <v>Pres</v>
          </cell>
          <cell r="Z1256">
            <v>0</v>
          </cell>
          <cell r="AA1256">
            <v>0</v>
          </cell>
          <cell r="AB1256">
            <v>0</v>
          </cell>
        </row>
        <row r="1257">
          <cell r="G1257" t="str">
            <v>1587_1</v>
          </cell>
          <cell r="H1257" t="str">
            <v/>
          </cell>
          <cell r="I1257" t="str">
            <v>met</v>
          </cell>
          <cell r="V1257" t="str">
            <v>0</v>
          </cell>
          <cell r="Y1257" t="str">
            <v>Pres</v>
          </cell>
          <cell r="Z1257">
            <v>0</v>
          </cell>
          <cell r="AA1257">
            <v>0</v>
          </cell>
          <cell r="AB1257">
            <v>0</v>
          </cell>
        </row>
        <row r="1258">
          <cell r="G1258" t="str">
            <v>1588_0</v>
          </cell>
          <cell r="H1258" t="str">
            <v/>
          </cell>
          <cell r="I1258" t="str">
            <v>met</v>
          </cell>
          <cell r="V1258" t="str">
            <v>0</v>
          </cell>
          <cell r="Y1258" t="str">
            <v>Pres</v>
          </cell>
          <cell r="Z1258">
            <v>4.83</v>
          </cell>
          <cell r="AA1258">
            <v>0</v>
          </cell>
          <cell r="AB1258">
            <v>0</v>
          </cell>
        </row>
        <row r="1259">
          <cell r="G1259" t="str">
            <v>1588_1</v>
          </cell>
          <cell r="H1259" t="str">
            <v/>
          </cell>
          <cell r="I1259" t="str">
            <v>met</v>
          </cell>
          <cell r="V1259" t="str">
            <v>0</v>
          </cell>
          <cell r="Y1259" t="str">
            <v>Pres</v>
          </cell>
          <cell r="Z1259">
            <v>4.83</v>
          </cell>
          <cell r="AA1259">
            <v>0</v>
          </cell>
          <cell r="AB1259">
            <v>0</v>
          </cell>
        </row>
        <row r="1260">
          <cell r="G1260" t="str">
            <v>1589_0</v>
          </cell>
          <cell r="H1260" t="str">
            <v>as-as</v>
          </cell>
          <cell r="I1260" t="str">
            <v>sim</v>
          </cell>
          <cell r="V1260" t="str">
            <v>not neg pair</v>
          </cell>
          <cell r="Y1260" t="str">
            <v>Pres</v>
          </cell>
          <cell r="Z1260">
            <v>4.62</v>
          </cell>
          <cell r="AA1260">
            <v>0</v>
          </cell>
          <cell r="AB1260">
            <v>0</v>
          </cell>
        </row>
        <row r="1261">
          <cell r="G1261" t="str">
            <v>1589_1</v>
          </cell>
          <cell r="H1261" t="str">
            <v>as-as</v>
          </cell>
          <cell r="I1261" t="str">
            <v>sim</v>
          </cell>
          <cell r="V1261" t="str">
            <v>not neg pair</v>
          </cell>
          <cell r="Y1261" t="str">
            <v>Past</v>
          </cell>
          <cell r="Z1261">
            <v>4.62</v>
          </cell>
          <cell r="AA1261">
            <v>0</v>
          </cell>
          <cell r="AB1261">
            <v>0</v>
          </cell>
        </row>
        <row r="1262">
          <cell r="G1262" t="str">
            <v>1590_0</v>
          </cell>
          <cell r="H1262" t="str">
            <v>as-as</v>
          </cell>
          <cell r="I1262" t="str">
            <v>sim</v>
          </cell>
          <cell r="V1262" t="str">
            <v>antonym</v>
          </cell>
          <cell r="Y1262" t="str">
            <v>Pres</v>
          </cell>
          <cell r="Z1262">
            <v>4.97</v>
          </cell>
          <cell r="AA1262" t="str">
            <v>H</v>
          </cell>
          <cell r="AB1262">
            <v>0</v>
          </cell>
        </row>
        <row r="1263">
          <cell r="G1263" t="str">
            <v>1590_1</v>
          </cell>
          <cell r="H1263" t="str">
            <v>as-as</v>
          </cell>
          <cell r="I1263" t="str">
            <v>sim</v>
          </cell>
          <cell r="V1263" t="str">
            <v>antonym</v>
          </cell>
          <cell r="Y1263" t="str">
            <v>Pres</v>
          </cell>
          <cell r="Z1263">
            <v>4.97</v>
          </cell>
          <cell r="AA1263" t="str">
            <v>H</v>
          </cell>
          <cell r="AB1263">
            <v>0</v>
          </cell>
        </row>
        <row r="1264">
          <cell r="G1264" t="str">
            <v>1596_0</v>
          </cell>
          <cell r="H1264" t="str">
            <v>the-of</v>
          </cell>
          <cell r="I1264" t="str">
            <v>sim</v>
          </cell>
          <cell r="V1264" t="str">
            <v>not neg pair</v>
          </cell>
          <cell r="Y1264" t="str">
            <v>Pres</v>
          </cell>
          <cell r="Z1264">
            <v>4.5999999999999996</v>
          </cell>
          <cell r="AA1264">
            <v>0</v>
          </cell>
          <cell r="AB1264">
            <v>0</v>
          </cell>
        </row>
        <row r="1265">
          <cell r="G1265" t="str">
            <v>1596_1</v>
          </cell>
          <cell r="H1265" t="str">
            <v>the-of</v>
          </cell>
          <cell r="I1265" t="str">
            <v>sim</v>
          </cell>
          <cell r="V1265" t="str">
            <v>not neg pair</v>
          </cell>
          <cell r="Y1265" t="str">
            <v>Pres</v>
          </cell>
          <cell r="Z1265">
            <v>4.5999999999999996</v>
          </cell>
          <cell r="AA1265">
            <v>0</v>
          </cell>
          <cell r="AB1265">
            <v>0</v>
          </cell>
        </row>
        <row r="1266">
          <cell r="G1266" t="str">
            <v>1599_0</v>
          </cell>
          <cell r="H1266" t="str">
            <v/>
          </cell>
          <cell r="I1266" t="str">
            <v>met</v>
          </cell>
          <cell r="V1266" t="str">
            <v>0</v>
          </cell>
          <cell r="Y1266" t="str">
            <v>Pres</v>
          </cell>
          <cell r="Z1266">
            <v>4.57</v>
          </cell>
          <cell r="AA1266">
            <v>0</v>
          </cell>
          <cell r="AB1266">
            <v>0</v>
          </cell>
        </row>
        <row r="1267">
          <cell r="G1267" t="str">
            <v>1599_1</v>
          </cell>
          <cell r="H1267" t="str">
            <v/>
          </cell>
          <cell r="I1267" t="str">
            <v>met</v>
          </cell>
          <cell r="V1267" t="str">
            <v>0</v>
          </cell>
          <cell r="Y1267" t="str">
            <v>Pres</v>
          </cell>
          <cell r="Z1267">
            <v>4.57</v>
          </cell>
          <cell r="AA1267">
            <v>0</v>
          </cell>
          <cell r="AB1267">
            <v>0</v>
          </cell>
        </row>
        <row r="1268">
          <cell r="G1268" t="str">
            <v>1600_0</v>
          </cell>
          <cell r="H1268" t="str">
            <v/>
          </cell>
          <cell r="I1268" t="str">
            <v>met</v>
          </cell>
          <cell r="V1268" t="str">
            <v>0</v>
          </cell>
          <cell r="Y1268" t="str">
            <v>Pres</v>
          </cell>
          <cell r="Z1268">
            <v>4.3899999999999997</v>
          </cell>
          <cell r="AA1268">
            <v>0</v>
          </cell>
          <cell r="AB1268">
            <v>0</v>
          </cell>
        </row>
        <row r="1269">
          <cell r="G1269" t="str">
            <v>1600_1</v>
          </cell>
          <cell r="H1269" t="str">
            <v/>
          </cell>
          <cell r="I1269" t="str">
            <v>met</v>
          </cell>
          <cell r="V1269" t="str">
            <v>0</v>
          </cell>
          <cell r="Y1269" t="str">
            <v>Pres</v>
          </cell>
          <cell r="Z1269">
            <v>4.3899999999999997</v>
          </cell>
          <cell r="AA1269">
            <v>0</v>
          </cell>
          <cell r="AB1269">
            <v>0</v>
          </cell>
        </row>
        <row r="1270">
          <cell r="G1270" t="str">
            <v>1606_0</v>
          </cell>
          <cell r="H1270" t="str">
            <v>the-of</v>
          </cell>
          <cell r="I1270" t="str">
            <v>sim</v>
          </cell>
          <cell r="V1270" t="str">
            <v>not neg pair</v>
          </cell>
          <cell r="Y1270" t="str">
            <v>Past</v>
          </cell>
          <cell r="Z1270">
            <v>4.41</v>
          </cell>
          <cell r="AA1270">
            <v>0</v>
          </cell>
          <cell r="AB1270">
            <v>0</v>
          </cell>
        </row>
        <row r="1271">
          <cell r="G1271" t="str">
            <v>1606_1</v>
          </cell>
          <cell r="H1271" t="str">
            <v>the-of</v>
          </cell>
          <cell r="I1271" t="str">
            <v>sim</v>
          </cell>
          <cell r="V1271" t="str">
            <v>not neg pair</v>
          </cell>
          <cell r="Y1271" t="str">
            <v>Past</v>
          </cell>
          <cell r="Z1271">
            <v>4.41</v>
          </cell>
          <cell r="AA1271">
            <v>0</v>
          </cell>
          <cell r="AB1271">
            <v>0</v>
          </cell>
        </row>
        <row r="1272">
          <cell r="G1272" t="str">
            <v>1607_0</v>
          </cell>
          <cell r="H1272" t="str">
            <v/>
          </cell>
          <cell r="I1272" t="str">
            <v>met</v>
          </cell>
          <cell r="V1272" t="str">
            <v>0</v>
          </cell>
          <cell r="Y1272" t="str">
            <v>Past</v>
          </cell>
          <cell r="Z1272">
            <v>4.21</v>
          </cell>
          <cell r="AA1272">
            <v>0</v>
          </cell>
          <cell r="AB1272">
            <v>0</v>
          </cell>
        </row>
        <row r="1273">
          <cell r="G1273" t="str">
            <v>1607_1</v>
          </cell>
          <cell r="H1273" t="str">
            <v/>
          </cell>
          <cell r="I1273" t="str">
            <v>met</v>
          </cell>
          <cell r="V1273" t="str">
            <v>0</v>
          </cell>
          <cell r="Y1273" t="str">
            <v>Past</v>
          </cell>
          <cell r="Z1273">
            <v>4.21</v>
          </cell>
          <cell r="AA1273">
            <v>0</v>
          </cell>
          <cell r="AB1273">
            <v>0</v>
          </cell>
        </row>
        <row r="1274">
          <cell r="G1274" t="str">
            <v>1611_0</v>
          </cell>
          <cell r="H1274" t="str">
            <v>as-as</v>
          </cell>
          <cell r="I1274" t="str">
            <v>sim</v>
          </cell>
          <cell r="V1274" t="str">
            <v>not neg pair</v>
          </cell>
          <cell r="Y1274" t="str">
            <v>Past</v>
          </cell>
          <cell r="Z1274">
            <v>4.33</v>
          </cell>
          <cell r="AA1274">
            <v>0</v>
          </cell>
          <cell r="AB1274">
            <v>0</v>
          </cell>
        </row>
        <row r="1275">
          <cell r="G1275" t="str">
            <v>1611_1</v>
          </cell>
          <cell r="H1275" t="str">
            <v>as-as</v>
          </cell>
          <cell r="I1275" t="str">
            <v>sim</v>
          </cell>
          <cell r="V1275" t="str">
            <v>not neg pair</v>
          </cell>
          <cell r="Y1275" t="str">
            <v>Past</v>
          </cell>
          <cell r="Z1275">
            <v>4.33</v>
          </cell>
          <cell r="AA1275">
            <v>0</v>
          </cell>
          <cell r="AB1275">
            <v>0</v>
          </cell>
        </row>
        <row r="1276">
          <cell r="G1276" t="str">
            <v>1612_0</v>
          </cell>
          <cell r="H1276" t="str">
            <v>as-as</v>
          </cell>
          <cell r="I1276" t="str">
            <v>sim</v>
          </cell>
          <cell r="V1276" t="str">
            <v>not neg pair</v>
          </cell>
          <cell r="Y1276" t="str">
            <v>Pres</v>
          </cell>
          <cell r="Z1276">
            <v>4.12</v>
          </cell>
          <cell r="AA1276">
            <v>0</v>
          </cell>
          <cell r="AB1276">
            <v>0</v>
          </cell>
        </row>
        <row r="1277">
          <cell r="G1277" t="str">
            <v>1612_1</v>
          </cell>
          <cell r="H1277" t="str">
            <v>as-as</v>
          </cell>
          <cell r="I1277" t="str">
            <v>sim</v>
          </cell>
          <cell r="V1277" t="str">
            <v>not neg pair</v>
          </cell>
          <cell r="Y1277" t="str">
            <v>Pres</v>
          </cell>
          <cell r="Z1277">
            <v>4.12</v>
          </cell>
          <cell r="AA1277">
            <v>0</v>
          </cell>
          <cell r="AB1277">
            <v>0</v>
          </cell>
        </row>
        <row r="1278">
          <cell r="G1278" t="str">
            <v>1613_0</v>
          </cell>
          <cell r="H1278" t="str">
            <v>like</v>
          </cell>
          <cell r="I1278" t="str">
            <v>sim</v>
          </cell>
          <cell r="V1278" t="str">
            <v>not</v>
          </cell>
          <cell r="Y1278" t="str">
            <v>Past</v>
          </cell>
          <cell r="Z1278">
            <v>3.36</v>
          </cell>
          <cell r="AA1278">
            <v>0</v>
          </cell>
          <cell r="AB1278">
            <v>0</v>
          </cell>
        </row>
        <row r="1279">
          <cell r="G1279" t="str">
            <v>1613_1</v>
          </cell>
          <cell r="H1279" t="str">
            <v>like</v>
          </cell>
          <cell r="I1279" t="str">
            <v>sim</v>
          </cell>
          <cell r="V1279" t="str">
            <v>not</v>
          </cell>
          <cell r="Y1279" t="str">
            <v>Past</v>
          </cell>
          <cell r="Z1279">
            <v>3.36</v>
          </cell>
          <cell r="AA1279">
            <v>0</v>
          </cell>
          <cell r="AB1279">
            <v>0</v>
          </cell>
        </row>
        <row r="1280">
          <cell r="G1280" t="str">
            <v>1615_0</v>
          </cell>
          <cell r="H1280" t="str">
            <v>the-of</v>
          </cell>
          <cell r="I1280" t="str">
            <v>sim</v>
          </cell>
          <cell r="V1280" t="str">
            <v>not neg pair</v>
          </cell>
          <cell r="Y1280" t="str">
            <v>Pres</v>
          </cell>
          <cell r="Z1280">
            <v>4.24</v>
          </cell>
          <cell r="AA1280">
            <v>0</v>
          </cell>
          <cell r="AB1280">
            <v>0</v>
          </cell>
        </row>
        <row r="1281">
          <cell r="G1281" t="str">
            <v>1615_1</v>
          </cell>
          <cell r="H1281" t="str">
            <v>the-of</v>
          </cell>
          <cell r="I1281" t="str">
            <v>sim</v>
          </cell>
          <cell r="V1281" t="str">
            <v>not neg pair</v>
          </cell>
          <cell r="Y1281" t="str">
            <v>Pres</v>
          </cell>
          <cell r="Z1281">
            <v>4.24</v>
          </cell>
          <cell r="AA1281">
            <v>0</v>
          </cell>
          <cell r="AB1281">
            <v>0</v>
          </cell>
        </row>
        <row r="1282">
          <cell r="G1282" t="str">
            <v>1617_0</v>
          </cell>
          <cell r="H1282" t="str">
            <v>like</v>
          </cell>
          <cell r="I1282" t="str">
            <v>sim</v>
          </cell>
          <cell r="V1282" t="str">
            <v>not</v>
          </cell>
          <cell r="Y1282" t="str">
            <v>Pres</v>
          </cell>
          <cell r="Z1282">
            <v>3.93</v>
          </cell>
          <cell r="AA1282">
            <v>0</v>
          </cell>
          <cell r="AB1282">
            <v>1</v>
          </cell>
        </row>
        <row r="1283">
          <cell r="G1283" t="str">
            <v>1617_1</v>
          </cell>
          <cell r="H1283" t="str">
            <v>like</v>
          </cell>
          <cell r="I1283" t="str">
            <v>sim</v>
          </cell>
          <cell r="V1283" t="str">
            <v>not</v>
          </cell>
          <cell r="Y1283" t="str">
            <v>Pres</v>
          </cell>
          <cell r="Z1283">
            <v>3.93</v>
          </cell>
          <cell r="AA1283">
            <v>0</v>
          </cell>
          <cell r="AB1283">
            <v>1</v>
          </cell>
        </row>
        <row r="1284">
          <cell r="G1284" t="str">
            <v>1619_0</v>
          </cell>
          <cell r="H1284" t="str">
            <v>like</v>
          </cell>
          <cell r="I1284" t="str">
            <v>sim</v>
          </cell>
          <cell r="V1284" t="str">
            <v>not</v>
          </cell>
          <cell r="Y1284">
            <v>0</v>
          </cell>
          <cell r="Z1284">
            <v>3.93</v>
          </cell>
          <cell r="AA1284">
            <v>0</v>
          </cell>
          <cell r="AB1284">
            <v>1</v>
          </cell>
        </row>
        <row r="1285">
          <cell r="G1285" t="str">
            <v>1619_1</v>
          </cell>
          <cell r="H1285" t="str">
            <v>like</v>
          </cell>
          <cell r="I1285" t="str">
            <v>sim</v>
          </cell>
          <cell r="V1285" t="str">
            <v>not</v>
          </cell>
          <cell r="Y1285">
            <v>0</v>
          </cell>
          <cell r="Z1285">
            <v>3.93</v>
          </cell>
          <cell r="AA1285">
            <v>0</v>
          </cell>
          <cell r="AB1285">
            <v>1</v>
          </cell>
        </row>
        <row r="1286">
          <cell r="G1286" t="str">
            <v>1621_0</v>
          </cell>
          <cell r="H1286" t="str">
            <v>the-of</v>
          </cell>
          <cell r="I1286" t="str">
            <v>sim</v>
          </cell>
          <cell r="V1286" t="str">
            <v>not neg pair</v>
          </cell>
          <cell r="Y1286" t="str">
            <v>Pres</v>
          </cell>
          <cell r="Z1286">
            <v>3.36</v>
          </cell>
          <cell r="AA1286">
            <v>0</v>
          </cell>
          <cell r="AB1286">
            <v>0</v>
          </cell>
        </row>
        <row r="1287">
          <cell r="G1287" t="str">
            <v>1621_1</v>
          </cell>
          <cell r="H1287" t="str">
            <v>the-of</v>
          </cell>
          <cell r="I1287" t="str">
            <v>sim</v>
          </cell>
          <cell r="V1287" t="str">
            <v>not neg pair</v>
          </cell>
          <cell r="Y1287" t="str">
            <v>Pres</v>
          </cell>
          <cell r="Z1287">
            <v>3.36</v>
          </cell>
          <cell r="AA1287">
            <v>0</v>
          </cell>
          <cell r="AB1287">
            <v>0</v>
          </cell>
        </row>
        <row r="1288">
          <cell r="G1288" t="str">
            <v>1622_0</v>
          </cell>
          <cell r="H1288" t="str">
            <v>the-of</v>
          </cell>
          <cell r="I1288" t="str">
            <v>sim</v>
          </cell>
          <cell r="V1288" t="str">
            <v>not neg pair</v>
          </cell>
          <cell r="Y1288" t="str">
            <v>Past</v>
          </cell>
          <cell r="Z1288">
            <v>3.79</v>
          </cell>
          <cell r="AA1288">
            <v>0</v>
          </cell>
          <cell r="AB1288">
            <v>0</v>
          </cell>
        </row>
        <row r="1289">
          <cell r="G1289" t="str">
            <v>1622_1</v>
          </cell>
          <cell r="H1289" t="str">
            <v>the-of</v>
          </cell>
          <cell r="I1289" t="str">
            <v>sim</v>
          </cell>
          <cell r="V1289" t="str">
            <v>not neg pair</v>
          </cell>
          <cell r="Y1289" t="str">
            <v>Past</v>
          </cell>
          <cell r="Z1289">
            <v>3.79</v>
          </cell>
          <cell r="AA1289">
            <v>0</v>
          </cell>
          <cell r="AB1289">
            <v>0</v>
          </cell>
        </row>
        <row r="1290">
          <cell r="G1290" t="str">
            <v>1623_0</v>
          </cell>
          <cell r="H1290" t="str">
            <v/>
          </cell>
          <cell r="I1290" t="str">
            <v>met</v>
          </cell>
          <cell r="V1290" t="str">
            <v>0</v>
          </cell>
          <cell r="Y1290" t="str">
            <v>Past</v>
          </cell>
          <cell r="Z1290">
            <v>2.0699999999999998</v>
          </cell>
          <cell r="AA1290" t="str">
            <v>L</v>
          </cell>
          <cell r="AB1290">
            <v>1</v>
          </cell>
        </row>
        <row r="1291">
          <cell r="G1291" t="str">
            <v>1623_1</v>
          </cell>
          <cell r="H1291" t="str">
            <v>the-of</v>
          </cell>
          <cell r="I1291" t="str">
            <v>sim</v>
          </cell>
          <cell r="V1291" t="str">
            <v>0</v>
          </cell>
          <cell r="Y1291" t="str">
            <v>Past</v>
          </cell>
          <cell r="Z1291">
            <v>2.0699999999999998</v>
          </cell>
          <cell r="AA1291" t="str">
            <v>L</v>
          </cell>
          <cell r="AB1291">
            <v>1</v>
          </cell>
        </row>
        <row r="1292">
          <cell r="G1292" t="str">
            <v>1624_0</v>
          </cell>
          <cell r="H1292" t="str">
            <v/>
          </cell>
          <cell r="I1292" t="str">
            <v>met</v>
          </cell>
          <cell r="V1292" t="str">
            <v>0</v>
          </cell>
          <cell r="Y1292" t="str">
            <v>Past</v>
          </cell>
          <cell r="Z1292">
            <v>2.0699999999999998</v>
          </cell>
          <cell r="AA1292" t="str">
            <v>L</v>
          </cell>
          <cell r="AB1292">
            <v>0</v>
          </cell>
        </row>
        <row r="1293">
          <cell r="G1293" t="str">
            <v>1624_1</v>
          </cell>
          <cell r="H1293" t="str">
            <v>the-of</v>
          </cell>
          <cell r="I1293" t="str">
            <v>sim</v>
          </cell>
          <cell r="V1293" t="str">
            <v>0</v>
          </cell>
          <cell r="Y1293" t="str">
            <v>Past</v>
          </cell>
          <cell r="Z1293">
            <v>2.0699999999999998</v>
          </cell>
          <cell r="AA1293" t="str">
            <v>L</v>
          </cell>
          <cell r="AB1293">
            <v>0</v>
          </cell>
        </row>
        <row r="1294">
          <cell r="G1294" t="str">
            <v>1625_0</v>
          </cell>
          <cell r="H1294" t="str">
            <v/>
          </cell>
          <cell r="I1294" t="str">
            <v>met</v>
          </cell>
          <cell r="V1294" t="str">
            <v>0</v>
          </cell>
          <cell r="Y1294" t="str">
            <v>Past</v>
          </cell>
          <cell r="Z1294">
            <v>2.0699999999999998</v>
          </cell>
          <cell r="AA1294" t="str">
            <v>L</v>
          </cell>
          <cell r="AB1294">
            <v>0</v>
          </cell>
        </row>
        <row r="1295">
          <cell r="G1295" t="str">
            <v>1625_1</v>
          </cell>
          <cell r="H1295" t="str">
            <v/>
          </cell>
          <cell r="I1295" t="str">
            <v>met</v>
          </cell>
          <cell r="V1295" t="str">
            <v>0</v>
          </cell>
          <cell r="Y1295" t="str">
            <v>Past</v>
          </cell>
          <cell r="Z1295">
            <v>2.0699999999999998</v>
          </cell>
          <cell r="AA1295" t="str">
            <v>L</v>
          </cell>
          <cell r="AB1295">
            <v>0</v>
          </cell>
        </row>
        <row r="1296">
          <cell r="G1296" t="str">
            <v>1632_0</v>
          </cell>
          <cell r="H1296" t="str">
            <v>as-as</v>
          </cell>
          <cell r="I1296" t="str">
            <v>sim</v>
          </cell>
          <cell r="V1296" t="str">
            <v>antonym</v>
          </cell>
          <cell r="Y1296" t="str">
            <v>Pres</v>
          </cell>
          <cell r="Z1296">
            <v>4.79</v>
          </cell>
          <cell r="AA1296">
            <v>0</v>
          </cell>
          <cell r="AB1296">
            <v>0</v>
          </cell>
        </row>
        <row r="1297">
          <cell r="G1297" t="str">
            <v>1632_1</v>
          </cell>
          <cell r="H1297" t="str">
            <v>as-as</v>
          </cell>
          <cell r="I1297" t="str">
            <v>sim</v>
          </cell>
          <cell r="V1297" t="str">
            <v>antonym</v>
          </cell>
          <cell r="Y1297" t="str">
            <v>Pres</v>
          </cell>
          <cell r="Z1297">
            <v>4.79</v>
          </cell>
          <cell r="AA1297">
            <v>0</v>
          </cell>
          <cell r="AB1297">
            <v>0</v>
          </cell>
        </row>
        <row r="1298">
          <cell r="G1298" t="str">
            <v>1633_0</v>
          </cell>
          <cell r="H1298" t="str">
            <v>as-as</v>
          </cell>
          <cell r="I1298" t="str">
            <v>sim</v>
          </cell>
          <cell r="V1298" t="str">
            <v>antonym</v>
          </cell>
          <cell r="Y1298" t="str">
            <v>Pres</v>
          </cell>
          <cell r="Z1298">
            <v>4.79</v>
          </cell>
          <cell r="AA1298">
            <v>0</v>
          </cell>
          <cell r="AB1298">
            <v>0</v>
          </cell>
        </row>
        <row r="1299">
          <cell r="G1299" t="str">
            <v>1633_1</v>
          </cell>
          <cell r="H1299" t="str">
            <v>as-as</v>
          </cell>
          <cell r="I1299" t="str">
            <v>sim</v>
          </cell>
          <cell r="V1299" t="str">
            <v>antonym</v>
          </cell>
          <cell r="Y1299" t="str">
            <v>Pres</v>
          </cell>
          <cell r="Z1299">
            <v>4.79</v>
          </cell>
          <cell r="AA1299">
            <v>0</v>
          </cell>
          <cell r="AB1299">
            <v>0</v>
          </cell>
        </row>
        <row r="1300">
          <cell r="G1300" t="str">
            <v>1634_0</v>
          </cell>
          <cell r="H1300" t="str">
            <v>like</v>
          </cell>
          <cell r="I1300" t="str">
            <v>sim</v>
          </cell>
          <cell r="V1300" t="str">
            <v>not</v>
          </cell>
          <cell r="Y1300" t="str">
            <v>Past</v>
          </cell>
          <cell r="Z1300">
            <v>3.48</v>
          </cell>
          <cell r="AA1300">
            <v>0</v>
          </cell>
          <cell r="AB1300">
            <v>1</v>
          </cell>
        </row>
        <row r="1301">
          <cell r="G1301" t="str">
            <v>1634_1</v>
          </cell>
          <cell r="H1301" t="str">
            <v>like</v>
          </cell>
          <cell r="I1301" t="str">
            <v>sim</v>
          </cell>
          <cell r="V1301" t="str">
            <v>not</v>
          </cell>
          <cell r="Y1301" t="str">
            <v>Past</v>
          </cell>
          <cell r="Z1301">
            <v>3.48</v>
          </cell>
          <cell r="AA1301">
            <v>0</v>
          </cell>
          <cell r="AB1301">
            <v>1</v>
          </cell>
        </row>
        <row r="1302">
          <cell r="G1302" t="str">
            <v>1635_0</v>
          </cell>
          <cell r="H1302" t="str">
            <v>the-of</v>
          </cell>
          <cell r="I1302" t="str">
            <v>sim</v>
          </cell>
          <cell r="V1302" t="str">
            <v>not</v>
          </cell>
          <cell r="Y1302" t="str">
            <v>Pres</v>
          </cell>
          <cell r="Z1302">
            <v>4.76</v>
          </cell>
          <cell r="AA1302">
            <v>0</v>
          </cell>
          <cell r="AB1302">
            <v>1</v>
          </cell>
        </row>
        <row r="1303">
          <cell r="G1303" t="str">
            <v>1635_1</v>
          </cell>
          <cell r="H1303" t="str">
            <v>the-of</v>
          </cell>
          <cell r="I1303" t="str">
            <v>sim</v>
          </cell>
          <cell r="V1303" t="str">
            <v>not</v>
          </cell>
          <cell r="Y1303" t="str">
            <v>Pres</v>
          </cell>
          <cell r="Z1303">
            <v>4.76</v>
          </cell>
          <cell r="AA1303">
            <v>0</v>
          </cell>
          <cell r="AB1303">
            <v>1</v>
          </cell>
        </row>
        <row r="1304">
          <cell r="G1304" t="str">
            <v>1636_0</v>
          </cell>
          <cell r="H1304" t="str">
            <v>the-of</v>
          </cell>
          <cell r="I1304" t="str">
            <v>sim</v>
          </cell>
          <cell r="V1304" t="str">
            <v>not neg pair</v>
          </cell>
          <cell r="Y1304" t="str">
            <v>Pres</v>
          </cell>
          <cell r="Z1304">
            <v>2.41</v>
          </cell>
          <cell r="AA1304" t="str">
            <v>L</v>
          </cell>
          <cell r="AB1304">
            <v>0</v>
          </cell>
        </row>
        <row r="1305">
          <cell r="G1305" t="str">
            <v>1636_1</v>
          </cell>
          <cell r="H1305" t="str">
            <v>the-of</v>
          </cell>
          <cell r="I1305" t="str">
            <v>sim</v>
          </cell>
          <cell r="V1305" t="str">
            <v>not neg pair</v>
          </cell>
          <cell r="Y1305" t="str">
            <v>Pres</v>
          </cell>
          <cell r="Z1305">
            <v>2.41</v>
          </cell>
          <cell r="AA1305" t="str">
            <v>L</v>
          </cell>
          <cell r="AB1305">
            <v>0</v>
          </cell>
        </row>
        <row r="1306">
          <cell r="G1306" t="str">
            <v>1637_0</v>
          </cell>
          <cell r="H1306" t="str">
            <v>the-of</v>
          </cell>
          <cell r="I1306" t="str">
            <v>sim</v>
          </cell>
          <cell r="V1306" t="str">
            <v>not neg pair</v>
          </cell>
          <cell r="Y1306" t="str">
            <v>Pres</v>
          </cell>
          <cell r="Z1306">
            <v>4.9000000000000004</v>
          </cell>
          <cell r="AA1306">
            <v>0</v>
          </cell>
          <cell r="AB1306">
            <v>0</v>
          </cell>
        </row>
        <row r="1307">
          <cell r="G1307" t="str">
            <v>1637_1</v>
          </cell>
          <cell r="H1307" t="str">
            <v>the-of</v>
          </cell>
          <cell r="I1307" t="str">
            <v>sim</v>
          </cell>
          <cell r="V1307" t="str">
            <v>not neg pair</v>
          </cell>
          <cell r="Y1307" t="str">
            <v>Pres</v>
          </cell>
          <cell r="Z1307">
            <v>2.93</v>
          </cell>
          <cell r="AA1307">
            <v>0</v>
          </cell>
          <cell r="AB1307">
            <v>0</v>
          </cell>
        </row>
        <row r="1308">
          <cell r="G1308" t="str">
            <v>1638_0</v>
          </cell>
          <cell r="H1308" t="str">
            <v>as-as</v>
          </cell>
          <cell r="I1308" t="str">
            <v>sim</v>
          </cell>
          <cell r="V1308" t="str">
            <v>antonym</v>
          </cell>
          <cell r="Y1308" t="str">
            <v>Past</v>
          </cell>
          <cell r="Z1308">
            <v>3.3</v>
          </cell>
          <cell r="AA1308">
            <v>0</v>
          </cell>
          <cell r="AB1308">
            <v>0</v>
          </cell>
        </row>
        <row r="1309">
          <cell r="G1309" t="str">
            <v>1638_1</v>
          </cell>
          <cell r="H1309" t="str">
            <v>as-as</v>
          </cell>
          <cell r="I1309" t="str">
            <v>sim</v>
          </cell>
          <cell r="V1309" t="str">
            <v>antonym</v>
          </cell>
          <cell r="Y1309" t="str">
            <v>Past</v>
          </cell>
          <cell r="Z1309">
            <v>3.3</v>
          </cell>
          <cell r="AA1309">
            <v>0</v>
          </cell>
          <cell r="AB1309">
            <v>0</v>
          </cell>
        </row>
        <row r="1310">
          <cell r="G1310" t="str">
            <v>1639_0</v>
          </cell>
          <cell r="H1310" t="str">
            <v>as-as</v>
          </cell>
          <cell r="I1310" t="str">
            <v>sim</v>
          </cell>
          <cell r="V1310" t="str">
            <v>not neg pair</v>
          </cell>
          <cell r="Y1310" t="str">
            <v>Past</v>
          </cell>
          <cell r="Z1310">
            <v>5</v>
          </cell>
          <cell r="AA1310" t="str">
            <v>H</v>
          </cell>
          <cell r="AB1310">
            <v>0</v>
          </cell>
        </row>
        <row r="1311">
          <cell r="G1311" t="str">
            <v>1639_1</v>
          </cell>
          <cell r="H1311" t="str">
            <v>as-as</v>
          </cell>
          <cell r="I1311" t="str">
            <v>sim</v>
          </cell>
          <cell r="V1311" t="str">
            <v>not neg pair</v>
          </cell>
          <cell r="Y1311" t="str">
            <v>Past</v>
          </cell>
          <cell r="Z1311">
            <v>5</v>
          </cell>
          <cell r="AA1311" t="str">
            <v>H</v>
          </cell>
          <cell r="AB1311">
            <v>0</v>
          </cell>
        </row>
        <row r="1312">
          <cell r="G1312" t="str">
            <v>1641_0</v>
          </cell>
          <cell r="H1312" t="str">
            <v>like</v>
          </cell>
          <cell r="I1312" t="str">
            <v>sim</v>
          </cell>
          <cell r="V1312" t="str">
            <v>not neg pair</v>
          </cell>
          <cell r="Y1312" t="str">
            <v>Pres</v>
          </cell>
          <cell r="Z1312">
            <v>5</v>
          </cell>
          <cell r="AA1312" t="str">
            <v>H</v>
          </cell>
          <cell r="AB1312">
            <v>0</v>
          </cell>
        </row>
        <row r="1313">
          <cell r="G1313" t="str">
            <v>1641_1</v>
          </cell>
          <cell r="H1313" t="str">
            <v>like</v>
          </cell>
          <cell r="I1313" t="str">
            <v>sim</v>
          </cell>
          <cell r="V1313" t="str">
            <v>not neg pair</v>
          </cell>
          <cell r="Y1313" t="str">
            <v>Pres</v>
          </cell>
          <cell r="Z1313">
            <v>5</v>
          </cell>
          <cell r="AA1313" t="str">
            <v>H</v>
          </cell>
          <cell r="AB1313">
            <v>0</v>
          </cell>
        </row>
        <row r="1314">
          <cell r="G1314" t="str">
            <v>1642_0</v>
          </cell>
          <cell r="H1314" t="str">
            <v>the-of</v>
          </cell>
          <cell r="I1314" t="str">
            <v>sim</v>
          </cell>
          <cell r="V1314" t="str">
            <v>not neg pair</v>
          </cell>
          <cell r="Y1314" t="str">
            <v>Pres</v>
          </cell>
          <cell r="Z1314">
            <v>4.72</v>
          </cell>
          <cell r="AA1314">
            <v>0</v>
          </cell>
          <cell r="AB1314">
            <v>0</v>
          </cell>
        </row>
        <row r="1315">
          <cell r="G1315" t="str">
            <v>1642_1</v>
          </cell>
          <cell r="H1315" t="str">
            <v>the-of</v>
          </cell>
          <cell r="I1315" t="str">
            <v>sim</v>
          </cell>
          <cell r="V1315" t="str">
            <v>not neg pair</v>
          </cell>
          <cell r="Y1315" t="str">
            <v>Pres</v>
          </cell>
          <cell r="Z1315">
            <v>4.72</v>
          </cell>
          <cell r="AA1315">
            <v>0</v>
          </cell>
          <cell r="AB1315">
            <v>0</v>
          </cell>
        </row>
        <row r="1316">
          <cell r="G1316" t="str">
            <v>1643_0</v>
          </cell>
          <cell r="H1316" t="str">
            <v>the-of</v>
          </cell>
          <cell r="I1316" t="str">
            <v>sim</v>
          </cell>
          <cell r="V1316" t="str">
            <v>not neg pair</v>
          </cell>
          <cell r="Y1316" t="str">
            <v>Pres</v>
          </cell>
          <cell r="Z1316">
            <v>3.36</v>
          </cell>
          <cell r="AA1316">
            <v>0</v>
          </cell>
          <cell r="AB1316">
            <v>0</v>
          </cell>
        </row>
        <row r="1317">
          <cell r="G1317" t="str">
            <v>1643_1</v>
          </cell>
          <cell r="H1317" t="str">
            <v>the-of</v>
          </cell>
          <cell r="I1317" t="str">
            <v>sim</v>
          </cell>
          <cell r="V1317" t="str">
            <v>not neg pair</v>
          </cell>
          <cell r="Y1317" t="str">
            <v>Pres</v>
          </cell>
          <cell r="Z1317">
            <v>3.36</v>
          </cell>
          <cell r="AA1317">
            <v>0</v>
          </cell>
          <cell r="AB1317">
            <v>0</v>
          </cell>
        </row>
        <row r="1318">
          <cell r="G1318" t="str">
            <v>1647_0</v>
          </cell>
          <cell r="H1318" t="str">
            <v>as-as</v>
          </cell>
          <cell r="I1318" t="str">
            <v>sim</v>
          </cell>
          <cell r="V1318" t="str">
            <v>antonym</v>
          </cell>
          <cell r="Y1318" t="str">
            <v>Past</v>
          </cell>
          <cell r="Z1318">
            <v>4.8899999999999997</v>
          </cell>
          <cell r="AA1318">
            <v>0</v>
          </cell>
          <cell r="AB1318">
            <v>0</v>
          </cell>
        </row>
        <row r="1319">
          <cell r="G1319" t="str">
            <v>1647_1</v>
          </cell>
          <cell r="H1319" t="str">
            <v>as-as</v>
          </cell>
          <cell r="I1319" t="str">
            <v>sim</v>
          </cell>
          <cell r="V1319" t="str">
            <v>antonym</v>
          </cell>
          <cell r="Y1319" t="str">
            <v>Past</v>
          </cell>
          <cell r="Z1319">
            <v>4.8899999999999997</v>
          </cell>
          <cell r="AA1319">
            <v>0</v>
          </cell>
          <cell r="AB1319">
            <v>0</v>
          </cell>
        </row>
        <row r="1320">
          <cell r="G1320" t="str">
            <v>1651_0</v>
          </cell>
          <cell r="H1320" t="str">
            <v>as-as</v>
          </cell>
          <cell r="I1320" t="str">
            <v>sim</v>
          </cell>
          <cell r="V1320" t="str">
            <v>not neg pair</v>
          </cell>
          <cell r="Y1320" t="str">
            <v>Pres</v>
          </cell>
          <cell r="Z1320">
            <v>4.62</v>
          </cell>
          <cell r="AA1320">
            <v>0</v>
          </cell>
          <cell r="AB1320">
            <v>0</v>
          </cell>
        </row>
        <row r="1321">
          <cell r="G1321" t="str">
            <v>1651_1</v>
          </cell>
          <cell r="H1321" t="str">
            <v>as-as</v>
          </cell>
          <cell r="I1321" t="str">
            <v>sim</v>
          </cell>
          <cell r="V1321" t="str">
            <v>not neg pair</v>
          </cell>
          <cell r="Y1321" t="str">
            <v>Pres</v>
          </cell>
          <cell r="Z1321">
            <v>4.62</v>
          </cell>
          <cell r="AA1321">
            <v>0</v>
          </cell>
          <cell r="AB1321">
            <v>0</v>
          </cell>
        </row>
        <row r="1322">
          <cell r="G1322" t="str">
            <v>1653_0</v>
          </cell>
          <cell r="H1322" t="str">
            <v/>
          </cell>
          <cell r="I1322" t="str">
            <v>met</v>
          </cell>
          <cell r="V1322" t="str">
            <v>0</v>
          </cell>
          <cell r="Y1322" t="str">
            <v>Pres</v>
          </cell>
          <cell r="Z1322">
            <v>3.36</v>
          </cell>
          <cell r="AA1322">
            <v>0</v>
          </cell>
          <cell r="AB1322">
            <v>0</v>
          </cell>
        </row>
        <row r="1323">
          <cell r="G1323" t="str">
            <v>1653_1</v>
          </cell>
          <cell r="H1323" t="str">
            <v/>
          </cell>
          <cell r="I1323" t="str">
            <v>met</v>
          </cell>
          <cell r="V1323" t="str">
            <v>0</v>
          </cell>
          <cell r="Y1323" t="str">
            <v>Pres</v>
          </cell>
          <cell r="Z1323">
            <v>3.36</v>
          </cell>
          <cell r="AA1323">
            <v>0</v>
          </cell>
          <cell r="AB1323">
            <v>0</v>
          </cell>
        </row>
        <row r="1324">
          <cell r="G1324" t="str">
            <v>1656_0</v>
          </cell>
          <cell r="H1324" t="str">
            <v>the-of</v>
          </cell>
          <cell r="I1324" t="str">
            <v>sim</v>
          </cell>
          <cell r="V1324" t="str">
            <v>not neg pair</v>
          </cell>
          <cell r="Y1324" t="str">
            <v>Pres</v>
          </cell>
          <cell r="Z1324">
            <v>3.93</v>
          </cell>
          <cell r="AA1324">
            <v>0</v>
          </cell>
          <cell r="AB1324">
            <v>0</v>
          </cell>
        </row>
        <row r="1325">
          <cell r="G1325" t="str">
            <v>1656_1</v>
          </cell>
          <cell r="H1325" t="str">
            <v>the-of</v>
          </cell>
          <cell r="I1325" t="str">
            <v>sim</v>
          </cell>
          <cell r="V1325" t="str">
            <v>not neg pair</v>
          </cell>
          <cell r="Y1325" t="str">
            <v>Pres</v>
          </cell>
          <cell r="Z1325">
            <v>3.18</v>
          </cell>
          <cell r="AA1325">
            <v>0</v>
          </cell>
          <cell r="AB1325">
            <v>0</v>
          </cell>
        </row>
        <row r="1326">
          <cell r="G1326" t="str">
            <v>1658_0</v>
          </cell>
          <cell r="H1326" t="str">
            <v>the-of</v>
          </cell>
          <cell r="I1326" t="str">
            <v>sim</v>
          </cell>
          <cell r="V1326" t="str">
            <v>not neg pair</v>
          </cell>
          <cell r="Y1326" t="str">
            <v>Pres</v>
          </cell>
          <cell r="Z1326">
            <v>4.9000000000000004</v>
          </cell>
          <cell r="AA1326">
            <v>0</v>
          </cell>
          <cell r="AB1326">
            <v>0</v>
          </cell>
        </row>
        <row r="1327">
          <cell r="G1327" t="str">
            <v>1658_1</v>
          </cell>
          <cell r="H1327" t="str">
            <v>the-of</v>
          </cell>
          <cell r="I1327" t="str">
            <v>sim</v>
          </cell>
          <cell r="V1327" t="str">
            <v>not neg pair</v>
          </cell>
          <cell r="Y1327" t="str">
            <v>Pres</v>
          </cell>
          <cell r="Z1327">
            <v>4.9000000000000004</v>
          </cell>
          <cell r="AA1327">
            <v>0</v>
          </cell>
          <cell r="AB1327">
            <v>0</v>
          </cell>
        </row>
        <row r="1328">
          <cell r="G1328" t="str">
            <v>1659_0</v>
          </cell>
          <cell r="H1328" t="str">
            <v>as-as</v>
          </cell>
          <cell r="I1328" t="str">
            <v>sim</v>
          </cell>
          <cell r="V1328" t="str">
            <v>not</v>
          </cell>
          <cell r="Y1328" t="str">
            <v>Pres</v>
          </cell>
          <cell r="Z1328">
            <v>2.85</v>
          </cell>
          <cell r="AA1328">
            <v>0</v>
          </cell>
          <cell r="AB1328">
            <v>0</v>
          </cell>
        </row>
        <row r="1329">
          <cell r="G1329" t="str">
            <v>1659_1</v>
          </cell>
          <cell r="H1329" t="str">
            <v>as-as</v>
          </cell>
          <cell r="I1329" t="str">
            <v>sim</v>
          </cell>
          <cell r="V1329" t="str">
            <v>not</v>
          </cell>
          <cell r="Y1329" t="str">
            <v>Pres</v>
          </cell>
          <cell r="Z1329">
            <v>2.85</v>
          </cell>
          <cell r="AA1329">
            <v>0</v>
          </cell>
          <cell r="AB1329">
            <v>0</v>
          </cell>
        </row>
        <row r="1330">
          <cell r="G1330" t="str">
            <v>1664_0</v>
          </cell>
          <cell r="H1330" t="str">
            <v/>
          </cell>
          <cell r="I1330" t="str">
            <v>met</v>
          </cell>
          <cell r="V1330" t="str">
            <v>0</v>
          </cell>
          <cell r="Y1330" t="str">
            <v>Past</v>
          </cell>
          <cell r="Z1330">
            <v>3.93</v>
          </cell>
          <cell r="AA1330">
            <v>0</v>
          </cell>
          <cell r="AB1330">
            <v>0</v>
          </cell>
        </row>
        <row r="1331">
          <cell r="G1331" t="str">
            <v>1664_1</v>
          </cell>
          <cell r="H1331" t="str">
            <v/>
          </cell>
          <cell r="I1331" t="str">
            <v>met</v>
          </cell>
          <cell r="V1331" t="str">
            <v>0</v>
          </cell>
          <cell r="Y1331" t="str">
            <v>Past</v>
          </cell>
          <cell r="Z1331">
            <v>3.93</v>
          </cell>
          <cell r="AA1331">
            <v>0</v>
          </cell>
          <cell r="AB1331">
            <v>0</v>
          </cell>
        </row>
        <row r="1332">
          <cell r="G1332" t="str">
            <v>1666_0</v>
          </cell>
          <cell r="H1332" t="str">
            <v>as-as</v>
          </cell>
          <cell r="I1332" t="str">
            <v>sim</v>
          </cell>
          <cell r="V1332" t="str">
            <v>not</v>
          </cell>
          <cell r="Y1332" t="str">
            <v>Past</v>
          </cell>
          <cell r="Z1332">
            <v>3.86</v>
          </cell>
          <cell r="AA1332">
            <v>0</v>
          </cell>
          <cell r="AB1332">
            <v>0</v>
          </cell>
        </row>
        <row r="1333">
          <cell r="G1333" t="str">
            <v>1666_1</v>
          </cell>
          <cell r="H1333" t="str">
            <v>as-as</v>
          </cell>
          <cell r="I1333" t="str">
            <v>sim</v>
          </cell>
          <cell r="V1333" t="str">
            <v>not</v>
          </cell>
          <cell r="Y1333" t="str">
            <v>Past</v>
          </cell>
          <cell r="Z1333">
            <v>3.86</v>
          </cell>
          <cell r="AA1333">
            <v>0</v>
          </cell>
          <cell r="AB1333">
            <v>0</v>
          </cell>
        </row>
        <row r="1334">
          <cell r="G1334" t="str">
            <v>1667_0</v>
          </cell>
          <cell r="H1334" t="str">
            <v>as-as</v>
          </cell>
          <cell r="I1334" t="str">
            <v>sim</v>
          </cell>
          <cell r="V1334" t="str">
            <v>not neg pair</v>
          </cell>
          <cell r="Y1334" t="str">
            <v>Past</v>
          </cell>
          <cell r="Z1334">
            <v>3.79</v>
          </cell>
          <cell r="AA1334">
            <v>0</v>
          </cell>
          <cell r="AB1334">
            <v>0</v>
          </cell>
        </row>
        <row r="1335">
          <cell r="G1335" t="str">
            <v>1667_1</v>
          </cell>
          <cell r="H1335" t="str">
            <v>as-as</v>
          </cell>
          <cell r="I1335" t="str">
            <v>sim</v>
          </cell>
          <cell r="V1335" t="str">
            <v>not neg pair</v>
          </cell>
          <cell r="Y1335" t="str">
            <v>Past</v>
          </cell>
          <cell r="Z1335">
            <v>3.79</v>
          </cell>
          <cell r="AA1335">
            <v>0</v>
          </cell>
          <cell r="AB1335">
            <v>0</v>
          </cell>
        </row>
        <row r="1336">
          <cell r="G1336" t="str">
            <v>1669_0</v>
          </cell>
          <cell r="H1336" t="str">
            <v>like</v>
          </cell>
          <cell r="I1336" t="str">
            <v>sim</v>
          </cell>
          <cell r="V1336" t="str">
            <v>not neg pair</v>
          </cell>
          <cell r="Y1336" t="str">
            <v>Pres</v>
          </cell>
          <cell r="Z1336">
            <v>3.93</v>
          </cell>
          <cell r="AA1336">
            <v>0</v>
          </cell>
          <cell r="AB1336">
            <v>0</v>
          </cell>
        </row>
        <row r="1337">
          <cell r="G1337" t="str">
            <v>1669_1</v>
          </cell>
          <cell r="H1337" t="str">
            <v>like</v>
          </cell>
          <cell r="I1337" t="str">
            <v>sim</v>
          </cell>
          <cell r="V1337" t="str">
            <v>not neg pair</v>
          </cell>
          <cell r="Y1337" t="str">
            <v>Pres</v>
          </cell>
          <cell r="Z1337">
            <v>3.93</v>
          </cell>
          <cell r="AA1337">
            <v>0</v>
          </cell>
          <cell r="AB1337">
            <v>0</v>
          </cell>
        </row>
        <row r="1338">
          <cell r="G1338" t="str">
            <v>1672_0</v>
          </cell>
          <cell r="H1338" t="str">
            <v>as-as</v>
          </cell>
          <cell r="I1338" t="str">
            <v>sim</v>
          </cell>
          <cell r="V1338" t="str">
            <v>not</v>
          </cell>
          <cell r="Y1338" t="str">
            <v>Pres</v>
          </cell>
          <cell r="Z1338">
            <v>2.93</v>
          </cell>
          <cell r="AA1338">
            <v>0</v>
          </cell>
          <cell r="AB1338">
            <v>1</v>
          </cell>
        </row>
        <row r="1339">
          <cell r="G1339" t="str">
            <v>1672_1</v>
          </cell>
          <cell r="H1339" t="str">
            <v>as-as</v>
          </cell>
          <cell r="I1339" t="str">
            <v>sim</v>
          </cell>
          <cell r="V1339" t="str">
            <v>not</v>
          </cell>
          <cell r="Y1339" t="str">
            <v>Pres</v>
          </cell>
          <cell r="Z1339">
            <v>2.93</v>
          </cell>
          <cell r="AA1339">
            <v>0</v>
          </cell>
          <cell r="AB1339">
            <v>1</v>
          </cell>
        </row>
        <row r="1340">
          <cell r="G1340" t="str">
            <v>1674_0</v>
          </cell>
          <cell r="H1340" t="str">
            <v>as-as</v>
          </cell>
          <cell r="I1340" t="str">
            <v>sim</v>
          </cell>
          <cell r="V1340" t="str">
            <v>not neg pair</v>
          </cell>
          <cell r="Y1340" t="str">
            <v>Pres</v>
          </cell>
          <cell r="Z1340">
            <v>2.0699999999999998</v>
          </cell>
          <cell r="AA1340" t="str">
            <v>L</v>
          </cell>
          <cell r="AB1340">
            <v>0</v>
          </cell>
        </row>
        <row r="1341">
          <cell r="G1341" t="str">
            <v>1674_1</v>
          </cell>
          <cell r="H1341" t="str">
            <v>as-as</v>
          </cell>
          <cell r="I1341" t="str">
            <v>sim</v>
          </cell>
          <cell r="V1341" t="str">
            <v>not neg pair</v>
          </cell>
          <cell r="Y1341" t="str">
            <v>Pres</v>
          </cell>
          <cell r="Z1341">
            <v>2.0699999999999998</v>
          </cell>
          <cell r="AA1341" t="str">
            <v>L</v>
          </cell>
          <cell r="AB1341">
            <v>0</v>
          </cell>
        </row>
        <row r="1342">
          <cell r="G1342" t="str">
            <v>1677_0</v>
          </cell>
          <cell r="H1342" t="str">
            <v>as-as</v>
          </cell>
          <cell r="I1342" t="str">
            <v>sim</v>
          </cell>
          <cell r="V1342" t="str">
            <v>not</v>
          </cell>
          <cell r="Y1342" t="str">
            <v>Pres</v>
          </cell>
          <cell r="Z1342">
            <v>5</v>
          </cell>
          <cell r="AA1342" t="str">
            <v>H</v>
          </cell>
          <cell r="AB1342">
            <v>1</v>
          </cell>
        </row>
        <row r="1343">
          <cell r="G1343" t="str">
            <v>1677_1</v>
          </cell>
          <cell r="H1343" t="str">
            <v>as-as</v>
          </cell>
          <cell r="I1343" t="str">
            <v>sim</v>
          </cell>
          <cell r="V1343" t="str">
            <v>not</v>
          </cell>
          <cell r="Y1343" t="str">
            <v>Pres</v>
          </cell>
          <cell r="Z1343">
            <v>5</v>
          </cell>
          <cell r="AA1343" t="str">
            <v>H</v>
          </cell>
          <cell r="AB1343">
            <v>1</v>
          </cell>
        </row>
        <row r="1344">
          <cell r="G1344" t="str">
            <v>1681_0</v>
          </cell>
          <cell r="H1344" t="str">
            <v>as-as</v>
          </cell>
          <cell r="I1344" t="str">
            <v>sim</v>
          </cell>
          <cell r="V1344" t="str">
            <v>not</v>
          </cell>
          <cell r="Y1344" t="str">
            <v>Past</v>
          </cell>
          <cell r="Z1344">
            <v>2.08</v>
          </cell>
          <cell r="AA1344" t="str">
            <v>L</v>
          </cell>
          <cell r="AB1344">
            <v>0</v>
          </cell>
        </row>
        <row r="1345">
          <cell r="G1345" t="str">
            <v>1681_1</v>
          </cell>
          <cell r="H1345" t="str">
            <v>as-as</v>
          </cell>
          <cell r="I1345" t="str">
            <v>sim</v>
          </cell>
          <cell r="V1345" t="str">
            <v>not</v>
          </cell>
          <cell r="Y1345" t="str">
            <v>Past</v>
          </cell>
          <cell r="Z1345">
            <v>2.08</v>
          </cell>
          <cell r="AA1345" t="str">
            <v>L</v>
          </cell>
          <cell r="AB1345">
            <v>0</v>
          </cell>
        </row>
        <row r="1346">
          <cell r="G1346" t="str">
            <v>1683_0</v>
          </cell>
          <cell r="H1346" t="str">
            <v/>
          </cell>
          <cell r="I1346" t="str">
            <v>met</v>
          </cell>
          <cell r="V1346" t="str">
            <v>0</v>
          </cell>
          <cell r="Y1346">
            <v>0</v>
          </cell>
          <cell r="Z1346">
            <v>2.0699999999999998</v>
          </cell>
          <cell r="AA1346" t="str">
            <v>L</v>
          </cell>
          <cell r="AB1346">
            <v>0</v>
          </cell>
        </row>
        <row r="1347">
          <cell r="G1347" t="str">
            <v>1683_1</v>
          </cell>
          <cell r="H1347" t="str">
            <v/>
          </cell>
          <cell r="I1347" t="str">
            <v>met</v>
          </cell>
          <cell r="V1347" t="str">
            <v>0</v>
          </cell>
          <cell r="Y1347">
            <v>0</v>
          </cell>
          <cell r="Z1347">
            <v>2.0699999999999998</v>
          </cell>
          <cell r="AA1347" t="str">
            <v>L</v>
          </cell>
          <cell r="AB1347">
            <v>0</v>
          </cell>
        </row>
        <row r="1348">
          <cell r="G1348" t="str">
            <v>1688_0</v>
          </cell>
          <cell r="H1348" t="str">
            <v/>
          </cell>
          <cell r="I1348" t="str">
            <v>met</v>
          </cell>
          <cell r="V1348" t="str">
            <v>0</v>
          </cell>
          <cell r="Y1348" t="str">
            <v>Pres</v>
          </cell>
          <cell r="Z1348">
            <v>3.36</v>
          </cell>
          <cell r="AA1348">
            <v>0</v>
          </cell>
          <cell r="AB1348">
            <v>0</v>
          </cell>
        </row>
        <row r="1349">
          <cell r="G1349" t="str">
            <v>1688_1</v>
          </cell>
          <cell r="H1349" t="str">
            <v/>
          </cell>
          <cell r="I1349" t="str">
            <v>met</v>
          </cell>
          <cell r="V1349" t="str">
            <v>0</v>
          </cell>
          <cell r="Y1349" t="str">
            <v>Pres</v>
          </cell>
          <cell r="Z1349">
            <v>3.36</v>
          </cell>
          <cell r="AA1349">
            <v>0</v>
          </cell>
          <cell r="AB1349">
            <v>0</v>
          </cell>
        </row>
        <row r="1350">
          <cell r="G1350" t="str">
            <v>1690_0</v>
          </cell>
          <cell r="H1350" t="str">
            <v/>
          </cell>
          <cell r="I1350" t="str">
            <v>met</v>
          </cell>
          <cell r="V1350" t="str">
            <v>0</v>
          </cell>
          <cell r="Y1350" t="str">
            <v>Pres</v>
          </cell>
          <cell r="Z1350">
            <v>3.53</v>
          </cell>
          <cell r="AA1350">
            <v>0</v>
          </cell>
          <cell r="AB1350">
            <v>0</v>
          </cell>
        </row>
        <row r="1351">
          <cell r="G1351" t="str">
            <v>1690_1</v>
          </cell>
          <cell r="H1351" t="str">
            <v/>
          </cell>
          <cell r="I1351" t="str">
            <v>met</v>
          </cell>
          <cell r="V1351" t="str">
            <v>0</v>
          </cell>
          <cell r="Y1351" t="str">
            <v>Pres</v>
          </cell>
          <cell r="Z1351">
            <v>3.53</v>
          </cell>
          <cell r="AA1351">
            <v>0</v>
          </cell>
          <cell r="AB1351">
            <v>0</v>
          </cell>
        </row>
        <row r="1352">
          <cell r="G1352" t="str">
            <v>1691_0</v>
          </cell>
          <cell r="H1352" t="str">
            <v>the-of</v>
          </cell>
          <cell r="I1352" t="str">
            <v>sim</v>
          </cell>
          <cell r="V1352" t="str">
            <v>not neg pair</v>
          </cell>
          <cell r="Y1352" t="str">
            <v>Pres</v>
          </cell>
          <cell r="Z1352">
            <v>2.0699999999999998</v>
          </cell>
          <cell r="AA1352" t="str">
            <v>L</v>
          </cell>
          <cell r="AB1352">
            <v>0</v>
          </cell>
        </row>
        <row r="1353">
          <cell r="G1353" t="str">
            <v>1691_1</v>
          </cell>
          <cell r="H1353" t="str">
            <v>the-of</v>
          </cell>
          <cell r="I1353" t="str">
            <v>sim</v>
          </cell>
          <cell r="V1353" t="str">
            <v>not neg pair</v>
          </cell>
          <cell r="Y1353" t="str">
            <v>Pres</v>
          </cell>
          <cell r="Z1353">
            <v>2.0699999999999998</v>
          </cell>
          <cell r="AA1353" t="str">
            <v>L</v>
          </cell>
          <cell r="AB1353">
            <v>0</v>
          </cell>
        </row>
        <row r="1354">
          <cell r="G1354" t="str">
            <v>1693_0</v>
          </cell>
          <cell r="H1354" t="str">
            <v>as-as</v>
          </cell>
          <cell r="I1354" t="str">
            <v>sim</v>
          </cell>
          <cell r="V1354" t="str">
            <v>not neg pair</v>
          </cell>
          <cell r="Y1354" t="str">
            <v>Past</v>
          </cell>
          <cell r="Z1354">
            <v>3.36</v>
          </cell>
          <cell r="AA1354">
            <v>0</v>
          </cell>
          <cell r="AB1354">
            <v>0</v>
          </cell>
        </row>
        <row r="1355">
          <cell r="G1355" t="str">
            <v>1693_1</v>
          </cell>
          <cell r="H1355" t="str">
            <v>as-as</v>
          </cell>
          <cell r="I1355" t="str">
            <v>sim</v>
          </cell>
          <cell r="V1355" t="str">
            <v>not neg pair</v>
          </cell>
          <cell r="Y1355" t="str">
            <v>Past</v>
          </cell>
          <cell r="Z1355">
            <v>3.36</v>
          </cell>
          <cell r="AA1355">
            <v>0</v>
          </cell>
          <cell r="AB1355">
            <v>0</v>
          </cell>
        </row>
        <row r="1356">
          <cell r="G1356" t="str">
            <v>1697_0</v>
          </cell>
          <cell r="H1356" t="str">
            <v>as</v>
          </cell>
          <cell r="I1356" t="str">
            <v>sim</v>
          </cell>
          <cell r="V1356" t="str">
            <v>not</v>
          </cell>
          <cell r="Y1356" t="str">
            <v>Pres</v>
          </cell>
          <cell r="Z1356">
            <v>4.3099999999999996</v>
          </cell>
          <cell r="AA1356">
            <v>0</v>
          </cell>
          <cell r="AB1356">
            <v>1</v>
          </cell>
        </row>
        <row r="1357">
          <cell r="G1357" t="str">
            <v>1697_1</v>
          </cell>
          <cell r="H1357" t="str">
            <v>as</v>
          </cell>
          <cell r="I1357" t="str">
            <v>sim</v>
          </cell>
          <cell r="V1357" t="str">
            <v>not</v>
          </cell>
          <cell r="Y1357" t="str">
            <v>Pres</v>
          </cell>
          <cell r="Z1357">
            <v>4.3099999999999996</v>
          </cell>
          <cell r="AA1357">
            <v>0</v>
          </cell>
          <cell r="AB1357">
            <v>1</v>
          </cell>
        </row>
        <row r="1358">
          <cell r="G1358" t="str">
            <v>1698_0</v>
          </cell>
          <cell r="H1358" t="str">
            <v>as-as</v>
          </cell>
          <cell r="I1358" t="str">
            <v>sim</v>
          </cell>
          <cell r="V1358" t="str">
            <v>antonym</v>
          </cell>
          <cell r="Y1358" t="str">
            <v>Pres</v>
          </cell>
          <cell r="Z1358">
            <v>3.64</v>
          </cell>
          <cell r="AA1358">
            <v>0</v>
          </cell>
          <cell r="AB1358">
            <v>0</v>
          </cell>
        </row>
        <row r="1359">
          <cell r="G1359" t="str">
            <v>1698_1</v>
          </cell>
          <cell r="H1359" t="str">
            <v>as-as</v>
          </cell>
          <cell r="I1359" t="str">
            <v>sim</v>
          </cell>
          <cell r="V1359" t="str">
            <v>antonym</v>
          </cell>
          <cell r="Y1359" t="str">
            <v>Pres</v>
          </cell>
          <cell r="Z1359">
            <v>3.64</v>
          </cell>
          <cell r="AA1359">
            <v>0</v>
          </cell>
          <cell r="AB1359">
            <v>0</v>
          </cell>
        </row>
        <row r="1360">
          <cell r="G1360" t="str">
            <v>1699_0</v>
          </cell>
          <cell r="H1360" t="str">
            <v>as-as</v>
          </cell>
          <cell r="I1360" t="str">
            <v>sim</v>
          </cell>
          <cell r="V1360" t="str">
            <v>not</v>
          </cell>
          <cell r="Y1360" t="str">
            <v>Past</v>
          </cell>
          <cell r="Z1360">
            <v>3.88</v>
          </cell>
          <cell r="AA1360">
            <v>0</v>
          </cell>
          <cell r="AB1360">
            <v>1</v>
          </cell>
        </row>
        <row r="1361">
          <cell r="G1361" t="str">
            <v>1699_1</v>
          </cell>
          <cell r="H1361" t="str">
            <v>as-as</v>
          </cell>
          <cell r="I1361" t="str">
            <v>sim</v>
          </cell>
          <cell r="V1361" t="str">
            <v>not</v>
          </cell>
          <cell r="Y1361" t="str">
            <v>Past</v>
          </cell>
          <cell r="Z1361">
            <v>3.88</v>
          </cell>
          <cell r="AA1361">
            <v>0</v>
          </cell>
          <cell r="AB1361">
            <v>1</v>
          </cell>
        </row>
        <row r="1362">
          <cell r="G1362" t="str">
            <v>1701_0</v>
          </cell>
          <cell r="H1362" t="str">
            <v>the-of</v>
          </cell>
          <cell r="I1362" t="str">
            <v>sim</v>
          </cell>
          <cell r="V1362" t="str">
            <v>not neg pair</v>
          </cell>
          <cell r="Y1362" t="str">
            <v>Pres</v>
          </cell>
          <cell r="Z1362">
            <v>4.8899999999999997</v>
          </cell>
          <cell r="AA1362">
            <v>0</v>
          </cell>
          <cell r="AB1362">
            <v>0</v>
          </cell>
        </row>
        <row r="1363">
          <cell r="G1363" t="str">
            <v>1701_1</v>
          </cell>
          <cell r="H1363" t="str">
            <v>the-of</v>
          </cell>
          <cell r="I1363" t="str">
            <v>sim</v>
          </cell>
          <cell r="V1363" t="str">
            <v>not neg pair</v>
          </cell>
          <cell r="Y1363" t="str">
            <v>Pres</v>
          </cell>
          <cell r="Z1363">
            <v>4.8899999999999997</v>
          </cell>
          <cell r="AA1363">
            <v>0</v>
          </cell>
          <cell r="AB1363">
            <v>0</v>
          </cell>
        </row>
        <row r="1364">
          <cell r="G1364" t="str">
            <v>1703_0</v>
          </cell>
          <cell r="H1364" t="str">
            <v/>
          </cell>
          <cell r="I1364" t="str">
            <v>met</v>
          </cell>
          <cell r="V1364" t="str">
            <v>0</v>
          </cell>
          <cell r="Y1364" t="str">
            <v>Pres</v>
          </cell>
          <cell r="Z1364">
            <v>3.36</v>
          </cell>
          <cell r="AA1364">
            <v>0</v>
          </cell>
          <cell r="AB1364">
            <v>0</v>
          </cell>
        </row>
        <row r="1365">
          <cell r="G1365" t="str">
            <v>1703_1</v>
          </cell>
          <cell r="H1365" t="str">
            <v/>
          </cell>
          <cell r="I1365" t="str">
            <v>met</v>
          </cell>
          <cell r="V1365" t="str">
            <v>0</v>
          </cell>
          <cell r="Y1365" t="str">
            <v>Pres</v>
          </cell>
          <cell r="Z1365">
            <v>3.36</v>
          </cell>
          <cell r="AA1365">
            <v>0</v>
          </cell>
          <cell r="AB1365">
            <v>0</v>
          </cell>
        </row>
        <row r="1366">
          <cell r="G1366" t="str">
            <v>1707_0</v>
          </cell>
          <cell r="H1366" t="str">
            <v>as-as</v>
          </cell>
          <cell r="I1366" t="str">
            <v>sim</v>
          </cell>
          <cell r="V1366" t="str">
            <v>not</v>
          </cell>
          <cell r="Y1366" t="str">
            <v>Past</v>
          </cell>
          <cell r="Z1366">
            <v>4.9000000000000004</v>
          </cell>
          <cell r="AA1366">
            <v>0</v>
          </cell>
          <cell r="AB1366">
            <v>1</v>
          </cell>
        </row>
        <row r="1367">
          <cell r="G1367" t="str">
            <v>1707_1</v>
          </cell>
          <cell r="H1367" t="str">
            <v>as-as</v>
          </cell>
          <cell r="I1367" t="str">
            <v>sim</v>
          </cell>
          <cell r="V1367" t="str">
            <v>not</v>
          </cell>
          <cell r="Y1367" t="str">
            <v>Past</v>
          </cell>
          <cell r="Z1367">
            <v>4.9000000000000004</v>
          </cell>
          <cell r="AA1367">
            <v>0</v>
          </cell>
          <cell r="AB1367">
            <v>1</v>
          </cell>
        </row>
        <row r="1368">
          <cell r="G1368" t="str">
            <v>1708_0</v>
          </cell>
          <cell r="H1368" t="str">
            <v>like</v>
          </cell>
          <cell r="I1368" t="str">
            <v>sim</v>
          </cell>
          <cell r="V1368" t="str">
            <v>not neg pair</v>
          </cell>
          <cell r="Y1368" t="str">
            <v>Past</v>
          </cell>
          <cell r="Z1368">
            <v>1.61</v>
          </cell>
          <cell r="AA1368" t="str">
            <v>L</v>
          </cell>
          <cell r="AB1368">
            <v>0</v>
          </cell>
        </row>
        <row r="1369">
          <cell r="G1369" t="str">
            <v>1708_1</v>
          </cell>
          <cell r="H1369" t="str">
            <v>like</v>
          </cell>
          <cell r="I1369" t="str">
            <v>sim</v>
          </cell>
          <cell r="V1369" t="str">
            <v>not neg pair</v>
          </cell>
          <cell r="Y1369" t="str">
            <v>Past</v>
          </cell>
          <cell r="Z1369">
            <v>1.61</v>
          </cell>
          <cell r="AA1369" t="str">
            <v>L</v>
          </cell>
          <cell r="AB1369">
            <v>0</v>
          </cell>
        </row>
        <row r="1370">
          <cell r="G1370" t="str">
            <v>1709_0</v>
          </cell>
          <cell r="H1370" t="str">
            <v>like</v>
          </cell>
          <cell r="I1370" t="str">
            <v>sim</v>
          </cell>
          <cell r="V1370" t="str">
            <v>not neg pair</v>
          </cell>
          <cell r="Y1370" t="str">
            <v>Past</v>
          </cell>
          <cell r="Z1370">
            <v>4.8499999999999996</v>
          </cell>
          <cell r="AA1370">
            <v>0</v>
          </cell>
          <cell r="AB1370">
            <v>0</v>
          </cell>
        </row>
        <row r="1371">
          <cell r="G1371" t="str">
            <v>1709_1</v>
          </cell>
          <cell r="H1371" t="str">
            <v>like</v>
          </cell>
          <cell r="I1371" t="str">
            <v>sim</v>
          </cell>
          <cell r="V1371" t="str">
            <v>not neg pair</v>
          </cell>
          <cell r="Y1371" t="str">
            <v>Past</v>
          </cell>
          <cell r="Z1371">
            <v>4.8499999999999996</v>
          </cell>
          <cell r="AA1371">
            <v>0</v>
          </cell>
          <cell r="AB1371">
            <v>0</v>
          </cell>
        </row>
        <row r="1372">
          <cell r="G1372" t="str">
            <v>1710_0</v>
          </cell>
          <cell r="H1372" t="str">
            <v>like</v>
          </cell>
          <cell r="I1372" t="str">
            <v>sim</v>
          </cell>
          <cell r="V1372" t="str">
            <v>not neg pair</v>
          </cell>
          <cell r="Y1372" t="str">
            <v>Pres</v>
          </cell>
          <cell r="Z1372">
            <v>4.8499999999999996</v>
          </cell>
          <cell r="AA1372">
            <v>0</v>
          </cell>
          <cell r="AB1372">
            <v>0</v>
          </cell>
        </row>
        <row r="1373">
          <cell r="G1373" t="str">
            <v>1710_1</v>
          </cell>
          <cell r="H1373" t="str">
            <v>like</v>
          </cell>
          <cell r="I1373" t="str">
            <v>sim</v>
          </cell>
          <cell r="V1373" t="str">
            <v>not neg pair</v>
          </cell>
          <cell r="Y1373" t="str">
            <v>Past</v>
          </cell>
          <cell r="Z1373">
            <v>4.8499999999999996</v>
          </cell>
          <cell r="AA1373">
            <v>0</v>
          </cell>
          <cell r="AB1373">
            <v>0</v>
          </cell>
        </row>
        <row r="1374">
          <cell r="G1374" t="str">
            <v>1712_0</v>
          </cell>
          <cell r="H1374" t="str">
            <v>like</v>
          </cell>
          <cell r="I1374" t="str">
            <v>sim</v>
          </cell>
          <cell r="V1374" t="str">
            <v>not neg pair</v>
          </cell>
          <cell r="Y1374" t="str">
            <v>Past</v>
          </cell>
          <cell r="Z1374">
            <v>4.8499999999999996</v>
          </cell>
          <cell r="AA1374">
            <v>0</v>
          </cell>
          <cell r="AB1374">
            <v>0</v>
          </cell>
        </row>
        <row r="1375">
          <cell r="G1375" t="str">
            <v>1712_1</v>
          </cell>
          <cell r="H1375" t="str">
            <v>like</v>
          </cell>
          <cell r="I1375" t="str">
            <v>sim</v>
          </cell>
          <cell r="V1375" t="str">
            <v>not neg pair</v>
          </cell>
          <cell r="Y1375" t="str">
            <v>Past</v>
          </cell>
          <cell r="Z1375">
            <v>4.8499999999999996</v>
          </cell>
          <cell r="AA1375">
            <v>0</v>
          </cell>
          <cell r="AB1375">
            <v>0</v>
          </cell>
        </row>
        <row r="1376">
          <cell r="G1376" t="str">
            <v>1713_0</v>
          </cell>
          <cell r="H1376" t="str">
            <v>as-as</v>
          </cell>
          <cell r="I1376" t="str">
            <v>sim</v>
          </cell>
          <cell r="V1376" t="str">
            <v>not</v>
          </cell>
          <cell r="Y1376" t="str">
            <v>Pres</v>
          </cell>
          <cell r="Z1376">
            <v>2.81</v>
          </cell>
          <cell r="AA1376">
            <v>0</v>
          </cell>
          <cell r="AB1376">
            <v>0</v>
          </cell>
        </row>
        <row r="1377">
          <cell r="G1377" t="str">
            <v>1713_1</v>
          </cell>
          <cell r="H1377" t="str">
            <v>as-as</v>
          </cell>
          <cell r="I1377" t="str">
            <v>sim</v>
          </cell>
          <cell r="V1377" t="str">
            <v>not</v>
          </cell>
          <cell r="Y1377" t="str">
            <v>Pres</v>
          </cell>
          <cell r="Z1377">
            <v>2.81</v>
          </cell>
          <cell r="AA1377">
            <v>0</v>
          </cell>
          <cell r="AB1377">
            <v>0</v>
          </cell>
        </row>
        <row r="1378">
          <cell r="G1378" t="str">
            <v>1715_0</v>
          </cell>
          <cell r="H1378" t="str">
            <v>as-as</v>
          </cell>
          <cell r="I1378" t="str">
            <v>sim</v>
          </cell>
          <cell r="V1378" t="str">
            <v>not</v>
          </cell>
          <cell r="Y1378" t="str">
            <v>Pres</v>
          </cell>
          <cell r="Z1378">
            <v>3.93</v>
          </cell>
          <cell r="AA1378">
            <v>0</v>
          </cell>
          <cell r="AB1378">
            <v>0</v>
          </cell>
        </row>
        <row r="1379">
          <cell r="G1379" t="str">
            <v>1715_1</v>
          </cell>
          <cell r="H1379" t="str">
            <v>as-as</v>
          </cell>
          <cell r="I1379" t="str">
            <v>sim</v>
          </cell>
          <cell r="V1379" t="str">
            <v>not</v>
          </cell>
          <cell r="Y1379" t="str">
            <v>Pres</v>
          </cell>
          <cell r="Z1379">
            <v>3.93</v>
          </cell>
          <cell r="AA1379">
            <v>0</v>
          </cell>
          <cell r="AB1379">
            <v>0</v>
          </cell>
        </row>
        <row r="1380">
          <cell r="G1380" t="str">
            <v>1717_0</v>
          </cell>
          <cell r="H1380" t="str">
            <v>as-as</v>
          </cell>
          <cell r="I1380" t="str">
            <v>sim</v>
          </cell>
          <cell r="V1380" t="str">
            <v>not</v>
          </cell>
          <cell r="Y1380" t="str">
            <v>Pres</v>
          </cell>
          <cell r="Z1380">
            <v>3.93</v>
          </cell>
          <cell r="AA1380">
            <v>0</v>
          </cell>
          <cell r="AB1380">
            <v>1</v>
          </cell>
        </row>
        <row r="1381">
          <cell r="G1381" t="str">
            <v>1717_1</v>
          </cell>
          <cell r="H1381" t="str">
            <v>as-as</v>
          </cell>
          <cell r="I1381" t="str">
            <v>sim</v>
          </cell>
          <cell r="V1381" t="str">
            <v>not</v>
          </cell>
          <cell r="Y1381" t="str">
            <v>Pres</v>
          </cell>
          <cell r="Z1381">
            <v>3.93</v>
          </cell>
          <cell r="AA1381">
            <v>0</v>
          </cell>
          <cell r="AB1381">
            <v>1</v>
          </cell>
        </row>
        <row r="1382">
          <cell r="G1382" t="str">
            <v>1718_0</v>
          </cell>
          <cell r="H1382" t="str">
            <v>as-as</v>
          </cell>
          <cell r="I1382" t="str">
            <v>sim</v>
          </cell>
          <cell r="V1382" t="str">
            <v>antonym</v>
          </cell>
          <cell r="Y1382" t="str">
            <v>Pres</v>
          </cell>
          <cell r="Z1382">
            <v>4.1100000000000003</v>
          </cell>
          <cell r="AA1382">
            <v>0</v>
          </cell>
          <cell r="AB1382">
            <v>0</v>
          </cell>
        </row>
        <row r="1383">
          <cell r="G1383" t="str">
            <v>1718_1</v>
          </cell>
          <cell r="H1383" t="str">
            <v>as-as</v>
          </cell>
          <cell r="I1383" t="str">
            <v>sim</v>
          </cell>
          <cell r="V1383" t="str">
            <v>antonym</v>
          </cell>
          <cell r="Y1383" t="str">
            <v>Pres</v>
          </cell>
          <cell r="Z1383">
            <v>4.1100000000000003</v>
          </cell>
          <cell r="AA1383">
            <v>0</v>
          </cell>
          <cell r="AB1383">
            <v>0</v>
          </cell>
        </row>
        <row r="1384">
          <cell r="G1384" t="str">
            <v>1721_0</v>
          </cell>
          <cell r="H1384" t="str">
            <v>as-as</v>
          </cell>
          <cell r="I1384" t="str">
            <v>sim</v>
          </cell>
          <cell r="V1384" t="str">
            <v>not neg pair</v>
          </cell>
          <cell r="Y1384" t="str">
            <v>Past</v>
          </cell>
          <cell r="Z1384">
            <v>3.36</v>
          </cell>
          <cell r="AA1384">
            <v>0</v>
          </cell>
          <cell r="AB1384">
            <v>0</v>
          </cell>
        </row>
        <row r="1385">
          <cell r="G1385" t="str">
            <v>1721_1</v>
          </cell>
          <cell r="H1385" t="str">
            <v>as-as</v>
          </cell>
          <cell r="I1385" t="str">
            <v>sim</v>
          </cell>
          <cell r="V1385" t="str">
            <v>not neg pair</v>
          </cell>
          <cell r="Y1385" t="str">
            <v>Past</v>
          </cell>
          <cell r="Z1385">
            <v>3.36</v>
          </cell>
          <cell r="AA1385">
            <v>0</v>
          </cell>
          <cell r="AB1385">
            <v>0</v>
          </cell>
        </row>
        <row r="1386">
          <cell r="G1386" t="str">
            <v>1722_0</v>
          </cell>
          <cell r="H1386" t="str">
            <v>as-as</v>
          </cell>
          <cell r="I1386" t="str">
            <v>sim</v>
          </cell>
          <cell r="V1386" t="str">
            <v>not neg pair</v>
          </cell>
          <cell r="Y1386" t="str">
            <v>Pres</v>
          </cell>
          <cell r="Z1386">
            <v>2.93</v>
          </cell>
          <cell r="AA1386">
            <v>0</v>
          </cell>
          <cell r="AB1386">
            <v>0</v>
          </cell>
        </row>
        <row r="1387">
          <cell r="G1387" t="str">
            <v>1722_1</v>
          </cell>
          <cell r="H1387" t="str">
            <v>as-as</v>
          </cell>
          <cell r="I1387" t="str">
            <v>sim</v>
          </cell>
          <cell r="V1387" t="str">
            <v>not neg pair</v>
          </cell>
          <cell r="Y1387" t="str">
            <v>Pres</v>
          </cell>
          <cell r="Z1387">
            <v>2.93</v>
          </cell>
          <cell r="AA1387">
            <v>0</v>
          </cell>
          <cell r="AB1387">
            <v>0</v>
          </cell>
        </row>
        <row r="1388">
          <cell r="G1388" t="str">
            <v>1724_0</v>
          </cell>
          <cell r="H1388" t="str">
            <v>like</v>
          </cell>
          <cell r="I1388" t="str">
            <v>sim</v>
          </cell>
          <cell r="V1388" t="str">
            <v>not neg pair</v>
          </cell>
          <cell r="Y1388" t="str">
            <v>Pres</v>
          </cell>
          <cell r="Z1388">
            <v>1.96</v>
          </cell>
          <cell r="AA1388" t="str">
            <v>L</v>
          </cell>
          <cell r="AB1388">
            <v>0</v>
          </cell>
        </row>
        <row r="1389">
          <cell r="G1389" t="str">
            <v>1724_1</v>
          </cell>
          <cell r="H1389" t="str">
            <v>like</v>
          </cell>
          <cell r="I1389" t="str">
            <v>sim</v>
          </cell>
          <cell r="V1389" t="str">
            <v>not neg pair</v>
          </cell>
          <cell r="Y1389" t="str">
            <v>Pres</v>
          </cell>
          <cell r="Z1389">
            <v>1.96</v>
          </cell>
          <cell r="AA1389" t="str">
            <v>L</v>
          </cell>
          <cell r="AB1389">
            <v>0</v>
          </cell>
        </row>
        <row r="1390">
          <cell r="G1390" t="str">
            <v>1730_0</v>
          </cell>
          <cell r="H1390" t="str">
            <v>as</v>
          </cell>
          <cell r="I1390" t="str">
            <v>sim</v>
          </cell>
          <cell r="V1390" t="str">
            <v>not neg pair</v>
          </cell>
          <cell r="Y1390" t="str">
            <v>Pres</v>
          </cell>
          <cell r="Z1390">
            <v>4.54</v>
          </cell>
          <cell r="AA1390">
            <v>0</v>
          </cell>
          <cell r="AB1390">
            <v>0</v>
          </cell>
        </row>
        <row r="1391">
          <cell r="G1391" t="str">
            <v>1730_1</v>
          </cell>
          <cell r="H1391" t="str">
            <v>as</v>
          </cell>
          <cell r="I1391" t="str">
            <v>sim</v>
          </cell>
          <cell r="V1391" t="str">
            <v>not neg pair</v>
          </cell>
          <cell r="Y1391" t="str">
            <v>Pres</v>
          </cell>
          <cell r="Z1391">
            <v>4.54</v>
          </cell>
          <cell r="AA1391">
            <v>0</v>
          </cell>
          <cell r="AB1391">
            <v>0</v>
          </cell>
        </row>
        <row r="1392">
          <cell r="G1392" t="str">
            <v>1734_0</v>
          </cell>
          <cell r="H1392" t="str">
            <v/>
          </cell>
          <cell r="I1392" t="str">
            <v>met</v>
          </cell>
          <cell r="V1392" t="str">
            <v>0</v>
          </cell>
          <cell r="Y1392" t="str">
            <v>Pres</v>
          </cell>
          <cell r="Z1392">
            <v>2.0699999999999998</v>
          </cell>
          <cell r="AA1392" t="str">
            <v>L</v>
          </cell>
          <cell r="AB1392">
            <v>0</v>
          </cell>
        </row>
        <row r="1393">
          <cell r="G1393" t="str">
            <v>1734_1</v>
          </cell>
          <cell r="H1393" t="str">
            <v/>
          </cell>
          <cell r="I1393" t="str">
            <v>met</v>
          </cell>
          <cell r="V1393" t="str">
            <v>0</v>
          </cell>
          <cell r="Y1393" t="str">
            <v>Pres</v>
          </cell>
          <cell r="Z1393">
            <v>2.0699999999999998</v>
          </cell>
          <cell r="AA1393" t="str">
            <v>L</v>
          </cell>
          <cell r="AB1393">
            <v>0</v>
          </cell>
        </row>
        <row r="1394">
          <cell r="G1394" t="str">
            <v>1736_0</v>
          </cell>
          <cell r="H1394" t="str">
            <v>as-as</v>
          </cell>
          <cell r="I1394" t="str">
            <v>sim</v>
          </cell>
          <cell r="V1394" t="str">
            <v>antonym</v>
          </cell>
          <cell r="Y1394" t="str">
            <v>Pres</v>
          </cell>
          <cell r="Z1394">
            <v>4.8499999999999996</v>
          </cell>
          <cell r="AA1394">
            <v>0</v>
          </cell>
          <cell r="AB1394">
            <v>0</v>
          </cell>
        </row>
        <row r="1395">
          <cell r="G1395" t="str">
            <v>1736_1</v>
          </cell>
          <cell r="H1395" t="str">
            <v>as-as</v>
          </cell>
          <cell r="I1395" t="str">
            <v>sim</v>
          </cell>
          <cell r="V1395" t="str">
            <v>antonym</v>
          </cell>
          <cell r="Y1395" t="str">
            <v>Pres</v>
          </cell>
          <cell r="Z1395">
            <v>4.8499999999999996</v>
          </cell>
          <cell r="AA1395">
            <v>0</v>
          </cell>
          <cell r="AB1395">
            <v>0</v>
          </cell>
        </row>
        <row r="1396">
          <cell r="G1396" t="str">
            <v>1740_0</v>
          </cell>
          <cell r="H1396" t="str">
            <v>like</v>
          </cell>
          <cell r="I1396" t="str">
            <v>sim</v>
          </cell>
          <cell r="V1396" t="str">
            <v>not neg pair</v>
          </cell>
          <cell r="Y1396" t="str">
            <v>Pres</v>
          </cell>
          <cell r="Z1396">
            <v>3.43</v>
          </cell>
          <cell r="AA1396">
            <v>0</v>
          </cell>
          <cell r="AB1396">
            <v>0</v>
          </cell>
        </row>
        <row r="1397">
          <cell r="G1397" t="str">
            <v>1740_1</v>
          </cell>
          <cell r="H1397" t="str">
            <v>like</v>
          </cell>
          <cell r="I1397" t="str">
            <v>sim</v>
          </cell>
          <cell r="V1397" t="str">
            <v>not neg pair</v>
          </cell>
          <cell r="Y1397" t="str">
            <v>Pres</v>
          </cell>
          <cell r="Z1397">
            <v>3.43</v>
          </cell>
          <cell r="AA1397">
            <v>0</v>
          </cell>
          <cell r="AB1397">
            <v>0</v>
          </cell>
        </row>
        <row r="1398">
          <cell r="G1398" t="str">
            <v>1742_0</v>
          </cell>
          <cell r="H1398" t="str">
            <v>like</v>
          </cell>
          <cell r="I1398" t="str">
            <v>sim</v>
          </cell>
          <cell r="V1398" t="str">
            <v>not neg pair</v>
          </cell>
          <cell r="Y1398" t="str">
            <v>Past</v>
          </cell>
          <cell r="Z1398">
            <v>3.36</v>
          </cell>
          <cell r="AA1398">
            <v>0</v>
          </cell>
          <cell r="AB1398">
            <v>0</v>
          </cell>
        </row>
        <row r="1399">
          <cell r="G1399" t="str">
            <v>1742_1</v>
          </cell>
          <cell r="H1399" t="str">
            <v>like</v>
          </cell>
          <cell r="I1399" t="str">
            <v>sim</v>
          </cell>
          <cell r="V1399" t="str">
            <v>not neg pair</v>
          </cell>
          <cell r="Y1399" t="str">
            <v>Past</v>
          </cell>
          <cell r="Z1399">
            <v>3.36</v>
          </cell>
          <cell r="AA1399">
            <v>0</v>
          </cell>
          <cell r="AB1399">
            <v>0</v>
          </cell>
        </row>
        <row r="1400">
          <cell r="G1400" t="str">
            <v>1743_0</v>
          </cell>
          <cell r="H1400" t="str">
            <v/>
          </cell>
          <cell r="I1400" t="str">
            <v>met</v>
          </cell>
          <cell r="V1400" t="str">
            <v>0</v>
          </cell>
          <cell r="Y1400" t="str">
            <v>Past</v>
          </cell>
          <cell r="Z1400">
            <v>3.93</v>
          </cell>
          <cell r="AA1400">
            <v>0</v>
          </cell>
          <cell r="AB1400">
            <v>0</v>
          </cell>
        </row>
        <row r="1401">
          <cell r="G1401" t="str">
            <v>1743_1</v>
          </cell>
          <cell r="H1401" t="str">
            <v/>
          </cell>
          <cell r="I1401" t="str">
            <v>met</v>
          </cell>
          <cell r="V1401" t="str">
            <v>0</v>
          </cell>
          <cell r="Y1401" t="str">
            <v>Past</v>
          </cell>
          <cell r="Z1401">
            <v>3.93</v>
          </cell>
          <cell r="AA1401">
            <v>0</v>
          </cell>
          <cell r="AB1401">
            <v>0</v>
          </cell>
        </row>
        <row r="1402">
          <cell r="G1402" t="str">
            <v>1744_0</v>
          </cell>
          <cell r="H1402" t="str">
            <v>as-as</v>
          </cell>
          <cell r="I1402" t="str">
            <v>sim</v>
          </cell>
          <cell r="V1402" t="str">
            <v>antonym</v>
          </cell>
          <cell r="Y1402" t="str">
            <v>Past</v>
          </cell>
          <cell r="Z1402">
            <v>4.8099999999999996</v>
          </cell>
          <cell r="AA1402">
            <v>0</v>
          </cell>
          <cell r="AB1402">
            <v>0</v>
          </cell>
        </row>
        <row r="1403">
          <cell r="G1403" t="str">
            <v>1744_1</v>
          </cell>
          <cell r="H1403" t="str">
            <v>as-as</v>
          </cell>
          <cell r="I1403" t="str">
            <v>sim</v>
          </cell>
          <cell r="V1403" t="str">
            <v>antonym</v>
          </cell>
          <cell r="Y1403" t="str">
            <v>Past</v>
          </cell>
          <cell r="Z1403">
            <v>4.8099999999999996</v>
          </cell>
          <cell r="AA1403">
            <v>0</v>
          </cell>
          <cell r="AB1403">
            <v>0</v>
          </cell>
        </row>
        <row r="1404">
          <cell r="G1404" t="str">
            <v>1746_0</v>
          </cell>
          <cell r="H1404" t="str">
            <v>like</v>
          </cell>
          <cell r="I1404" t="str">
            <v>sim</v>
          </cell>
          <cell r="V1404" t="str">
            <v>not neg pair</v>
          </cell>
          <cell r="Y1404">
            <v>0</v>
          </cell>
          <cell r="Z1404">
            <v>3.36</v>
          </cell>
          <cell r="AA1404">
            <v>0</v>
          </cell>
          <cell r="AB1404">
            <v>0</v>
          </cell>
        </row>
        <row r="1405">
          <cell r="G1405" t="str">
            <v>1746_1</v>
          </cell>
          <cell r="H1405" t="str">
            <v>like</v>
          </cell>
          <cell r="I1405" t="str">
            <v>sim</v>
          </cell>
          <cell r="V1405" t="str">
            <v>not neg pair</v>
          </cell>
          <cell r="Y1405" t="str">
            <v>Pres</v>
          </cell>
          <cell r="Z1405">
            <v>3.36</v>
          </cell>
          <cell r="AA1405">
            <v>0</v>
          </cell>
          <cell r="AB1405">
            <v>0</v>
          </cell>
        </row>
        <row r="1406">
          <cell r="G1406" t="str">
            <v>1747_0</v>
          </cell>
          <cell r="H1406" t="str">
            <v>the-of</v>
          </cell>
          <cell r="I1406" t="str">
            <v>sim</v>
          </cell>
          <cell r="V1406" t="str">
            <v>not neg pair</v>
          </cell>
          <cell r="Y1406" t="str">
            <v>Pres</v>
          </cell>
          <cell r="Z1406">
            <v>2.85</v>
          </cell>
          <cell r="AA1406">
            <v>0</v>
          </cell>
          <cell r="AB1406">
            <v>0</v>
          </cell>
        </row>
        <row r="1407">
          <cell r="G1407" t="str">
            <v>1747_1</v>
          </cell>
          <cell r="H1407" t="str">
            <v>the-of</v>
          </cell>
          <cell r="I1407" t="str">
            <v>sim</v>
          </cell>
          <cell r="V1407" t="str">
            <v>not neg pair</v>
          </cell>
          <cell r="Y1407" t="str">
            <v>Past</v>
          </cell>
          <cell r="Z1407">
            <v>2.85</v>
          </cell>
          <cell r="AA1407">
            <v>0</v>
          </cell>
          <cell r="AB1407">
            <v>0</v>
          </cell>
        </row>
        <row r="1408">
          <cell r="G1408" t="str">
            <v>1750_0</v>
          </cell>
          <cell r="H1408" t="str">
            <v>the-of</v>
          </cell>
          <cell r="I1408" t="str">
            <v>sim</v>
          </cell>
          <cell r="V1408" t="str">
            <v>not neg pair</v>
          </cell>
          <cell r="Y1408" t="str">
            <v>Pres</v>
          </cell>
          <cell r="Z1408">
            <v>4.8499999999999996</v>
          </cell>
          <cell r="AA1408">
            <v>0</v>
          </cell>
          <cell r="AB1408">
            <v>0</v>
          </cell>
        </row>
        <row r="1409">
          <cell r="G1409" t="str">
            <v>1750_1</v>
          </cell>
          <cell r="H1409" t="str">
            <v>the-of</v>
          </cell>
          <cell r="I1409" t="str">
            <v>sim</v>
          </cell>
          <cell r="V1409" t="str">
            <v>not neg pair</v>
          </cell>
          <cell r="Y1409" t="str">
            <v>Pres</v>
          </cell>
          <cell r="Z1409">
            <v>4.8499999999999996</v>
          </cell>
          <cell r="AA1409">
            <v>0</v>
          </cell>
          <cell r="AB1409">
            <v>0</v>
          </cell>
        </row>
        <row r="1410">
          <cell r="G1410" t="str">
            <v>1751_0</v>
          </cell>
          <cell r="H1410" t="str">
            <v>the-of</v>
          </cell>
          <cell r="I1410" t="str">
            <v>sim</v>
          </cell>
          <cell r="V1410" t="str">
            <v>not neg pair</v>
          </cell>
          <cell r="Y1410" t="str">
            <v>Pres</v>
          </cell>
          <cell r="Z1410">
            <v>3.83</v>
          </cell>
          <cell r="AA1410">
            <v>0</v>
          </cell>
          <cell r="AB1410">
            <v>0</v>
          </cell>
        </row>
        <row r="1411">
          <cell r="G1411" t="str">
            <v>1751_1</v>
          </cell>
          <cell r="H1411" t="str">
            <v>the-of</v>
          </cell>
          <cell r="I1411" t="str">
            <v>sim</v>
          </cell>
          <cell r="V1411" t="str">
            <v>not neg pair</v>
          </cell>
          <cell r="Y1411" t="str">
            <v>Pres</v>
          </cell>
          <cell r="Z1411">
            <v>3.83</v>
          </cell>
          <cell r="AA1411">
            <v>0</v>
          </cell>
          <cell r="AB1411">
            <v>0</v>
          </cell>
        </row>
        <row r="1412">
          <cell r="G1412" t="str">
            <v>1752_0</v>
          </cell>
          <cell r="H1412" t="str">
            <v>as-as</v>
          </cell>
          <cell r="I1412" t="str">
            <v>sim</v>
          </cell>
          <cell r="V1412" t="str">
            <v>antonym</v>
          </cell>
          <cell r="Y1412" t="str">
            <v>Past</v>
          </cell>
          <cell r="Z1412">
            <v>2.85</v>
          </cell>
          <cell r="AA1412">
            <v>0</v>
          </cell>
          <cell r="AB1412">
            <v>0</v>
          </cell>
        </row>
        <row r="1413">
          <cell r="G1413" t="str">
            <v>1752_1</v>
          </cell>
          <cell r="H1413" t="str">
            <v>as-as</v>
          </cell>
          <cell r="I1413" t="str">
            <v>sim</v>
          </cell>
          <cell r="V1413" t="str">
            <v>antonym</v>
          </cell>
          <cell r="Y1413" t="str">
            <v>Past</v>
          </cell>
          <cell r="Z1413">
            <v>2.85</v>
          </cell>
          <cell r="AA1413">
            <v>0</v>
          </cell>
          <cell r="AB1413">
            <v>0</v>
          </cell>
        </row>
        <row r="1414">
          <cell r="G1414" t="str">
            <v>1759_0</v>
          </cell>
          <cell r="H1414" t="str">
            <v>as-as</v>
          </cell>
          <cell r="I1414" t="str">
            <v>sim</v>
          </cell>
          <cell r="V1414" t="str">
            <v>not</v>
          </cell>
          <cell r="Y1414" t="str">
            <v>Pres</v>
          </cell>
          <cell r="Z1414">
            <v>4.8499999999999996</v>
          </cell>
          <cell r="AA1414">
            <v>0</v>
          </cell>
          <cell r="AB1414">
            <v>0</v>
          </cell>
        </row>
        <row r="1415">
          <cell r="G1415" t="str">
            <v>1759_1</v>
          </cell>
          <cell r="H1415" t="str">
            <v>as-as</v>
          </cell>
          <cell r="I1415" t="str">
            <v>sim</v>
          </cell>
          <cell r="V1415" t="str">
            <v>not</v>
          </cell>
          <cell r="Y1415">
            <v>0</v>
          </cell>
          <cell r="Z1415">
            <v>4.8499999999999996</v>
          </cell>
          <cell r="AA1415">
            <v>0</v>
          </cell>
          <cell r="AB1415">
            <v>0</v>
          </cell>
        </row>
        <row r="1416">
          <cell r="G1416" t="str">
            <v>1760_0</v>
          </cell>
          <cell r="H1416" t="str">
            <v>as-as</v>
          </cell>
          <cell r="I1416" t="str">
            <v>sim</v>
          </cell>
          <cell r="V1416" t="str">
            <v>antonym</v>
          </cell>
          <cell r="Y1416" t="str">
            <v>Pres</v>
          </cell>
          <cell r="Z1416">
            <v>4.41</v>
          </cell>
          <cell r="AA1416">
            <v>0</v>
          </cell>
          <cell r="AB1416">
            <v>1</v>
          </cell>
        </row>
        <row r="1417">
          <cell r="G1417" t="str">
            <v>1760_1</v>
          </cell>
          <cell r="H1417" t="str">
            <v>as-as</v>
          </cell>
          <cell r="I1417" t="str">
            <v>sim</v>
          </cell>
          <cell r="V1417" t="str">
            <v>antonym</v>
          </cell>
          <cell r="Y1417" t="str">
            <v>Pres</v>
          </cell>
          <cell r="Z1417">
            <v>4.41</v>
          </cell>
          <cell r="AA1417">
            <v>0</v>
          </cell>
          <cell r="AB1417">
            <v>1</v>
          </cell>
        </row>
        <row r="1418">
          <cell r="G1418" t="str">
            <v>1761_0</v>
          </cell>
          <cell r="H1418" t="str">
            <v>as</v>
          </cell>
          <cell r="I1418" t="str">
            <v>sim</v>
          </cell>
          <cell r="V1418" t="str">
            <v>not neg pair</v>
          </cell>
          <cell r="Y1418" t="str">
            <v>Pres</v>
          </cell>
          <cell r="Z1418">
            <v>2.85</v>
          </cell>
          <cell r="AA1418">
            <v>0</v>
          </cell>
          <cell r="AB1418">
            <v>0</v>
          </cell>
        </row>
        <row r="1419">
          <cell r="G1419" t="str">
            <v>1761_1</v>
          </cell>
          <cell r="H1419" t="str">
            <v>as</v>
          </cell>
          <cell r="I1419" t="str">
            <v>sim</v>
          </cell>
          <cell r="V1419" t="str">
            <v>not neg pair</v>
          </cell>
          <cell r="Y1419" t="str">
            <v>Pres</v>
          </cell>
          <cell r="Z1419">
            <v>2.85</v>
          </cell>
          <cell r="AA1419">
            <v>0</v>
          </cell>
          <cell r="AB1419">
            <v>0</v>
          </cell>
        </row>
        <row r="1420">
          <cell r="G1420" t="str">
            <v>1764_0</v>
          </cell>
          <cell r="H1420" t="str">
            <v/>
          </cell>
          <cell r="I1420" t="str">
            <v>met</v>
          </cell>
          <cell r="V1420" t="str">
            <v>0</v>
          </cell>
          <cell r="Y1420" t="str">
            <v>Pres</v>
          </cell>
          <cell r="Z1420">
            <v>4</v>
          </cell>
          <cell r="AA1420">
            <v>0</v>
          </cell>
          <cell r="AB1420">
            <v>0</v>
          </cell>
        </row>
        <row r="1421">
          <cell r="G1421" t="str">
            <v>1764_1</v>
          </cell>
          <cell r="H1421" t="str">
            <v/>
          </cell>
          <cell r="I1421" t="str">
            <v>met</v>
          </cell>
          <cell r="V1421" t="str">
            <v>0</v>
          </cell>
          <cell r="Y1421" t="str">
            <v>Past</v>
          </cell>
          <cell r="Z1421">
            <v>4</v>
          </cell>
          <cell r="AA1421">
            <v>0</v>
          </cell>
          <cell r="AB1421">
            <v>0</v>
          </cell>
        </row>
        <row r="1422">
          <cell r="G1422" t="str">
            <v>1769_0</v>
          </cell>
          <cell r="H1422" t="str">
            <v/>
          </cell>
          <cell r="I1422" t="str">
            <v>met</v>
          </cell>
          <cell r="V1422" t="str">
            <v>0</v>
          </cell>
          <cell r="Y1422" t="str">
            <v>Pres</v>
          </cell>
          <cell r="Z1422">
            <v>4.7</v>
          </cell>
          <cell r="AA1422">
            <v>0</v>
          </cell>
          <cell r="AB1422">
            <v>0</v>
          </cell>
        </row>
        <row r="1423">
          <cell r="G1423" t="str">
            <v>1769_1</v>
          </cell>
          <cell r="H1423" t="str">
            <v/>
          </cell>
          <cell r="I1423" t="str">
            <v>met</v>
          </cell>
          <cell r="V1423" t="str">
            <v>0</v>
          </cell>
          <cell r="Y1423" t="str">
            <v>Pres</v>
          </cell>
          <cell r="Z1423">
            <v>4.7</v>
          </cell>
          <cell r="AA1423">
            <v>0</v>
          </cell>
          <cell r="AB1423">
            <v>0</v>
          </cell>
        </row>
        <row r="1424">
          <cell r="G1424" t="str">
            <v>1773_0</v>
          </cell>
          <cell r="H1424" t="str">
            <v/>
          </cell>
          <cell r="I1424" t="str">
            <v>met</v>
          </cell>
          <cell r="V1424" t="str">
            <v>0</v>
          </cell>
          <cell r="Y1424" t="str">
            <v>Pres</v>
          </cell>
          <cell r="Z1424">
            <v>4.8899999999999997</v>
          </cell>
          <cell r="AA1424">
            <v>0</v>
          </cell>
          <cell r="AB1424">
            <v>0</v>
          </cell>
        </row>
        <row r="1425">
          <cell r="G1425" t="str">
            <v>1773_1</v>
          </cell>
          <cell r="H1425" t="str">
            <v/>
          </cell>
          <cell r="I1425" t="str">
            <v>met</v>
          </cell>
          <cell r="V1425" t="str">
            <v>0</v>
          </cell>
          <cell r="Y1425" t="str">
            <v>Pres</v>
          </cell>
          <cell r="Z1425">
            <v>4.8899999999999997</v>
          </cell>
          <cell r="AA1425">
            <v>0</v>
          </cell>
          <cell r="AB1425">
            <v>0</v>
          </cell>
        </row>
        <row r="1426">
          <cell r="G1426" t="str">
            <v>1776_0</v>
          </cell>
          <cell r="H1426" t="str">
            <v>like</v>
          </cell>
          <cell r="I1426" t="str">
            <v>sim</v>
          </cell>
          <cell r="V1426" t="str">
            <v>not neg pair</v>
          </cell>
          <cell r="Y1426" t="str">
            <v>Past</v>
          </cell>
          <cell r="Z1426">
            <v>4.8899999999999997</v>
          </cell>
          <cell r="AA1426">
            <v>0</v>
          </cell>
          <cell r="AB1426">
            <v>0</v>
          </cell>
        </row>
        <row r="1427">
          <cell r="G1427" t="str">
            <v>1776_1</v>
          </cell>
          <cell r="H1427" t="str">
            <v>like</v>
          </cell>
          <cell r="I1427" t="str">
            <v>sim</v>
          </cell>
          <cell r="V1427" t="str">
            <v>not neg pair</v>
          </cell>
          <cell r="Y1427" t="str">
            <v>Past</v>
          </cell>
          <cell r="Z1427">
            <v>4.8899999999999997</v>
          </cell>
          <cell r="AA1427">
            <v>0</v>
          </cell>
          <cell r="AB1427">
            <v>0</v>
          </cell>
        </row>
        <row r="1428">
          <cell r="G1428" t="str">
            <v>1777_0</v>
          </cell>
          <cell r="H1428" t="str">
            <v/>
          </cell>
          <cell r="I1428" t="str">
            <v>met</v>
          </cell>
          <cell r="V1428" t="str">
            <v>0</v>
          </cell>
          <cell r="Y1428" t="str">
            <v>Past</v>
          </cell>
          <cell r="Z1428">
            <v>4.8</v>
          </cell>
          <cell r="AA1428">
            <v>0</v>
          </cell>
          <cell r="AB1428">
            <v>0</v>
          </cell>
        </row>
        <row r="1429">
          <cell r="G1429" t="str">
            <v>1777_1</v>
          </cell>
          <cell r="H1429" t="str">
            <v/>
          </cell>
          <cell r="I1429" t="str">
            <v>met</v>
          </cell>
          <cell r="V1429" t="str">
            <v>0</v>
          </cell>
          <cell r="Y1429" t="str">
            <v>Past</v>
          </cell>
          <cell r="Z1429">
            <v>4.8</v>
          </cell>
          <cell r="AA1429">
            <v>0</v>
          </cell>
          <cell r="AB1429">
            <v>0</v>
          </cell>
        </row>
        <row r="1430">
          <cell r="G1430" t="str">
            <v>1785_0</v>
          </cell>
          <cell r="H1430" t="str">
            <v>like</v>
          </cell>
          <cell r="I1430" t="str">
            <v>sim</v>
          </cell>
          <cell r="V1430" t="str">
            <v>not neg pair</v>
          </cell>
          <cell r="Y1430" t="str">
            <v>Pres</v>
          </cell>
          <cell r="Z1430">
            <v>3.36</v>
          </cell>
          <cell r="AA1430">
            <v>0</v>
          </cell>
          <cell r="AB1430">
            <v>0</v>
          </cell>
        </row>
        <row r="1431">
          <cell r="G1431" t="str">
            <v>1785_1</v>
          </cell>
          <cell r="H1431" t="str">
            <v>like</v>
          </cell>
          <cell r="I1431" t="str">
            <v>sim</v>
          </cell>
          <cell r="V1431" t="str">
            <v>not neg pair</v>
          </cell>
          <cell r="Y1431" t="str">
            <v>Pres</v>
          </cell>
          <cell r="Z1431">
            <v>3.36</v>
          </cell>
          <cell r="AA1431">
            <v>0</v>
          </cell>
          <cell r="AB1431">
            <v>0</v>
          </cell>
        </row>
        <row r="1432">
          <cell r="G1432" t="str">
            <v>1787_0</v>
          </cell>
          <cell r="H1432" t="str">
            <v>the-of</v>
          </cell>
          <cell r="I1432" t="str">
            <v>sim</v>
          </cell>
          <cell r="V1432" t="str">
            <v>not neg pair</v>
          </cell>
          <cell r="Y1432" t="str">
            <v>Pres</v>
          </cell>
          <cell r="Z1432">
            <v>4.92</v>
          </cell>
          <cell r="AA1432" t="str">
            <v>H</v>
          </cell>
          <cell r="AB1432">
            <v>0</v>
          </cell>
        </row>
        <row r="1433">
          <cell r="G1433" t="str">
            <v>1787_1</v>
          </cell>
          <cell r="H1433" t="str">
            <v>the-of</v>
          </cell>
          <cell r="I1433" t="str">
            <v>sim</v>
          </cell>
          <cell r="V1433" t="str">
            <v>not neg pair</v>
          </cell>
          <cell r="Y1433" t="str">
            <v>Pres</v>
          </cell>
          <cell r="Z1433">
            <v>4.92</v>
          </cell>
          <cell r="AA1433" t="str">
            <v>H</v>
          </cell>
          <cell r="AB1433">
            <v>0</v>
          </cell>
        </row>
        <row r="1434">
          <cell r="G1434" t="str">
            <v>1789_0</v>
          </cell>
          <cell r="H1434" t="str">
            <v>as-as</v>
          </cell>
          <cell r="I1434" t="str">
            <v>sim</v>
          </cell>
          <cell r="V1434" t="str">
            <v>antonym</v>
          </cell>
          <cell r="Y1434" t="str">
            <v>Pres</v>
          </cell>
          <cell r="Z1434">
            <v>4.9000000000000004</v>
          </cell>
          <cell r="AA1434">
            <v>0</v>
          </cell>
          <cell r="AB1434">
            <v>0</v>
          </cell>
        </row>
        <row r="1435">
          <cell r="G1435" t="str">
            <v>1789_1</v>
          </cell>
          <cell r="H1435" t="str">
            <v>as-as</v>
          </cell>
          <cell r="I1435" t="str">
            <v>sim</v>
          </cell>
          <cell r="V1435" t="str">
            <v>antonym</v>
          </cell>
          <cell r="Y1435" t="str">
            <v>Pres</v>
          </cell>
          <cell r="Z1435">
            <v>4.9000000000000004</v>
          </cell>
          <cell r="AA1435">
            <v>0</v>
          </cell>
          <cell r="AB1435">
            <v>0</v>
          </cell>
        </row>
        <row r="1436">
          <cell r="G1436" t="str">
            <v>1791_0</v>
          </cell>
          <cell r="H1436" t="str">
            <v>as-as</v>
          </cell>
          <cell r="I1436" t="str">
            <v>sim</v>
          </cell>
          <cell r="V1436" t="str">
            <v>antonym</v>
          </cell>
          <cell r="Y1436" t="str">
            <v>Past</v>
          </cell>
          <cell r="Z1436">
            <v>4.2300000000000004</v>
          </cell>
          <cell r="AA1436">
            <v>0</v>
          </cell>
          <cell r="AB1436">
            <v>0</v>
          </cell>
        </row>
        <row r="1437">
          <cell r="G1437" t="str">
            <v>1791_1</v>
          </cell>
          <cell r="H1437" t="str">
            <v>as-as</v>
          </cell>
          <cell r="I1437" t="str">
            <v>sim</v>
          </cell>
          <cell r="V1437" t="str">
            <v>antonym</v>
          </cell>
          <cell r="Y1437" t="str">
            <v>Past</v>
          </cell>
          <cell r="Z1437">
            <v>4.2300000000000004</v>
          </cell>
          <cell r="AA1437">
            <v>0</v>
          </cell>
          <cell r="AB1437">
            <v>0</v>
          </cell>
        </row>
        <row r="1438">
          <cell r="G1438" t="str">
            <v>1795_0</v>
          </cell>
          <cell r="H1438" t="str">
            <v>as-as</v>
          </cell>
          <cell r="I1438" t="str">
            <v>sim</v>
          </cell>
          <cell r="V1438" t="str">
            <v>antonym</v>
          </cell>
          <cell r="Y1438" t="str">
            <v>Pres</v>
          </cell>
          <cell r="Z1438">
            <v>3.36</v>
          </cell>
          <cell r="AA1438">
            <v>0</v>
          </cell>
          <cell r="AB1438">
            <v>0</v>
          </cell>
        </row>
        <row r="1439">
          <cell r="G1439" t="str">
            <v>1795_1</v>
          </cell>
          <cell r="H1439" t="str">
            <v>as-as</v>
          </cell>
          <cell r="I1439" t="str">
            <v>sim</v>
          </cell>
          <cell r="V1439" t="str">
            <v>antonym</v>
          </cell>
          <cell r="Y1439" t="str">
            <v>Pres</v>
          </cell>
          <cell r="Z1439">
            <v>3.36</v>
          </cell>
          <cell r="AA1439">
            <v>0</v>
          </cell>
          <cell r="AB1439">
            <v>0</v>
          </cell>
        </row>
        <row r="1440">
          <cell r="G1440" t="str">
            <v>1799_0</v>
          </cell>
          <cell r="H1440" t="str">
            <v>as-as</v>
          </cell>
          <cell r="I1440" t="str">
            <v>sim</v>
          </cell>
          <cell r="V1440" t="str">
            <v>not neg pair</v>
          </cell>
          <cell r="Y1440" t="str">
            <v>Pres</v>
          </cell>
          <cell r="Z1440">
            <v>3.07</v>
          </cell>
          <cell r="AA1440">
            <v>0</v>
          </cell>
          <cell r="AB1440">
            <v>0</v>
          </cell>
        </row>
        <row r="1441">
          <cell r="G1441" t="str">
            <v>1799_1</v>
          </cell>
          <cell r="H1441" t="str">
            <v>as-as</v>
          </cell>
          <cell r="I1441" t="str">
            <v>sim</v>
          </cell>
          <cell r="V1441" t="str">
            <v>not neg pair</v>
          </cell>
          <cell r="Y1441" t="str">
            <v>Past</v>
          </cell>
          <cell r="Z1441">
            <v>3.07</v>
          </cell>
          <cell r="AA1441">
            <v>0</v>
          </cell>
          <cell r="AB1441">
            <v>0</v>
          </cell>
        </row>
        <row r="1442">
          <cell r="G1442" t="str">
            <v>1801_0</v>
          </cell>
          <cell r="H1442" t="str">
            <v>as</v>
          </cell>
          <cell r="I1442" t="str">
            <v>sim</v>
          </cell>
          <cell r="V1442" t="str">
            <v>not</v>
          </cell>
          <cell r="Y1442" t="str">
            <v>Past</v>
          </cell>
          <cell r="Z1442">
            <v>4.92</v>
          </cell>
          <cell r="AA1442" t="str">
            <v>H</v>
          </cell>
          <cell r="AB1442">
            <v>1</v>
          </cell>
        </row>
        <row r="1443">
          <cell r="G1443" t="str">
            <v>1801_1</v>
          </cell>
          <cell r="H1443" t="str">
            <v>as</v>
          </cell>
          <cell r="I1443" t="str">
            <v>sim</v>
          </cell>
          <cell r="V1443" t="str">
            <v>not</v>
          </cell>
          <cell r="Y1443" t="str">
            <v>Past</v>
          </cell>
          <cell r="Z1443">
            <v>4.92</v>
          </cell>
          <cell r="AA1443" t="str">
            <v>H</v>
          </cell>
          <cell r="AB1443">
            <v>1</v>
          </cell>
        </row>
        <row r="1444">
          <cell r="G1444" t="str">
            <v>1803_0</v>
          </cell>
          <cell r="H1444" t="str">
            <v>as-as</v>
          </cell>
          <cell r="I1444" t="str">
            <v>sim</v>
          </cell>
          <cell r="V1444" t="str">
            <v>antonym</v>
          </cell>
          <cell r="Y1444" t="str">
            <v>Past</v>
          </cell>
          <cell r="Z1444">
            <v>4.12</v>
          </cell>
          <cell r="AA1444">
            <v>0</v>
          </cell>
          <cell r="AB1444">
            <v>0</v>
          </cell>
        </row>
        <row r="1445">
          <cell r="G1445" t="str">
            <v>1803_1</v>
          </cell>
          <cell r="H1445" t="str">
            <v>as-as</v>
          </cell>
          <cell r="I1445" t="str">
            <v>sim</v>
          </cell>
          <cell r="V1445" t="str">
            <v>antonym</v>
          </cell>
          <cell r="Y1445" t="str">
            <v>Past</v>
          </cell>
          <cell r="Z1445">
            <v>4.12</v>
          </cell>
          <cell r="AA1445">
            <v>0</v>
          </cell>
          <cell r="AB1445">
            <v>0</v>
          </cell>
        </row>
        <row r="1446">
          <cell r="G1446" t="str">
            <v>1804_0</v>
          </cell>
          <cell r="H1446" t="str">
            <v>as</v>
          </cell>
          <cell r="I1446" t="str">
            <v>sim</v>
          </cell>
          <cell r="V1446" t="str">
            <v>not neg pair</v>
          </cell>
          <cell r="Y1446" t="str">
            <v>Past</v>
          </cell>
          <cell r="Z1446">
            <v>4.79</v>
          </cell>
          <cell r="AA1446">
            <v>0</v>
          </cell>
          <cell r="AB1446">
            <v>0</v>
          </cell>
        </row>
        <row r="1447">
          <cell r="G1447" t="str">
            <v>1804_1</v>
          </cell>
          <cell r="H1447" t="str">
            <v>as</v>
          </cell>
          <cell r="I1447" t="str">
            <v>sim</v>
          </cell>
          <cell r="V1447" t="str">
            <v>not neg pair</v>
          </cell>
          <cell r="Y1447" t="str">
            <v>Past</v>
          </cell>
          <cell r="Z1447">
            <v>4.79</v>
          </cell>
          <cell r="AA1447">
            <v>0</v>
          </cell>
          <cell r="AB1447">
            <v>0</v>
          </cell>
        </row>
        <row r="1448">
          <cell r="G1448" t="str">
            <v>1806_0</v>
          </cell>
          <cell r="H1448" t="str">
            <v>the-of</v>
          </cell>
          <cell r="I1448" t="str">
            <v>sim</v>
          </cell>
          <cell r="V1448" t="str">
            <v>not</v>
          </cell>
          <cell r="Y1448" t="str">
            <v>Pres</v>
          </cell>
          <cell r="Z1448">
            <v>2.85</v>
          </cell>
          <cell r="AA1448">
            <v>0</v>
          </cell>
          <cell r="AB1448">
            <v>0</v>
          </cell>
        </row>
        <row r="1449">
          <cell r="G1449" t="str">
            <v>1806_1</v>
          </cell>
          <cell r="H1449" t="str">
            <v>the-of</v>
          </cell>
          <cell r="I1449" t="str">
            <v>sim</v>
          </cell>
          <cell r="V1449" t="str">
            <v>not</v>
          </cell>
          <cell r="Y1449" t="str">
            <v>Pres</v>
          </cell>
          <cell r="Z1449">
            <v>2.85</v>
          </cell>
          <cell r="AA1449">
            <v>0</v>
          </cell>
          <cell r="AB1449">
            <v>0</v>
          </cell>
        </row>
        <row r="1450">
          <cell r="G1450" t="str">
            <v>1807_0</v>
          </cell>
          <cell r="H1450" t="str">
            <v>as-as</v>
          </cell>
          <cell r="I1450" t="str">
            <v>sim</v>
          </cell>
          <cell r="V1450" t="str">
            <v>not neg pair</v>
          </cell>
          <cell r="Y1450" t="str">
            <v>Pres</v>
          </cell>
          <cell r="Z1450">
            <v>4.8</v>
          </cell>
          <cell r="AA1450">
            <v>0</v>
          </cell>
          <cell r="AB1450">
            <v>0</v>
          </cell>
        </row>
        <row r="1451">
          <cell r="G1451" t="str">
            <v>1807_1</v>
          </cell>
          <cell r="H1451" t="str">
            <v>as-as</v>
          </cell>
          <cell r="I1451" t="str">
            <v>sim</v>
          </cell>
          <cell r="V1451" t="str">
            <v>not neg pair</v>
          </cell>
          <cell r="Y1451" t="str">
            <v>Pres</v>
          </cell>
          <cell r="Z1451">
            <v>4.8</v>
          </cell>
          <cell r="AA1451">
            <v>0</v>
          </cell>
          <cell r="AB1451">
            <v>0</v>
          </cell>
        </row>
        <row r="1452">
          <cell r="G1452" t="str">
            <v>1810_0</v>
          </cell>
          <cell r="H1452" t="str">
            <v>the-of</v>
          </cell>
          <cell r="I1452" t="str">
            <v>sim</v>
          </cell>
          <cell r="V1452" t="str">
            <v>not neg pair</v>
          </cell>
          <cell r="Y1452" t="str">
            <v>Past</v>
          </cell>
          <cell r="Z1452">
            <v>4.75</v>
          </cell>
          <cell r="AA1452">
            <v>0</v>
          </cell>
          <cell r="AB1452">
            <v>0</v>
          </cell>
        </row>
        <row r="1453">
          <cell r="G1453" t="str">
            <v>1810_1</v>
          </cell>
          <cell r="H1453" t="str">
            <v>the-of</v>
          </cell>
          <cell r="I1453" t="str">
            <v>sim</v>
          </cell>
          <cell r="V1453" t="str">
            <v>not neg pair</v>
          </cell>
          <cell r="Y1453" t="str">
            <v>Past</v>
          </cell>
          <cell r="Z1453">
            <v>4.75</v>
          </cell>
          <cell r="AA1453">
            <v>0</v>
          </cell>
          <cell r="AB1453">
            <v>0</v>
          </cell>
        </row>
        <row r="1454">
          <cell r="G1454" t="str">
            <v>1812_0</v>
          </cell>
          <cell r="H1454" t="str">
            <v/>
          </cell>
          <cell r="I1454" t="str">
            <v>met</v>
          </cell>
          <cell r="V1454" t="str">
            <v>0</v>
          </cell>
          <cell r="Y1454" t="str">
            <v>Past</v>
          </cell>
          <cell r="Z1454">
            <v>2.85</v>
          </cell>
          <cell r="AA1454">
            <v>0</v>
          </cell>
          <cell r="AB1454">
            <v>0</v>
          </cell>
        </row>
        <row r="1455">
          <cell r="G1455" t="str">
            <v>1812_1</v>
          </cell>
          <cell r="H1455" t="str">
            <v/>
          </cell>
          <cell r="I1455" t="str">
            <v>met</v>
          </cell>
          <cell r="V1455" t="str">
            <v>0</v>
          </cell>
          <cell r="Y1455" t="str">
            <v>Past</v>
          </cell>
          <cell r="Z1455">
            <v>2.85</v>
          </cell>
          <cell r="AA1455">
            <v>0</v>
          </cell>
          <cell r="AB1455">
            <v>0</v>
          </cell>
        </row>
        <row r="1456">
          <cell r="G1456" t="str">
            <v>1818_0</v>
          </cell>
          <cell r="H1456" t="str">
            <v>as-as</v>
          </cell>
          <cell r="I1456" t="str">
            <v>sim</v>
          </cell>
          <cell r="V1456" t="str">
            <v>antonym</v>
          </cell>
          <cell r="Y1456" t="str">
            <v>Past</v>
          </cell>
          <cell r="Z1456">
            <v>4.97</v>
          </cell>
          <cell r="AA1456" t="str">
            <v>H</v>
          </cell>
          <cell r="AB1456">
            <v>0</v>
          </cell>
        </row>
        <row r="1457">
          <cell r="G1457" t="str">
            <v>1818_1</v>
          </cell>
          <cell r="H1457" t="str">
            <v>as-as</v>
          </cell>
          <cell r="I1457" t="str">
            <v>sim</v>
          </cell>
          <cell r="V1457" t="str">
            <v>antonym</v>
          </cell>
          <cell r="Y1457" t="str">
            <v>Past</v>
          </cell>
          <cell r="Z1457">
            <v>4.97</v>
          </cell>
          <cell r="AA1457" t="str">
            <v>H</v>
          </cell>
          <cell r="AB1457">
            <v>0</v>
          </cell>
        </row>
        <row r="1458">
          <cell r="G1458" t="str">
            <v>1820_0</v>
          </cell>
          <cell r="H1458" t="str">
            <v>the-of</v>
          </cell>
          <cell r="I1458" t="str">
            <v>sim</v>
          </cell>
          <cell r="V1458" t="str">
            <v>not neg pair</v>
          </cell>
          <cell r="Y1458" t="str">
            <v>Pres</v>
          </cell>
          <cell r="Z1458">
            <v>4.9000000000000004</v>
          </cell>
          <cell r="AA1458">
            <v>0</v>
          </cell>
          <cell r="AB1458">
            <v>0</v>
          </cell>
        </row>
        <row r="1459">
          <cell r="G1459" t="str">
            <v>1820_1</v>
          </cell>
          <cell r="H1459" t="str">
            <v>the-of</v>
          </cell>
          <cell r="I1459" t="str">
            <v>sim</v>
          </cell>
          <cell r="V1459" t="str">
            <v>not neg pair</v>
          </cell>
          <cell r="Y1459" t="str">
            <v>Pres</v>
          </cell>
          <cell r="Z1459">
            <v>4.9000000000000004</v>
          </cell>
          <cell r="AA1459">
            <v>0</v>
          </cell>
          <cell r="AB1459">
            <v>0</v>
          </cell>
        </row>
        <row r="1460">
          <cell r="G1460" t="str">
            <v>X0_0</v>
          </cell>
          <cell r="H1460" t="str">
            <v>as-as</v>
          </cell>
          <cell r="I1460" t="str">
            <v>sim</v>
          </cell>
          <cell r="V1460" t="str">
            <v>antonym</v>
          </cell>
          <cell r="Y1460" t="str">
            <v>Pres</v>
          </cell>
          <cell r="Z1460">
            <v>3</v>
          </cell>
          <cell r="AA1460">
            <v>0</v>
          </cell>
          <cell r="AB1460">
            <v>0</v>
          </cell>
        </row>
        <row r="1461">
          <cell r="G1461" t="str">
            <v>X0_1</v>
          </cell>
          <cell r="H1461" t="str">
            <v>as-as</v>
          </cell>
          <cell r="I1461" t="str">
            <v>sim</v>
          </cell>
          <cell r="V1461" t="str">
            <v>antonym</v>
          </cell>
          <cell r="Y1461" t="str">
            <v>Pres</v>
          </cell>
          <cell r="Z1461">
            <v>3</v>
          </cell>
          <cell r="AA1461">
            <v>0</v>
          </cell>
          <cell r="AB1461">
            <v>0</v>
          </cell>
        </row>
        <row r="1462">
          <cell r="G1462" t="str">
            <v>X1_0</v>
          </cell>
          <cell r="H1462" t="str">
            <v>as-as</v>
          </cell>
          <cell r="I1462" t="str">
            <v>sim</v>
          </cell>
          <cell r="V1462" t="str">
            <v>antonym</v>
          </cell>
          <cell r="Y1462" t="str">
            <v>Pres</v>
          </cell>
          <cell r="Z1462">
            <v>4.6399999999999997</v>
          </cell>
          <cell r="AA1462">
            <v>0</v>
          </cell>
          <cell r="AB1462">
            <v>0</v>
          </cell>
        </row>
        <row r="1463">
          <cell r="G1463" t="str">
            <v>X1_1</v>
          </cell>
          <cell r="H1463" t="str">
            <v>as-as</v>
          </cell>
          <cell r="I1463" t="str">
            <v>sim</v>
          </cell>
          <cell r="V1463" t="str">
            <v>antonym</v>
          </cell>
          <cell r="Y1463" t="str">
            <v>Pres</v>
          </cell>
          <cell r="Z1463">
            <v>4.6399999999999997</v>
          </cell>
          <cell r="AA1463">
            <v>0</v>
          </cell>
          <cell r="AB1463">
            <v>0</v>
          </cell>
        </row>
        <row r="1464">
          <cell r="G1464" t="str">
            <v>X2_0</v>
          </cell>
          <cell r="H1464" t="str">
            <v>the-of</v>
          </cell>
          <cell r="I1464" t="str">
            <v>sim</v>
          </cell>
          <cell r="V1464" t="str">
            <v>not neg pair</v>
          </cell>
          <cell r="Y1464" t="str">
            <v>Pres</v>
          </cell>
          <cell r="Z1464">
            <v>3.65</v>
          </cell>
          <cell r="AA1464">
            <v>0</v>
          </cell>
          <cell r="AB1464">
            <v>0</v>
          </cell>
        </row>
        <row r="1465">
          <cell r="G1465" t="str">
            <v>X2_1</v>
          </cell>
          <cell r="H1465" t="str">
            <v>the-of</v>
          </cell>
          <cell r="I1465" t="str">
            <v>sim</v>
          </cell>
          <cell r="V1465" t="str">
            <v>not neg pair</v>
          </cell>
          <cell r="Y1465" t="str">
            <v>Past</v>
          </cell>
          <cell r="Z1465">
            <v>3.07</v>
          </cell>
          <cell r="AA1465">
            <v>0</v>
          </cell>
          <cell r="AB1465">
            <v>0</v>
          </cell>
        </row>
        <row r="1466">
          <cell r="G1466" t="str">
            <v>X3_0</v>
          </cell>
          <cell r="H1466" t="str">
            <v>as-as</v>
          </cell>
          <cell r="I1466" t="str">
            <v>sim</v>
          </cell>
          <cell r="V1466" t="str">
            <v>antonym</v>
          </cell>
          <cell r="Y1466" t="str">
            <v>Past</v>
          </cell>
          <cell r="Z1466">
            <v>3.41</v>
          </cell>
          <cell r="AA1466">
            <v>0</v>
          </cell>
          <cell r="AB1466">
            <v>0</v>
          </cell>
        </row>
        <row r="1467">
          <cell r="G1467" t="str">
            <v>X3_1</v>
          </cell>
          <cell r="H1467" t="str">
            <v>as-as</v>
          </cell>
          <cell r="I1467" t="str">
            <v>sim</v>
          </cell>
          <cell r="V1467" t="str">
            <v>antonym</v>
          </cell>
          <cell r="Y1467" t="str">
            <v>Past</v>
          </cell>
          <cell r="Z1467">
            <v>3.41</v>
          </cell>
          <cell r="AA1467">
            <v>0</v>
          </cell>
          <cell r="AB1467">
            <v>0</v>
          </cell>
        </row>
        <row r="1468">
          <cell r="G1468" t="str">
            <v>X4_0</v>
          </cell>
          <cell r="H1468" t="str">
            <v>as-as</v>
          </cell>
          <cell r="I1468" t="str">
            <v>sim</v>
          </cell>
          <cell r="V1468" t="str">
            <v>not neg pair</v>
          </cell>
          <cell r="Y1468" t="str">
            <v>Past</v>
          </cell>
          <cell r="Z1468">
            <v>3.93</v>
          </cell>
          <cell r="AA1468">
            <v>0</v>
          </cell>
          <cell r="AB1468">
            <v>0</v>
          </cell>
        </row>
        <row r="1469">
          <cell r="G1469" t="str">
            <v>X4_1</v>
          </cell>
          <cell r="H1469" t="str">
            <v>as-as</v>
          </cell>
          <cell r="I1469" t="str">
            <v>sim</v>
          </cell>
          <cell r="V1469" t="str">
            <v>not neg pair</v>
          </cell>
          <cell r="Y1469" t="str">
            <v>Past</v>
          </cell>
          <cell r="Z1469">
            <v>3.93</v>
          </cell>
          <cell r="AA1469">
            <v>0</v>
          </cell>
          <cell r="AB1469">
            <v>0</v>
          </cell>
        </row>
        <row r="1470">
          <cell r="G1470" t="str">
            <v>X5_0</v>
          </cell>
          <cell r="H1470" t="str">
            <v>as-as</v>
          </cell>
          <cell r="I1470" t="str">
            <v>sim</v>
          </cell>
          <cell r="V1470" t="str">
            <v>not neg pair</v>
          </cell>
          <cell r="Y1470" t="str">
            <v>Pres</v>
          </cell>
          <cell r="Z1470">
            <v>3.93</v>
          </cell>
          <cell r="AA1470">
            <v>0</v>
          </cell>
          <cell r="AB1470">
            <v>0</v>
          </cell>
        </row>
        <row r="1471">
          <cell r="G1471" t="str">
            <v>X5_1</v>
          </cell>
          <cell r="H1471" t="str">
            <v>as-as</v>
          </cell>
          <cell r="I1471" t="str">
            <v>sim</v>
          </cell>
          <cell r="V1471" t="str">
            <v>not neg pair</v>
          </cell>
          <cell r="Y1471" t="str">
            <v>Pres</v>
          </cell>
          <cell r="Z1471">
            <v>3.93</v>
          </cell>
          <cell r="AA1471">
            <v>0</v>
          </cell>
          <cell r="AB1471">
            <v>0</v>
          </cell>
        </row>
        <row r="1472">
          <cell r="G1472" t="str">
            <v>X6_0</v>
          </cell>
          <cell r="H1472" t="str">
            <v>the-of</v>
          </cell>
          <cell r="I1472" t="str">
            <v>sim</v>
          </cell>
          <cell r="V1472" t="str">
            <v>not</v>
          </cell>
          <cell r="Y1472" t="str">
            <v>Pres</v>
          </cell>
          <cell r="Z1472">
            <v>3.93</v>
          </cell>
          <cell r="AA1472">
            <v>0</v>
          </cell>
          <cell r="AB1472">
            <v>1</v>
          </cell>
        </row>
        <row r="1473">
          <cell r="G1473" t="str">
            <v>X6_1</v>
          </cell>
          <cell r="H1473" t="str">
            <v>the-of</v>
          </cell>
          <cell r="I1473" t="str">
            <v>sim</v>
          </cell>
          <cell r="V1473" t="str">
            <v>not</v>
          </cell>
          <cell r="Y1473" t="str">
            <v>Pres</v>
          </cell>
          <cell r="Z1473">
            <v>3.93</v>
          </cell>
          <cell r="AA1473">
            <v>0</v>
          </cell>
          <cell r="AB1473">
            <v>1</v>
          </cell>
        </row>
        <row r="1474">
          <cell r="G1474" t="str">
            <v>X7_0</v>
          </cell>
          <cell r="H1474" t="str">
            <v>like</v>
          </cell>
          <cell r="I1474" t="str">
            <v>sim</v>
          </cell>
          <cell r="V1474" t="str">
            <v>not neg pair</v>
          </cell>
          <cell r="Y1474" t="str">
            <v>Past</v>
          </cell>
          <cell r="Z1474">
            <v>3.93</v>
          </cell>
          <cell r="AA1474">
            <v>0</v>
          </cell>
          <cell r="AB1474">
            <v>0</v>
          </cell>
        </row>
        <row r="1475">
          <cell r="G1475" t="str">
            <v>X7_1</v>
          </cell>
          <cell r="H1475" t="str">
            <v>like</v>
          </cell>
          <cell r="I1475" t="str">
            <v>sim</v>
          </cell>
          <cell r="V1475" t="str">
            <v>not neg pair</v>
          </cell>
          <cell r="Y1475" t="str">
            <v>Past</v>
          </cell>
          <cell r="Z1475">
            <v>3.93</v>
          </cell>
          <cell r="AA1475">
            <v>0</v>
          </cell>
          <cell r="AB1475">
            <v>0</v>
          </cell>
        </row>
        <row r="1476">
          <cell r="G1476" t="str">
            <v>X8_0</v>
          </cell>
          <cell r="H1476" t="str">
            <v>like</v>
          </cell>
          <cell r="I1476" t="str">
            <v>sim</v>
          </cell>
          <cell r="V1476" t="str">
            <v>not neg pair</v>
          </cell>
          <cell r="Y1476" t="str">
            <v>Pres</v>
          </cell>
          <cell r="Z1476">
            <v>4.13</v>
          </cell>
          <cell r="AA1476">
            <v>0</v>
          </cell>
          <cell r="AB1476">
            <v>0</v>
          </cell>
        </row>
        <row r="1477">
          <cell r="G1477" t="str">
            <v>X8_1</v>
          </cell>
          <cell r="H1477" t="str">
            <v>like</v>
          </cell>
          <cell r="I1477" t="str">
            <v>sim</v>
          </cell>
          <cell r="V1477" t="str">
            <v>not neg pair</v>
          </cell>
          <cell r="Y1477" t="str">
            <v>Pres</v>
          </cell>
          <cell r="Z1477">
            <v>4.13</v>
          </cell>
          <cell r="AA1477">
            <v>0</v>
          </cell>
          <cell r="AB1477">
            <v>0</v>
          </cell>
        </row>
        <row r="1478">
          <cell r="G1478" t="str">
            <v>X9_0</v>
          </cell>
          <cell r="H1478" t="str">
            <v>as-as</v>
          </cell>
          <cell r="I1478" t="str">
            <v>sim</v>
          </cell>
          <cell r="V1478" t="str">
            <v>not</v>
          </cell>
          <cell r="Y1478" t="str">
            <v>Pres</v>
          </cell>
          <cell r="Z1478">
            <v>3.93</v>
          </cell>
          <cell r="AA1478">
            <v>0</v>
          </cell>
          <cell r="AB1478">
            <v>0</v>
          </cell>
        </row>
        <row r="1479">
          <cell r="G1479" t="str">
            <v>X9_1</v>
          </cell>
          <cell r="H1479" t="str">
            <v>as-as</v>
          </cell>
          <cell r="I1479" t="str">
            <v>sim</v>
          </cell>
          <cell r="V1479" t="str">
            <v>not</v>
          </cell>
          <cell r="Y1479" t="str">
            <v>Past</v>
          </cell>
          <cell r="Z1479">
            <v>3.93</v>
          </cell>
          <cell r="AA1479">
            <v>0</v>
          </cell>
          <cell r="AB1479">
            <v>0</v>
          </cell>
        </row>
        <row r="1480">
          <cell r="G1480" t="str">
            <v>X10_0</v>
          </cell>
          <cell r="H1480" t="str">
            <v>as-as</v>
          </cell>
          <cell r="I1480" t="str">
            <v>sim</v>
          </cell>
          <cell r="V1480" t="str">
            <v>not</v>
          </cell>
          <cell r="Y1480" t="str">
            <v>Past</v>
          </cell>
          <cell r="Z1480">
            <v>4.5199999999999996</v>
          </cell>
          <cell r="AA1480">
            <v>0</v>
          </cell>
          <cell r="AB1480">
            <v>1</v>
          </cell>
        </row>
        <row r="1481">
          <cell r="G1481" t="str">
            <v>X10_1</v>
          </cell>
          <cell r="H1481" t="str">
            <v>as-as</v>
          </cell>
          <cell r="I1481" t="str">
            <v>sim</v>
          </cell>
          <cell r="V1481" t="str">
            <v>not</v>
          </cell>
          <cell r="Y1481" t="str">
            <v>Past</v>
          </cell>
          <cell r="Z1481">
            <v>4.5199999999999996</v>
          </cell>
          <cell r="AA1481">
            <v>0</v>
          </cell>
          <cell r="AB1481">
            <v>1</v>
          </cell>
        </row>
        <row r="1482">
          <cell r="G1482" t="str">
            <v>X11_0</v>
          </cell>
          <cell r="H1482" t="str">
            <v>as-as</v>
          </cell>
          <cell r="I1482" t="str">
            <v>sim</v>
          </cell>
          <cell r="V1482" t="str">
            <v>not</v>
          </cell>
          <cell r="Y1482" t="str">
            <v>Past</v>
          </cell>
          <cell r="Z1482">
            <v>4.8</v>
          </cell>
          <cell r="AA1482">
            <v>0</v>
          </cell>
          <cell r="AB1482">
            <v>1</v>
          </cell>
        </row>
        <row r="1483">
          <cell r="G1483" t="str">
            <v>X11_1</v>
          </cell>
          <cell r="H1483" t="str">
            <v>as-as</v>
          </cell>
          <cell r="I1483" t="str">
            <v>sim</v>
          </cell>
          <cell r="V1483" t="str">
            <v>not</v>
          </cell>
          <cell r="Y1483" t="str">
            <v>Past</v>
          </cell>
          <cell r="Z1483">
            <v>4.8</v>
          </cell>
          <cell r="AA1483">
            <v>0</v>
          </cell>
          <cell r="AB1483">
            <v>1</v>
          </cell>
        </row>
        <row r="1484">
          <cell r="G1484" t="str">
            <v>X12_0</v>
          </cell>
          <cell r="H1484" t="str">
            <v>like</v>
          </cell>
          <cell r="I1484" t="str">
            <v>sim</v>
          </cell>
          <cell r="V1484" t="str">
            <v>not</v>
          </cell>
          <cell r="Y1484" t="str">
            <v>Past</v>
          </cell>
          <cell r="Z1484">
            <v>2.5</v>
          </cell>
          <cell r="AA1484" t="str">
            <v>L</v>
          </cell>
          <cell r="AB1484">
            <v>0</v>
          </cell>
        </row>
        <row r="1485">
          <cell r="G1485" t="str">
            <v>X12_1</v>
          </cell>
          <cell r="H1485" t="str">
            <v>like</v>
          </cell>
          <cell r="I1485" t="str">
            <v>sim</v>
          </cell>
          <cell r="V1485" t="str">
            <v>not</v>
          </cell>
          <cell r="Y1485" t="str">
            <v>Past</v>
          </cell>
          <cell r="Z1485">
            <v>2.5</v>
          </cell>
          <cell r="AA1485" t="str">
            <v>L</v>
          </cell>
          <cell r="AB1485">
            <v>0</v>
          </cell>
        </row>
        <row r="1486">
          <cell r="G1486" t="str">
            <v>X13_0</v>
          </cell>
          <cell r="H1486" t="str">
            <v/>
          </cell>
          <cell r="I1486" t="str">
            <v>met</v>
          </cell>
          <cell r="V1486" t="str">
            <v>0</v>
          </cell>
          <cell r="Y1486" t="str">
            <v>Past</v>
          </cell>
          <cell r="Z1486">
            <v>4.5199999999999996</v>
          </cell>
          <cell r="AA1486">
            <v>0</v>
          </cell>
          <cell r="AB1486">
            <v>0</v>
          </cell>
        </row>
        <row r="1487">
          <cell r="G1487" t="str">
            <v>X13_1</v>
          </cell>
          <cell r="H1487" t="str">
            <v/>
          </cell>
          <cell r="I1487" t="str">
            <v>met</v>
          </cell>
          <cell r="V1487" t="str">
            <v>0</v>
          </cell>
          <cell r="Y1487" t="str">
            <v>Past</v>
          </cell>
          <cell r="Z1487">
            <v>4.5199999999999996</v>
          </cell>
          <cell r="AA1487">
            <v>0</v>
          </cell>
          <cell r="AB1487">
            <v>0</v>
          </cell>
        </row>
        <row r="1488">
          <cell r="G1488" t="str">
            <v>X14_0</v>
          </cell>
          <cell r="H1488" t="str">
            <v>as-as</v>
          </cell>
          <cell r="I1488" t="str">
            <v>sim</v>
          </cell>
          <cell r="V1488" t="str">
            <v>antonym</v>
          </cell>
          <cell r="Y1488" t="str">
            <v>Past</v>
          </cell>
          <cell r="Z1488">
            <v>2.81</v>
          </cell>
          <cell r="AA1488">
            <v>0</v>
          </cell>
          <cell r="AB1488">
            <v>0</v>
          </cell>
        </row>
        <row r="1489">
          <cell r="G1489" t="str">
            <v>X14_1</v>
          </cell>
          <cell r="H1489" t="str">
            <v>as-as</v>
          </cell>
          <cell r="I1489" t="str">
            <v>sim</v>
          </cell>
          <cell r="V1489" t="str">
            <v>antonym</v>
          </cell>
          <cell r="Y1489" t="str">
            <v>Past</v>
          </cell>
          <cell r="Z1489">
            <v>3.07</v>
          </cell>
          <cell r="AA1489">
            <v>0</v>
          </cell>
          <cell r="AB1489">
            <v>0</v>
          </cell>
        </row>
        <row r="1490">
          <cell r="G1490" t="str">
            <v>X15_0</v>
          </cell>
          <cell r="H1490" t="str">
            <v/>
          </cell>
          <cell r="I1490" t="str">
            <v>met</v>
          </cell>
          <cell r="V1490" t="str">
            <v>0</v>
          </cell>
          <cell r="Y1490" t="str">
            <v>Pres</v>
          </cell>
          <cell r="Z1490">
            <v>0</v>
          </cell>
          <cell r="AA1490">
            <v>0</v>
          </cell>
          <cell r="AB1490">
            <v>1</v>
          </cell>
        </row>
        <row r="1491">
          <cell r="G1491" t="str">
            <v>X15_1</v>
          </cell>
          <cell r="H1491" t="str">
            <v>like</v>
          </cell>
          <cell r="I1491" t="str">
            <v>sim</v>
          </cell>
          <cell r="V1491" t="str">
            <v>0</v>
          </cell>
          <cell r="Y1491" t="str">
            <v>Pres</v>
          </cell>
          <cell r="Z1491">
            <v>0</v>
          </cell>
          <cell r="AA1491">
            <v>0</v>
          </cell>
          <cell r="AB1491">
            <v>1</v>
          </cell>
        </row>
        <row r="1492">
          <cell r="G1492" t="str">
            <v>X16_0</v>
          </cell>
          <cell r="H1492" t="str">
            <v/>
          </cell>
          <cell r="I1492" t="str">
            <v>met</v>
          </cell>
          <cell r="V1492" t="str">
            <v>0</v>
          </cell>
          <cell r="Y1492" t="str">
            <v>Pres</v>
          </cell>
          <cell r="Z1492">
            <v>0</v>
          </cell>
          <cell r="AA1492">
            <v>0</v>
          </cell>
          <cell r="AB1492">
            <v>0</v>
          </cell>
        </row>
        <row r="1493">
          <cell r="G1493" t="str">
            <v>X16_1</v>
          </cell>
          <cell r="H1493" t="str">
            <v/>
          </cell>
          <cell r="I1493" t="str">
            <v>met</v>
          </cell>
          <cell r="V1493" t="str">
            <v>0</v>
          </cell>
          <cell r="Y1493" t="str">
            <v>Pres</v>
          </cell>
          <cell r="Z1493">
            <v>0</v>
          </cell>
          <cell r="AA1493">
            <v>0</v>
          </cell>
          <cell r="AB1493">
            <v>0</v>
          </cell>
        </row>
        <row r="1494">
          <cell r="G1494" t="str">
            <v>X17_0</v>
          </cell>
          <cell r="H1494" t="str">
            <v>as-as</v>
          </cell>
          <cell r="I1494" t="str">
            <v>sim</v>
          </cell>
          <cell r="V1494" t="str">
            <v>not neg pair</v>
          </cell>
          <cell r="Y1494" t="str">
            <v>Pres</v>
          </cell>
          <cell r="Z1494">
            <v>3.93</v>
          </cell>
          <cell r="AA1494">
            <v>0</v>
          </cell>
          <cell r="AB1494">
            <v>0</v>
          </cell>
        </row>
        <row r="1495">
          <cell r="G1495" t="str">
            <v>X17_1</v>
          </cell>
          <cell r="H1495" t="str">
            <v>as-as</v>
          </cell>
          <cell r="I1495" t="str">
            <v>sim</v>
          </cell>
          <cell r="V1495" t="str">
            <v>not neg pair</v>
          </cell>
          <cell r="Y1495" t="str">
            <v>Pres</v>
          </cell>
          <cell r="Z1495">
            <v>3.93</v>
          </cell>
          <cell r="AA1495">
            <v>0</v>
          </cell>
          <cell r="AB1495">
            <v>0</v>
          </cell>
        </row>
        <row r="1496">
          <cell r="G1496" t="str">
            <v>X18_0</v>
          </cell>
          <cell r="H1496" t="str">
            <v>the-of</v>
          </cell>
          <cell r="I1496" t="str">
            <v>sim</v>
          </cell>
          <cell r="V1496" t="str">
            <v>not neg pair</v>
          </cell>
          <cell r="Y1496" t="str">
            <v>Pres</v>
          </cell>
          <cell r="Z1496">
            <v>3.3</v>
          </cell>
          <cell r="AA1496">
            <v>0</v>
          </cell>
          <cell r="AB1496">
            <v>0</v>
          </cell>
        </row>
        <row r="1497">
          <cell r="G1497" t="str">
            <v>X18_1</v>
          </cell>
          <cell r="H1497" t="str">
            <v>the-of</v>
          </cell>
          <cell r="I1497" t="str">
            <v>sim</v>
          </cell>
          <cell r="V1497" t="str">
            <v>not neg pair</v>
          </cell>
          <cell r="Y1497" t="str">
            <v>Pres</v>
          </cell>
          <cell r="Z1497">
            <v>3.3</v>
          </cell>
          <cell r="AA1497">
            <v>0</v>
          </cell>
          <cell r="AB1497">
            <v>0</v>
          </cell>
        </row>
        <row r="1498">
          <cell r="G1498" t="str">
            <v>X19_0</v>
          </cell>
          <cell r="H1498" t="str">
            <v>the-of</v>
          </cell>
          <cell r="I1498" t="str">
            <v>sim</v>
          </cell>
          <cell r="V1498" t="str">
            <v>not</v>
          </cell>
          <cell r="Y1498" t="str">
            <v>Pres</v>
          </cell>
          <cell r="Z1498">
            <v>3.54</v>
          </cell>
          <cell r="AA1498">
            <v>0</v>
          </cell>
          <cell r="AB1498">
            <v>1</v>
          </cell>
        </row>
        <row r="1499">
          <cell r="G1499" t="str">
            <v>X19_1</v>
          </cell>
          <cell r="H1499" t="str">
            <v>the-of</v>
          </cell>
          <cell r="I1499" t="str">
            <v>sim</v>
          </cell>
          <cell r="V1499" t="str">
            <v>not</v>
          </cell>
          <cell r="Y1499" t="str">
            <v>Pres</v>
          </cell>
          <cell r="Z1499">
            <v>3.54</v>
          </cell>
          <cell r="AA1499">
            <v>0</v>
          </cell>
          <cell r="AB1499">
            <v>1</v>
          </cell>
        </row>
        <row r="1500">
          <cell r="G1500" t="str">
            <v>X20_0</v>
          </cell>
          <cell r="H1500" t="str">
            <v>the-of</v>
          </cell>
          <cell r="I1500" t="str">
            <v>sim</v>
          </cell>
          <cell r="V1500" t="str">
            <v>not neg pair</v>
          </cell>
          <cell r="Y1500" t="str">
            <v>Pres</v>
          </cell>
          <cell r="Z1500">
            <v>4.83</v>
          </cell>
          <cell r="AA1500">
            <v>0</v>
          </cell>
          <cell r="AB1500">
            <v>0</v>
          </cell>
        </row>
        <row r="1501">
          <cell r="G1501" t="str">
            <v>X20_1</v>
          </cell>
          <cell r="H1501" t="str">
            <v>the-of</v>
          </cell>
          <cell r="I1501" t="str">
            <v>sim</v>
          </cell>
          <cell r="V1501" t="str">
            <v>not neg pair</v>
          </cell>
          <cell r="Y1501" t="str">
            <v>Pres</v>
          </cell>
          <cell r="Z1501">
            <v>4.83</v>
          </cell>
          <cell r="AA1501">
            <v>0</v>
          </cell>
          <cell r="AB1501">
            <v>0</v>
          </cell>
        </row>
        <row r="1502">
          <cell r="G1502" t="str">
            <v>X21_0</v>
          </cell>
          <cell r="H1502" t="str">
            <v>as-as</v>
          </cell>
          <cell r="I1502" t="str">
            <v>sim</v>
          </cell>
          <cell r="V1502" t="str">
            <v>antonym</v>
          </cell>
          <cell r="Y1502" t="str">
            <v>Past</v>
          </cell>
          <cell r="Z1502">
            <v>4.4000000000000004</v>
          </cell>
          <cell r="AA1502">
            <v>0</v>
          </cell>
          <cell r="AB1502">
            <v>0</v>
          </cell>
        </row>
        <row r="1503">
          <cell r="G1503" t="str">
            <v>X21_1</v>
          </cell>
          <cell r="H1503" t="str">
            <v>as-as</v>
          </cell>
          <cell r="I1503" t="str">
            <v>sim</v>
          </cell>
          <cell r="V1503" t="str">
            <v>antonym</v>
          </cell>
          <cell r="Y1503" t="str">
            <v>Past</v>
          </cell>
          <cell r="Z1503">
            <v>4.4000000000000004</v>
          </cell>
          <cell r="AA1503">
            <v>0</v>
          </cell>
          <cell r="AB1503">
            <v>0</v>
          </cell>
        </row>
        <row r="1504">
          <cell r="G1504" t="str">
            <v>X22_0</v>
          </cell>
          <cell r="H1504" t="str">
            <v>as-as</v>
          </cell>
          <cell r="I1504" t="str">
            <v>sim</v>
          </cell>
          <cell r="V1504" t="str">
            <v>not</v>
          </cell>
          <cell r="Y1504" t="str">
            <v>Past</v>
          </cell>
          <cell r="Z1504">
            <v>4.88</v>
          </cell>
          <cell r="AA1504">
            <v>0</v>
          </cell>
          <cell r="AB1504">
            <v>0</v>
          </cell>
        </row>
        <row r="1505">
          <cell r="G1505" t="str">
            <v>X22_1</v>
          </cell>
          <cell r="H1505" t="str">
            <v>as-as</v>
          </cell>
          <cell r="I1505" t="str">
            <v>sim</v>
          </cell>
          <cell r="V1505" t="str">
            <v>not</v>
          </cell>
          <cell r="Y1505" t="str">
            <v>Past</v>
          </cell>
          <cell r="Z1505">
            <v>4.88</v>
          </cell>
          <cell r="AA1505">
            <v>0</v>
          </cell>
          <cell r="AB1505">
            <v>0</v>
          </cell>
        </row>
        <row r="1506">
          <cell r="G1506" t="str">
            <v>X23_0</v>
          </cell>
          <cell r="H1506" t="str">
            <v>as-as</v>
          </cell>
          <cell r="I1506" t="str">
            <v>sim</v>
          </cell>
          <cell r="V1506" t="str">
            <v>antonym</v>
          </cell>
          <cell r="Y1506" t="str">
            <v>Past</v>
          </cell>
          <cell r="Z1506">
            <v>4.8499999999999996</v>
          </cell>
          <cell r="AA1506">
            <v>0</v>
          </cell>
          <cell r="AB1506">
            <v>0</v>
          </cell>
        </row>
        <row r="1507">
          <cell r="G1507" t="str">
            <v>X23_1</v>
          </cell>
          <cell r="H1507" t="str">
            <v>as-as</v>
          </cell>
          <cell r="I1507" t="str">
            <v>sim</v>
          </cell>
          <cell r="V1507" t="str">
            <v>antonym</v>
          </cell>
          <cell r="Y1507" t="str">
            <v>Past</v>
          </cell>
          <cell r="Z1507">
            <v>4.8499999999999996</v>
          </cell>
          <cell r="AA1507">
            <v>0</v>
          </cell>
          <cell r="AB1507">
            <v>0</v>
          </cell>
        </row>
        <row r="1508">
          <cell r="G1508" t="str">
            <v>X24_0</v>
          </cell>
          <cell r="H1508" t="str">
            <v>as-as</v>
          </cell>
          <cell r="I1508" t="str">
            <v>sim</v>
          </cell>
          <cell r="V1508" t="str">
            <v>not</v>
          </cell>
          <cell r="Y1508" t="str">
            <v>Past</v>
          </cell>
          <cell r="Z1508">
            <v>3.3</v>
          </cell>
          <cell r="AA1508">
            <v>0</v>
          </cell>
          <cell r="AB1508">
            <v>0</v>
          </cell>
        </row>
        <row r="1509">
          <cell r="G1509" t="str">
            <v>X24_1</v>
          </cell>
          <cell r="H1509" t="str">
            <v>as-as</v>
          </cell>
          <cell r="I1509" t="str">
            <v>sim</v>
          </cell>
          <cell r="V1509" t="str">
            <v>not</v>
          </cell>
          <cell r="Y1509" t="str">
            <v>Past</v>
          </cell>
          <cell r="Z1509">
            <v>3.3</v>
          </cell>
          <cell r="AA1509">
            <v>0</v>
          </cell>
          <cell r="AB1509">
            <v>0</v>
          </cell>
        </row>
        <row r="1510">
          <cell r="G1510" t="str">
            <v>X25_0</v>
          </cell>
          <cell r="H1510" t="str">
            <v>like</v>
          </cell>
          <cell r="I1510" t="str">
            <v>sim</v>
          </cell>
          <cell r="V1510" t="str">
            <v>not neg pair</v>
          </cell>
          <cell r="Y1510" t="str">
            <v>Pres</v>
          </cell>
          <cell r="Z1510">
            <v>2.4300000000000002</v>
          </cell>
          <cell r="AA1510" t="str">
            <v>L</v>
          </cell>
          <cell r="AB1510">
            <v>0</v>
          </cell>
        </row>
        <row r="1511">
          <cell r="G1511" t="str">
            <v>X25_1</v>
          </cell>
          <cell r="H1511" t="str">
            <v>like</v>
          </cell>
          <cell r="I1511" t="str">
            <v>sim</v>
          </cell>
          <cell r="V1511" t="str">
            <v>not neg pair</v>
          </cell>
          <cell r="Y1511" t="str">
            <v>Pres</v>
          </cell>
          <cell r="Z1511">
            <v>2.4300000000000002</v>
          </cell>
          <cell r="AA1511" t="str">
            <v>L</v>
          </cell>
          <cell r="AB1511">
            <v>0</v>
          </cell>
        </row>
        <row r="1512">
          <cell r="G1512" t="str">
            <v>X26_0</v>
          </cell>
          <cell r="H1512" t="str">
            <v>as-as</v>
          </cell>
          <cell r="I1512" t="str">
            <v>sim</v>
          </cell>
          <cell r="V1512" t="str">
            <v>antonym</v>
          </cell>
          <cell r="Y1512" t="str">
            <v>Pres</v>
          </cell>
          <cell r="Z1512">
            <v>4.83</v>
          </cell>
          <cell r="AA1512">
            <v>0</v>
          </cell>
          <cell r="AB1512">
            <v>0</v>
          </cell>
        </row>
        <row r="1513">
          <cell r="G1513" t="str">
            <v>X26_1</v>
          </cell>
          <cell r="H1513" t="str">
            <v>as-as</v>
          </cell>
          <cell r="I1513" t="str">
            <v>sim</v>
          </cell>
          <cell r="V1513" t="str">
            <v>antonym</v>
          </cell>
          <cell r="Y1513" t="str">
            <v>Pres</v>
          </cell>
          <cell r="Z1513">
            <v>4.83</v>
          </cell>
          <cell r="AA1513">
            <v>0</v>
          </cell>
          <cell r="AB1513">
            <v>0</v>
          </cell>
        </row>
        <row r="1514">
          <cell r="G1514" t="str">
            <v>X27_0</v>
          </cell>
          <cell r="H1514" t="str">
            <v/>
          </cell>
          <cell r="I1514" t="str">
            <v>met</v>
          </cell>
          <cell r="V1514" t="str">
            <v>0</v>
          </cell>
          <cell r="Y1514" t="str">
            <v>Pres</v>
          </cell>
          <cell r="Z1514">
            <v>0</v>
          </cell>
          <cell r="AA1514">
            <v>0</v>
          </cell>
          <cell r="AB1514">
            <v>0</v>
          </cell>
        </row>
        <row r="1515">
          <cell r="G1515" t="str">
            <v>X27_1</v>
          </cell>
          <cell r="H1515" t="str">
            <v/>
          </cell>
          <cell r="I1515" t="str">
            <v>met</v>
          </cell>
          <cell r="V1515" t="str">
            <v>0</v>
          </cell>
          <cell r="Y1515" t="str">
            <v>Pres</v>
          </cell>
          <cell r="Z1515">
            <v>0</v>
          </cell>
          <cell r="AA1515">
            <v>0</v>
          </cell>
          <cell r="AB1515">
            <v>0</v>
          </cell>
        </row>
        <row r="1516">
          <cell r="G1516" t="str">
            <v>X28_0</v>
          </cell>
          <cell r="H1516" t="str">
            <v>like</v>
          </cell>
          <cell r="I1516" t="str">
            <v>sim</v>
          </cell>
          <cell r="V1516" t="str">
            <v>0</v>
          </cell>
          <cell r="Y1516" t="str">
            <v>Pres</v>
          </cell>
          <cell r="Z1516">
            <v>0</v>
          </cell>
          <cell r="AA1516">
            <v>0</v>
          </cell>
          <cell r="AB1516">
            <v>0</v>
          </cell>
        </row>
        <row r="1517">
          <cell r="G1517" t="str">
            <v>X28_1</v>
          </cell>
          <cell r="H1517" t="str">
            <v/>
          </cell>
          <cell r="I1517" t="str">
            <v>met</v>
          </cell>
          <cell r="V1517" t="str">
            <v>0</v>
          </cell>
          <cell r="Y1517" t="str">
            <v>Pres</v>
          </cell>
          <cell r="Z1517">
            <v>0</v>
          </cell>
          <cell r="AA1517">
            <v>0</v>
          </cell>
          <cell r="AB1517">
            <v>0</v>
          </cell>
        </row>
        <row r="1518">
          <cell r="G1518" t="str">
            <v>X29_0</v>
          </cell>
          <cell r="H1518" t="str">
            <v/>
          </cell>
          <cell r="I1518" t="str">
            <v>met</v>
          </cell>
          <cell r="V1518" t="str">
            <v>0</v>
          </cell>
          <cell r="Y1518" t="str">
            <v>Pres</v>
          </cell>
          <cell r="Z1518">
            <v>0</v>
          </cell>
          <cell r="AA1518">
            <v>0</v>
          </cell>
          <cell r="AB1518">
            <v>0</v>
          </cell>
        </row>
        <row r="1519">
          <cell r="G1519" t="str">
            <v>X29_1</v>
          </cell>
          <cell r="H1519" t="str">
            <v/>
          </cell>
          <cell r="I1519" t="str">
            <v>met</v>
          </cell>
          <cell r="V1519" t="str">
            <v>0</v>
          </cell>
          <cell r="Y1519" t="str">
            <v>Pres</v>
          </cell>
          <cell r="Z1519">
            <v>0</v>
          </cell>
          <cell r="AA1519">
            <v>0</v>
          </cell>
          <cell r="AB1519">
            <v>0</v>
          </cell>
        </row>
        <row r="1520">
          <cell r="G1520" t="str">
            <v>X30_0</v>
          </cell>
          <cell r="H1520" t="str">
            <v>as</v>
          </cell>
          <cell r="I1520" t="str">
            <v>sim</v>
          </cell>
          <cell r="V1520" t="str">
            <v>not</v>
          </cell>
          <cell r="Y1520" t="str">
            <v>Past</v>
          </cell>
          <cell r="Z1520">
            <v>3.3</v>
          </cell>
          <cell r="AA1520">
            <v>0</v>
          </cell>
          <cell r="AB1520">
            <v>1</v>
          </cell>
        </row>
        <row r="1521">
          <cell r="G1521" t="str">
            <v>X30_1</v>
          </cell>
          <cell r="H1521" t="str">
            <v>as</v>
          </cell>
          <cell r="I1521" t="str">
            <v>sim</v>
          </cell>
          <cell r="V1521" t="str">
            <v>not</v>
          </cell>
          <cell r="Y1521" t="str">
            <v>Past</v>
          </cell>
          <cell r="Z1521">
            <v>3.3</v>
          </cell>
          <cell r="AA1521">
            <v>0</v>
          </cell>
          <cell r="AB1521">
            <v>1</v>
          </cell>
        </row>
        <row r="1522">
          <cell r="G1522" t="str">
            <v>X31_0</v>
          </cell>
          <cell r="H1522" t="str">
            <v>as-as</v>
          </cell>
          <cell r="I1522" t="str">
            <v>sim</v>
          </cell>
          <cell r="V1522" t="str">
            <v>not</v>
          </cell>
          <cell r="Y1522" t="str">
            <v>Past</v>
          </cell>
          <cell r="Z1522">
            <v>3.92</v>
          </cell>
          <cell r="AA1522">
            <v>0</v>
          </cell>
          <cell r="AB1522">
            <v>0</v>
          </cell>
        </row>
        <row r="1523">
          <cell r="G1523" t="str">
            <v>X31_1</v>
          </cell>
          <cell r="H1523" t="str">
            <v>as-as</v>
          </cell>
          <cell r="I1523" t="str">
            <v>sim</v>
          </cell>
          <cell r="V1523" t="str">
            <v>not</v>
          </cell>
          <cell r="Y1523" t="str">
            <v>Past</v>
          </cell>
          <cell r="Z1523">
            <v>3.92</v>
          </cell>
          <cell r="AA1523">
            <v>0</v>
          </cell>
          <cell r="AB1523">
            <v>0</v>
          </cell>
        </row>
        <row r="1524">
          <cell r="G1524" t="str">
            <v>X32_0</v>
          </cell>
          <cell r="H1524" t="str">
            <v>as-as</v>
          </cell>
          <cell r="I1524" t="str">
            <v>sim</v>
          </cell>
          <cell r="V1524" t="str">
            <v>not</v>
          </cell>
          <cell r="Y1524" t="str">
            <v>Past</v>
          </cell>
          <cell r="Z1524">
            <v>3.54</v>
          </cell>
          <cell r="AA1524">
            <v>0</v>
          </cell>
          <cell r="AB1524">
            <v>0</v>
          </cell>
        </row>
        <row r="1525">
          <cell r="G1525" t="str">
            <v>X32_1</v>
          </cell>
          <cell r="H1525" t="str">
            <v>as-as</v>
          </cell>
          <cell r="I1525" t="str">
            <v>sim</v>
          </cell>
          <cell r="V1525" t="str">
            <v>not</v>
          </cell>
          <cell r="Y1525" t="str">
            <v>Past</v>
          </cell>
          <cell r="Z1525">
            <v>3.54</v>
          </cell>
          <cell r="AA1525">
            <v>0</v>
          </cell>
          <cell r="AB1525">
            <v>0</v>
          </cell>
        </row>
        <row r="1526">
          <cell r="G1526" t="str">
            <v>X33_0</v>
          </cell>
          <cell r="H1526" t="str">
            <v>as-as</v>
          </cell>
          <cell r="I1526" t="str">
            <v>sim</v>
          </cell>
          <cell r="V1526" t="str">
            <v>not neg pair</v>
          </cell>
          <cell r="Y1526" t="str">
            <v>Past</v>
          </cell>
          <cell r="Z1526">
            <v>2.81</v>
          </cell>
          <cell r="AA1526">
            <v>0</v>
          </cell>
          <cell r="AB1526">
            <v>0</v>
          </cell>
        </row>
        <row r="1527">
          <cell r="G1527" t="str">
            <v>X33_1</v>
          </cell>
          <cell r="H1527" t="str">
            <v>as-as</v>
          </cell>
          <cell r="I1527" t="str">
            <v>sim</v>
          </cell>
          <cell r="V1527" t="str">
            <v>not neg pair</v>
          </cell>
          <cell r="Y1527" t="str">
            <v>Past</v>
          </cell>
          <cell r="Z1527">
            <v>2.81</v>
          </cell>
          <cell r="AA1527">
            <v>0</v>
          </cell>
          <cell r="AB1527">
            <v>0</v>
          </cell>
        </row>
        <row r="1528">
          <cell r="G1528" t="str">
            <v>X34_0</v>
          </cell>
          <cell r="H1528" t="str">
            <v>as-as</v>
          </cell>
          <cell r="I1528" t="str">
            <v>sim</v>
          </cell>
          <cell r="V1528" t="str">
            <v>antonym</v>
          </cell>
          <cell r="Y1528" t="str">
            <v>Past</v>
          </cell>
          <cell r="Z1528">
            <v>2.81</v>
          </cell>
          <cell r="AA1528">
            <v>0</v>
          </cell>
          <cell r="AB1528">
            <v>0</v>
          </cell>
        </row>
        <row r="1529">
          <cell r="G1529" t="str">
            <v>X34_1</v>
          </cell>
          <cell r="H1529" t="str">
            <v>as-as</v>
          </cell>
          <cell r="I1529" t="str">
            <v>sim</v>
          </cell>
          <cell r="V1529" t="str">
            <v>antonym</v>
          </cell>
          <cell r="Y1529" t="str">
            <v>Past</v>
          </cell>
          <cell r="Z1529">
            <v>2.81</v>
          </cell>
          <cell r="AA1529">
            <v>0</v>
          </cell>
          <cell r="AB1529">
            <v>0</v>
          </cell>
        </row>
        <row r="1530">
          <cell r="G1530" t="str">
            <v>X35_0</v>
          </cell>
          <cell r="H1530" t="str">
            <v>as-as</v>
          </cell>
          <cell r="I1530" t="str">
            <v>sim</v>
          </cell>
          <cell r="V1530" t="str">
            <v>not neg pair</v>
          </cell>
          <cell r="Y1530" t="str">
            <v>Past</v>
          </cell>
          <cell r="Z1530">
            <v>2.81</v>
          </cell>
          <cell r="AA1530">
            <v>0</v>
          </cell>
          <cell r="AB1530">
            <v>0</v>
          </cell>
        </row>
        <row r="1531">
          <cell r="G1531" t="str">
            <v>X35_1</v>
          </cell>
          <cell r="H1531" t="str">
            <v>as-as</v>
          </cell>
          <cell r="I1531" t="str">
            <v>sim</v>
          </cell>
          <cell r="V1531" t="str">
            <v>not neg pair</v>
          </cell>
          <cell r="Y1531" t="str">
            <v>Past</v>
          </cell>
          <cell r="Z1531">
            <v>2.81</v>
          </cell>
          <cell r="AA1531">
            <v>0</v>
          </cell>
          <cell r="AB1531">
            <v>0</v>
          </cell>
        </row>
        <row r="1532">
          <cell r="G1532" t="str">
            <v>X36_0</v>
          </cell>
          <cell r="H1532" t="str">
            <v/>
          </cell>
          <cell r="I1532" t="str">
            <v>met</v>
          </cell>
          <cell r="V1532" t="str">
            <v>0</v>
          </cell>
          <cell r="Y1532" t="str">
            <v>Pres</v>
          </cell>
          <cell r="Z1532">
            <v>3.93</v>
          </cell>
          <cell r="AA1532">
            <v>0</v>
          </cell>
          <cell r="AB1532">
            <v>0</v>
          </cell>
        </row>
        <row r="1533">
          <cell r="G1533" t="str">
            <v>X36_1</v>
          </cell>
          <cell r="H1533" t="str">
            <v/>
          </cell>
          <cell r="I1533" t="str">
            <v>met</v>
          </cell>
          <cell r="V1533" t="str">
            <v>0</v>
          </cell>
          <cell r="Y1533" t="str">
            <v>Pres</v>
          </cell>
          <cell r="Z1533">
            <v>3.93</v>
          </cell>
          <cell r="AA1533">
            <v>0</v>
          </cell>
          <cell r="AB1533">
            <v>0</v>
          </cell>
        </row>
        <row r="1534">
          <cell r="G1534" t="str">
            <v>X37_0</v>
          </cell>
          <cell r="H1534" t="str">
            <v/>
          </cell>
          <cell r="I1534" t="str">
            <v>met</v>
          </cell>
          <cell r="V1534" t="str">
            <v>0</v>
          </cell>
          <cell r="Y1534" t="str">
            <v>Pres</v>
          </cell>
          <cell r="Z1534">
            <v>5</v>
          </cell>
          <cell r="AA1534" t="str">
            <v>H</v>
          </cell>
          <cell r="AB1534">
            <v>0</v>
          </cell>
        </row>
        <row r="1535">
          <cell r="G1535" t="str">
            <v>X37_1</v>
          </cell>
          <cell r="H1535" t="str">
            <v/>
          </cell>
          <cell r="I1535" t="str">
            <v>met</v>
          </cell>
          <cell r="V1535" t="str">
            <v>0</v>
          </cell>
          <cell r="Y1535" t="str">
            <v>Pres</v>
          </cell>
          <cell r="Z1535">
            <v>5</v>
          </cell>
          <cell r="AA1535" t="str">
            <v>H</v>
          </cell>
          <cell r="AB1535">
            <v>0</v>
          </cell>
        </row>
        <row r="1536">
          <cell r="G1536" t="str">
            <v>X38_0</v>
          </cell>
          <cell r="H1536" t="str">
            <v/>
          </cell>
          <cell r="I1536" t="str">
            <v>met</v>
          </cell>
          <cell r="V1536" t="str">
            <v>0</v>
          </cell>
          <cell r="Y1536" t="str">
            <v>Pres</v>
          </cell>
          <cell r="Z1536">
            <v>3.93</v>
          </cell>
          <cell r="AA1536">
            <v>0</v>
          </cell>
          <cell r="AB1536">
            <v>0</v>
          </cell>
        </row>
        <row r="1537">
          <cell r="G1537" t="str">
            <v>X38_1</v>
          </cell>
          <cell r="H1537" t="str">
            <v/>
          </cell>
          <cell r="I1537" t="str">
            <v>met</v>
          </cell>
          <cell r="V1537" t="str">
            <v>0</v>
          </cell>
          <cell r="Y1537" t="str">
            <v>Pres</v>
          </cell>
          <cell r="Z1537">
            <v>3.93</v>
          </cell>
          <cell r="AA1537">
            <v>0</v>
          </cell>
          <cell r="AB1537">
            <v>0</v>
          </cell>
        </row>
        <row r="1538">
          <cell r="G1538" t="str">
            <v>X39_0</v>
          </cell>
          <cell r="H1538" t="str">
            <v>as-as</v>
          </cell>
          <cell r="I1538" t="str">
            <v>sim</v>
          </cell>
          <cell r="V1538" t="str">
            <v>not</v>
          </cell>
          <cell r="Y1538" t="str">
            <v>Past</v>
          </cell>
          <cell r="Z1538">
            <v>3.72</v>
          </cell>
          <cell r="AA1538">
            <v>0</v>
          </cell>
          <cell r="AB1538">
            <v>1</v>
          </cell>
        </row>
        <row r="1539">
          <cell r="G1539" t="str">
            <v>X39_1</v>
          </cell>
          <cell r="H1539" t="str">
            <v>as-as</v>
          </cell>
          <cell r="I1539" t="str">
            <v>sim</v>
          </cell>
          <cell r="V1539" t="str">
            <v>not</v>
          </cell>
          <cell r="Y1539" t="str">
            <v>Past</v>
          </cell>
          <cell r="Z1539">
            <v>3.72</v>
          </cell>
          <cell r="AA1539">
            <v>0</v>
          </cell>
          <cell r="AB1539">
            <v>1</v>
          </cell>
        </row>
        <row r="1540">
          <cell r="G1540" t="str">
            <v>X40_0</v>
          </cell>
          <cell r="H1540" t="str">
            <v>as-as</v>
          </cell>
          <cell r="I1540" t="str">
            <v>sim</v>
          </cell>
          <cell r="V1540" t="str">
            <v>not</v>
          </cell>
          <cell r="Y1540" t="str">
            <v>Past</v>
          </cell>
          <cell r="Z1540">
            <v>2.19</v>
          </cell>
          <cell r="AA1540" t="str">
            <v>L</v>
          </cell>
          <cell r="AB1540">
            <v>0</v>
          </cell>
        </row>
        <row r="1541">
          <cell r="G1541" t="str">
            <v>X40_1</v>
          </cell>
          <cell r="H1541" t="str">
            <v>as-as</v>
          </cell>
          <cell r="I1541" t="str">
            <v>sim</v>
          </cell>
          <cell r="V1541" t="str">
            <v>not</v>
          </cell>
          <cell r="Y1541" t="str">
            <v>Past</v>
          </cell>
          <cell r="Z1541">
            <v>2.19</v>
          </cell>
          <cell r="AA1541" t="str">
            <v>L</v>
          </cell>
          <cell r="AB1541">
            <v>0</v>
          </cell>
        </row>
        <row r="1542">
          <cell r="G1542" t="str">
            <v>X41_0</v>
          </cell>
          <cell r="H1542" t="str">
            <v>as-as</v>
          </cell>
          <cell r="I1542" t="str">
            <v>sim</v>
          </cell>
          <cell r="V1542" t="str">
            <v>not neg pair</v>
          </cell>
          <cell r="Y1542" t="str">
            <v>Pres</v>
          </cell>
          <cell r="Z1542">
            <v>2.2400000000000002</v>
          </cell>
          <cell r="AA1542" t="str">
            <v>L</v>
          </cell>
          <cell r="AB1542">
            <v>0</v>
          </cell>
        </row>
        <row r="1543">
          <cell r="G1543" t="str">
            <v>X41_1</v>
          </cell>
          <cell r="H1543" t="str">
            <v>as-as</v>
          </cell>
          <cell r="I1543" t="str">
            <v>sim</v>
          </cell>
          <cell r="V1543" t="str">
            <v>not neg pair</v>
          </cell>
          <cell r="Y1543" t="str">
            <v>Pres</v>
          </cell>
          <cell r="Z1543">
            <v>2.2400000000000002</v>
          </cell>
          <cell r="AA1543" t="str">
            <v>L</v>
          </cell>
          <cell r="AB1543">
            <v>0</v>
          </cell>
        </row>
        <row r="1544">
          <cell r="G1544" t="str">
            <v>X42_0</v>
          </cell>
          <cell r="H1544" t="str">
            <v>as-as</v>
          </cell>
          <cell r="I1544" t="str">
            <v>sim</v>
          </cell>
          <cell r="V1544" t="str">
            <v>not</v>
          </cell>
          <cell r="Y1544" t="str">
            <v>Past</v>
          </cell>
          <cell r="Z1544">
            <v>2.96</v>
          </cell>
          <cell r="AA1544">
            <v>0</v>
          </cell>
          <cell r="AB1544">
            <v>0</v>
          </cell>
        </row>
        <row r="1545">
          <cell r="G1545" t="str">
            <v>X42_1</v>
          </cell>
          <cell r="H1545" t="str">
            <v>as-as</v>
          </cell>
          <cell r="I1545" t="str">
            <v>sim</v>
          </cell>
          <cell r="V1545" t="str">
            <v>not</v>
          </cell>
          <cell r="Y1545" t="str">
            <v>Past</v>
          </cell>
          <cell r="Z1545">
            <v>2.96</v>
          </cell>
          <cell r="AA1545">
            <v>0</v>
          </cell>
          <cell r="AB1545">
            <v>0</v>
          </cell>
        </row>
        <row r="1546">
          <cell r="G1546" t="str">
            <v>X43_0</v>
          </cell>
          <cell r="H1546" t="str">
            <v>as-as</v>
          </cell>
          <cell r="I1546" t="str">
            <v>sim</v>
          </cell>
          <cell r="V1546" t="str">
            <v>not</v>
          </cell>
          <cell r="Y1546" t="str">
            <v>Past</v>
          </cell>
          <cell r="Z1546">
            <v>2.81</v>
          </cell>
          <cell r="AA1546">
            <v>0</v>
          </cell>
          <cell r="AB1546">
            <v>0</v>
          </cell>
        </row>
        <row r="1547">
          <cell r="G1547" t="str">
            <v>X43_1</v>
          </cell>
          <cell r="H1547" t="str">
            <v>as-as</v>
          </cell>
          <cell r="I1547" t="str">
            <v>sim</v>
          </cell>
          <cell r="V1547" t="str">
            <v>not</v>
          </cell>
          <cell r="Y1547" t="str">
            <v>Past</v>
          </cell>
          <cell r="Z1547">
            <v>2.81</v>
          </cell>
          <cell r="AA1547">
            <v>0</v>
          </cell>
          <cell r="AB1547">
            <v>0</v>
          </cell>
        </row>
        <row r="1548">
          <cell r="G1548" t="str">
            <v>X44_0</v>
          </cell>
          <cell r="H1548" t="str">
            <v>like</v>
          </cell>
          <cell r="I1548" t="str">
            <v>sim</v>
          </cell>
          <cell r="V1548" t="str">
            <v>not neg pair</v>
          </cell>
          <cell r="Y1548" t="str">
            <v>Past</v>
          </cell>
          <cell r="Z1548">
            <v>3.93</v>
          </cell>
          <cell r="AA1548">
            <v>0</v>
          </cell>
          <cell r="AB1548">
            <v>0</v>
          </cell>
        </row>
        <row r="1549">
          <cell r="G1549" t="str">
            <v>X44_1</v>
          </cell>
          <cell r="H1549" t="str">
            <v>like</v>
          </cell>
          <cell r="I1549" t="str">
            <v>sim</v>
          </cell>
          <cell r="V1549" t="str">
            <v>not neg pair</v>
          </cell>
          <cell r="Y1549" t="str">
            <v>Past</v>
          </cell>
          <cell r="Z1549">
            <v>3.93</v>
          </cell>
          <cell r="AA1549">
            <v>0</v>
          </cell>
          <cell r="AB1549">
            <v>0</v>
          </cell>
        </row>
        <row r="1550">
          <cell r="G1550" t="str">
            <v>X45_0</v>
          </cell>
          <cell r="H1550" t="str">
            <v>like</v>
          </cell>
          <cell r="I1550" t="str">
            <v>sim</v>
          </cell>
          <cell r="V1550" t="str">
            <v>0</v>
          </cell>
          <cell r="Y1550" t="str">
            <v>Pres</v>
          </cell>
          <cell r="Z1550">
            <v>3.36</v>
          </cell>
          <cell r="AA1550">
            <v>0</v>
          </cell>
          <cell r="AB1550">
            <v>0</v>
          </cell>
        </row>
        <row r="1551">
          <cell r="G1551" t="str">
            <v>X45_1</v>
          </cell>
          <cell r="H1551" t="str">
            <v/>
          </cell>
          <cell r="I1551" t="str">
            <v>met</v>
          </cell>
          <cell r="V1551" t="str">
            <v>0</v>
          </cell>
          <cell r="Y1551" t="str">
            <v>Pres</v>
          </cell>
          <cell r="Z1551">
            <v>3.36</v>
          </cell>
          <cell r="AA1551">
            <v>0</v>
          </cell>
          <cell r="AB1551">
            <v>0</v>
          </cell>
        </row>
        <row r="1552">
          <cell r="G1552" t="str">
            <v>X46_0</v>
          </cell>
          <cell r="H1552" t="str">
            <v>the-of</v>
          </cell>
          <cell r="I1552" t="str">
            <v>sim</v>
          </cell>
          <cell r="V1552" t="str">
            <v>not neg pair</v>
          </cell>
          <cell r="Y1552" t="str">
            <v>Past</v>
          </cell>
          <cell r="Z1552">
            <v>4.97</v>
          </cell>
          <cell r="AA1552" t="str">
            <v>H</v>
          </cell>
          <cell r="AB1552">
            <v>0</v>
          </cell>
        </row>
        <row r="1553">
          <cell r="G1553" t="str">
            <v>X46_1</v>
          </cell>
          <cell r="H1553" t="str">
            <v>the-of</v>
          </cell>
          <cell r="I1553" t="str">
            <v>sim</v>
          </cell>
          <cell r="V1553" t="str">
            <v>not neg pair</v>
          </cell>
          <cell r="Y1553" t="str">
            <v>Past</v>
          </cell>
          <cell r="Z1553">
            <v>4.97</v>
          </cell>
          <cell r="AA1553" t="str">
            <v>H</v>
          </cell>
          <cell r="AB1553">
            <v>0</v>
          </cell>
        </row>
        <row r="1554">
          <cell r="G1554" t="str">
            <v>X47_0</v>
          </cell>
          <cell r="H1554" t="str">
            <v>as-as</v>
          </cell>
          <cell r="I1554" t="str">
            <v>sim</v>
          </cell>
          <cell r="V1554" t="str">
            <v>not neg pair</v>
          </cell>
          <cell r="Y1554" t="str">
            <v>Past</v>
          </cell>
          <cell r="Z1554">
            <v>4.74</v>
          </cell>
          <cell r="AA1554">
            <v>0</v>
          </cell>
          <cell r="AB1554">
            <v>0</v>
          </cell>
        </row>
        <row r="1555">
          <cell r="G1555" t="str">
            <v>X47_1</v>
          </cell>
          <cell r="H1555" t="str">
            <v>as-as</v>
          </cell>
          <cell r="I1555" t="str">
            <v>sim</v>
          </cell>
          <cell r="V1555" t="str">
            <v>not neg pair</v>
          </cell>
          <cell r="Y1555" t="str">
            <v>Past</v>
          </cell>
          <cell r="Z1555">
            <v>4.74</v>
          </cell>
          <cell r="AA1555">
            <v>0</v>
          </cell>
          <cell r="AB1555">
            <v>0</v>
          </cell>
        </row>
        <row r="1556">
          <cell r="G1556" t="str">
            <v>X48_0</v>
          </cell>
          <cell r="H1556" t="str">
            <v>the-of</v>
          </cell>
          <cell r="I1556" t="str">
            <v>sim</v>
          </cell>
          <cell r="V1556" t="str">
            <v>not neg pair</v>
          </cell>
          <cell r="Y1556" t="str">
            <v>Pres</v>
          </cell>
          <cell r="Z1556">
            <v>4.29</v>
          </cell>
          <cell r="AA1556">
            <v>0</v>
          </cell>
          <cell r="AB1556">
            <v>0</v>
          </cell>
        </row>
        <row r="1557">
          <cell r="G1557" t="str">
            <v>X48_1</v>
          </cell>
          <cell r="H1557" t="str">
            <v>the-of</v>
          </cell>
          <cell r="I1557" t="str">
            <v>sim</v>
          </cell>
          <cell r="V1557" t="str">
            <v>not neg pair</v>
          </cell>
          <cell r="Y1557" t="str">
            <v>Pres</v>
          </cell>
          <cell r="Z1557">
            <v>4.29</v>
          </cell>
          <cell r="AA1557">
            <v>0</v>
          </cell>
          <cell r="AB1557">
            <v>0</v>
          </cell>
        </row>
        <row r="1558">
          <cell r="G1558" t="str">
            <v>X49_0</v>
          </cell>
          <cell r="H1558" t="str">
            <v>the-of</v>
          </cell>
          <cell r="I1558" t="str">
            <v>sim</v>
          </cell>
          <cell r="V1558" t="str">
            <v>not neg pair</v>
          </cell>
          <cell r="Y1558" t="str">
            <v>Pres</v>
          </cell>
          <cell r="Z1558">
            <v>4.46</v>
          </cell>
          <cell r="AA1558">
            <v>0</v>
          </cell>
          <cell r="AB1558">
            <v>0</v>
          </cell>
        </row>
        <row r="1559">
          <cell r="G1559" t="str">
            <v>X49_1</v>
          </cell>
          <cell r="H1559" t="str">
            <v>the-of</v>
          </cell>
          <cell r="I1559" t="str">
            <v>sim</v>
          </cell>
          <cell r="V1559" t="str">
            <v>not neg pair</v>
          </cell>
          <cell r="Y1559" t="str">
            <v>Pres</v>
          </cell>
          <cell r="Z1559">
            <v>4.46</v>
          </cell>
          <cell r="AA1559">
            <v>0</v>
          </cell>
          <cell r="AB1559">
            <v>0</v>
          </cell>
        </row>
        <row r="1560">
          <cell r="G1560" t="str">
            <v>X50_0</v>
          </cell>
          <cell r="H1560" t="str">
            <v>the-of</v>
          </cell>
          <cell r="I1560" t="str">
            <v>sim</v>
          </cell>
          <cell r="V1560" t="str">
            <v>not</v>
          </cell>
          <cell r="Y1560" t="str">
            <v>Pres</v>
          </cell>
          <cell r="Z1560">
            <v>3.72</v>
          </cell>
          <cell r="AA1560">
            <v>0</v>
          </cell>
          <cell r="AB1560">
            <v>0</v>
          </cell>
        </row>
        <row r="1561">
          <cell r="G1561" t="str">
            <v>X50_1</v>
          </cell>
          <cell r="H1561" t="str">
            <v>the-of</v>
          </cell>
          <cell r="I1561" t="str">
            <v>sim</v>
          </cell>
          <cell r="V1561" t="str">
            <v>not</v>
          </cell>
          <cell r="Y1561">
            <v>0</v>
          </cell>
          <cell r="Z1561">
            <v>3.72</v>
          </cell>
          <cell r="AA1561">
            <v>0</v>
          </cell>
          <cell r="AB1561">
            <v>0</v>
          </cell>
        </row>
        <row r="1562">
          <cell r="G1562" t="str">
            <v>X51_0</v>
          </cell>
          <cell r="H1562" t="str">
            <v>as-as</v>
          </cell>
          <cell r="I1562" t="str">
            <v>sim</v>
          </cell>
          <cell r="V1562" t="str">
            <v>antonym</v>
          </cell>
          <cell r="Y1562" t="str">
            <v>Past</v>
          </cell>
          <cell r="Z1562">
            <v>2.81</v>
          </cell>
          <cell r="AA1562">
            <v>0</v>
          </cell>
          <cell r="AB1562">
            <v>0</v>
          </cell>
        </row>
        <row r="1563">
          <cell r="G1563" t="str">
            <v>X51_1</v>
          </cell>
          <cell r="H1563" t="str">
            <v>as-as</v>
          </cell>
          <cell r="I1563" t="str">
            <v>sim</v>
          </cell>
          <cell r="V1563" t="str">
            <v>antonym</v>
          </cell>
          <cell r="Y1563" t="str">
            <v>Past</v>
          </cell>
          <cell r="Z1563">
            <v>2.81</v>
          </cell>
          <cell r="AA1563">
            <v>0</v>
          </cell>
          <cell r="AB1563">
            <v>0</v>
          </cell>
        </row>
        <row r="1564">
          <cell r="G1564" t="str">
            <v>X52_0</v>
          </cell>
          <cell r="H1564" t="str">
            <v>like</v>
          </cell>
          <cell r="I1564" t="str">
            <v>sim</v>
          </cell>
          <cell r="V1564" t="str">
            <v>not</v>
          </cell>
          <cell r="Y1564" t="str">
            <v>Past</v>
          </cell>
          <cell r="Z1564">
            <v>2.81</v>
          </cell>
          <cell r="AA1564">
            <v>0</v>
          </cell>
          <cell r="AB1564">
            <v>0</v>
          </cell>
        </row>
        <row r="1565">
          <cell r="G1565" t="str">
            <v>X52_1</v>
          </cell>
          <cell r="H1565" t="str">
            <v>like</v>
          </cell>
          <cell r="I1565" t="str">
            <v>sim</v>
          </cell>
          <cell r="V1565" t="str">
            <v>not</v>
          </cell>
          <cell r="Y1565" t="str">
            <v>Past</v>
          </cell>
          <cell r="Z1565">
            <v>2.81</v>
          </cell>
          <cell r="AA1565">
            <v>0</v>
          </cell>
          <cell r="AB1565">
            <v>0</v>
          </cell>
        </row>
        <row r="1566">
          <cell r="G1566" t="str">
            <v>X53_0</v>
          </cell>
          <cell r="H1566" t="str">
            <v>like</v>
          </cell>
          <cell r="I1566" t="str">
            <v>sim</v>
          </cell>
          <cell r="V1566" t="str">
            <v>not</v>
          </cell>
          <cell r="Y1566" t="str">
            <v>Past</v>
          </cell>
          <cell r="Z1566">
            <v>3.93</v>
          </cell>
          <cell r="AA1566">
            <v>0</v>
          </cell>
          <cell r="AB1566">
            <v>0</v>
          </cell>
        </row>
        <row r="1567">
          <cell r="G1567" t="str">
            <v>X53_1</v>
          </cell>
          <cell r="H1567" t="str">
            <v>like</v>
          </cell>
          <cell r="I1567" t="str">
            <v>sim</v>
          </cell>
          <cell r="V1567" t="str">
            <v>not</v>
          </cell>
          <cell r="Y1567" t="str">
            <v>Past</v>
          </cell>
          <cell r="Z1567">
            <v>3.93</v>
          </cell>
          <cell r="AA1567">
            <v>0</v>
          </cell>
          <cell r="AB1567">
            <v>0</v>
          </cell>
        </row>
        <row r="1568">
          <cell r="G1568" t="str">
            <v>X54_0</v>
          </cell>
          <cell r="H1568" t="str">
            <v>the-of</v>
          </cell>
          <cell r="I1568" t="str">
            <v>sim</v>
          </cell>
          <cell r="V1568" t="str">
            <v>not</v>
          </cell>
          <cell r="Y1568" t="str">
            <v>Past</v>
          </cell>
          <cell r="Z1568">
            <v>4.75</v>
          </cell>
          <cell r="AA1568">
            <v>0</v>
          </cell>
          <cell r="AB1568">
            <v>0</v>
          </cell>
        </row>
        <row r="1569">
          <cell r="G1569" t="str">
            <v>X54_1</v>
          </cell>
          <cell r="H1569" t="str">
            <v>the-of</v>
          </cell>
          <cell r="I1569" t="str">
            <v>sim</v>
          </cell>
          <cell r="V1569" t="str">
            <v>not</v>
          </cell>
          <cell r="Y1569" t="str">
            <v>Past</v>
          </cell>
          <cell r="Z1569">
            <v>4.75</v>
          </cell>
          <cell r="AA1569">
            <v>0</v>
          </cell>
          <cell r="AB1569">
            <v>0</v>
          </cell>
        </row>
        <row r="1570">
          <cell r="G1570" t="str">
            <v>X55_0</v>
          </cell>
          <cell r="H1570" t="str">
            <v/>
          </cell>
          <cell r="I1570" t="str">
            <v>met</v>
          </cell>
          <cell r="V1570" t="str">
            <v>0</v>
          </cell>
          <cell r="Y1570" t="str">
            <v>Past</v>
          </cell>
          <cell r="Z1570">
            <v>3.93</v>
          </cell>
          <cell r="AA1570">
            <v>0</v>
          </cell>
          <cell r="AB1570">
            <v>0</v>
          </cell>
        </row>
        <row r="1571">
          <cell r="G1571" t="str">
            <v>X55_1</v>
          </cell>
          <cell r="H1571" t="str">
            <v/>
          </cell>
          <cell r="I1571" t="str">
            <v>met</v>
          </cell>
          <cell r="V1571" t="str">
            <v>0</v>
          </cell>
          <cell r="Y1571" t="str">
            <v>Past</v>
          </cell>
          <cell r="Z1571">
            <v>3.93</v>
          </cell>
          <cell r="AA1571">
            <v>0</v>
          </cell>
          <cell r="AB1571">
            <v>0</v>
          </cell>
        </row>
        <row r="1572">
          <cell r="G1572" t="str">
            <v>X56_0</v>
          </cell>
          <cell r="H1572" t="str">
            <v/>
          </cell>
          <cell r="I1572" t="str">
            <v>met</v>
          </cell>
          <cell r="V1572" t="str">
            <v>0</v>
          </cell>
          <cell r="Y1572" t="str">
            <v>Past</v>
          </cell>
          <cell r="Z1572">
            <v>3.93</v>
          </cell>
          <cell r="AA1572">
            <v>0</v>
          </cell>
          <cell r="AB1572">
            <v>0</v>
          </cell>
        </row>
        <row r="1573">
          <cell r="G1573" t="str">
            <v>X56_1</v>
          </cell>
          <cell r="H1573" t="str">
            <v/>
          </cell>
          <cell r="I1573" t="str">
            <v>met</v>
          </cell>
          <cell r="V1573" t="str">
            <v>0</v>
          </cell>
          <cell r="Y1573" t="str">
            <v>Past</v>
          </cell>
          <cell r="Z1573">
            <v>3.93</v>
          </cell>
          <cell r="AA1573">
            <v>0</v>
          </cell>
          <cell r="AB1573">
            <v>0</v>
          </cell>
        </row>
        <row r="1574">
          <cell r="G1574" t="str">
            <v>X57_0</v>
          </cell>
          <cell r="H1574" t="str">
            <v>as-as</v>
          </cell>
          <cell r="I1574" t="str">
            <v>sim</v>
          </cell>
          <cell r="V1574" t="str">
            <v>not</v>
          </cell>
          <cell r="Y1574" t="str">
            <v>Past</v>
          </cell>
          <cell r="Z1574">
            <v>2.9</v>
          </cell>
          <cell r="AA1574">
            <v>0</v>
          </cell>
          <cell r="AB1574">
            <v>0</v>
          </cell>
        </row>
        <row r="1575">
          <cell r="G1575" t="str">
            <v>X57_1</v>
          </cell>
          <cell r="H1575" t="str">
            <v>as-as</v>
          </cell>
          <cell r="I1575" t="str">
            <v>sim</v>
          </cell>
          <cell r="V1575" t="str">
            <v>not</v>
          </cell>
          <cell r="Y1575" t="str">
            <v>Past</v>
          </cell>
          <cell r="Z1575">
            <v>2.9</v>
          </cell>
          <cell r="AA1575">
            <v>0</v>
          </cell>
          <cell r="AB1575">
            <v>0</v>
          </cell>
        </row>
        <row r="1576">
          <cell r="G1576" t="str">
            <v>X58_0</v>
          </cell>
          <cell r="H1576" t="str">
            <v>as</v>
          </cell>
          <cell r="I1576" t="str">
            <v>sim</v>
          </cell>
          <cell r="V1576" t="str">
            <v>not</v>
          </cell>
          <cell r="Y1576" t="str">
            <v>Past</v>
          </cell>
          <cell r="Z1576">
            <v>4.26</v>
          </cell>
          <cell r="AA1576">
            <v>0</v>
          </cell>
          <cell r="AB1576">
            <v>0</v>
          </cell>
        </row>
        <row r="1577">
          <cell r="G1577" t="str">
            <v>X58_1</v>
          </cell>
          <cell r="H1577" t="str">
            <v>as</v>
          </cell>
          <cell r="I1577" t="str">
            <v>sim</v>
          </cell>
          <cell r="V1577" t="str">
            <v>not</v>
          </cell>
          <cell r="Y1577" t="str">
            <v>Past</v>
          </cell>
          <cell r="Z1577">
            <v>4.26</v>
          </cell>
          <cell r="AA1577">
            <v>0</v>
          </cell>
          <cell r="AB1577">
            <v>0</v>
          </cell>
        </row>
        <row r="1578">
          <cell r="G1578" t="str">
            <v>X59_0</v>
          </cell>
          <cell r="H1578" t="str">
            <v>as-as</v>
          </cell>
          <cell r="I1578" t="str">
            <v>sim</v>
          </cell>
          <cell r="V1578" t="str">
            <v>antonym</v>
          </cell>
          <cell r="Y1578" t="str">
            <v>Past</v>
          </cell>
          <cell r="Z1578">
            <v>4.5199999999999996</v>
          </cell>
          <cell r="AA1578">
            <v>0</v>
          </cell>
          <cell r="AB1578">
            <v>0</v>
          </cell>
        </row>
        <row r="1579">
          <cell r="G1579" t="str">
            <v>X59_1</v>
          </cell>
          <cell r="H1579" t="str">
            <v>as-as</v>
          </cell>
          <cell r="I1579" t="str">
            <v>sim</v>
          </cell>
          <cell r="V1579" t="str">
            <v>antonym</v>
          </cell>
          <cell r="Y1579" t="str">
            <v>Past</v>
          </cell>
          <cell r="Z1579">
            <v>4.5199999999999996</v>
          </cell>
          <cell r="AA1579">
            <v>0</v>
          </cell>
          <cell r="AB1579">
            <v>0</v>
          </cell>
        </row>
        <row r="1580">
          <cell r="G1580" t="str">
            <v>X60_0</v>
          </cell>
          <cell r="H1580" t="str">
            <v/>
          </cell>
          <cell r="I1580" t="str">
            <v>met</v>
          </cell>
          <cell r="V1580" t="str">
            <v>0</v>
          </cell>
          <cell r="Y1580" t="str">
            <v>Pres</v>
          </cell>
          <cell r="Z1580">
            <v>3.71</v>
          </cell>
          <cell r="AA1580">
            <v>0</v>
          </cell>
          <cell r="AB1580">
            <v>0</v>
          </cell>
        </row>
        <row r="1581">
          <cell r="G1581" t="str">
            <v>X60_1</v>
          </cell>
          <cell r="H1581" t="str">
            <v/>
          </cell>
          <cell r="I1581" t="str">
            <v>met</v>
          </cell>
          <cell r="V1581" t="str">
            <v>0</v>
          </cell>
          <cell r="Y1581" t="str">
            <v>Pres</v>
          </cell>
          <cell r="Z1581">
            <v>3.71</v>
          </cell>
          <cell r="AA1581">
            <v>0</v>
          </cell>
          <cell r="AB1581">
            <v>0</v>
          </cell>
        </row>
        <row r="1582">
          <cell r="G1582" t="str">
            <v>X61_0</v>
          </cell>
          <cell r="H1582" t="str">
            <v/>
          </cell>
          <cell r="I1582" t="str">
            <v>met</v>
          </cell>
          <cell r="V1582" t="str">
            <v>0</v>
          </cell>
          <cell r="Y1582" t="str">
            <v>Pres</v>
          </cell>
          <cell r="Z1582">
            <v>4.72</v>
          </cell>
          <cell r="AA1582">
            <v>0</v>
          </cell>
          <cell r="AB1582">
            <v>0</v>
          </cell>
        </row>
        <row r="1583">
          <cell r="G1583" t="str">
            <v>X61_1</v>
          </cell>
          <cell r="H1583" t="str">
            <v/>
          </cell>
          <cell r="I1583" t="str">
            <v>met</v>
          </cell>
          <cell r="V1583" t="str">
            <v>0</v>
          </cell>
          <cell r="Y1583" t="str">
            <v>Pres</v>
          </cell>
          <cell r="Z1583">
            <v>4.72</v>
          </cell>
          <cell r="AA1583">
            <v>0</v>
          </cell>
          <cell r="AB1583">
            <v>0</v>
          </cell>
        </row>
        <row r="1584">
          <cell r="G1584" t="str">
            <v>X62_0</v>
          </cell>
          <cell r="H1584" t="str">
            <v/>
          </cell>
          <cell r="I1584" t="str">
            <v>met</v>
          </cell>
          <cell r="V1584" t="str">
            <v>0</v>
          </cell>
          <cell r="Y1584" t="str">
            <v>Pres</v>
          </cell>
          <cell r="Z1584">
            <v>4</v>
          </cell>
          <cell r="AA1584">
            <v>0</v>
          </cell>
          <cell r="AB1584">
            <v>0</v>
          </cell>
        </row>
        <row r="1585">
          <cell r="G1585" t="str">
            <v>X62_1</v>
          </cell>
          <cell r="H1585" t="str">
            <v/>
          </cell>
          <cell r="I1585" t="str">
            <v>met</v>
          </cell>
          <cell r="V1585" t="str">
            <v>0</v>
          </cell>
          <cell r="Y1585" t="str">
            <v>Past</v>
          </cell>
          <cell r="Z1585">
            <v>4</v>
          </cell>
          <cell r="AA1585">
            <v>0</v>
          </cell>
          <cell r="AB1585">
            <v>0</v>
          </cell>
        </row>
        <row r="1586">
          <cell r="G1586" t="str">
            <v>X63_0</v>
          </cell>
          <cell r="H1586" t="str">
            <v>as</v>
          </cell>
          <cell r="I1586" t="str">
            <v>sim</v>
          </cell>
          <cell r="V1586" t="str">
            <v>not neg pair</v>
          </cell>
          <cell r="Y1586" t="str">
            <v>Pres</v>
          </cell>
          <cell r="Z1586">
            <v>0</v>
          </cell>
          <cell r="AA1586">
            <v>0</v>
          </cell>
          <cell r="AB1586">
            <v>0</v>
          </cell>
        </row>
        <row r="1587">
          <cell r="G1587" t="str">
            <v>X63_1</v>
          </cell>
          <cell r="H1587" t="str">
            <v>as</v>
          </cell>
          <cell r="I1587" t="str">
            <v>sim</v>
          </cell>
          <cell r="V1587" t="str">
            <v>not neg pair</v>
          </cell>
          <cell r="Y1587" t="str">
            <v>Pres</v>
          </cell>
          <cell r="Z1587">
            <v>0</v>
          </cell>
          <cell r="AA1587">
            <v>0</v>
          </cell>
          <cell r="AB1587">
            <v>0</v>
          </cell>
        </row>
        <row r="1588">
          <cell r="G1588" t="str">
            <v>X64_0</v>
          </cell>
          <cell r="H1588" t="str">
            <v>the-of</v>
          </cell>
          <cell r="I1588" t="str">
            <v>sim</v>
          </cell>
          <cell r="V1588" t="str">
            <v>not neg pair</v>
          </cell>
          <cell r="Y1588" t="str">
            <v>Pres</v>
          </cell>
          <cell r="Z1588">
            <v>4.3499999999999996</v>
          </cell>
          <cell r="AA1588">
            <v>0</v>
          </cell>
          <cell r="AB1588">
            <v>0</v>
          </cell>
        </row>
        <row r="1589">
          <cell r="G1589" t="str">
            <v>X64_1</v>
          </cell>
          <cell r="H1589" t="str">
            <v>the-of</v>
          </cell>
          <cell r="I1589" t="str">
            <v>sim</v>
          </cell>
          <cell r="V1589" t="str">
            <v>not neg pair</v>
          </cell>
          <cell r="Y1589" t="str">
            <v>Pres</v>
          </cell>
          <cell r="Z1589">
            <v>4.3499999999999996</v>
          </cell>
          <cell r="AA1589">
            <v>0</v>
          </cell>
          <cell r="AB1589">
            <v>0</v>
          </cell>
        </row>
        <row r="1590">
          <cell r="G1590" t="str">
            <v>X65_0</v>
          </cell>
          <cell r="H1590" t="str">
            <v>the-of</v>
          </cell>
          <cell r="I1590" t="str">
            <v>sim</v>
          </cell>
          <cell r="V1590" t="str">
            <v>not neg pair</v>
          </cell>
          <cell r="Y1590" t="str">
            <v>Pres</v>
          </cell>
          <cell r="Z1590">
            <v>4.5199999999999996</v>
          </cell>
          <cell r="AA1590">
            <v>0</v>
          </cell>
          <cell r="AB1590">
            <v>0</v>
          </cell>
        </row>
        <row r="1591">
          <cell r="G1591" t="str">
            <v>X65_1</v>
          </cell>
          <cell r="H1591" t="str">
            <v>the-of</v>
          </cell>
          <cell r="I1591" t="str">
            <v>sim</v>
          </cell>
          <cell r="V1591" t="str">
            <v>not neg pair</v>
          </cell>
          <cell r="Y1591" t="str">
            <v>Pres</v>
          </cell>
          <cell r="Z1591">
            <v>4.5199999999999996</v>
          </cell>
          <cell r="AA1591">
            <v>0</v>
          </cell>
          <cell r="AB1591">
            <v>0</v>
          </cell>
        </row>
        <row r="1592">
          <cell r="G1592" t="str">
            <v>X66_0</v>
          </cell>
          <cell r="H1592" t="str">
            <v>the-of</v>
          </cell>
          <cell r="I1592" t="str">
            <v>sim</v>
          </cell>
          <cell r="V1592" t="str">
            <v>not</v>
          </cell>
          <cell r="Y1592" t="str">
            <v>Pres</v>
          </cell>
          <cell r="Z1592">
            <v>2.5</v>
          </cell>
          <cell r="AA1592" t="str">
            <v>L</v>
          </cell>
          <cell r="AB1592">
            <v>0</v>
          </cell>
        </row>
        <row r="1593">
          <cell r="G1593" t="str">
            <v>X66_1</v>
          </cell>
          <cell r="H1593" t="str">
            <v>the-of</v>
          </cell>
          <cell r="I1593" t="str">
            <v>sim</v>
          </cell>
          <cell r="V1593" t="str">
            <v>not</v>
          </cell>
          <cell r="Y1593" t="str">
            <v>Pres</v>
          </cell>
          <cell r="Z1593">
            <v>2.5</v>
          </cell>
          <cell r="AA1593" t="str">
            <v>L</v>
          </cell>
          <cell r="AB1593">
            <v>0</v>
          </cell>
        </row>
        <row r="1594">
          <cell r="G1594" t="str">
            <v>X67_0</v>
          </cell>
          <cell r="H1594" t="str">
            <v>like</v>
          </cell>
          <cell r="I1594" t="str">
            <v>sim</v>
          </cell>
          <cell r="V1594" t="str">
            <v>not neg pair</v>
          </cell>
          <cell r="Y1594" t="str">
            <v>Past</v>
          </cell>
          <cell r="Z1594">
            <v>2.89</v>
          </cell>
          <cell r="AA1594">
            <v>0</v>
          </cell>
          <cell r="AB1594">
            <v>0</v>
          </cell>
        </row>
        <row r="1595">
          <cell r="G1595" t="str">
            <v>X67_1</v>
          </cell>
          <cell r="H1595" t="str">
            <v>like</v>
          </cell>
          <cell r="I1595" t="str">
            <v>sim</v>
          </cell>
          <cell r="V1595" t="str">
            <v>not neg pair</v>
          </cell>
          <cell r="Y1595" t="str">
            <v>Past</v>
          </cell>
          <cell r="Z1595">
            <v>2.89</v>
          </cell>
          <cell r="AA1595">
            <v>0</v>
          </cell>
          <cell r="AB1595">
            <v>0</v>
          </cell>
        </row>
        <row r="1596">
          <cell r="G1596" t="str">
            <v>X68_0</v>
          </cell>
          <cell r="H1596" t="str">
            <v>the-of</v>
          </cell>
          <cell r="I1596" t="str">
            <v>sim</v>
          </cell>
          <cell r="V1596" t="str">
            <v>0</v>
          </cell>
          <cell r="Y1596" t="str">
            <v>Past</v>
          </cell>
          <cell r="Z1596">
            <v>4.92</v>
          </cell>
          <cell r="AA1596" t="str">
            <v>H</v>
          </cell>
          <cell r="AB1596">
            <v>0</v>
          </cell>
        </row>
        <row r="1597">
          <cell r="G1597" t="str">
            <v>X68_1</v>
          </cell>
          <cell r="H1597" t="str">
            <v/>
          </cell>
          <cell r="I1597" t="str">
            <v>met</v>
          </cell>
          <cell r="V1597" t="str">
            <v>0</v>
          </cell>
          <cell r="Y1597" t="str">
            <v>Past</v>
          </cell>
          <cell r="Z1597">
            <v>4.92</v>
          </cell>
          <cell r="AA1597" t="str">
            <v>H</v>
          </cell>
          <cell r="AB1597">
            <v>0</v>
          </cell>
        </row>
        <row r="1598">
          <cell r="G1598" t="str">
            <v>X69_0</v>
          </cell>
          <cell r="H1598" t="str">
            <v>like</v>
          </cell>
          <cell r="I1598" t="str">
            <v>sim</v>
          </cell>
          <cell r="V1598" t="str">
            <v>not neg pair</v>
          </cell>
          <cell r="Y1598" t="str">
            <v>Past</v>
          </cell>
          <cell r="Z1598">
            <v>4.92</v>
          </cell>
          <cell r="AA1598" t="str">
            <v>H</v>
          </cell>
          <cell r="AB1598">
            <v>0</v>
          </cell>
        </row>
        <row r="1599">
          <cell r="G1599" t="str">
            <v>X69_1</v>
          </cell>
          <cell r="H1599" t="str">
            <v>like</v>
          </cell>
          <cell r="I1599" t="str">
            <v>sim</v>
          </cell>
          <cell r="V1599" t="str">
            <v>not neg pair</v>
          </cell>
          <cell r="Y1599" t="str">
            <v>Past</v>
          </cell>
          <cell r="Z1599">
            <v>4.92</v>
          </cell>
          <cell r="AA1599" t="str">
            <v>H</v>
          </cell>
          <cell r="AB1599">
            <v>0</v>
          </cell>
        </row>
        <row r="1600">
          <cell r="G1600" t="str">
            <v>X70_0</v>
          </cell>
          <cell r="H1600" t="str">
            <v>the-of</v>
          </cell>
          <cell r="I1600" t="str">
            <v>sim</v>
          </cell>
          <cell r="V1600" t="str">
            <v>not neg pair</v>
          </cell>
          <cell r="Y1600" t="str">
            <v>Past</v>
          </cell>
          <cell r="Z1600">
            <v>4.3499999999999996</v>
          </cell>
          <cell r="AA1600">
            <v>0</v>
          </cell>
          <cell r="AB1600">
            <v>0</v>
          </cell>
        </row>
        <row r="1601">
          <cell r="G1601" t="str">
            <v>X70_1</v>
          </cell>
          <cell r="H1601" t="str">
            <v>the-of</v>
          </cell>
          <cell r="I1601" t="str">
            <v>sim</v>
          </cell>
          <cell r="V1601" t="str">
            <v>not neg pair</v>
          </cell>
          <cell r="Y1601" t="str">
            <v>Past</v>
          </cell>
          <cell r="Z1601">
            <v>4.3499999999999996</v>
          </cell>
          <cell r="AA1601">
            <v>0</v>
          </cell>
          <cell r="AB1601">
            <v>0</v>
          </cell>
        </row>
        <row r="1602">
          <cell r="G1602" t="str">
            <v>X71_0</v>
          </cell>
          <cell r="H1602" t="str">
            <v>the-of</v>
          </cell>
          <cell r="I1602" t="str">
            <v>sim</v>
          </cell>
          <cell r="V1602" t="str">
            <v>not</v>
          </cell>
          <cell r="Y1602" t="str">
            <v>Past</v>
          </cell>
          <cell r="Z1602">
            <v>3.93</v>
          </cell>
          <cell r="AA1602">
            <v>0</v>
          </cell>
          <cell r="AB1602">
            <v>0</v>
          </cell>
        </row>
        <row r="1603">
          <cell r="G1603" t="str">
            <v>X71_1</v>
          </cell>
          <cell r="H1603" t="str">
            <v>the-of</v>
          </cell>
          <cell r="I1603" t="str">
            <v>sim</v>
          </cell>
          <cell r="V1603" t="str">
            <v>not</v>
          </cell>
          <cell r="Y1603" t="str">
            <v>Past</v>
          </cell>
          <cell r="Z1603">
            <v>3.93</v>
          </cell>
          <cell r="AA1603">
            <v>0</v>
          </cell>
          <cell r="AB1603">
            <v>0</v>
          </cell>
        </row>
        <row r="1604">
          <cell r="G1604" t="str">
            <v>X72_0</v>
          </cell>
          <cell r="H1604" t="str">
            <v>the-of</v>
          </cell>
          <cell r="I1604" t="str">
            <v>sim</v>
          </cell>
          <cell r="V1604" t="str">
            <v>not</v>
          </cell>
          <cell r="Y1604" t="str">
            <v>Past</v>
          </cell>
          <cell r="Z1604">
            <v>3.93</v>
          </cell>
          <cell r="AA1604">
            <v>0</v>
          </cell>
          <cell r="AB1604">
            <v>0</v>
          </cell>
        </row>
        <row r="1605">
          <cell r="G1605" t="str">
            <v>X72_1</v>
          </cell>
          <cell r="H1605" t="str">
            <v>the-of</v>
          </cell>
          <cell r="I1605" t="str">
            <v>sim</v>
          </cell>
          <cell r="V1605" t="str">
            <v>not</v>
          </cell>
          <cell r="Y1605" t="str">
            <v>Past</v>
          </cell>
          <cell r="Z1605">
            <v>3.93</v>
          </cell>
          <cell r="AA1605">
            <v>0</v>
          </cell>
          <cell r="AB1605">
            <v>0</v>
          </cell>
        </row>
        <row r="1606">
          <cell r="G1606" t="str">
            <v>X73_0</v>
          </cell>
          <cell r="H1606" t="str">
            <v>like</v>
          </cell>
          <cell r="I1606" t="str">
            <v>sim</v>
          </cell>
          <cell r="V1606" t="str">
            <v>not neg pair</v>
          </cell>
          <cell r="Y1606" t="str">
            <v>Pres</v>
          </cell>
          <cell r="Z1606">
            <v>3.53</v>
          </cell>
          <cell r="AA1606">
            <v>0</v>
          </cell>
          <cell r="AB1606">
            <v>0</v>
          </cell>
        </row>
        <row r="1607">
          <cell r="G1607" t="str">
            <v>X73_1</v>
          </cell>
          <cell r="H1607" t="str">
            <v>like</v>
          </cell>
          <cell r="I1607" t="str">
            <v>sim</v>
          </cell>
          <cell r="V1607" t="str">
            <v>not neg pair</v>
          </cell>
          <cell r="Y1607" t="str">
            <v>Pres</v>
          </cell>
          <cell r="Z1607">
            <v>3.53</v>
          </cell>
          <cell r="AA1607">
            <v>0</v>
          </cell>
          <cell r="AB1607">
            <v>0</v>
          </cell>
        </row>
        <row r="1608">
          <cell r="G1608" t="str">
            <v>X74_0</v>
          </cell>
          <cell r="H1608" t="str">
            <v>like</v>
          </cell>
          <cell r="I1608" t="str">
            <v>sim</v>
          </cell>
          <cell r="V1608" t="str">
            <v>not neg pair</v>
          </cell>
          <cell r="Y1608" t="str">
            <v>Pres</v>
          </cell>
          <cell r="Z1608">
            <v>4.5199999999999996</v>
          </cell>
          <cell r="AA1608">
            <v>0</v>
          </cell>
          <cell r="AB1608">
            <v>0</v>
          </cell>
        </row>
        <row r="1609">
          <cell r="G1609" t="str">
            <v>X74_1</v>
          </cell>
          <cell r="H1609" t="str">
            <v>like</v>
          </cell>
          <cell r="I1609" t="str">
            <v>sim</v>
          </cell>
          <cell r="V1609" t="str">
            <v>not neg pair</v>
          </cell>
          <cell r="Y1609" t="str">
            <v>Past</v>
          </cell>
          <cell r="Z1609">
            <v>3.48</v>
          </cell>
          <cell r="AA1609">
            <v>0</v>
          </cell>
          <cell r="AB1609">
            <v>0</v>
          </cell>
        </row>
        <row r="1610">
          <cell r="G1610" t="str">
            <v>X75_0</v>
          </cell>
          <cell r="H1610" t="str">
            <v>the-of</v>
          </cell>
          <cell r="I1610" t="str">
            <v>sim</v>
          </cell>
          <cell r="V1610" t="str">
            <v>not</v>
          </cell>
          <cell r="Y1610" t="str">
            <v>Past</v>
          </cell>
          <cell r="Z1610">
            <v>4.3499999999999996</v>
          </cell>
          <cell r="AA1610">
            <v>0</v>
          </cell>
          <cell r="AB1610">
            <v>0</v>
          </cell>
        </row>
        <row r="1611">
          <cell r="G1611" t="str">
            <v>X75_1</v>
          </cell>
          <cell r="H1611" t="str">
            <v>the-of</v>
          </cell>
          <cell r="I1611" t="str">
            <v>sim</v>
          </cell>
          <cell r="V1611" t="str">
            <v>not</v>
          </cell>
          <cell r="Y1611" t="str">
            <v>Past</v>
          </cell>
          <cell r="Z1611">
            <v>4.3499999999999996</v>
          </cell>
          <cell r="AA1611">
            <v>0</v>
          </cell>
          <cell r="AB1611">
            <v>0</v>
          </cell>
        </row>
        <row r="1612">
          <cell r="G1612" t="str">
            <v>X76_0</v>
          </cell>
          <cell r="H1612" t="str">
            <v>as-as</v>
          </cell>
          <cell r="I1612" t="str">
            <v>sim</v>
          </cell>
          <cell r="V1612" t="str">
            <v>not neg pair</v>
          </cell>
          <cell r="Y1612" t="str">
            <v>Past</v>
          </cell>
          <cell r="Z1612">
            <v>4.3499999999999996</v>
          </cell>
          <cell r="AA1612">
            <v>0</v>
          </cell>
          <cell r="AB1612">
            <v>0</v>
          </cell>
        </row>
        <row r="1613">
          <cell r="G1613" t="str">
            <v>X76_1</v>
          </cell>
          <cell r="H1613" t="str">
            <v>as-as</v>
          </cell>
          <cell r="I1613" t="str">
            <v>sim</v>
          </cell>
          <cell r="V1613" t="str">
            <v>not neg pair</v>
          </cell>
          <cell r="Y1613" t="str">
            <v>Past</v>
          </cell>
          <cell r="Z1613">
            <v>4.3499999999999996</v>
          </cell>
          <cell r="AA1613">
            <v>0</v>
          </cell>
          <cell r="AB1613">
            <v>0</v>
          </cell>
        </row>
        <row r="1614">
          <cell r="G1614" t="str">
            <v>X77_0</v>
          </cell>
          <cell r="H1614" t="str">
            <v>as-as</v>
          </cell>
          <cell r="I1614" t="str">
            <v>sim</v>
          </cell>
          <cell r="V1614" t="str">
            <v>not neg pair</v>
          </cell>
          <cell r="Y1614" t="str">
            <v>Past</v>
          </cell>
          <cell r="Z1614">
            <v>2.81</v>
          </cell>
          <cell r="AA1614">
            <v>0</v>
          </cell>
          <cell r="AB1614">
            <v>0</v>
          </cell>
        </row>
        <row r="1615">
          <cell r="G1615" t="str">
            <v>X77_1</v>
          </cell>
          <cell r="H1615" t="str">
            <v>as-as</v>
          </cell>
          <cell r="I1615" t="str">
            <v>sim</v>
          </cell>
          <cell r="V1615" t="str">
            <v>not neg pair</v>
          </cell>
          <cell r="Y1615" t="str">
            <v>Past</v>
          </cell>
          <cell r="Z1615">
            <v>2.81</v>
          </cell>
          <cell r="AA1615">
            <v>0</v>
          </cell>
          <cell r="AB1615">
            <v>0</v>
          </cell>
        </row>
        <row r="1616">
          <cell r="G1616" t="str">
            <v>X78_0</v>
          </cell>
          <cell r="H1616" t="str">
            <v>as-as</v>
          </cell>
          <cell r="I1616" t="str">
            <v>sim</v>
          </cell>
          <cell r="V1616" t="str">
            <v>not neg pair</v>
          </cell>
          <cell r="Y1616" t="str">
            <v>Past</v>
          </cell>
          <cell r="Z1616">
            <v>2.81</v>
          </cell>
          <cell r="AA1616">
            <v>0</v>
          </cell>
          <cell r="AB1616">
            <v>0</v>
          </cell>
        </row>
        <row r="1617">
          <cell r="G1617" t="str">
            <v>X78_1</v>
          </cell>
          <cell r="H1617" t="str">
            <v>as-as</v>
          </cell>
          <cell r="I1617" t="str">
            <v>sim</v>
          </cell>
          <cell r="V1617" t="str">
            <v>not neg pair</v>
          </cell>
          <cell r="Y1617" t="str">
            <v>Past</v>
          </cell>
          <cell r="Z1617">
            <v>2.81</v>
          </cell>
          <cell r="AA1617">
            <v>0</v>
          </cell>
          <cell r="AB1617">
            <v>0</v>
          </cell>
        </row>
        <row r="1618">
          <cell r="G1618" t="str">
            <v>X79_0</v>
          </cell>
          <cell r="H1618" t="str">
            <v/>
          </cell>
          <cell r="I1618" t="str">
            <v>met</v>
          </cell>
          <cell r="V1618" t="str">
            <v>0</v>
          </cell>
          <cell r="Y1618" t="str">
            <v>Pres</v>
          </cell>
          <cell r="Z1618">
            <v>2.81</v>
          </cell>
          <cell r="AA1618">
            <v>0</v>
          </cell>
          <cell r="AB1618">
            <v>0</v>
          </cell>
        </row>
        <row r="1619">
          <cell r="G1619" t="str">
            <v>X79_1</v>
          </cell>
          <cell r="H1619" t="str">
            <v/>
          </cell>
          <cell r="I1619" t="str">
            <v>met</v>
          </cell>
          <cell r="V1619" t="str">
            <v>0</v>
          </cell>
          <cell r="Y1619" t="str">
            <v>Pres</v>
          </cell>
          <cell r="Z1619">
            <v>2.81</v>
          </cell>
          <cell r="AA1619">
            <v>0</v>
          </cell>
          <cell r="AB1619">
            <v>0</v>
          </cell>
        </row>
        <row r="1620">
          <cell r="G1620" t="str">
            <v>X80_0</v>
          </cell>
          <cell r="H1620" t="str">
            <v/>
          </cell>
          <cell r="I1620" t="str">
            <v>met</v>
          </cell>
          <cell r="V1620" t="str">
            <v>0</v>
          </cell>
          <cell r="Y1620" t="str">
            <v>Pres</v>
          </cell>
          <cell r="Z1620">
            <v>4.46</v>
          </cell>
          <cell r="AA1620">
            <v>0</v>
          </cell>
          <cell r="AB1620">
            <v>0</v>
          </cell>
        </row>
        <row r="1621">
          <cell r="G1621" t="str">
            <v>X80_1</v>
          </cell>
          <cell r="H1621" t="str">
            <v/>
          </cell>
          <cell r="I1621" t="str">
            <v>met</v>
          </cell>
          <cell r="V1621" t="str">
            <v>0</v>
          </cell>
          <cell r="Y1621" t="str">
            <v>Pres</v>
          </cell>
          <cell r="Z1621">
            <v>4.46</v>
          </cell>
          <cell r="AA1621">
            <v>0</v>
          </cell>
          <cell r="AB1621">
            <v>0</v>
          </cell>
        </row>
        <row r="1622">
          <cell r="G1622" t="str">
            <v>X81_0</v>
          </cell>
          <cell r="H1622" t="str">
            <v/>
          </cell>
          <cell r="I1622" t="str">
            <v>met</v>
          </cell>
          <cell r="V1622" t="str">
            <v>0</v>
          </cell>
          <cell r="Y1622" t="str">
            <v>Past</v>
          </cell>
          <cell r="Z1622">
            <v>4.8899999999999997</v>
          </cell>
          <cell r="AA1622">
            <v>0</v>
          </cell>
          <cell r="AB1622">
            <v>0</v>
          </cell>
        </row>
        <row r="1623">
          <cell r="G1623" t="str">
            <v>X81_1</v>
          </cell>
          <cell r="H1623" t="str">
            <v/>
          </cell>
          <cell r="I1623" t="str">
            <v>met</v>
          </cell>
          <cell r="V1623" t="str">
            <v>0</v>
          </cell>
          <cell r="Y1623" t="str">
            <v>Pres</v>
          </cell>
          <cell r="Z1623">
            <v>4.8899999999999997</v>
          </cell>
          <cell r="AA1623">
            <v>0</v>
          </cell>
          <cell r="AB1623">
            <v>0</v>
          </cell>
        </row>
        <row r="1624">
          <cell r="G1624" t="str">
            <v>X82_0</v>
          </cell>
          <cell r="H1624" t="str">
            <v>like</v>
          </cell>
          <cell r="I1624" t="str">
            <v>sim</v>
          </cell>
          <cell r="V1624" t="str">
            <v>not neg pair</v>
          </cell>
          <cell r="Y1624" t="str">
            <v>Pres</v>
          </cell>
          <cell r="Z1624">
            <v>3.62</v>
          </cell>
          <cell r="AA1624">
            <v>0</v>
          </cell>
          <cell r="AB1624">
            <v>0</v>
          </cell>
        </row>
        <row r="1625">
          <cell r="G1625" t="str">
            <v>X82_1</v>
          </cell>
          <cell r="H1625" t="str">
            <v>like</v>
          </cell>
          <cell r="I1625" t="str">
            <v>sim</v>
          </cell>
          <cell r="V1625" t="str">
            <v>not neg pair</v>
          </cell>
          <cell r="Y1625" t="str">
            <v>Pres</v>
          </cell>
          <cell r="Z1625">
            <v>3.62</v>
          </cell>
          <cell r="AA1625">
            <v>0</v>
          </cell>
          <cell r="AB1625">
            <v>0</v>
          </cell>
        </row>
        <row r="1626">
          <cell r="G1626" t="str">
            <v>X83_0</v>
          </cell>
          <cell r="H1626" t="str">
            <v>like</v>
          </cell>
          <cell r="I1626" t="str">
            <v>sim</v>
          </cell>
          <cell r="V1626" t="str">
            <v>not neg pair</v>
          </cell>
          <cell r="Y1626" t="str">
            <v>Pres</v>
          </cell>
          <cell r="Z1626">
            <v>4.68</v>
          </cell>
          <cell r="AA1626">
            <v>0</v>
          </cell>
          <cell r="AB1626">
            <v>0</v>
          </cell>
        </row>
        <row r="1627">
          <cell r="G1627" t="str">
            <v>X83_1</v>
          </cell>
          <cell r="H1627" t="str">
            <v>like</v>
          </cell>
          <cell r="I1627" t="str">
            <v>sim</v>
          </cell>
          <cell r="V1627" t="str">
            <v>not neg pair</v>
          </cell>
          <cell r="Y1627" t="str">
            <v>Pres</v>
          </cell>
          <cell r="Z1627">
            <v>4.68</v>
          </cell>
          <cell r="AA1627">
            <v>0</v>
          </cell>
          <cell r="AB1627">
            <v>0</v>
          </cell>
        </row>
        <row r="1628">
          <cell r="G1628" t="str">
            <v>X84_0</v>
          </cell>
          <cell r="H1628" t="str">
            <v/>
          </cell>
          <cell r="I1628" t="str">
            <v>met</v>
          </cell>
          <cell r="V1628" t="str">
            <v>0</v>
          </cell>
          <cell r="Y1628" t="str">
            <v>Pres</v>
          </cell>
          <cell r="Z1628">
            <v>4.8499999999999996</v>
          </cell>
          <cell r="AA1628">
            <v>0</v>
          </cell>
          <cell r="AB1628">
            <v>0</v>
          </cell>
        </row>
        <row r="1629">
          <cell r="G1629" t="str">
            <v>X84_1</v>
          </cell>
          <cell r="H1629" t="str">
            <v/>
          </cell>
          <cell r="I1629" t="str">
            <v>met</v>
          </cell>
          <cell r="V1629" t="str">
            <v>0</v>
          </cell>
          <cell r="Y1629" t="str">
            <v>Pres</v>
          </cell>
          <cell r="Z1629">
            <v>4.8499999999999996</v>
          </cell>
          <cell r="AA1629">
            <v>0</v>
          </cell>
          <cell r="AB1629">
            <v>0</v>
          </cell>
        </row>
        <row r="1630">
          <cell r="G1630" t="str">
            <v>X85_0</v>
          </cell>
          <cell r="H1630" t="str">
            <v>the-of</v>
          </cell>
          <cell r="I1630" t="str">
            <v>sim</v>
          </cell>
          <cell r="V1630" t="str">
            <v>not neg pair</v>
          </cell>
          <cell r="Y1630" t="str">
            <v>Past</v>
          </cell>
          <cell r="Z1630">
            <v>4.07</v>
          </cell>
          <cell r="AA1630">
            <v>0</v>
          </cell>
          <cell r="AB1630">
            <v>0</v>
          </cell>
        </row>
        <row r="1631">
          <cell r="G1631" t="str">
            <v>X85_1</v>
          </cell>
          <cell r="H1631" t="str">
            <v>the-of</v>
          </cell>
          <cell r="I1631" t="str">
            <v>sim</v>
          </cell>
          <cell r="V1631" t="str">
            <v>not neg pair</v>
          </cell>
          <cell r="Y1631" t="str">
            <v>Past</v>
          </cell>
          <cell r="Z1631">
            <v>4.07</v>
          </cell>
          <cell r="AA1631">
            <v>0</v>
          </cell>
          <cell r="AB1631">
            <v>0</v>
          </cell>
        </row>
        <row r="1632">
          <cell r="G1632" t="str">
            <v>X86_0</v>
          </cell>
          <cell r="H1632" t="str">
            <v/>
          </cell>
          <cell r="I1632" t="str">
            <v>met</v>
          </cell>
          <cell r="V1632" t="str">
            <v>0</v>
          </cell>
          <cell r="Y1632" t="str">
            <v>Pres</v>
          </cell>
          <cell r="Z1632">
            <v>4.76</v>
          </cell>
          <cell r="AA1632">
            <v>0</v>
          </cell>
          <cell r="AB1632">
            <v>0</v>
          </cell>
        </row>
        <row r="1633">
          <cell r="G1633" t="str">
            <v>X86_1</v>
          </cell>
          <cell r="H1633" t="str">
            <v/>
          </cell>
          <cell r="I1633" t="str">
            <v>met</v>
          </cell>
          <cell r="V1633" t="str">
            <v>0</v>
          </cell>
          <cell r="Y1633" t="str">
            <v>Pres</v>
          </cell>
          <cell r="Z1633">
            <v>4.76</v>
          </cell>
          <cell r="AA1633">
            <v>0</v>
          </cell>
          <cell r="AB1633">
            <v>0</v>
          </cell>
        </row>
        <row r="1634">
          <cell r="G1634" t="str">
            <v>X87_0</v>
          </cell>
          <cell r="H1634" t="str">
            <v/>
          </cell>
          <cell r="I1634" t="str">
            <v>met</v>
          </cell>
          <cell r="V1634" t="str">
            <v>0</v>
          </cell>
          <cell r="Y1634" t="str">
            <v>Pres</v>
          </cell>
          <cell r="Z1634">
            <v>4.71</v>
          </cell>
          <cell r="AA1634">
            <v>0</v>
          </cell>
          <cell r="AB1634">
            <v>0</v>
          </cell>
        </row>
        <row r="1635">
          <cell r="G1635" t="str">
            <v>X87_1</v>
          </cell>
          <cell r="H1635" t="str">
            <v/>
          </cell>
          <cell r="I1635" t="str">
            <v>met</v>
          </cell>
          <cell r="V1635" t="str">
            <v>0</v>
          </cell>
          <cell r="Y1635" t="str">
            <v>Pres</v>
          </cell>
          <cell r="Z1635">
            <v>4.71</v>
          </cell>
          <cell r="AA1635">
            <v>0</v>
          </cell>
          <cell r="AB1635">
            <v>0</v>
          </cell>
        </row>
        <row r="1636">
          <cell r="G1636" t="str">
            <v>X88_0</v>
          </cell>
          <cell r="H1636" t="str">
            <v>as-as</v>
          </cell>
          <cell r="I1636" t="str">
            <v>sim</v>
          </cell>
          <cell r="V1636" t="str">
            <v>not</v>
          </cell>
          <cell r="Y1636" t="str">
            <v>Pres</v>
          </cell>
          <cell r="Z1636">
            <v>3.37</v>
          </cell>
          <cell r="AA1636">
            <v>0</v>
          </cell>
          <cell r="AB1636">
            <v>0</v>
          </cell>
        </row>
        <row r="1637">
          <cell r="G1637" t="str">
            <v>X88_1</v>
          </cell>
          <cell r="H1637" t="str">
            <v>as-as</v>
          </cell>
          <cell r="I1637" t="str">
            <v>sim</v>
          </cell>
          <cell r="V1637" t="str">
            <v>not</v>
          </cell>
          <cell r="Y1637" t="str">
            <v>Pres</v>
          </cell>
          <cell r="Z1637">
            <v>3.37</v>
          </cell>
          <cell r="AA1637">
            <v>0</v>
          </cell>
          <cell r="AB1637">
            <v>0</v>
          </cell>
        </row>
        <row r="1638">
          <cell r="G1638" t="str">
            <v>X89_0</v>
          </cell>
          <cell r="H1638" t="str">
            <v>as-as</v>
          </cell>
          <cell r="I1638" t="str">
            <v>sim</v>
          </cell>
          <cell r="V1638" t="str">
            <v>not</v>
          </cell>
          <cell r="Y1638" t="str">
            <v>Past</v>
          </cell>
          <cell r="Z1638">
            <v>4.92</v>
          </cell>
          <cell r="AA1638" t="str">
            <v>H</v>
          </cell>
          <cell r="AB1638">
            <v>0</v>
          </cell>
        </row>
        <row r="1639">
          <cell r="G1639" t="str">
            <v>X89_1</v>
          </cell>
          <cell r="H1639" t="str">
            <v>as-as</v>
          </cell>
          <cell r="I1639" t="str">
            <v>sim</v>
          </cell>
          <cell r="V1639" t="str">
            <v>not</v>
          </cell>
          <cell r="Y1639" t="str">
            <v>Past</v>
          </cell>
          <cell r="Z1639">
            <v>4.92</v>
          </cell>
          <cell r="AA1639" t="str">
            <v>H</v>
          </cell>
          <cell r="AB1639">
            <v>0</v>
          </cell>
        </row>
        <row r="1640">
          <cell r="G1640" t="str">
            <v>X90_0</v>
          </cell>
          <cell r="H1640" t="str">
            <v>as-as</v>
          </cell>
          <cell r="I1640" t="str">
            <v>sim</v>
          </cell>
          <cell r="V1640" t="str">
            <v>not</v>
          </cell>
          <cell r="Y1640" t="str">
            <v>Pres</v>
          </cell>
          <cell r="Z1640">
            <v>5</v>
          </cell>
          <cell r="AA1640" t="str">
            <v>H</v>
          </cell>
          <cell r="AB1640">
            <v>0</v>
          </cell>
        </row>
        <row r="1641">
          <cell r="G1641" t="str">
            <v>X90_1</v>
          </cell>
          <cell r="H1641" t="str">
            <v>as-as</v>
          </cell>
          <cell r="I1641" t="str">
            <v>sim</v>
          </cell>
          <cell r="V1641" t="str">
            <v>not</v>
          </cell>
          <cell r="Y1641" t="str">
            <v>Pres</v>
          </cell>
          <cell r="Z1641">
            <v>5</v>
          </cell>
          <cell r="AA1641" t="str">
            <v>H</v>
          </cell>
          <cell r="AB1641">
            <v>0</v>
          </cell>
        </row>
        <row r="1642">
          <cell r="G1642" t="str">
            <v>X91_0</v>
          </cell>
          <cell r="H1642" t="str">
            <v/>
          </cell>
          <cell r="I1642" t="str">
            <v>met</v>
          </cell>
          <cell r="V1642" t="str">
            <v>0</v>
          </cell>
          <cell r="Y1642" t="str">
            <v>Past</v>
          </cell>
          <cell r="Z1642">
            <v>2.81</v>
          </cell>
          <cell r="AA1642">
            <v>0</v>
          </cell>
          <cell r="AB1642">
            <v>0</v>
          </cell>
        </row>
        <row r="1643">
          <cell r="G1643" t="str">
            <v>X91_1</v>
          </cell>
          <cell r="H1643" t="str">
            <v/>
          </cell>
          <cell r="I1643" t="str">
            <v>met</v>
          </cell>
          <cell r="V1643" t="str">
            <v>0</v>
          </cell>
          <cell r="Y1643" t="str">
            <v>Past</v>
          </cell>
          <cell r="Z1643">
            <v>2.81</v>
          </cell>
          <cell r="AA1643">
            <v>0</v>
          </cell>
          <cell r="AB1643">
            <v>0</v>
          </cell>
        </row>
        <row r="1644">
          <cell r="G1644" t="str">
            <v>X92_0</v>
          </cell>
          <cell r="H1644" t="str">
            <v>as-as</v>
          </cell>
          <cell r="I1644" t="str">
            <v>sim</v>
          </cell>
          <cell r="V1644" t="str">
            <v>not neg pair</v>
          </cell>
          <cell r="Y1644" t="str">
            <v>Pres</v>
          </cell>
          <cell r="Z1644">
            <v>2.81</v>
          </cell>
          <cell r="AA1644">
            <v>0</v>
          </cell>
          <cell r="AB1644">
            <v>0</v>
          </cell>
        </row>
        <row r="1645">
          <cell r="G1645" t="str">
            <v>X92_1</v>
          </cell>
          <cell r="H1645" t="str">
            <v>as-as</v>
          </cell>
          <cell r="I1645" t="str">
            <v>sim</v>
          </cell>
          <cell r="V1645" t="str">
            <v>not neg pair</v>
          </cell>
          <cell r="Y1645" t="str">
            <v>Pres</v>
          </cell>
          <cell r="Z1645">
            <v>2.81</v>
          </cell>
          <cell r="AA1645">
            <v>0</v>
          </cell>
          <cell r="AB1645">
            <v>0</v>
          </cell>
        </row>
        <row r="1646">
          <cell r="G1646" t="str">
            <v>X93_0</v>
          </cell>
          <cell r="H1646" t="str">
            <v>as-as</v>
          </cell>
          <cell r="I1646" t="str">
            <v>sim</v>
          </cell>
          <cell r="V1646" t="str">
            <v>not neg pair</v>
          </cell>
          <cell r="Y1646" t="str">
            <v>Past</v>
          </cell>
          <cell r="Z1646">
            <v>2.81</v>
          </cell>
          <cell r="AA1646">
            <v>0</v>
          </cell>
          <cell r="AB1646">
            <v>0</v>
          </cell>
        </row>
        <row r="1647">
          <cell r="G1647" t="str">
            <v>X93_1</v>
          </cell>
          <cell r="H1647" t="str">
            <v>as-as</v>
          </cell>
          <cell r="I1647" t="str">
            <v>sim</v>
          </cell>
          <cell r="V1647" t="str">
            <v>not neg pair</v>
          </cell>
          <cell r="Y1647" t="str">
            <v>Past</v>
          </cell>
          <cell r="Z1647">
            <v>2.81</v>
          </cell>
          <cell r="AA1647">
            <v>0</v>
          </cell>
          <cell r="AB1647">
            <v>0</v>
          </cell>
        </row>
        <row r="1648">
          <cell r="G1648" t="str">
            <v>X94_0</v>
          </cell>
          <cell r="H1648" t="str">
            <v>the-of</v>
          </cell>
          <cell r="I1648" t="str">
            <v>sim</v>
          </cell>
          <cell r="V1648" t="str">
            <v>not neg pair</v>
          </cell>
          <cell r="Y1648" t="str">
            <v>Pres</v>
          </cell>
          <cell r="Z1648">
            <v>4.8899999999999997</v>
          </cell>
          <cell r="AA1648">
            <v>0</v>
          </cell>
          <cell r="AB1648">
            <v>0</v>
          </cell>
        </row>
        <row r="1649">
          <cell r="G1649" t="str">
            <v>X94_1</v>
          </cell>
          <cell r="H1649" t="str">
            <v>the-of</v>
          </cell>
          <cell r="I1649" t="str">
            <v>sim</v>
          </cell>
          <cell r="V1649" t="str">
            <v>not neg pair</v>
          </cell>
          <cell r="Y1649" t="str">
            <v>Pres</v>
          </cell>
          <cell r="Z1649">
            <v>4.8899999999999997</v>
          </cell>
          <cell r="AA1649">
            <v>0</v>
          </cell>
          <cell r="AB1649">
            <v>0</v>
          </cell>
        </row>
        <row r="1650">
          <cell r="G1650" t="str">
            <v>X95_0</v>
          </cell>
          <cell r="H1650" t="str">
            <v>the-of</v>
          </cell>
          <cell r="I1650" t="str">
            <v>sim</v>
          </cell>
          <cell r="V1650" t="str">
            <v>not neg pair</v>
          </cell>
          <cell r="Y1650">
            <v>0</v>
          </cell>
          <cell r="Z1650">
            <v>3.93</v>
          </cell>
          <cell r="AA1650">
            <v>0</v>
          </cell>
          <cell r="AB1650">
            <v>0</v>
          </cell>
        </row>
        <row r="1651">
          <cell r="G1651" t="str">
            <v>X95_1</v>
          </cell>
          <cell r="H1651" t="str">
            <v>the-of</v>
          </cell>
          <cell r="I1651" t="str">
            <v>sim</v>
          </cell>
          <cell r="V1651" t="str">
            <v>not neg pair</v>
          </cell>
          <cell r="Y1651" t="str">
            <v>Pres</v>
          </cell>
          <cell r="Z1651">
            <v>3.93</v>
          </cell>
          <cell r="AA1651">
            <v>0</v>
          </cell>
          <cell r="AB1651">
            <v>0</v>
          </cell>
        </row>
        <row r="1652">
          <cell r="G1652" t="str">
            <v>X96_0</v>
          </cell>
          <cell r="H1652" t="str">
            <v>the-of</v>
          </cell>
          <cell r="I1652" t="str">
            <v>sim</v>
          </cell>
          <cell r="V1652" t="str">
            <v>not neg pair</v>
          </cell>
          <cell r="Y1652" t="str">
            <v>Pres</v>
          </cell>
          <cell r="Z1652">
            <v>4.13</v>
          </cell>
          <cell r="AA1652">
            <v>0</v>
          </cell>
          <cell r="AB1652">
            <v>0</v>
          </cell>
        </row>
        <row r="1653">
          <cell r="G1653" t="str">
            <v>X96_1</v>
          </cell>
          <cell r="H1653" t="str">
            <v>the-of</v>
          </cell>
          <cell r="I1653" t="str">
            <v>sim</v>
          </cell>
          <cell r="V1653" t="str">
            <v>not neg pair</v>
          </cell>
          <cell r="Y1653" t="str">
            <v>Pres</v>
          </cell>
          <cell r="Z1653">
            <v>4.13</v>
          </cell>
          <cell r="AA1653">
            <v>0</v>
          </cell>
          <cell r="AB1653">
            <v>0</v>
          </cell>
        </row>
        <row r="1654">
          <cell r="G1654" t="str">
            <v>X97_0</v>
          </cell>
          <cell r="H1654" t="str">
            <v>as-as</v>
          </cell>
          <cell r="I1654" t="str">
            <v>sim</v>
          </cell>
          <cell r="V1654" t="str">
            <v>antonym</v>
          </cell>
          <cell r="Y1654" t="str">
            <v>Pres</v>
          </cell>
          <cell r="Z1654">
            <v>4.43</v>
          </cell>
          <cell r="AA1654">
            <v>0</v>
          </cell>
          <cell r="AB1654">
            <v>0</v>
          </cell>
        </row>
        <row r="1655">
          <cell r="G1655" t="str">
            <v>X97_1</v>
          </cell>
          <cell r="H1655" t="str">
            <v>as-as</v>
          </cell>
          <cell r="I1655" t="str">
            <v>sim</v>
          </cell>
          <cell r="V1655" t="str">
            <v>antonym</v>
          </cell>
          <cell r="Y1655" t="str">
            <v>Pres</v>
          </cell>
          <cell r="Z1655">
            <v>4.43</v>
          </cell>
          <cell r="AA1655">
            <v>0</v>
          </cell>
          <cell r="AB1655">
            <v>0</v>
          </cell>
        </row>
        <row r="1656">
          <cell r="G1656" t="str">
            <v>X98_0</v>
          </cell>
          <cell r="H1656" t="str">
            <v>as-as</v>
          </cell>
          <cell r="I1656" t="str">
            <v>sim</v>
          </cell>
          <cell r="V1656" t="str">
            <v>not</v>
          </cell>
          <cell r="Y1656" t="str">
            <v>Past</v>
          </cell>
          <cell r="Z1656">
            <v>2.76</v>
          </cell>
          <cell r="AA1656" t="str">
            <v>L</v>
          </cell>
          <cell r="AB1656">
            <v>0</v>
          </cell>
        </row>
        <row r="1657">
          <cell r="G1657" t="str">
            <v>X98_1</v>
          </cell>
          <cell r="H1657" t="str">
            <v>as-as</v>
          </cell>
          <cell r="I1657" t="str">
            <v>sim</v>
          </cell>
          <cell r="V1657" t="str">
            <v>not</v>
          </cell>
          <cell r="Y1657" t="str">
            <v>Past</v>
          </cell>
          <cell r="Z1657">
            <v>2.76</v>
          </cell>
          <cell r="AA1657" t="str">
            <v>L</v>
          </cell>
          <cell r="AB1657">
            <v>0</v>
          </cell>
        </row>
        <row r="1658">
          <cell r="G1658" t="str">
            <v>X99_0</v>
          </cell>
          <cell r="H1658" t="str">
            <v>the-of</v>
          </cell>
          <cell r="I1658" t="str">
            <v>sim</v>
          </cell>
          <cell r="V1658" t="str">
            <v>not neg pair</v>
          </cell>
          <cell r="Y1658" t="str">
            <v>Past</v>
          </cell>
          <cell r="Z1658">
            <v>4.8600000000000003</v>
          </cell>
          <cell r="AA1658">
            <v>0</v>
          </cell>
          <cell r="AB1658">
            <v>0</v>
          </cell>
        </row>
        <row r="1659">
          <cell r="G1659" t="str">
            <v>X99_1</v>
          </cell>
          <cell r="H1659" t="str">
            <v>the-of</v>
          </cell>
          <cell r="I1659" t="str">
            <v>sim</v>
          </cell>
          <cell r="V1659" t="str">
            <v>not neg pair</v>
          </cell>
          <cell r="Y1659" t="str">
            <v>Past</v>
          </cell>
          <cell r="Z1659">
            <v>1.74</v>
          </cell>
          <cell r="AA1659" t="str">
            <v>L</v>
          </cell>
          <cell r="AB1659">
            <v>0</v>
          </cell>
        </row>
        <row r="1660">
          <cell r="G1660" t="str">
            <v>X100_0</v>
          </cell>
          <cell r="H1660" t="str">
            <v>the-of</v>
          </cell>
          <cell r="I1660" t="str">
            <v>sim</v>
          </cell>
          <cell r="V1660" t="str">
            <v>not neg pair</v>
          </cell>
          <cell r="Y1660" t="str">
            <v>Past</v>
          </cell>
          <cell r="Z1660">
            <v>3.36</v>
          </cell>
          <cell r="AA1660">
            <v>0</v>
          </cell>
          <cell r="AB1660">
            <v>0</v>
          </cell>
        </row>
        <row r="1661">
          <cell r="G1661" t="str">
            <v>X100_1</v>
          </cell>
          <cell r="H1661" t="str">
            <v>the-of</v>
          </cell>
          <cell r="I1661" t="str">
            <v>sim</v>
          </cell>
          <cell r="V1661" t="str">
            <v>not neg pair</v>
          </cell>
          <cell r="Y1661" t="str">
            <v>Pres</v>
          </cell>
          <cell r="Z1661">
            <v>3.36</v>
          </cell>
          <cell r="AA1661">
            <v>0</v>
          </cell>
          <cell r="AB1661">
            <v>0</v>
          </cell>
        </row>
        <row r="1662">
          <cell r="G1662" t="str">
            <v>X101_0</v>
          </cell>
          <cell r="H1662" t="str">
            <v>as-as</v>
          </cell>
          <cell r="I1662" t="str">
            <v>sim</v>
          </cell>
          <cell r="V1662" t="str">
            <v>not</v>
          </cell>
          <cell r="Y1662" t="str">
            <v>Past</v>
          </cell>
          <cell r="Z1662">
            <v>4.21</v>
          </cell>
          <cell r="AA1662">
            <v>0</v>
          </cell>
          <cell r="AB1662">
            <v>0</v>
          </cell>
        </row>
        <row r="1663">
          <cell r="G1663" t="str">
            <v>X101_1</v>
          </cell>
          <cell r="H1663" t="str">
            <v>as-as</v>
          </cell>
          <cell r="I1663" t="str">
            <v>sim</v>
          </cell>
          <cell r="V1663" t="str">
            <v>not</v>
          </cell>
          <cell r="Y1663" t="str">
            <v>Past</v>
          </cell>
          <cell r="Z1663">
            <v>4.21</v>
          </cell>
          <cell r="AA1663">
            <v>0</v>
          </cell>
          <cell r="AB1663">
            <v>0</v>
          </cell>
        </row>
        <row r="1664">
          <cell r="G1664" t="str">
            <v>X102_0</v>
          </cell>
          <cell r="H1664" t="str">
            <v>as-as</v>
          </cell>
          <cell r="I1664" t="str">
            <v>sim</v>
          </cell>
          <cell r="V1664" t="str">
            <v>antonym</v>
          </cell>
          <cell r="Y1664" t="str">
            <v>Past</v>
          </cell>
          <cell r="Z1664">
            <v>3.93</v>
          </cell>
          <cell r="AA1664">
            <v>0</v>
          </cell>
          <cell r="AB1664">
            <v>0</v>
          </cell>
        </row>
        <row r="1665">
          <cell r="G1665" t="str">
            <v>X102_1</v>
          </cell>
          <cell r="H1665" t="str">
            <v>as-as</v>
          </cell>
          <cell r="I1665" t="str">
            <v>sim</v>
          </cell>
          <cell r="V1665" t="str">
            <v>antonym</v>
          </cell>
          <cell r="Y1665" t="str">
            <v>Past</v>
          </cell>
          <cell r="Z1665">
            <v>3.93</v>
          </cell>
          <cell r="AA1665">
            <v>0</v>
          </cell>
          <cell r="AB1665">
            <v>0</v>
          </cell>
        </row>
        <row r="1666">
          <cell r="G1666" t="str">
            <v>X103_0</v>
          </cell>
          <cell r="H1666" t="str">
            <v>the-of</v>
          </cell>
          <cell r="I1666" t="str">
            <v>sim</v>
          </cell>
          <cell r="V1666" t="str">
            <v>not</v>
          </cell>
          <cell r="Y1666" t="str">
            <v>Pres</v>
          </cell>
          <cell r="Z1666">
            <v>3.68</v>
          </cell>
          <cell r="AA1666">
            <v>0</v>
          </cell>
          <cell r="AB1666">
            <v>0</v>
          </cell>
        </row>
        <row r="1667">
          <cell r="G1667" t="str">
            <v>X103_1</v>
          </cell>
          <cell r="H1667" t="str">
            <v>the-of</v>
          </cell>
          <cell r="I1667" t="str">
            <v>sim</v>
          </cell>
          <cell r="V1667" t="str">
            <v>not</v>
          </cell>
          <cell r="Y1667" t="str">
            <v>Pres</v>
          </cell>
          <cell r="Z1667">
            <v>3.68</v>
          </cell>
          <cell r="AA1667">
            <v>0</v>
          </cell>
          <cell r="AB1667">
            <v>0</v>
          </cell>
        </row>
        <row r="1668">
          <cell r="G1668" t="str">
            <v>X104_0</v>
          </cell>
          <cell r="H1668" t="str">
            <v/>
          </cell>
          <cell r="I1668" t="str">
            <v>met</v>
          </cell>
          <cell r="V1668" t="str">
            <v>0</v>
          </cell>
          <cell r="Y1668" t="str">
            <v>Pres</v>
          </cell>
          <cell r="Z1668">
            <v>4.7</v>
          </cell>
          <cell r="AA1668">
            <v>0</v>
          </cell>
          <cell r="AB1668">
            <v>0</v>
          </cell>
        </row>
        <row r="1669">
          <cell r="G1669" t="str">
            <v>X104_1</v>
          </cell>
          <cell r="H1669" t="str">
            <v/>
          </cell>
          <cell r="I1669" t="str">
            <v>met</v>
          </cell>
          <cell r="V1669" t="str">
            <v>0</v>
          </cell>
          <cell r="Y1669" t="str">
            <v>Pres</v>
          </cell>
          <cell r="Z1669">
            <v>4.7</v>
          </cell>
          <cell r="AA1669">
            <v>0</v>
          </cell>
          <cell r="AB1669">
            <v>0</v>
          </cell>
        </row>
        <row r="1670">
          <cell r="G1670" t="str">
            <v>X105_0</v>
          </cell>
          <cell r="H1670" t="str">
            <v>the-of</v>
          </cell>
          <cell r="I1670" t="str">
            <v>sim</v>
          </cell>
          <cell r="V1670" t="str">
            <v>not</v>
          </cell>
          <cell r="Y1670" t="str">
            <v>Pres</v>
          </cell>
          <cell r="Z1670">
            <v>4.7</v>
          </cell>
          <cell r="AA1670">
            <v>0</v>
          </cell>
          <cell r="AB1670">
            <v>0</v>
          </cell>
        </row>
        <row r="1671">
          <cell r="G1671" t="str">
            <v>X105_1</v>
          </cell>
          <cell r="H1671" t="str">
            <v>the-of</v>
          </cell>
          <cell r="I1671" t="str">
            <v>sim</v>
          </cell>
          <cell r="V1671" t="str">
            <v>not</v>
          </cell>
          <cell r="Y1671" t="str">
            <v>Pres</v>
          </cell>
          <cell r="Z1671">
            <v>4.7</v>
          </cell>
          <cell r="AA1671">
            <v>0</v>
          </cell>
          <cell r="AB1671">
            <v>0</v>
          </cell>
        </row>
        <row r="1672">
          <cell r="G1672" t="str">
            <v>X106_0</v>
          </cell>
          <cell r="H1672" t="str">
            <v>the-of</v>
          </cell>
          <cell r="I1672" t="str">
            <v>sim</v>
          </cell>
          <cell r="V1672" t="str">
            <v>0</v>
          </cell>
          <cell r="Y1672" t="str">
            <v>Pres</v>
          </cell>
          <cell r="Z1672">
            <v>1.75</v>
          </cell>
          <cell r="AA1672" t="str">
            <v>L</v>
          </cell>
          <cell r="AB1672">
            <v>0</v>
          </cell>
        </row>
        <row r="1673">
          <cell r="G1673" t="str">
            <v>X106_1</v>
          </cell>
          <cell r="H1673" t="str">
            <v/>
          </cell>
          <cell r="I1673" t="str">
            <v>met</v>
          </cell>
          <cell r="V1673" t="str">
            <v>0</v>
          </cell>
          <cell r="Y1673" t="str">
            <v>Pres</v>
          </cell>
          <cell r="Z1673">
            <v>1.75</v>
          </cell>
          <cell r="AA1673" t="str">
            <v>L</v>
          </cell>
          <cell r="AB1673">
            <v>0</v>
          </cell>
        </row>
        <row r="1674">
          <cell r="G1674" t="str">
            <v>X107_0</v>
          </cell>
          <cell r="H1674" t="str">
            <v/>
          </cell>
          <cell r="I1674" t="str">
            <v>met</v>
          </cell>
          <cell r="V1674" t="str">
            <v>0</v>
          </cell>
          <cell r="Y1674" t="str">
            <v>Pres</v>
          </cell>
          <cell r="Z1674">
            <v>2.41</v>
          </cell>
          <cell r="AA1674" t="str">
            <v>L</v>
          </cell>
          <cell r="AB1674">
            <v>0</v>
          </cell>
        </row>
        <row r="1675">
          <cell r="G1675" t="str">
            <v>X107_1</v>
          </cell>
          <cell r="H1675" t="str">
            <v>as</v>
          </cell>
          <cell r="I1675" t="str">
            <v>sim</v>
          </cell>
          <cell r="V1675" t="str">
            <v>0</v>
          </cell>
          <cell r="Y1675" t="str">
            <v>Pres</v>
          </cell>
          <cell r="Z1675">
            <v>2.41</v>
          </cell>
          <cell r="AA1675" t="str">
            <v>L</v>
          </cell>
          <cell r="AB1675">
            <v>0</v>
          </cell>
        </row>
        <row r="1676">
          <cell r="G1676" t="str">
            <v>X108_0</v>
          </cell>
          <cell r="H1676" t="str">
            <v/>
          </cell>
          <cell r="I1676" t="str">
            <v>met</v>
          </cell>
          <cell r="V1676" t="str">
            <v>0</v>
          </cell>
          <cell r="Y1676" t="str">
            <v>Pres</v>
          </cell>
          <cell r="Z1676">
            <v>3.45</v>
          </cell>
          <cell r="AA1676">
            <v>0</v>
          </cell>
          <cell r="AB1676">
            <v>0</v>
          </cell>
        </row>
        <row r="1677">
          <cell r="G1677" t="str">
            <v>X108_1</v>
          </cell>
          <cell r="H1677" t="str">
            <v/>
          </cell>
          <cell r="I1677" t="str">
            <v>met</v>
          </cell>
          <cell r="V1677" t="str">
            <v>0</v>
          </cell>
          <cell r="Y1677" t="str">
            <v>Pres</v>
          </cell>
          <cell r="Z1677">
            <v>3.45</v>
          </cell>
          <cell r="AA1677">
            <v>0</v>
          </cell>
          <cell r="AB1677">
            <v>0</v>
          </cell>
        </row>
        <row r="1678">
          <cell r="G1678" t="str">
            <v>X109_0</v>
          </cell>
          <cell r="H1678" t="str">
            <v>as-as</v>
          </cell>
          <cell r="I1678" t="str">
            <v>sim</v>
          </cell>
          <cell r="V1678" t="str">
            <v>not</v>
          </cell>
          <cell r="Y1678" t="str">
            <v>Pres</v>
          </cell>
          <cell r="Z1678">
            <v>4.59</v>
          </cell>
          <cell r="AA1678">
            <v>0</v>
          </cell>
          <cell r="AB1678">
            <v>0</v>
          </cell>
        </row>
        <row r="1679">
          <cell r="G1679" t="str">
            <v>X109_1</v>
          </cell>
          <cell r="H1679" t="str">
            <v>as-as</v>
          </cell>
          <cell r="I1679" t="str">
            <v>sim</v>
          </cell>
          <cell r="V1679" t="str">
            <v>not</v>
          </cell>
          <cell r="Y1679" t="str">
            <v>Pres</v>
          </cell>
          <cell r="Z1679">
            <v>4.59</v>
          </cell>
          <cell r="AA1679">
            <v>0</v>
          </cell>
          <cell r="AB1679">
            <v>0</v>
          </cell>
        </row>
        <row r="1680">
          <cell r="G1680" t="str">
            <v>X110_0</v>
          </cell>
          <cell r="H1680" t="str">
            <v>as-as</v>
          </cell>
          <cell r="I1680" t="str">
            <v>sim</v>
          </cell>
          <cell r="V1680" t="str">
            <v>not neg pair</v>
          </cell>
          <cell r="Y1680" t="str">
            <v>Pres</v>
          </cell>
          <cell r="Z1680">
            <v>5</v>
          </cell>
          <cell r="AA1680" t="str">
            <v>H</v>
          </cell>
          <cell r="AB1680">
            <v>0</v>
          </cell>
        </row>
        <row r="1681">
          <cell r="G1681" t="str">
            <v>X110_1</v>
          </cell>
          <cell r="H1681" t="str">
            <v>as-as</v>
          </cell>
          <cell r="I1681" t="str">
            <v>sim</v>
          </cell>
          <cell r="V1681" t="str">
            <v>not neg pair</v>
          </cell>
          <cell r="Y1681" t="str">
            <v>Pres</v>
          </cell>
          <cell r="Z1681">
            <v>5</v>
          </cell>
          <cell r="AA1681" t="str">
            <v>H</v>
          </cell>
          <cell r="AB1681">
            <v>0</v>
          </cell>
        </row>
        <row r="1682">
          <cell r="G1682" t="str">
            <v>X111_0</v>
          </cell>
          <cell r="H1682" t="str">
            <v>as-as</v>
          </cell>
          <cell r="I1682" t="str">
            <v>sim</v>
          </cell>
          <cell r="V1682" t="str">
            <v>not neg pair</v>
          </cell>
          <cell r="Y1682" t="str">
            <v>Past</v>
          </cell>
          <cell r="Z1682">
            <v>4.8899999999999997</v>
          </cell>
          <cell r="AA1682">
            <v>0</v>
          </cell>
          <cell r="AB1682">
            <v>0</v>
          </cell>
        </row>
        <row r="1683">
          <cell r="G1683" t="str">
            <v>X111_1</v>
          </cell>
          <cell r="H1683" t="str">
            <v>as-as</v>
          </cell>
          <cell r="I1683" t="str">
            <v>sim</v>
          </cell>
          <cell r="V1683" t="str">
            <v>not neg pair</v>
          </cell>
          <cell r="Y1683" t="str">
            <v>Past</v>
          </cell>
          <cell r="Z1683">
            <v>4.8899999999999997</v>
          </cell>
          <cell r="AA1683">
            <v>0</v>
          </cell>
          <cell r="AB1683">
            <v>0</v>
          </cell>
        </row>
        <row r="1684">
          <cell r="G1684" t="str">
            <v>X112_0</v>
          </cell>
          <cell r="H1684" t="str">
            <v/>
          </cell>
          <cell r="I1684" t="str">
            <v>met</v>
          </cell>
          <cell r="V1684" t="str">
            <v>0</v>
          </cell>
          <cell r="Y1684" t="str">
            <v>Pres</v>
          </cell>
          <cell r="Z1684">
            <v>2.2599999999999998</v>
          </cell>
          <cell r="AA1684" t="str">
            <v>L</v>
          </cell>
          <cell r="AB1684">
            <v>0</v>
          </cell>
        </row>
        <row r="1685">
          <cell r="G1685" t="str">
            <v>X112_1</v>
          </cell>
          <cell r="H1685" t="str">
            <v/>
          </cell>
          <cell r="I1685" t="str">
            <v>met</v>
          </cell>
          <cell r="V1685" t="str">
            <v>0</v>
          </cell>
          <cell r="Y1685" t="str">
            <v>Pres</v>
          </cell>
          <cell r="Z1685">
            <v>2.2599999999999998</v>
          </cell>
          <cell r="AA1685" t="str">
            <v>L</v>
          </cell>
          <cell r="AB1685">
            <v>0</v>
          </cell>
        </row>
        <row r="1686">
          <cell r="G1686" t="str">
            <v>X113_0</v>
          </cell>
          <cell r="H1686" t="str">
            <v>the-of</v>
          </cell>
          <cell r="I1686" t="str">
            <v>sim</v>
          </cell>
          <cell r="V1686" t="str">
            <v>not</v>
          </cell>
          <cell r="Y1686" t="str">
            <v>Pres</v>
          </cell>
          <cell r="Z1686">
            <v>3.45</v>
          </cell>
          <cell r="AA1686">
            <v>0</v>
          </cell>
          <cell r="AB1686">
            <v>0</v>
          </cell>
        </row>
        <row r="1687">
          <cell r="G1687" t="str">
            <v>X113_1</v>
          </cell>
          <cell r="H1687" t="str">
            <v>the-of</v>
          </cell>
          <cell r="I1687" t="str">
            <v>sim</v>
          </cell>
          <cell r="V1687" t="str">
            <v>not</v>
          </cell>
          <cell r="Y1687" t="str">
            <v>Pres</v>
          </cell>
          <cell r="Z1687">
            <v>3.45</v>
          </cell>
          <cell r="AA1687">
            <v>0</v>
          </cell>
          <cell r="AB1687">
            <v>0</v>
          </cell>
        </row>
        <row r="1688">
          <cell r="G1688" t="str">
            <v>X114_0</v>
          </cell>
          <cell r="H1688" t="str">
            <v>as-as</v>
          </cell>
          <cell r="I1688" t="str">
            <v>sim</v>
          </cell>
          <cell r="V1688" t="str">
            <v>antonym</v>
          </cell>
          <cell r="Y1688" t="str">
            <v>Past</v>
          </cell>
          <cell r="Z1688">
            <v>4.2699999999999996</v>
          </cell>
          <cell r="AA1688">
            <v>0</v>
          </cell>
          <cell r="AB1688">
            <v>0</v>
          </cell>
        </row>
        <row r="1689">
          <cell r="G1689" t="str">
            <v>X114_1</v>
          </cell>
          <cell r="H1689" t="str">
            <v>as-as</v>
          </cell>
          <cell r="I1689" t="str">
            <v>sim</v>
          </cell>
          <cell r="V1689" t="str">
            <v>antonym</v>
          </cell>
          <cell r="Y1689" t="str">
            <v>Past</v>
          </cell>
          <cell r="Z1689">
            <v>2.81</v>
          </cell>
          <cell r="AA1689">
            <v>0</v>
          </cell>
          <cell r="AB1689">
            <v>0</v>
          </cell>
        </row>
        <row r="1690">
          <cell r="G1690" t="str">
            <v>X115_0</v>
          </cell>
          <cell r="H1690" t="str">
            <v/>
          </cell>
          <cell r="I1690" t="str">
            <v>met</v>
          </cell>
          <cell r="V1690" t="str">
            <v>0</v>
          </cell>
          <cell r="Y1690" t="str">
            <v>Pres</v>
          </cell>
          <cell r="Z1690">
            <v>4.6399999999999997</v>
          </cell>
          <cell r="AA1690">
            <v>0</v>
          </cell>
          <cell r="AB1690">
            <v>0</v>
          </cell>
        </row>
        <row r="1691">
          <cell r="G1691" t="str">
            <v>X115_1</v>
          </cell>
          <cell r="H1691" t="str">
            <v/>
          </cell>
          <cell r="I1691" t="str">
            <v>met</v>
          </cell>
          <cell r="V1691" t="str">
            <v>0</v>
          </cell>
          <cell r="Y1691" t="str">
            <v>Pres</v>
          </cell>
          <cell r="Z1691">
            <v>4.6399999999999997</v>
          </cell>
          <cell r="AA1691">
            <v>0</v>
          </cell>
          <cell r="AB1691">
            <v>0</v>
          </cell>
        </row>
        <row r="1692">
          <cell r="G1692" t="str">
            <v>X116_0</v>
          </cell>
          <cell r="H1692" t="str">
            <v>like</v>
          </cell>
          <cell r="I1692" t="str">
            <v>sim</v>
          </cell>
          <cell r="V1692" t="str">
            <v>not neg pair</v>
          </cell>
          <cell r="Y1692" t="str">
            <v>Pres</v>
          </cell>
          <cell r="Z1692">
            <v>5</v>
          </cell>
          <cell r="AA1692" t="str">
            <v>H</v>
          </cell>
          <cell r="AB1692">
            <v>0</v>
          </cell>
        </row>
        <row r="1693">
          <cell r="G1693" t="str">
            <v>X116_1</v>
          </cell>
          <cell r="H1693" t="str">
            <v>like</v>
          </cell>
          <cell r="I1693" t="str">
            <v>sim</v>
          </cell>
          <cell r="V1693" t="str">
            <v>not neg pair</v>
          </cell>
          <cell r="Y1693" t="str">
            <v>Pres</v>
          </cell>
          <cell r="Z1693">
            <v>5</v>
          </cell>
          <cell r="AA1693" t="str">
            <v>H</v>
          </cell>
          <cell r="AB1693">
            <v>0</v>
          </cell>
        </row>
        <row r="1694">
          <cell r="G1694" t="str">
            <v>X117_0</v>
          </cell>
          <cell r="H1694" t="str">
            <v>the-of</v>
          </cell>
          <cell r="I1694" t="str">
            <v>sim</v>
          </cell>
          <cell r="V1694" t="str">
            <v>not neg pair</v>
          </cell>
          <cell r="Y1694" t="str">
            <v>Pres</v>
          </cell>
          <cell r="Z1694">
            <v>4.8899999999999997</v>
          </cell>
          <cell r="AA1694">
            <v>0</v>
          </cell>
          <cell r="AB1694">
            <v>0</v>
          </cell>
        </row>
        <row r="1695">
          <cell r="G1695" t="str">
            <v>X117_1</v>
          </cell>
          <cell r="H1695" t="str">
            <v>the-of</v>
          </cell>
          <cell r="I1695" t="str">
            <v>sim</v>
          </cell>
          <cell r="V1695" t="str">
            <v>not neg pair</v>
          </cell>
          <cell r="Y1695" t="str">
            <v>Pres</v>
          </cell>
          <cell r="Z1695">
            <v>4.8899999999999997</v>
          </cell>
          <cell r="AA1695">
            <v>0</v>
          </cell>
          <cell r="AB1695">
            <v>0</v>
          </cell>
        </row>
        <row r="1696">
          <cell r="G1696" t="str">
            <v>X118_0</v>
          </cell>
          <cell r="H1696" t="str">
            <v>as-as</v>
          </cell>
          <cell r="I1696" t="str">
            <v>sim</v>
          </cell>
          <cell r="V1696" t="str">
            <v>antonym</v>
          </cell>
          <cell r="Y1696" t="str">
            <v>Pres</v>
          </cell>
          <cell r="Z1696">
            <v>3.93</v>
          </cell>
          <cell r="AA1696">
            <v>0</v>
          </cell>
          <cell r="AB1696">
            <v>0</v>
          </cell>
        </row>
        <row r="1697">
          <cell r="G1697" t="str">
            <v>X118_1</v>
          </cell>
          <cell r="H1697" t="str">
            <v>as-as</v>
          </cell>
          <cell r="I1697" t="str">
            <v>sim</v>
          </cell>
          <cell r="V1697" t="str">
            <v>antonym</v>
          </cell>
          <cell r="Y1697" t="str">
            <v>Pres</v>
          </cell>
          <cell r="Z1697">
            <v>3.93</v>
          </cell>
          <cell r="AA1697">
            <v>0</v>
          </cell>
          <cell r="AB1697">
            <v>0</v>
          </cell>
        </row>
        <row r="1698">
          <cell r="G1698" t="str">
            <v>X119_0</v>
          </cell>
          <cell r="H1698" t="str">
            <v>as-as</v>
          </cell>
          <cell r="I1698" t="str">
            <v>sim</v>
          </cell>
          <cell r="V1698" t="str">
            <v>not</v>
          </cell>
          <cell r="Y1698" t="str">
            <v>Pres</v>
          </cell>
          <cell r="Z1698">
            <v>3.45</v>
          </cell>
          <cell r="AA1698">
            <v>0</v>
          </cell>
          <cell r="AB1698">
            <v>0</v>
          </cell>
        </row>
        <row r="1699">
          <cell r="G1699" t="str">
            <v>X119_1</v>
          </cell>
          <cell r="H1699" t="str">
            <v>as-as</v>
          </cell>
          <cell r="I1699" t="str">
            <v>sim</v>
          </cell>
          <cell r="V1699" t="str">
            <v>not</v>
          </cell>
          <cell r="Y1699" t="str">
            <v>Pres</v>
          </cell>
          <cell r="Z1699">
            <v>3.45</v>
          </cell>
          <cell r="AA1699">
            <v>0</v>
          </cell>
          <cell r="AB1699">
            <v>0</v>
          </cell>
        </row>
        <row r="1700">
          <cell r="G1700" t="str">
            <v>X120_0</v>
          </cell>
          <cell r="H1700" t="str">
            <v>as-as</v>
          </cell>
          <cell r="I1700" t="str">
            <v>sim</v>
          </cell>
          <cell r="V1700" t="str">
            <v>antonym</v>
          </cell>
          <cell r="Y1700" t="str">
            <v>Pres</v>
          </cell>
          <cell r="Z1700">
            <v>4.17</v>
          </cell>
          <cell r="AA1700">
            <v>0</v>
          </cell>
          <cell r="AB1700">
            <v>0</v>
          </cell>
        </row>
        <row r="1701">
          <cell r="G1701" t="str">
            <v>X120_1</v>
          </cell>
          <cell r="H1701" t="str">
            <v>as-as</v>
          </cell>
          <cell r="I1701" t="str">
            <v>sim</v>
          </cell>
          <cell r="V1701" t="str">
            <v>antonym</v>
          </cell>
          <cell r="Y1701" t="str">
            <v>Pres</v>
          </cell>
          <cell r="Z1701">
            <v>4.17</v>
          </cell>
          <cell r="AA1701">
            <v>0</v>
          </cell>
          <cell r="AB1701">
            <v>0</v>
          </cell>
        </row>
        <row r="1702">
          <cell r="G1702" t="str">
            <v>X121_0</v>
          </cell>
          <cell r="H1702" t="str">
            <v>as-as</v>
          </cell>
          <cell r="I1702" t="str">
            <v>sim</v>
          </cell>
          <cell r="V1702" t="str">
            <v>not neg pair</v>
          </cell>
          <cell r="Y1702" t="str">
            <v>Past</v>
          </cell>
          <cell r="Z1702">
            <v>3.36</v>
          </cell>
          <cell r="AA1702">
            <v>0</v>
          </cell>
          <cell r="AB1702">
            <v>0</v>
          </cell>
        </row>
        <row r="1703">
          <cell r="G1703" t="str">
            <v>X121_1</v>
          </cell>
          <cell r="H1703" t="str">
            <v>as-as</v>
          </cell>
          <cell r="I1703" t="str">
            <v>sim</v>
          </cell>
          <cell r="V1703" t="str">
            <v>not neg pair</v>
          </cell>
          <cell r="Y1703" t="str">
            <v>Past</v>
          </cell>
          <cell r="Z1703">
            <v>3.36</v>
          </cell>
          <cell r="AA1703">
            <v>0</v>
          </cell>
          <cell r="AB1703">
            <v>0</v>
          </cell>
        </row>
        <row r="1704">
          <cell r="G1704" t="str">
            <v>X122_0</v>
          </cell>
          <cell r="H1704" t="str">
            <v>the-of</v>
          </cell>
          <cell r="I1704" t="str">
            <v>sim</v>
          </cell>
          <cell r="V1704" t="str">
            <v>not neg pair</v>
          </cell>
          <cell r="Y1704" t="str">
            <v>Past</v>
          </cell>
          <cell r="Z1704">
            <v>4.3600000000000003</v>
          </cell>
          <cell r="AA1704">
            <v>0</v>
          </cell>
          <cell r="AB1704">
            <v>0</v>
          </cell>
        </row>
        <row r="1705">
          <cell r="G1705" t="str">
            <v>X122_1</v>
          </cell>
          <cell r="H1705" t="str">
            <v>the-of</v>
          </cell>
          <cell r="I1705" t="str">
            <v>sim</v>
          </cell>
          <cell r="V1705" t="str">
            <v>not neg pair</v>
          </cell>
          <cell r="Y1705" t="str">
            <v>Past</v>
          </cell>
          <cell r="Z1705">
            <v>4.3600000000000003</v>
          </cell>
          <cell r="AA1705">
            <v>0</v>
          </cell>
          <cell r="AB1705">
            <v>0</v>
          </cell>
        </row>
        <row r="1706">
          <cell r="G1706" t="str">
            <v>X123_0</v>
          </cell>
          <cell r="H1706" t="str">
            <v>the-of</v>
          </cell>
          <cell r="I1706" t="str">
            <v>sim</v>
          </cell>
          <cell r="V1706" t="str">
            <v>not neg pair</v>
          </cell>
          <cell r="Y1706" t="str">
            <v>Past</v>
          </cell>
          <cell r="Z1706">
            <v>5</v>
          </cell>
          <cell r="AA1706" t="str">
            <v>H</v>
          </cell>
          <cell r="AB1706">
            <v>0</v>
          </cell>
        </row>
        <row r="1707">
          <cell r="G1707" t="str">
            <v>X123_1</v>
          </cell>
          <cell r="H1707" t="str">
            <v>the-of</v>
          </cell>
          <cell r="I1707" t="str">
            <v>sim</v>
          </cell>
          <cell r="V1707" t="str">
            <v>not neg pair</v>
          </cell>
          <cell r="Y1707" t="str">
            <v>Past</v>
          </cell>
          <cell r="Z1707">
            <v>5</v>
          </cell>
          <cell r="AA1707" t="str">
            <v>H</v>
          </cell>
          <cell r="AB1707">
            <v>0</v>
          </cell>
        </row>
        <row r="1708">
          <cell r="G1708" t="str">
            <v>X124_0</v>
          </cell>
          <cell r="H1708" t="str">
            <v/>
          </cell>
          <cell r="I1708" t="str">
            <v>met</v>
          </cell>
          <cell r="V1708" t="str">
            <v>0</v>
          </cell>
          <cell r="Y1708" t="str">
            <v>Pres</v>
          </cell>
          <cell r="Z1708">
            <v>4.17</v>
          </cell>
          <cell r="AA1708">
            <v>0</v>
          </cell>
          <cell r="AB1708">
            <v>0</v>
          </cell>
        </row>
        <row r="1709">
          <cell r="G1709" t="str">
            <v>X124_1</v>
          </cell>
          <cell r="H1709" t="str">
            <v/>
          </cell>
          <cell r="I1709" t="str">
            <v>met</v>
          </cell>
          <cell r="V1709" t="str">
            <v>0</v>
          </cell>
          <cell r="Y1709" t="str">
            <v>Pres</v>
          </cell>
          <cell r="Z1709">
            <v>4.17</v>
          </cell>
          <cell r="AA1709">
            <v>0</v>
          </cell>
          <cell r="AB1709">
            <v>0</v>
          </cell>
        </row>
        <row r="1710">
          <cell r="G1710" t="str">
            <v>X125_0</v>
          </cell>
          <cell r="H1710" t="str">
            <v/>
          </cell>
          <cell r="I1710" t="str">
            <v>met</v>
          </cell>
          <cell r="V1710" t="str">
            <v>0</v>
          </cell>
          <cell r="Y1710" t="str">
            <v>Pres</v>
          </cell>
          <cell r="Z1710">
            <v>3.45</v>
          </cell>
          <cell r="AA1710">
            <v>0</v>
          </cell>
          <cell r="AB1710">
            <v>0</v>
          </cell>
        </row>
        <row r="1711">
          <cell r="G1711" t="str">
            <v>X125_1</v>
          </cell>
          <cell r="H1711" t="str">
            <v/>
          </cell>
          <cell r="I1711" t="str">
            <v>met</v>
          </cell>
          <cell r="V1711" t="str">
            <v>0</v>
          </cell>
          <cell r="Y1711" t="str">
            <v>Pres</v>
          </cell>
          <cell r="Z1711">
            <v>3.45</v>
          </cell>
          <cell r="AA1711">
            <v>0</v>
          </cell>
          <cell r="AB1711">
            <v>0</v>
          </cell>
        </row>
        <row r="1712">
          <cell r="G1712" t="str">
            <v>X126_0</v>
          </cell>
          <cell r="H1712" t="str">
            <v/>
          </cell>
          <cell r="I1712" t="str">
            <v>met</v>
          </cell>
          <cell r="V1712" t="str">
            <v>0</v>
          </cell>
          <cell r="Y1712" t="str">
            <v>Pres</v>
          </cell>
          <cell r="Z1712">
            <v>2.96</v>
          </cell>
          <cell r="AA1712">
            <v>0</v>
          </cell>
          <cell r="AB1712">
            <v>0</v>
          </cell>
        </row>
        <row r="1713">
          <cell r="G1713" t="str">
            <v>X126_1</v>
          </cell>
          <cell r="H1713" t="str">
            <v/>
          </cell>
          <cell r="I1713" t="str">
            <v>met</v>
          </cell>
          <cell r="V1713" t="str">
            <v>0</v>
          </cell>
          <cell r="Y1713" t="str">
            <v>Pres</v>
          </cell>
          <cell r="Z1713">
            <v>2.96</v>
          </cell>
          <cell r="AA1713">
            <v>0</v>
          </cell>
          <cell r="AB1713">
            <v>0</v>
          </cell>
        </row>
        <row r="1714">
          <cell r="G1714" t="str">
            <v>X127_0</v>
          </cell>
          <cell r="H1714" t="str">
            <v>as-as</v>
          </cell>
          <cell r="I1714" t="str">
            <v>sim</v>
          </cell>
          <cell r="V1714" t="str">
            <v>not neg pair</v>
          </cell>
          <cell r="Y1714" t="str">
            <v>Past</v>
          </cell>
          <cell r="Z1714">
            <v>4.76</v>
          </cell>
          <cell r="AA1714">
            <v>0</v>
          </cell>
          <cell r="AB1714">
            <v>0</v>
          </cell>
        </row>
        <row r="1715">
          <cell r="G1715" t="str">
            <v>X127_1</v>
          </cell>
          <cell r="H1715" t="str">
            <v>as-as</v>
          </cell>
          <cell r="I1715" t="str">
            <v>sim</v>
          </cell>
          <cell r="V1715" t="str">
            <v>not neg pair</v>
          </cell>
          <cell r="Y1715" t="str">
            <v>Past</v>
          </cell>
          <cell r="Z1715">
            <v>4.76</v>
          </cell>
          <cell r="AA1715">
            <v>0</v>
          </cell>
          <cell r="AB1715">
            <v>0</v>
          </cell>
        </row>
        <row r="1716">
          <cell r="G1716" t="str">
            <v>X128_0</v>
          </cell>
          <cell r="H1716" t="str">
            <v>like</v>
          </cell>
          <cell r="I1716" t="str">
            <v>sim</v>
          </cell>
          <cell r="V1716" t="str">
            <v>not</v>
          </cell>
          <cell r="Y1716" t="str">
            <v>Past</v>
          </cell>
          <cell r="Z1716">
            <v>3.93</v>
          </cell>
          <cell r="AA1716">
            <v>0</v>
          </cell>
          <cell r="AB1716">
            <v>0</v>
          </cell>
        </row>
        <row r="1717">
          <cell r="G1717" t="str">
            <v>X128_1</v>
          </cell>
          <cell r="H1717" t="str">
            <v>like</v>
          </cell>
          <cell r="I1717" t="str">
            <v>sim</v>
          </cell>
          <cell r="V1717" t="str">
            <v>not</v>
          </cell>
          <cell r="Y1717" t="str">
            <v>Pres</v>
          </cell>
          <cell r="Z1717">
            <v>3.93</v>
          </cell>
          <cell r="AA1717">
            <v>0</v>
          </cell>
          <cell r="AB1717">
            <v>0</v>
          </cell>
        </row>
        <row r="1718">
          <cell r="G1718" t="str">
            <v>X129_0</v>
          </cell>
          <cell r="H1718" t="str">
            <v>as-as</v>
          </cell>
          <cell r="I1718" t="str">
            <v>sim</v>
          </cell>
          <cell r="V1718" t="str">
            <v>not neg pair</v>
          </cell>
          <cell r="Y1718" t="str">
            <v>Past</v>
          </cell>
          <cell r="Z1718">
            <v>0</v>
          </cell>
          <cell r="AA1718">
            <v>0</v>
          </cell>
          <cell r="AB1718">
            <v>0</v>
          </cell>
        </row>
        <row r="1719">
          <cell r="G1719" t="str">
            <v>X129_1</v>
          </cell>
          <cell r="H1719" t="str">
            <v>as-as</v>
          </cell>
          <cell r="I1719" t="str">
            <v>sim</v>
          </cell>
          <cell r="V1719" t="str">
            <v>not neg pair</v>
          </cell>
          <cell r="Y1719" t="str">
            <v>Past</v>
          </cell>
          <cell r="Z1719">
            <v>0</v>
          </cell>
          <cell r="AA1719">
            <v>0</v>
          </cell>
          <cell r="AB1719">
            <v>0</v>
          </cell>
        </row>
        <row r="1720">
          <cell r="G1720" t="str">
            <v>X130_0</v>
          </cell>
          <cell r="H1720" t="str">
            <v/>
          </cell>
          <cell r="I1720" t="str">
            <v>met</v>
          </cell>
          <cell r="V1720" t="str">
            <v>0</v>
          </cell>
          <cell r="Y1720" t="str">
            <v>Past</v>
          </cell>
          <cell r="Z1720">
            <v>4.8899999999999997</v>
          </cell>
          <cell r="AA1720">
            <v>0</v>
          </cell>
          <cell r="AB1720">
            <v>0</v>
          </cell>
        </row>
        <row r="1721">
          <cell r="G1721" t="str">
            <v>X130_1</v>
          </cell>
          <cell r="H1721" t="str">
            <v/>
          </cell>
          <cell r="I1721" t="str">
            <v>met</v>
          </cell>
          <cell r="V1721" t="str">
            <v>0</v>
          </cell>
          <cell r="Y1721" t="str">
            <v>Past</v>
          </cell>
          <cell r="Z1721">
            <v>4.8899999999999997</v>
          </cell>
          <cell r="AA1721">
            <v>0</v>
          </cell>
          <cell r="AB1721">
            <v>0</v>
          </cell>
        </row>
        <row r="1722">
          <cell r="G1722" t="str">
            <v>X131_0</v>
          </cell>
          <cell r="H1722" t="str">
            <v>the-of</v>
          </cell>
          <cell r="I1722" t="str">
            <v>sim</v>
          </cell>
          <cell r="V1722" t="str">
            <v>not</v>
          </cell>
          <cell r="Y1722" t="str">
            <v>Pres</v>
          </cell>
          <cell r="Z1722">
            <v>3.93</v>
          </cell>
          <cell r="AA1722">
            <v>0</v>
          </cell>
          <cell r="AB1722">
            <v>0</v>
          </cell>
        </row>
        <row r="1723">
          <cell r="G1723" t="str">
            <v>X131_1</v>
          </cell>
          <cell r="H1723" t="str">
            <v>the-of</v>
          </cell>
          <cell r="I1723" t="str">
            <v>sim</v>
          </cell>
          <cell r="V1723" t="str">
            <v>not</v>
          </cell>
          <cell r="Y1723" t="str">
            <v>Pres</v>
          </cell>
          <cell r="Z1723">
            <v>3.93</v>
          </cell>
          <cell r="AA1723">
            <v>0</v>
          </cell>
          <cell r="AB1723">
            <v>0</v>
          </cell>
        </row>
        <row r="1724">
          <cell r="G1724" t="str">
            <v>X132_0</v>
          </cell>
          <cell r="H1724" t="str">
            <v/>
          </cell>
          <cell r="I1724" t="str">
            <v>met</v>
          </cell>
          <cell r="V1724" t="str">
            <v>0</v>
          </cell>
          <cell r="Y1724" t="str">
            <v>Pres</v>
          </cell>
          <cell r="Z1724">
            <v>3.07</v>
          </cell>
          <cell r="AA1724">
            <v>0</v>
          </cell>
          <cell r="AB1724">
            <v>0</v>
          </cell>
        </row>
        <row r="1725">
          <cell r="G1725" t="str">
            <v>X132_1</v>
          </cell>
          <cell r="H1725" t="str">
            <v/>
          </cell>
          <cell r="I1725" t="str">
            <v>met</v>
          </cell>
          <cell r="V1725" t="str">
            <v>0</v>
          </cell>
          <cell r="Y1725" t="str">
            <v>Pres</v>
          </cell>
          <cell r="Z1725">
            <v>3.07</v>
          </cell>
          <cell r="AA1725">
            <v>0</v>
          </cell>
          <cell r="AB1725">
            <v>0</v>
          </cell>
        </row>
        <row r="1726">
          <cell r="G1726" t="str">
            <v>X133_0</v>
          </cell>
          <cell r="H1726" t="str">
            <v>as-as</v>
          </cell>
          <cell r="I1726" t="str">
            <v>sim</v>
          </cell>
          <cell r="V1726" t="str">
            <v>not neg pair</v>
          </cell>
          <cell r="Y1726" t="str">
            <v>Past</v>
          </cell>
          <cell r="Z1726">
            <v>4.79</v>
          </cell>
          <cell r="AA1726">
            <v>0</v>
          </cell>
          <cell r="AB1726">
            <v>0</v>
          </cell>
        </row>
        <row r="1727">
          <cell r="G1727" t="str">
            <v>X133_1</v>
          </cell>
          <cell r="H1727" t="str">
            <v>as-as</v>
          </cell>
          <cell r="I1727" t="str">
            <v>sim</v>
          </cell>
          <cell r="V1727" t="str">
            <v>not neg pair</v>
          </cell>
          <cell r="Y1727" t="str">
            <v>Pres</v>
          </cell>
          <cell r="Z1727">
            <v>4.79</v>
          </cell>
          <cell r="AA1727">
            <v>0</v>
          </cell>
          <cell r="AB1727">
            <v>0</v>
          </cell>
        </row>
        <row r="1728">
          <cell r="G1728" t="str">
            <v>X134_0</v>
          </cell>
          <cell r="H1728" t="str">
            <v>as-as</v>
          </cell>
          <cell r="I1728" t="str">
            <v>sim</v>
          </cell>
          <cell r="V1728" t="str">
            <v>antonym</v>
          </cell>
          <cell r="Y1728" t="str">
            <v>Past</v>
          </cell>
          <cell r="Z1728">
            <v>5</v>
          </cell>
          <cell r="AA1728" t="str">
            <v>H</v>
          </cell>
          <cell r="AB1728">
            <v>0</v>
          </cell>
        </row>
        <row r="1729">
          <cell r="G1729" t="str">
            <v>X134_1</v>
          </cell>
          <cell r="H1729" t="str">
            <v>as-as</v>
          </cell>
          <cell r="I1729" t="str">
            <v>sim</v>
          </cell>
          <cell r="V1729" t="str">
            <v>antonym</v>
          </cell>
          <cell r="Y1729" t="str">
            <v>Past</v>
          </cell>
          <cell r="Z1729">
            <v>5</v>
          </cell>
          <cell r="AA1729" t="str">
            <v>H</v>
          </cell>
          <cell r="AB1729">
            <v>0</v>
          </cell>
        </row>
        <row r="1730">
          <cell r="G1730" t="str">
            <v>X135_0</v>
          </cell>
          <cell r="H1730" t="str">
            <v>as-as</v>
          </cell>
          <cell r="I1730" t="str">
            <v>sim</v>
          </cell>
          <cell r="V1730" t="str">
            <v>not neg pair</v>
          </cell>
          <cell r="Y1730" t="str">
            <v>Past</v>
          </cell>
          <cell r="Z1730">
            <v>4.88</v>
          </cell>
          <cell r="AA1730">
            <v>0</v>
          </cell>
          <cell r="AB1730">
            <v>0</v>
          </cell>
        </row>
        <row r="1731">
          <cell r="G1731" t="str">
            <v>X135_1</v>
          </cell>
          <cell r="H1731" t="str">
            <v>as-as</v>
          </cell>
          <cell r="I1731" t="str">
            <v>sim</v>
          </cell>
          <cell r="V1731" t="str">
            <v>not neg pair</v>
          </cell>
          <cell r="Y1731" t="str">
            <v>Past</v>
          </cell>
          <cell r="Z1731">
            <v>4.88</v>
          </cell>
          <cell r="AA1731">
            <v>0</v>
          </cell>
          <cell r="AB1731">
            <v>0</v>
          </cell>
        </row>
        <row r="1732">
          <cell r="G1732" t="str">
            <v>X136_0</v>
          </cell>
          <cell r="H1732" t="str">
            <v>the-of</v>
          </cell>
          <cell r="I1732" t="str">
            <v>sim</v>
          </cell>
          <cell r="V1732" t="str">
            <v>not neg pair</v>
          </cell>
          <cell r="Y1732" t="str">
            <v>Pres</v>
          </cell>
          <cell r="Z1732">
            <v>3.79</v>
          </cell>
          <cell r="AA1732">
            <v>0</v>
          </cell>
          <cell r="AB1732">
            <v>0</v>
          </cell>
        </row>
        <row r="1733">
          <cell r="G1733" t="str">
            <v>X136_1</v>
          </cell>
          <cell r="H1733" t="str">
            <v>the-of</v>
          </cell>
          <cell r="I1733" t="str">
            <v>sim</v>
          </cell>
          <cell r="V1733" t="str">
            <v>not neg pair</v>
          </cell>
          <cell r="Y1733" t="str">
            <v>Pres</v>
          </cell>
          <cell r="Z1733">
            <v>3.79</v>
          </cell>
          <cell r="AA1733">
            <v>0</v>
          </cell>
          <cell r="AB1733">
            <v>0</v>
          </cell>
        </row>
        <row r="1734">
          <cell r="G1734" t="str">
            <v>X137_0</v>
          </cell>
          <cell r="H1734" t="str">
            <v>as-as</v>
          </cell>
          <cell r="I1734" t="str">
            <v>sim</v>
          </cell>
          <cell r="V1734" t="str">
            <v>antonym</v>
          </cell>
          <cell r="Y1734" t="str">
            <v>Pres</v>
          </cell>
          <cell r="Z1734">
            <v>4.83</v>
          </cell>
          <cell r="AA1734">
            <v>0</v>
          </cell>
          <cell r="AB1734">
            <v>0</v>
          </cell>
        </row>
        <row r="1735">
          <cell r="G1735" t="str">
            <v>X137_1</v>
          </cell>
          <cell r="H1735" t="str">
            <v>as-as</v>
          </cell>
          <cell r="I1735" t="str">
            <v>sim</v>
          </cell>
          <cell r="V1735" t="str">
            <v>antonym</v>
          </cell>
          <cell r="Y1735" t="str">
            <v>Pres</v>
          </cell>
          <cell r="Z1735">
            <v>4.83</v>
          </cell>
          <cell r="AA1735">
            <v>0</v>
          </cell>
          <cell r="AB1735">
            <v>0</v>
          </cell>
        </row>
        <row r="1736">
          <cell r="G1736" t="str">
            <v>X138_0</v>
          </cell>
          <cell r="H1736" t="str">
            <v>the-of</v>
          </cell>
          <cell r="I1736" t="str">
            <v>sim</v>
          </cell>
          <cell r="V1736" t="str">
            <v>not neg pair</v>
          </cell>
          <cell r="Y1736" t="str">
            <v>Pres</v>
          </cell>
          <cell r="Z1736">
            <v>2.79</v>
          </cell>
          <cell r="AA1736" t="str">
            <v>L</v>
          </cell>
          <cell r="AB1736">
            <v>0</v>
          </cell>
        </row>
        <row r="1737">
          <cell r="G1737" t="str">
            <v>X138_1</v>
          </cell>
          <cell r="H1737" t="str">
            <v>the-of</v>
          </cell>
          <cell r="I1737" t="str">
            <v>sim</v>
          </cell>
          <cell r="V1737" t="str">
            <v>not neg pair</v>
          </cell>
          <cell r="Y1737" t="str">
            <v>Pres</v>
          </cell>
          <cell r="Z1737">
            <v>2.79</v>
          </cell>
          <cell r="AA1737" t="str">
            <v>L</v>
          </cell>
          <cell r="AB1737">
            <v>0</v>
          </cell>
        </row>
        <row r="1738">
          <cell r="G1738" t="str">
            <v>X139_0</v>
          </cell>
          <cell r="H1738" t="str">
            <v/>
          </cell>
          <cell r="I1738" t="str">
            <v>met</v>
          </cell>
          <cell r="V1738" t="str">
            <v>0</v>
          </cell>
          <cell r="Y1738" t="str">
            <v>Past</v>
          </cell>
          <cell r="Z1738">
            <v>4.93</v>
          </cell>
          <cell r="AA1738" t="str">
            <v>H</v>
          </cell>
          <cell r="AB1738">
            <v>0</v>
          </cell>
        </row>
        <row r="1739">
          <cell r="G1739" t="str">
            <v>X139_1</v>
          </cell>
          <cell r="H1739" t="str">
            <v/>
          </cell>
          <cell r="I1739" t="str">
            <v>met</v>
          </cell>
          <cell r="V1739" t="str">
            <v>0</v>
          </cell>
          <cell r="Y1739" t="str">
            <v>Past</v>
          </cell>
          <cell r="Z1739">
            <v>4.93</v>
          </cell>
          <cell r="AA1739" t="str">
            <v>H</v>
          </cell>
          <cell r="AB1739">
            <v>0</v>
          </cell>
        </row>
        <row r="1740">
          <cell r="G1740" t="str">
            <v>X140_0</v>
          </cell>
          <cell r="H1740" t="str">
            <v>the-of</v>
          </cell>
          <cell r="I1740" t="str">
            <v>sim</v>
          </cell>
          <cell r="V1740" t="str">
            <v>not neg pair</v>
          </cell>
          <cell r="Y1740" t="str">
            <v>Past</v>
          </cell>
          <cell r="Z1740">
            <v>3.36</v>
          </cell>
          <cell r="AA1740">
            <v>0</v>
          </cell>
          <cell r="AB1740">
            <v>0</v>
          </cell>
        </row>
        <row r="1741">
          <cell r="G1741" t="str">
            <v>X140_1</v>
          </cell>
          <cell r="H1741" t="str">
            <v>the-of</v>
          </cell>
          <cell r="I1741" t="str">
            <v>sim</v>
          </cell>
          <cell r="V1741" t="str">
            <v>not neg pair</v>
          </cell>
          <cell r="Y1741" t="str">
            <v>Past</v>
          </cell>
          <cell r="Z1741">
            <v>3.36</v>
          </cell>
          <cell r="AA1741">
            <v>0</v>
          </cell>
          <cell r="AB1741">
            <v>0</v>
          </cell>
        </row>
        <row r="1742">
          <cell r="G1742" t="str">
            <v>X141_0</v>
          </cell>
          <cell r="H1742" t="str">
            <v/>
          </cell>
          <cell r="I1742" t="str">
            <v>met</v>
          </cell>
          <cell r="V1742" t="str">
            <v>0</v>
          </cell>
          <cell r="Y1742" t="str">
            <v>Past</v>
          </cell>
          <cell r="Z1742">
            <v>4.21</v>
          </cell>
          <cell r="AA1742">
            <v>0</v>
          </cell>
          <cell r="AB1742">
            <v>0</v>
          </cell>
        </row>
        <row r="1743">
          <cell r="G1743" t="str">
            <v>X141_1</v>
          </cell>
          <cell r="H1743" t="str">
            <v/>
          </cell>
          <cell r="I1743" t="str">
            <v>met</v>
          </cell>
          <cell r="V1743" t="str">
            <v>0</v>
          </cell>
          <cell r="Y1743" t="str">
            <v>Past</v>
          </cell>
          <cell r="Z1743">
            <v>4.21</v>
          </cell>
          <cell r="AA1743">
            <v>0</v>
          </cell>
          <cell r="AB1743">
            <v>0</v>
          </cell>
        </row>
        <row r="1744">
          <cell r="G1744" t="str">
            <v>X142_0</v>
          </cell>
          <cell r="H1744" t="str">
            <v>the-of</v>
          </cell>
          <cell r="I1744" t="str">
            <v>sim</v>
          </cell>
          <cell r="V1744" t="str">
            <v>not</v>
          </cell>
          <cell r="Y1744" t="str">
            <v>Pres</v>
          </cell>
          <cell r="Z1744">
            <v>2.93</v>
          </cell>
          <cell r="AA1744">
            <v>0</v>
          </cell>
          <cell r="AB1744">
            <v>0</v>
          </cell>
        </row>
        <row r="1745">
          <cell r="G1745" t="str">
            <v>X142_1</v>
          </cell>
          <cell r="H1745" t="str">
            <v>the-of</v>
          </cell>
          <cell r="I1745" t="str">
            <v>sim</v>
          </cell>
          <cell r="V1745" t="str">
            <v>not</v>
          </cell>
          <cell r="Y1745" t="str">
            <v>Pres</v>
          </cell>
          <cell r="Z1745">
            <v>2.93</v>
          </cell>
          <cell r="AA1745">
            <v>0</v>
          </cell>
          <cell r="AB1745">
            <v>0</v>
          </cell>
        </row>
        <row r="1746">
          <cell r="G1746" t="str">
            <v>X143_0</v>
          </cell>
          <cell r="H1746" t="str">
            <v>like</v>
          </cell>
          <cell r="I1746" t="str">
            <v>sim</v>
          </cell>
          <cell r="V1746" t="str">
            <v>not neg pair</v>
          </cell>
          <cell r="Y1746" t="str">
            <v>Pres</v>
          </cell>
          <cell r="Z1746">
            <v>4.1900000000000004</v>
          </cell>
          <cell r="AA1746">
            <v>0</v>
          </cell>
          <cell r="AB1746">
            <v>0</v>
          </cell>
        </row>
        <row r="1747">
          <cell r="G1747" t="str">
            <v>X143_1</v>
          </cell>
          <cell r="H1747" t="str">
            <v>like</v>
          </cell>
          <cell r="I1747" t="str">
            <v>sim</v>
          </cell>
          <cell r="V1747" t="str">
            <v>not neg pair</v>
          </cell>
          <cell r="Y1747" t="str">
            <v>Pres</v>
          </cell>
          <cell r="Z1747">
            <v>4.1900000000000004</v>
          </cell>
          <cell r="AA1747">
            <v>0</v>
          </cell>
          <cell r="AB1747">
            <v>0</v>
          </cell>
        </row>
        <row r="1748">
          <cell r="G1748" t="str">
            <v>X144_0</v>
          </cell>
          <cell r="H1748" t="str">
            <v>like</v>
          </cell>
          <cell r="I1748" t="str">
            <v>sim</v>
          </cell>
          <cell r="V1748" t="str">
            <v>not neg pair</v>
          </cell>
          <cell r="Y1748" t="str">
            <v>Pres</v>
          </cell>
          <cell r="Z1748">
            <v>2.39</v>
          </cell>
          <cell r="AA1748" t="str">
            <v>L</v>
          </cell>
          <cell r="AB1748">
            <v>0</v>
          </cell>
        </row>
        <row r="1749">
          <cell r="G1749" t="str">
            <v>X144_1</v>
          </cell>
          <cell r="H1749" t="str">
            <v>like</v>
          </cell>
          <cell r="I1749" t="str">
            <v>sim</v>
          </cell>
          <cell r="V1749" t="str">
            <v>not neg pair</v>
          </cell>
          <cell r="Y1749" t="str">
            <v>Pres</v>
          </cell>
          <cell r="Z1749">
            <v>2.39</v>
          </cell>
          <cell r="AA1749" t="str">
            <v>L</v>
          </cell>
          <cell r="AB1749">
            <v>0</v>
          </cell>
        </row>
        <row r="1750">
          <cell r="G1750" t="str">
            <v>X145_0</v>
          </cell>
          <cell r="H1750" t="str">
            <v/>
          </cell>
          <cell r="I1750" t="str">
            <v>met</v>
          </cell>
          <cell r="V1750" t="str">
            <v>0</v>
          </cell>
          <cell r="Y1750" t="str">
            <v>Pres</v>
          </cell>
          <cell r="Z1750">
            <v>2</v>
          </cell>
          <cell r="AA1750" t="str">
            <v>L</v>
          </cell>
          <cell r="AB1750">
            <v>0</v>
          </cell>
        </row>
        <row r="1751">
          <cell r="G1751" t="str">
            <v>X145_1</v>
          </cell>
          <cell r="H1751" t="str">
            <v/>
          </cell>
          <cell r="I1751" t="str">
            <v>met</v>
          </cell>
          <cell r="V1751" t="str">
            <v>0</v>
          </cell>
          <cell r="Y1751" t="str">
            <v>Pres</v>
          </cell>
          <cell r="Z1751">
            <v>2</v>
          </cell>
          <cell r="AA1751" t="str">
            <v>L</v>
          </cell>
          <cell r="AB1751">
            <v>0</v>
          </cell>
        </row>
        <row r="1752">
          <cell r="G1752" t="str">
            <v>X146_0</v>
          </cell>
          <cell r="H1752" t="str">
            <v/>
          </cell>
          <cell r="I1752" t="str">
            <v>met</v>
          </cell>
          <cell r="V1752" t="str">
            <v>0</v>
          </cell>
          <cell r="Y1752" t="str">
            <v>Pres</v>
          </cell>
          <cell r="Z1752">
            <v>4.12</v>
          </cell>
          <cell r="AA1752">
            <v>0</v>
          </cell>
          <cell r="AB1752">
            <v>0</v>
          </cell>
        </row>
        <row r="1753">
          <cell r="G1753" t="str">
            <v>X146_1</v>
          </cell>
          <cell r="H1753" t="str">
            <v/>
          </cell>
          <cell r="I1753" t="str">
            <v>met</v>
          </cell>
          <cell r="V1753" t="str">
            <v>0</v>
          </cell>
          <cell r="Y1753" t="str">
            <v>Pres</v>
          </cell>
          <cell r="Z1753">
            <v>4.12</v>
          </cell>
          <cell r="AA1753">
            <v>0</v>
          </cell>
          <cell r="AB1753">
            <v>0</v>
          </cell>
        </row>
        <row r="1754">
          <cell r="G1754" t="str">
            <v>X147_0</v>
          </cell>
          <cell r="H1754" t="str">
            <v/>
          </cell>
          <cell r="I1754" t="str">
            <v>met</v>
          </cell>
          <cell r="V1754" t="str">
            <v>0</v>
          </cell>
          <cell r="Y1754" t="str">
            <v>Pres</v>
          </cell>
          <cell r="Z1754">
            <v>4.8099999999999996</v>
          </cell>
          <cell r="AA1754">
            <v>0</v>
          </cell>
          <cell r="AB1754">
            <v>0</v>
          </cell>
        </row>
        <row r="1755">
          <cell r="G1755" t="str">
            <v>X147_1</v>
          </cell>
          <cell r="H1755" t="str">
            <v/>
          </cell>
          <cell r="I1755" t="str">
            <v>met</v>
          </cell>
          <cell r="V1755" t="str">
            <v>0</v>
          </cell>
          <cell r="Y1755" t="str">
            <v>Pres</v>
          </cell>
          <cell r="Z1755">
            <v>4.8099999999999996</v>
          </cell>
          <cell r="AA1755">
            <v>0</v>
          </cell>
          <cell r="AB1755">
            <v>0</v>
          </cell>
        </row>
        <row r="1756">
          <cell r="G1756" t="str">
            <v>X148_0</v>
          </cell>
          <cell r="H1756" t="str">
            <v/>
          </cell>
          <cell r="I1756" t="str">
            <v>met</v>
          </cell>
          <cell r="V1756" t="str">
            <v>0</v>
          </cell>
          <cell r="Y1756" t="str">
            <v>Pres</v>
          </cell>
          <cell r="Z1756">
            <v>4.5199999999999996</v>
          </cell>
          <cell r="AA1756">
            <v>0</v>
          </cell>
          <cell r="AB1756">
            <v>0</v>
          </cell>
        </row>
        <row r="1757">
          <cell r="G1757" t="str">
            <v>X148_1</v>
          </cell>
          <cell r="H1757" t="str">
            <v/>
          </cell>
          <cell r="I1757" t="str">
            <v>met</v>
          </cell>
          <cell r="V1757" t="str">
            <v>0</v>
          </cell>
          <cell r="Y1757" t="str">
            <v>Pres</v>
          </cell>
          <cell r="Z1757">
            <v>4.5199999999999996</v>
          </cell>
          <cell r="AA1757">
            <v>0</v>
          </cell>
          <cell r="AB1757">
            <v>0</v>
          </cell>
        </row>
        <row r="1758">
          <cell r="G1758" t="str">
            <v>X149_0</v>
          </cell>
          <cell r="H1758" t="str">
            <v>as</v>
          </cell>
          <cell r="I1758" t="str">
            <v>sim</v>
          </cell>
          <cell r="V1758" t="str">
            <v>not neg pair</v>
          </cell>
          <cell r="Y1758" t="str">
            <v>Pres</v>
          </cell>
          <cell r="Z1758">
            <v>4.12</v>
          </cell>
          <cell r="AA1758">
            <v>0</v>
          </cell>
          <cell r="AB1758">
            <v>0</v>
          </cell>
        </row>
        <row r="1759">
          <cell r="G1759" t="str">
            <v>X149_1</v>
          </cell>
          <cell r="H1759" t="str">
            <v>as</v>
          </cell>
          <cell r="I1759" t="str">
            <v>sim</v>
          </cell>
          <cell r="V1759" t="str">
            <v>not neg pair</v>
          </cell>
          <cell r="Y1759" t="str">
            <v>Pres</v>
          </cell>
          <cell r="Z1759">
            <v>4.12</v>
          </cell>
          <cell r="AA1759">
            <v>0</v>
          </cell>
          <cell r="AB1759">
            <v>0</v>
          </cell>
        </row>
        <row r="1760">
          <cell r="G1760" t="str">
            <v>X150_0</v>
          </cell>
          <cell r="H1760" t="str">
            <v>as-as</v>
          </cell>
          <cell r="I1760" t="str">
            <v>sim</v>
          </cell>
          <cell r="V1760" t="str">
            <v>not neg pair</v>
          </cell>
          <cell r="Y1760" t="str">
            <v>Pres</v>
          </cell>
          <cell r="Z1760">
            <v>4.1100000000000003</v>
          </cell>
          <cell r="AA1760">
            <v>0</v>
          </cell>
          <cell r="AB1760">
            <v>0</v>
          </cell>
        </row>
        <row r="1761">
          <cell r="G1761" t="str">
            <v>X150_1</v>
          </cell>
          <cell r="H1761" t="str">
            <v>as-as</v>
          </cell>
          <cell r="I1761" t="str">
            <v>sim</v>
          </cell>
          <cell r="V1761" t="str">
            <v>not neg pair</v>
          </cell>
          <cell r="Y1761" t="str">
            <v>Pres</v>
          </cell>
          <cell r="Z1761">
            <v>4.1100000000000003</v>
          </cell>
          <cell r="AA1761">
            <v>0</v>
          </cell>
          <cell r="AB1761">
            <v>0</v>
          </cell>
        </row>
        <row r="1762">
          <cell r="G1762" t="str">
            <v>X151_0</v>
          </cell>
          <cell r="H1762" t="str">
            <v>as</v>
          </cell>
          <cell r="I1762" t="str">
            <v>sim</v>
          </cell>
          <cell r="V1762" t="str">
            <v>not neg pair</v>
          </cell>
          <cell r="Y1762" t="str">
            <v>Pres</v>
          </cell>
          <cell r="Z1762">
            <v>2.79</v>
          </cell>
          <cell r="AA1762" t="str">
            <v>L</v>
          </cell>
          <cell r="AB1762">
            <v>0</v>
          </cell>
        </row>
        <row r="1763">
          <cell r="G1763" t="str">
            <v>X151_1</v>
          </cell>
          <cell r="H1763" t="str">
            <v>as</v>
          </cell>
          <cell r="I1763" t="str">
            <v>sim</v>
          </cell>
          <cell r="V1763" t="str">
            <v>not neg pair</v>
          </cell>
          <cell r="Y1763" t="str">
            <v>Pres</v>
          </cell>
          <cell r="Z1763">
            <v>2.79</v>
          </cell>
          <cell r="AA1763" t="str">
            <v>L</v>
          </cell>
          <cell r="AB1763">
            <v>0</v>
          </cell>
        </row>
        <row r="1764">
          <cell r="G1764" t="str">
            <v>X152_0</v>
          </cell>
          <cell r="H1764" t="str">
            <v>as-as</v>
          </cell>
          <cell r="I1764" t="str">
            <v>sim</v>
          </cell>
          <cell r="V1764" t="str">
            <v>not neg pair</v>
          </cell>
          <cell r="Y1764" t="str">
            <v>Past</v>
          </cell>
          <cell r="Z1764">
            <v>2.81</v>
          </cell>
          <cell r="AA1764">
            <v>0</v>
          </cell>
          <cell r="AB1764">
            <v>0</v>
          </cell>
        </row>
        <row r="1765">
          <cell r="G1765" t="str">
            <v>X152_1</v>
          </cell>
          <cell r="H1765" t="str">
            <v>as-as</v>
          </cell>
          <cell r="I1765" t="str">
            <v>sim</v>
          </cell>
          <cell r="V1765" t="str">
            <v>not neg pair</v>
          </cell>
          <cell r="Y1765" t="str">
            <v>Past</v>
          </cell>
          <cell r="Z1765">
            <v>2.81</v>
          </cell>
          <cell r="AA1765">
            <v>0</v>
          </cell>
          <cell r="AB1765">
            <v>0</v>
          </cell>
        </row>
        <row r="1766">
          <cell r="G1766" t="str">
            <v>X153_0</v>
          </cell>
          <cell r="H1766" t="str">
            <v>as-as</v>
          </cell>
          <cell r="I1766" t="str">
            <v>sim</v>
          </cell>
          <cell r="V1766" t="str">
            <v>not neg pair</v>
          </cell>
          <cell r="Y1766" t="str">
            <v>Past</v>
          </cell>
          <cell r="Z1766">
            <v>3.93</v>
          </cell>
          <cell r="AA1766">
            <v>0</v>
          </cell>
          <cell r="AB1766">
            <v>0</v>
          </cell>
        </row>
        <row r="1767">
          <cell r="G1767" t="str">
            <v>X153_1</v>
          </cell>
          <cell r="H1767" t="str">
            <v>as-as</v>
          </cell>
          <cell r="I1767" t="str">
            <v>sim</v>
          </cell>
          <cell r="V1767" t="str">
            <v>not neg pair</v>
          </cell>
          <cell r="Y1767" t="str">
            <v>Past</v>
          </cell>
          <cell r="Z1767">
            <v>3.93</v>
          </cell>
          <cell r="AA1767">
            <v>0</v>
          </cell>
          <cell r="AB1767">
            <v>0</v>
          </cell>
        </row>
        <row r="1768">
          <cell r="G1768" t="str">
            <v>X154_0</v>
          </cell>
          <cell r="H1768" t="str">
            <v>as-as</v>
          </cell>
          <cell r="I1768" t="str">
            <v>sim</v>
          </cell>
          <cell r="V1768" t="str">
            <v>not neg pair</v>
          </cell>
          <cell r="Y1768" t="str">
            <v>Past</v>
          </cell>
          <cell r="Z1768">
            <v>2.81</v>
          </cell>
          <cell r="AA1768">
            <v>0</v>
          </cell>
          <cell r="AB1768">
            <v>0</v>
          </cell>
        </row>
        <row r="1769">
          <cell r="G1769" t="str">
            <v>X154_1</v>
          </cell>
          <cell r="H1769" t="str">
            <v>as-as</v>
          </cell>
          <cell r="I1769" t="str">
            <v>sim</v>
          </cell>
          <cell r="V1769" t="str">
            <v>not neg pair</v>
          </cell>
          <cell r="Y1769" t="str">
            <v>Past</v>
          </cell>
          <cell r="Z1769">
            <v>2.81</v>
          </cell>
          <cell r="AA1769">
            <v>0</v>
          </cell>
          <cell r="AB1769">
            <v>0</v>
          </cell>
        </row>
        <row r="1770">
          <cell r="G1770" t="str">
            <v>X155_0</v>
          </cell>
          <cell r="H1770" t="str">
            <v>as-as</v>
          </cell>
          <cell r="I1770" t="str">
            <v>sim</v>
          </cell>
          <cell r="V1770" t="str">
            <v>antonym</v>
          </cell>
          <cell r="Y1770" t="str">
            <v>Pres</v>
          </cell>
          <cell r="Z1770">
            <v>4.8499999999999996</v>
          </cell>
          <cell r="AA1770">
            <v>0</v>
          </cell>
          <cell r="AB1770">
            <v>0</v>
          </cell>
        </row>
        <row r="1771">
          <cell r="G1771" t="str">
            <v>X155_1</v>
          </cell>
          <cell r="H1771" t="str">
            <v>as-as</v>
          </cell>
          <cell r="I1771" t="str">
            <v>sim</v>
          </cell>
          <cell r="V1771" t="str">
            <v>antonym</v>
          </cell>
          <cell r="Y1771" t="str">
            <v>Pres</v>
          </cell>
          <cell r="Z1771">
            <v>4.8499999999999996</v>
          </cell>
          <cell r="AA1771">
            <v>0</v>
          </cell>
          <cell r="AB1771">
            <v>0</v>
          </cell>
        </row>
        <row r="1772">
          <cell r="G1772" t="str">
            <v>X156_0</v>
          </cell>
          <cell r="H1772" t="str">
            <v>as-as</v>
          </cell>
          <cell r="I1772" t="str">
            <v>sim</v>
          </cell>
          <cell r="V1772" t="str">
            <v>antonym</v>
          </cell>
          <cell r="Y1772" t="str">
            <v>Pres</v>
          </cell>
          <cell r="Z1772">
            <v>4.76</v>
          </cell>
          <cell r="AA1772">
            <v>0</v>
          </cell>
          <cell r="AB1772">
            <v>0</v>
          </cell>
        </row>
        <row r="1773">
          <cell r="G1773" t="str">
            <v>X156_1</v>
          </cell>
          <cell r="H1773" t="str">
            <v>as-as</v>
          </cell>
          <cell r="I1773" t="str">
            <v>sim</v>
          </cell>
          <cell r="V1773" t="str">
            <v>antonym</v>
          </cell>
          <cell r="Y1773" t="str">
            <v>Pres</v>
          </cell>
          <cell r="Z1773">
            <v>4.76</v>
          </cell>
          <cell r="AA1773">
            <v>0</v>
          </cell>
          <cell r="AB1773">
            <v>0</v>
          </cell>
        </row>
        <row r="1774">
          <cell r="G1774" t="str">
            <v>X157_0</v>
          </cell>
          <cell r="H1774" t="str">
            <v>as-as</v>
          </cell>
          <cell r="I1774" t="str">
            <v>sim</v>
          </cell>
          <cell r="V1774" t="str">
            <v>antonym</v>
          </cell>
          <cell r="Y1774" t="str">
            <v>Pres</v>
          </cell>
          <cell r="Z1774">
            <v>4.59</v>
          </cell>
          <cell r="AA1774">
            <v>0</v>
          </cell>
          <cell r="AB1774">
            <v>0</v>
          </cell>
        </row>
        <row r="1775">
          <cell r="G1775" t="str">
            <v>X157_1</v>
          </cell>
          <cell r="H1775" t="str">
            <v>as-as</v>
          </cell>
          <cell r="I1775" t="str">
            <v>sim</v>
          </cell>
          <cell r="V1775" t="str">
            <v>antonym</v>
          </cell>
          <cell r="Y1775" t="str">
            <v>Pres</v>
          </cell>
          <cell r="Z1775">
            <v>4.59</v>
          </cell>
          <cell r="AA1775">
            <v>0</v>
          </cell>
          <cell r="AB1775">
            <v>0</v>
          </cell>
        </row>
        <row r="1776">
          <cell r="G1776" t="str">
            <v>X158_0</v>
          </cell>
          <cell r="H1776" t="str">
            <v>as-as</v>
          </cell>
          <cell r="I1776" t="str">
            <v>sim</v>
          </cell>
          <cell r="V1776" t="str">
            <v>not</v>
          </cell>
          <cell r="Y1776" t="str">
            <v>Past</v>
          </cell>
          <cell r="Z1776">
            <v>3.93</v>
          </cell>
          <cell r="AA1776">
            <v>0</v>
          </cell>
          <cell r="AB1776">
            <v>0</v>
          </cell>
        </row>
        <row r="1777">
          <cell r="G1777" t="str">
            <v>X158_1</v>
          </cell>
          <cell r="H1777" t="str">
            <v>as-as</v>
          </cell>
          <cell r="I1777" t="str">
            <v>sim</v>
          </cell>
          <cell r="V1777" t="str">
            <v>not</v>
          </cell>
          <cell r="Y1777" t="str">
            <v>Past</v>
          </cell>
          <cell r="Z1777">
            <v>3.93</v>
          </cell>
          <cell r="AA1777">
            <v>0</v>
          </cell>
          <cell r="AB1777">
            <v>0</v>
          </cell>
        </row>
        <row r="1778">
          <cell r="G1778" t="str">
            <v>X159_0</v>
          </cell>
          <cell r="H1778" t="str">
            <v>as-as</v>
          </cell>
          <cell r="I1778" t="str">
            <v>sim</v>
          </cell>
          <cell r="V1778" t="str">
            <v>not</v>
          </cell>
          <cell r="Y1778" t="str">
            <v>Past</v>
          </cell>
          <cell r="Z1778">
            <v>4.21</v>
          </cell>
          <cell r="AA1778">
            <v>0</v>
          </cell>
          <cell r="AB1778">
            <v>0</v>
          </cell>
        </row>
        <row r="1779">
          <cell r="G1779" t="str">
            <v>X159_1</v>
          </cell>
          <cell r="H1779" t="str">
            <v>as-as</v>
          </cell>
          <cell r="I1779" t="str">
            <v>sim</v>
          </cell>
          <cell r="V1779" t="str">
            <v>not</v>
          </cell>
          <cell r="Y1779" t="str">
            <v>Past</v>
          </cell>
          <cell r="Z1779">
            <v>4.21</v>
          </cell>
          <cell r="AA1779">
            <v>0</v>
          </cell>
          <cell r="AB1779">
            <v>0</v>
          </cell>
        </row>
        <row r="1780">
          <cell r="G1780" t="str">
            <v>X160_0</v>
          </cell>
          <cell r="H1780" t="str">
            <v>as-as</v>
          </cell>
          <cell r="I1780" t="str">
            <v>sim</v>
          </cell>
          <cell r="V1780" t="str">
            <v>not</v>
          </cell>
          <cell r="Y1780" t="str">
            <v>Past</v>
          </cell>
          <cell r="Z1780">
            <v>4.78</v>
          </cell>
          <cell r="AA1780">
            <v>0</v>
          </cell>
          <cell r="AB1780">
            <v>0</v>
          </cell>
        </row>
        <row r="1781">
          <cell r="G1781" t="str">
            <v>X160_1</v>
          </cell>
          <cell r="H1781" t="str">
            <v>as-as</v>
          </cell>
          <cell r="I1781" t="str">
            <v>sim</v>
          </cell>
          <cell r="V1781" t="str">
            <v>not</v>
          </cell>
          <cell r="Y1781" t="str">
            <v>Past</v>
          </cell>
          <cell r="Z1781">
            <v>4.78</v>
          </cell>
          <cell r="AA1781">
            <v>0</v>
          </cell>
          <cell r="AB1781">
            <v>0</v>
          </cell>
        </row>
        <row r="1782">
          <cell r="G1782" t="str">
            <v>X161_0</v>
          </cell>
          <cell r="H1782" t="str">
            <v>the-of</v>
          </cell>
          <cell r="I1782" t="str">
            <v>sim</v>
          </cell>
          <cell r="V1782" t="str">
            <v>not neg pair</v>
          </cell>
          <cell r="Y1782" t="str">
            <v>Pres</v>
          </cell>
          <cell r="Z1782">
            <v>4</v>
          </cell>
          <cell r="AA1782">
            <v>0</v>
          </cell>
          <cell r="AB1782">
            <v>0</v>
          </cell>
        </row>
        <row r="1783">
          <cell r="G1783" t="str">
            <v>X161_1</v>
          </cell>
          <cell r="H1783" t="str">
            <v>the-of</v>
          </cell>
          <cell r="I1783" t="str">
            <v>sim</v>
          </cell>
          <cell r="V1783" t="str">
            <v>not neg pair</v>
          </cell>
          <cell r="Y1783" t="str">
            <v>Pres</v>
          </cell>
          <cell r="Z1783">
            <v>4</v>
          </cell>
          <cell r="AA1783">
            <v>0</v>
          </cell>
          <cell r="AB1783">
            <v>0</v>
          </cell>
        </row>
        <row r="1784">
          <cell r="G1784" t="str">
            <v>X162_0</v>
          </cell>
          <cell r="H1784" t="str">
            <v>as-as</v>
          </cell>
          <cell r="I1784" t="str">
            <v>sim</v>
          </cell>
          <cell r="V1784" t="str">
            <v>not</v>
          </cell>
          <cell r="Y1784" t="str">
            <v>Pres</v>
          </cell>
          <cell r="Z1784">
            <v>4.1100000000000003</v>
          </cell>
          <cell r="AA1784">
            <v>0</v>
          </cell>
          <cell r="AB1784">
            <v>0</v>
          </cell>
        </row>
        <row r="1785">
          <cell r="G1785" t="str">
            <v>X162_1</v>
          </cell>
          <cell r="H1785" t="str">
            <v>as-as</v>
          </cell>
          <cell r="I1785" t="str">
            <v>sim</v>
          </cell>
          <cell r="V1785" t="str">
            <v>not</v>
          </cell>
          <cell r="Y1785" t="str">
            <v>Pres</v>
          </cell>
          <cell r="Z1785">
            <v>4.1100000000000003</v>
          </cell>
          <cell r="AA1785">
            <v>0</v>
          </cell>
          <cell r="AB1785">
            <v>0</v>
          </cell>
        </row>
        <row r="1786">
          <cell r="G1786" t="str">
            <v>X163_0</v>
          </cell>
          <cell r="H1786" t="str">
            <v>like</v>
          </cell>
          <cell r="I1786" t="str">
            <v>sim</v>
          </cell>
          <cell r="V1786" t="str">
            <v>not neg pair</v>
          </cell>
          <cell r="Y1786" t="str">
            <v>Pres</v>
          </cell>
          <cell r="Z1786">
            <v>4.78</v>
          </cell>
          <cell r="AA1786">
            <v>0</v>
          </cell>
          <cell r="AB1786">
            <v>0</v>
          </cell>
        </row>
        <row r="1787">
          <cell r="G1787" t="str">
            <v>X163_1</v>
          </cell>
          <cell r="H1787" t="str">
            <v>like</v>
          </cell>
          <cell r="I1787" t="str">
            <v>sim</v>
          </cell>
          <cell r="V1787" t="str">
            <v>not neg pair</v>
          </cell>
          <cell r="Y1787" t="str">
            <v>Pres</v>
          </cell>
          <cell r="Z1787">
            <v>4.78</v>
          </cell>
          <cell r="AA1787">
            <v>0</v>
          </cell>
          <cell r="AB1787">
            <v>0</v>
          </cell>
        </row>
        <row r="1788">
          <cell r="G1788" t="str">
            <v>X164_0</v>
          </cell>
          <cell r="H1788" t="str">
            <v>like</v>
          </cell>
          <cell r="I1788" t="str">
            <v>sim</v>
          </cell>
          <cell r="V1788" t="str">
            <v>not neg pair</v>
          </cell>
          <cell r="Y1788" t="str">
            <v>Pres</v>
          </cell>
          <cell r="Z1788">
            <v>4.78</v>
          </cell>
          <cell r="AA1788">
            <v>0</v>
          </cell>
          <cell r="AB1788">
            <v>0</v>
          </cell>
        </row>
        <row r="1789">
          <cell r="G1789" t="str">
            <v>X164_1</v>
          </cell>
          <cell r="H1789" t="str">
            <v>like</v>
          </cell>
          <cell r="I1789" t="str">
            <v>sim</v>
          </cell>
          <cell r="V1789" t="str">
            <v>not neg pair</v>
          </cell>
          <cell r="Y1789" t="str">
            <v>Pres</v>
          </cell>
          <cell r="Z1789">
            <v>4.78</v>
          </cell>
          <cell r="AA1789">
            <v>0</v>
          </cell>
          <cell r="AB1789">
            <v>0</v>
          </cell>
        </row>
        <row r="1790">
          <cell r="G1790" t="str">
            <v>X165_0</v>
          </cell>
          <cell r="H1790" t="str">
            <v>as</v>
          </cell>
          <cell r="I1790" t="str">
            <v>sim</v>
          </cell>
          <cell r="V1790" t="str">
            <v>not neg pair</v>
          </cell>
          <cell r="Y1790" t="str">
            <v>Pres</v>
          </cell>
          <cell r="Z1790">
            <v>4.93</v>
          </cell>
          <cell r="AA1790" t="str">
            <v>H</v>
          </cell>
          <cell r="AB1790">
            <v>0</v>
          </cell>
        </row>
        <row r="1791">
          <cell r="G1791" t="str">
            <v>X165_1</v>
          </cell>
          <cell r="H1791" t="str">
            <v>as</v>
          </cell>
          <cell r="I1791" t="str">
            <v>sim</v>
          </cell>
          <cell r="V1791" t="str">
            <v>not neg pair</v>
          </cell>
          <cell r="Y1791" t="str">
            <v>Pres</v>
          </cell>
          <cell r="Z1791">
            <v>4.93</v>
          </cell>
          <cell r="AA1791" t="str">
            <v>H</v>
          </cell>
          <cell r="AB1791">
            <v>0</v>
          </cell>
        </row>
        <row r="1792">
          <cell r="G1792" t="str">
            <v>X166_0</v>
          </cell>
          <cell r="H1792" t="str">
            <v>as-as</v>
          </cell>
          <cell r="I1792" t="str">
            <v>sim</v>
          </cell>
          <cell r="V1792" t="str">
            <v>not</v>
          </cell>
          <cell r="Y1792" t="str">
            <v>Pres</v>
          </cell>
          <cell r="Z1792">
            <v>3.93</v>
          </cell>
          <cell r="AA1792">
            <v>0</v>
          </cell>
          <cell r="AB1792">
            <v>0</v>
          </cell>
        </row>
        <row r="1793">
          <cell r="G1793" t="str">
            <v>X166_1</v>
          </cell>
          <cell r="H1793" t="str">
            <v>as-as</v>
          </cell>
          <cell r="I1793" t="str">
            <v>sim</v>
          </cell>
          <cell r="V1793" t="str">
            <v>not</v>
          </cell>
          <cell r="Y1793" t="str">
            <v>Pres</v>
          </cell>
          <cell r="Z1793">
            <v>3.93</v>
          </cell>
          <cell r="AA1793">
            <v>0</v>
          </cell>
          <cell r="AB1793">
            <v>0</v>
          </cell>
        </row>
        <row r="1794">
          <cell r="G1794" t="str">
            <v>X167_0</v>
          </cell>
          <cell r="H1794" t="str">
            <v>the-of</v>
          </cell>
          <cell r="I1794" t="str">
            <v>sim</v>
          </cell>
          <cell r="V1794" t="str">
            <v>not neg pair</v>
          </cell>
          <cell r="Y1794" t="str">
            <v>Past</v>
          </cell>
          <cell r="Z1794">
            <v>4.79</v>
          </cell>
          <cell r="AA1794">
            <v>0</v>
          </cell>
          <cell r="AB1794">
            <v>0</v>
          </cell>
        </row>
        <row r="1795">
          <cell r="G1795" t="str">
            <v>X167_1</v>
          </cell>
          <cell r="H1795" t="str">
            <v>the-of</v>
          </cell>
          <cell r="I1795" t="str">
            <v>sim</v>
          </cell>
          <cell r="V1795" t="str">
            <v>not neg pair</v>
          </cell>
          <cell r="Y1795" t="str">
            <v>Past</v>
          </cell>
          <cell r="Z1795">
            <v>4.79</v>
          </cell>
          <cell r="AA1795">
            <v>0</v>
          </cell>
          <cell r="AB1795">
            <v>0</v>
          </cell>
        </row>
        <row r="1796">
          <cell r="G1796" t="str">
            <v>X168_0</v>
          </cell>
          <cell r="H1796" t="str">
            <v>as</v>
          </cell>
          <cell r="I1796" t="str">
            <v>sim</v>
          </cell>
          <cell r="V1796" t="str">
            <v>not neg pair</v>
          </cell>
          <cell r="Y1796" t="str">
            <v>Past</v>
          </cell>
          <cell r="Z1796">
            <v>2.19</v>
          </cell>
          <cell r="AA1796" t="str">
            <v>L</v>
          </cell>
          <cell r="AB1796">
            <v>0</v>
          </cell>
        </row>
        <row r="1797">
          <cell r="G1797" t="str">
            <v>X168_1</v>
          </cell>
          <cell r="H1797" t="str">
            <v>as</v>
          </cell>
          <cell r="I1797" t="str">
            <v>sim</v>
          </cell>
          <cell r="V1797" t="str">
            <v>not neg pair</v>
          </cell>
          <cell r="Y1797" t="str">
            <v>Past</v>
          </cell>
          <cell r="Z1797">
            <v>2.19</v>
          </cell>
          <cell r="AA1797" t="str">
            <v>L</v>
          </cell>
          <cell r="AB1797">
            <v>0</v>
          </cell>
        </row>
        <row r="1798">
          <cell r="G1798" t="str">
            <v>X169_0</v>
          </cell>
          <cell r="H1798" t="str">
            <v>the-of</v>
          </cell>
          <cell r="I1798" t="str">
            <v>sim</v>
          </cell>
          <cell r="V1798" t="str">
            <v>not neg pair</v>
          </cell>
          <cell r="Y1798" t="str">
            <v>Past</v>
          </cell>
          <cell r="Z1798">
            <v>4.78</v>
          </cell>
          <cell r="AA1798">
            <v>0</v>
          </cell>
          <cell r="AB1798">
            <v>0</v>
          </cell>
        </row>
        <row r="1799">
          <cell r="G1799" t="str">
            <v>X169_1</v>
          </cell>
          <cell r="H1799" t="str">
            <v>the-of</v>
          </cell>
          <cell r="I1799" t="str">
            <v>sim</v>
          </cell>
          <cell r="V1799" t="str">
            <v>not neg pair</v>
          </cell>
          <cell r="Y1799" t="str">
            <v>Past</v>
          </cell>
          <cell r="Z1799">
            <v>3.21</v>
          </cell>
          <cell r="AA1799">
            <v>0</v>
          </cell>
          <cell r="AB1799">
            <v>0</v>
          </cell>
        </row>
        <row r="1800">
          <cell r="G1800" t="str">
            <v>X170_0</v>
          </cell>
          <cell r="H1800" t="str">
            <v/>
          </cell>
          <cell r="I1800" t="str">
            <v>met</v>
          </cell>
          <cell r="V1800" t="str">
            <v>0</v>
          </cell>
          <cell r="Y1800" t="str">
            <v>Past</v>
          </cell>
          <cell r="Z1800">
            <v>3.71</v>
          </cell>
          <cell r="AA1800">
            <v>0</v>
          </cell>
          <cell r="AB1800">
            <v>0</v>
          </cell>
        </row>
        <row r="1801">
          <cell r="G1801" t="str">
            <v>X170_1</v>
          </cell>
          <cell r="H1801" t="str">
            <v/>
          </cell>
          <cell r="I1801" t="str">
            <v>met</v>
          </cell>
          <cell r="V1801" t="str">
            <v>0</v>
          </cell>
          <cell r="Y1801" t="str">
            <v>Past</v>
          </cell>
          <cell r="Z1801">
            <v>3.71</v>
          </cell>
          <cell r="AA1801">
            <v>0</v>
          </cell>
          <cell r="AB1801">
            <v>0</v>
          </cell>
        </row>
        <row r="1802">
          <cell r="G1802" t="str">
            <v>X171_0</v>
          </cell>
          <cell r="H1802" t="str">
            <v/>
          </cell>
          <cell r="I1802" t="str">
            <v>met</v>
          </cell>
          <cell r="V1802" t="str">
            <v>0</v>
          </cell>
          <cell r="Y1802" t="str">
            <v>Pres</v>
          </cell>
          <cell r="Z1802">
            <v>1.62</v>
          </cell>
          <cell r="AA1802" t="str">
            <v>L</v>
          </cell>
          <cell r="AB1802">
            <v>0</v>
          </cell>
        </row>
        <row r="1803">
          <cell r="G1803" t="str">
            <v>X171_1</v>
          </cell>
          <cell r="H1803" t="str">
            <v/>
          </cell>
          <cell r="I1803" t="str">
            <v>met</v>
          </cell>
          <cell r="V1803" t="str">
            <v>0</v>
          </cell>
          <cell r="Y1803" t="str">
            <v>Pres</v>
          </cell>
          <cell r="Z1803">
            <v>1.62</v>
          </cell>
          <cell r="AA1803" t="str">
            <v>L</v>
          </cell>
          <cell r="AB1803">
            <v>0</v>
          </cell>
        </row>
        <row r="1804">
          <cell r="G1804" t="str">
            <v>X172_0</v>
          </cell>
          <cell r="H1804" t="str">
            <v/>
          </cell>
          <cell r="I1804" t="str">
            <v>met</v>
          </cell>
          <cell r="V1804" t="str">
            <v>0</v>
          </cell>
          <cell r="Y1804" t="str">
            <v>Past</v>
          </cell>
          <cell r="Z1804">
            <v>4.78</v>
          </cell>
          <cell r="AA1804">
            <v>0</v>
          </cell>
          <cell r="AB1804">
            <v>0</v>
          </cell>
        </row>
        <row r="1805">
          <cell r="G1805" t="str">
            <v>X172_1</v>
          </cell>
          <cell r="H1805" t="str">
            <v/>
          </cell>
          <cell r="I1805" t="str">
            <v>met</v>
          </cell>
          <cell r="V1805" t="str">
            <v>0</v>
          </cell>
          <cell r="Y1805" t="str">
            <v>Past</v>
          </cell>
          <cell r="Z1805">
            <v>4.78</v>
          </cell>
          <cell r="AA1805">
            <v>0</v>
          </cell>
          <cell r="AB1805">
            <v>0</v>
          </cell>
        </row>
        <row r="1806">
          <cell r="G1806" t="str">
            <v>X173_0</v>
          </cell>
          <cell r="H1806" t="str">
            <v/>
          </cell>
          <cell r="I1806" t="str">
            <v>met</v>
          </cell>
          <cell r="V1806" t="str">
            <v>0</v>
          </cell>
          <cell r="Y1806" t="str">
            <v>Pres</v>
          </cell>
          <cell r="Z1806">
            <v>4.78</v>
          </cell>
          <cell r="AA1806">
            <v>0</v>
          </cell>
          <cell r="AB1806">
            <v>0</v>
          </cell>
        </row>
        <row r="1807">
          <cell r="G1807" t="str">
            <v>X173_1</v>
          </cell>
          <cell r="H1807" t="str">
            <v/>
          </cell>
          <cell r="I1807" t="str">
            <v>met</v>
          </cell>
          <cell r="V1807" t="str">
            <v>0</v>
          </cell>
          <cell r="Y1807" t="str">
            <v>Pres</v>
          </cell>
          <cell r="Z1807">
            <v>4.78</v>
          </cell>
          <cell r="AA1807">
            <v>0</v>
          </cell>
          <cell r="AB1807">
            <v>0</v>
          </cell>
        </row>
        <row r="1808">
          <cell r="G1808" t="str">
            <v>X174_0</v>
          </cell>
          <cell r="H1808" t="str">
            <v/>
          </cell>
          <cell r="I1808" t="str">
            <v>met</v>
          </cell>
          <cell r="V1808" t="str">
            <v>0</v>
          </cell>
          <cell r="Y1808" t="str">
            <v>Pres</v>
          </cell>
          <cell r="Z1808">
            <v>4.8</v>
          </cell>
          <cell r="AA1808">
            <v>0</v>
          </cell>
          <cell r="AB1808">
            <v>0</v>
          </cell>
        </row>
        <row r="1809">
          <cell r="G1809" t="str">
            <v>X174_1</v>
          </cell>
          <cell r="H1809" t="str">
            <v/>
          </cell>
          <cell r="I1809" t="str">
            <v>met</v>
          </cell>
          <cell r="V1809" t="str">
            <v>0</v>
          </cell>
          <cell r="Y1809" t="str">
            <v>Pres</v>
          </cell>
          <cell r="Z1809">
            <v>4.8</v>
          </cell>
          <cell r="AA1809">
            <v>0</v>
          </cell>
          <cell r="AB1809">
            <v>0</v>
          </cell>
        </row>
        <row r="1810">
          <cell r="G1810" t="str">
            <v>X175_0</v>
          </cell>
          <cell r="H1810" t="str">
            <v/>
          </cell>
          <cell r="I1810" t="str">
            <v>met</v>
          </cell>
          <cell r="V1810" t="str">
            <v>0</v>
          </cell>
          <cell r="Y1810">
            <v>0</v>
          </cell>
          <cell r="Z1810">
            <v>1.62</v>
          </cell>
          <cell r="AA1810" t="str">
            <v>L</v>
          </cell>
          <cell r="AB1810">
            <v>0</v>
          </cell>
        </row>
        <row r="1811">
          <cell r="G1811" t="str">
            <v>X175_1</v>
          </cell>
          <cell r="H1811" t="str">
            <v/>
          </cell>
          <cell r="I1811" t="str">
            <v>met</v>
          </cell>
          <cell r="V1811" t="str">
            <v>0</v>
          </cell>
          <cell r="Y1811">
            <v>0</v>
          </cell>
          <cell r="Z1811">
            <v>1.62</v>
          </cell>
          <cell r="AA1811" t="str">
            <v>L</v>
          </cell>
          <cell r="AB1811">
            <v>0</v>
          </cell>
        </row>
        <row r="1812">
          <cell r="G1812" t="str">
            <v>X176_0</v>
          </cell>
          <cell r="H1812" t="str">
            <v>like</v>
          </cell>
          <cell r="I1812" t="str">
            <v>sim</v>
          </cell>
          <cell r="V1812" t="str">
            <v>not neg pair</v>
          </cell>
          <cell r="Y1812" t="str">
            <v>Pres</v>
          </cell>
          <cell r="Z1812">
            <v>4.8600000000000003</v>
          </cell>
          <cell r="AA1812">
            <v>0</v>
          </cell>
          <cell r="AB1812">
            <v>0</v>
          </cell>
        </row>
        <row r="1813">
          <cell r="G1813" t="str">
            <v>X176_1</v>
          </cell>
          <cell r="H1813" t="str">
            <v>like</v>
          </cell>
          <cell r="I1813" t="str">
            <v>sim</v>
          </cell>
          <cell r="V1813" t="str">
            <v>not neg pair</v>
          </cell>
          <cell r="Y1813" t="str">
            <v>Pres</v>
          </cell>
          <cell r="Z1813">
            <v>4.8600000000000003</v>
          </cell>
          <cell r="AA1813">
            <v>0</v>
          </cell>
          <cell r="AB1813">
            <v>0</v>
          </cell>
        </row>
        <row r="1814">
          <cell r="G1814" t="str">
            <v>X177_0</v>
          </cell>
          <cell r="H1814" t="str">
            <v>as-as</v>
          </cell>
          <cell r="I1814" t="str">
            <v>sim</v>
          </cell>
          <cell r="V1814" t="str">
            <v>not neg pair</v>
          </cell>
          <cell r="Y1814" t="str">
            <v>Pres</v>
          </cell>
          <cell r="Z1814">
            <v>4.1900000000000004</v>
          </cell>
          <cell r="AA1814">
            <v>0</v>
          </cell>
          <cell r="AB1814">
            <v>0</v>
          </cell>
        </row>
        <row r="1815">
          <cell r="G1815" t="str">
            <v>X177_1</v>
          </cell>
          <cell r="H1815" t="str">
            <v>as-as</v>
          </cell>
          <cell r="I1815" t="str">
            <v>sim</v>
          </cell>
          <cell r="V1815" t="str">
            <v>not neg pair</v>
          </cell>
          <cell r="Y1815" t="str">
            <v>Pres</v>
          </cell>
          <cell r="Z1815">
            <v>4.1900000000000004</v>
          </cell>
          <cell r="AA1815">
            <v>0</v>
          </cell>
          <cell r="AB1815">
            <v>0</v>
          </cell>
        </row>
        <row r="1816">
          <cell r="G1816" t="str">
            <v>X178_0</v>
          </cell>
          <cell r="H1816" t="str">
            <v>like</v>
          </cell>
          <cell r="I1816" t="str">
            <v>sim</v>
          </cell>
          <cell r="V1816" t="str">
            <v>not neg pair</v>
          </cell>
          <cell r="Y1816" t="str">
            <v>Pres</v>
          </cell>
          <cell r="Z1816">
            <v>4.13</v>
          </cell>
          <cell r="AA1816">
            <v>0</v>
          </cell>
          <cell r="AB1816">
            <v>0</v>
          </cell>
        </row>
        <row r="1817">
          <cell r="G1817" t="str">
            <v>X178_1</v>
          </cell>
          <cell r="H1817" t="str">
            <v>like</v>
          </cell>
          <cell r="I1817" t="str">
            <v>sim</v>
          </cell>
          <cell r="V1817" t="str">
            <v>not neg pair</v>
          </cell>
          <cell r="Y1817" t="str">
            <v>Pres</v>
          </cell>
          <cell r="Z1817">
            <v>4.13</v>
          </cell>
          <cell r="AA1817">
            <v>0</v>
          </cell>
          <cell r="AB1817">
            <v>0</v>
          </cell>
        </row>
        <row r="1818">
          <cell r="G1818" t="str">
            <v>X179_0</v>
          </cell>
          <cell r="H1818" t="str">
            <v>like</v>
          </cell>
          <cell r="I1818" t="str">
            <v>sim</v>
          </cell>
          <cell r="V1818" t="str">
            <v>not neg pair</v>
          </cell>
          <cell r="Y1818" t="str">
            <v>Pres</v>
          </cell>
          <cell r="Z1818">
            <v>3.75</v>
          </cell>
          <cell r="AA1818">
            <v>0</v>
          </cell>
          <cell r="AB1818">
            <v>0</v>
          </cell>
        </row>
        <row r="1819">
          <cell r="G1819" t="str">
            <v>X179_1</v>
          </cell>
          <cell r="H1819" t="str">
            <v>like</v>
          </cell>
          <cell r="I1819" t="str">
            <v>sim</v>
          </cell>
          <cell r="V1819" t="str">
            <v>not neg pair</v>
          </cell>
          <cell r="Y1819" t="str">
            <v>Pres</v>
          </cell>
          <cell r="Z1819">
            <v>3.75</v>
          </cell>
          <cell r="AA1819">
            <v>0</v>
          </cell>
          <cell r="AB1819">
            <v>0</v>
          </cell>
        </row>
        <row r="1820">
          <cell r="G1820" t="str">
            <v>X180_0</v>
          </cell>
          <cell r="H1820" t="str">
            <v>like</v>
          </cell>
          <cell r="I1820" t="str">
            <v>sim</v>
          </cell>
          <cell r="V1820" t="str">
            <v>not neg pair</v>
          </cell>
          <cell r="Y1820" t="str">
            <v>Pres</v>
          </cell>
          <cell r="Z1820">
            <v>4.78</v>
          </cell>
          <cell r="AA1820">
            <v>0</v>
          </cell>
          <cell r="AB1820">
            <v>0</v>
          </cell>
        </row>
        <row r="1821">
          <cell r="G1821" t="str">
            <v>X180_1</v>
          </cell>
          <cell r="H1821" t="str">
            <v>like</v>
          </cell>
          <cell r="I1821" t="str">
            <v>sim</v>
          </cell>
          <cell r="V1821" t="str">
            <v>not neg pair</v>
          </cell>
          <cell r="Y1821" t="str">
            <v>Pres</v>
          </cell>
          <cell r="Z1821">
            <v>4.78</v>
          </cell>
          <cell r="AA1821">
            <v>0</v>
          </cell>
          <cell r="AB1821">
            <v>0</v>
          </cell>
        </row>
        <row r="1822">
          <cell r="G1822" t="str">
            <v>X181_0</v>
          </cell>
          <cell r="H1822" t="str">
            <v>the-of</v>
          </cell>
          <cell r="I1822" t="str">
            <v>sim</v>
          </cell>
          <cell r="V1822" t="str">
            <v>not neg pair</v>
          </cell>
          <cell r="Y1822" t="str">
            <v>Pres</v>
          </cell>
          <cell r="Z1822">
            <v>4.8600000000000003</v>
          </cell>
          <cell r="AA1822">
            <v>0</v>
          </cell>
          <cell r="AB1822">
            <v>0</v>
          </cell>
        </row>
        <row r="1823">
          <cell r="G1823" t="str">
            <v>X181_1</v>
          </cell>
          <cell r="H1823" t="str">
            <v>the-of</v>
          </cell>
          <cell r="I1823" t="str">
            <v>sim</v>
          </cell>
          <cell r="V1823" t="str">
            <v>not neg pair</v>
          </cell>
          <cell r="Y1823" t="str">
            <v>Pres</v>
          </cell>
          <cell r="Z1823">
            <v>4.8600000000000003</v>
          </cell>
          <cell r="AA1823">
            <v>0</v>
          </cell>
          <cell r="AB1823">
            <v>0</v>
          </cell>
        </row>
        <row r="1824">
          <cell r="G1824" t="str">
            <v>X182_0</v>
          </cell>
          <cell r="H1824" t="str">
            <v>as-as</v>
          </cell>
          <cell r="I1824" t="str">
            <v>sim</v>
          </cell>
          <cell r="V1824" t="str">
            <v>not</v>
          </cell>
          <cell r="Y1824">
            <v>0</v>
          </cell>
          <cell r="Z1824">
            <v>3.29</v>
          </cell>
          <cell r="AA1824">
            <v>0</v>
          </cell>
          <cell r="AB1824">
            <v>0</v>
          </cell>
        </row>
        <row r="1825">
          <cell r="G1825" t="str">
            <v>X182_1</v>
          </cell>
          <cell r="H1825" t="str">
            <v>as-as</v>
          </cell>
          <cell r="I1825" t="str">
            <v>sim</v>
          </cell>
          <cell r="V1825" t="str">
            <v>not</v>
          </cell>
          <cell r="Y1825">
            <v>0</v>
          </cell>
          <cell r="Z1825">
            <v>3.29</v>
          </cell>
          <cell r="AA1825">
            <v>0</v>
          </cell>
          <cell r="AB1825">
            <v>0</v>
          </cell>
        </row>
        <row r="1826">
          <cell r="G1826" t="str">
            <v>X183_0</v>
          </cell>
          <cell r="H1826" t="str">
            <v>as-as</v>
          </cell>
          <cell r="I1826" t="str">
            <v>sim</v>
          </cell>
          <cell r="V1826" t="str">
            <v>antonym</v>
          </cell>
          <cell r="Y1826" t="str">
            <v>Pres</v>
          </cell>
          <cell r="Z1826">
            <v>3.93</v>
          </cell>
          <cell r="AA1826">
            <v>0</v>
          </cell>
          <cell r="AB1826">
            <v>0</v>
          </cell>
        </row>
        <row r="1827">
          <cell r="G1827" t="str">
            <v>X183_1</v>
          </cell>
          <cell r="H1827" t="str">
            <v>as-as</v>
          </cell>
          <cell r="I1827" t="str">
            <v>sim</v>
          </cell>
          <cell r="V1827" t="str">
            <v>antonym</v>
          </cell>
          <cell r="Y1827" t="str">
            <v>Pres</v>
          </cell>
          <cell r="Z1827">
            <v>3.93</v>
          </cell>
          <cell r="AA1827">
            <v>0</v>
          </cell>
          <cell r="AB1827">
            <v>0</v>
          </cell>
        </row>
        <row r="1828">
          <cell r="G1828" t="str">
            <v>X184_0</v>
          </cell>
          <cell r="H1828" t="str">
            <v>the-of</v>
          </cell>
          <cell r="I1828" t="str">
            <v>sim</v>
          </cell>
          <cell r="V1828" t="str">
            <v>not neg pair</v>
          </cell>
          <cell r="Y1828" t="str">
            <v>Pres</v>
          </cell>
          <cell r="Z1828">
            <v>4.1100000000000003</v>
          </cell>
          <cell r="AA1828">
            <v>0</v>
          </cell>
          <cell r="AB1828">
            <v>0</v>
          </cell>
        </row>
        <row r="1829">
          <cell r="G1829" t="str">
            <v>X184_1</v>
          </cell>
          <cell r="H1829" t="str">
            <v>the-of</v>
          </cell>
          <cell r="I1829" t="str">
            <v>sim</v>
          </cell>
          <cell r="V1829" t="str">
            <v>not neg pair</v>
          </cell>
          <cell r="Y1829" t="str">
            <v>Pres</v>
          </cell>
          <cell r="Z1829">
            <v>4.1100000000000003</v>
          </cell>
          <cell r="AA1829">
            <v>0</v>
          </cell>
          <cell r="AB1829">
            <v>0</v>
          </cell>
        </row>
        <row r="1830">
          <cell r="G1830" t="str">
            <v>X185_0</v>
          </cell>
          <cell r="H1830" t="str">
            <v>as-as</v>
          </cell>
          <cell r="I1830" t="str">
            <v>sim</v>
          </cell>
          <cell r="V1830" t="str">
            <v>not</v>
          </cell>
          <cell r="Y1830" t="str">
            <v>Pres</v>
          </cell>
          <cell r="Z1830">
            <v>2.81</v>
          </cell>
          <cell r="AA1830">
            <v>0</v>
          </cell>
          <cell r="AB1830">
            <v>0</v>
          </cell>
        </row>
        <row r="1831">
          <cell r="G1831" t="str">
            <v>X185_1</v>
          </cell>
          <cell r="H1831" t="str">
            <v>as-as</v>
          </cell>
          <cell r="I1831" t="str">
            <v>sim</v>
          </cell>
          <cell r="V1831" t="str">
            <v>not</v>
          </cell>
          <cell r="Y1831" t="str">
            <v>Pres</v>
          </cell>
          <cell r="Z1831">
            <v>2.81</v>
          </cell>
          <cell r="AA1831">
            <v>0</v>
          </cell>
          <cell r="AB1831">
            <v>0</v>
          </cell>
        </row>
        <row r="1832">
          <cell r="G1832" t="str">
            <v>X186_0</v>
          </cell>
          <cell r="H1832" t="str">
            <v>as-as</v>
          </cell>
          <cell r="I1832" t="str">
            <v>sim</v>
          </cell>
          <cell r="V1832" t="str">
            <v>antonym</v>
          </cell>
          <cell r="Y1832" t="str">
            <v>Pres</v>
          </cell>
          <cell r="Z1832">
            <v>2.81</v>
          </cell>
          <cell r="AA1832">
            <v>0</v>
          </cell>
          <cell r="AB1832">
            <v>0</v>
          </cell>
        </row>
        <row r="1833">
          <cell r="G1833" t="str">
            <v>X186_1</v>
          </cell>
          <cell r="H1833" t="str">
            <v>as-as</v>
          </cell>
          <cell r="I1833" t="str">
            <v>sim</v>
          </cell>
          <cell r="V1833" t="str">
            <v>antonym</v>
          </cell>
          <cell r="Y1833" t="str">
            <v>Pres</v>
          </cell>
          <cell r="Z1833">
            <v>2.81</v>
          </cell>
          <cell r="AA1833">
            <v>0</v>
          </cell>
          <cell r="AB1833">
            <v>0</v>
          </cell>
        </row>
        <row r="1834">
          <cell r="G1834" t="str">
            <v>X187_0</v>
          </cell>
          <cell r="H1834" t="str">
            <v>as-as</v>
          </cell>
          <cell r="I1834" t="str">
            <v>sim</v>
          </cell>
          <cell r="V1834" t="str">
            <v>not</v>
          </cell>
          <cell r="Y1834" t="str">
            <v>Pres</v>
          </cell>
          <cell r="Z1834">
            <v>2.81</v>
          </cell>
          <cell r="AA1834">
            <v>0</v>
          </cell>
          <cell r="AB1834">
            <v>0</v>
          </cell>
        </row>
        <row r="1835">
          <cell r="G1835" t="str">
            <v>X187_1</v>
          </cell>
          <cell r="H1835" t="str">
            <v>as-as</v>
          </cell>
          <cell r="I1835" t="str">
            <v>sim</v>
          </cell>
          <cell r="V1835" t="str">
            <v>not</v>
          </cell>
          <cell r="Y1835" t="str">
            <v>Pres</v>
          </cell>
          <cell r="Z1835">
            <v>2.81</v>
          </cell>
          <cell r="AA1835">
            <v>0</v>
          </cell>
          <cell r="AB1835">
            <v>0</v>
          </cell>
        </row>
        <row r="1836">
          <cell r="G1836" t="str">
            <v>X188_0</v>
          </cell>
          <cell r="H1836" t="str">
            <v/>
          </cell>
          <cell r="I1836" t="str">
            <v>met</v>
          </cell>
          <cell r="V1836" t="str">
            <v>0</v>
          </cell>
          <cell r="Y1836" t="str">
            <v>Pres</v>
          </cell>
          <cell r="Z1836">
            <v>4.8099999999999996</v>
          </cell>
          <cell r="AA1836">
            <v>0</v>
          </cell>
          <cell r="AB1836">
            <v>0</v>
          </cell>
        </row>
        <row r="1837">
          <cell r="G1837" t="str">
            <v>X188_1</v>
          </cell>
          <cell r="H1837" t="str">
            <v/>
          </cell>
          <cell r="I1837" t="str">
            <v>met</v>
          </cell>
          <cell r="V1837" t="str">
            <v>0</v>
          </cell>
          <cell r="Y1837" t="str">
            <v>Pres</v>
          </cell>
          <cell r="Z1837">
            <v>4.8099999999999996</v>
          </cell>
          <cell r="AA1837">
            <v>0</v>
          </cell>
          <cell r="AB1837">
            <v>0</v>
          </cell>
        </row>
        <row r="1838">
          <cell r="G1838" t="str">
            <v>X189_0</v>
          </cell>
          <cell r="H1838" t="str">
            <v/>
          </cell>
          <cell r="I1838" t="str">
            <v>met</v>
          </cell>
          <cell r="V1838" t="str">
            <v>0</v>
          </cell>
          <cell r="Y1838">
            <v>0</v>
          </cell>
          <cell r="Z1838">
            <v>4.96</v>
          </cell>
          <cell r="AA1838" t="str">
            <v>H</v>
          </cell>
          <cell r="AB1838">
            <v>0</v>
          </cell>
        </row>
        <row r="1839">
          <cell r="G1839" t="str">
            <v>X189_1</v>
          </cell>
          <cell r="H1839" t="str">
            <v/>
          </cell>
          <cell r="I1839" t="str">
            <v>met</v>
          </cell>
          <cell r="V1839" t="str">
            <v>0</v>
          </cell>
          <cell r="Y1839" t="str">
            <v>Pres</v>
          </cell>
          <cell r="Z1839">
            <v>4.96</v>
          </cell>
          <cell r="AA1839" t="str">
            <v>H</v>
          </cell>
          <cell r="AB1839">
            <v>0</v>
          </cell>
        </row>
        <row r="1840">
          <cell r="G1840" t="str">
            <v>X190_0</v>
          </cell>
          <cell r="H1840" t="str">
            <v/>
          </cell>
          <cell r="I1840" t="str">
            <v>met</v>
          </cell>
          <cell r="V1840" t="str">
            <v>0</v>
          </cell>
          <cell r="Y1840">
            <v>0</v>
          </cell>
          <cell r="Z1840">
            <v>4.38</v>
          </cell>
          <cell r="AA1840">
            <v>0</v>
          </cell>
          <cell r="AB1840">
            <v>0</v>
          </cell>
        </row>
        <row r="1841">
          <cell r="G1841" t="str">
            <v>X190_1</v>
          </cell>
          <cell r="H1841" t="str">
            <v/>
          </cell>
          <cell r="I1841" t="str">
            <v>met</v>
          </cell>
          <cell r="V1841" t="str">
            <v>0</v>
          </cell>
          <cell r="Y1841">
            <v>0</v>
          </cell>
          <cell r="Z1841">
            <v>4.38</v>
          </cell>
          <cell r="AA1841">
            <v>0</v>
          </cell>
          <cell r="AB1841">
            <v>0</v>
          </cell>
        </row>
        <row r="1842">
          <cell r="G1842" t="str">
            <v>X191_0</v>
          </cell>
          <cell r="H1842" t="str">
            <v>as-as</v>
          </cell>
          <cell r="I1842" t="str">
            <v>sim</v>
          </cell>
          <cell r="V1842" t="str">
            <v>antonym</v>
          </cell>
          <cell r="Y1842" t="str">
            <v>Past</v>
          </cell>
          <cell r="Z1842">
            <v>2.5</v>
          </cell>
          <cell r="AA1842" t="str">
            <v>L</v>
          </cell>
          <cell r="AB1842">
            <v>0</v>
          </cell>
        </row>
        <row r="1843">
          <cell r="G1843" t="str">
            <v>X191_1</v>
          </cell>
          <cell r="H1843" t="str">
            <v>as-as</v>
          </cell>
          <cell r="I1843" t="str">
            <v>sim</v>
          </cell>
          <cell r="V1843" t="str">
            <v>antonym</v>
          </cell>
          <cell r="Y1843" t="str">
            <v>Past</v>
          </cell>
          <cell r="Z1843">
            <v>4.46</v>
          </cell>
          <cell r="AA1843">
            <v>0</v>
          </cell>
          <cell r="AB1843">
            <v>0</v>
          </cell>
        </row>
        <row r="1844">
          <cell r="G1844" t="str">
            <v>X192_0</v>
          </cell>
          <cell r="H1844" t="str">
            <v/>
          </cell>
          <cell r="I1844" t="str">
            <v>met</v>
          </cell>
          <cell r="V1844" t="str">
            <v>0</v>
          </cell>
          <cell r="Y1844" t="str">
            <v>Past</v>
          </cell>
          <cell r="Z1844">
            <v>4.8499999999999996</v>
          </cell>
          <cell r="AA1844">
            <v>0</v>
          </cell>
          <cell r="AB1844">
            <v>0</v>
          </cell>
        </row>
        <row r="1845">
          <cell r="G1845" t="str">
            <v>X192_1</v>
          </cell>
          <cell r="H1845" t="str">
            <v/>
          </cell>
          <cell r="I1845" t="str">
            <v>met</v>
          </cell>
          <cell r="V1845" t="str">
            <v>0</v>
          </cell>
          <cell r="Y1845" t="str">
            <v>Past</v>
          </cell>
          <cell r="Z1845">
            <v>4.8499999999999996</v>
          </cell>
          <cell r="AA1845">
            <v>0</v>
          </cell>
          <cell r="AB1845">
            <v>0</v>
          </cell>
        </row>
        <row r="1846">
          <cell r="G1846" t="str">
            <v>X193_0</v>
          </cell>
          <cell r="H1846" t="str">
            <v>as-as</v>
          </cell>
          <cell r="I1846" t="str">
            <v>sim</v>
          </cell>
          <cell r="V1846" t="str">
            <v>not neg pair</v>
          </cell>
          <cell r="Y1846" t="str">
            <v>Past</v>
          </cell>
          <cell r="Z1846">
            <v>4.76</v>
          </cell>
          <cell r="AA1846">
            <v>0</v>
          </cell>
          <cell r="AB1846">
            <v>0</v>
          </cell>
        </row>
        <row r="1847">
          <cell r="G1847" t="str">
            <v>X193_1</v>
          </cell>
          <cell r="H1847" t="str">
            <v>as-as</v>
          </cell>
          <cell r="I1847" t="str">
            <v>sim</v>
          </cell>
          <cell r="V1847" t="str">
            <v>not neg pair</v>
          </cell>
          <cell r="Y1847" t="str">
            <v>Past</v>
          </cell>
          <cell r="Z1847">
            <v>4.76</v>
          </cell>
          <cell r="AA1847">
            <v>0</v>
          </cell>
          <cell r="AB1847">
            <v>0</v>
          </cell>
        </row>
        <row r="1848">
          <cell r="G1848" t="str">
            <v>X194_0</v>
          </cell>
          <cell r="H1848" t="str">
            <v/>
          </cell>
          <cell r="I1848" t="str">
            <v>met</v>
          </cell>
          <cell r="V1848" t="str">
            <v>0</v>
          </cell>
          <cell r="Y1848" t="str">
            <v>Pres</v>
          </cell>
          <cell r="Z1848">
            <v>4.72</v>
          </cell>
          <cell r="AA1848">
            <v>0</v>
          </cell>
          <cell r="AB1848">
            <v>0</v>
          </cell>
        </row>
        <row r="1849">
          <cell r="G1849" t="str">
            <v>X194_1</v>
          </cell>
          <cell r="H1849" t="str">
            <v/>
          </cell>
          <cell r="I1849" t="str">
            <v>met</v>
          </cell>
          <cell r="V1849" t="str">
            <v>0</v>
          </cell>
          <cell r="Y1849" t="str">
            <v>Pres</v>
          </cell>
          <cell r="Z1849">
            <v>4.72</v>
          </cell>
          <cell r="AA1849">
            <v>0</v>
          </cell>
          <cell r="AB1849">
            <v>0</v>
          </cell>
        </row>
        <row r="1850">
          <cell r="G1850" t="str">
            <v>X195_0</v>
          </cell>
          <cell r="H1850" t="str">
            <v/>
          </cell>
          <cell r="I1850" t="str">
            <v>met</v>
          </cell>
          <cell r="V1850" t="str">
            <v>0</v>
          </cell>
          <cell r="Y1850" t="str">
            <v>Pres</v>
          </cell>
          <cell r="Z1850">
            <v>4.82</v>
          </cell>
          <cell r="AA1850">
            <v>0</v>
          </cell>
          <cell r="AB1850">
            <v>0</v>
          </cell>
        </row>
        <row r="1851">
          <cell r="G1851" t="str">
            <v>X195_1</v>
          </cell>
          <cell r="H1851" t="str">
            <v/>
          </cell>
          <cell r="I1851" t="str">
            <v>met</v>
          </cell>
          <cell r="V1851" t="str">
            <v>0</v>
          </cell>
          <cell r="Y1851" t="str">
            <v>Pres</v>
          </cell>
          <cell r="Z1851">
            <v>4.82</v>
          </cell>
          <cell r="AA1851">
            <v>0</v>
          </cell>
          <cell r="AB1851">
            <v>0</v>
          </cell>
        </row>
        <row r="1852">
          <cell r="G1852" t="str">
            <v>X196_0</v>
          </cell>
          <cell r="H1852" t="str">
            <v/>
          </cell>
          <cell r="I1852" t="str">
            <v>met</v>
          </cell>
          <cell r="V1852" t="str">
            <v>0</v>
          </cell>
          <cell r="Y1852" t="str">
            <v>Pres</v>
          </cell>
          <cell r="Z1852">
            <v>4.82</v>
          </cell>
          <cell r="AA1852">
            <v>0</v>
          </cell>
          <cell r="AB1852">
            <v>0</v>
          </cell>
        </row>
        <row r="1853">
          <cell r="G1853" t="str">
            <v>X196_1</v>
          </cell>
          <cell r="H1853" t="str">
            <v/>
          </cell>
          <cell r="I1853" t="str">
            <v>met</v>
          </cell>
          <cell r="V1853" t="str">
            <v>0</v>
          </cell>
          <cell r="Y1853" t="str">
            <v>Pres</v>
          </cell>
          <cell r="Z1853">
            <v>4.82</v>
          </cell>
          <cell r="AA1853">
            <v>0</v>
          </cell>
          <cell r="AB1853">
            <v>0</v>
          </cell>
        </row>
        <row r="1854">
          <cell r="G1854" t="str">
            <v>X197_0</v>
          </cell>
          <cell r="H1854" t="str">
            <v>as</v>
          </cell>
          <cell r="I1854" t="str">
            <v>sim</v>
          </cell>
          <cell r="V1854" t="str">
            <v>not neg pair</v>
          </cell>
          <cell r="Y1854" t="str">
            <v>Pres</v>
          </cell>
          <cell r="Z1854">
            <v>3.29</v>
          </cell>
          <cell r="AA1854">
            <v>0</v>
          </cell>
          <cell r="AB1854">
            <v>0</v>
          </cell>
        </row>
        <row r="1855">
          <cell r="G1855" t="str">
            <v>X197_1</v>
          </cell>
          <cell r="H1855" t="str">
            <v>as</v>
          </cell>
          <cell r="I1855" t="str">
            <v>sim</v>
          </cell>
          <cell r="V1855" t="str">
            <v>not neg pair</v>
          </cell>
          <cell r="Y1855" t="str">
            <v>Pres</v>
          </cell>
          <cell r="Z1855">
            <v>3.29</v>
          </cell>
          <cell r="AA1855">
            <v>0</v>
          </cell>
          <cell r="AB1855">
            <v>0</v>
          </cell>
        </row>
        <row r="1856">
          <cell r="G1856" t="str">
            <v>X198_0</v>
          </cell>
          <cell r="H1856" t="str">
            <v>as</v>
          </cell>
          <cell r="I1856" t="str">
            <v>sim</v>
          </cell>
          <cell r="V1856" t="str">
            <v>not neg pair</v>
          </cell>
          <cell r="Y1856" t="str">
            <v>Past</v>
          </cell>
          <cell r="Z1856">
            <v>4.79</v>
          </cell>
          <cell r="AA1856">
            <v>0</v>
          </cell>
          <cell r="AB1856">
            <v>0</v>
          </cell>
        </row>
        <row r="1857">
          <cell r="G1857" t="str">
            <v>X198_1</v>
          </cell>
          <cell r="H1857" t="str">
            <v>as</v>
          </cell>
          <cell r="I1857" t="str">
            <v>sim</v>
          </cell>
          <cell r="V1857" t="str">
            <v>not neg pair</v>
          </cell>
          <cell r="Y1857" t="str">
            <v>Past</v>
          </cell>
          <cell r="Z1857">
            <v>4.79</v>
          </cell>
          <cell r="AA1857">
            <v>0</v>
          </cell>
          <cell r="AB1857">
            <v>0</v>
          </cell>
        </row>
        <row r="1858">
          <cell r="G1858" t="str">
            <v>X199_0</v>
          </cell>
          <cell r="H1858" t="str">
            <v>like</v>
          </cell>
          <cell r="I1858" t="str">
            <v>sim</v>
          </cell>
          <cell r="V1858" t="str">
            <v>not neg pair</v>
          </cell>
          <cell r="Y1858" t="str">
            <v>Pres</v>
          </cell>
          <cell r="Z1858">
            <v>4.74</v>
          </cell>
          <cell r="AA1858">
            <v>0</v>
          </cell>
          <cell r="AB1858">
            <v>0</v>
          </cell>
        </row>
        <row r="1859">
          <cell r="G1859" t="str">
            <v>X199_1</v>
          </cell>
          <cell r="H1859" t="str">
            <v>like</v>
          </cell>
          <cell r="I1859" t="str">
            <v>sim</v>
          </cell>
          <cell r="V1859" t="str">
            <v>not neg pair</v>
          </cell>
          <cell r="Y1859" t="str">
            <v>Pres</v>
          </cell>
          <cell r="Z1859">
            <v>4.74</v>
          </cell>
          <cell r="AA1859">
            <v>0</v>
          </cell>
          <cell r="AB1859">
            <v>0</v>
          </cell>
        </row>
        <row r="1860">
          <cell r="G1860" t="str">
            <v>X200_0</v>
          </cell>
          <cell r="H1860" t="str">
            <v/>
          </cell>
          <cell r="I1860" t="str">
            <v>met</v>
          </cell>
          <cell r="V1860" t="str">
            <v>0</v>
          </cell>
          <cell r="Y1860" t="str">
            <v>Pres</v>
          </cell>
          <cell r="Z1860">
            <v>4.97</v>
          </cell>
          <cell r="AA1860" t="str">
            <v>H</v>
          </cell>
          <cell r="AB1860">
            <v>0</v>
          </cell>
        </row>
        <row r="1861">
          <cell r="G1861" t="str">
            <v>X200_1</v>
          </cell>
          <cell r="H1861" t="str">
            <v/>
          </cell>
          <cell r="I1861" t="str">
            <v>met</v>
          </cell>
          <cell r="V1861" t="str">
            <v>0</v>
          </cell>
          <cell r="Y1861" t="str">
            <v>Pres</v>
          </cell>
          <cell r="Z1861">
            <v>4.97</v>
          </cell>
          <cell r="AA1861" t="str">
            <v>H</v>
          </cell>
          <cell r="AB1861">
            <v>0</v>
          </cell>
        </row>
        <row r="1862">
          <cell r="G1862" t="str">
            <v>X201_0</v>
          </cell>
          <cell r="H1862" t="str">
            <v/>
          </cell>
          <cell r="I1862" t="str">
            <v>met</v>
          </cell>
          <cell r="V1862" t="str">
            <v>0</v>
          </cell>
          <cell r="Y1862" t="str">
            <v>Pres</v>
          </cell>
          <cell r="Z1862">
            <v>4.93</v>
          </cell>
          <cell r="AA1862" t="str">
            <v>H</v>
          </cell>
          <cell r="AB1862">
            <v>0</v>
          </cell>
        </row>
        <row r="1863">
          <cell r="G1863" t="str">
            <v>X201_1</v>
          </cell>
          <cell r="H1863" t="str">
            <v/>
          </cell>
          <cell r="I1863" t="str">
            <v>met</v>
          </cell>
          <cell r="V1863" t="str">
            <v>0</v>
          </cell>
          <cell r="Y1863" t="str">
            <v>Pres</v>
          </cell>
          <cell r="Z1863">
            <v>4.93</v>
          </cell>
          <cell r="AA1863" t="str">
            <v>H</v>
          </cell>
          <cell r="AB1863">
            <v>0</v>
          </cell>
        </row>
        <row r="1864">
          <cell r="G1864" t="str">
            <v>X202_0</v>
          </cell>
          <cell r="H1864" t="str">
            <v/>
          </cell>
          <cell r="I1864" t="str">
            <v>met</v>
          </cell>
          <cell r="V1864" t="str">
            <v>0</v>
          </cell>
          <cell r="Y1864" t="str">
            <v>Pres</v>
          </cell>
          <cell r="Z1864">
            <v>4.8499999999999996</v>
          </cell>
          <cell r="AA1864">
            <v>0</v>
          </cell>
          <cell r="AB1864">
            <v>0</v>
          </cell>
        </row>
        <row r="1865">
          <cell r="G1865" t="str">
            <v>X202_1</v>
          </cell>
          <cell r="H1865" t="str">
            <v/>
          </cell>
          <cell r="I1865" t="str">
            <v>met</v>
          </cell>
          <cell r="V1865" t="str">
            <v>0</v>
          </cell>
          <cell r="Y1865" t="str">
            <v>Pres</v>
          </cell>
          <cell r="Z1865">
            <v>4.8499999999999996</v>
          </cell>
          <cell r="AA1865">
            <v>0</v>
          </cell>
          <cell r="AB1865">
            <v>0</v>
          </cell>
        </row>
        <row r="1866">
          <cell r="G1866" t="str">
            <v>X203_0</v>
          </cell>
          <cell r="H1866" t="str">
            <v/>
          </cell>
          <cell r="I1866" t="str">
            <v>met</v>
          </cell>
          <cell r="V1866" t="str">
            <v>0</v>
          </cell>
          <cell r="Y1866" t="str">
            <v>Past</v>
          </cell>
          <cell r="Z1866">
            <v>4.3099999999999996</v>
          </cell>
          <cell r="AA1866">
            <v>0</v>
          </cell>
          <cell r="AB1866">
            <v>0</v>
          </cell>
        </row>
        <row r="1867">
          <cell r="G1867" t="str">
            <v>X203_1</v>
          </cell>
          <cell r="H1867" t="str">
            <v/>
          </cell>
          <cell r="I1867" t="str">
            <v>met</v>
          </cell>
          <cell r="V1867" t="str">
            <v>0</v>
          </cell>
          <cell r="Y1867" t="str">
            <v>Past</v>
          </cell>
          <cell r="Z1867">
            <v>3.93</v>
          </cell>
          <cell r="AA1867">
            <v>0</v>
          </cell>
          <cell r="AB1867">
            <v>0</v>
          </cell>
        </row>
        <row r="1868">
          <cell r="G1868" t="str">
            <v>X204_0</v>
          </cell>
          <cell r="H1868" t="str">
            <v>as</v>
          </cell>
          <cell r="I1868" t="str">
            <v>sim</v>
          </cell>
          <cell r="V1868" t="str">
            <v>not neg pair</v>
          </cell>
          <cell r="Y1868" t="str">
            <v>Past</v>
          </cell>
          <cell r="Z1868">
            <v>2.79</v>
          </cell>
          <cell r="AA1868" t="str">
            <v>L</v>
          </cell>
          <cell r="AB1868">
            <v>0</v>
          </cell>
        </row>
        <row r="1869">
          <cell r="G1869" t="str">
            <v>X204_1</v>
          </cell>
          <cell r="H1869" t="str">
            <v>as</v>
          </cell>
          <cell r="I1869" t="str">
            <v>sim</v>
          </cell>
          <cell r="V1869" t="str">
            <v>not neg pair</v>
          </cell>
          <cell r="Y1869" t="str">
            <v>Past</v>
          </cell>
          <cell r="Z1869">
            <v>2.79</v>
          </cell>
          <cell r="AA1869" t="str">
            <v>L</v>
          </cell>
          <cell r="AB1869">
            <v>0</v>
          </cell>
        </row>
        <row r="1870">
          <cell r="G1870" t="str">
            <v>X205_0</v>
          </cell>
          <cell r="H1870" t="str">
            <v>as</v>
          </cell>
          <cell r="I1870" t="str">
            <v>sim</v>
          </cell>
          <cell r="V1870" t="str">
            <v>not</v>
          </cell>
          <cell r="Y1870" t="str">
            <v>Past</v>
          </cell>
          <cell r="Z1870">
            <v>2.68</v>
          </cell>
          <cell r="AA1870" t="str">
            <v>L</v>
          </cell>
          <cell r="AB1870">
            <v>0</v>
          </cell>
        </row>
        <row r="1871">
          <cell r="G1871" t="str">
            <v>X205_1</v>
          </cell>
          <cell r="H1871" t="str">
            <v>as</v>
          </cell>
          <cell r="I1871" t="str">
            <v>sim</v>
          </cell>
          <cell r="V1871" t="str">
            <v>not</v>
          </cell>
          <cell r="Y1871" t="str">
            <v>Pres</v>
          </cell>
          <cell r="Z1871">
            <v>2.68</v>
          </cell>
          <cell r="AA1871" t="str">
            <v>L</v>
          </cell>
          <cell r="AB1871">
            <v>0</v>
          </cell>
        </row>
        <row r="1872">
          <cell r="G1872" t="str">
            <v>X206_0</v>
          </cell>
          <cell r="H1872" t="str">
            <v/>
          </cell>
          <cell r="I1872" t="str">
            <v>met</v>
          </cell>
          <cell r="V1872" t="str">
            <v>0</v>
          </cell>
          <cell r="Y1872" t="str">
            <v>Pres</v>
          </cell>
          <cell r="Z1872">
            <v>4.5199999999999996</v>
          </cell>
          <cell r="AA1872">
            <v>0</v>
          </cell>
          <cell r="AB1872">
            <v>0</v>
          </cell>
        </row>
        <row r="1873">
          <cell r="G1873" t="str">
            <v>X206_1</v>
          </cell>
          <cell r="H1873" t="str">
            <v/>
          </cell>
          <cell r="I1873" t="str">
            <v>met</v>
          </cell>
          <cell r="V1873" t="str">
            <v>0</v>
          </cell>
          <cell r="Y1873" t="str">
            <v>Pres</v>
          </cell>
          <cell r="Z1873">
            <v>4.5199999999999996</v>
          </cell>
          <cell r="AA1873">
            <v>0</v>
          </cell>
          <cell r="AB1873">
            <v>0</v>
          </cell>
        </row>
        <row r="1874">
          <cell r="G1874" t="str">
            <v>X207_0</v>
          </cell>
          <cell r="H1874" t="str">
            <v/>
          </cell>
          <cell r="I1874" t="str">
            <v>met</v>
          </cell>
          <cell r="V1874" t="str">
            <v>0</v>
          </cell>
          <cell r="Y1874" t="str">
            <v>Past</v>
          </cell>
          <cell r="Z1874">
            <v>4.3499999999999996</v>
          </cell>
          <cell r="AA1874">
            <v>0</v>
          </cell>
          <cell r="AB1874">
            <v>0</v>
          </cell>
        </row>
        <row r="1875">
          <cell r="G1875" t="str">
            <v>X207_1</v>
          </cell>
          <cell r="H1875" t="str">
            <v>like</v>
          </cell>
          <cell r="I1875" t="str">
            <v>sim</v>
          </cell>
          <cell r="V1875" t="str">
            <v>0</v>
          </cell>
          <cell r="Y1875" t="str">
            <v>Past</v>
          </cell>
          <cell r="Z1875">
            <v>4.3499999999999996</v>
          </cell>
          <cell r="AA1875">
            <v>0</v>
          </cell>
          <cell r="AB1875">
            <v>0</v>
          </cell>
        </row>
        <row r="1876">
          <cell r="G1876" t="str">
            <v>X208_0</v>
          </cell>
          <cell r="H1876" t="str">
            <v>the-of</v>
          </cell>
          <cell r="I1876" t="str">
            <v>sim</v>
          </cell>
          <cell r="V1876" t="str">
            <v>not neg pair</v>
          </cell>
          <cell r="Y1876" t="str">
            <v>Past</v>
          </cell>
          <cell r="Z1876">
            <v>3.93</v>
          </cell>
          <cell r="AA1876">
            <v>0</v>
          </cell>
          <cell r="AB1876">
            <v>0</v>
          </cell>
        </row>
        <row r="1877">
          <cell r="G1877" t="str">
            <v>X208_1</v>
          </cell>
          <cell r="H1877" t="str">
            <v>the-of</v>
          </cell>
          <cell r="I1877" t="str">
            <v>sim</v>
          </cell>
          <cell r="V1877" t="str">
            <v>not neg pair</v>
          </cell>
          <cell r="Y1877" t="str">
            <v>Past</v>
          </cell>
          <cell r="Z1877">
            <v>3.93</v>
          </cell>
          <cell r="AA1877">
            <v>0</v>
          </cell>
          <cell r="AB1877">
            <v>0</v>
          </cell>
        </row>
        <row r="1878">
          <cell r="G1878" t="str">
            <v>X209_0</v>
          </cell>
          <cell r="H1878" t="str">
            <v/>
          </cell>
          <cell r="I1878" t="str">
            <v>met</v>
          </cell>
          <cell r="V1878" t="str">
            <v>0</v>
          </cell>
          <cell r="Y1878" t="str">
            <v>Pres</v>
          </cell>
          <cell r="Z1878">
            <v>0</v>
          </cell>
          <cell r="AA1878">
            <v>0</v>
          </cell>
          <cell r="AB1878">
            <v>0</v>
          </cell>
        </row>
        <row r="1879">
          <cell r="G1879" t="str">
            <v>X209_1</v>
          </cell>
          <cell r="H1879" t="str">
            <v/>
          </cell>
          <cell r="I1879" t="str">
            <v>met</v>
          </cell>
          <cell r="V1879" t="str">
            <v>0</v>
          </cell>
          <cell r="Y1879" t="str">
            <v>Pres</v>
          </cell>
          <cell r="Z1879">
            <v>0</v>
          </cell>
          <cell r="AA1879">
            <v>0</v>
          </cell>
          <cell r="AB1879">
            <v>0</v>
          </cell>
        </row>
        <row r="1880">
          <cell r="G1880" t="str">
            <v>X210_0</v>
          </cell>
          <cell r="H1880" t="str">
            <v>as-as</v>
          </cell>
          <cell r="I1880" t="str">
            <v>sim</v>
          </cell>
          <cell r="V1880" t="str">
            <v>not</v>
          </cell>
          <cell r="Y1880" t="str">
            <v>Pres</v>
          </cell>
          <cell r="Z1880">
            <v>0</v>
          </cell>
          <cell r="AA1880">
            <v>0</v>
          </cell>
          <cell r="AB1880">
            <v>0</v>
          </cell>
        </row>
        <row r="1881">
          <cell r="G1881" t="str">
            <v>X210_1</v>
          </cell>
          <cell r="H1881" t="str">
            <v>as-as</v>
          </cell>
          <cell r="I1881" t="str">
            <v>sim</v>
          </cell>
          <cell r="V1881" t="str">
            <v>not</v>
          </cell>
          <cell r="Y1881" t="str">
            <v>Pres</v>
          </cell>
          <cell r="Z1881">
            <v>4.93</v>
          </cell>
          <cell r="AA1881" t="str">
            <v>H</v>
          </cell>
          <cell r="AB1881">
            <v>0</v>
          </cell>
        </row>
        <row r="1882">
          <cell r="G1882" t="str">
            <v>X211_0</v>
          </cell>
          <cell r="H1882" t="str">
            <v>as-as</v>
          </cell>
          <cell r="I1882" t="str">
            <v>sim</v>
          </cell>
          <cell r="V1882" t="str">
            <v>not</v>
          </cell>
          <cell r="Y1882" t="str">
            <v>Past</v>
          </cell>
          <cell r="Z1882">
            <v>4.6399999999999997</v>
          </cell>
          <cell r="AA1882">
            <v>0</v>
          </cell>
          <cell r="AB1882">
            <v>0</v>
          </cell>
        </row>
        <row r="1883">
          <cell r="G1883" t="str">
            <v>X211_1</v>
          </cell>
          <cell r="H1883" t="str">
            <v>as-as</v>
          </cell>
          <cell r="I1883" t="str">
            <v>sim</v>
          </cell>
          <cell r="V1883" t="str">
            <v>not</v>
          </cell>
          <cell r="Y1883" t="str">
            <v>Past</v>
          </cell>
          <cell r="Z1883">
            <v>4.6399999999999997</v>
          </cell>
          <cell r="AA1883">
            <v>0</v>
          </cell>
          <cell r="AB1883">
            <v>0</v>
          </cell>
        </row>
        <row r="1884">
          <cell r="G1884" t="str">
            <v>X212_0</v>
          </cell>
          <cell r="H1884" t="str">
            <v>as</v>
          </cell>
          <cell r="I1884" t="str">
            <v>sim</v>
          </cell>
          <cell r="V1884" t="str">
            <v>not</v>
          </cell>
          <cell r="Y1884" t="str">
            <v>Past</v>
          </cell>
          <cell r="Z1884">
            <v>3.92</v>
          </cell>
          <cell r="AA1884">
            <v>0</v>
          </cell>
          <cell r="AB1884">
            <v>0</v>
          </cell>
        </row>
        <row r="1885">
          <cell r="G1885" t="str">
            <v>X212_1</v>
          </cell>
          <cell r="H1885" t="str">
            <v>as</v>
          </cell>
          <cell r="I1885" t="str">
            <v>sim</v>
          </cell>
          <cell r="V1885" t="str">
            <v>not</v>
          </cell>
          <cell r="Y1885" t="str">
            <v>Past</v>
          </cell>
          <cell r="Z1885">
            <v>3.92</v>
          </cell>
          <cell r="AA1885">
            <v>0</v>
          </cell>
          <cell r="AB1885">
            <v>0</v>
          </cell>
        </row>
        <row r="1886">
          <cell r="G1886" t="str">
            <v>X213_0</v>
          </cell>
          <cell r="H1886" t="str">
            <v>as-as</v>
          </cell>
          <cell r="I1886" t="str">
            <v>sim</v>
          </cell>
          <cell r="V1886" t="str">
            <v>not</v>
          </cell>
          <cell r="Y1886" t="str">
            <v>Past</v>
          </cell>
          <cell r="Z1886">
            <v>4.3499999999999996</v>
          </cell>
          <cell r="AA1886">
            <v>0</v>
          </cell>
          <cell r="AB1886">
            <v>0</v>
          </cell>
        </row>
        <row r="1887">
          <cell r="G1887" t="str">
            <v>X213_1</v>
          </cell>
          <cell r="H1887" t="str">
            <v>as-as</v>
          </cell>
          <cell r="I1887" t="str">
            <v>sim</v>
          </cell>
          <cell r="V1887" t="str">
            <v>not</v>
          </cell>
          <cell r="Y1887" t="str">
            <v>Past</v>
          </cell>
          <cell r="Z1887">
            <v>4.3499999999999996</v>
          </cell>
          <cell r="AA1887">
            <v>0</v>
          </cell>
          <cell r="AB1887">
            <v>0</v>
          </cell>
        </row>
        <row r="1888">
          <cell r="G1888" t="str">
            <v>X214_0</v>
          </cell>
          <cell r="H1888" t="str">
            <v>as-as</v>
          </cell>
          <cell r="I1888" t="str">
            <v>sim</v>
          </cell>
          <cell r="V1888" t="str">
            <v>not</v>
          </cell>
          <cell r="Y1888" t="str">
            <v>Past</v>
          </cell>
          <cell r="Z1888">
            <v>3.38</v>
          </cell>
          <cell r="AA1888">
            <v>0</v>
          </cell>
          <cell r="AB1888">
            <v>0</v>
          </cell>
        </row>
        <row r="1889">
          <cell r="G1889" t="str">
            <v>X214_1</v>
          </cell>
          <cell r="H1889" t="str">
            <v>as-as</v>
          </cell>
          <cell r="I1889" t="str">
            <v>sim</v>
          </cell>
          <cell r="V1889" t="str">
            <v>not</v>
          </cell>
          <cell r="Y1889" t="str">
            <v>Past</v>
          </cell>
          <cell r="Z1889">
            <v>3.38</v>
          </cell>
          <cell r="AA1889">
            <v>0</v>
          </cell>
          <cell r="AB1889">
            <v>0</v>
          </cell>
        </row>
        <row r="1890">
          <cell r="G1890" t="str">
            <v>X215_0</v>
          </cell>
          <cell r="H1890" t="str">
            <v>as-as</v>
          </cell>
          <cell r="I1890" t="str">
            <v>sim</v>
          </cell>
          <cell r="V1890" t="str">
            <v>antonym</v>
          </cell>
          <cell r="Y1890" t="str">
            <v>Pres</v>
          </cell>
          <cell r="Z1890">
            <v>3.36</v>
          </cell>
          <cell r="AA1890">
            <v>0</v>
          </cell>
          <cell r="AB1890">
            <v>0</v>
          </cell>
        </row>
        <row r="1891">
          <cell r="G1891" t="str">
            <v>X215_1</v>
          </cell>
          <cell r="H1891" t="str">
            <v>as-as</v>
          </cell>
          <cell r="I1891" t="str">
            <v>sim</v>
          </cell>
          <cell r="V1891" t="str">
            <v>antonym</v>
          </cell>
          <cell r="Y1891" t="str">
            <v>Pres</v>
          </cell>
          <cell r="Z1891">
            <v>3.36</v>
          </cell>
          <cell r="AA1891">
            <v>0</v>
          </cell>
          <cell r="AB1891">
            <v>0</v>
          </cell>
        </row>
        <row r="1892">
          <cell r="G1892" t="str">
            <v>X216_0</v>
          </cell>
          <cell r="H1892" t="str">
            <v/>
          </cell>
          <cell r="I1892" t="str">
            <v>met</v>
          </cell>
          <cell r="V1892" t="str">
            <v>0</v>
          </cell>
          <cell r="Y1892" t="str">
            <v>Past</v>
          </cell>
          <cell r="Z1892">
            <v>2.08</v>
          </cell>
          <cell r="AA1892" t="str">
            <v>L</v>
          </cell>
          <cell r="AB1892">
            <v>0</v>
          </cell>
        </row>
        <row r="1893">
          <cell r="G1893" t="str">
            <v>X216_1</v>
          </cell>
          <cell r="H1893" t="str">
            <v/>
          </cell>
          <cell r="I1893" t="str">
            <v>met</v>
          </cell>
          <cell r="V1893" t="str">
            <v>0</v>
          </cell>
          <cell r="Y1893" t="str">
            <v>Past</v>
          </cell>
          <cell r="Z1893">
            <v>2.08</v>
          </cell>
          <cell r="AA1893" t="str">
            <v>L</v>
          </cell>
          <cell r="AB1893">
            <v>0</v>
          </cell>
        </row>
        <row r="1894">
          <cell r="G1894" t="str">
            <v>X217_0</v>
          </cell>
          <cell r="H1894" t="str">
            <v>the-of</v>
          </cell>
          <cell r="I1894" t="str">
            <v>sim</v>
          </cell>
          <cell r="V1894" t="str">
            <v>not neg pair</v>
          </cell>
          <cell r="Y1894" t="str">
            <v>Past</v>
          </cell>
          <cell r="Z1894">
            <v>4.78</v>
          </cell>
          <cell r="AA1894">
            <v>0</v>
          </cell>
          <cell r="AB1894">
            <v>0</v>
          </cell>
        </row>
        <row r="1895">
          <cell r="G1895" t="str">
            <v>X217_1</v>
          </cell>
          <cell r="H1895" t="str">
            <v>the-of</v>
          </cell>
          <cell r="I1895" t="str">
            <v>sim</v>
          </cell>
          <cell r="V1895" t="str">
            <v>not neg pair</v>
          </cell>
          <cell r="Y1895" t="str">
            <v>Past</v>
          </cell>
          <cell r="Z1895">
            <v>4.78</v>
          </cell>
          <cell r="AA1895">
            <v>0</v>
          </cell>
          <cell r="AB1895">
            <v>0</v>
          </cell>
        </row>
        <row r="1896">
          <cell r="G1896" t="str">
            <v>X218_0</v>
          </cell>
          <cell r="H1896" t="str">
            <v/>
          </cell>
          <cell r="I1896" t="str">
            <v>met</v>
          </cell>
          <cell r="V1896" t="str">
            <v>0</v>
          </cell>
          <cell r="Y1896" t="str">
            <v>Pres</v>
          </cell>
          <cell r="Z1896">
            <v>4.6100000000000003</v>
          </cell>
          <cell r="AA1896">
            <v>0</v>
          </cell>
          <cell r="AB1896">
            <v>0</v>
          </cell>
        </row>
        <row r="1897">
          <cell r="G1897" t="str">
            <v>X218_1</v>
          </cell>
          <cell r="H1897" t="str">
            <v/>
          </cell>
          <cell r="I1897" t="str">
            <v>met</v>
          </cell>
          <cell r="V1897" t="str">
            <v>0</v>
          </cell>
          <cell r="Y1897" t="str">
            <v>Past</v>
          </cell>
          <cell r="Z1897">
            <v>4.6100000000000003</v>
          </cell>
          <cell r="AA1897">
            <v>0</v>
          </cell>
          <cell r="AB1897">
            <v>0</v>
          </cell>
        </row>
        <row r="1898">
          <cell r="G1898" t="str">
            <v>X219_0</v>
          </cell>
          <cell r="H1898" t="str">
            <v/>
          </cell>
          <cell r="I1898" t="str">
            <v>met</v>
          </cell>
          <cell r="V1898" t="str">
            <v>0</v>
          </cell>
          <cell r="Y1898" t="str">
            <v>Pres</v>
          </cell>
          <cell r="Z1898">
            <v>4.5199999999999996</v>
          </cell>
          <cell r="AA1898">
            <v>0</v>
          </cell>
          <cell r="AB1898">
            <v>0</v>
          </cell>
        </row>
        <row r="1899">
          <cell r="G1899" t="str">
            <v>X219_1</v>
          </cell>
          <cell r="H1899" t="str">
            <v/>
          </cell>
          <cell r="I1899" t="str">
            <v>met</v>
          </cell>
          <cell r="V1899" t="str">
            <v>0</v>
          </cell>
          <cell r="Y1899" t="str">
            <v>Pres</v>
          </cell>
          <cell r="Z1899">
            <v>4.5199999999999996</v>
          </cell>
          <cell r="AA1899">
            <v>0</v>
          </cell>
          <cell r="AB1899">
            <v>0</v>
          </cell>
        </row>
        <row r="1900">
          <cell r="G1900" t="str">
            <v>X220_0</v>
          </cell>
          <cell r="H1900" t="str">
            <v/>
          </cell>
          <cell r="I1900" t="str">
            <v>met</v>
          </cell>
          <cell r="V1900" t="str">
            <v>0</v>
          </cell>
          <cell r="Y1900" t="str">
            <v>Pres</v>
          </cell>
          <cell r="Z1900">
            <v>4.57</v>
          </cell>
          <cell r="AA1900">
            <v>0</v>
          </cell>
          <cell r="AB1900">
            <v>0</v>
          </cell>
        </row>
        <row r="1901">
          <cell r="G1901" t="str">
            <v>X220_1</v>
          </cell>
          <cell r="H1901" t="str">
            <v/>
          </cell>
          <cell r="I1901" t="str">
            <v>met</v>
          </cell>
          <cell r="V1901" t="str">
            <v>0</v>
          </cell>
          <cell r="Y1901" t="str">
            <v>Pres</v>
          </cell>
          <cell r="Z1901">
            <v>4.04</v>
          </cell>
          <cell r="AA1901">
            <v>0</v>
          </cell>
          <cell r="AB1901">
            <v>0</v>
          </cell>
        </row>
        <row r="1902">
          <cell r="G1902" t="str">
            <v>X221_0</v>
          </cell>
          <cell r="H1902" t="str">
            <v>as-as</v>
          </cell>
          <cell r="I1902" t="str">
            <v>sim</v>
          </cell>
          <cell r="V1902" t="str">
            <v>not</v>
          </cell>
          <cell r="Y1902" t="str">
            <v>Past</v>
          </cell>
          <cell r="Z1902">
            <v>3.89</v>
          </cell>
          <cell r="AA1902">
            <v>0</v>
          </cell>
          <cell r="AB1902">
            <v>0</v>
          </cell>
        </row>
        <row r="1903">
          <cell r="G1903" t="str">
            <v>X221_1</v>
          </cell>
          <cell r="H1903" t="str">
            <v>as-as</v>
          </cell>
          <cell r="I1903" t="str">
            <v>sim</v>
          </cell>
          <cell r="V1903" t="str">
            <v>not</v>
          </cell>
          <cell r="Y1903" t="str">
            <v>Past</v>
          </cell>
          <cell r="Z1903">
            <v>3.89</v>
          </cell>
          <cell r="AA1903">
            <v>0</v>
          </cell>
          <cell r="AB1903">
            <v>0</v>
          </cell>
        </row>
        <row r="1904">
          <cell r="G1904" t="str">
            <v>X222_0</v>
          </cell>
          <cell r="H1904" t="str">
            <v>as-as</v>
          </cell>
          <cell r="I1904" t="str">
            <v>sim</v>
          </cell>
          <cell r="V1904" t="str">
            <v>not neg pair</v>
          </cell>
          <cell r="Y1904" t="str">
            <v>Pres</v>
          </cell>
          <cell r="Z1904">
            <v>3.92</v>
          </cell>
          <cell r="AA1904">
            <v>0</v>
          </cell>
          <cell r="AB1904">
            <v>0</v>
          </cell>
        </row>
        <row r="1905">
          <cell r="G1905" t="str">
            <v>X222_1</v>
          </cell>
          <cell r="H1905" t="str">
            <v>as-as</v>
          </cell>
          <cell r="I1905" t="str">
            <v>sim</v>
          </cell>
          <cell r="V1905" t="str">
            <v>not neg pair</v>
          </cell>
          <cell r="Y1905" t="str">
            <v>Pres</v>
          </cell>
          <cell r="Z1905">
            <v>3.92</v>
          </cell>
          <cell r="AA1905">
            <v>0</v>
          </cell>
          <cell r="AB1905">
            <v>0</v>
          </cell>
        </row>
        <row r="1906">
          <cell r="G1906" t="str">
            <v>X223_0</v>
          </cell>
          <cell r="H1906" t="str">
            <v>as-as</v>
          </cell>
          <cell r="I1906" t="str">
            <v>sim</v>
          </cell>
          <cell r="V1906" t="str">
            <v>antonym</v>
          </cell>
          <cell r="Y1906" t="str">
            <v>Past</v>
          </cell>
          <cell r="Z1906">
            <v>5</v>
          </cell>
          <cell r="AA1906" t="str">
            <v>H</v>
          </cell>
          <cell r="AB1906">
            <v>0</v>
          </cell>
        </row>
        <row r="1907">
          <cell r="G1907" t="str">
            <v>X223_1</v>
          </cell>
          <cell r="H1907" t="str">
            <v>as-as</v>
          </cell>
          <cell r="I1907" t="str">
            <v>sim</v>
          </cell>
          <cell r="V1907" t="str">
            <v>antonym</v>
          </cell>
          <cell r="Y1907" t="str">
            <v>Past</v>
          </cell>
          <cell r="Z1907">
            <v>5</v>
          </cell>
          <cell r="AA1907" t="str">
            <v>H</v>
          </cell>
          <cell r="AB1907">
            <v>0</v>
          </cell>
        </row>
        <row r="1908">
          <cell r="G1908" t="str">
            <v>X224_0</v>
          </cell>
          <cell r="H1908" t="str">
            <v>as-as</v>
          </cell>
          <cell r="I1908" t="str">
            <v>sim</v>
          </cell>
          <cell r="V1908" t="str">
            <v>not neg pair</v>
          </cell>
          <cell r="Y1908" t="str">
            <v>Pres</v>
          </cell>
          <cell r="Z1908">
            <v>3.36</v>
          </cell>
          <cell r="AA1908">
            <v>0</v>
          </cell>
          <cell r="AB1908">
            <v>0</v>
          </cell>
        </row>
        <row r="1909">
          <cell r="G1909" t="str">
            <v>X224_1</v>
          </cell>
          <cell r="H1909" t="str">
            <v>as-as</v>
          </cell>
          <cell r="I1909" t="str">
            <v>sim</v>
          </cell>
          <cell r="V1909" t="str">
            <v>not neg pair</v>
          </cell>
          <cell r="Y1909" t="str">
            <v>Pres</v>
          </cell>
          <cell r="Z1909">
            <v>3.36</v>
          </cell>
          <cell r="AA1909">
            <v>0</v>
          </cell>
          <cell r="AB1909">
            <v>0</v>
          </cell>
        </row>
        <row r="1910">
          <cell r="G1910" t="str">
            <v>X225_0</v>
          </cell>
          <cell r="H1910" t="str">
            <v>the-of</v>
          </cell>
          <cell r="I1910" t="str">
            <v>sim</v>
          </cell>
          <cell r="V1910" t="str">
            <v>not</v>
          </cell>
          <cell r="Y1910" t="str">
            <v>Past</v>
          </cell>
          <cell r="Z1910">
            <v>3.41</v>
          </cell>
          <cell r="AA1910">
            <v>0</v>
          </cell>
          <cell r="AB1910">
            <v>0</v>
          </cell>
        </row>
        <row r="1911">
          <cell r="G1911" t="str">
            <v>X225_1</v>
          </cell>
          <cell r="H1911" t="str">
            <v>the-of</v>
          </cell>
          <cell r="I1911" t="str">
            <v>sim</v>
          </cell>
          <cell r="V1911" t="str">
            <v>not</v>
          </cell>
          <cell r="Y1911" t="str">
            <v>Past</v>
          </cell>
          <cell r="Z1911">
            <v>3.41</v>
          </cell>
          <cell r="AA1911">
            <v>0</v>
          </cell>
          <cell r="AB1911">
            <v>0</v>
          </cell>
        </row>
        <row r="1912">
          <cell r="G1912" t="str">
            <v>X226_0</v>
          </cell>
          <cell r="H1912" t="str">
            <v>as-as</v>
          </cell>
          <cell r="I1912" t="str">
            <v>sim</v>
          </cell>
          <cell r="V1912" t="str">
            <v>not</v>
          </cell>
          <cell r="Y1912" t="str">
            <v>Past</v>
          </cell>
          <cell r="Z1912">
            <v>3.48</v>
          </cell>
          <cell r="AA1912">
            <v>0</v>
          </cell>
          <cell r="AB1912">
            <v>0</v>
          </cell>
        </row>
        <row r="1913">
          <cell r="G1913" t="str">
            <v>X226_1</v>
          </cell>
          <cell r="H1913" t="str">
            <v>as-as</v>
          </cell>
          <cell r="I1913" t="str">
            <v>sim</v>
          </cell>
          <cell r="V1913" t="str">
            <v>not</v>
          </cell>
          <cell r="Y1913" t="str">
            <v>Past</v>
          </cell>
          <cell r="Z1913">
            <v>3.48</v>
          </cell>
          <cell r="AA1913">
            <v>0</v>
          </cell>
          <cell r="AB1913">
            <v>0</v>
          </cell>
        </row>
        <row r="1914">
          <cell r="G1914" t="str">
            <v>X227_0</v>
          </cell>
          <cell r="H1914" t="str">
            <v>as-as</v>
          </cell>
          <cell r="I1914" t="str">
            <v>sim</v>
          </cell>
          <cell r="V1914" t="str">
            <v>antonym</v>
          </cell>
          <cell r="Y1914" t="str">
            <v>Pres</v>
          </cell>
          <cell r="Z1914">
            <v>4.12</v>
          </cell>
          <cell r="AA1914">
            <v>0</v>
          </cell>
          <cell r="AB1914">
            <v>0</v>
          </cell>
        </row>
        <row r="1915">
          <cell r="G1915" t="str">
            <v>X227_1</v>
          </cell>
          <cell r="H1915" t="str">
            <v>as-as</v>
          </cell>
          <cell r="I1915" t="str">
            <v>sim</v>
          </cell>
          <cell r="V1915" t="str">
            <v>antonym</v>
          </cell>
          <cell r="Y1915" t="str">
            <v>Pres</v>
          </cell>
          <cell r="Z1915">
            <v>4.12</v>
          </cell>
          <cell r="AA1915">
            <v>0</v>
          </cell>
          <cell r="AB1915">
            <v>0</v>
          </cell>
        </row>
        <row r="1916">
          <cell r="G1916" t="str">
            <v>X228_0</v>
          </cell>
          <cell r="H1916" t="str">
            <v>as-as</v>
          </cell>
          <cell r="I1916" t="str">
            <v>sim</v>
          </cell>
          <cell r="V1916" t="str">
            <v>not</v>
          </cell>
          <cell r="Y1916" t="str">
            <v>Pres</v>
          </cell>
          <cell r="Z1916">
            <v>4.46</v>
          </cell>
          <cell r="AA1916">
            <v>0</v>
          </cell>
          <cell r="AB1916">
            <v>0</v>
          </cell>
        </row>
        <row r="1917">
          <cell r="G1917" t="str">
            <v>X228_1</v>
          </cell>
          <cell r="H1917" t="str">
            <v>as-as</v>
          </cell>
          <cell r="I1917" t="str">
            <v>sim</v>
          </cell>
          <cell r="V1917" t="str">
            <v>not</v>
          </cell>
          <cell r="Y1917" t="str">
            <v>Pres</v>
          </cell>
          <cell r="Z1917">
            <v>4.46</v>
          </cell>
          <cell r="AA1917">
            <v>0</v>
          </cell>
          <cell r="AB1917">
            <v>0</v>
          </cell>
        </row>
        <row r="1918">
          <cell r="G1918" t="str">
            <v>X229_0</v>
          </cell>
          <cell r="H1918" t="str">
            <v>the-of</v>
          </cell>
          <cell r="I1918" t="str">
            <v>sim</v>
          </cell>
          <cell r="V1918" t="str">
            <v>not</v>
          </cell>
          <cell r="Y1918" t="str">
            <v>Pres</v>
          </cell>
          <cell r="Z1918">
            <v>4.46</v>
          </cell>
          <cell r="AA1918">
            <v>0</v>
          </cell>
          <cell r="AB1918">
            <v>0</v>
          </cell>
        </row>
        <row r="1919">
          <cell r="G1919" t="str">
            <v>X229_1</v>
          </cell>
          <cell r="H1919" t="str">
            <v>the-of</v>
          </cell>
          <cell r="I1919" t="str">
            <v>sim</v>
          </cell>
          <cell r="V1919" t="str">
            <v>not</v>
          </cell>
          <cell r="Y1919" t="str">
            <v>Pres</v>
          </cell>
          <cell r="Z1919">
            <v>4.46</v>
          </cell>
          <cell r="AA1919">
            <v>0</v>
          </cell>
          <cell r="AB1919">
            <v>0</v>
          </cell>
        </row>
        <row r="1920">
          <cell r="G1920" t="str">
            <v>X230_0</v>
          </cell>
          <cell r="H1920" t="str">
            <v>as-as</v>
          </cell>
          <cell r="I1920" t="str">
            <v>sim</v>
          </cell>
          <cell r="V1920" t="str">
            <v>not neg pair</v>
          </cell>
          <cell r="Y1920" t="str">
            <v>Past</v>
          </cell>
          <cell r="Z1920">
            <v>3.93</v>
          </cell>
          <cell r="AA1920">
            <v>0</v>
          </cell>
          <cell r="AB1920">
            <v>0</v>
          </cell>
        </row>
        <row r="1921">
          <cell r="G1921" t="str">
            <v>X230_1</v>
          </cell>
          <cell r="H1921" t="str">
            <v>as-as</v>
          </cell>
          <cell r="I1921" t="str">
            <v>sim</v>
          </cell>
          <cell r="V1921" t="str">
            <v>not neg pair</v>
          </cell>
          <cell r="Y1921" t="str">
            <v>Past</v>
          </cell>
          <cell r="Z1921">
            <v>3.93</v>
          </cell>
          <cell r="AA1921">
            <v>0</v>
          </cell>
          <cell r="AB1921">
            <v>0</v>
          </cell>
        </row>
        <row r="1922">
          <cell r="G1922" t="str">
            <v>X231_0</v>
          </cell>
          <cell r="H1922" t="str">
            <v>as-as</v>
          </cell>
          <cell r="I1922" t="str">
            <v>sim</v>
          </cell>
          <cell r="V1922" t="str">
            <v>not neg pair</v>
          </cell>
          <cell r="Y1922" t="str">
            <v>Past</v>
          </cell>
          <cell r="Z1922">
            <v>2.81</v>
          </cell>
          <cell r="AA1922">
            <v>0</v>
          </cell>
          <cell r="AB1922">
            <v>0</v>
          </cell>
        </row>
        <row r="1923">
          <cell r="G1923" t="str">
            <v>X231_1</v>
          </cell>
          <cell r="H1923" t="str">
            <v>as-as</v>
          </cell>
          <cell r="I1923" t="str">
            <v>sim</v>
          </cell>
          <cell r="V1923" t="str">
            <v>not neg pair</v>
          </cell>
          <cell r="Y1923" t="str">
            <v>Past</v>
          </cell>
          <cell r="Z1923">
            <v>2.81</v>
          </cell>
          <cell r="AA1923">
            <v>0</v>
          </cell>
          <cell r="AB1923">
            <v>0</v>
          </cell>
        </row>
        <row r="1924">
          <cell r="G1924" t="str">
            <v>X232_0</v>
          </cell>
          <cell r="H1924" t="str">
            <v>as-as</v>
          </cell>
          <cell r="I1924" t="str">
            <v>sim</v>
          </cell>
          <cell r="V1924" t="str">
            <v>not neg pair</v>
          </cell>
          <cell r="Y1924" t="str">
            <v>Past</v>
          </cell>
          <cell r="Z1924">
            <v>2.81</v>
          </cell>
          <cell r="AA1924">
            <v>0</v>
          </cell>
          <cell r="AB1924">
            <v>0</v>
          </cell>
        </row>
        <row r="1925">
          <cell r="G1925" t="str">
            <v>X232_1</v>
          </cell>
          <cell r="H1925" t="str">
            <v>as-as</v>
          </cell>
          <cell r="I1925" t="str">
            <v>sim</v>
          </cell>
          <cell r="V1925" t="str">
            <v>not neg pair</v>
          </cell>
          <cell r="Y1925" t="str">
            <v>Past</v>
          </cell>
          <cell r="Z1925">
            <v>2.81</v>
          </cell>
          <cell r="AA1925">
            <v>0</v>
          </cell>
          <cell r="AB1925">
            <v>0</v>
          </cell>
        </row>
        <row r="1926">
          <cell r="G1926" t="str">
            <v>X233_0</v>
          </cell>
          <cell r="H1926" t="str">
            <v/>
          </cell>
          <cell r="I1926" t="str">
            <v>met</v>
          </cell>
          <cell r="V1926" t="str">
            <v>0</v>
          </cell>
          <cell r="Y1926" t="str">
            <v>Pres</v>
          </cell>
          <cell r="Z1926">
            <v>3.41</v>
          </cell>
          <cell r="AA1926">
            <v>0</v>
          </cell>
          <cell r="AB1926">
            <v>0</v>
          </cell>
        </row>
        <row r="1927">
          <cell r="G1927" t="str">
            <v>X233_1</v>
          </cell>
          <cell r="H1927" t="str">
            <v>the-of</v>
          </cell>
          <cell r="I1927" t="str">
            <v>sim</v>
          </cell>
          <cell r="V1927" t="str">
            <v>0</v>
          </cell>
          <cell r="Y1927" t="str">
            <v>Pres</v>
          </cell>
          <cell r="Z1927">
            <v>3.41</v>
          </cell>
          <cell r="AA1927">
            <v>0</v>
          </cell>
          <cell r="AB1927">
            <v>0</v>
          </cell>
        </row>
        <row r="1928">
          <cell r="G1928" t="str">
            <v>X234_0</v>
          </cell>
          <cell r="H1928" t="str">
            <v>the-of</v>
          </cell>
          <cell r="I1928" t="str">
            <v>sim</v>
          </cell>
          <cell r="V1928" t="str">
            <v>not neg pair</v>
          </cell>
          <cell r="Y1928" t="str">
            <v>Pres</v>
          </cell>
          <cell r="Z1928">
            <v>4.3</v>
          </cell>
          <cell r="AA1928">
            <v>0</v>
          </cell>
          <cell r="AB1928">
            <v>0</v>
          </cell>
        </row>
        <row r="1929">
          <cell r="G1929" t="str">
            <v>X234_1</v>
          </cell>
          <cell r="H1929" t="str">
            <v>the-of</v>
          </cell>
          <cell r="I1929" t="str">
            <v>sim</v>
          </cell>
          <cell r="V1929" t="str">
            <v>not neg pair</v>
          </cell>
          <cell r="Y1929" t="str">
            <v>Pres</v>
          </cell>
          <cell r="Z1929">
            <v>4.3</v>
          </cell>
          <cell r="AA1929">
            <v>0</v>
          </cell>
          <cell r="AB1929">
            <v>0</v>
          </cell>
        </row>
        <row r="1930">
          <cell r="G1930" t="str">
            <v>X235_0</v>
          </cell>
          <cell r="H1930" t="str">
            <v/>
          </cell>
          <cell r="I1930" t="str">
            <v>met</v>
          </cell>
          <cell r="V1930" t="str">
            <v>0</v>
          </cell>
          <cell r="Y1930" t="str">
            <v>Past</v>
          </cell>
          <cell r="Z1930">
            <v>2.73</v>
          </cell>
          <cell r="AA1930" t="str">
            <v>L</v>
          </cell>
          <cell r="AB1930">
            <v>0</v>
          </cell>
        </row>
        <row r="1931">
          <cell r="G1931" t="str">
            <v>X235_1</v>
          </cell>
          <cell r="H1931" t="str">
            <v/>
          </cell>
          <cell r="I1931" t="str">
            <v>met</v>
          </cell>
          <cell r="V1931" t="str">
            <v>0</v>
          </cell>
          <cell r="Y1931" t="str">
            <v>Past</v>
          </cell>
          <cell r="Z1931">
            <v>2.73</v>
          </cell>
          <cell r="AA1931" t="str">
            <v>L</v>
          </cell>
          <cell r="AB1931">
            <v>0</v>
          </cell>
        </row>
        <row r="1932">
          <cell r="G1932" t="str">
            <v>X236_0</v>
          </cell>
          <cell r="H1932" t="str">
            <v>as-as</v>
          </cell>
          <cell r="I1932" t="str">
            <v>sim</v>
          </cell>
          <cell r="V1932" t="str">
            <v>not</v>
          </cell>
          <cell r="Y1932" t="str">
            <v>Past</v>
          </cell>
          <cell r="Z1932">
            <v>3.93</v>
          </cell>
          <cell r="AA1932">
            <v>0</v>
          </cell>
          <cell r="AB1932">
            <v>0</v>
          </cell>
        </row>
        <row r="1933">
          <cell r="G1933" t="str">
            <v>X236_1</v>
          </cell>
          <cell r="H1933" t="str">
            <v>as-as</v>
          </cell>
          <cell r="I1933" t="str">
            <v>sim</v>
          </cell>
          <cell r="V1933" t="str">
            <v>not</v>
          </cell>
          <cell r="Y1933" t="str">
            <v>Past</v>
          </cell>
          <cell r="Z1933">
            <v>3.93</v>
          </cell>
          <cell r="AA1933">
            <v>0</v>
          </cell>
          <cell r="AB1933">
            <v>0</v>
          </cell>
        </row>
        <row r="1934">
          <cell r="G1934" t="str">
            <v>X237_0</v>
          </cell>
          <cell r="H1934" t="str">
            <v>as-as</v>
          </cell>
          <cell r="I1934" t="str">
            <v>sim</v>
          </cell>
          <cell r="V1934" t="str">
            <v>antonym</v>
          </cell>
          <cell r="Y1934" t="str">
            <v>Past</v>
          </cell>
          <cell r="Z1934">
            <v>3.83</v>
          </cell>
          <cell r="AA1934">
            <v>0</v>
          </cell>
          <cell r="AB1934">
            <v>0</v>
          </cell>
        </row>
        <row r="1935">
          <cell r="G1935" t="str">
            <v>X237_1</v>
          </cell>
          <cell r="H1935" t="str">
            <v>as-as</v>
          </cell>
          <cell r="I1935" t="str">
            <v>sim</v>
          </cell>
          <cell r="V1935" t="str">
            <v>antonym</v>
          </cell>
          <cell r="Y1935" t="str">
            <v>Past</v>
          </cell>
          <cell r="Z1935">
            <v>3.83</v>
          </cell>
          <cell r="AA1935">
            <v>0</v>
          </cell>
          <cell r="AB1935">
            <v>0</v>
          </cell>
        </row>
        <row r="1936">
          <cell r="G1936" t="str">
            <v>X238_0</v>
          </cell>
          <cell r="H1936" t="str">
            <v>as-as</v>
          </cell>
          <cell r="I1936" t="str">
            <v>sim</v>
          </cell>
          <cell r="V1936" t="str">
            <v>antonym</v>
          </cell>
          <cell r="Y1936" t="str">
            <v>Past</v>
          </cell>
          <cell r="Z1936">
            <v>5</v>
          </cell>
          <cell r="AA1936" t="str">
            <v>H</v>
          </cell>
          <cell r="AB1936">
            <v>0</v>
          </cell>
        </row>
        <row r="1937">
          <cell r="G1937" t="str">
            <v>X238_1</v>
          </cell>
          <cell r="H1937" t="str">
            <v>as-as</v>
          </cell>
          <cell r="I1937" t="str">
            <v>sim</v>
          </cell>
          <cell r="V1937" t="str">
            <v>antonym</v>
          </cell>
          <cell r="Y1937" t="str">
            <v>Past</v>
          </cell>
          <cell r="Z1937">
            <v>5</v>
          </cell>
          <cell r="AA1937" t="str">
            <v>H</v>
          </cell>
          <cell r="AB1937">
            <v>0</v>
          </cell>
        </row>
        <row r="1938">
          <cell r="G1938" t="str">
            <v>X239_0</v>
          </cell>
          <cell r="H1938" t="str">
            <v>as-as</v>
          </cell>
          <cell r="I1938" t="str">
            <v>sim</v>
          </cell>
          <cell r="V1938" t="str">
            <v>antonym</v>
          </cell>
          <cell r="Y1938" t="str">
            <v>Past</v>
          </cell>
          <cell r="Z1938">
            <v>4.78</v>
          </cell>
          <cell r="AA1938">
            <v>0</v>
          </cell>
          <cell r="AB1938">
            <v>0</v>
          </cell>
        </row>
        <row r="1939">
          <cell r="G1939" t="str">
            <v>X239_1</v>
          </cell>
          <cell r="H1939" t="str">
            <v>as-as</v>
          </cell>
          <cell r="I1939" t="str">
            <v>sim</v>
          </cell>
          <cell r="V1939" t="str">
            <v>antonym</v>
          </cell>
          <cell r="Y1939" t="str">
            <v>Past</v>
          </cell>
          <cell r="Z1939">
            <v>4.78</v>
          </cell>
          <cell r="AA1939">
            <v>0</v>
          </cell>
          <cell r="AB1939">
            <v>0</v>
          </cell>
        </row>
        <row r="1940">
          <cell r="G1940" t="str">
            <v>X240_0</v>
          </cell>
          <cell r="H1940" t="str">
            <v>as-as</v>
          </cell>
          <cell r="I1940" t="str">
            <v>sim</v>
          </cell>
          <cell r="V1940" t="str">
            <v>antonym</v>
          </cell>
          <cell r="Y1940" t="str">
            <v>Past</v>
          </cell>
          <cell r="Z1940">
            <v>2.69</v>
          </cell>
          <cell r="AA1940" t="str">
            <v>L</v>
          </cell>
          <cell r="AB1940">
            <v>0</v>
          </cell>
        </row>
        <row r="1941">
          <cell r="G1941" t="str">
            <v>X240_1</v>
          </cell>
          <cell r="H1941" t="str">
            <v>as-as</v>
          </cell>
          <cell r="I1941" t="str">
            <v>sim</v>
          </cell>
          <cell r="V1941" t="str">
            <v>antonym</v>
          </cell>
          <cell r="Y1941" t="str">
            <v>Past</v>
          </cell>
          <cell r="Z1941">
            <v>2.69</v>
          </cell>
          <cell r="AA1941" t="str">
            <v>L</v>
          </cell>
          <cell r="AB1941">
            <v>0</v>
          </cell>
        </row>
        <row r="1942">
          <cell r="G1942" t="str">
            <v>X241_0</v>
          </cell>
          <cell r="H1942" t="str">
            <v>the-of</v>
          </cell>
          <cell r="I1942" t="str">
            <v>sim</v>
          </cell>
          <cell r="V1942" t="str">
            <v>not neg pair</v>
          </cell>
          <cell r="Y1942" t="str">
            <v>Past</v>
          </cell>
          <cell r="Z1942">
            <v>4.93</v>
          </cell>
          <cell r="AA1942" t="str">
            <v>H</v>
          </cell>
          <cell r="AB1942">
            <v>0</v>
          </cell>
        </row>
        <row r="1943">
          <cell r="G1943" t="str">
            <v>X241_1</v>
          </cell>
          <cell r="H1943" t="str">
            <v>the-of</v>
          </cell>
          <cell r="I1943" t="str">
            <v>sim</v>
          </cell>
          <cell r="V1943" t="str">
            <v>not neg pair</v>
          </cell>
          <cell r="Y1943" t="str">
            <v>Past</v>
          </cell>
          <cell r="Z1943">
            <v>4.93</v>
          </cell>
          <cell r="AA1943" t="str">
            <v>H</v>
          </cell>
          <cell r="AB1943">
            <v>0</v>
          </cell>
        </row>
        <row r="1944">
          <cell r="G1944" t="str">
            <v>X242_0</v>
          </cell>
          <cell r="H1944" t="str">
            <v>as</v>
          </cell>
          <cell r="I1944" t="str">
            <v>sim</v>
          </cell>
          <cell r="V1944" t="str">
            <v>not</v>
          </cell>
          <cell r="Y1944" t="str">
            <v>Pres</v>
          </cell>
          <cell r="Z1944">
            <v>3.93</v>
          </cell>
          <cell r="AA1944">
            <v>0</v>
          </cell>
          <cell r="AB1944">
            <v>0</v>
          </cell>
        </row>
        <row r="1945">
          <cell r="G1945" t="str">
            <v>X242_1</v>
          </cell>
          <cell r="H1945" t="str">
            <v>as</v>
          </cell>
          <cell r="I1945" t="str">
            <v>sim</v>
          </cell>
          <cell r="V1945" t="str">
            <v>not</v>
          </cell>
          <cell r="Y1945" t="str">
            <v>Pres</v>
          </cell>
          <cell r="Z1945">
            <v>3.93</v>
          </cell>
          <cell r="AA1945">
            <v>0</v>
          </cell>
          <cell r="AB1945">
            <v>0</v>
          </cell>
        </row>
        <row r="1946">
          <cell r="G1946" t="str">
            <v>X243_0</v>
          </cell>
          <cell r="H1946" t="str">
            <v>as-as</v>
          </cell>
          <cell r="I1946" t="str">
            <v>sim</v>
          </cell>
          <cell r="V1946" t="str">
            <v>not neg pair</v>
          </cell>
          <cell r="Y1946" t="str">
            <v>Pres</v>
          </cell>
          <cell r="Z1946">
            <v>3.93</v>
          </cell>
          <cell r="AA1946">
            <v>0</v>
          </cell>
          <cell r="AB1946">
            <v>0</v>
          </cell>
        </row>
        <row r="1947">
          <cell r="G1947" t="str">
            <v>X243_1</v>
          </cell>
          <cell r="H1947" t="str">
            <v>as-as</v>
          </cell>
          <cell r="I1947" t="str">
            <v>sim</v>
          </cell>
          <cell r="V1947" t="str">
            <v>not neg pair</v>
          </cell>
          <cell r="Y1947" t="str">
            <v>Pres</v>
          </cell>
          <cell r="Z1947">
            <v>3.93</v>
          </cell>
          <cell r="AA1947">
            <v>0</v>
          </cell>
          <cell r="AB1947">
            <v>0</v>
          </cell>
        </row>
        <row r="1948">
          <cell r="G1948" t="str">
            <v>X244_0</v>
          </cell>
          <cell r="H1948" t="str">
            <v>as-as</v>
          </cell>
          <cell r="I1948" t="str">
            <v>sim</v>
          </cell>
          <cell r="V1948" t="str">
            <v>not</v>
          </cell>
          <cell r="Y1948" t="str">
            <v>Past</v>
          </cell>
          <cell r="Z1948">
            <v>3.93</v>
          </cell>
          <cell r="AA1948">
            <v>0</v>
          </cell>
          <cell r="AB1948">
            <v>0</v>
          </cell>
        </row>
        <row r="1949">
          <cell r="G1949" t="str">
            <v>X244_1</v>
          </cell>
          <cell r="H1949" t="str">
            <v>as-as</v>
          </cell>
          <cell r="I1949" t="str">
            <v>sim</v>
          </cell>
          <cell r="V1949" t="str">
            <v>not</v>
          </cell>
          <cell r="Y1949" t="str">
            <v>Pres</v>
          </cell>
          <cell r="Z1949">
            <v>3.93</v>
          </cell>
          <cell r="AA1949">
            <v>0</v>
          </cell>
          <cell r="AB1949">
            <v>0</v>
          </cell>
        </row>
        <row r="1950">
          <cell r="G1950" t="str">
            <v>X245_0</v>
          </cell>
          <cell r="H1950" t="str">
            <v>like</v>
          </cell>
          <cell r="I1950" t="str">
            <v>sim</v>
          </cell>
          <cell r="V1950" t="str">
            <v>not</v>
          </cell>
          <cell r="Y1950" t="str">
            <v>Past</v>
          </cell>
          <cell r="Z1950">
            <v>4.8499999999999996</v>
          </cell>
          <cell r="AA1950">
            <v>0</v>
          </cell>
          <cell r="AB1950">
            <v>0</v>
          </cell>
        </row>
        <row r="1951">
          <cell r="G1951" t="str">
            <v>X245_1</v>
          </cell>
          <cell r="H1951" t="str">
            <v>like</v>
          </cell>
          <cell r="I1951" t="str">
            <v>sim</v>
          </cell>
          <cell r="V1951" t="str">
            <v>not</v>
          </cell>
          <cell r="Y1951" t="str">
            <v>Past</v>
          </cell>
          <cell r="Z1951">
            <v>4.8499999999999996</v>
          </cell>
          <cell r="AA1951">
            <v>0</v>
          </cell>
          <cell r="AB1951">
            <v>0</v>
          </cell>
        </row>
        <row r="1952">
          <cell r="G1952" t="str">
            <v>X246_0</v>
          </cell>
          <cell r="H1952" t="str">
            <v>like</v>
          </cell>
          <cell r="I1952" t="str">
            <v>sim</v>
          </cell>
          <cell r="V1952" t="str">
            <v>not</v>
          </cell>
          <cell r="Y1952" t="str">
            <v>Past</v>
          </cell>
          <cell r="Z1952">
            <v>3.93</v>
          </cell>
          <cell r="AA1952">
            <v>0</v>
          </cell>
          <cell r="AB1952">
            <v>0</v>
          </cell>
        </row>
        <row r="1953">
          <cell r="G1953" t="str">
            <v>X246_1</v>
          </cell>
          <cell r="H1953" t="str">
            <v>like</v>
          </cell>
          <cell r="I1953" t="str">
            <v>sim</v>
          </cell>
          <cell r="V1953" t="str">
            <v>not</v>
          </cell>
          <cell r="Y1953" t="str">
            <v>Past</v>
          </cell>
          <cell r="Z1953">
            <v>3.93</v>
          </cell>
          <cell r="AA1953">
            <v>0</v>
          </cell>
          <cell r="AB1953">
            <v>0</v>
          </cell>
        </row>
        <row r="1954">
          <cell r="G1954" t="str">
            <v>X247_0</v>
          </cell>
          <cell r="H1954" t="str">
            <v>like</v>
          </cell>
          <cell r="I1954" t="str">
            <v>sim</v>
          </cell>
          <cell r="V1954" t="str">
            <v>not</v>
          </cell>
          <cell r="Y1954" t="str">
            <v>Past</v>
          </cell>
          <cell r="Z1954">
            <v>2.81</v>
          </cell>
          <cell r="AA1954">
            <v>0</v>
          </cell>
          <cell r="AB1954">
            <v>0</v>
          </cell>
        </row>
        <row r="1955">
          <cell r="G1955" t="str">
            <v>X247_1</v>
          </cell>
          <cell r="H1955" t="str">
            <v>like</v>
          </cell>
          <cell r="I1955" t="str">
            <v>sim</v>
          </cell>
          <cell r="V1955" t="str">
            <v>not</v>
          </cell>
          <cell r="Y1955" t="str">
            <v>Past</v>
          </cell>
          <cell r="Z1955">
            <v>2.81</v>
          </cell>
          <cell r="AA1955">
            <v>0</v>
          </cell>
          <cell r="AB1955">
            <v>0</v>
          </cell>
        </row>
        <row r="1956">
          <cell r="G1956" t="str">
            <v>X248_0</v>
          </cell>
          <cell r="H1956" t="str">
            <v>as-as</v>
          </cell>
          <cell r="I1956" t="str">
            <v>sim</v>
          </cell>
          <cell r="V1956" t="str">
            <v>not neg pair</v>
          </cell>
          <cell r="Y1956" t="str">
            <v>Past</v>
          </cell>
          <cell r="Z1956">
            <v>2.81</v>
          </cell>
          <cell r="AA1956">
            <v>0</v>
          </cell>
          <cell r="AB1956">
            <v>0</v>
          </cell>
        </row>
        <row r="1957">
          <cell r="G1957" t="str">
            <v>X248_1</v>
          </cell>
          <cell r="H1957" t="str">
            <v>as-as</v>
          </cell>
          <cell r="I1957" t="str">
            <v>sim</v>
          </cell>
          <cell r="V1957" t="str">
            <v>not neg pair</v>
          </cell>
          <cell r="Y1957" t="str">
            <v>Past</v>
          </cell>
          <cell r="Z1957">
            <v>2.81</v>
          </cell>
          <cell r="AA1957">
            <v>0</v>
          </cell>
          <cell r="AB1957">
            <v>0</v>
          </cell>
        </row>
        <row r="1958">
          <cell r="G1958" t="str">
            <v>X249_0</v>
          </cell>
          <cell r="H1958" t="str">
            <v>as-as</v>
          </cell>
          <cell r="I1958" t="str">
            <v>sim</v>
          </cell>
          <cell r="V1958" t="str">
            <v>not neg pair</v>
          </cell>
          <cell r="Y1958" t="str">
            <v>Past</v>
          </cell>
          <cell r="Z1958">
            <v>2.81</v>
          </cell>
          <cell r="AA1958">
            <v>0</v>
          </cell>
          <cell r="AB1958">
            <v>0</v>
          </cell>
        </row>
        <row r="1959">
          <cell r="G1959" t="str">
            <v>X249_1</v>
          </cell>
          <cell r="H1959" t="str">
            <v>as-as</v>
          </cell>
          <cell r="I1959" t="str">
            <v>sim</v>
          </cell>
          <cell r="V1959" t="str">
            <v>not neg pair</v>
          </cell>
          <cell r="Y1959" t="str">
            <v>Past</v>
          </cell>
          <cell r="Z1959">
            <v>2.81</v>
          </cell>
          <cell r="AA1959">
            <v>0</v>
          </cell>
          <cell r="AB1959">
            <v>0</v>
          </cell>
        </row>
        <row r="1960">
          <cell r="G1960" t="str">
            <v>X250_0</v>
          </cell>
          <cell r="H1960" t="str">
            <v>as-as</v>
          </cell>
          <cell r="I1960" t="str">
            <v>sim</v>
          </cell>
          <cell r="V1960" t="str">
            <v>not neg pair</v>
          </cell>
          <cell r="Y1960" t="str">
            <v>Past</v>
          </cell>
          <cell r="Z1960">
            <v>2.81</v>
          </cell>
          <cell r="AA1960">
            <v>0</v>
          </cell>
          <cell r="AB1960">
            <v>0</v>
          </cell>
        </row>
        <row r="1961">
          <cell r="G1961" t="str">
            <v>X250_1</v>
          </cell>
          <cell r="H1961" t="str">
            <v>as-as</v>
          </cell>
          <cell r="I1961" t="str">
            <v>sim</v>
          </cell>
          <cell r="V1961" t="str">
            <v>not neg pair</v>
          </cell>
          <cell r="Y1961" t="str">
            <v>Past</v>
          </cell>
          <cell r="Z1961">
            <v>2.81</v>
          </cell>
          <cell r="AA1961">
            <v>0</v>
          </cell>
          <cell r="AB1961">
            <v>0</v>
          </cell>
        </row>
        <row r="1962">
          <cell r="G1962" t="str">
            <v>X251_0</v>
          </cell>
          <cell r="H1962" t="str">
            <v/>
          </cell>
          <cell r="I1962" t="str">
            <v>met</v>
          </cell>
          <cell r="V1962" t="str">
            <v>0</v>
          </cell>
          <cell r="Y1962" t="str">
            <v>Past</v>
          </cell>
          <cell r="Z1962">
            <v>4.71</v>
          </cell>
          <cell r="AA1962">
            <v>0</v>
          </cell>
          <cell r="AB1962">
            <v>0</v>
          </cell>
        </row>
        <row r="1963">
          <cell r="G1963" t="str">
            <v>X251_1</v>
          </cell>
          <cell r="H1963" t="str">
            <v/>
          </cell>
          <cell r="I1963" t="str">
            <v>met</v>
          </cell>
          <cell r="V1963" t="str">
            <v>0</v>
          </cell>
          <cell r="Y1963" t="str">
            <v>Past</v>
          </cell>
          <cell r="Z1963">
            <v>4.71</v>
          </cell>
          <cell r="AA1963">
            <v>0</v>
          </cell>
          <cell r="AB1963">
            <v>0</v>
          </cell>
        </row>
        <row r="1964">
          <cell r="G1964" t="str">
            <v>X252_0</v>
          </cell>
          <cell r="H1964" t="str">
            <v>as</v>
          </cell>
          <cell r="I1964" t="str">
            <v>sim</v>
          </cell>
          <cell r="V1964" t="str">
            <v>not neg pair</v>
          </cell>
          <cell r="Y1964" t="str">
            <v>Past</v>
          </cell>
          <cell r="Z1964">
            <v>5</v>
          </cell>
          <cell r="AA1964" t="str">
            <v>H</v>
          </cell>
          <cell r="AB1964">
            <v>0</v>
          </cell>
        </row>
        <row r="1965">
          <cell r="G1965" t="str">
            <v>X252_1</v>
          </cell>
          <cell r="H1965" t="str">
            <v>as</v>
          </cell>
          <cell r="I1965" t="str">
            <v>sim</v>
          </cell>
          <cell r="V1965" t="str">
            <v>not neg pair</v>
          </cell>
          <cell r="Y1965" t="str">
            <v>Past</v>
          </cell>
          <cell r="Z1965">
            <v>5</v>
          </cell>
          <cell r="AA1965" t="str">
            <v>H</v>
          </cell>
          <cell r="AB1965">
            <v>0</v>
          </cell>
        </row>
        <row r="1966">
          <cell r="G1966" t="str">
            <v>X253_0</v>
          </cell>
          <cell r="H1966" t="str">
            <v>as</v>
          </cell>
          <cell r="I1966" t="str">
            <v>sim</v>
          </cell>
          <cell r="V1966" t="str">
            <v>not neg pair</v>
          </cell>
          <cell r="Y1966" t="str">
            <v>Past</v>
          </cell>
          <cell r="Z1966">
            <v>5</v>
          </cell>
          <cell r="AA1966" t="str">
            <v>H</v>
          </cell>
          <cell r="AB1966">
            <v>0</v>
          </cell>
        </row>
        <row r="1967">
          <cell r="G1967" t="str">
            <v>X253_1</v>
          </cell>
          <cell r="H1967" t="str">
            <v>as</v>
          </cell>
          <cell r="I1967" t="str">
            <v>sim</v>
          </cell>
          <cell r="V1967" t="str">
            <v>not neg pair</v>
          </cell>
          <cell r="Y1967" t="str">
            <v>Past</v>
          </cell>
          <cell r="Z1967">
            <v>5</v>
          </cell>
          <cell r="AA1967" t="str">
            <v>H</v>
          </cell>
          <cell r="AB1967">
            <v>0</v>
          </cell>
        </row>
        <row r="1968">
          <cell r="G1968" t="str">
            <v>X254_0</v>
          </cell>
          <cell r="H1968" t="str">
            <v>as</v>
          </cell>
          <cell r="I1968" t="str">
            <v>sim</v>
          </cell>
          <cell r="V1968" t="str">
            <v>not neg pair</v>
          </cell>
          <cell r="Y1968" t="str">
            <v>Pres</v>
          </cell>
          <cell r="Z1968">
            <v>4.24</v>
          </cell>
          <cell r="AA1968">
            <v>0</v>
          </cell>
          <cell r="AB1968">
            <v>0</v>
          </cell>
        </row>
        <row r="1969">
          <cell r="G1969" t="str">
            <v>X254_1</v>
          </cell>
          <cell r="H1969" t="str">
            <v>as</v>
          </cell>
          <cell r="I1969" t="str">
            <v>sim</v>
          </cell>
          <cell r="V1969" t="str">
            <v>not neg pair</v>
          </cell>
          <cell r="Y1969" t="str">
            <v>Pres</v>
          </cell>
          <cell r="Z1969">
            <v>4.24</v>
          </cell>
          <cell r="AA1969">
            <v>0</v>
          </cell>
          <cell r="AB1969">
            <v>0</v>
          </cell>
        </row>
        <row r="1970">
          <cell r="G1970" t="str">
            <v>X255_0</v>
          </cell>
          <cell r="H1970" t="str">
            <v>as-as</v>
          </cell>
          <cell r="I1970" t="str">
            <v>sim</v>
          </cell>
          <cell r="V1970" t="str">
            <v>antonym</v>
          </cell>
          <cell r="Y1970" t="str">
            <v>Pres</v>
          </cell>
          <cell r="Z1970">
            <v>4.5599999999999996</v>
          </cell>
          <cell r="AA1970">
            <v>0</v>
          </cell>
          <cell r="AB1970">
            <v>0</v>
          </cell>
        </row>
        <row r="1971">
          <cell r="G1971" t="str">
            <v>X255_1</v>
          </cell>
          <cell r="H1971" t="str">
            <v>as-as</v>
          </cell>
          <cell r="I1971" t="str">
            <v>sim</v>
          </cell>
          <cell r="V1971" t="str">
            <v>antonym</v>
          </cell>
          <cell r="Y1971" t="str">
            <v>Pres</v>
          </cell>
          <cell r="Z1971">
            <v>4.5599999999999996</v>
          </cell>
          <cell r="AA1971">
            <v>0</v>
          </cell>
          <cell r="AB1971">
            <v>0</v>
          </cell>
        </row>
        <row r="1972">
          <cell r="G1972" t="str">
            <v>X256_0</v>
          </cell>
          <cell r="H1972" t="str">
            <v>as-as</v>
          </cell>
          <cell r="I1972" t="str">
            <v>sim</v>
          </cell>
          <cell r="V1972" t="str">
            <v>antonym</v>
          </cell>
          <cell r="Y1972" t="str">
            <v>Pres</v>
          </cell>
          <cell r="Z1972">
            <v>5</v>
          </cell>
          <cell r="AA1972" t="str">
            <v>H</v>
          </cell>
          <cell r="AB1972">
            <v>0</v>
          </cell>
        </row>
        <row r="1973">
          <cell r="G1973" t="str">
            <v>X256_1</v>
          </cell>
          <cell r="H1973" t="str">
            <v>as-as</v>
          </cell>
          <cell r="I1973" t="str">
            <v>sim</v>
          </cell>
          <cell r="V1973" t="str">
            <v>antonym</v>
          </cell>
          <cell r="Y1973" t="str">
            <v>Pres</v>
          </cell>
          <cell r="Z1973">
            <v>5</v>
          </cell>
          <cell r="AA1973" t="str">
            <v>H</v>
          </cell>
          <cell r="AB1973">
            <v>0</v>
          </cell>
        </row>
        <row r="1974">
          <cell r="G1974" t="str">
            <v>X257_0</v>
          </cell>
          <cell r="H1974" t="str">
            <v>the-of</v>
          </cell>
          <cell r="I1974" t="str">
            <v>sim</v>
          </cell>
          <cell r="V1974" t="str">
            <v>not</v>
          </cell>
          <cell r="Y1974" t="str">
            <v>Pres</v>
          </cell>
          <cell r="Z1974">
            <v>4.8600000000000003</v>
          </cell>
          <cell r="AA1974">
            <v>0</v>
          </cell>
          <cell r="AB1974">
            <v>0</v>
          </cell>
        </row>
        <row r="1975">
          <cell r="G1975" t="str">
            <v>X257_1</v>
          </cell>
          <cell r="H1975" t="str">
            <v>the-of</v>
          </cell>
          <cell r="I1975" t="str">
            <v>sim</v>
          </cell>
          <cell r="V1975" t="str">
            <v>not</v>
          </cell>
          <cell r="Y1975" t="str">
            <v>Pres</v>
          </cell>
          <cell r="Z1975">
            <v>4.8600000000000003</v>
          </cell>
          <cell r="AA1975">
            <v>0</v>
          </cell>
          <cell r="AB1975">
            <v>0</v>
          </cell>
        </row>
        <row r="1976">
          <cell r="G1976" t="str">
            <v>X258_0</v>
          </cell>
          <cell r="H1976" t="str">
            <v>the-of</v>
          </cell>
          <cell r="I1976" t="str">
            <v>sim</v>
          </cell>
          <cell r="V1976" t="str">
            <v>not neg pair</v>
          </cell>
          <cell r="Y1976" t="str">
            <v>Pres</v>
          </cell>
          <cell r="Z1976">
            <v>4.43</v>
          </cell>
          <cell r="AA1976">
            <v>0</v>
          </cell>
          <cell r="AB1976">
            <v>0</v>
          </cell>
        </row>
        <row r="1977">
          <cell r="G1977" t="str">
            <v>X258_1</v>
          </cell>
          <cell r="H1977" t="str">
            <v>the-of</v>
          </cell>
          <cell r="I1977" t="str">
            <v>sim</v>
          </cell>
          <cell r="V1977" t="str">
            <v>not neg pair</v>
          </cell>
          <cell r="Y1977" t="str">
            <v>Pres</v>
          </cell>
          <cell r="Z1977">
            <v>4.43</v>
          </cell>
          <cell r="AA1977">
            <v>0</v>
          </cell>
          <cell r="AB1977">
            <v>0</v>
          </cell>
        </row>
        <row r="1978">
          <cell r="G1978" t="str">
            <v>X259_0</v>
          </cell>
          <cell r="H1978" t="str">
            <v/>
          </cell>
          <cell r="I1978" t="str">
            <v>met</v>
          </cell>
          <cell r="V1978" t="str">
            <v>0</v>
          </cell>
          <cell r="Y1978" t="str">
            <v>Pres</v>
          </cell>
          <cell r="Z1978">
            <v>3.59</v>
          </cell>
          <cell r="AA1978">
            <v>0</v>
          </cell>
          <cell r="AB1978">
            <v>0</v>
          </cell>
        </row>
        <row r="1979">
          <cell r="G1979" t="str">
            <v>X259_1</v>
          </cell>
          <cell r="H1979" t="str">
            <v/>
          </cell>
          <cell r="I1979" t="str">
            <v>met</v>
          </cell>
          <cell r="V1979" t="str">
            <v>0</v>
          </cell>
          <cell r="Y1979" t="str">
            <v>Pres</v>
          </cell>
          <cell r="Z1979">
            <v>3.59</v>
          </cell>
          <cell r="AA1979">
            <v>0</v>
          </cell>
          <cell r="AB1979">
            <v>0</v>
          </cell>
        </row>
        <row r="1980">
          <cell r="G1980" t="str">
            <v>X260_0</v>
          </cell>
          <cell r="H1980" t="str">
            <v/>
          </cell>
          <cell r="I1980" t="str">
            <v>met</v>
          </cell>
          <cell r="V1980" t="str">
            <v>0</v>
          </cell>
          <cell r="Y1980" t="str">
            <v>Pres</v>
          </cell>
          <cell r="Z1980">
            <v>5</v>
          </cell>
          <cell r="AA1980" t="str">
            <v>H</v>
          </cell>
          <cell r="AB1980">
            <v>0</v>
          </cell>
        </row>
        <row r="1981">
          <cell r="G1981" t="str">
            <v>X260_1</v>
          </cell>
          <cell r="H1981" t="str">
            <v/>
          </cell>
          <cell r="I1981" t="str">
            <v>met</v>
          </cell>
          <cell r="V1981" t="str">
            <v>0</v>
          </cell>
          <cell r="Y1981" t="str">
            <v>Pres</v>
          </cell>
          <cell r="Z1981">
            <v>5</v>
          </cell>
          <cell r="AA1981" t="str">
            <v>H</v>
          </cell>
          <cell r="AB1981">
            <v>0</v>
          </cell>
        </row>
        <row r="1982">
          <cell r="G1982" t="str">
            <v>X261_0</v>
          </cell>
          <cell r="H1982" t="str">
            <v/>
          </cell>
          <cell r="I1982" t="str">
            <v>met</v>
          </cell>
          <cell r="V1982" t="str">
            <v>0</v>
          </cell>
          <cell r="Y1982" t="str">
            <v>Pres</v>
          </cell>
          <cell r="Z1982">
            <v>5</v>
          </cell>
          <cell r="AA1982" t="str">
            <v>H</v>
          </cell>
          <cell r="AB1982">
            <v>0</v>
          </cell>
        </row>
        <row r="1983">
          <cell r="G1983" t="str">
            <v>X261_1</v>
          </cell>
          <cell r="H1983" t="str">
            <v/>
          </cell>
          <cell r="I1983" t="str">
            <v>met</v>
          </cell>
          <cell r="V1983" t="str">
            <v>0</v>
          </cell>
          <cell r="Y1983" t="str">
            <v>Pres</v>
          </cell>
          <cell r="Z1983">
            <v>5</v>
          </cell>
          <cell r="AA1983" t="str">
            <v>H</v>
          </cell>
          <cell r="AB1983">
            <v>0</v>
          </cell>
        </row>
        <row r="1984">
          <cell r="G1984" t="str">
            <v>X262_0</v>
          </cell>
          <cell r="H1984" t="str">
            <v/>
          </cell>
          <cell r="I1984" t="str">
            <v>met</v>
          </cell>
          <cell r="V1984" t="str">
            <v>0</v>
          </cell>
          <cell r="Y1984" t="str">
            <v>Pres</v>
          </cell>
          <cell r="Z1984">
            <v>4.72</v>
          </cell>
          <cell r="AA1984">
            <v>0</v>
          </cell>
          <cell r="AB1984">
            <v>0</v>
          </cell>
        </row>
        <row r="1985">
          <cell r="G1985" t="str">
            <v>X262_1</v>
          </cell>
          <cell r="H1985" t="str">
            <v/>
          </cell>
          <cell r="I1985" t="str">
            <v>met</v>
          </cell>
          <cell r="V1985" t="str">
            <v>0</v>
          </cell>
          <cell r="Y1985" t="str">
            <v>Pres</v>
          </cell>
          <cell r="Z1985">
            <v>4.72</v>
          </cell>
          <cell r="AA1985">
            <v>0</v>
          </cell>
          <cell r="AB1985">
            <v>0</v>
          </cell>
        </row>
        <row r="1986">
          <cell r="G1986" t="str">
            <v>X263_0</v>
          </cell>
          <cell r="H1986" t="str">
            <v>as-as</v>
          </cell>
          <cell r="I1986" t="str">
            <v>sim</v>
          </cell>
          <cell r="V1986" t="str">
            <v>not</v>
          </cell>
          <cell r="Y1986" t="str">
            <v>Pres</v>
          </cell>
          <cell r="Z1986">
            <v>3.75</v>
          </cell>
          <cell r="AA1986">
            <v>0</v>
          </cell>
          <cell r="AB1986">
            <v>0</v>
          </cell>
        </row>
        <row r="1987">
          <cell r="G1987" t="str">
            <v>X263_1</v>
          </cell>
          <cell r="H1987" t="str">
            <v>as-as</v>
          </cell>
          <cell r="I1987" t="str">
            <v>sim</v>
          </cell>
          <cell r="V1987" t="str">
            <v>not</v>
          </cell>
          <cell r="Y1987" t="str">
            <v>Pres</v>
          </cell>
          <cell r="Z1987">
            <v>3.75</v>
          </cell>
          <cell r="AA1987">
            <v>0</v>
          </cell>
          <cell r="AB1987">
            <v>0</v>
          </cell>
        </row>
        <row r="1988">
          <cell r="G1988" t="str">
            <v>X264_0</v>
          </cell>
          <cell r="H1988" t="str">
            <v>as-as</v>
          </cell>
          <cell r="I1988" t="str">
            <v>sim</v>
          </cell>
          <cell r="V1988" t="str">
            <v>not neg pair</v>
          </cell>
          <cell r="Y1988" t="str">
            <v>Past</v>
          </cell>
          <cell r="Z1988">
            <v>4.5</v>
          </cell>
          <cell r="AA1988">
            <v>0</v>
          </cell>
          <cell r="AB1988">
            <v>0</v>
          </cell>
        </row>
        <row r="1989">
          <cell r="G1989" t="str">
            <v>X264_1</v>
          </cell>
          <cell r="H1989" t="str">
            <v>as-as</v>
          </cell>
          <cell r="I1989" t="str">
            <v>sim</v>
          </cell>
          <cell r="V1989" t="str">
            <v>not neg pair</v>
          </cell>
          <cell r="Y1989" t="str">
            <v>Past</v>
          </cell>
          <cell r="Z1989">
            <v>0</v>
          </cell>
          <cell r="AA1989">
            <v>0</v>
          </cell>
          <cell r="AB1989">
            <v>0</v>
          </cell>
        </row>
        <row r="1990">
          <cell r="G1990" t="str">
            <v>X265_0</v>
          </cell>
          <cell r="H1990" t="str">
            <v>as-as</v>
          </cell>
          <cell r="I1990" t="str">
            <v>sim</v>
          </cell>
          <cell r="V1990" t="str">
            <v>not</v>
          </cell>
          <cell r="Y1990" t="str">
            <v>Past</v>
          </cell>
          <cell r="Z1990">
            <v>4.79</v>
          </cell>
          <cell r="AA1990">
            <v>0</v>
          </cell>
          <cell r="AB1990">
            <v>0</v>
          </cell>
        </row>
        <row r="1991">
          <cell r="G1991" t="str">
            <v>X265_1</v>
          </cell>
          <cell r="H1991" t="str">
            <v>as-as</v>
          </cell>
          <cell r="I1991" t="str">
            <v>sim</v>
          </cell>
          <cell r="V1991" t="str">
            <v>not</v>
          </cell>
          <cell r="Y1991" t="str">
            <v>Past</v>
          </cell>
          <cell r="Z1991">
            <v>4.79</v>
          </cell>
          <cell r="AA1991">
            <v>0</v>
          </cell>
          <cell r="AB1991">
            <v>0</v>
          </cell>
        </row>
        <row r="1992">
          <cell r="G1992" t="str">
            <v>X266_0</v>
          </cell>
          <cell r="H1992" t="str">
            <v/>
          </cell>
          <cell r="I1992" t="str">
            <v>met</v>
          </cell>
          <cell r="V1992" t="str">
            <v>0</v>
          </cell>
          <cell r="Y1992" t="str">
            <v>Pres</v>
          </cell>
          <cell r="Z1992">
            <v>3.93</v>
          </cell>
          <cell r="AA1992">
            <v>0</v>
          </cell>
          <cell r="AB1992">
            <v>0</v>
          </cell>
        </row>
        <row r="1993">
          <cell r="G1993" t="str">
            <v>X266_1</v>
          </cell>
          <cell r="H1993" t="str">
            <v/>
          </cell>
          <cell r="I1993" t="str">
            <v>met</v>
          </cell>
          <cell r="V1993" t="str">
            <v>0</v>
          </cell>
          <cell r="Y1993" t="str">
            <v>Pres</v>
          </cell>
          <cell r="Z1993">
            <v>3.93</v>
          </cell>
          <cell r="AA1993">
            <v>0</v>
          </cell>
          <cell r="AB1993">
            <v>0</v>
          </cell>
        </row>
        <row r="1994">
          <cell r="G1994" t="str">
            <v>X267_0</v>
          </cell>
          <cell r="H1994" t="str">
            <v/>
          </cell>
          <cell r="I1994" t="str">
            <v>met</v>
          </cell>
          <cell r="V1994" t="str">
            <v>0</v>
          </cell>
          <cell r="Y1994" t="str">
            <v>Pres</v>
          </cell>
          <cell r="Z1994">
            <v>2.41</v>
          </cell>
          <cell r="AA1994" t="str">
            <v>L</v>
          </cell>
          <cell r="AB1994">
            <v>0</v>
          </cell>
        </row>
        <row r="1995">
          <cell r="G1995" t="str">
            <v>X267_1</v>
          </cell>
          <cell r="H1995" t="str">
            <v/>
          </cell>
          <cell r="I1995" t="str">
            <v>met</v>
          </cell>
          <cell r="V1995" t="str">
            <v>0</v>
          </cell>
          <cell r="Y1995" t="str">
            <v>Pres</v>
          </cell>
          <cell r="Z1995">
            <v>2.41</v>
          </cell>
          <cell r="AA1995" t="str">
            <v>L</v>
          </cell>
          <cell r="AB1995">
            <v>0</v>
          </cell>
        </row>
        <row r="1996">
          <cell r="G1996" t="str">
            <v>X268_0</v>
          </cell>
          <cell r="H1996" t="str">
            <v>like</v>
          </cell>
          <cell r="I1996" t="str">
            <v>sim</v>
          </cell>
          <cell r="V1996" t="str">
            <v>not neg pair</v>
          </cell>
          <cell r="Y1996" t="str">
            <v>Past</v>
          </cell>
          <cell r="Z1996">
            <v>4.1100000000000003</v>
          </cell>
          <cell r="AA1996">
            <v>0</v>
          </cell>
          <cell r="AB1996">
            <v>0</v>
          </cell>
        </row>
        <row r="1997">
          <cell r="G1997" t="str">
            <v>X268_1</v>
          </cell>
          <cell r="H1997" t="str">
            <v>like</v>
          </cell>
          <cell r="I1997" t="str">
            <v>sim</v>
          </cell>
          <cell r="V1997" t="str">
            <v>not neg pair</v>
          </cell>
          <cell r="Y1997" t="str">
            <v>Past</v>
          </cell>
          <cell r="Z1997">
            <v>4.1100000000000003</v>
          </cell>
          <cell r="AA1997">
            <v>0</v>
          </cell>
          <cell r="AB1997">
            <v>0</v>
          </cell>
        </row>
        <row r="1998">
          <cell r="G1998" t="str">
            <v>X269_0</v>
          </cell>
          <cell r="H1998" t="str">
            <v>as-as</v>
          </cell>
          <cell r="I1998" t="str">
            <v>sim</v>
          </cell>
          <cell r="V1998" t="str">
            <v>not</v>
          </cell>
          <cell r="Y1998">
            <v>0</v>
          </cell>
          <cell r="Z1998">
            <v>4.1100000000000003</v>
          </cell>
          <cell r="AA1998">
            <v>0</v>
          </cell>
          <cell r="AB1998">
            <v>0</v>
          </cell>
        </row>
        <row r="1999">
          <cell r="G1999" t="str">
            <v>X269_1</v>
          </cell>
          <cell r="H1999" t="str">
            <v>as-as</v>
          </cell>
          <cell r="I1999" t="str">
            <v>sim</v>
          </cell>
          <cell r="V1999" t="str">
            <v>not</v>
          </cell>
          <cell r="Y1999">
            <v>0</v>
          </cell>
          <cell r="Z1999">
            <v>4.1100000000000003</v>
          </cell>
          <cell r="AA1999">
            <v>0</v>
          </cell>
          <cell r="AB1999">
            <v>0</v>
          </cell>
        </row>
        <row r="2000">
          <cell r="G2000" t="str">
            <v>X270_0</v>
          </cell>
          <cell r="H2000" t="str">
            <v>as-as</v>
          </cell>
          <cell r="I2000" t="str">
            <v>sim</v>
          </cell>
          <cell r="V2000" t="str">
            <v>not neg pair</v>
          </cell>
          <cell r="Y2000" t="str">
            <v>Past</v>
          </cell>
          <cell r="Z2000">
            <v>4.25</v>
          </cell>
          <cell r="AA2000">
            <v>0</v>
          </cell>
          <cell r="AB2000">
            <v>0</v>
          </cell>
        </row>
        <row r="2001">
          <cell r="G2001" t="str">
            <v>X270_1</v>
          </cell>
          <cell r="H2001" t="str">
            <v>as-as</v>
          </cell>
          <cell r="I2001" t="str">
            <v>sim</v>
          </cell>
          <cell r="V2001" t="str">
            <v>not neg pair</v>
          </cell>
          <cell r="Y2001" t="str">
            <v>Past</v>
          </cell>
          <cell r="Z2001">
            <v>4.25</v>
          </cell>
          <cell r="AA2001">
            <v>0</v>
          </cell>
          <cell r="AB2001">
            <v>0</v>
          </cell>
        </row>
        <row r="2002">
          <cell r="G2002" t="str">
            <v>X271_0</v>
          </cell>
          <cell r="H2002" t="str">
            <v>the-of</v>
          </cell>
          <cell r="I2002" t="str">
            <v>sim</v>
          </cell>
          <cell r="V2002" t="str">
            <v>not</v>
          </cell>
          <cell r="Y2002" t="str">
            <v>Pres</v>
          </cell>
          <cell r="Z2002">
            <v>3.93</v>
          </cell>
          <cell r="AA2002">
            <v>0</v>
          </cell>
          <cell r="AB2002">
            <v>0</v>
          </cell>
        </row>
        <row r="2003">
          <cell r="G2003" t="str">
            <v>X271_1</v>
          </cell>
          <cell r="H2003" t="str">
            <v>the-of</v>
          </cell>
          <cell r="I2003" t="str">
            <v>sim</v>
          </cell>
          <cell r="V2003" t="str">
            <v>not</v>
          </cell>
          <cell r="Y2003" t="str">
            <v>Pres</v>
          </cell>
          <cell r="Z2003">
            <v>3.93</v>
          </cell>
          <cell r="AA2003">
            <v>0</v>
          </cell>
          <cell r="AB2003">
            <v>0</v>
          </cell>
        </row>
        <row r="2004">
          <cell r="G2004" t="str">
            <v>X272_0</v>
          </cell>
          <cell r="H2004" t="str">
            <v>as-as</v>
          </cell>
          <cell r="I2004" t="str">
            <v>sim</v>
          </cell>
          <cell r="V2004" t="str">
            <v>not</v>
          </cell>
          <cell r="Y2004" t="str">
            <v>Pres</v>
          </cell>
          <cell r="Z2004">
            <v>3.93</v>
          </cell>
          <cell r="AA2004">
            <v>0</v>
          </cell>
          <cell r="AB2004">
            <v>0</v>
          </cell>
        </row>
        <row r="2005">
          <cell r="G2005" t="str">
            <v>X272_1</v>
          </cell>
          <cell r="H2005" t="str">
            <v>as-as</v>
          </cell>
          <cell r="I2005" t="str">
            <v>sim</v>
          </cell>
          <cell r="V2005" t="str">
            <v>not</v>
          </cell>
          <cell r="Y2005" t="str">
            <v>Pres</v>
          </cell>
          <cell r="Z2005">
            <v>3.93</v>
          </cell>
          <cell r="AA2005">
            <v>0</v>
          </cell>
          <cell r="AB2005">
            <v>0</v>
          </cell>
        </row>
        <row r="2006">
          <cell r="G2006" t="str">
            <v>X273_0</v>
          </cell>
          <cell r="H2006" t="str">
            <v>as-as</v>
          </cell>
          <cell r="I2006" t="str">
            <v>sim</v>
          </cell>
          <cell r="V2006" t="str">
            <v>antonym</v>
          </cell>
          <cell r="Y2006" t="str">
            <v>Pres</v>
          </cell>
          <cell r="Z2006">
            <v>4.9000000000000004</v>
          </cell>
          <cell r="AA2006">
            <v>0</v>
          </cell>
          <cell r="AB2006">
            <v>0</v>
          </cell>
        </row>
        <row r="2007">
          <cell r="G2007" t="str">
            <v>X273_1</v>
          </cell>
          <cell r="H2007" t="str">
            <v>as-as</v>
          </cell>
          <cell r="I2007" t="str">
            <v>sim</v>
          </cell>
          <cell r="V2007" t="str">
            <v>antonym</v>
          </cell>
          <cell r="Y2007" t="str">
            <v>Pres</v>
          </cell>
          <cell r="Z2007">
            <v>4.9000000000000004</v>
          </cell>
          <cell r="AA2007">
            <v>0</v>
          </cell>
          <cell r="AB2007">
            <v>0</v>
          </cell>
        </row>
        <row r="2008">
          <cell r="G2008" t="str">
            <v>X274_0</v>
          </cell>
          <cell r="H2008" t="str">
            <v/>
          </cell>
          <cell r="I2008" t="str">
            <v>met</v>
          </cell>
          <cell r="V2008" t="str">
            <v>0</v>
          </cell>
          <cell r="Y2008" t="str">
            <v>Past</v>
          </cell>
          <cell r="Z2008">
            <v>1.75</v>
          </cell>
          <cell r="AA2008" t="str">
            <v>L</v>
          </cell>
          <cell r="AB2008">
            <v>0</v>
          </cell>
        </row>
        <row r="2009">
          <cell r="G2009" t="str">
            <v>X274_1</v>
          </cell>
          <cell r="H2009" t="str">
            <v/>
          </cell>
          <cell r="I2009" t="str">
            <v>met</v>
          </cell>
          <cell r="V2009" t="str">
            <v>0</v>
          </cell>
          <cell r="Y2009" t="str">
            <v>Past</v>
          </cell>
          <cell r="Z2009">
            <v>1.75</v>
          </cell>
          <cell r="AA2009" t="str">
            <v>L</v>
          </cell>
          <cell r="AB2009">
            <v>0</v>
          </cell>
        </row>
        <row r="2010">
          <cell r="G2010" t="str">
            <v>X275_0</v>
          </cell>
          <cell r="H2010" t="str">
            <v/>
          </cell>
          <cell r="I2010" t="str">
            <v>met</v>
          </cell>
          <cell r="V2010" t="str">
            <v>0</v>
          </cell>
          <cell r="Y2010" t="str">
            <v>Past</v>
          </cell>
          <cell r="Z2010">
            <v>0</v>
          </cell>
          <cell r="AA2010">
            <v>0</v>
          </cell>
          <cell r="AB2010">
            <v>0</v>
          </cell>
        </row>
        <row r="2011">
          <cell r="G2011" t="str">
            <v>X275_1</v>
          </cell>
          <cell r="H2011" t="str">
            <v/>
          </cell>
          <cell r="I2011" t="str">
            <v>met</v>
          </cell>
          <cell r="V2011" t="str">
            <v>0</v>
          </cell>
          <cell r="Y2011" t="str">
            <v>Past</v>
          </cell>
          <cell r="Z2011">
            <v>0</v>
          </cell>
          <cell r="AA2011">
            <v>0</v>
          </cell>
          <cell r="AB2011">
            <v>0</v>
          </cell>
        </row>
        <row r="2012">
          <cell r="G2012" t="str">
            <v>X276_0</v>
          </cell>
          <cell r="H2012" t="str">
            <v>as-as</v>
          </cell>
          <cell r="I2012" t="str">
            <v>sim</v>
          </cell>
          <cell r="V2012" t="str">
            <v>not</v>
          </cell>
          <cell r="Y2012" t="str">
            <v>Past</v>
          </cell>
          <cell r="Z2012">
            <v>2.08</v>
          </cell>
          <cell r="AA2012" t="str">
            <v>L</v>
          </cell>
          <cell r="AB2012">
            <v>0</v>
          </cell>
        </row>
        <row r="2013">
          <cell r="G2013" t="str">
            <v>X276_1</v>
          </cell>
          <cell r="H2013" t="str">
            <v>as-as</v>
          </cell>
          <cell r="I2013" t="str">
            <v>sim</v>
          </cell>
          <cell r="V2013" t="str">
            <v>not</v>
          </cell>
          <cell r="Y2013" t="str">
            <v>Past</v>
          </cell>
          <cell r="Z2013">
            <v>2.08</v>
          </cell>
          <cell r="AA2013" t="str">
            <v>L</v>
          </cell>
          <cell r="AB2013">
            <v>0</v>
          </cell>
        </row>
        <row r="2014">
          <cell r="G2014" t="str">
            <v>X277_0</v>
          </cell>
          <cell r="H2014" t="str">
            <v>as-as</v>
          </cell>
          <cell r="I2014" t="str">
            <v>sim</v>
          </cell>
          <cell r="V2014" t="str">
            <v>not neg pair</v>
          </cell>
          <cell r="Y2014" t="str">
            <v>Past</v>
          </cell>
          <cell r="Z2014">
            <v>3.93</v>
          </cell>
          <cell r="AA2014">
            <v>0</v>
          </cell>
          <cell r="AB2014">
            <v>0</v>
          </cell>
        </row>
        <row r="2015">
          <cell r="G2015" t="str">
            <v>X277_1</v>
          </cell>
          <cell r="H2015" t="str">
            <v>as-as</v>
          </cell>
          <cell r="I2015" t="str">
            <v>sim</v>
          </cell>
          <cell r="V2015" t="str">
            <v>not neg pair</v>
          </cell>
          <cell r="Y2015" t="str">
            <v>Pres</v>
          </cell>
          <cell r="Z2015">
            <v>3.93</v>
          </cell>
          <cell r="AA2015">
            <v>0</v>
          </cell>
          <cell r="AB2015">
            <v>0</v>
          </cell>
        </row>
        <row r="2016">
          <cell r="G2016" t="str">
            <v>X278_0</v>
          </cell>
          <cell r="H2016" t="str">
            <v>as-as</v>
          </cell>
          <cell r="I2016" t="str">
            <v>sim</v>
          </cell>
          <cell r="V2016" t="str">
            <v>antonym</v>
          </cell>
          <cell r="Y2016" t="str">
            <v>Pres</v>
          </cell>
          <cell r="Z2016">
            <v>4.9000000000000004</v>
          </cell>
          <cell r="AA2016">
            <v>0</v>
          </cell>
          <cell r="AB2016">
            <v>0</v>
          </cell>
        </row>
        <row r="2017">
          <cell r="G2017" t="str">
            <v>X278_1</v>
          </cell>
          <cell r="H2017" t="str">
            <v>as-as</v>
          </cell>
          <cell r="I2017" t="str">
            <v>sim</v>
          </cell>
          <cell r="V2017" t="str">
            <v>antonym</v>
          </cell>
          <cell r="Y2017" t="str">
            <v>Pres</v>
          </cell>
          <cell r="Z2017">
            <v>4.9000000000000004</v>
          </cell>
          <cell r="AA2017">
            <v>0</v>
          </cell>
          <cell r="AB2017">
            <v>0</v>
          </cell>
        </row>
        <row r="2018">
          <cell r="G2018" t="str">
            <v>X279_0</v>
          </cell>
          <cell r="H2018" t="str">
            <v>as-as</v>
          </cell>
          <cell r="I2018" t="str">
            <v>sim</v>
          </cell>
          <cell r="V2018" t="str">
            <v>not</v>
          </cell>
          <cell r="Y2018" t="str">
            <v>Pres</v>
          </cell>
          <cell r="Z2018">
            <v>4.45</v>
          </cell>
          <cell r="AA2018">
            <v>0</v>
          </cell>
          <cell r="AB2018">
            <v>0</v>
          </cell>
        </row>
        <row r="2019">
          <cell r="G2019" t="str">
            <v>X279_1</v>
          </cell>
          <cell r="H2019" t="str">
            <v>as-as</v>
          </cell>
          <cell r="I2019" t="str">
            <v>sim</v>
          </cell>
          <cell r="V2019" t="str">
            <v>not</v>
          </cell>
          <cell r="Y2019" t="str">
            <v>Pres</v>
          </cell>
          <cell r="Z2019">
            <v>4.45</v>
          </cell>
          <cell r="AA2019">
            <v>0</v>
          </cell>
          <cell r="AB2019">
            <v>0</v>
          </cell>
        </row>
        <row r="2020">
          <cell r="G2020" t="str">
            <v>X280_0</v>
          </cell>
          <cell r="H2020" t="str">
            <v>like</v>
          </cell>
          <cell r="I2020" t="str">
            <v>sim</v>
          </cell>
          <cell r="V2020" t="str">
            <v>not neg pair</v>
          </cell>
          <cell r="Y2020" t="str">
            <v>Past</v>
          </cell>
          <cell r="Z2020">
            <v>2.81</v>
          </cell>
          <cell r="AA2020">
            <v>0</v>
          </cell>
          <cell r="AB2020">
            <v>0</v>
          </cell>
        </row>
        <row r="2021">
          <cell r="G2021" t="str">
            <v>X280_1</v>
          </cell>
          <cell r="H2021" t="str">
            <v>like</v>
          </cell>
          <cell r="I2021" t="str">
            <v>sim</v>
          </cell>
          <cell r="V2021" t="str">
            <v>not neg pair</v>
          </cell>
          <cell r="Y2021" t="str">
            <v>Past</v>
          </cell>
          <cell r="Z2021">
            <v>2.81</v>
          </cell>
          <cell r="AA2021">
            <v>0</v>
          </cell>
          <cell r="AB2021">
            <v>0</v>
          </cell>
        </row>
        <row r="2022">
          <cell r="G2022" t="str">
            <v>X281_0</v>
          </cell>
          <cell r="H2022" t="str">
            <v>like</v>
          </cell>
          <cell r="I2022" t="str">
            <v>sim</v>
          </cell>
          <cell r="V2022" t="str">
            <v>not neg pair</v>
          </cell>
          <cell r="Y2022" t="str">
            <v>Past</v>
          </cell>
          <cell r="Z2022">
            <v>2.81</v>
          </cell>
          <cell r="AA2022">
            <v>0</v>
          </cell>
          <cell r="AB2022">
            <v>0</v>
          </cell>
        </row>
        <row r="2023">
          <cell r="G2023" t="str">
            <v>X281_1</v>
          </cell>
          <cell r="H2023" t="str">
            <v>like</v>
          </cell>
          <cell r="I2023" t="str">
            <v>sim</v>
          </cell>
          <cell r="V2023" t="str">
            <v>not neg pair</v>
          </cell>
          <cell r="Y2023" t="str">
            <v>Past</v>
          </cell>
          <cell r="Z2023">
            <v>2.81</v>
          </cell>
          <cell r="AA2023">
            <v>0</v>
          </cell>
          <cell r="AB2023">
            <v>0</v>
          </cell>
        </row>
        <row r="2024">
          <cell r="G2024" t="str">
            <v>X282_0</v>
          </cell>
          <cell r="H2024" t="str">
            <v>like</v>
          </cell>
          <cell r="I2024" t="str">
            <v>sim</v>
          </cell>
          <cell r="V2024" t="str">
            <v>not neg pair</v>
          </cell>
          <cell r="Y2024" t="str">
            <v>Past</v>
          </cell>
          <cell r="Z2024">
            <v>3.93</v>
          </cell>
          <cell r="AA2024">
            <v>0</v>
          </cell>
          <cell r="AB2024">
            <v>0</v>
          </cell>
        </row>
        <row r="2025">
          <cell r="G2025" t="str">
            <v>X282_1</v>
          </cell>
          <cell r="H2025" t="str">
            <v>like</v>
          </cell>
          <cell r="I2025" t="str">
            <v>sim</v>
          </cell>
          <cell r="V2025" t="str">
            <v>not neg pair</v>
          </cell>
          <cell r="Y2025" t="str">
            <v>Past</v>
          </cell>
          <cell r="Z2025">
            <v>3.93</v>
          </cell>
          <cell r="AA2025">
            <v>0</v>
          </cell>
          <cell r="AB2025">
            <v>0</v>
          </cell>
        </row>
        <row r="2026">
          <cell r="G2026" t="str">
            <v>X283_0</v>
          </cell>
          <cell r="H2026" t="str">
            <v>as-as</v>
          </cell>
          <cell r="I2026" t="str">
            <v>sim</v>
          </cell>
          <cell r="V2026" t="str">
            <v>not neg pair</v>
          </cell>
          <cell r="Y2026" t="str">
            <v>Pres</v>
          </cell>
          <cell r="Z2026">
            <v>2.2400000000000002</v>
          </cell>
          <cell r="AA2026" t="str">
            <v>L</v>
          </cell>
          <cell r="AB2026">
            <v>0</v>
          </cell>
        </row>
        <row r="2027">
          <cell r="G2027" t="str">
            <v>X283_1</v>
          </cell>
          <cell r="H2027" t="str">
            <v>as-as</v>
          </cell>
          <cell r="I2027" t="str">
            <v>sim</v>
          </cell>
          <cell r="V2027" t="str">
            <v>not neg pair</v>
          </cell>
          <cell r="Y2027" t="str">
            <v>Pres</v>
          </cell>
          <cell r="Z2027">
            <v>2.2400000000000002</v>
          </cell>
          <cell r="AA2027" t="str">
            <v>L</v>
          </cell>
          <cell r="AB2027">
            <v>0</v>
          </cell>
        </row>
        <row r="2028">
          <cell r="G2028" t="str">
            <v>X284_0</v>
          </cell>
          <cell r="H2028" t="str">
            <v>as-as</v>
          </cell>
          <cell r="I2028" t="str">
            <v>sim</v>
          </cell>
          <cell r="V2028" t="str">
            <v>not neg pair</v>
          </cell>
          <cell r="Y2028" t="str">
            <v>Past</v>
          </cell>
          <cell r="Z2028">
            <v>5</v>
          </cell>
          <cell r="AA2028" t="str">
            <v>H</v>
          </cell>
          <cell r="AB2028">
            <v>0</v>
          </cell>
        </row>
        <row r="2029">
          <cell r="G2029" t="str">
            <v>X284_1</v>
          </cell>
          <cell r="H2029" t="str">
            <v>as-as</v>
          </cell>
          <cell r="I2029" t="str">
            <v>sim</v>
          </cell>
          <cell r="V2029" t="str">
            <v>not neg pair</v>
          </cell>
          <cell r="Y2029" t="str">
            <v>Past</v>
          </cell>
          <cell r="Z2029">
            <v>5</v>
          </cell>
          <cell r="AA2029" t="str">
            <v>H</v>
          </cell>
          <cell r="AB2029">
            <v>0</v>
          </cell>
        </row>
        <row r="2030">
          <cell r="G2030" t="str">
            <v>X285_0</v>
          </cell>
          <cell r="H2030" t="str">
            <v>as-as</v>
          </cell>
          <cell r="I2030" t="str">
            <v>sim</v>
          </cell>
          <cell r="V2030" t="str">
            <v>not neg pair</v>
          </cell>
          <cell r="Y2030" t="str">
            <v>Past</v>
          </cell>
          <cell r="Z2030">
            <v>4.33</v>
          </cell>
          <cell r="AA2030">
            <v>0</v>
          </cell>
          <cell r="AB2030">
            <v>0</v>
          </cell>
        </row>
        <row r="2031">
          <cell r="G2031" t="str">
            <v>X285_1</v>
          </cell>
          <cell r="H2031" t="str">
            <v>as-as</v>
          </cell>
          <cell r="I2031" t="str">
            <v>sim</v>
          </cell>
          <cell r="V2031" t="str">
            <v>not neg pair</v>
          </cell>
          <cell r="Y2031" t="str">
            <v>Past</v>
          </cell>
          <cell r="Z2031">
            <v>4.33</v>
          </cell>
          <cell r="AA2031">
            <v>0</v>
          </cell>
          <cell r="AB2031">
            <v>0</v>
          </cell>
        </row>
        <row r="2032">
          <cell r="G2032" t="str">
            <v>X286_0</v>
          </cell>
          <cell r="H2032" t="str">
            <v>as-as</v>
          </cell>
          <cell r="I2032" t="str">
            <v>sim</v>
          </cell>
          <cell r="V2032" t="str">
            <v>not</v>
          </cell>
          <cell r="Y2032" t="str">
            <v>Pres</v>
          </cell>
          <cell r="Z2032">
            <v>3.93</v>
          </cell>
          <cell r="AA2032">
            <v>0</v>
          </cell>
          <cell r="AB2032">
            <v>0</v>
          </cell>
        </row>
        <row r="2033">
          <cell r="G2033" t="str">
            <v>X286_1</v>
          </cell>
          <cell r="H2033" t="str">
            <v>as-as</v>
          </cell>
          <cell r="I2033" t="str">
            <v>sim</v>
          </cell>
          <cell r="V2033" t="str">
            <v>not</v>
          </cell>
          <cell r="Y2033" t="str">
            <v>Pres</v>
          </cell>
          <cell r="Z2033">
            <v>3.93</v>
          </cell>
          <cell r="AA2033">
            <v>0</v>
          </cell>
          <cell r="AB2033">
            <v>0</v>
          </cell>
        </row>
        <row r="2034">
          <cell r="G2034" t="str">
            <v>X287_0</v>
          </cell>
          <cell r="H2034" t="str">
            <v>as-as</v>
          </cell>
          <cell r="I2034" t="str">
            <v>sim</v>
          </cell>
          <cell r="V2034" t="str">
            <v>not</v>
          </cell>
          <cell r="Y2034" t="str">
            <v>Pres</v>
          </cell>
          <cell r="Z2034">
            <v>4.45</v>
          </cell>
          <cell r="AA2034">
            <v>0</v>
          </cell>
          <cell r="AB2034">
            <v>0</v>
          </cell>
        </row>
        <row r="2035">
          <cell r="G2035" t="str">
            <v>X287_1</v>
          </cell>
          <cell r="H2035" t="str">
            <v>as-as</v>
          </cell>
          <cell r="I2035" t="str">
            <v>sim</v>
          </cell>
          <cell r="V2035" t="str">
            <v>not</v>
          </cell>
          <cell r="Y2035" t="str">
            <v>Pres</v>
          </cell>
          <cell r="Z2035">
            <v>4.45</v>
          </cell>
          <cell r="AA2035">
            <v>0</v>
          </cell>
          <cell r="AB2035">
            <v>0</v>
          </cell>
        </row>
        <row r="2036">
          <cell r="G2036" t="str">
            <v>X288_0</v>
          </cell>
          <cell r="H2036" t="str">
            <v>as-as</v>
          </cell>
          <cell r="I2036" t="str">
            <v>sim</v>
          </cell>
          <cell r="V2036" t="str">
            <v>not</v>
          </cell>
          <cell r="Y2036" t="str">
            <v>Pres</v>
          </cell>
          <cell r="Z2036">
            <v>3.93</v>
          </cell>
          <cell r="AA2036">
            <v>0</v>
          </cell>
          <cell r="AB2036">
            <v>0</v>
          </cell>
        </row>
        <row r="2037">
          <cell r="G2037" t="str">
            <v>X288_1</v>
          </cell>
          <cell r="H2037" t="str">
            <v>as-as</v>
          </cell>
          <cell r="I2037" t="str">
            <v>sim</v>
          </cell>
          <cell r="V2037" t="str">
            <v>not</v>
          </cell>
          <cell r="Y2037" t="str">
            <v>Pres</v>
          </cell>
          <cell r="Z2037">
            <v>3.93</v>
          </cell>
          <cell r="AA2037">
            <v>0</v>
          </cell>
          <cell r="AB2037">
            <v>0</v>
          </cell>
        </row>
        <row r="2038">
          <cell r="G2038" t="str">
            <v>X289_0</v>
          </cell>
          <cell r="H2038" t="str">
            <v>the-of</v>
          </cell>
          <cell r="I2038" t="str">
            <v>sim</v>
          </cell>
          <cell r="V2038" t="str">
            <v>not neg pair</v>
          </cell>
          <cell r="Y2038" t="str">
            <v>Past</v>
          </cell>
          <cell r="Z2038">
            <v>2.5</v>
          </cell>
          <cell r="AA2038" t="str">
            <v>L</v>
          </cell>
          <cell r="AB2038">
            <v>0</v>
          </cell>
        </row>
        <row r="2039">
          <cell r="G2039" t="str">
            <v>X289_1</v>
          </cell>
          <cell r="H2039" t="str">
            <v>the-of</v>
          </cell>
          <cell r="I2039" t="str">
            <v>sim</v>
          </cell>
          <cell r="V2039" t="str">
            <v>not neg pair</v>
          </cell>
          <cell r="Y2039" t="str">
            <v>Past</v>
          </cell>
          <cell r="Z2039">
            <v>2.5</v>
          </cell>
          <cell r="AA2039" t="str">
            <v>L</v>
          </cell>
          <cell r="AB2039">
            <v>0</v>
          </cell>
        </row>
        <row r="2040">
          <cell r="G2040" t="str">
            <v>X290_0</v>
          </cell>
          <cell r="H2040" t="str">
            <v>as-as</v>
          </cell>
          <cell r="I2040" t="str">
            <v>sim</v>
          </cell>
          <cell r="V2040" t="str">
            <v>antonym</v>
          </cell>
          <cell r="Y2040" t="str">
            <v>Past</v>
          </cell>
          <cell r="Z2040">
            <v>4.46</v>
          </cell>
          <cell r="AA2040">
            <v>0</v>
          </cell>
          <cell r="AB2040">
            <v>0</v>
          </cell>
        </row>
        <row r="2041">
          <cell r="G2041" t="str">
            <v>X290_1</v>
          </cell>
          <cell r="H2041" t="str">
            <v>as-as</v>
          </cell>
          <cell r="I2041" t="str">
            <v>sim</v>
          </cell>
          <cell r="V2041" t="str">
            <v>antonym</v>
          </cell>
          <cell r="Y2041" t="str">
            <v>Past</v>
          </cell>
          <cell r="Z2041">
            <v>4.46</v>
          </cell>
          <cell r="AA2041">
            <v>0</v>
          </cell>
          <cell r="AB2041">
            <v>0</v>
          </cell>
        </row>
        <row r="2042">
          <cell r="G2042" t="str">
            <v>X291_0</v>
          </cell>
          <cell r="H2042" t="str">
            <v>as-as</v>
          </cell>
          <cell r="I2042" t="str">
            <v>sim</v>
          </cell>
          <cell r="V2042" t="str">
            <v>not</v>
          </cell>
          <cell r="Y2042" t="str">
            <v>Past</v>
          </cell>
          <cell r="Z2042">
            <v>4.9000000000000004</v>
          </cell>
          <cell r="AA2042">
            <v>0</v>
          </cell>
          <cell r="AB2042">
            <v>0</v>
          </cell>
        </row>
        <row r="2043">
          <cell r="G2043" t="str">
            <v>X291_1</v>
          </cell>
          <cell r="H2043" t="str">
            <v>as-as</v>
          </cell>
          <cell r="I2043" t="str">
            <v>sim</v>
          </cell>
          <cell r="V2043" t="str">
            <v>not</v>
          </cell>
          <cell r="Y2043" t="str">
            <v>Past</v>
          </cell>
          <cell r="Z2043">
            <v>4.9000000000000004</v>
          </cell>
          <cell r="AA2043">
            <v>0</v>
          </cell>
          <cell r="AB2043">
            <v>0</v>
          </cell>
        </row>
        <row r="2044">
          <cell r="G2044" t="str">
            <v>X292_0</v>
          </cell>
          <cell r="H2044" t="str">
            <v>as-as</v>
          </cell>
          <cell r="I2044" t="str">
            <v>sim</v>
          </cell>
          <cell r="V2044" t="str">
            <v>not neg pair</v>
          </cell>
          <cell r="Y2044" t="str">
            <v>Pres</v>
          </cell>
          <cell r="Z2044">
            <v>4.55</v>
          </cell>
          <cell r="AA2044">
            <v>0</v>
          </cell>
          <cell r="AB2044">
            <v>0</v>
          </cell>
        </row>
        <row r="2045">
          <cell r="G2045" t="str">
            <v>X292_1</v>
          </cell>
          <cell r="H2045" t="str">
            <v>as-as</v>
          </cell>
          <cell r="I2045" t="str">
            <v>sim</v>
          </cell>
          <cell r="V2045" t="str">
            <v>not neg pair</v>
          </cell>
          <cell r="Y2045" t="str">
            <v>Pres</v>
          </cell>
          <cell r="Z2045">
            <v>4.55</v>
          </cell>
          <cell r="AA2045">
            <v>0</v>
          </cell>
          <cell r="AB2045">
            <v>0</v>
          </cell>
        </row>
        <row r="2046">
          <cell r="G2046" t="str">
            <v>X293_0</v>
          </cell>
          <cell r="H2046" t="str">
            <v/>
          </cell>
          <cell r="I2046" t="str">
            <v>met</v>
          </cell>
          <cell r="V2046" t="str">
            <v>0</v>
          </cell>
          <cell r="Y2046" t="str">
            <v>Pres</v>
          </cell>
          <cell r="Z2046">
            <v>2.81</v>
          </cell>
          <cell r="AA2046">
            <v>0</v>
          </cell>
          <cell r="AB2046">
            <v>0</v>
          </cell>
        </row>
        <row r="2047">
          <cell r="G2047" t="str">
            <v>X293_1</v>
          </cell>
          <cell r="H2047" t="str">
            <v/>
          </cell>
          <cell r="I2047" t="str">
            <v>met</v>
          </cell>
          <cell r="V2047" t="str">
            <v>0</v>
          </cell>
          <cell r="Y2047" t="str">
            <v>Pres</v>
          </cell>
          <cell r="Z2047">
            <v>2.81</v>
          </cell>
          <cell r="AA2047">
            <v>0</v>
          </cell>
          <cell r="AB2047">
            <v>0</v>
          </cell>
        </row>
        <row r="2048">
          <cell r="G2048" t="str">
            <v>X294_0</v>
          </cell>
          <cell r="H2048" t="str">
            <v>as-as</v>
          </cell>
          <cell r="I2048" t="str">
            <v>sim</v>
          </cell>
          <cell r="V2048" t="str">
            <v>not neg pair</v>
          </cell>
          <cell r="Y2048" t="str">
            <v>Past</v>
          </cell>
          <cell r="Z2048">
            <v>2.81</v>
          </cell>
          <cell r="AA2048">
            <v>0</v>
          </cell>
          <cell r="AB2048">
            <v>0</v>
          </cell>
        </row>
        <row r="2049">
          <cell r="G2049" t="str">
            <v>X294_1</v>
          </cell>
          <cell r="H2049" t="str">
            <v>as-as</v>
          </cell>
          <cell r="I2049" t="str">
            <v>sim</v>
          </cell>
          <cell r="V2049" t="str">
            <v>not neg pair</v>
          </cell>
          <cell r="Y2049" t="str">
            <v>Past</v>
          </cell>
          <cell r="Z2049">
            <v>2.81</v>
          </cell>
          <cell r="AA2049">
            <v>0</v>
          </cell>
          <cell r="AB2049">
            <v>0</v>
          </cell>
        </row>
        <row r="2050">
          <cell r="G2050" t="str">
            <v>X295_0</v>
          </cell>
          <cell r="H2050" t="str">
            <v>the-of</v>
          </cell>
          <cell r="I2050" t="str">
            <v>sim</v>
          </cell>
          <cell r="V2050" t="str">
            <v>not</v>
          </cell>
          <cell r="Y2050" t="str">
            <v>Past</v>
          </cell>
          <cell r="Z2050">
            <v>4.34</v>
          </cell>
          <cell r="AA2050">
            <v>0</v>
          </cell>
          <cell r="AB2050">
            <v>0</v>
          </cell>
        </row>
        <row r="2051">
          <cell r="G2051" t="str">
            <v>X295_1</v>
          </cell>
          <cell r="H2051" t="str">
            <v>the-of</v>
          </cell>
          <cell r="I2051" t="str">
            <v>sim</v>
          </cell>
          <cell r="V2051" t="str">
            <v>not</v>
          </cell>
          <cell r="Y2051" t="str">
            <v>Past</v>
          </cell>
          <cell r="Z2051">
            <v>4.34</v>
          </cell>
          <cell r="AA2051">
            <v>0</v>
          </cell>
          <cell r="AB2051">
            <v>0</v>
          </cell>
        </row>
        <row r="2052">
          <cell r="G2052" t="str">
            <v>X296_0</v>
          </cell>
          <cell r="H2052" t="str">
            <v>as-as</v>
          </cell>
          <cell r="I2052" t="str">
            <v>sim</v>
          </cell>
          <cell r="V2052" t="str">
            <v>not</v>
          </cell>
          <cell r="Y2052" t="str">
            <v>Past</v>
          </cell>
          <cell r="Z2052">
            <v>4.9000000000000004</v>
          </cell>
          <cell r="AA2052">
            <v>0</v>
          </cell>
          <cell r="AB2052">
            <v>0</v>
          </cell>
        </row>
        <row r="2053">
          <cell r="G2053" t="str">
            <v>X296_1</v>
          </cell>
          <cell r="H2053" t="str">
            <v>as-as</v>
          </cell>
          <cell r="I2053" t="str">
            <v>sim</v>
          </cell>
          <cell r="V2053" t="str">
            <v>not</v>
          </cell>
          <cell r="Y2053" t="str">
            <v>Past</v>
          </cell>
          <cell r="Z2053">
            <v>4.9000000000000004</v>
          </cell>
          <cell r="AA2053">
            <v>0</v>
          </cell>
          <cell r="AB2053">
            <v>0</v>
          </cell>
        </row>
        <row r="2054">
          <cell r="G2054" t="str">
            <v>X297_0</v>
          </cell>
          <cell r="H2054" t="str">
            <v>the-of</v>
          </cell>
          <cell r="I2054" t="str">
            <v>sim</v>
          </cell>
          <cell r="V2054" t="str">
            <v>not</v>
          </cell>
          <cell r="Y2054" t="str">
            <v>Past</v>
          </cell>
          <cell r="Z2054">
            <v>3.36</v>
          </cell>
          <cell r="AA2054">
            <v>0</v>
          </cell>
          <cell r="AB2054">
            <v>0</v>
          </cell>
        </row>
        <row r="2055">
          <cell r="G2055" t="str">
            <v>X297_1</v>
          </cell>
          <cell r="H2055" t="str">
            <v>the-of</v>
          </cell>
          <cell r="I2055" t="str">
            <v>sim</v>
          </cell>
          <cell r="V2055" t="str">
            <v>not</v>
          </cell>
          <cell r="Y2055" t="str">
            <v>Past</v>
          </cell>
          <cell r="Z2055">
            <v>3.36</v>
          </cell>
          <cell r="AA2055">
            <v>0</v>
          </cell>
          <cell r="AB2055">
            <v>0</v>
          </cell>
        </row>
        <row r="2056">
          <cell r="G2056" t="str">
            <v>X298_0</v>
          </cell>
          <cell r="H2056" t="str">
            <v>as-as</v>
          </cell>
          <cell r="I2056" t="str">
            <v>sim</v>
          </cell>
          <cell r="V2056" t="str">
            <v>not neg pair</v>
          </cell>
          <cell r="Y2056" t="str">
            <v>Past</v>
          </cell>
          <cell r="Z2056">
            <v>0</v>
          </cell>
          <cell r="AA2056">
            <v>0</v>
          </cell>
          <cell r="AB2056">
            <v>0</v>
          </cell>
        </row>
        <row r="2057">
          <cell r="G2057" t="str">
            <v>X298_1</v>
          </cell>
          <cell r="H2057" t="str">
            <v>as-as</v>
          </cell>
          <cell r="I2057" t="str">
            <v>sim</v>
          </cell>
          <cell r="V2057" t="str">
            <v>not neg pair</v>
          </cell>
          <cell r="Y2057" t="str">
            <v>Pres</v>
          </cell>
          <cell r="Z2057">
            <v>2.81</v>
          </cell>
          <cell r="AA2057">
            <v>0</v>
          </cell>
          <cell r="AB2057">
            <v>0</v>
          </cell>
        </row>
        <row r="2058">
          <cell r="G2058" t="str">
            <v>X299_0</v>
          </cell>
          <cell r="H2058" t="str">
            <v>as-as</v>
          </cell>
          <cell r="I2058" t="str">
            <v>sim</v>
          </cell>
          <cell r="V2058" t="str">
            <v>antonym</v>
          </cell>
          <cell r="Y2058" t="str">
            <v>Pres</v>
          </cell>
          <cell r="Z2058">
            <v>2.81</v>
          </cell>
          <cell r="AA2058">
            <v>0</v>
          </cell>
          <cell r="AB2058">
            <v>0</v>
          </cell>
        </row>
        <row r="2059">
          <cell r="G2059" t="str">
            <v>X299_1</v>
          </cell>
          <cell r="H2059" t="str">
            <v>as-as</v>
          </cell>
          <cell r="I2059" t="str">
            <v>sim</v>
          </cell>
          <cell r="V2059" t="str">
            <v>antonym</v>
          </cell>
          <cell r="Y2059" t="str">
            <v>Pres</v>
          </cell>
          <cell r="Z2059">
            <v>2.81</v>
          </cell>
          <cell r="AA2059">
            <v>0</v>
          </cell>
          <cell r="AB2059">
            <v>0</v>
          </cell>
        </row>
        <row r="2060">
          <cell r="G2060" t="str">
            <v>X300_0</v>
          </cell>
          <cell r="H2060" t="str">
            <v>as-as</v>
          </cell>
          <cell r="I2060" t="str">
            <v>sim</v>
          </cell>
          <cell r="V2060" t="str">
            <v>not neg pair</v>
          </cell>
          <cell r="Y2060" t="str">
            <v>Past</v>
          </cell>
          <cell r="Z2060">
            <v>2.81</v>
          </cell>
          <cell r="AA2060">
            <v>0</v>
          </cell>
          <cell r="AB2060">
            <v>0</v>
          </cell>
        </row>
        <row r="2061">
          <cell r="G2061" t="str">
            <v>X300_1</v>
          </cell>
          <cell r="H2061" t="str">
            <v>as-as</v>
          </cell>
          <cell r="I2061" t="str">
            <v>sim</v>
          </cell>
          <cell r="V2061" t="str">
            <v>not neg pair</v>
          </cell>
          <cell r="Y2061" t="str">
            <v>Past</v>
          </cell>
          <cell r="Z2061">
            <v>2.81</v>
          </cell>
          <cell r="AA2061">
            <v>0</v>
          </cell>
          <cell r="AB2061">
            <v>0</v>
          </cell>
        </row>
        <row r="2062">
          <cell r="G2062" t="str">
            <v>X301_0</v>
          </cell>
          <cell r="H2062" t="str">
            <v>as-as</v>
          </cell>
          <cell r="I2062" t="str">
            <v>sim</v>
          </cell>
          <cell r="V2062" t="str">
            <v>not</v>
          </cell>
          <cell r="Y2062" t="str">
            <v>Pres</v>
          </cell>
          <cell r="Z2062">
            <v>3.93</v>
          </cell>
          <cell r="AA2062">
            <v>0</v>
          </cell>
          <cell r="AB2062">
            <v>0</v>
          </cell>
        </row>
        <row r="2063">
          <cell r="G2063" t="str">
            <v>X301_1</v>
          </cell>
          <cell r="H2063" t="str">
            <v>as-as</v>
          </cell>
          <cell r="I2063" t="str">
            <v>sim</v>
          </cell>
          <cell r="V2063" t="str">
            <v>not</v>
          </cell>
          <cell r="Y2063" t="str">
            <v>Pres</v>
          </cell>
          <cell r="Z2063">
            <v>3.93</v>
          </cell>
          <cell r="AA2063">
            <v>0</v>
          </cell>
          <cell r="AB2063">
            <v>0</v>
          </cell>
        </row>
        <row r="2064">
          <cell r="G2064" t="str">
            <v>X302_0</v>
          </cell>
          <cell r="H2064" t="str">
            <v>as-as</v>
          </cell>
          <cell r="I2064" t="str">
            <v>sim</v>
          </cell>
          <cell r="V2064" t="str">
            <v>not</v>
          </cell>
          <cell r="Y2064" t="str">
            <v>Past</v>
          </cell>
          <cell r="Z2064">
            <v>4.59</v>
          </cell>
          <cell r="AA2064">
            <v>0</v>
          </cell>
          <cell r="AB2064">
            <v>0</v>
          </cell>
        </row>
        <row r="2065">
          <cell r="G2065" t="str">
            <v>X302_1</v>
          </cell>
          <cell r="H2065" t="str">
            <v>as-as</v>
          </cell>
          <cell r="I2065" t="str">
            <v>sim</v>
          </cell>
          <cell r="V2065" t="str">
            <v>not</v>
          </cell>
          <cell r="Y2065" t="str">
            <v>Pres</v>
          </cell>
          <cell r="Z2065">
            <v>4.59</v>
          </cell>
          <cell r="AA2065">
            <v>0</v>
          </cell>
          <cell r="AB2065">
            <v>0</v>
          </cell>
        </row>
        <row r="2066">
          <cell r="G2066" t="str">
            <v>X303_0</v>
          </cell>
          <cell r="H2066" t="str">
            <v>as-as</v>
          </cell>
          <cell r="I2066" t="str">
            <v>sim</v>
          </cell>
          <cell r="V2066" t="str">
            <v>not</v>
          </cell>
          <cell r="Y2066" t="str">
            <v>Pres</v>
          </cell>
          <cell r="Z2066">
            <v>4.5599999999999996</v>
          </cell>
          <cell r="AA2066">
            <v>0</v>
          </cell>
          <cell r="AB2066">
            <v>0</v>
          </cell>
        </row>
        <row r="2067">
          <cell r="G2067" t="str">
            <v>X303_1</v>
          </cell>
          <cell r="H2067" t="str">
            <v>as-as</v>
          </cell>
          <cell r="I2067" t="str">
            <v>sim</v>
          </cell>
          <cell r="V2067" t="str">
            <v>not</v>
          </cell>
          <cell r="Y2067" t="str">
            <v>Pres</v>
          </cell>
          <cell r="Z2067">
            <v>4.5599999999999996</v>
          </cell>
          <cell r="AA2067">
            <v>0</v>
          </cell>
          <cell r="AB2067">
            <v>0</v>
          </cell>
        </row>
        <row r="2068">
          <cell r="G2068" t="str">
            <v>X304_0</v>
          </cell>
          <cell r="H2068" t="str">
            <v>as-as</v>
          </cell>
          <cell r="I2068" t="str">
            <v>sim</v>
          </cell>
          <cell r="V2068" t="str">
            <v>not neg pair</v>
          </cell>
          <cell r="Y2068" t="str">
            <v>Past</v>
          </cell>
          <cell r="Z2068">
            <v>4.79</v>
          </cell>
          <cell r="AA2068">
            <v>0</v>
          </cell>
          <cell r="AB2068">
            <v>0</v>
          </cell>
        </row>
        <row r="2069">
          <cell r="G2069" t="str">
            <v>X304_1</v>
          </cell>
          <cell r="H2069" t="str">
            <v>as-as</v>
          </cell>
          <cell r="I2069" t="str">
            <v>sim</v>
          </cell>
          <cell r="V2069" t="str">
            <v>not neg pair</v>
          </cell>
          <cell r="Y2069" t="str">
            <v>Past</v>
          </cell>
          <cell r="Z2069">
            <v>4.79</v>
          </cell>
          <cell r="AA2069">
            <v>0</v>
          </cell>
          <cell r="AB2069">
            <v>0</v>
          </cell>
        </row>
        <row r="2070">
          <cell r="G2070" t="str">
            <v>X305_0</v>
          </cell>
          <cell r="H2070" t="str">
            <v>as-as</v>
          </cell>
          <cell r="I2070" t="str">
            <v>sim</v>
          </cell>
          <cell r="V2070" t="str">
            <v>not neg pair</v>
          </cell>
          <cell r="Y2070" t="str">
            <v>Past</v>
          </cell>
          <cell r="Z2070">
            <v>3.28</v>
          </cell>
          <cell r="AA2070">
            <v>0</v>
          </cell>
          <cell r="AB2070">
            <v>0</v>
          </cell>
        </row>
        <row r="2071">
          <cell r="G2071" t="str">
            <v>X305_1</v>
          </cell>
          <cell r="H2071" t="str">
            <v>as-as</v>
          </cell>
          <cell r="I2071" t="str">
            <v>sim</v>
          </cell>
          <cell r="V2071" t="str">
            <v>not neg pair</v>
          </cell>
          <cell r="Y2071" t="str">
            <v>Past</v>
          </cell>
          <cell r="Z2071">
            <v>0</v>
          </cell>
          <cell r="AA2071">
            <v>0</v>
          </cell>
          <cell r="AB2071">
            <v>0</v>
          </cell>
        </row>
        <row r="2072">
          <cell r="G2072" t="str">
            <v>X306_0</v>
          </cell>
          <cell r="H2072" t="str">
            <v>as-as</v>
          </cell>
          <cell r="I2072" t="str">
            <v>sim</v>
          </cell>
          <cell r="V2072" t="str">
            <v>not</v>
          </cell>
          <cell r="Y2072" t="str">
            <v>Pres</v>
          </cell>
          <cell r="Z2072">
            <v>3.92</v>
          </cell>
          <cell r="AA2072">
            <v>0</v>
          </cell>
          <cell r="AB2072">
            <v>0</v>
          </cell>
        </row>
        <row r="2073">
          <cell r="G2073" t="str">
            <v>X306_1</v>
          </cell>
          <cell r="H2073" t="str">
            <v>as-as</v>
          </cell>
          <cell r="I2073" t="str">
            <v>sim</v>
          </cell>
          <cell r="V2073" t="str">
            <v>not</v>
          </cell>
          <cell r="Y2073" t="str">
            <v>Pres</v>
          </cell>
          <cell r="Z2073">
            <v>3.92</v>
          </cell>
          <cell r="AA2073">
            <v>0</v>
          </cell>
          <cell r="AB2073">
            <v>0</v>
          </cell>
        </row>
        <row r="2074">
          <cell r="G2074" t="str">
            <v>X307_0</v>
          </cell>
          <cell r="H2074" t="str">
            <v>as-as</v>
          </cell>
          <cell r="I2074" t="str">
            <v>sim</v>
          </cell>
          <cell r="V2074" t="str">
            <v>antonym</v>
          </cell>
          <cell r="Y2074" t="str">
            <v>Past</v>
          </cell>
          <cell r="Z2074">
            <v>4.8600000000000003</v>
          </cell>
          <cell r="AA2074">
            <v>0</v>
          </cell>
          <cell r="AB2074">
            <v>0</v>
          </cell>
        </row>
        <row r="2075">
          <cell r="G2075" t="str">
            <v>X307_1</v>
          </cell>
          <cell r="H2075" t="str">
            <v>as-as</v>
          </cell>
          <cell r="I2075" t="str">
            <v>sim</v>
          </cell>
          <cell r="V2075" t="str">
            <v>antonym</v>
          </cell>
          <cell r="Y2075" t="str">
            <v>Past</v>
          </cell>
          <cell r="Z2075">
            <v>4.8600000000000003</v>
          </cell>
          <cell r="AA2075">
            <v>0</v>
          </cell>
          <cell r="AB2075">
            <v>0</v>
          </cell>
        </row>
        <row r="2076">
          <cell r="G2076" t="str">
            <v>X308_0</v>
          </cell>
          <cell r="H2076" t="str">
            <v>as-as</v>
          </cell>
          <cell r="I2076" t="str">
            <v>sim</v>
          </cell>
          <cell r="V2076" t="str">
            <v>not neg pair</v>
          </cell>
          <cell r="Y2076" t="str">
            <v>Past</v>
          </cell>
          <cell r="Z2076">
            <v>4.93</v>
          </cell>
          <cell r="AA2076" t="str">
            <v>H</v>
          </cell>
          <cell r="AB2076">
            <v>0</v>
          </cell>
        </row>
        <row r="2077">
          <cell r="G2077" t="str">
            <v>X308_1</v>
          </cell>
          <cell r="H2077" t="str">
            <v>as-as</v>
          </cell>
          <cell r="I2077" t="str">
            <v>sim</v>
          </cell>
          <cell r="V2077" t="str">
            <v>not neg pair</v>
          </cell>
          <cell r="Y2077" t="str">
            <v>Past</v>
          </cell>
          <cell r="Z2077">
            <v>4.93</v>
          </cell>
          <cell r="AA2077" t="str">
            <v>H</v>
          </cell>
          <cell r="AB2077">
            <v>0</v>
          </cell>
        </row>
        <row r="2078">
          <cell r="G2078" t="str">
            <v>X309_0</v>
          </cell>
          <cell r="H2078" t="str">
            <v>as-as</v>
          </cell>
          <cell r="I2078" t="str">
            <v>sim</v>
          </cell>
          <cell r="V2078" t="str">
            <v>not neg pair</v>
          </cell>
          <cell r="Y2078" t="str">
            <v>Past</v>
          </cell>
          <cell r="Z2078">
            <v>4.7699999999999996</v>
          </cell>
          <cell r="AA2078">
            <v>0</v>
          </cell>
          <cell r="AB2078">
            <v>0</v>
          </cell>
        </row>
        <row r="2079">
          <cell r="G2079" t="str">
            <v>X309_1</v>
          </cell>
          <cell r="H2079" t="str">
            <v>as-as</v>
          </cell>
          <cell r="I2079" t="str">
            <v>sim</v>
          </cell>
          <cell r="V2079" t="str">
            <v>not neg pair</v>
          </cell>
          <cell r="Y2079" t="str">
            <v>Past</v>
          </cell>
          <cell r="Z2079">
            <v>4.7699999999999996</v>
          </cell>
          <cell r="AA2079">
            <v>0</v>
          </cell>
          <cell r="AB2079">
            <v>0</v>
          </cell>
        </row>
        <row r="2080">
          <cell r="G2080" t="str">
            <v>X310_0</v>
          </cell>
          <cell r="H2080" t="str">
            <v>the-of</v>
          </cell>
          <cell r="I2080" t="str">
            <v>sim</v>
          </cell>
          <cell r="V2080" t="str">
            <v>not neg pair</v>
          </cell>
          <cell r="Y2080" t="str">
            <v>Past</v>
          </cell>
          <cell r="Z2080">
            <v>4.13</v>
          </cell>
          <cell r="AA2080">
            <v>0</v>
          </cell>
          <cell r="AB2080">
            <v>0</v>
          </cell>
        </row>
        <row r="2081">
          <cell r="G2081" t="str">
            <v>X310_1</v>
          </cell>
          <cell r="H2081" t="str">
            <v>the-of</v>
          </cell>
          <cell r="I2081" t="str">
            <v>sim</v>
          </cell>
          <cell r="V2081" t="str">
            <v>not neg pair</v>
          </cell>
          <cell r="Y2081" t="str">
            <v>Past</v>
          </cell>
          <cell r="Z2081">
            <v>4.13</v>
          </cell>
          <cell r="AA2081">
            <v>0</v>
          </cell>
          <cell r="AB2081">
            <v>0</v>
          </cell>
        </row>
        <row r="2082">
          <cell r="G2082" t="str">
            <v>X311_0</v>
          </cell>
          <cell r="H2082" t="str">
            <v>as-as</v>
          </cell>
          <cell r="I2082" t="str">
            <v>sim</v>
          </cell>
          <cell r="V2082" t="str">
            <v>not</v>
          </cell>
          <cell r="Y2082" t="str">
            <v>Pres</v>
          </cell>
          <cell r="Z2082">
            <v>2.81</v>
          </cell>
          <cell r="AA2082">
            <v>0</v>
          </cell>
          <cell r="AB2082">
            <v>0</v>
          </cell>
        </row>
        <row r="2083">
          <cell r="G2083" t="str">
            <v>X311_1</v>
          </cell>
          <cell r="H2083" t="str">
            <v>as-as</v>
          </cell>
          <cell r="I2083" t="str">
            <v>sim</v>
          </cell>
          <cell r="V2083" t="str">
            <v>not</v>
          </cell>
          <cell r="Y2083" t="str">
            <v>Pres</v>
          </cell>
          <cell r="Z2083">
            <v>2.81</v>
          </cell>
          <cell r="AA2083">
            <v>0</v>
          </cell>
          <cell r="AB2083">
            <v>0</v>
          </cell>
        </row>
        <row r="2084">
          <cell r="G2084" t="str">
            <v>X312_0</v>
          </cell>
          <cell r="H2084" t="str">
            <v>as-as</v>
          </cell>
          <cell r="I2084" t="str">
            <v>sim</v>
          </cell>
          <cell r="V2084" t="str">
            <v>not</v>
          </cell>
          <cell r="Y2084" t="str">
            <v>Pres</v>
          </cell>
          <cell r="Z2084">
            <v>2.81</v>
          </cell>
          <cell r="AA2084">
            <v>0</v>
          </cell>
          <cell r="AB2084">
            <v>0</v>
          </cell>
        </row>
        <row r="2085">
          <cell r="G2085" t="str">
            <v>X312_1</v>
          </cell>
          <cell r="H2085" t="str">
            <v>as-as</v>
          </cell>
          <cell r="I2085" t="str">
            <v>sim</v>
          </cell>
          <cell r="V2085" t="str">
            <v>not</v>
          </cell>
          <cell r="Y2085" t="str">
            <v>Pres</v>
          </cell>
          <cell r="Z2085">
            <v>2.81</v>
          </cell>
          <cell r="AA2085">
            <v>0</v>
          </cell>
          <cell r="AB2085">
            <v>0</v>
          </cell>
        </row>
        <row r="2086">
          <cell r="G2086" t="str">
            <v>X313_0</v>
          </cell>
          <cell r="H2086" t="str">
            <v>as-as</v>
          </cell>
          <cell r="I2086" t="str">
            <v>sim</v>
          </cell>
          <cell r="V2086" t="str">
            <v>not</v>
          </cell>
          <cell r="Y2086" t="str">
            <v>Pres</v>
          </cell>
          <cell r="Z2086">
            <v>2.81</v>
          </cell>
          <cell r="AA2086">
            <v>0</v>
          </cell>
          <cell r="AB2086">
            <v>0</v>
          </cell>
        </row>
        <row r="2087">
          <cell r="G2087" t="str">
            <v>X313_1</v>
          </cell>
          <cell r="H2087" t="str">
            <v>as</v>
          </cell>
          <cell r="I2087" t="str">
            <v>sim</v>
          </cell>
          <cell r="V2087" t="str">
            <v>not</v>
          </cell>
          <cell r="Y2087" t="str">
            <v>Pres</v>
          </cell>
          <cell r="Z2087">
            <v>2.81</v>
          </cell>
          <cell r="AA2087">
            <v>0</v>
          </cell>
          <cell r="AB2087">
            <v>0</v>
          </cell>
        </row>
        <row r="2088">
          <cell r="G2088" t="str">
            <v>X314_0</v>
          </cell>
          <cell r="H2088" t="str">
            <v/>
          </cell>
          <cell r="I2088" t="str">
            <v>met</v>
          </cell>
          <cell r="V2088" t="str">
            <v>0</v>
          </cell>
          <cell r="Y2088" t="str">
            <v>Pres</v>
          </cell>
          <cell r="Z2088">
            <v>2.35</v>
          </cell>
          <cell r="AA2088" t="str">
            <v>L</v>
          </cell>
          <cell r="AB2088">
            <v>0</v>
          </cell>
        </row>
        <row r="2089">
          <cell r="G2089" t="str">
            <v>X314_1</v>
          </cell>
          <cell r="H2089" t="str">
            <v/>
          </cell>
          <cell r="I2089" t="str">
            <v>met</v>
          </cell>
          <cell r="V2089" t="str">
            <v>0</v>
          </cell>
          <cell r="Y2089" t="str">
            <v>Pres</v>
          </cell>
          <cell r="Z2089">
            <v>2.35</v>
          </cell>
          <cell r="AA2089" t="str">
            <v>L</v>
          </cell>
          <cell r="AB2089">
            <v>0</v>
          </cell>
        </row>
        <row r="2090">
          <cell r="G2090" t="str">
            <v>X315_0</v>
          </cell>
          <cell r="H2090" t="str">
            <v/>
          </cell>
          <cell r="I2090" t="str">
            <v>met</v>
          </cell>
          <cell r="V2090" t="str">
            <v>0</v>
          </cell>
          <cell r="Y2090" t="str">
            <v>Pres</v>
          </cell>
          <cell r="Z2090">
            <v>3.93</v>
          </cell>
          <cell r="AA2090">
            <v>0</v>
          </cell>
          <cell r="AB2090">
            <v>0</v>
          </cell>
        </row>
        <row r="2091">
          <cell r="G2091" t="str">
            <v>X315_1</v>
          </cell>
          <cell r="H2091" t="str">
            <v/>
          </cell>
          <cell r="I2091" t="str">
            <v>met</v>
          </cell>
          <cell r="V2091" t="str">
            <v>0</v>
          </cell>
          <cell r="Y2091" t="str">
            <v>Pres</v>
          </cell>
          <cell r="Z2091">
            <v>3.93</v>
          </cell>
          <cell r="AA2091">
            <v>0</v>
          </cell>
          <cell r="AB2091">
            <v>0</v>
          </cell>
        </row>
        <row r="2092">
          <cell r="G2092" t="str">
            <v>X316_0</v>
          </cell>
          <cell r="H2092" t="str">
            <v/>
          </cell>
          <cell r="I2092" t="str">
            <v>met</v>
          </cell>
          <cell r="V2092" t="str">
            <v>0</v>
          </cell>
          <cell r="Y2092" t="str">
            <v>Pres</v>
          </cell>
          <cell r="Z2092">
            <v>3.93</v>
          </cell>
          <cell r="AA2092">
            <v>0</v>
          </cell>
          <cell r="AB2092">
            <v>0</v>
          </cell>
        </row>
        <row r="2093">
          <cell r="G2093" t="str">
            <v>X316_1</v>
          </cell>
          <cell r="H2093" t="str">
            <v/>
          </cell>
          <cell r="I2093" t="str">
            <v>met</v>
          </cell>
          <cell r="V2093" t="str">
            <v>0</v>
          </cell>
          <cell r="Y2093" t="str">
            <v>Pres</v>
          </cell>
          <cell r="Z2093">
            <v>2.72</v>
          </cell>
          <cell r="AA2093" t="str">
            <v>L</v>
          </cell>
          <cell r="AB2093">
            <v>0</v>
          </cell>
        </row>
        <row r="2094">
          <cell r="G2094" t="str">
            <v>X317_0</v>
          </cell>
          <cell r="H2094" t="str">
            <v>as-as</v>
          </cell>
          <cell r="I2094" t="str">
            <v>sim</v>
          </cell>
          <cell r="V2094" t="str">
            <v>not neg pair</v>
          </cell>
          <cell r="Y2094" t="str">
            <v>Past</v>
          </cell>
          <cell r="Z2094">
            <v>4.6100000000000003</v>
          </cell>
          <cell r="AA2094">
            <v>0</v>
          </cell>
          <cell r="AB2094">
            <v>0</v>
          </cell>
        </row>
        <row r="2095">
          <cell r="G2095" t="str">
            <v>X317_1</v>
          </cell>
          <cell r="H2095" t="str">
            <v>as-as</v>
          </cell>
          <cell r="I2095" t="str">
            <v>sim</v>
          </cell>
          <cell r="V2095" t="str">
            <v>not neg pair</v>
          </cell>
          <cell r="Y2095" t="str">
            <v>Past</v>
          </cell>
          <cell r="Z2095">
            <v>4.6100000000000003</v>
          </cell>
          <cell r="AA2095">
            <v>0</v>
          </cell>
          <cell r="AB2095">
            <v>0</v>
          </cell>
        </row>
        <row r="2096">
          <cell r="G2096" t="str">
            <v>X318_0</v>
          </cell>
          <cell r="H2096" t="str">
            <v>as-as</v>
          </cell>
          <cell r="I2096" t="str">
            <v>sim</v>
          </cell>
          <cell r="V2096" t="str">
            <v>antonym</v>
          </cell>
          <cell r="Y2096" t="str">
            <v>Past</v>
          </cell>
          <cell r="Z2096">
            <v>5</v>
          </cell>
          <cell r="AA2096" t="str">
            <v>H</v>
          </cell>
          <cell r="AB2096">
            <v>0</v>
          </cell>
        </row>
        <row r="2097">
          <cell r="G2097" t="str">
            <v>X318_1</v>
          </cell>
          <cell r="H2097" t="str">
            <v>as-as</v>
          </cell>
          <cell r="I2097" t="str">
            <v>sim</v>
          </cell>
          <cell r="V2097" t="str">
            <v>antonym</v>
          </cell>
          <cell r="Y2097" t="str">
            <v>Past</v>
          </cell>
          <cell r="Z2097">
            <v>5</v>
          </cell>
          <cell r="AA2097" t="str">
            <v>H</v>
          </cell>
          <cell r="AB2097">
            <v>0</v>
          </cell>
        </row>
        <row r="2098">
          <cell r="G2098" t="str">
            <v>X319_0</v>
          </cell>
          <cell r="H2098" t="str">
            <v>as-as</v>
          </cell>
          <cell r="I2098" t="str">
            <v>sim</v>
          </cell>
          <cell r="V2098" t="str">
            <v>not neg pair</v>
          </cell>
          <cell r="Y2098" t="str">
            <v>Past</v>
          </cell>
          <cell r="Z2098">
            <v>4.68</v>
          </cell>
          <cell r="AA2098">
            <v>0</v>
          </cell>
          <cell r="AB2098">
            <v>0</v>
          </cell>
        </row>
        <row r="2099">
          <cell r="G2099" t="str">
            <v>X319_1</v>
          </cell>
          <cell r="H2099" t="str">
            <v>as-as</v>
          </cell>
          <cell r="I2099" t="str">
            <v>sim</v>
          </cell>
          <cell r="V2099" t="str">
            <v>not neg pair</v>
          </cell>
          <cell r="Y2099" t="str">
            <v>Past</v>
          </cell>
          <cell r="Z2099">
            <v>4.68</v>
          </cell>
          <cell r="AA2099">
            <v>0</v>
          </cell>
          <cell r="AB2099">
            <v>0</v>
          </cell>
        </row>
        <row r="2100">
          <cell r="G2100" t="str">
            <v>X320_0</v>
          </cell>
          <cell r="H2100" t="str">
            <v>like</v>
          </cell>
          <cell r="I2100" t="str">
            <v>sim</v>
          </cell>
          <cell r="V2100" t="str">
            <v>not neg pair</v>
          </cell>
          <cell r="Y2100" t="str">
            <v>Past</v>
          </cell>
          <cell r="Z2100">
            <v>2.35</v>
          </cell>
          <cell r="AA2100" t="str">
            <v>L</v>
          </cell>
          <cell r="AB2100">
            <v>0</v>
          </cell>
        </row>
        <row r="2101">
          <cell r="G2101" t="str">
            <v>X320_1</v>
          </cell>
          <cell r="H2101" t="str">
            <v>like</v>
          </cell>
          <cell r="I2101" t="str">
            <v>sim</v>
          </cell>
          <cell r="V2101" t="str">
            <v>not neg pair</v>
          </cell>
          <cell r="Y2101" t="str">
            <v>Past</v>
          </cell>
          <cell r="Z2101">
            <v>2.81</v>
          </cell>
          <cell r="AA2101">
            <v>0</v>
          </cell>
          <cell r="AB2101">
            <v>0</v>
          </cell>
        </row>
        <row r="2102">
          <cell r="G2102" t="str">
            <v>X321_0</v>
          </cell>
          <cell r="H2102" t="str">
            <v/>
          </cell>
          <cell r="I2102" t="str">
            <v>met</v>
          </cell>
          <cell r="V2102" t="str">
            <v>0</v>
          </cell>
          <cell r="Y2102" t="str">
            <v>Past</v>
          </cell>
          <cell r="Z2102">
            <v>4.92</v>
          </cell>
          <cell r="AA2102" t="str">
            <v>H</v>
          </cell>
          <cell r="AB2102">
            <v>0</v>
          </cell>
        </row>
        <row r="2103">
          <cell r="G2103" t="str">
            <v>X321_1</v>
          </cell>
          <cell r="H2103" t="str">
            <v>like</v>
          </cell>
          <cell r="I2103" t="str">
            <v>sim</v>
          </cell>
          <cell r="V2103" t="str">
            <v>0</v>
          </cell>
          <cell r="Y2103" t="str">
            <v>Past</v>
          </cell>
          <cell r="Z2103">
            <v>4.92</v>
          </cell>
          <cell r="AA2103" t="str">
            <v>H</v>
          </cell>
          <cell r="AB2103">
            <v>0</v>
          </cell>
        </row>
        <row r="2104">
          <cell r="G2104" t="str">
            <v>X322_0</v>
          </cell>
          <cell r="H2104" t="str">
            <v>like</v>
          </cell>
          <cell r="I2104" t="str">
            <v>sim</v>
          </cell>
          <cell r="V2104" t="str">
            <v>not neg pair</v>
          </cell>
          <cell r="Y2104" t="str">
            <v>Past</v>
          </cell>
          <cell r="Z2104">
            <v>4.2699999999999996</v>
          </cell>
          <cell r="AA2104">
            <v>0</v>
          </cell>
          <cell r="AB2104">
            <v>0</v>
          </cell>
        </row>
        <row r="2105">
          <cell r="G2105" t="str">
            <v>X322_1</v>
          </cell>
          <cell r="H2105" t="str">
            <v>like</v>
          </cell>
          <cell r="I2105" t="str">
            <v>sim</v>
          </cell>
          <cell r="V2105" t="str">
            <v>not neg pair</v>
          </cell>
          <cell r="Y2105" t="str">
            <v>Past</v>
          </cell>
          <cell r="Z2105">
            <v>4.2699999999999996</v>
          </cell>
          <cell r="AA2105">
            <v>0</v>
          </cell>
          <cell r="AB2105">
            <v>0</v>
          </cell>
        </row>
        <row r="2106">
          <cell r="G2106" t="str">
            <v>X323_0</v>
          </cell>
          <cell r="H2106" t="str">
            <v>as-as</v>
          </cell>
          <cell r="I2106" t="str">
            <v>sim</v>
          </cell>
          <cell r="V2106" t="str">
            <v>not</v>
          </cell>
          <cell r="Y2106" t="str">
            <v>Past</v>
          </cell>
          <cell r="Z2106">
            <v>3.93</v>
          </cell>
          <cell r="AA2106">
            <v>0</v>
          </cell>
          <cell r="AB2106">
            <v>0</v>
          </cell>
        </row>
        <row r="2107">
          <cell r="G2107" t="str">
            <v>X323_1</v>
          </cell>
          <cell r="H2107" t="str">
            <v>as-as</v>
          </cell>
          <cell r="I2107" t="str">
            <v>sim</v>
          </cell>
          <cell r="V2107" t="str">
            <v>not</v>
          </cell>
          <cell r="Y2107" t="str">
            <v>Past</v>
          </cell>
          <cell r="Z2107">
            <v>3.93</v>
          </cell>
          <cell r="AA2107">
            <v>0</v>
          </cell>
          <cell r="AB2107">
            <v>0</v>
          </cell>
        </row>
        <row r="2108">
          <cell r="G2108" t="str">
            <v>X324_0</v>
          </cell>
          <cell r="H2108" t="str">
            <v>as-as</v>
          </cell>
          <cell r="I2108" t="str">
            <v>sim</v>
          </cell>
          <cell r="V2108" t="str">
            <v>not</v>
          </cell>
          <cell r="Y2108" t="str">
            <v>Past</v>
          </cell>
          <cell r="Z2108">
            <v>2.7</v>
          </cell>
          <cell r="AA2108" t="str">
            <v>L</v>
          </cell>
          <cell r="AB2108">
            <v>0</v>
          </cell>
        </row>
        <row r="2109">
          <cell r="G2109" t="str">
            <v>X324_1</v>
          </cell>
          <cell r="H2109" t="str">
            <v>as-as</v>
          </cell>
          <cell r="I2109" t="str">
            <v>sim</v>
          </cell>
          <cell r="V2109" t="str">
            <v>not</v>
          </cell>
          <cell r="Y2109" t="str">
            <v>Past</v>
          </cell>
          <cell r="Z2109">
            <v>2.7</v>
          </cell>
          <cell r="AA2109" t="str">
            <v>L</v>
          </cell>
          <cell r="AB2109">
            <v>0</v>
          </cell>
        </row>
        <row r="2110">
          <cell r="G2110" t="str">
            <v>X325_0</v>
          </cell>
          <cell r="H2110" t="str">
            <v>as-as</v>
          </cell>
          <cell r="I2110" t="str">
            <v>sim</v>
          </cell>
          <cell r="V2110" t="str">
            <v>not</v>
          </cell>
          <cell r="Y2110" t="str">
            <v>Past</v>
          </cell>
          <cell r="Z2110">
            <v>4.2699999999999996</v>
          </cell>
          <cell r="AA2110">
            <v>0</v>
          </cell>
          <cell r="AB2110">
            <v>0</v>
          </cell>
        </row>
        <row r="2111">
          <cell r="G2111" t="str">
            <v>X325_1</v>
          </cell>
          <cell r="H2111" t="str">
            <v>as-as</v>
          </cell>
          <cell r="I2111" t="str">
            <v>sim</v>
          </cell>
          <cell r="V2111" t="str">
            <v>not</v>
          </cell>
          <cell r="Y2111" t="str">
            <v>Past</v>
          </cell>
          <cell r="Z2111">
            <v>4.2699999999999996</v>
          </cell>
          <cell r="AA2111">
            <v>0</v>
          </cell>
          <cell r="AB2111">
            <v>0</v>
          </cell>
        </row>
        <row r="2112">
          <cell r="G2112" t="str">
            <v>X326_0</v>
          </cell>
          <cell r="H2112" t="str">
            <v>like</v>
          </cell>
          <cell r="I2112" t="str">
            <v>sim</v>
          </cell>
          <cell r="V2112" t="str">
            <v>not neg pair</v>
          </cell>
          <cell r="Y2112" t="str">
            <v>Pres</v>
          </cell>
          <cell r="Z2112">
            <v>4.2699999999999996</v>
          </cell>
          <cell r="AA2112">
            <v>0</v>
          </cell>
          <cell r="AB2112">
            <v>0</v>
          </cell>
        </row>
        <row r="2113">
          <cell r="G2113" t="str">
            <v>X326_1</v>
          </cell>
          <cell r="H2113" t="str">
            <v>like</v>
          </cell>
          <cell r="I2113" t="str">
            <v>sim</v>
          </cell>
          <cell r="V2113" t="str">
            <v>not neg pair</v>
          </cell>
          <cell r="Y2113" t="str">
            <v>Pres</v>
          </cell>
          <cell r="Z2113">
            <v>4.2699999999999996</v>
          </cell>
          <cell r="AA2113">
            <v>0</v>
          </cell>
          <cell r="AB2113">
            <v>0</v>
          </cell>
        </row>
        <row r="2114">
          <cell r="G2114" t="str">
            <v>X327_0</v>
          </cell>
          <cell r="H2114" t="str">
            <v>as-as</v>
          </cell>
          <cell r="I2114" t="str">
            <v>sim</v>
          </cell>
          <cell r="V2114" t="str">
            <v>antonym</v>
          </cell>
          <cell r="Y2114" t="str">
            <v>Past</v>
          </cell>
          <cell r="Z2114">
            <v>4.76</v>
          </cell>
          <cell r="AA2114">
            <v>0</v>
          </cell>
          <cell r="AB2114">
            <v>0</v>
          </cell>
        </row>
        <row r="2115">
          <cell r="G2115" t="str">
            <v>X327_1</v>
          </cell>
          <cell r="H2115" t="str">
            <v>as-as</v>
          </cell>
          <cell r="I2115" t="str">
            <v>sim</v>
          </cell>
          <cell r="V2115" t="str">
            <v>antonym</v>
          </cell>
          <cell r="Y2115" t="str">
            <v>Past</v>
          </cell>
          <cell r="Z2115">
            <v>4.76</v>
          </cell>
          <cell r="AA2115">
            <v>0</v>
          </cell>
          <cell r="AB2115">
            <v>0</v>
          </cell>
        </row>
        <row r="2116">
          <cell r="G2116" t="str">
            <v>X328_0</v>
          </cell>
          <cell r="H2116" t="str">
            <v>like</v>
          </cell>
          <cell r="I2116" t="str">
            <v>sim</v>
          </cell>
          <cell r="V2116" t="str">
            <v>not neg pair</v>
          </cell>
          <cell r="Y2116" t="str">
            <v>Past</v>
          </cell>
          <cell r="Z2116">
            <v>3.79</v>
          </cell>
          <cell r="AA2116">
            <v>0</v>
          </cell>
          <cell r="AB2116">
            <v>0</v>
          </cell>
        </row>
        <row r="2117">
          <cell r="G2117" t="str">
            <v>X328_1</v>
          </cell>
          <cell r="H2117" t="str">
            <v>like</v>
          </cell>
          <cell r="I2117" t="str">
            <v>sim</v>
          </cell>
          <cell r="V2117" t="str">
            <v>not neg pair</v>
          </cell>
          <cell r="Y2117" t="str">
            <v>Past</v>
          </cell>
          <cell r="Z2117">
            <v>3.79</v>
          </cell>
          <cell r="AA2117">
            <v>0</v>
          </cell>
          <cell r="AB2117">
            <v>0</v>
          </cell>
        </row>
        <row r="2118">
          <cell r="G2118" t="str">
            <v>X329_0</v>
          </cell>
          <cell r="H2118" t="str">
            <v/>
          </cell>
          <cell r="I2118" t="str">
            <v>met</v>
          </cell>
          <cell r="V2118" t="str">
            <v>0</v>
          </cell>
          <cell r="Y2118" t="str">
            <v>Pres</v>
          </cell>
          <cell r="Z2118">
            <v>3.81</v>
          </cell>
          <cell r="AA2118">
            <v>0</v>
          </cell>
          <cell r="AB2118">
            <v>0</v>
          </cell>
        </row>
        <row r="2119">
          <cell r="G2119" t="str">
            <v>X329_1</v>
          </cell>
          <cell r="H2119" t="str">
            <v/>
          </cell>
          <cell r="I2119" t="str">
            <v>met</v>
          </cell>
          <cell r="V2119" t="str">
            <v>0</v>
          </cell>
          <cell r="Y2119" t="str">
            <v>Pres</v>
          </cell>
          <cell r="Z2119">
            <v>3.81</v>
          </cell>
          <cell r="AA2119">
            <v>0</v>
          </cell>
          <cell r="AB2119">
            <v>0</v>
          </cell>
        </row>
        <row r="2120">
          <cell r="G2120" t="str">
            <v>X330_0</v>
          </cell>
          <cell r="H2120" t="str">
            <v>as-as</v>
          </cell>
          <cell r="I2120" t="str">
            <v>sim</v>
          </cell>
          <cell r="V2120" t="str">
            <v>antonym</v>
          </cell>
          <cell r="Y2120" t="str">
            <v>Pres</v>
          </cell>
          <cell r="Z2120">
            <v>1.61</v>
          </cell>
          <cell r="AA2120" t="str">
            <v>L</v>
          </cell>
          <cell r="AB2120">
            <v>0</v>
          </cell>
        </row>
        <row r="2121">
          <cell r="G2121" t="str">
            <v>X330_1</v>
          </cell>
          <cell r="H2121" t="str">
            <v>as-as</v>
          </cell>
          <cell r="I2121" t="str">
            <v>sim</v>
          </cell>
          <cell r="V2121" t="str">
            <v>antonym</v>
          </cell>
          <cell r="Y2121" t="str">
            <v>Pres</v>
          </cell>
          <cell r="Z2121">
            <v>1.61</v>
          </cell>
          <cell r="AA2121" t="str">
            <v>L</v>
          </cell>
          <cell r="AB2121">
            <v>0</v>
          </cell>
        </row>
        <row r="2122">
          <cell r="G2122" t="str">
            <v>X331_0</v>
          </cell>
          <cell r="H2122" t="str">
            <v>as-as</v>
          </cell>
          <cell r="I2122" t="str">
            <v>sim</v>
          </cell>
          <cell r="V2122" t="str">
            <v>antonym</v>
          </cell>
          <cell r="Y2122" t="str">
            <v>Pres</v>
          </cell>
          <cell r="Z2122">
            <v>2.41</v>
          </cell>
          <cell r="AA2122" t="str">
            <v>L</v>
          </cell>
          <cell r="AB2122">
            <v>0</v>
          </cell>
        </row>
        <row r="2123">
          <cell r="G2123" t="str">
            <v>X331_1</v>
          </cell>
          <cell r="H2123" t="str">
            <v>as-as</v>
          </cell>
          <cell r="I2123" t="str">
            <v>sim</v>
          </cell>
          <cell r="V2123" t="str">
            <v>antonym</v>
          </cell>
          <cell r="Y2123" t="str">
            <v>Pres</v>
          </cell>
          <cell r="Z2123">
            <v>2.41</v>
          </cell>
          <cell r="AA2123" t="str">
            <v>L</v>
          </cell>
          <cell r="AB2123">
            <v>0</v>
          </cell>
        </row>
        <row r="2124">
          <cell r="G2124" t="str">
            <v>X332_0</v>
          </cell>
          <cell r="H2124" t="str">
            <v/>
          </cell>
          <cell r="I2124" t="str">
            <v>met</v>
          </cell>
          <cell r="V2124" t="str">
            <v>0</v>
          </cell>
          <cell r="Y2124" t="str">
            <v>Past</v>
          </cell>
          <cell r="Z2124">
            <v>2.78</v>
          </cell>
          <cell r="AA2124" t="str">
            <v>L</v>
          </cell>
          <cell r="AB2124">
            <v>0</v>
          </cell>
        </row>
        <row r="2125">
          <cell r="G2125" t="str">
            <v>X332_1</v>
          </cell>
          <cell r="H2125" t="str">
            <v>as</v>
          </cell>
          <cell r="I2125" t="str">
            <v>sim</v>
          </cell>
          <cell r="V2125" t="str">
            <v>0</v>
          </cell>
          <cell r="Y2125" t="str">
            <v>Past</v>
          </cell>
          <cell r="Z2125">
            <v>2.78</v>
          </cell>
          <cell r="AA2125" t="str">
            <v>L</v>
          </cell>
          <cell r="AB2125">
            <v>0</v>
          </cell>
        </row>
        <row r="2126">
          <cell r="G2126" t="str">
            <v>X333_0</v>
          </cell>
          <cell r="H2126" t="str">
            <v>like</v>
          </cell>
          <cell r="I2126" t="str">
            <v>sim</v>
          </cell>
          <cell r="V2126" t="str">
            <v>not neg pair</v>
          </cell>
          <cell r="Y2126" t="str">
            <v>Past</v>
          </cell>
          <cell r="Z2126">
            <v>4.92</v>
          </cell>
          <cell r="AA2126" t="str">
            <v>H</v>
          </cell>
          <cell r="AB2126">
            <v>0</v>
          </cell>
        </row>
        <row r="2127">
          <cell r="G2127" t="str">
            <v>X333_1</v>
          </cell>
          <cell r="H2127" t="str">
            <v>like</v>
          </cell>
          <cell r="I2127" t="str">
            <v>sim</v>
          </cell>
          <cell r="V2127" t="str">
            <v>not neg pair</v>
          </cell>
          <cell r="Y2127" t="str">
            <v>Past</v>
          </cell>
          <cell r="Z2127">
            <v>4.92</v>
          </cell>
          <cell r="AA2127" t="str">
            <v>H</v>
          </cell>
          <cell r="AB2127">
            <v>0</v>
          </cell>
        </row>
        <row r="2128">
          <cell r="G2128" t="str">
            <v>X334_0</v>
          </cell>
          <cell r="H2128" t="str">
            <v>as</v>
          </cell>
          <cell r="I2128" t="str">
            <v>sim</v>
          </cell>
          <cell r="V2128" t="str">
            <v>not neg pair</v>
          </cell>
          <cell r="Y2128" t="str">
            <v>Past</v>
          </cell>
          <cell r="Z2128">
            <v>5</v>
          </cell>
          <cell r="AA2128" t="str">
            <v>H</v>
          </cell>
          <cell r="AB2128">
            <v>0</v>
          </cell>
        </row>
        <row r="2129">
          <cell r="G2129" t="str">
            <v>X334_1</v>
          </cell>
          <cell r="H2129" t="str">
            <v>as</v>
          </cell>
          <cell r="I2129" t="str">
            <v>sim</v>
          </cell>
          <cell r="V2129" t="str">
            <v>not neg pair</v>
          </cell>
          <cell r="Y2129" t="str">
            <v>Pres</v>
          </cell>
          <cell r="Z2129">
            <v>5</v>
          </cell>
          <cell r="AA2129" t="str">
            <v>H</v>
          </cell>
          <cell r="AB2129">
            <v>0</v>
          </cell>
        </row>
        <row r="2130">
          <cell r="G2130" t="str">
            <v>X335_0</v>
          </cell>
          <cell r="H2130" t="str">
            <v/>
          </cell>
          <cell r="I2130" t="str">
            <v>met</v>
          </cell>
          <cell r="V2130" t="str">
            <v>0</v>
          </cell>
          <cell r="Y2130" t="str">
            <v>Pres</v>
          </cell>
          <cell r="Z2130">
            <v>4.68</v>
          </cell>
          <cell r="AA2130">
            <v>0</v>
          </cell>
          <cell r="AB2130">
            <v>0</v>
          </cell>
        </row>
        <row r="2131">
          <cell r="G2131" t="str">
            <v>X335_1</v>
          </cell>
          <cell r="H2131" t="str">
            <v/>
          </cell>
          <cell r="I2131" t="str">
            <v>met</v>
          </cell>
          <cell r="V2131" t="str">
            <v>0</v>
          </cell>
          <cell r="Y2131" t="str">
            <v>Pres</v>
          </cell>
          <cell r="Z2131">
            <v>4.68</v>
          </cell>
          <cell r="AA2131">
            <v>0</v>
          </cell>
          <cell r="AB2131">
            <v>0</v>
          </cell>
        </row>
        <row r="2132">
          <cell r="G2132" t="str">
            <v>X336_0</v>
          </cell>
          <cell r="H2132" t="str">
            <v/>
          </cell>
          <cell r="I2132" t="str">
            <v>met</v>
          </cell>
          <cell r="V2132" t="str">
            <v>0</v>
          </cell>
          <cell r="Y2132" t="str">
            <v>Pres</v>
          </cell>
          <cell r="Z2132">
            <v>3.93</v>
          </cell>
          <cell r="AA2132">
            <v>0</v>
          </cell>
          <cell r="AB2132">
            <v>0</v>
          </cell>
        </row>
        <row r="2133">
          <cell r="G2133" t="str">
            <v>X336_1</v>
          </cell>
          <cell r="H2133" t="str">
            <v/>
          </cell>
          <cell r="I2133" t="str">
            <v>met</v>
          </cell>
          <cell r="V2133" t="str">
            <v>0</v>
          </cell>
          <cell r="Y2133" t="str">
            <v>Pres</v>
          </cell>
          <cell r="Z2133">
            <v>3.93</v>
          </cell>
          <cell r="AA2133">
            <v>0</v>
          </cell>
          <cell r="AB2133">
            <v>0</v>
          </cell>
        </row>
        <row r="2134">
          <cell r="G2134" t="str">
            <v>X337_0</v>
          </cell>
          <cell r="H2134" t="str">
            <v>the-of</v>
          </cell>
          <cell r="I2134" t="str">
            <v>sim</v>
          </cell>
          <cell r="V2134" t="str">
            <v>not</v>
          </cell>
          <cell r="Y2134" t="str">
            <v>Past</v>
          </cell>
          <cell r="Z2134">
            <v>4.1500000000000004</v>
          </cell>
          <cell r="AA2134">
            <v>0</v>
          </cell>
          <cell r="AB2134">
            <v>0</v>
          </cell>
        </row>
        <row r="2135">
          <cell r="G2135" t="str">
            <v>X337_1</v>
          </cell>
          <cell r="H2135" t="str">
            <v>the-of</v>
          </cell>
          <cell r="I2135" t="str">
            <v>sim</v>
          </cell>
          <cell r="V2135" t="str">
            <v>not</v>
          </cell>
          <cell r="Y2135" t="str">
            <v>Past</v>
          </cell>
          <cell r="Z2135">
            <v>4.1500000000000004</v>
          </cell>
          <cell r="AA2135">
            <v>0</v>
          </cell>
          <cell r="AB2135">
            <v>0</v>
          </cell>
        </row>
        <row r="2136">
          <cell r="G2136" t="str">
            <v>X338_0</v>
          </cell>
          <cell r="H2136" t="str">
            <v>the-of</v>
          </cell>
          <cell r="I2136" t="str">
            <v>sim</v>
          </cell>
          <cell r="V2136" t="str">
            <v>not neg pair</v>
          </cell>
          <cell r="Y2136" t="str">
            <v>Past</v>
          </cell>
          <cell r="Z2136">
            <v>4.76</v>
          </cell>
          <cell r="AA2136">
            <v>0</v>
          </cell>
          <cell r="AB2136">
            <v>0</v>
          </cell>
        </row>
        <row r="2137">
          <cell r="G2137" t="str">
            <v>X338_1</v>
          </cell>
          <cell r="H2137" t="str">
            <v>the-of</v>
          </cell>
          <cell r="I2137" t="str">
            <v>sim</v>
          </cell>
          <cell r="V2137" t="str">
            <v>not neg pair</v>
          </cell>
          <cell r="Y2137" t="str">
            <v>Past</v>
          </cell>
          <cell r="Z2137">
            <v>4.76</v>
          </cell>
          <cell r="AA2137">
            <v>0</v>
          </cell>
          <cell r="AB2137">
            <v>0</v>
          </cell>
        </row>
        <row r="2138">
          <cell r="G2138" t="str">
            <v>X339_0</v>
          </cell>
          <cell r="H2138" t="str">
            <v>as-as</v>
          </cell>
          <cell r="I2138" t="str">
            <v>sim</v>
          </cell>
          <cell r="V2138" t="str">
            <v>not neg pair</v>
          </cell>
          <cell r="Y2138" t="str">
            <v>Past</v>
          </cell>
          <cell r="Z2138">
            <v>3.93</v>
          </cell>
          <cell r="AA2138">
            <v>0</v>
          </cell>
          <cell r="AB2138">
            <v>0</v>
          </cell>
        </row>
        <row r="2139">
          <cell r="G2139" t="str">
            <v>X339_1</v>
          </cell>
          <cell r="H2139" t="str">
            <v>as-as</v>
          </cell>
          <cell r="I2139" t="str">
            <v>sim</v>
          </cell>
          <cell r="V2139" t="str">
            <v>not neg pair</v>
          </cell>
          <cell r="Y2139" t="str">
            <v>Past</v>
          </cell>
          <cell r="Z2139">
            <v>3.93</v>
          </cell>
          <cell r="AA2139">
            <v>0</v>
          </cell>
          <cell r="AB2139">
            <v>0</v>
          </cell>
        </row>
        <row r="2140">
          <cell r="G2140" t="str">
            <v>X340_0</v>
          </cell>
          <cell r="H2140" t="str">
            <v>as</v>
          </cell>
          <cell r="I2140" t="str">
            <v>sim</v>
          </cell>
          <cell r="V2140" t="str">
            <v>0</v>
          </cell>
          <cell r="Y2140" t="str">
            <v>Past</v>
          </cell>
          <cell r="Z2140">
            <v>4.6100000000000003</v>
          </cell>
          <cell r="AA2140">
            <v>0</v>
          </cell>
          <cell r="AB2140">
            <v>0</v>
          </cell>
        </row>
        <row r="2141">
          <cell r="G2141" t="str">
            <v>X340_1</v>
          </cell>
          <cell r="H2141" t="str">
            <v>as-as</v>
          </cell>
          <cell r="I2141" t="str">
            <v>sim</v>
          </cell>
          <cell r="V2141" t="str">
            <v>0</v>
          </cell>
          <cell r="Y2141" t="str">
            <v>Pres</v>
          </cell>
          <cell r="Z2141">
            <v>4.6100000000000003</v>
          </cell>
          <cell r="AA2141">
            <v>0</v>
          </cell>
          <cell r="AB2141">
            <v>0</v>
          </cell>
        </row>
        <row r="2142">
          <cell r="G2142" t="str">
            <v>X341_0</v>
          </cell>
          <cell r="H2142" t="str">
            <v>as</v>
          </cell>
          <cell r="I2142" t="str">
            <v>sim</v>
          </cell>
          <cell r="V2142" t="str">
            <v>not neg pair</v>
          </cell>
          <cell r="Y2142" t="str">
            <v>Past</v>
          </cell>
          <cell r="Z2142">
            <v>4.79</v>
          </cell>
          <cell r="AA2142">
            <v>0</v>
          </cell>
          <cell r="AB2142">
            <v>0</v>
          </cell>
        </row>
        <row r="2143">
          <cell r="G2143" t="str">
            <v>X341_1</v>
          </cell>
          <cell r="H2143" t="str">
            <v>as</v>
          </cell>
          <cell r="I2143" t="str">
            <v>sim</v>
          </cell>
          <cell r="V2143" t="str">
            <v>not neg pair</v>
          </cell>
          <cell r="Y2143" t="str">
            <v>Past</v>
          </cell>
          <cell r="Z2143">
            <v>4.79</v>
          </cell>
          <cell r="AA2143">
            <v>0</v>
          </cell>
          <cell r="AB2143">
            <v>0</v>
          </cell>
        </row>
        <row r="2144">
          <cell r="G2144" t="str">
            <v>X342_0</v>
          </cell>
          <cell r="H2144" t="str">
            <v>like</v>
          </cell>
          <cell r="I2144" t="str">
            <v>sim</v>
          </cell>
          <cell r="V2144" t="str">
            <v>not neg pair</v>
          </cell>
          <cell r="Y2144" t="str">
            <v>Past</v>
          </cell>
          <cell r="Z2144">
            <v>3.93</v>
          </cell>
          <cell r="AA2144">
            <v>0</v>
          </cell>
          <cell r="AB2144">
            <v>0</v>
          </cell>
        </row>
        <row r="2145">
          <cell r="G2145" t="str">
            <v>X342_1</v>
          </cell>
          <cell r="H2145" t="str">
            <v>like</v>
          </cell>
          <cell r="I2145" t="str">
            <v>sim</v>
          </cell>
          <cell r="V2145" t="str">
            <v>not neg pair</v>
          </cell>
          <cell r="Y2145" t="str">
            <v>Past</v>
          </cell>
          <cell r="Z2145">
            <v>3.93</v>
          </cell>
          <cell r="AA2145">
            <v>0</v>
          </cell>
          <cell r="AB2145">
            <v>0</v>
          </cell>
        </row>
        <row r="2146">
          <cell r="G2146" t="str">
            <v>X343_0</v>
          </cell>
          <cell r="H2146" t="str">
            <v/>
          </cell>
          <cell r="I2146" t="str">
            <v>met</v>
          </cell>
          <cell r="V2146" t="str">
            <v>0</v>
          </cell>
          <cell r="Y2146" t="str">
            <v>Pres</v>
          </cell>
          <cell r="Z2146">
            <v>4.55</v>
          </cell>
          <cell r="AA2146">
            <v>0</v>
          </cell>
          <cell r="AB2146">
            <v>0</v>
          </cell>
        </row>
        <row r="2147">
          <cell r="G2147" t="str">
            <v>X343_1</v>
          </cell>
          <cell r="H2147" t="str">
            <v/>
          </cell>
          <cell r="I2147" t="str">
            <v>met</v>
          </cell>
          <cell r="V2147" t="str">
            <v>0</v>
          </cell>
          <cell r="Y2147" t="str">
            <v>Pres</v>
          </cell>
          <cell r="Z2147">
            <v>4.55</v>
          </cell>
          <cell r="AA2147">
            <v>0</v>
          </cell>
          <cell r="AB2147">
            <v>0</v>
          </cell>
        </row>
        <row r="2148">
          <cell r="G2148" t="str">
            <v>X344_0</v>
          </cell>
          <cell r="H2148" t="str">
            <v/>
          </cell>
          <cell r="I2148" t="str">
            <v>met</v>
          </cell>
          <cell r="V2148" t="str">
            <v>0</v>
          </cell>
          <cell r="Y2148" t="str">
            <v>Past</v>
          </cell>
          <cell r="Z2148">
            <v>4.2699999999999996</v>
          </cell>
          <cell r="AA2148">
            <v>0</v>
          </cell>
          <cell r="AB2148">
            <v>0</v>
          </cell>
        </row>
        <row r="2149">
          <cell r="G2149" t="str">
            <v>X344_1</v>
          </cell>
          <cell r="H2149" t="str">
            <v/>
          </cell>
          <cell r="I2149" t="str">
            <v>met</v>
          </cell>
          <cell r="V2149" t="str">
            <v>0</v>
          </cell>
          <cell r="Y2149" t="str">
            <v>Past</v>
          </cell>
          <cell r="Z2149">
            <v>4.2699999999999996</v>
          </cell>
          <cell r="AA2149">
            <v>0</v>
          </cell>
          <cell r="AB2149">
            <v>0</v>
          </cell>
        </row>
        <row r="2150">
          <cell r="G2150" t="str">
            <v>X345_0</v>
          </cell>
          <cell r="H2150" t="str">
            <v/>
          </cell>
          <cell r="I2150" t="str">
            <v>met</v>
          </cell>
          <cell r="V2150" t="str">
            <v>0</v>
          </cell>
          <cell r="Y2150" t="str">
            <v>Past</v>
          </cell>
          <cell r="Z2150">
            <v>4.76</v>
          </cell>
          <cell r="AA2150">
            <v>0</v>
          </cell>
          <cell r="AB2150">
            <v>0</v>
          </cell>
        </row>
        <row r="2151">
          <cell r="G2151" t="str">
            <v>X345_1</v>
          </cell>
          <cell r="H2151" t="str">
            <v/>
          </cell>
          <cell r="I2151" t="str">
            <v>met</v>
          </cell>
          <cell r="V2151" t="str">
            <v>0</v>
          </cell>
          <cell r="Y2151" t="str">
            <v>Past</v>
          </cell>
          <cell r="Z2151">
            <v>4.76</v>
          </cell>
          <cell r="AA2151">
            <v>0</v>
          </cell>
          <cell r="AB2151">
            <v>0</v>
          </cell>
        </row>
        <row r="2152">
          <cell r="G2152" t="str">
            <v>X346_0</v>
          </cell>
          <cell r="H2152" t="str">
            <v>the-of</v>
          </cell>
          <cell r="I2152" t="str">
            <v>sim</v>
          </cell>
          <cell r="V2152" t="str">
            <v>not neg pair</v>
          </cell>
          <cell r="Y2152" t="str">
            <v>Pres</v>
          </cell>
          <cell r="Z2152">
            <v>4.55</v>
          </cell>
          <cell r="AA2152">
            <v>0</v>
          </cell>
          <cell r="AB2152">
            <v>0</v>
          </cell>
        </row>
        <row r="2153">
          <cell r="G2153" t="str">
            <v>X346_1</v>
          </cell>
          <cell r="H2153" t="str">
            <v>the-of</v>
          </cell>
          <cell r="I2153" t="str">
            <v>sim</v>
          </cell>
          <cell r="V2153" t="str">
            <v>not neg pair</v>
          </cell>
          <cell r="Y2153" t="str">
            <v>Pres</v>
          </cell>
          <cell r="Z2153">
            <v>4.55</v>
          </cell>
          <cell r="AA2153">
            <v>0</v>
          </cell>
          <cell r="AB2153">
            <v>0</v>
          </cell>
        </row>
        <row r="2154">
          <cell r="G2154" t="str">
            <v>X347_0</v>
          </cell>
          <cell r="H2154" t="str">
            <v>as-as</v>
          </cell>
          <cell r="I2154" t="str">
            <v>sim</v>
          </cell>
          <cell r="V2154" t="str">
            <v>not neg pair</v>
          </cell>
          <cell r="Y2154" t="str">
            <v>Pres</v>
          </cell>
          <cell r="Z2154">
            <v>4.2699999999999996</v>
          </cell>
          <cell r="AA2154">
            <v>0</v>
          </cell>
          <cell r="AB2154">
            <v>0</v>
          </cell>
        </row>
        <row r="2155">
          <cell r="G2155" t="str">
            <v>X347_1</v>
          </cell>
          <cell r="H2155" t="str">
            <v>as-as</v>
          </cell>
          <cell r="I2155" t="str">
            <v>sim</v>
          </cell>
          <cell r="V2155" t="str">
            <v>not neg pair</v>
          </cell>
          <cell r="Y2155" t="str">
            <v>Pres</v>
          </cell>
          <cell r="Z2155">
            <v>4.2699999999999996</v>
          </cell>
          <cell r="AA2155">
            <v>0</v>
          </cell>
          <cell r="AB2155">
            <v>0</v>
          </cell>
        </row>
        <row r="2156">
          <cell r="G2156" t="str">
            <v>X348_0</v>
          </cell>
          <cell r="H2156" t="str">
            <v>as-as</v>
          </cell>
          <cell r="I2156" t="str">
            <v>sim</v>
          </cell>
          <cell r="V2156" t="str">
            <v>antonym</v>
          </cell>
          <cell r="Y2156" t="str">
            <v>Pres</v>
          </cell>
          <cell r="Z2156">
            <v>4.76</v>
          </cell>
          <cell r="AA2156">
            <v>0</v>
          </cell>
          <cell r="AB2156">
            <v>0</v>
          </cell>
        </row>
        <row r="2157">
          <cell r="G2157" t="str">
            <v>X348_1</v>
          </cell>
          <cell r="H2157" t="str">
            <v>as-as</v>
          </cell>
          <cell r="I2157" t="str">
            <v>sim</v>
          </cell>
          <cell r="V2157" t="str">
            <v>antonym</v>
          </cell>
          <cell r="Y2157" t="str">
            <v>Pres</v>
          </cell>
          <cell r="Z2157">
            <v>4.76</v>
          </cell>
          <cell r="AA2157">
            <v>0</v>
          </cell>
          <cell r="AB2157">
            <v>0</v>
          </cell>
        </row>
        <row r="2158">
          <cell r="G2158" t="str">
            <v>X349_0</v>
          </cell>
          <cell r="H2158" t="str">
            <v>as-as</v>
          </cell>
          <cell r="I2158" t="str">
            <v>sim</v>
          </cell>
          <cell r="V2158" t="str">
            <v>antonym</v>
          </cell>
          <cell r="Y2158" t="str">
            <v>Pres</v>
          </cell>
          <cell r="Z2158">
            <v>3.48</v>
          </cell>
          <cell r="AA2158">
            <v>0</v>
          </cell>
          <cell r="AB2158">
            <v>0</v>
          </cell>
        </row>
        <row r="2159">
          <cell r="G2159" t="str">
            <v>X349_1</v>
          </cell>
          <cell r="H2159" t="str">
            <v>as-as</v>
          </cell>
          <cell r="I2159" t="str">
            <v>sim</v>
          </cell>
          <cell r="V2159" t="str">
            <v>antonym</v>
          </cell>
          <cell r="Y2159" t="str">
            <v>Pres</v>
          </cell>
          <cell r="Z2159">
            <v>3.48</v>
          </cell>
          <cell r="AA2159">
            <v>0</v>
          </cell>
          <cell r="AB2159">
            <v>0</v>
          </cell>
        </row>
        <row r="2160">
          <cell r="G2160" t="str">
            <v>X350_0</v>
          </cell>
          <cell r="H2160" t="str">
            <v>as-as</v>
          </cell>
          <cell r="I2160" t="str">
            <v>sim</v>
          </cell>
          <cell r="V2160" t="str">
            <v>not neg pair</v>
          </cell>
          <cell r="Y2160" t="str">
            <v>Past</v>
          </cell>
          <cell r="Z2160">
            <v>4.75</v>
          </cell>
          <cell r="AA2160">
            <v>0</v>
          </cell>
          <cell r="AB2160">
            <v>0</v>
          </cell>
        </row>
        <row r="2161">
          <cell r="G2161" t="str">
            <v>X350_1</v>
          </cell>
          <cell r="H2161" t="str">
            <v>as-as</v>
          </cell>
          <cell r="I2161" t="str">
            <v>sim</v>
          </cell>
          <cell r="V2161" t="str">
            <v>not neg pair</v>
          </cell>
          <cell r="Y2161" t="str">
            <v>Past</v>
          </cell>
          <cell r="Z2161">
            <v>4.75</v>
          </cell>
          <cell r="AA2161">
            <v>0</v>
          </cell>
          <cell r="AB2161">
            <v>0</v>
          </cell>
        </row>
        <row r="2162">
          <cell r="G2162" t="str">
            <v>X351_0</v>
          </cell>
          <cell r="H2162" t="str">
            <v>as-as</v>
          </cell>
          <cell r="I2162" t="str">
            <v>sim</v>
          </cell>
          <cell r="V2162" t="str">
            <v>antonym</v>
          </cell>
          <cell r="Y2162" t="str">
            <v>Pres</v>
          </cell>
          <cell r="Z2162">
            <v>2.96</v>
          </cell>
          <cell r="AA2162">
            <v>0</v>
          </cell>
          <cell r="AB2162">
            <v>0</v>
          </cell>
        </row>
        <row r="2163">
          <cell r="G2163" t="str">
            <v>X351_1</v>
          </cell>
          <cell r="H2163" t="str">
            <v>as-as</v>
          </cell>
          <cell r="I2163" t="str">
            <v>sim</v>
          </cell>
          <cell r="V2163" t="str">
            <v>antonym</v>
          </cell>
          <cell r="Y2163" t="str">
            <v>Pres</v>
          </cell>
          <cell r="Z2163">
            <v>2.96</v>
          </cell>
          <cell r="AA2163">
            <v>0</v>
          </cell>
          <cell r="AB2163">
            <v>0</v>
          </cell>
        </row>
        <row r="2164">
          <cell r="G2164" t="str">
            <v>X352_0</v>
          </cell>
          <cell r="H2164" t="str">
            <v>as-as</v>
          </cell>
          <cell r="I2164" t="str">
            <v>sim</v>
          </cell>
          <cell r="V2164" t="str">
            <v>antonym</v>
          </cell>
          <cell r="Y2164" t="str">
            <v>Past</v>
          </cell>
          <cell r="Z2164">
            <v>4.55</v>
          </cell>
          <cell r="AA2164">
            <v>0</v>
          </cell>
          <cell r="AB2164">
            <v>0</v>
          </cell>
        </row>
        <row r="2165">
          <cell r="G2165" t="str">
            <v>X352_1</v>
          </cell>
          <cell r="H2165" t="str">
            <v>as-as</v>
          </cell>
          <cell r="I2165" t="str">
            <v>sim</v>
          </cell>
          <cell r="V2165" t="str">
            <v>antonym</v>
          </cell>
          <cell r="Y2165" t="str">
            <v>Past</v>
          </cell>
          <cell r="Z2165">
            <v>4.55</v>
          </cell>
          <cell r="AA2165">
            <v>0</v>
          </cell>
          <cell r="AB2165">
            <v>0</v>
          </cell>
        </row>
        <row r="2166">
          <cell r="G2166" t="str">
            <v>X353_0</v>
          </cell>
          <cell r="H2166" t="str">
            <v/>
          </cell>
          <cell r="I2166" t="str">
            <v>met</v>
          </cell>
          <cell r="V2166" t="str">
            <v>0</v>
          </cell>
          <cell r="Y2166" t="str">
            <v>Past</v>
          </cell>
          <cell r="Z2166">
            <v>4.7300000000000004</v>
          </cell>
          <cell r="AA2166">
            <v>0</v>
          </cell>
          <cell r="AB2166">
            <v>0</v>
          </cell>
        </row>
        <row r="2167">
          <cell r="G2167" t="str">
            <v>X353_1</v>
          </cell>
          <cell r="H2167" t="str">
            <v/>
          </cell>
          <cell r="I2167" t="str">
            <v>met</v>
          </cell>
          <cell r="V2167" t="str">
            <v>0</v>
          </cell>
          <cell r="Y2167" t="str">
            <v>Past</v>
          </cell>
          <cell r="Z2167">
            <v>4.7300000000000004</v>
          </cell>
          <cell r="AA2167">
            <v>0</v>
          </cell>
          <cell r="AB2167">
            <v>0</v>
          </cell>
        </row>
        <row r="2168">
          <cell r="G2168" t="str">
            <v>X354_0</v>
          </cell>
          <cell r="H2168" t="str">
            <v/>
          </cell>
          <cell r="I2168" t="str">
            <v>met</v>
          </cell>
          <cell r="V2168" t="str">
            <v>0</v>
          </cell>
          <cell r="Y2168" t="str">
            <v>Past</v>
          </cell>
          <cell r="Z2168">
            <v>3.37</v>
          </cell>
          <cell r="AA2168">
            <v>0</v>
          </cell>
          <cell r="AB2168">
            <v>0</v>
          </cell>
        </row>
        <row r="2169">
          <cell r="G2169" t="str">
            <v>X354_1</v>
          </cell>
          <cell r="H2169" t="str">
            <v/>
          </cell>
          <cell r="I2169" t="str">
            <v>met</v>
          </cell>
          <cell r="V2169" t="str">
            <v>0</v>
          </cell>
          <cell r="Y2169" t="str">
            <v>Past</v>
          </cell>
          <cell r="Z2169">
            <v>3.37</v>
          </cell>
          <cell r="AA2169">
            <v>0</v>
          </cell>
          <cell r="AB2169">
            <v>0</v>
          </cell>
        </row>
        <row r="2170">
          <cell r="G2170" t="str">
            <v>X355_0</v>
          </cell>
          <cell r="H2170" t="str">
            <v>like</v>
          </cell>
          <cell r="I2170" t="str">
            <v>sim</v>
          </cell>
          <cell r="V2170" t="str">
            <v>not neg pair</v>
          </cell>
          <cell r="Y2170" t="str">
            <v>Past</v>
          </cell>
          <cell r="Z2170">
            <v>4.79</v>
          </cell>
          <cell r="AA2170">
            <v>0</v>
          </cell>
          <cell r="AB2170">
            <v>0</v>
          </cell>
        </row>
        <row r="2171">
          <cell r="G2171" t="str">
            <v>X355_1</v>
          </cell>
          <cell r="H2171" t="str">
            <v>like</v>
          </cell>
          <cell r="I2171" t="str">
            <v>sim</v>
          </cell>
          <cell r="V2171" t="str">
            <v>not neg pair</v>
          </cell>
          <cell r="Y2171" t="str">
            <v>Past</v>
          </cell>
          <cell r="Z2171">
            <v>4.79</v>
          </cell>
          <cell r="AA2171">
            <v>0</v>
          </cell>
          <cell r="AB2171">
            <v>0</v>
          </cell>
        </row>
        <row r="2172">
          <cell r="G2172" t="str">
            <v>X356_0</v>
          </cell>
          <cell r="H2172" t="str">
            <v>the-of</v>
          </cell>
          <cell r="I2172" t="str">
            <v>sim</v>
          </cell>
          <cell r="V2172" t="str">
            <v>not neg pair</v>
          </cell>
          <cell r="Y2172" t="str">
            <v>Past</v>
          </cell>
          <cell r="Z2172">
            <v>3.36</v>
          </cell>
          <cell r="AA2172">
            <v>0</v>
          </cell>
          <cell r="AB2172">
            <v>0</v>
          </cell>
        </row>
        <row r="2173">
          <cell r="G2173" t="str">
            <v>X356_1</v>
          </cell>
          <cell r="H2173" t="str">
            <v>the-of</v>
          </cell>
          <cell r="I2173" t="str">
            <v>sim</v>
          </cell>
          <cell r="V2173" t="str">
            <v>not neg pair</v>
          </cell>
          <cell r="Y2173" t="str">
            <v>Past</v>
          </cell>
          <cell r="Z2173">
            <v>3.36</v>
          </cell>
          <cell r="AA2173">
            <v>0</v>
          </cell>
          <cell r="AB2173">
            <v>0</v>
          </cell>
        </row>
        <row r="2174">
          <cell r="G2174" t="str">
            <v>X357_0</v>
          </cell>
          <cell r="H2174" t="str">
            <v>like</v>
          </cell>
          <cell r="I2174" t="str">
            <v>sim</v>
          </cell>
          <cell r="V2174" t="str">
            <v>not neg pair</v>
          </cell>
          <cell r="Y2174" t="str">
            <v>Past</v>
          </cell>
          <cell r="Z2174">
            <v>4.13</v>
          </cell>
          <cell r="AA2174">
            <v>0</v>
          </cell>
          <cell r="AB2174">
            <v>0</v>
          </cell>
        </row>
        <row r="2175">
          <cell r="G2175" t="str">
            <v>X357_1</v>
          </cell>
          <cell r="H2175" t="str">
            <v>like</v>
          </cell>
          <cell r="I2175" t="str">
            <v>sim</v>
          </cell>
          <cell r="V2175" t="str">
            <v>not neg pair</v>
          </cell>
          <cell r="Y2175" t="str">
            <v>Past</v>
          </cell>
          <cell r="Z2175">
            <v>4.13</v>
          </cell>
          <cell r="AA2175">
            <v>0</v>
          </cell>
          <cell r="AB2175">
            <v>0</v>
          </cell>
        </row>
        <row r="2176">
          <cell r="G2176" t="str">
            <v>X358_0</v>
          </cell>
          <cell r="H2176" t="str">
            <v/>
          </cell>
          <cell r="I2176" t="str">
            <v>met</v>
          </cell>
          <cell r="V2176" t="str">
            <v>0</v>
          </cell>
          <cell r="Y2176" t="str">
            <v>Pres</v>
          </cell>
          <cell r="Z2176">
            <v>2.0699999999999998</v>
          </cell>
          <cell r="AA2176" t="str">
            <v>L</v>
          </cell>
          <cell r="AB2176">
            <v>0</v>
          </cell>
        </row>
        <row r="2177">
          <cell r="G2177" t="str">
            <v>X358_1</v>
          </cell>
          <cell r="H2177" t="str">
            <v/>
          </cell>
          <cell r="I2177" t="str">
            <v>met</v>
          </cell>
          <cell r="V2177" t="str">
            <v>0</v>
          </cell>
          <cell r="Y2177" t="str">
            <v>Pres</v>
          </cell>
          <cell r="Z2177">
            <v>2.0699999999999998</v>
          </cell>
          <cell r="AA2177" t="str">
            <v>L</v>
          </cell>
          <cell r="AB2177">
            <v>0</v>
          </cell>
        </row>
        <row r="2178">
          <cell r="G2178" t="str">
            <v>X359_0</v>
          </cell>
          <cell r="H2178" t="str">
            <v/>
          </cell>
          <cell r="I2178" t="str">
            <v>met</v>
          </cell>
          <cell r="V2178" t="str">
            <v>0</v>
          </cell>
          <cell r="Y2178" t="str">
            <v>Pres</v>
          </cell>
          <cell r="Z2178">
            <v>4.5999999999999996</v>
          </cell>
          <cell r="AA2178">
            <v>0</v>
          </cell>
          <cell r="AB2178">
            <v>0</v>
          </cell>
        </row>
        <row r="2179">
          <cell r="G2179" t="str">
            <v>X359_1</v>
          </cell>
          <cell r="H2179" t="str">
            <v/>
          </cell>
          <cell r="I2179" t="str">
            <v>met</v>
          </cell>
          <cell r="V2179" t="str">
            <v>0</v>
          </cell>
          <cell r="Y2179" t="str">
            <v>Pres</v>
          </cell>
          <cell r="Z2179">
            <v>4.5999999999999996</v>
          </cell>
          <cell r="AA2179">
            <v>0</v>
          </cell>
          <cell r="AB2179">
            <v>0</v>
          </cell>
        </row>
        <row r="2180">
          <cell r="G2180" t="str">
            <v>X360_0</v>
          </cell>
          <cell r="H2180" t="str">
            <v>as-as</v>
          </cell>
          <cell r="I2180" t="str">
            <v>sim</v>
          </cell>
          <cell r="V2180" t="str">
            <v>not</v>
          </cell>
          <cell r="Y2180" t="str">
            <v>Pres</v>
          </cell>
          <cell r="Z2180">
            <v>4.79</v>
          </cell>
          <cell r="AA2180">
            <v>0</v>
          </cell>
          <cell r="AB2180">
            <v>0</v>
          </cell>
        </row>
        <row r="2181">
          <cell r="G2181" t="str">
            <v>X360_1</v>
          </cell>
          <cell r="H2181" t="str">
            <v>as-as</v>
          </cell>
          <cell r="I2181" t="str">
            <v>sim</v>
          </cell>
          <cell r="V2181" t="str">
            <v>not</v>
          </cell>
          <cell r="Y2181" t="str">
            <v>Pres</v>
          </cell>
          <cell r="Z2181">
            <v>4.79</v>
          </cell>
          <cell r="AA2181">
            <v>0</v>
          </cell>
          <cell r="AB2181">
            <v>0</v>
          </cell>
        </row>
        <row r="2182">
          <cell r="G2182" t="str">
            <v>X361_0</v>
          </cell>
          <cell r="H2182" t="str">
            <v>like</v>
          </cell>
          <cell r="I2182" t="str">
            <v>sim</v>
          </cell>
          <cell r="V2182" t="str">
            <v>not</v>
          </cell>
          <cell r="Y2182" t="str">
            <v>Pres</v>
          </cell>
          <cell r="Z2182">
            <v>3.93</v>
          </cell>
          <cell r="AA2182">
            <v>0</v>
          </cell>
          <cell r="AB2182">
            <v>0</v>
          </cell>
        </row>
        <row r="2183">
          <cell r="G2183" t="str">
            <v>X361_1</v>
          </cell>
          <cell r="H2183" t="str">
            <v>like</v>
          </cell>
          <cell r="I2183" t="str">
            <v>sim</v>
          </cell>
          <cell r="V2183" t="str">
            <v>not</v>
          </cell>
          <cell r="Y2183" t="str">
            <v>Pres</v>
          </cell>
          <cell r="Z2183">
            <v>3.93</v>
          </cell>
          <cell r="AA2183">
            <v>0</v>
          </cell>
          <cell r="AB2183">
            <v>0</v>
          </cell>
        </row>
        <row r="2184">
          <cell r="G2184" t="str">
            <v>X362_0</v>
          </cell>
          <cell r="H2184" t="str">
            <v>as-as</v>
          </cell>
          <cell r="I2184" t="str">
            <v>sim</v>
          </cell>
          <cell r="V2184" t="str">
            <v>antonym</v>
          </cell>
          <cell r="Y2184" t="str">
            <v>Pres</v>
          </cell>
          <cell r="Z2184">
            <v>4.9000000000000004</v>
          </cell>
          <cell r="AA2184">
            <v>0</v>
          </cell>
          <cell r="AB2184">
            <v>0</v>
          </cell>
        </row>
        <row r="2185">
          <cell r="G2185" t="str">
            <v>X362_1</v>
          </cell>
          <cell r="H2185" t="str">
            <v>as-as</v>
          </cell>
          <cell r="I2185" t="str">
            <v>sim</v>
          </cell>
          <cell r="V2185" t="str">
            <v>antonym</v>
          </cell>
          <cell r="Y2185" t="str">
            <v>Pres</v>
          </cell>
          <cell r="Z2185">
            <v>4.9000000000000004</v>
          </cell>
          <cell r="AA2185">
            <v>0</v>
          </cell>
          <cell r="AB2185">
            <v>0</v>
          </cell>
        </row>
        <row r="2186">
          <cell r="G2186" t="str">
            <v>X363_0</v>
          </cell>
          <cell r="H2186" t="str">
            <v>the-of</v>
          </cell>
          <cell r="I2186" t="str">
            <v>sim</v>
          </cell>
          <cell r="V2186" t="str">
            <v>not neg pair</v>
          </cell>
          <cell r="Y2186" t="str">
            <v>Pres</v>
          </cell>
          <cell r="Z2186">
            <v>4.87</v>
          </cell>
          <cell r="AA2186">
            <v>0</v>
          </cell>
          <cell r="AB2186">
            <v>0</v>
          </cell>
        </row>
        <row r="2187">
          <cell r="G2187" t="str">
            <v>X363_1</v>
          </cell>
          <cell r="H2187" t="str">
            <v>the-of</v>
          </cell>
          <cell r="I2187" t="str">
            <v>sim</v>
          </cell>
          <cell r="V2187" t="str">
            <v>not neg pair</v>
          </cell>
          <cell r="Y2187" t="str">
            <v>Pres</v>
          </cell>
          <cell r="Z2187">
            <v>4.87</v>
          </cell>
          <cell r="AA2187">
            <v>0</v>
          </cell>
          <cell r="AB2187">
            <v>0</v>
          </cell>
        </row>
        <row r="2188">
          <cell r="G2188" t="str">
            <v>X364_0</v>
          </cell>
          <cell r="H2188" t="str">
            <v>as-as</v>
          </cell>
          <cell r="I2188" t="str">
            <v>sim</v>
          </cell>
          <cell r="V2188" t="str">
            <v>antonym</v>
          </cell>
          <cell r="Y2188" t="str">
            <v>Pres</v>
          </cell>
          <cell r="Z2188">
            <v>4.9000000000000004</v>
          </cell>
          <cell r="AA2188">
            <v>0</v>
          </cell>
          <cell r="AB2188">
            <v>0</v>
          </cell>
        </row>
        <row r="2189">
          <cell r="G2189" t="str">
            <v>X364_1</v>
          </cell>
          <cell r="H2189" t="str">
            <v>as-as</v>
          </cell>
          <cell r="I2189" t="str">
            <v>sim</v>
          </cell>
          <cell r="V2189" t="str">
            <v>antonym</v>
          </cell>
          <cell r="Y2189" t="str">
            <v>Pres</v>
          </cell>
          <cell r="Z2189">
            <v>4.9000000000000004</v>
          </cell>
          <cell r="AA2189">
            <v>0</v>
          </cell>
          <cell r="AB2189">
            <v>0</v>
          </cell>
        </row>
        <row r="2190">
          <cell r="G2190" t="str">
            <v>X365_0</v>
          </cell>
          <cell r="H2190" t="str">
            <v>like</v>
          </cell>
          <cell r="I2190" t="str">
            <v>sim</v>
          </cell>
          <cell r="V2190" t="str">
            <v>not neg pair</v>
          </cell>
          <cell r="Y2190" t="str">
            <v>Pres</v>
          </cell>
          <cell r="Z2190">
            <v>4.76</v>
          </cell>
          <cell r="AA2190">
            <v>0</v>
          </cell>
          <cell r="AB2190">
            <v>0</v>
          </cell>
        </row>
        <row r="2191">
          <cell r="G2191" t="str">
            <v>X365_1</v>
          </cell>
          <cell r="H2191" t="str">
            <v>like</v>
          </cell>
          <cell r="I2191" t="str">
            <v>sim</v>
          </cell>
          <cell r="V2191" t="str">
            <v>not neg pair</v>
          </cell>
          <cell r="Y2191" t="str">
            <v>Pres</v>
          </cell>
          <cell r="Z2191">
            <v>4.76</v>
          </cell>
          <cell r="AA2191">
            <v>0</v>
          </cell>
          <cell r="AB2191">
            <v>0</v>
          </cell>
        </row>
        <row r="2192">
          <cell r="G2192" t="str">
            <v>X366_0</v>
          </cell>
          <cell r="H2192" t="str">
            <v>as-as</v>
          </cell>
          <cell r="I2192" t="str">
            <v>sim</v>
          </cell>
          <cell r="V2192" t="str">
            <v>not neg pair</v>
          </cell>
          <cell r="Y2192" t="str">
            <v>Pres</v>
          </cell>
          <cell r="Z2192">
            <v>4.79</v>
          </cell>
          <cell r="AA2192">
            <v>0</v>
          </cell>
          <cell r="AB2192">
            <v>0</v>
          </cell>
        </row>
        <row r="2193">
          <cell r="G2193" t="str">
            <v>X366_1</v>
          </cell>
          <cell r="H2193" t="str">
            <v>as-as</v>
          </cell>
          <cell r="I2193" t="str">
            <v>sim</v>
          </cell>
          <cell r="V2193" t="str">
            <v>not neg pair</v>
          </cell>
          <cell r="Y2193" t="str">
            <v>Past</v>
          </cell>
          <cell r="Z2193">
            <v>2.68</v>
          </cell>
          <cell r="AA2193" t="str">
            <v>L</v>
          </cell>
          <cell r="AB2193">
            <v>0</v>
          </cell>
        </row>
        <row r="2194">
          <cell r="G2194" t="str">
            <v>X367_0</v>
          </cell>
          <cell r="H2194" t="str">
            <v>as-as</v>
          </cell>
          <cell r="I2194" t="str">
            <v>sim</v>
          </cell>
          <cell r="V2194" t="str">
            <v>antonym</v>
          </cell>
          <cell r="Y2194" t="str">
            <v>Past</v>
          </cell>
          <cell r="Z2194">
            <v>4.68</v>
          </cell>
          <cell r="AA2194">
            <v>0</v>
          </cell>
          <cell r="AB2194">
            <v>0</v>
          </cell>
        </row>
        <row r="2195">
          <cell r="G2195" t="str">
            <v>X367_1</v>
          </cell>
          <cell r="H2195" t="str">
            <v>as-as</v>
          </cell>
          <cell r="I2195" t="str">
            <v>sim</v>
          </cell>
          <cell r="V2195" t="str">
            <v>antonym</v>
          </cell>
          <cell r="Y2195" t="str">
            <v>Past</v>
          </cell>
          <cell r="Z2195">
            <v>4.68</v>
          </cell>
          <cell r="AA2195">
            <v>0</v>
          </cell>
          <cell r="AB2195">
            <v>0</v>
          </cell>
        </row>
        <row r="2196">
          <cell r="G2196" t="str">
            <v>X368_0</v>
          </cell>
          <cell r="H2196" t="str">
            <v>as-as</v>
          </cell>
          <cell r="I2196" t="str">
            <v>sim</v>
          </cell>
          <cell r="V2196" t="str">
            <v>antonym</v>
          </cell>
          <cell r="Y2196" t="str">
            <v>Past</v>
          </cell>
          <cell r="Z2196">
            <v>4.59</v>
          </cell>
          <cell r="AA2196">
            <v>0</v>
          </cell>
          <cell r="AB2196">
            <v>0</v>
          </cell>
        </row>
        <row r="2197">
          <cell r="G2197" t="str">
            <v>X368_1</v>
          </cell>
          <cell r="H2197" t="str">
            <v>as-as</v>
          </cell>
          <cell r="I2197" t="str">
            <v>sim</v>
          </cell>
          <cell r="V2197" t="str">
            <v>antonym</v>
          </cell>
          <cell r="Y2197" t="str">
            <v>Past</v>
          </cell>
          <cell r="Z2197">
            <v>4.59</v>
          </cell>
          <cell r="AA2197">
            <v>0</v>
          </cell>
          <cell r="AB2197">
            <v>0</v>
          </cell>
        </row>
        <row r="2198">
          <cell r="G2198" t="str">
            <v>X369_0</v>
          </cell>
          <cell r="H2198" t="str">
            <v>the-of</v>
          </cell>
          <cell r="I2198" t="str">
            <v>sim</v>
          </cell>
          <cell r="V2198" t="str">
            <v>not</v>
          </cell>
          <cell r="Y2198" t="str">
            <v>Past</v>
          </cell>
          <cell r="Z2198">
            <v>4.79</v>
          </cell>
          <cell r="AA2198">
            <v>0</v>
          </cell>
          <cell r="AB2198">
            <v>0</v>
          </cell>
        </row>
        <row r="2199">
          <cell r="G2199" t="str">
            <v>X369_1</v>
          </cell>
          <cell r="H2199" t="str">
            <v>the-of</v>
          </cell>
          <cell r="I2199" t="str">
            <v>sim</v>
          </cell>
          <cell r="V2199" t="str">
            <v>not</v>
          </cell>
          <cell r="Y2199" t="str">
            <v>Past</v>
          </cell>
          <cell r="Z2199">
            <v>4.79</v>
          </cell>
          <cell r="AA2199">
            <v>0</v>
          </cell>
          <cell r="AB2199">
            <v>0</v>
          </cell>
        </row>
        <row r="2200">
          <cell r="G2200" t="str">
            <v>X370_0</v>
          </cell>
          <cell r="H2200" t="str">
            <v/>
          </cell>
          <cell r="I2200" t="str">
            <v>met</v>
          </cell>
          <cell r="V2200" t="str">
            <v>0</v>
          </cell>
          <cell r="Y2200" t="str">
            <v>Past</v>
          </cell>
          <cell r="Z2200">
            <v>3.93</v>
          </cell>
          <cell r="AA2200">
            <v>0</v>
          </cell>
          <cell r="AB2200">
            <v>0</v>
          </cell>
        </row>
        <row r="2201">
          <cell r="G2201" t="str">
            <v>X370_1</v>
          </cell>
          <cell r="H2201" t="str">
            <v>the-of</v>
          </cell>
          <cell r="I2201" t="str">
            <v>sim</v>
          </cell>
          <cell r="V2201" t="str">
            <v>0</v>
          </cell>
          <cell r="Y2201" t="str">
            <v>Past</v>
          </cell>
          <cell r="Z2201">
            <v>3.93</v>
          </cell>
          <cell r="AA2201">
            <v>0</v>
          </cell>
          <cell r="AB2201">
            <v>0</v>
          </cell>
        </row>
        <row r="2202">
          <cell r="G2202" t="str">
            <v>X371_0</v>
          </cell>
          <cell r="H2202" t="str">
            <v>like</v>
          </cell>
          <cell r="I2202" t="str">
            <v>sim</v>
          </cell>
          <cell r="V2202" t="str">
            <v>not</v>
          </cell>
          <cell r="Y2202" t="str">
            <v>Past</v>
          </cell>
          <cell r="Z2202">
            <v>4.9000000000000004</v>
          </cell>
          <cell r="AA2202">
            <v>0</v>
          </cell>
          <cell r="AB2202">
            <v>0</v>
          </cell>
        </row>
        <row r="2203">
          <cell r="G2203" t="str">
            <v>X371_1</v>
          </cell>
          <cell r="H2203" t="str">
            <v>like</v>
          </cell>
          <cell r="I2203" t="str">
            <v>sim</v>
          </cell>
          <cell r="V2203" t="str">
            <v>not</v>
          </cell>
          <cell r="Y2203" t="str">
            <v>Past</v>
          </cell>
          <cell r="Z2203">
            <v>4.9000000000000004</v>
          </cell>
          <cell r="AA2203">
            <v>0</v>
          </cell>
          <cell r="AB2203">
            <v>0</v>
          </cell>
        </row>
        <row r="2204">
          <cell r="G2204" t="str">
            <v>X372_0</v>
          </cell>
          <cell r="H2204" t="str">
            <v>as-as</v>
          </cell>
          <cell r="I2204" t="str">
            <v>sim</v>
          </cell>
          <cell r="V2204" t="str">
            <v>not neg pair</v>
          </cell>
          <cell r="Y2204" t="str">
            <v>Past</v>
          </cell>
          <cell r="Z2204">
            <v>3.03</v>
          </cell>
          <cell r="AA2204">
            <v>0</v>
          </cell>
          <cell r="AB2204">
            <v>0</v>
          </cell>
        </row>
        <row r="2205">
          <cell r="G2205" t="str">
            <v>X372_1</v>
          </cell>
          <cell r="H2205" t="str">
            <v>as-as</v>
          </cell>
          <cell r="I2205" t="str">
            <v>sim</v>
          </cell>
          <cell r="V2205" t="str">
            <v>not neg pair</v>
          </cell>
          <cell r="Y2205" t="str">
            <v>Past</v>
          </cell>
          <cell r="Z2205">
            <v>3.03</v>
          </cell>
          <cell r="AA2205">
            <v>0</v>
          </cell>
          <cell r="AB2205">
            <v>0</v>
          </cell>
        </row>
        <row r="2206">
          <cell r="G2206" t="str">
            <v>X373_0</v>
          </cell>
          <cell r="H2206" t="str">
            <v/>
          </cell>
          <cell r="I2206" t="str">
            <v>met</v>
          </cell>
          <cell r="V2206" t="str">
            <v>0</v>
          </cell>
          <cell r="Y2206" t="str">
            <v>Past</v>
          </cell>
          <cell r="Z2206">
            <v>4.46</v>
          </cell>
          <cell r="AA2206">
            <v>0</v>
          </cell>
          <cell r="AB2206">
            <v>0</v>
          </cell>
        </row>
        <row r="2207">
          <cell r="G2207" t="str">
            <v>X373_1</v>
          </cell>
          <cell r="H2207" t="str">
            <v/>
          </cell>
          <cell r="I2207" t="str">
            <v>met</v>
          </cell>
          <cell r="V2207" t="str">
            <v>0</v>
          </cell>
          <cell r="Y2207" t="str">
            <v>Past</v>
          </cell>
          <cell r="Z2207">
            <v>4.46</v>
          </cell>
          <cell r="AA2207">
            <v>0</v>
          </cell>
          <cell r="AB2207">
            <v>0</v>
          </cell>
        </row>
        <row r="2208">
          <cell r="G2208" t="str">
            <v>X374_0</v>
          </cell>
          <cell r="H2208" t="str">
            <v>like</v>
          </cell>
          <cell r="I2208" t="str">
            <v>sim</v>
          </cell>
          <cell r="V2208" t="str">
            <v>not neg pair</v>
          </cell>
          <cell r="Y2208" t="str">
            <v>Past</v>
          </cell>
          <cell r="Z2208">
            <v>4.9000000000000004</v>
          </cell>
          <cell r="AA2208">
            <v>0</v>
          </cell>
          <cell r="AB2208">
            <v>0</v>
          </cell>
        </row>
        <row r="2209">
          <cell r="G2209" t="str">
            <v>X374_1</v>
          </cell>
          <cell r="H2209" t="str">
            <v>like</v>
          </cell>
          <cell r="I2209" t="str">
            <v>sim</v>
          </cell>
          <cell r="V2209" t="str">
            <v>not neg pair</v>
          </cell>
          <cell r="Y2209" t="str">
            <v>Past</v>
          </cell>
          <cell r="Z2209">
            <v>4.9000000000000004</v>
          </cell>
          <cell r="AA2209">
            <v>0</v>
          </cell>
          <cell r="AB2209">
            <v>0</v>
          </cell>
        </row>
        <row r="2210">
          <cell r="G2210" t="str">
            <v>X375_0</v>
          </cell>
          <cell r="H2210" t="str">
            <v/>
          </cell>
          <cell r="I2210" t="str">
            <v>met</v>
          </cell>
          <cell r="V2210" t="str">
            <v>0</v>
          </cell>
          <cell r="Y2210" t="str">
            <v>Past</v>
          </cell>
          <cell r="Z2210">
            <v>3.06</v>
          </cell>
          <cell r="AA2210">
            <v>0</v>
          </cell>
          <cell r="AB2210">
            <v>0</v>
          </cell>
        </row>
        <row r="2211">
          <cell r="G2211" t="str">
            <v>X375_1</v>
          </cell>
          <cell r="H2211" t="str">
            <v/>
          </cell>
          <cell r="I2211" t="str">
            <v>met</v>
          </cell>
          <cell r="V2211" t="str">
            <v>0</v>
          </cell>
          <cell r="Y2211" t="str">
            <v>Past</v>
          </cell>
          <cell r="Z2211">
            <v>3.06</v>
          </cell>
          <cell r="AA2211">
            <v>0</v>
          </cell>
          <cell r="AB2211">
            <v>0</v>
          </cell>
        </row>
        <row r="2212">
          <cell r="G2212" t="str">
            <v>X376_0</v>
          </cell>
          <cell r="H2212" t="str">
            <v/>
          </cell>
          <cell r="I2212" t="str">
            <v>met</v>
          </cell>
          <cell r="V2212" t="str">
            <v>0</v>
          </cell>
          <cell r="Y2212" t="str">
            <v>Past</v>
          </cell>
          <cell r="Z2212">
            <v>4.9000000000000004</v>
          </cell>
          <cell r="AA2212">
            <v>0</v>
          </cell>
          <cell r="AB2212">
            <v>0</v>
          </cell>
        </row>
        <row r="2213">
          <cell r="G2213" t="str">
            <v>X376_1</v>
          </cell>
          <cell r="H2213" t="str">
            <v/>
          </cell>
          <cell r="I2213" t="str">
            <v>met</v>
          </cell>
          <cell r="V2213" t="str">
            <v>0</v>
          </cell>
          <cell r="Y2213" t="str">
            <v>Past</v>
          </cell>
          <cell r="Z2213">
            <v>4.9000000000000004</v>
          </cell>
          <cell r="AA2213">
            <v>0</v>
          </cell>
          <cell r="AB2213">
            <v>0</v>
          </cell>
        </row>
        <row r="2214">
          <cell r="G2214" t="str">
            <v>X377_0</v>
          </cell>
          <cell r="H2214" t="str">
            <v>as-as</v>
          </cell>
          <cell r="I2214" t="str">
            <v>sim</v>
          </cell>
          <cell r="V2214" t="str">
            <v>not</v>
          </cell>
          <cell r="Y2214" t="str">
            <v>Past</v>
          </cell>
          <cell r="Z2214">
            <v>4.88</v>
          </cell>
          <cell r="AA2214">
            <v>0</v>
          </cell>
          <cell r="AB2214">
            <v>0</v>
          </cell>
        </row>
        <row r="2215">
          <cell r="G2215" t="str">
            <v>X377_1</v>
          </cell>
          <cell r="H2215" t="str">
            <v>as-as</v>
          </cell>
          <cell r="I2215" t="str">
            <v>sim</v>
          </cell>
          <cell r="V2215" t="str">
            <v>not</v>
          </cell>
          <cell r="Y2215" t="str">
            <v>Past</v>
          </cell>
          <cell r="Z2215">
            <v>4.88</v>
          </cell>
          <cell r="AA2215">
            <v>0</v>
          </cell>
          <cell r="AB2215">
            <v>0</v>
          </cell>
        </row>
        <row r="2216">
          <cell r="G2216" t="str">
            <v>X378_0</v>
          </cell>
          <cell r="H2216" t="str">
            <v>the-of</v>
          </cell>
          <cell r="I2216" t="str">
            <v>sim</v>
          </cell>
          <cell r="V2216" t="str">
            <v>not neg pair</v>
          </cell>
          <cell r="Y2216" t="str">
            <v>Past</v>
          </cell>
          <cell r="Z2216">
            <v>4.83</v>
          </cell>
          <cell r="AA2216">
            <v>0</v>
          </cell>
          <cell r="AB2216">
            <v>0</v>
          </cell>
        </row>
        <row r="2217">
          <cell r="G2217" t="str">
            <v>X378_1</v>
          </cell>
          <cell r="H2217" t="str">
            <v>the-of</v>
          </cell>
          <cell r="I2217" t="str">
            <v>sim</v>
          </cell>
          <cell r="V2217" t="str">
            <v>not neg pair</v>
          </cell>
          <cell r="Y2217" t="str">
            <v>Past</v>
          </cell>
          <cell r="Z2217">
            <v>4.83</v>
          </cell>
          <cell r="AA2217">
            <v>0</v>
          </cell>
          <cell r="AB2217">
            <v>0</v>
          </cell>
        </row>
        <row r="2218">
          <cell r="G2218" t="str">
            <v>X379_0</v>
          </cell>
          <cell r="H2218" t="str">
            <v>the-of</v>
          </cell>
          <cell r="I2218" t="str">
            <v>sim</v>
          </cell>
          <cell r="V2218" t="str">
            <v>not neg pair</v>
          </cell>
          <cell r="Y2218" t="str">
            <v>Past</v>
          </cell>
          <cell r="Z2218">
            <v>4.17</v>
          </cell>
          <cell r="AA2218">
            <v>0</v>
          </cell>
          <cell r="AB2218">
            <v>0</v>
          </cell>
        </row>
        <row r="2219">
          <cell r="G2219" t="str">
            <v>X379_1</v>
          </cell>
          <cell r="H2219" t="str">
            <v>the-of</v>
          </cell>
          <cell r="I2219" t="str">
            <v>sim</v>
          </cell>
          <cell r="V2219" t="str">
            <v>not neg pair</v>
          </cell>
          <cell r="Y2219" t="str">
            <v>Past</v>
          </cell>
          <cell r="Z2219">
            <v>4.17</v>
          </cell>
          <cell r="AA2219">
            <v>0</v>
          </cell>
          <cell r="AB2219">
            <v>0</v>
          </cell>
        </row>
        <row r="2220">
          <cell r="G2220" t="str">
            <v>X380_0</v>
          </cell>
          <cell r="H2220" t="str">
            <v>as-as</v>
          </cell>
          <cell r="I2220" t="str">
            <v>sim</v>
          </cell>
          <cell r="V2220" t="str">
            <v>antonym</v>
          </cell>
          <cell r="Y2220" t="str">
            <v>Pres</v>
          </cell>
          <cell r="Z2220">
            <v>4.9000000000000004</v>
          </cell>
          <cell r="AA2220">
            <v>0</v>
          </cell>
          <cell r="AB2220">
            <v>0</v>
          </cell>
        </row>
        <row r="2221">
          <cell r="G2221" t="str">
            <v>X380_1</v>
          </cell>
          <cell r="H2221" t="str">
            <v>as-as</v>
          </cell>
          <cell r="I2221" t="str">
            <v>sim</v>
          </cell>
          <cell r="V2221" t="str">
            <v>antonym</v>
          </cell>
          <cell r="Y2221" t="str">
            <v>Pres</v>
          </cell>
          <cell r="Z2221">
            <v>4.9000000000000004</v>
          </cell>
          <cell r="AA2221">
            <v>0</v>
          </cell>
          <cell r="AB2221">
            <v>0</v>
          </cell>
        </row>
        <row r="2222">
          <cell r="G2222" t="str">
            <v>X381_0</v>
          </cell>
          <cell r="H2222" t="str">
            <v>as-as</v>
          </cell>
          <cell r="I2222" t="str">
            <v>sim</v>
          </cell>
          <cell r="V2222" t="str">
            <v>not neg pair</v>
          </cell>
          <cell r="Y2222" t="str">
            <v>Pres</v>
          </cell>
          <cell r="Z2222">
            <v>4.8600000000000003</v>
          </cell>
          <cell r="AA2222">
            <v>0</v>
          </cell>
          <cell r="AB2222">
            <v>0</v>
          </cell>
        </row>
        <row r="2223">
          <cell r="G2223" t="str">
            <v>X381_1</v>
          </cell>
          <cell r="H2223" t="str">
            <v>as-as</v>
          </cell>
          <cell r="I2223" t="str">
            <v>sim</v>
          </cell>
          <cell r="V2223" t="str">
            <v>not neg pair</v>
          </cell>
          <cell r="Y2223" t="str">
            <v>Pres</v>
          </cell>
          <cell r="Z2223">
            <v>4.8600000000000003</v>
          </cell>
          <cell r="AA2223">
            <v>0</v>
          </cell>
          <cell r="AB2223">
            <v>0</v>
          </cell>
        </row>
        <row r="2224">
          <cell r="G2224" t="str">
            <v>X382_0</v>
          </cell>
          <cell r="H2224" t="str">
            <v>as-as</v>
          </cell>
          <cell r="I2224" t="str">
            <v>sim</v>
          </cell>
          <cell r="V2224" t="str">
            <v>not</v>
          </cell>
          <cell r="Y2224" t="str">
            <v>Pres</v>
          </cell>
          <cell r="Z2224">
            <v>2.2400000000000002</v>
          </cell>
          <cell r="AA2224" t="str">
            <v>L</v>
          </cell>
          <cell r="AB2224">
            <v>0</v>
          </cell>
        </row>
        <row r="2225">
          <cell r="G2225" t="str">
            <v>X382_1</v>
          </cell>
          <cell r="H2225" t="str">
            <v>as-as</v>
          </cell>
          <cell r="I2225" t="str">
            <v>sim</v>
          </cell>
          <cell r="V2225" t="str">
            <v>not</v>
          </cell>
          <cell r="Y2225" t="str">
            <v>Pres</v>
          </cell>
          <cell r="Z2225">
            <v>2.2400000000000002</v>
          </cell>
          <cell r="AA2225" t="str">
            <v>L</v>
          </cell>
          <cell r="AB2225">
            <v>0</v>
          </cell>
        </row>
        <row r="2226">
          <cell r="G2226" t="str">
            <v>X383_0</v>
          </cell>
          <cell r="H2226" t="str">
            <v>as-as</v>
          </cell>
          <cell r="I2226" t="str">
            <v>sim</v>
          </cell>
          <cell r="V2226" t="str">
            <v>antonym</v>
          </cell>
          <cell r="Y2226" t="str">
            <v>Pres</v>
          </cell>
          <cell r="Z2226">
            <v>4.9000000000000004</v>
          </cell>
          <cell r="AA2226">
            <v>0</v>
          </cell>
          <cell r="AB2226">
            <v>0</v>
          </cell>
        </row>
        <row r="2227">
          <cell r="G2227" t="str">
            <v>X383_1</v>
          </cell>
          <cell r="H2227" t="str">
            <v>as-as</v>
          </cell>
          <cell r="I2227" t="str">
            <v>sim</v>
          </cell>
          <cell r="V2227" t="str">
            <v>antonym</v>
          </cell>
          <cell r="Y2227" t="str">
            <v>Pres</v>
          </cell>
          <cell r="Z2227">
            <v>4.9000000000000004</v>
          </cell>
          <cell r="AA2227">
            <v>0</v>
          </cell>
          <cell r="AB2227">
            <v>0</v>
          </cell>
        </row>
        <row r="2228">
          <cell r="G2228" t="str">
            <v>X384_0</v>
          </cell>
          <cell r="H2228" t="str">
            <v>the-of</v>
          </cell>
          <cell r="I2228" t="str">
            <v>sim</v>
          </cell>
          <cell r="V2228" t="str">
            <v>not neg pair</v>
          </cell>
          <cell r="Y2228" t="str">
            <v>Past</v>
          </cell>
          <cell r="Z2228">
            <v>4.8600000000000003</v>
          </cell>
          <cell r="AA2228">
            <v>0</v>
          </cell>
          <cell r="AB2228">
            <v>0</v>
          </cell>
        </row>
        <row r="2229">
          <cell r="G2229" t="str">
            <v>X384_1</v>
          </cell>
          <cell r="H2229" t="str">
            <v>the-of</v>
          </cell>
          <cell r="I2229" t="str">
            <v>sim</v>
          </cell>
          <cell r="V2229" t="str">
            <v>not neg pair</v>
          </cell>
          <cell r="Y2229" t="str">
            <v>Pres</v>
          </cell>
          <cell r="Z2229">
            <v>4.8600000000000003</v>
          </cell>
          <cell r="AA2229">
            <v>0</v>
          </cell>
          <cell r="AB2229">
            <v>0</v>
          </cell>
        </row>
        <row r="2230">
          <cell r="G2230" t="str">
            <v>X385_0</v>
          </cell>
          <cell r="H2230" t="str">
            <v>like</v>
          </cell>
          <cell r="I2230" t="str">
            <v>sim</v>
          </cell>
          <cell r="V2230" t="str">
            <v>not neg pair</v>
          </cell>
          <cell r="Y2230" t="str">
            <v>Pres</v>
          </cell>
          <cell r="Z2230">
            <v>2.82</v>
          </cell>
          <cell r="AA2230">
            <v>0</v>
          </cell>
          <cell r="AB2230">
            <v>0</v>
          </cell>
        </row>
        <row r="2231">
          <cell r="G2231" t="str">
            <v>X385_1</v>
          </cell>
          <cell r="H2231" t="str">
            <v>like</v>
          </cell>
          <cell r="I2231" t="str">
            <v>sim</v>
          </cell>
          <cell r="V2231" t="str">
            <v>not neg pair</v>
          </cell>
          <cell r="Y2231" t="str">
            <v>Pres</v>
          </cell>
          <cell r="Z2231">
            <v>2.82</v>
          </cell>
          <cell r="AA2231">
            <v>0</v>
          </cell>
          <cell r="AB2231">
            <v>0</v>
          </cell>
        </row>
        <row r="2232">
          <cell r="G2232" t="str">
            <v>X386_0</v>
          </cell>
          <cell r="H2232" t="str">
            <v>like</v>
          </cell>
          <cell r="I2232" t="str">
            <v>sim</v>
          </cell>
          <cell r="V2232" t="str">
            <v>not neg pair</v>
          </cell>
          <cell r="Y2232" t="str">
            <v>Pres</v>
          </cell>
          <cell r="Z2232">
            <v>4.8899999999999997</v>
          </cell>
          <cell r="AA2232">
            <v>0</v>
          </cell>
          <cell r="AB2232">
            <v>0</v>
          </cell>
        </row>
        <row r="2233">
          <cell r="G2233" t="str">
            <v>X386_1</v>
          </cell>
          <cell r="H2233" t="str">
            <v>like</v>
          </cell>
          <cell r="I2233" t="str">
            <v>sim</v>
          </cell>
          <cell r="V2233" t="str">
            <v>not neg pair</v>
          </cell>
          <cell r="Y2233" t="str">
            <v>Pres</v>
          </cell>
          <cell r="Z2233">
            <v>4.8899999999999997</v>
          </cell>
          <cell r="AA2233">
            <v>0</v>
          </cell>
          <cell r="AB2233">
            <v>0</v>
          </cell>
        </row>
        <row r="2234">
          <cell r="G2234" t="str">
            <v>X387_0</v>
          </cell>
          <cell r="H2234" t="str">
            <v>like</v>
          </cell>
          <cell r="I2234" t="str">
            <v>sim</v>
          </cell>
          <cell r="V2234" t="str">
            <v>not neg pair</v>
          </cell>
          <cell r="Y2234" t="str">
            <v>Pres</v>
          </cell>
          <cell r="Z2234">
            <v>2.69</v>
          </cell>
          <cell r="AA2234" t="str">
            <v>L</v>
          </cell>
          <cell r="AB2234">
            <v>0</v>
          </cell>
        </row>
        <row r="2235">
          <cell r="G2235" t="str">
            <v>X387_1</v>
          </cell>
          <cell r="H2235" t="str">
            <v>like</v>
          </cell>
          <cell r="I2235" t="str">
            <v>sim</v>
          </cell>
          <cell r="V2235" t="str">
            <v>not neg pair</v>
          </cell>
          <cell r="Y2235" t="str">
            <v>Pres</v>
          </cell>
          <cell r="Z2235">
            <v>2.69</v>
          </cell>
          <cell r="AA2235" t="str">
            <v>L</v>
          </cell>
          <cell r="AB2235">
            <v>0</v>
          </cell>
        </row>
        <row r="2236">
          <cell r="G2236" t="str">
            <v>X388_0</v>
          </cell>
          <cell r="H2236" t="str">
            <v>like</v>
          </cell>
          <cell r="I2236" t="str">
            <v>sim</v>
          </cell>
          <cell r="V2236" t="str">
            <v>not neg pair</v>
          </cell>
          <cell r="Y2236" t="str">
            <v>Pres</v>
          </cell>
          <cell r="Z2236">
            <v>3.96</v>
          </cell>
          <cell r="AA2236">
            <v>0</v>
          </cell>
          <cell r="AB2236">
            <v>0</v>
          </cell>
        </row>
        <row r="2237">
          <cell r="G2237" t="str">
            <v>X388_1</v>
          </cell>
          <cell r="H2237" t="str">
            <v>like</v>
          </cell>
          <cell r="I2237" t="str">
            <v>sim</v>
          </cell>
          <cell r="V2237" t="str">
            <v>not neg pair</v>
          </cell>
          <cell r="Y2237" t="str">
            <v>Pres</v>
          </cell>
          <cell r="Z2237">
            <v>3.96</v>
          </cell>
          <cell r="AA2237">
            <v>0</v>
          </cell>
          <cell r="AB2237">
            <v>0</v>
          </cell>
        </row>
        <row r="2238">
          <cell r="G2238" t="str">
            <v>X389_0</v>
          </cell>
          <cell r="H2238" t="str">
            <v/>
          </cell>
          <cell r="I2238" t="str">
            <v>met</v>
          </cell>
          <cell r="V2238" t="str">
            <v>0</v>
          </cell>
          <cell r="Y2238" t="str">
            <v>Past</v>
          </cell>
          <cell r="Z2238">
            <v>3.93</v>
          </cell>
          <cell r="AA2238">
            <v>0</v>
          </cell>
          <cell r="AB2238">
            <v>0</v>
          </cell>
        </row>
        <row r="2239">
          <cell r="G2239" t="str">
            <v>X389_1</v>
          </cell>
          <cell r="H2239" t="str">
            <v/>
          </cell>
          <cell r="I2239" t="str">
            <v>met</v>
          </cell>
          <cell r="V2239" t="str">
            <v>0</v>
          </cell>
          <cell r="Y2239" t="str">
            <v>Past</v>
          </cell>
          <cell r="Z2239">
            <v>3.93</v>
          </cell>
          <cell r="AA2239">
            <v>0</v>
          </cell>
          <cell r="AB2239">
            <v>0</v>
          </cell>
        </row>
        <row r="2240">
          <cell r="G2240" t="str">
            <v>X390_0</v>
          </cell>
          <cell r="H2240" t="str">
            <v>as</v>
          </cell>
          <cell r="I2240" t="str">
            <v>sim</v>
          </cell>
          <cell r="V2240" t="str">
            <v>not neg pair</v>
          </cell>
          <cell r="Y2240" t="str">
            <v>Pres</v>
          </cell>
          <cell r="Z2240">
            <v>4.6100000000000003</v>
          </cell>
          <cell r="AA2240">
            <v>0</v>
          </cell>
          <cell r="AB2240">
            <v>0</v>
          </cell>
        </row>
        <row r="2241">
          <cell r="G2241" t="str">
            <v>X390_1</v>
          </cell>
          <cell r="H2241" t="str">
            <v>as</v>
          </cell>
          <cell r="I2241" t="str">
            <v>sim</v>
          </cell>
          <cell r="V2241" t="str">
            <v>not neg pair</v>
          </cell>
          <cell r="Y2241" t="str">
            <v>Past</v>
          </cell>
          <cell r="Z2241">
            <v>4.6100000000000003</v>
          </cell>
          <cell r="AA2241">
            <v>0</v>
          </cell>
          <cell r="AB2241">
            <v>0</v>
          </cell>
        </row>
        <row r="2242">
          <cell r="G2242" t="str">
            <v>X391_0</v>
          </cell>
          <cell r="H2242" t="str">
            <v/>
          </cell>
          <cell r="I2242" t="str">
            <v>met</v>
          </cell>
          <cell r="V2242" t="str">
            <v>0</v>
          </cell>
          <cell r="Y2242" t="str">
            <v>Past</v>
          </cell>
          <cell r="Z2242">
            <v>4.78</v>
          </cell>
          <cell r="AA2242">
            <v>0</v>
          </cell>
          <cell r="AB2242">
            <v>0</v>
          </cell>
        </row>
        <row r="2243">
          <cell r="G2243" t="str">
            <v>X391_1</v>
          </cell>
          <cell r="H2243" t="str">
            <v/>
          </cell>
          <cell r="I2243" t="str">
            <v>met</v>
          </cell>
          <cell r="V2243" t="str">
            <v>0</v>
          </cell>
          <cell r="Y2243" t="str">
            <v>Past</v>
          </cell>
          <cell r="Z2243">
            <v>4.78</v>
          </cell>
          <cell r="AA2243">
            <v>0</v>
          </cell>
          <cell r="AB2243">
            <v>0</v>
          </cell>
        </row>
        <row r="2244">
          <cell r="G2244" t="str">
            <v>X392_0</v>
          </cell>
          <cell r="H2244" t="str">
            <v>as</v>
          </cell>
          <cell r="I2244" t="str">
            <v>sim</v>
          </cell>
          <cell r="V2244" t="str">
            <v>not</v>
          </cell>
          <cell r="Y2244" t="str">
            <v>Past</v>
          </cell>
          <cell r="Z2244">
            <v>3.93</v>
          </cell>
          <cell r="AA2244">
            <v>0</v>
          </cell>
          <cell r="AB2244">
            <v>0</v>
          </cell>
        </row>
        <row r="2245">
          <cell r="G2245" t="str">
            <v>X392_1</v>
          </cell>
          <cell r="H2245" t="str">
            <v>as</v>
          </cell>
          <cell r="I2245" t="str">
            <v>sim</v>
          </cell>
          <cell r="V2245" t="str">
            <v>not</v>
          </cell>
          <cell r="Y2245" t="str">
            <v>Past</v>
          </cell>
          <cell r="Z2245">
            <v>3.93</v>
          </cell>
          <cell r="AA2245">
            <v>0</v>
          </cell>
          <cell r="AB2245">
            <v>0</v>
          </cell>
        </row>
        <row r="2246">
          <cell r="G2246" t="str">
            <v>X393_0</v>
          </cell>
          <cell r="H2246" t="str">
            <v>like</v>
          </cell>
          <cell r="I2246" t="str">
            <v>sim</v>
          </cell>
          <cell r="V2246" t="str">
            <v>not</v>
          </cell>
          <cell r="Y2246" t="str">
            <v>Pres</v>
          </cell>
          <cell r="Z2246">
            <v>4.9000000000000004</v>
          </cell>
          <cell r="AA2246">
            <v>0</v>
          </cell>
          <cell r="AB2246">
            <v>0</v>
          </cell>
        </row>
        <row r="2247">
          <cell r="G2247" t="str">
            <v>X393_1</v>
          </cell>
          <cell r="H2247" t="str">
            <v>like</v>
          </cell>
          <cell r="I2247" t="str">
            <v>sim</v>
          </cell>
          <cell r="V2247" t="str">
            <v>not</v>
          </cell>
          <cell r="Y2247" t="str">
            <v>Pres</v>
          </cell>
          <cell r="Z2247">
            <v>4.9000000000000004</v>
          </cell>
          <cell r="AA2247">
            <v>0</v>
          </cell>
          <cell r="AB2247">
            <v>0</v>
          </cell>
        </row>
        <row r="2248">
          <cell r="G2248" t="str">
            <v>X394_0</v>
          </cell>
          <cell r="H2248" t="str">
            <v>as-as</v>
          </cell>
          <cell r="I2248" t="str">
            <v>sim</v>
          </cell>
          <cell r="V2248" t="str">
            <v>not neg pair</v>
          </cell>
          <cell r="Y2248" t="str">
            <v>Past</v>
          </cell>
          <cell r="Z2248">
            <v>3.21</v>
          </cell>
          <cell r="AA2248">
            <v>0</v>
          </cell>
          <cell r="AB2248">
            <v>0</v>
          </cell>
        </row>
        <row r="2249">
          <cell r="G2249" t="str">
            <v>X394_1</v>
          </cell>
          <cell r="H2249" t="str">
            <v>as-as</v>
          </cell>
          <cell r="I2249" t="str">
            <v>sim</v>
          </cell>
          <cell r="V2249" t="str">
            <v>not neg pair</v>
          </cell>
          <cell r="Y2249" t="str">
            <v>Past</v>
          </cell>
          <cell r="Z2249">
            <v>3.21</v>
          </cell>
          <cell r="AA2249">
            <v>0</v>
          </cell>
          <cell r="AB2249">
            <v>0</v>
          </cell>
        </row>
        <row r="2250">
          <cell r="G2250" t="str">
            <v>X395_0</v>
          </cell>
          <cell r="H2250" t="str">
            <v>as-as</v>
          </cell>
          <cell r="I2250" t="str">
            <v>sim</v>
          </cell>
          <cell r="V2250" t="str">
            <v>not</v>
          </cell>
          <cell r="Y2250" t="str">
            <v>Past</v>
          </cell>
          <cell r="Z2250">
            <v>4.93</v>
          </cell>
          <cell r="AA2250" t="str">
            <v>H</v>
          </cell>
          <cell r="AB2250">
            <v>0</v>
          </cell>
        </row>
        <row r="2251">
          <cell r="G2251" t="str">
            <v>X395_1</v>
          </cell>
          <cell r="H2251" t="str">
            <v>as-as</v>
          </cell>
          <cell r="I2251" t="str">
            <v>sim</v>
          </cell>
          <cell r="V2251" t="str">
            <v>not</v>
          </cell>
          <cell r="Y2251" t="str">
            <v>Past</v>
          </cell>
          <cell r="Z2251">
            <v>4.93</v>
          </cell>
          <cell r="AA2251" t="str">
            <v>H</v>
          </cell>
          <cell r="AB2251">
            <v>0</v>
          </cell>
        </row>
        <row r="2252">
          <cell r="G2252" t="str">
            <v>X396_0</v>
          </cell>
          <cell r="H2252" t="str">
            <v>as-as</v>
          </cell>
          <cell r="I2252" t="str">
            <v>sim</v>
          </cell>
          <cell r="V2252" t="str">
            <v>not</v>
          </cell>
          <cell r="Y2252" t="str">
            <v>Past</v>
          </cell>
          <cell r="Z2252">
            <v>2.2400000000000002</v>
          </cell>
          <cell r="AA2252" t="str">
            <v>L</v>
          </cell>
          <cell r="AB2252">
            <v>0</v>
          </cell>
        </row>
        <row r="2253">
          <cell r="G2253" t="str">
            <v>X396_1</v>
          </cell>
          <cell r="H2253" t="str">
            <v>as-as</v>
          </cell>
          <cell r="I2253" t="str">
            <v>sim</v>
          </cell>
          <cell r="V2253" t="str">
            <v>not</v>
          </cell>
          <cell r="Y2253" t="str">
            <v>Past</v>
          </cell>
          <cell r="Z2253">
            <v>2.2400000000000002</v>
          </cell>
          <cell r="AA2253" t="str">
            <v>L</v>
          </cell>
          <cell r="AB2253">
            <v>0</v>
          </cell>
        </row>
        <row r="2254">
          <cell r="G2254" t="str">
            <v>X397_0</v>
          </cell>
          <cell r="H2254" t="str">
            <v>as-as</v>
          </cell>
          <cell r="I2254" t="str">
            <v>sim</v>
          </cell>
          <cell r="V2254" t="str">
            <v>antonym</v>
          </cell>
          <cell r="Y2254" t="str">
            <v>Past</v>
          </cell>
          <cell r="Z2254">
            <v>4.8600000000000003</v>
          </cell>
          <cell r="AA2254">
            <v>0</v>
          </cell>
          <cell r="AB2254">
            <v>0</v>
          </cell>
        </row>
        <row r="2255">
          <cell r="G2255" t="str">
            <v>X397_1</v>
          </cell>
          <cell r="H2255" t="str">
            <v>as-as</v>
          </cell>
          <cell r="I2255" t="str">
            <v>sim</v>
          </cell>
          <cell r="V2255" t="str">
            <v>antonym</v>
          </cell>
          <cell r="Y2255" t="str">
            <v>Past</v>
          </cell>
          <cell r="Z2255">
            <v>4.8600000000000003</v>
          </cell>
          <cell r="AA2255">
            <v>0</v>
          </cell>
          <cell r="AB2255">
            <v>0</v>
          </cell>
        </row>
        <row r="2256">
          <cell r="G2256" t="str">
            <v>X398_0</v>
          </cell>
          <cell r="H2256" t="str">
            <v>as-as</v>
          </cell>
          <cell r="I2256" t="str">
            <v>sim</v>
          </cell>
          <cell r="V2256" t="str">
            <v>antonym</v>
          </cell>
          <cell r="Y2256" t="str">
            <v>Pres</v>
          </cell>
          <cell r="Z2256">
            <v>4.8600000000000003</v>
          </cell>
          <cell r="AA2256">
            <v>0</v>
          </cell>
          <cell r="AB2256">
            <v>0</v>
          </cell>
        </row>
        <row r="2257">
          <cell r="G2257" t="str">
            <v>X398_1</v>
          </cell>
          <cell r="H2257" t="str">
            <v>as-as</v>
          </cell>
          <cell r="I2257" t="str">
            <v>sim</v>
          </cell>
          <cell r="V2257" t="str">
            <v>antonym</v>
          </cell>
          <cell r="Y2257" t="str">
            <v>Pres</v>
          </cell>
          <cell r="Z2257">
            <v>4.8600000000000003</v>
          </cell>
          <cell r="AA2257">
            <v>0</v>
          </cell>
          <cell r="AB2257">
            <v>0</v>
          </cell>
        </row>
        <row r="2258">
          <cell r="G2258" t="str">
            <v>X399_0</v>
          </cell>
          <cell r="H2258" t="str">
            <v>the-of</v>
          </cell>
          <cell r="I2258" t="str">
            <v>sim</v>
          </cell>
          <cell r="V2258" t="str">
            <v>not neg pair</v>
          </cell>
          <cell r="Y2258" t="str">
            <v>Pres</v>
          </cell>
          <cell r="Z2258">
            <v>1.64</v>
          </cell>
          <cell r="AA2258" t="str">
            <v>L</v>
          </cell>
          <cell r="AB2258">
            <v>0</v>
          </cell>
        </row>
        <row r="2259">
          <cell r="G2259" t="str">
            <v>X399_1</v>
          </cell>
          <cell r="H2259" t="str">
            <v>the-of</v>
          </cell>
          <cell r="I2259" t="str">
            <v>sim</v>
          </cell>
          <cell r="V2259" t="str">
            <v>not neg pair</v>
          </cell>
          <cell r="Y2259" t="str">
            <v>Pres</v>
          </cell>
          <cell r="Z2259">
            <v>1.64</v>
          </cell>
          <cell r="AA2259" t="str">
            <v>L</v>
          </cell>
          <cell r="AB2259">
            <v>0</v>
          </cell>
        </row>
        <row r="2260">
          <cell r="G2260" t="str">
            <v>X400_0</v>
          </cell>
          <cell r="H2260" t="str">
            <v>as-as</v>
          </cell>
          <cell r="I2260" t="str">
            <v>sim</v>
          </cell>
          <cell r="V2260" t="str">
            <v>not neg pair</v>
          </cell>
          <cell r="Y2260" t="str">
            <v>Pres</v>
          </cell>
          <cell r="Z2260">
            <v>4.97</v>
          </cell>
          <cell r="AA2260" t="str">
            <v>H</v>
          </cell>
          <cell r="AB2260">
            <v>0</v>
          </cell>
        </row>
        <row r="2261">
          <cell r="G2261" t="str">
            <v>X400_1</v>
          </cell>
          <cell r="H2261" t="str">
            <v>as-as</v>
          </cell>
          <cell r="I2261" t="str">
            <v>sim</v>
          </cell>
          <cell r="V2261" t="str">
            <v>not neg pair</v>
          </cell>
          <cell r="Y2261" t="str">
            <v>Pres</v>
          </cell>
          <cell r="Z2261">
            <v>4.97</v>
          </cell>
          <cell r="AA2261" t="str">
            <v>H</v>
          </cell>
          <cell r="AB2261">
            <v>0</v>
          </cell>
        </row>
        <row r="2262">
          <cell r="G2262" t="str">
            <v>X401_0</v>
          </cell>
          <cell r="H2262" t="str">
            <v>as-as</v>
          </cell>
          <cell r="I2262" t="str">
            <v>sim</v>
          </cell>
          <cell r="V2262" t="str">
            <v>not</v>
          </cell>
          <cell r="Y2262" t="str">
            <v>Past</v>
          </cell>
          <cell r="Z2262">
            <v>3.75</v>
          </cell>
          <cell r="AA2262">
            <v>0</v>
          </cell>
          <cell r="AB2262">
            <v>0</v>
          </cell>
        </row>
        <row r="2263">
          <cell r="G2263" t="str">
            <v>X401_1</v>
          </cell>
          <cell r="H2263" t="str">
            <v>as-as</v>
          </cell>
          <cell r="I2263" t="str">
            <v>sim</v>
          </cell>
          <cell r="V2263" t="str">
            <v>not</v>
          </cell>
          <cell r="Y2263" t="str">
            <v>Past</v>
          </cell>
          <cell r="Z2263">
            <v>3.75</v>
          </cell>
          <cell r="AA2263">
            <v>0</v>
          </cell>
          <cell r="AB2263">
            <v>0</v>
          </cell>
        </row>
        <row r="2264">
          <cell r="G2264" t="str">
            <v>X402_0</v>
          </cell>
          <cell r="H2264" t="str">
            <v>as-as</v>
          </cell>
          <cell r="I2264" t="str">
            <v>sim</v>
          </cell>
          <cell r="V2264" t="str">
            <v>not</v>
          </cell>
          <cell r="Y2264" t="str">
            <v>Past</v>
          </cell>
          <cell r="Z2264">
            <v>1.61</v>
          </cell>
          <cell r="AA2264" t="str">
            <v>L</v>
          </cell>
          <cell r="AB2264">
            <v>0</v>
          </cell>
        </row>
        <row r="2265">
          <cell r="G2265" t="str">
            <v>X402_1</v>
          </cell>
          <cell r="H2265" t="str">
            <v>as-as</v>
          </cell>
          <cell r="I2265" t="str">
            <v>sim</v>
          </cell>
          <cell r="V2265" t="str">
            <v>not</v>
          </cell>
          <cell r="Y2265" t="str">
            <v>Past</v>
          </cell>
          <cell r="Z2265">
            <v>1.61</v>
          </cell>
          <cell r="AA2265" t="str">
            <v>L</v>
          </cell>
          <cell r="AB2265">
            <v>0</v>
          </cell>
        </row>
        <row r="2266">
          <cell r="G2266" t="str">
            <v>X403_0</v>
          </cell>
          <cell r="H2266" t="str">
            <v>like</v>
          </cell>
          <cell r="I2266" t="str">
            <v>sim</v>
          </cell>
          <cell r="V2266" t="str">
            <v>not neg pair</v>
          </cell>
          <cell r="Y2266" t="str">
            <v>Past</v>
          </cell>
          <cell r="Z2266">
            <v>3.48</v>
          </cell>
          <cell r="AA2266">
            <v>0</v>
          </cell>
          <cell r="AB2266">
            <v>0</v>
          </cell>
        </row>
        <row r="2267">
          <cell r="G2267" t="str">
            <v>X403_1</v>
          </cell>
          <cell r="H2267" t="str">
            <v>like</v>
          </cell>
          <cell r="I2267" t="str">
            <v>sim</v>
          </cell>
          <cell r="V2267" t="str">
            <v>not neg pair</v>
          </cell>
          <cell r="Y2267" t="str">
            <v>Past</v>
          </cell>
          <cell r="Z2267">
            <v>3.48</v>
          </cell>
          <cell r="AA2267">
            <v>0</v>
          </cell>
          <cell r="AB2267">
            <v>0</v>
          </cell>
        </row>
        <row r="2268">
          <cell r="G2268" t="str">
            <v>X404_0</v>
          </cell>
          <cell r="H2268" t="str">
            <v/>
          </cell>
          <cell r="I2268" t="str">
            <v>met</v>
          </cell>
          <cell r="V2268" t="str">
            <v>0</v>
          </cell>
          <cell r="Y2268" t="str">
            <v>Pres</v>
          </cell>
          <cell r="Z2268">
            <v>3.36</v>
          </cell>
          <cell r="AA2268">
            <v>0</v>
          </cell>
          <cell r="AB2268">
            <v>0</v>
          </cell>
        </row>
        <row r="2269">
          <cell r="G2269" t="str">
            <v>X404_1</v>
          </cell>
          <cell r="H2269" t="str">
            <v/>
          </cell>
          <cell r="I2269" t="str">
            <v>met</v>
          </cell>
          <cell r="V2269" t="str">
            <v>0</v>
          </cell>
          <cell r="Y2269" t="str">
            <v>Pres</v>
          </cell>
          <cell r="Z2269">
            <v>3.36</v>
          </cell>
          <cell r="AA2269">
            <v>0</v>
          </cell>
          <cell r="AB2269">
            <v>0</v>
          </cell>
        </row>
        <row r="2270">
          <cell r="G2270" t="str">
            <v>X405_0</v>
          </cell>
          <cell r="H2270" t="str">
            <v/>
          </cell>
          <cell r="I2270" t="str">
            <v>met</v>
          </cell>
          <cell r="V2270" t="str">
            <v>0</v>
          </cell>
          <cell r="Y2270" t="str">
            <v>Past</v>
          </cell>
          <cell r="Z2270">
            <v>4.6100000000000003</v>
          </cell>
          <cell r="AA2270">
            <v>0</v>
          </cell>
          <cell r="AB2270">
            <v>0</v>
          </cell>
        </row>
        <row r="2271">
          <cell r="G2271" t="str">
            <v>X405_1</v>
          </cell>
          <cell r="H2271" t="str">
            <v/>
          </cell>
          <cell r="I2271" t="str">
            <v>met</v>
          </cell>
          <cell r="V2271" t="str">
            <v>0</v>
          </cell>
          <cell r="Y2271" t="str">
            <v>Past</v>
          </cell>
          <cell r="Z2271">
            <v>4.6100000000000003</v>
          </cell>
          <cell r="AA2271">
            <v>0</v>
          </cell>
          <cell r="AB2271">
            <v>0</v>
          </cell>
        </row>
        <row r="2272">
          <cell r="G2272" t="str">
            <v>X406_0</v>
          </cell>
          <cell r="H2272" t="str">
            <v/>
          </cell>
          <cell r="I2272" t="str">
            <v>met</v>
          </cell>
          <cell r="V2272" t="str">
            <v>0</v>
          </cell>
          <cell r="Y2272" t="str">
            <v>Pres</v>
          </cell>
          <cell r="Z2272">
            <v>4.9000000000000004</v>
          </cell>
          <cell r="AA2272">
            <v>0</v>
          </cell>
          <cell r="AB2272">
            <v>0</v>
          </cell>
        </row>
        <row r="2273">
          <cell r="G2273" t="str">
            <v>X406_1</v>
          </cell>
          <cell r="H2273" t="str">
            <v/>
          </cell>
          <cell r="I2273" t="str">
            <v>met</v>
          </cell>
          <cell r="V2273" t="str">
            <v>0</v>
          </cell>
          <cell r="Y2273" t="str">
            <v>Pres</v>
          </cell>
          <cell r="Z2273">
            <v>4.9000000000000004</v>
          </cell>
          <cell r="AA2273">
            <v>0</v>
          </cell>
          <cell r="AB2273">
            <v>0</v>
          </cell>
        </row>
        <row r="2274">
          <cell r="G2274" t="str">
            <v>X407_0</v>
          </cell>
          <cell r="H2274" t="str">
            <v>as-as</v>
          </cell>
          <cell r="I2274" t="str">
            <v>sim</v>
          </cell>
          <cell r="V2274" t="str">
            <v>not neg pair</v>
          </cell>
          <cell r="Y2274" t="str">
            <v>Pres</v>
          </cell>
          <cell r="Z2274">
            <v>4.8499999999999996</v>
          </cell>
          <cell r="AA2274">
            <v>0</v>
          </cell>
          <cell r="AB2274">
            <v>0</v>
          </cell>
        </row>
        <row r="2275">
          <cell r="G2275" t="str">
            <v>X407_1</v>
          </cell>
          <cell r="H2275" t="str">
            <v>as-as</v>
          </cell>
          <cell r="I2275" t="str">
            <v>sim</v>
          </cell>
          <cell r="V2275" t="str">
            <v>not neg pair</v>
          </cell>
          <cell r="Y2275" t="str">
            <v>Past</v>
          </cell>
          <cell r="Z2275">
            <v>4.8499999999999996</v>
          </cell>
          <cell r="AA2275">
            <v>0</v>
          </cell>
          <cell r="AB2275">
            <v>0</v>
          </cell>
        </row>
        <row r="2276">
          <cell r="G2276" t="str">
            <v>X408_0</v>
          </cell>
          <cell r="H2276" t="str">
            <v>as-as</v>
          </cell>
          <cell r="I2276" t="str">
            <v>sim</v>
          </cell>
          <cell r="V2276" t="str">
            <v>not neg pair</v>
          </cell>
          <cell r="Y2276" t="str">
            <v>Past</v>
          </cell>
          <cell r="Z2276">
            <v>4.8499999999999996</v>
          </cell>
          <cell r="AA2276">
            <v>0</v>
          </cell>
          <cell r="AB2276">
            <v>0</v>
          </cell>
        </row>
        <row r="2277">
          <cell r="G2277" t="str">
            <v>X408_1</v>
          </cell>
          <cell r="H2277" t="str">
            <v>as-as</v>
          </cell>
          <cell r="I2277" t="str">
            <v>sim</v>
          </cell>
          <cell r="V2277" t="str">
            <v>not neg pair</v>
          </cell>
          <cell r="Y2277" t="str">
            <v>Past</v>
          </cell>
          <cell r="Z2277">
            <v>4.8499999999999996</v>
          </cell>
          <cell r="AA2277">
            <v>0</v>
          </cell>
          <cell r="AB2277">
            <v>0</v>
          </cell>
        </row>
        <row r="2278">
          <cell r="G2278" t="str">
            <v>X409_0</v>
          </cell>
          <cell r="H2278" t="str">
            <v>as-as</v>
          </cell>
          <cell r="I2278" t="str">
            <v>sim</v>
          </cell>
          <cell r="V2278" t="str">
            <v>antonym</v>
          </cell>
          <cell r="Y2278" t="str">
            <v>Past</v>
          </cell>
          <cell r="Z2278">
            <v>4.1100000000000003</v>
          </cell>
          <cell r="AA2278">
            <v>0</v>
          </cell>
          <cell r="AB2278">
            <v>0</v>
          </cell>
        </row>
        <row r="2279">
          <cell r="G2279" t="str">
            <v>X409_1</v>
          </cell>
          <cell r="H2279" t="str">
            <v>as-as</v>
          </cell>
          <cell r="I2279" t="str">
            <v>sim</v>
          </cell>
          <cell r="V2279" t="str">
            <v>antonym</v>
          </cell>
          <cell r="Y2279" t="str">
            <v>Past</v>
          </cell>
          <cell r="Z2279">
            <v>4.1100000000000003</v>
          </cell>
          <cell r="AA2279">
            <v>0</v>
          </cell>
          <cell r="AB2279">
            <v>0</v>
          </cell>
        </row>
        <row r="2280">
          <cell r="G2280" t="str">
            <v>X410_0</v>
          </cell>
          <cell r="H2280" t="str">
            <v>as-as</v>
          </cell>
          <cell r="I2280" t="str">
            <v>sim</v>
          </cell>
          <cell r="V2280" t="str">
            <v>not</v>
          </cell>
          <cell r="Y2280" t="str">
            <v>Past</v>
          </cell>
          <cell r="Z2280">
            <v>3.93</v>
          </cell>
          <cell r="AA2280">
            <v>0</v>
          </cell>
          <cell r="AB2280">
            <v>0</v>
          </cell>
        </row>
        <row r="2281">
          <cell r="G2281" t="str">
            <v>X410_1</v>
          </cell>
          <cell r="H2281" t="str">
            <v>as-as</v>
          </cell>
          <cell r="I2281" t="str">
            <v>sim</v>
          </cell>
          <cell r="V2281" t="str">
            <v>not</v>
          </cell>
          <cell r="Y2281" t="str">
            <v>Past</v>
          </cell>
          <cell r="Z2281">
            <v>3.93</v>
          </cell>
          <cell r="AA2281">
            <v>0</v>
          </cell>
          <cell r="AB2281">
            <v>0</v>
          </cell>
        </row>
        <row r="2282">
          <cell r="G2282" t="str">
            <v>X411_0</v>
          </cell>
          <cell r="H2282" t="str">
            <v>as-as</v>
          </cell>
          <cell r="I2282" t="str">
            <v>sim</v>
          </cell>
          <cell r="V2282" t="str">
            <v>not</v>
          </cell>
          <cell r="Y2282" t="str">
            <v>Past</v>
          </cell>
          <cell r="Z2282">
            <v>4.75</v>
          </cell>
          <cell r="AA2282">
            <v>0</v>
          </cell>
          <cell r="AB2282">
            <v>0</v>
          </cell>
        </row>
        <row r="2283">
          <cell r="G2283" t="str">
            <v>X411_1</v>
          </cell>
          <cell r="H2283" t="str">
            <v>as-as</v>
          </cell>
          <cell r="I2283" t="str">
            <v>sim</v>
          </cell>
          <cell r="V2283" t="str">
            <v>not</v>
          </cell>
          <cell r="Y2283" t="str">
            <v>Past</v>
          </cell>
          <cell r="Z2283">
            <v>4.75</v>
          </cell>
          <cell r="AA2283">
            <v>0</v>
          </cell>
          <cell r="AB2283">
            <v>0</v>
          </cell>
        </row>
        <row r="2284">
          <cell r="G2284" t="str">
            <v>X412_0</v>
          </cell>
          <cell r="H2284" t="str">
            <v>the-of</v>
          </cell>
          <cell r="I2284" t="str">
            <v>sim</v>
          </cell>
          <cell r="V2284" t="str">
            <v>not neg pair</v>
          </cell>
          <cell r="Y2284" t="str">
            <v>Past</v>
          </cell>
          <cell r="Z2284">
            <v>4.8899999999999997</v>
          </cell>
          <cell r="AA2284">
            <v>0</v>
          </cell>
          <cell r="AB2284">
            <v>0</v>
          </cell>
        </row>
        <row r="2285">
          <cell r="G2285" t="str">
            <v>X412_1</v>
          </cell>
          <cell r="H2285" t="str">
            <v>the-of</v>
          </cell>
          <cell r="I2285" t="str">
            <v>sim</v>
          </cell>
          <cell r="V2285" t="str">
            <v>not neg pair</v>
          </cell>
          <cell r="Y2285" t="str">
            <v>Past</v>
          </cell>
          <cell r="Z2285">
            <v>4.8899999999999997</v>
          </cell>
          <cell r="AA2285">
            <v>0</v>
          </cell>
          <cell r="AB2285">
            <v>0</v>
          </cell>
        </row>
        <row r="2286">
          <cell r="G2286" t="str">
            <v>X413_0</v>
          </cell>
          <cell r="H2286" t="str">
            <v>like</v>
          </cell>
          <cell r="I2286" t="str">
            <v>sim</v>
          </cell>
          <cell r="V2286" t="str">
            <v>not</v>
          </cell>
          <cell r="Y2286" t="str">
            <v>Past</v>
          </cell>
          <cell r="Z2286">
            <v>2.81</v>
          </cell>
          <cell r="AA2286">
            <v>0</v>
          </cell>
          <cell r="AB2286">
            <v>0</v>
          </cell>
        </row>
        <row r="2287">
          <cell r="G2287" t="str">
            <v>X413_1</v>
          </cell>
          <cell r="H2287" t="str">
            <v>like</v>
          </cell>
          <cell r="I2287" t="str">
            <v>sim</v>
          </cell>
          <cell r="V2287" t="str">
            <v>not</v>
          </cell>
          <cell r="Y2287" t="str">
            <v>Past</v>
          </cell>
          <cell r="Z2287">
            <v>2.81</v>
          </cell>
          <cell r="AA2287">
            <v>0</v>
          </cell>
          <cell r="AB2287">
            <v>0</v>
          </cell>
        </row>
        <row r="2288">
          <cell r="G2288" t="str">
            <v>X414_0</v>
          </cell>
          <cell r="H2288" t="str">
            <v>as-as</v>
          </cell>
          <cell r="I2288" t="str">
            <v>sim</v>
          </cell>
          <cell r="V2288" t="str">
            <v>not</v>
          </cell>
          <cell r="Y2288" t="str">
            <v>Past</v>
          </cell>
          <cell r="Z2288">
            <v>3.36</v>
          </cell>
          <cell r="AA2288">
            <v>0</v>
          </cell>
          <cell r="AB2288">
            <v>0</v>
          </cell>
        </row>
        <row r="2289">
          <cell r="G2289" t="str">
            <v>X414_1</v>
          </cell>
          <cell r="H2289" t="str">
            <v>as-as</v>
          </cell>
          <cell r="I2289" t="str">
            <v>sim</v>
          </cell>
          <cell r="V2289" t="str">
            <v>not</v>
          </cell>
          <cell r="Y2289" t="str">
            <v>Past</v>
          </cell>
          <cell r="Z2289">
            <v>3.36</v>
          </cell>
          <cell r="AA2289">
            <v>0</v>
          </cell>
          <cell r="AB2289">
            <v>0</v>
          </cell>
        </row>
        <row r="2290">
          <cell r="G2290" t="str">
            <v>X415_0</v>
          </cell>
          <cell r="H2290" t="str">
            <v>as-as</v>
          </cell>
          <cell r="I2290" t="str">
            <v>sim</v>
          </cell>
          <cell r="V2290" t="str">
            <v>antonym</v>
          </cell>
          <cell r="Y2290" t="str">
            <v>Past</v>
          </cell>
          <cell r="Z2290">
            <v>1.83</v>
          </cell>
          <cell r="AA2290" t="str">
            <v>L</v>
          </cell>
          <cell r="AB2290">
            <v>0</v>
          </cell>
        </row>
        <row r="2291">
          <cell r="G2291" t="str">
            <v>X415_1</v>
          </cell>
          <cell r="H2291" t="str">
            <v>as-as</v>
          </cell>
          <cell r="I2291" t="str">
            <v>sim</v>
          </cell>
          <cell r="V2291" t="str">
            <v>antonym</v>
          </cell>
          <cell r="Y2291" t="str">
            <v>Past</v>
          </cell>
          <cell r="Z2291">
            <v>1.83</v>
          </cell>
          <cell r="AA2291" t="str">
            <v>L</v>
          </cell>
          <cell r="AB2291">
            <v>0</v>
          </cell>
        </row>
        <row r="2292">
          <cell r="G2292" t="str">
            <v>X416_0</v>
          </cell>
          <cell r="H2292" t="str">
            <v>as-as</v>
          </cell>
          <cell r="I2292" t="str">
            <v>sim</v>
          </cell>
          <cell r="V2292" t="str">
            <v>not neg pair</v>
          </cell>
          <cell r="Y2292" t="str">
            <v>Past</v>
          </cell>
          <cell r="Z2292">
            <v>1.61</v>
          </cell>
          <cell r="AA2292" t="str">
            <v>L</v>
          </cell>
          <cell r="AB2292">
            <v>0</v>
          </cell>
        </row>
        <row r="2293">
          <cell r="G2293" t="str">
            <v>X416_1</v>
          </cell>
          <cell r="H2293" t="str">
            <v>as-as</v>
          </cell>
          <cell r="I2293" t="str">
            <v>sim</v>
          </cell>
          <cell r="V2293" t="str">
            <v>not neg pair</v>
          </cell>
          <cell r="Y2293" t="str">
            <v>Past</v>
          </cell>
          <cell r="Z2293">
            <v>1.61</v>
          </cell>
          <cell r="AA2293" t="str">
            <v>L</v>
          </cell>
          <cell r="AB2293">
            <v>0</v>
          </cell>
        </row>
        <row r="2294">
          <cell r="G2294" t="str">
            <v>X417_0</v>
          </cell>
          <cell r="H2294" t="str">
            <v/>
          </cell>
          <cell r="I2294" t="str">
            <v>met</v>
          </cell>
          <cell r="V2294" t="str">
            <v>0</v>
          </cell>
          <cell r="Y2294" t="str">
            <v>Past</v>
          </cell>
          <cell r="Z2294">
            <v>3.57</v>
          </cell>
          <cell r="AA2294">
            <v>0</v>
          </cell>
          <cell r="AB2294">
            <v>0</v>
          </cell>
        </row>
        <row r="2295">
          <cell r="G2295" t="str">
            <v>X417_1</v>
          </cell>
          <cell r="H2295" t="str">
            <v/>
          </cell>
          <cell r="I2295" t="str">
            <v>met</v>
          </cell>
          <cell r="V2295" t="str">
            <v>0</v>
          </cell>
          <cell r="Y2295" t="str">
            <v>Past</v>
          </cell>
          <cell r="Z2295">
            <v>3.57</v>
          </cell>
          <cell r="AA2295">
            <v>0</v>
          </cell>
          <cell r="AB2295">
            <v>0</v>
          </cell>
        </row>
        <row r="2296">
          <cell r="G2296" t="str">
            <v>X418_0</v>
          </cell>
          <cell r="H2296" t="str">
            <v>as-as</v>
          </cell>
          <cell r="I2296" t="str">
            <v>sim</v>
          </cell>
          <cell r="V2296" t="str">
            <v>not</v>
          </cell>
          <cell r="Y2296" t="str">
            <v>Past</v>
          </cell>
          <cell r="Z2296">
            <v>4.97</v>
          </cell>
          <cell r="AA2296" t="str">
            <v>H</v>
          </cell>
          <cell r="AB2296">
            <v>0</v>
          </cell>
        </row>
        <row r="2297">
          <cell r="G2297" t="str">
            <v>X418_1</v>
          </cell>
          <cell r="H2297" t="str">
            <v>as-as</v>
          </cell>
          <cell r="I2297" t="str">
            <v>sim</v>
          </cell>
          <cell r="V2297" t="str">
            <v>not</v>
          </cell>
          <cell r="Y2297" t="str">
            <v>Past</v>
          </cell>
          <cell r="Z2297">
            <v>4.97</v>
          </cell>
          <cell r="AA2297" t="str">
            <v>H</v>
          </cell>
          <cell r="AB2297">
            <v>0</v>
          </cell>
        </row>
        <row r="2298">
          <cell r="G2298" t="str">
            <v>X419_0</v>
          </cell>
          <cell r="H2298" t="str">
            <v>as-as</v>
          </cell>
          <cell r="I2298" t="str">
            <v>sim</v>
          </cell>
          <cell r="V2298" t="str">
            <v>not</v>
          </cell>
          <cell r="Y2298" t="str">
            <v>Past</v>
          </cell>
          <cell r="Z2298">
            <v>4.63</v>
          </cell>
          <cell r="AA2298">
            <v>0</v>
          </cell>
          <cell r="AB2298">
            <v>0</v>
          </cell>
        </row>
        <row r="2299">
          <cell r="G2299" t="str">
            <v>X419_1</v>
          </cell>
          <cell r="H2299" t="str">
            <v>as-as</v>
          </cell>
          <cell r="I2299" t="str">
            <v>sim</v>
          </cell>
          <cell r="V2299" t="str">
            <v>not</v>
          </cell>
          <cell r="Y2299">
            <v>0</v>
          </cell>
          <cell r="Z2299">
            <v>2.81</v>
          </cell>
          <cell r="AA2299">
            <v>0</v>
          </cell>
          <cell r="AB2299">
            <v>0</v>
          </cell>
        </row>
        <row r="2300">
          <cell r="G2300" t="str">
            <v>X420_0</v>
          </cell>
          <cell r="H2300" t="str">
            <v>like</v>
          </cell>
          <cell r="I2300" t="str">
            <v>sim</v>
          </cell>
          <cell r="V2300" t="str">
            <v>not neg pair</v>
          </cell>
          <cell r="Y2300" t="str">
            <v>Pres</v>
          </cell>
          <cell r="Z2300">
            <v>4.6900000000000004</v>
          </cell>
          <cell r="AA2300">
            <v>0</v>
          </cell>
          <cell r="AB2300">
            <v>0</v>
          </cell>
        </row>
        <row r="2301">
          <cell r="G2301" t="str">
            <v>X420_1</v>
          </cell>
          <cell r="H2301" t="str">
            <v>like</v>
          </cell>
          <cell r="I2301" t="str">
            <v>sim</v>
          </cell>
          <cell r="V2301" t="str">
            <v>not neg pair</v>
          </cell>
          <cell r="Y2301" t="str">
            <v>Pres</v>
          </cell>
          <cell r="Z2301">
            <v>4.6900000000000004</v>
          </cell>
          <cell r="AA2301">
            <v>0</v>
          </cell>
          <cell r="AB2301">
            <v>0</v>
          </cell>
        </row>
        <row r="2302">
          <cell r="G2302" t="str">
            <v>X421_0</v>
          </cell>
          <cell r="H2302" t="str">
            <v>as-as</v>
          </cell>
          <cell r="I2302" t="str">
            <v>sim</v>
          </cell>
          <cell r="V2302" t="str">
            <v>antonym</v>
          </cell>
          <cell r="Y2302" t="str">
            <v>Past</v>
          </cell>
          <cell r="Z2302">
            <v>3.9</v>
          </cell>
          <cell r="AA2302">
            <v>0</v>
          </cell>
          <cell r="AB2302">
            <v>0</v>
          </cell>
        </row>
        <row r="2303">
          <cell r="G2303" t="str">
            <v>X421_1</v>
          </cell>
          <cell r="H2303" t="str">
            <v>as-as</v>
          </cell>
          <cell r="I2303" t="str">
            <v>sim</v>
          </cell>
          <cell r="V2303" t="str">
            <v>antonym</v>
          </cell>
          <cell r="Y2303" t="str">
            <v>Past</v>
          </cell>
          <cell r="Z2303">
            <v>3.9</v>
          </cell>
          <cell r="AA2303">
            <v>0</v>
          </cell>
          <cell r="AB2303">
            <v>0</v>
          </cell>
        </row>
        <row r="2304">
          <cell r="G2304" t="str">
            <v>X422_0</v>
          </cell>
          <cell r="H2304" t="str">
            <v>as-as</v>
          </cell>
          <cell r="I2304" t="str">
            <v>sim</v>
          </cell>
          <cell r="V2304" t="str">
            <v>antonym</v>
          </cell>
          <cell r="Y2304" t="str">
            <v>Past</v>
          </cell>
          <cell r="Z2304">
            <v>3.55</v>
          </cell>
          <cell r="AA2304">
            <v>0</v>
          </cell>
          <cell r="AB2304">
            <v>0</v>
          </cell>
        </row>
        <row r="2305">
          <cell r="G2305" t="str">
            <v>X422_1</v>
          </cell>
          <cell r="H2305" t="str">
            <v>as-as</v>
          </cell>
          <cell r="I2305" t="str">
            <v>sim</v>
          </cell>
          <cell r="V2305" t="str">
            <v>antonym</v>
          </cell>
          <cell r="Y2305" t="str">
            <v>Past</v>
          </cell>
          <cell r="Z2305">
            <v>3.55</v>
          </cell>
          <cell r="AA2305">
            <v>0</v>
          </cell>
          <cell r="AB2305">
            <v>0</v>
          </cell>
        </row>
        <row r="2306">
          <cell r="G2306" t="str">
            <v>X423_0</v>
          </cell>
          <cell r="H2306" t="str">
            <v>as-as</v>
          </cell>
          <cell r="I2306" t="str">
            <v>sim</v>
          </cell>
          <cell r="V2306" t="str">
            <v>not</v>
          </cell>
          <cell r="Y2306" t="str">
            <v>Past</v>
          </cell>
          <cell r="Z2306">
            <v>2.81</v>
          </cell>
          <cell r="AA2306">
            <v>0</v>
          </cell>
          <cell r="AB2306">
            <v>0</v>
          </cell>
        </row>
        <row r="2307">
          <cell r="G2307" t="str">
            <v>X423_1</v>
          </cell>
          <cell r="H2307" t="str">
            <v>as-as</v>
          </cell>
          <cell r="I2307" t="str">
            <v>sim</v>
          </cell>
          <cell r="V2307" t="str">
            <v>not</v>
          </cell>
          <cell r="Y2307" t="str">
            <v>Past</v>
          </cell>
          <cell r="Z2307">
            <v>2.81</v>
          </cell>
          <cell r="AA2307">
            <v>0</v>
          </cell>
          <cell r="AB2307">
            <v>0</v>
          </cell>
        </row>
        <row r="2308">
          <cell r="G2308" t="str">
            <v>X424_0</v>
          </cell>
          <cell r="H2308" t="str">
            <v>as-as</v>
          </cell>
          <cell r="I2308" t="str">
            <v>sim</v>
          </cell>
          <cell r="V2308" t="str">
            <v>not neg pair</v>
          </cell>
          <cell r="Y2308" t="str">
            <v>Past</v>
          </cell>
          <cell r="Z2308">
            <v>2.81</v>
          </cell>
          <cell r="AA2308">
            <v>0</v>
          </cell>
          <cell r="AB2308">
            <v>0</v>
          </cell>
        </row>
        <row r="2309">
          <cell r="G2309" t="str">
            <v>X424_1</v>
          </cell>
          <cell r="H2309" t="str">
            <v>as-as</v>
          </cell>
          <cell r="I2309" t="str">
            <v>sim</v>
          </cell>
          <cell r="V2309" t="str">
            <v>not neg pair</v>
          </cell>
          <cell r="Y2309" t="str">
            <v>Past</v>
          </cell>
          <cell r="Z2309">
            <v>2.81</v>
          </cell>
          <cell r="AA2309">
            <v>0</v>
          </cell>
          <cell r="AB2309">
            <v>0</v>
          </cell>
        </row>
        <row r="2310">
          <cell r="G2310" t="str">
            <v>X425_0</v>
          </cell>
          <cell r="H2310" t="str">
            <v>as-as</v>
          </cell>
          <cell r="I2310" t="str">
            <v>sim</v>
          </cell>
          <cell r="V2310" t="str">
            <v>not neg pair</v>
          </cell>
          <cell r="Y2310" t="str">
            <v>Past</v>
          </cell>
          <cell r="Z2310">
            <v>2.81</v>
          </cell>
          <cell r="AA2310">
            <v>0</v>
          </cell>
          <cell r="AB2310">
            <v>0</v>
          </cell>
        </row>
        <row r="2311">
          <cell r="G2311" t="str">
            <v>X425_1</v>
          </cell>
          <cell r="H2311" t="str">
            <v>as-as</v>
          </cell>
          <cell r="I2311" t="str">
            <v>sim</v>
          </cell>
          <cell r="V2311" t="str">
            <v>not neg pair</v>
          </cell>
          <cell r="Y2311" t="str">
            <v>Past</v>
          </cell>
          <cell r="Z2311">
            <v>2.81</v>
          </cell>
          <cell r="AA2311">
            <v>0</v>
          </cell>
          <cell r="AB2311">
            <v>0</v>
          </cell>
        </row>
        <row r="2312">
          <cell r="G2312" t="str">
            <v>X426_0</v>
          </cell>
          <cell r="H2312" t="str">
            <v>as-as</v>
          </cell>
          <cell r="I2312" t="str">
            <v>sim</v>
          </cell>
          <cell r="V2312" t="str">
            <v>antonym</v>
          </cell>
          <cell r="Y2312" t="str">
            <v>Pres</v>
          </cell>
          <cell r="Z2312">
            <v>4.46</v>
          </cell>
          <cell r="AA2312">
            <v>0</v>
          </cell>
          <cell r="AB2312">
            <v>0</v>
          </cell>
        </row>
        <row r="2313">
          <cell r="G2313" t="str">
            <v>X426_1</v>
          </cell>
          <cell r="H2313" t="str">
            <v>as-as</v>
          </cell>
          <cell r="I2313" t="str">
            <v>sim</v>
          </cell>
          <cell r="V2313" t="str">
            <v>antonym</v>
          </cell>
          <cell r="Y2313" t="str">
            <v>Pres</v>
          </cell>
          <cell r="Z2313">
            <v>4.46</v>
          </cell>
          <cell r="AA2313">
            <v>0</v>
          </cell>
          <cell r="AB2313">
            <v>0</v>
          </cell>
        </row>
        <row r="2314">
          <cell r="G2314" t="str">
            <v>X427_0</v>
          </cell>
          <cell r="H2314" t="str">
            <v>as-as</v>
          </cell>
          <cell r="I2314" t="str">
            <v>sim</v>
          </cell>
          <cell r="V2314" t="str">
            <v>not neg pair</v>
          </cell>
          <cell r="Y2314" t="str">
            <v>Pres</v>
          </cell>
          <cell r="Z2314">
            <v>4.79</v>
          </cell>
          <cell r="AA2314">
            <v>0</v>
          </cell>
          <cell r="AB2314">
            <v>0</v>
          </cell>
        </row>
        <row r="2315">
          <cell r="G2315" t="str">
            <v>X427_1</v>
          </cell>
          <cell r="H2315" t="str">
            <v>as-as</v>
          </cell>
          <cell r="I2315" t="str">
            <v>sim</v>
          </cell>
          <cell r="V2315" t="str">
            <v>not neg pair</v>
          </cell>
          <cell r="Y2315" t="str">
            <v>Pres</v>
          </cell>
          <cell r="Z2315">
            <v>4.79</v>
          </cell>
          <cell r="AA2315">
            <v>0</v>
          </cell>
          <cell r="AB2315">
            <v>0</v>
          </cell>
        </row>
        <row r="2316">
          <cell r="G2316" t="str">
            <v>X428_0</v>
          </cell>
          <cell r="H2316" t="str">
            <v>as-as</v>
          </cell>
          <cell r="I2316" t="str">
            <v>sim</v>
          </cell>
          <cell r="V2316" t="str">
            <v>not neg pair</v>
          </cell>
          <cell r="Y2316" t="str">
            <v>Pres</v>
          </cell>
          <cell r="Z2316">
            <v>4.46</v>
          </cell>
          <cell r="AA2316">
            <v>0</v>
          </cell>
          <cell r="AB2316">
            <v>0</v>
          </cell>
        </row>
        <row r="2317">
          <cell r="G2317" t="str">
            <v>X428_1</v>
          </cell>
          <cell r="H2317" t="str">
            <v>as-as</v>
          </cell>
          <cell r="I2317" t="str">
            <v>sim</v>
          </cell>
          <cell r="V2317" t="str">
            <v>not neg pair</v>
          </cell>
          <cell r="Y2317" t="str">
            <v>Pres</v>
          </cell>
          <cell r="Z2317">
            <v>4.46</v>
          </cell>
          <cell r="AA2317">
            <v>0</v>
          </cell>
          <cell r="AB2317">
            <v>0</v>
          </cell>
        </row>
        <row r="2318">
          <cell r="G2318" t="str">
            <v>X429_0</v>
          </cell>
          <cell r="H2318" t="str">
            <v>as-as</v>
          </cell>
          <cell r="I2318" t="str">
            <v>sim</v>
          </cell>
          <cell r="V2318" t="str">
            <v>not</v>
          </cell>
          <cell r="Y2318" t="str">
            <v>Past</v>
          </cell>
          <cell r="Z2318">
            <v>2.2400000000000002</v>
          </cell>
          <cell r="AA2318" t="str">
            <v>L</v>
          </cell>
          <cell r="AB2318">
            <v>0</v>
          </cell>
        </row>
        <row r="2319">
          <cell r="G2319" t="str">
            <v>X429_1</v>
          </cell>
          <cell r="H2319" t="str">
            <v>as-as</v>
          </cell>
          <cell r="I2319" t="str">
            <v>sim</v>
          </cell>
          <cell r="V2319" t="str">
            <v>not</v>
          </cell>
          <cell r="Y2319" t="str">
            <v>Past</v>
          </cell>
          <cell r="Z2319">
            <v>2.2400000000000002</v>
          </cell>
          <cell r="AA2319" t="str">
            <v>L</v>
          </cell>
          <cell r="AB2319">
            <v>0</v>
          </cell>
        </row>
        <row r="2320">
          <cell r="G2320" t="str">
            <v>X430_0</v>
          </cell>
          <cell r="H2320" t="str">
            <v>as-as</v>
          </cell>
          <cell r="I2320" t="str">
            <v>sim</v>
          </cell>
          <cell r="V2320" t="str">
            <v>not</v>
          </cell>
          <cell r="Y2320" t="str">
            <v>Past</v>
          </cell>
          <cell r="Z2320">
            <v>3.93</v>
          </cell>
          <cell r="AA2320">
            <v>0</v>
          </cell>
          <cell r="AB2320">
            <v>0</v>
          </cell>
        </row>
        <row r="2321">
          <cell r="G2321" t="str">
            <v>X430_1</v>
          </cell>
          <cell r="H2321" t="str">
            <v>as-as</v>
          </cell>
          <cell r="I2321" t="str">
            <v>sim</v>
          </cell>
          <cell r="V2321" t="str">
            <v>not</v>
          </cell>
          <cell r="Y2321" t="str">
            <v>Past</v>
          </cell>
          <cell r="Z2321">
            <v>3.93</v>
          </cell>
          <cell r="AA2321">
            <v>0</v>
          </cell>
          <cell r="AB2321">
            <v>0</v>
          </cell>
        </row>
        <row r="2322">
          <cell r="G2322" t="str">
            <v>X431_0</v>
          </cell>
          <cell r="H2322" t="str">
            <v>the-of</v>
          </cell>
          <cell r="I2322" t="str">
            <v>sim</v>
          </cell>
          <cell r="V2322" t="str">
            <v>not neg pair</v>
          </cell>
          <cell r="Y2322" t="str">
            <v>Past</v>
          </cell>
          <cell r="Z2322">
            <v>4.9000000000000004</v>
          </cell>
          <cell r="AA2322">
            <v>0</v>
          </cell>
          <cell r="AB2322">
            <v>0</v>
          </cell>
        </row>
        <row r="2323">
          <cell r="G2323" t="str">
            <v>X431_1</v>
          </cell>
          <cell r="H2323" t="str">
            <v>the-of</v>
          </cell>
          <cell r="I2323" t="str">
            <v>sim</v>
          </cell>
          <cell r="V2323" t="str">
            <v>not neg pair</v>
          </cell>
          <cell r="Y2323" t="str">
            <v>Past</v>
          </cell>
          <cell r="Z2323">
            <v>4.9000000000000004</v>
          </cell>
          <cell r="AA2323">
            <v>0</v>
          </cell>
          <cell r="AB2323">
            <v>0</v>
          </cell>
        </row>
        <row r="2324">
          <cell r="G2324" t="str">
            <v>X432_0</v>
          </cell>
          <cell r="H2324" t="str">
            <v>as-as</v>
          </cell>
          <cell r="I2324" t="str">
            <v>sim</v>
          </cell>
          <cell r="V2324" t="str">
            <v>antonym</v>
          </cell>
          <cell r="Y2324" t="str">
            <v>Past</v>
          </cell>
          <cell r="Z2324">
            <v>4.8600000000000003</v>
          </cell>
          <cell r="AA2324">
            <v>0</v>
          </cell>
          <cell r="AB2324">
            <v>0</v>
          </cell>
        </row>
        <row r="2325">
          <cell r="G2325" t="str">
            <v>X432_1</v>
          </cell>
          <cell r="H2325" t="str">
            <v>as-as</v>
          </cell>
          <cell r="I2325" t="str">
            <v>sim</v>
          </cell>
          <cell r="V2325" t="str">
            <v>antonym</v>
          </cell>
          <cell r="Y2325" t="str">
            <v>Past</v>
          </cell>
          <cell r="Z2325">
            <v>4.8600000000000003</v>
          </cell>
          <cell r="AA2325">
            <v>0</v>
          </cell>
          <cell r="AB2325">
            <v>0</v>
          </cell>
        </row>
        <row r="2326">
          <cell r="G2326" t="str">
            <v>X433_0</v>
          </cell>
          <cell r="H2326" t="str">
            <v>as-as</v>
          </cell>
          <cell r="I2326" t="str">
            <v>sim</v>
          </cell>
          <cell r="V2326" t="str">
            <v>antonym</v>
          </cell>
          <cell r="Y2326" t="str">
            <v>Past</v>
          </cell>
          <cell r="Z2326">
            <v>4.8</v>
          </cell>
          <cell r="AA2326">
            <v>0</v>
          </cell>
          <cell r="AB2326">
            <v>0</v>
          </cell>
        </row>
        <row r="2327">
          <cell r="G2327" t="str">
            <v>X433_1</v>
          </cell>
          <cell r="H2327" t="str">
            <v>as-as</v>
          </cell>
          <cell r="I2327" t="str">
            <v>sim</v>
          </cell>
          <cell r="V2327" t="str">
            <v>antonym</v>
          </cell>
          <cell r="Y2327" t="str">
            <v>Past</v>
          </cell>
          <cell r="Z2327">
            <v>4.8</v>
          </cell>
          <cell r="AA2327">
            <v>0</v>
          </cell>
          <cell r="AB2327">
            <v>0</v>
          </cell>
        </row>
        <row r="2328">
          <cell r="G2328" t="str">
            <v>X434_0</v>
          </cell>
          <cell r="H2328" t="str">
            <v>as-as</v>
          </cell>
          <cell r="I2328" t="str">
            <v>sim</v>
          </cell>
          <cell r="V2328" t="str">
            <v>antonym</v>
          </cell>
          <cell r="Y2328" t="str">
            <v>Past</v>
          </cell>
          <cell r="Z2328">
            <v>4.46</v>
          </cell>
          <cell r="AA2328">
            <v>0</v>
          </cell>
          <cell r="AB2328">
            <v>0</v>
          </cell>
        </row>
        <row r="2329">
          <cell r="G2329" t="str">
            <v>X434_1</v>
          </cell>
          <cell r="H2329" t="str">
            <v>as-as</v>
          </cell>
          <cell r="I2329" t="str">
            <v>sim</v>
          </cell>
          <cell r="V2329" t="str">
            <v>antonym</v>
          </cell>
          <cell r="Y2329" t="str">
            <v>Past</v>
          </cell>
          <cell r="Z2329">
            <v>4.46</v>
          </cell>
          <cell r="AA2329">
            <v>0</v>
          </cell>
          <cell r="AB2329">
            <v>0</v>
          </cell>
        </row>
        <row r="2330">
          <cell r="G2330" t="str">
            <v>X435_0</v>
          </cell>
          <cell r="H2330" t="str">
            <v>the-of</v>
          </cell>
          <cell r="I2330" t="str">
            <v>sim</v>
          </cell>
          <cell r="V2330" t="str">
            <v>not neg pair</v>
          </cell>
          <cell r="Y2330" t="str">
            <v>Past</v>
          </cell>
          <cell r="Z2330">
            <v>3.93</v>
          </cell>
          <cell r="AA2330">
            <v>0</v>
          </cell>
          <cell r="AB2330">
            <v>0</v>
          </cell>
        </row>
        <row r="2331">
          <cell r="G2331" t="str">
            <v>X435_1</v>
          </cell>
          <cell r="H2331" t="str">
            <v>the-of</v>
          </cell>
          <cell r="I2331" t="str">
            <v>sim</v>
          </cell>
          <cell r="V2331" t="str">
            <v>not neg pair</v>
          </cell>
          <cell r="Y2331" t="str">
            <v>Past</v>
          </cell>
          <cell r="Z2331">
            <v>3.93</v>
          </cell>
          <cell r="AA2331">
            <v>0</v>
          </cell>
          <cell r="AB2331">
            <v>0</v>
          </cell>
        </row>
        <row r="2332">
          <cell r="G2332" t="str">
            <v>X436_0</v>
          </cell>
          <cell r="H2332" t="str">
            <v>the-of</v>
          </cell>
          <cell r="I2332" t="str">
            <v>sim</v>
          </cell>
          <cell r="V2332" t="str">
            <v>0</v>
          </cell>
          <cell r="Y2332" t="str">
            <v>Past</v>
          </cell>
          <cell r="Z2332">
            <v>3.92</v>
          </cell>
          <cell r="AA2332">
            <v>0</v>
          </cell>
          <cell r="AB2332">
            <v>0</v>
          </cell>
        </row>
        <row r="2333">
          <cell r="G2333" t="str">
            <v>X436_1</v>
          </cell>
          <cell r="H2333" t="str">
            <v/>
          </cell>
          <cell r="I2333" t="str">
            <v>met</v>
          </cell>
          <cell r="V2333" t="str">
            <v>0</v>
          </cell>
          <cell r="Y2333" t="str">
            <v>Past</v>
          </cell>
          <cell r="Z2333">
            <v>3.92</v>
          </cell>
          <cell r="AA2333">
            <v>0</v>
          </cell>
          <cell r="AB2333">
            <v>0</v>
          </cell>
        </row>
        <row r="2334">
          <cell r="G2334" t="str">
            <v>X437_0</v>
          </cell>
          <cell r="H2334" t="str">
            <v/>
          </cell>
          <cell r="I2334" t="str">
            <v>met</v>
          </cell>
          <cell r="V2334" t="str">
            <v>0</v>
          </cell>
          <cell r="Y2334" t="str">
            <v>Past</v>
          </cell>
          <cell r="Z2334">
            <v>4.8899999999999997</v>
          </cell>
          <cell r="AA2334">
            <v>0</v>
          </cell>
          <cell r="AB2334">
            <v>0</v>
          </cell>
        </row>
        <row r="2335">
          <cell r="G2335" t="str">
            <v>X437_1</v>
          </cell>
          <cell r="H2335" t="str">
            <v/>
          </cell>
          <cell r="I2335" t="str">
            <v>met</v>
          </cell>
          <cell r="V2335" t="str">
            <v>0</v>
          </cell>
          <cell r="Y2335" t="str">
            <v>Past</v>
          </cell>
          <cell r="Z2335">
            <v>4.8899999999999997</v>
          </cell>
          <cell r="AA2335">
            <v>0</v>
          </cell>
          <cell r="AB2335">
            <v>0</v>
          </cell>
        </row>
        <row r="2336">
          <cell r="G2336" t="str">
            <v>X438_0</v>
          </cell>
          <cell r="H2336" t="str">
            <v>like</v>
          </cell>
          <cell r="I2336" t="str">
            <v>sim</v>
          </cell>
          <cell r="V2336" t="str">
            <v>not neg pair</v>
          </cell>
          <cell r="Y2336" t="str">
            <v>Past</v>
          </cell>
          <cell r="Z2336">
            <v>2.81</v>
          </cell>
          <cell r="AA2336">
            <v>0</v>
          </cell>
          <cell r="AB2336">
            <v>0</v>
          </cell>
        </row>
        <row r="2337">
          <cell r="G2337" t="str">
            <v>X438_1</v>
          </cell>
          <cell r="H2337" t="str">
            <v>like</v>
          </cell>
          <cell r="I2337" t="str">
            <v>sim</v>
          </cell>
          <cell r="V2337" t="str">
            <v>not neg pair</v>
          </cell>
          <cell r="Y2337" t="str">
            <v>Past</v>
          </cell>
          <cell r="Z2337">
            <v>2.81</v>
          </cell>
          <cell r="AA2337">
            <v>0</v>
          </cell>
          <cell r="AB2337">
            <v>0</v>
          </cell>
        </row>
        <row r="2338">
          <cell r="G2338" t="str">
            <v>X439_0</v>
          </cell>
          <cell r="H2338" t="str">
            <v/>
          </cell>
          <cell r="I2338" t="str">
            <v>met</v>
          </cell>
          <cell r="V2338" t="str">
            <v>0</v>
          </cell>
          <cell r="Y2338" t="str">
            <v>Past</v>
          </cell>
          <cell r="Z2338">
            <v>2.69</v>
          </cell>
          <cell r="AA2338" t="str">
            <v>L</v>
          </cell>
          <cell r="AB2338">
            <v>0</v>
          </cell>
        </row>
        <row r="2339">
          <cell r="G2339" t="str">
            <v>X439_1</v>
          </cell>
          <cell r="H2339" t="str">
            <v/>
          </cell>
          <cell r="I2339" t="str">
            <v>met</v>
          </cell>
          <cell r="V2339" t="str">
            <v>0</v>
          </cell>
          <cell r="Y2339" t="str">
            <v>Past</v>
          </cell>
          <cell r="Z2339">
            <v>2.69</v>
          </cell>
          <cell r="AA2339" t="str">
            <v>L</v>
          </cell>
          <cell r="AB2339">
            <v>0</v>
          </cell>
        </row>
        <row r="2340">
          <cell r="G2340" t="str">
            <v>X440_0</v>
          </cell>
          <cell r="H2340" t="str">
            <v>like</v>
          </cell>
          <cell r="I2340" t="str">
            <v>sim</v>
          </cell>
          <cell r="V2340" t="str">
            <v>not neg pair</v>
          </cell>
          <cell r="Y2340" t="str">
            <v>Past</v>
          </cell>
          <cell r="Z2340">
            <v>3.93</v>
          </cell>
          <cell r="AA2340">
            <v>0</v>
          </cell>
          <cell r="AB2340">
            <v>0</v>
          </cell>
        </row>
        <row r="2341">
          <cell r="G2341" t="str">
            <v>X440_1</v>
          </cell>
          <cell r="H2341" t="str">
            <v>like</v>
          </cell>
          <cell r="I2341" t="str">
            <v>sim</v>
          </cell>
          <cell r="V2341" t="str">
            <v>not neg pair</v>
          </cell>
          <cell r="Y2341" t="str">
            <v>Past</v>
          </cell>
          <cell r="Z2341">
            <v>3.93</v>
          </cell>
          <cell r="AA2341">
            <v>0</v>
          </cell>
          <cell r="AB2341">
            <v>0</v>
          </cell>
        </row>
        <row r="2342">
          <cell r="G2342" t="str">
            <v>X441_0</v>
          </cell>
          <cell r="H2342" t="str">
            <v>as-as</v>
          </cell>
          <cell r="I2342" t="str">
            <v>sim</v>
          </cell>
          <cell r="V2342" t="str">
            <v>not neg pair</v>
          </cell>
          <cell r="Y2342" t="str">
            <v>Past</v>
          </cell>
          <cell r="Z2342">
            <v>5</v>
          </cell>
          <cell r="AA2342" t="str">
            <v>H</v>
          </cell>
          <cell r="AB2342">
            <v>0</v>
          </cell>
        </row>
        <row r="2343">
          <cell r="G2343" t="str">
            <v>X441_1</v>
          </cell>
          <cell r="H2343" t="str">
            <v>as-as</v>
          </cell>
          <cell r="I2343" t="str">
            <v>sim</v>
          </cell>
          <cell r="V2343" t="str">
            <v>not neg pair</v>
          </cell>
          <cell r="Y2343" t="str">
            <v>Past</v>
          </cell>
          <cell r="Z2343">
            <v>5</v>
          </cell>
          <cell r="AA2343" t="str">
            <v>H</v>
          </cell>
          <cell r="AB2343">
            <v>0</v>
          </cell>
        </row>
        <row r="2344">
          <cell r="G2344" t="str">
            <v>X442_0</v>
          </cell>
          <cell r="H2344" t="str">
            <v>as-as</v>
          </cell>
          <cell r="I2344" t="str">
            <v>sim</v>
          </cell>
          <cell r="V2344" t="str">
            <v>not neg pair</v>
          </cell>
          <cell r="Y2344" t="str">
            <v>Past</v>
          </cell>
          <cell r="Z2344">
            <v>4.22</v>
          </cell>
          <cell r="AA2344">
            <v>0</v>
          </cell>
          <cell r="AB2344">
            <v>0</v>
          </cell>
        </row>
        <row r="2345">
          <cell r="G2345" t="str">
            <v>X442_1</v>
          </cell>
          <cell r="H2345" t="str">
            <v>as-as</v>
          </cell>
          <cell r="I2345" t="str">
            <v>sim</v>
          </cell>
          <cell r="V2345" t="str">
            <v>not neg pair</v>
          </cell>
          <cell r="Y2345" t="str">
            <v>Past</v>
          </cell>
          <cell r="Z2345">
            <v>4.22</v>
          </cell>
          <cell r="AA2345">
            <v>0</v>
          </cell>
          <cell r="AB2345">
            <v>0</v>
          </cell>
        </row>
        <row r="2346">
          <cell r="G2346" t="str">
            <v>X443_0</v>
          </cell>
          <cell r="H2346" t="str">
            <v>as-as</v>
          </cell>
          <cell r="I2346" t="str">
            <v>sim</v>
          </cell>
          <cell r="V2346" t="str">
            <v>antonym</v>
          </cell>
          <cell r="Y2346" t="str">
            <v>Past</v>
          </cell>
          <cell r="Z2346">
            <v>4.79</v>
          </cell>
          <cell r="AA2346">
            <v>0</v>
          </cell>
          <cell r="AB2346">
            <v>0</v>
          </cell>
        </row>
        <row r="2347">
          <cell r="G2347" t="str">
            <v>X443_1</v>
          </cell>
          <cell r="H2347" t="str">
            <v>as-as</v>
          </cell>
          <cell r="I2347" t="str">
            <v>sim</v>
          </cell>
          <cell r="V2347" t="str">
            <v>antonym</v>
          </cell>
          <cell r="Y2347" t="str">
            <v>Past</v>
          </cell>
          <cell r="Z2347">
            <v>4.79</v>
          </cell>
          <cell r="AA2347">
            <v>0</v>
          </cell>
          <cell r="AB2347">
            <v>0</v>
          </cell>
        </row>
        <row r="2348">
          <cell r="G2348" t="str">
            <v>X444_0</v>
          </cell>
          <cell r="H2348" t="str">
            <v>like</v>
          </cell>
          <cell r="I2348" t="str">
            <v>sim</v>
          </cell>
          <cell r="V2348" t="str">
            <v>not neg pair</v>
          </cell>
          <cell r="Y2348" t="str">
            <v>Pres</v>
          </cell>
          <cell r="Z2348">
            <v>2.57</v>
          </cell>
          <cell r="AA2348" t="str">
            <v>L</v>
          </cell>
          <cell r="AB2348">
            <v>0</v>
          </cell>
        </row>
        <row r="2349">
          <cell r="G2349" t="str">
            <v>X444_1</v>
          </cell>
          <cell r="H2349" t="str">
            <v>like</v>
          </cell>
          <cell r="I2349" t="str">
            <v>sim</v>
          </cell>
          <cell r="V2349" t="str">
            <v>not neg pair</v>
          </cell>
          <cell r="Y2349" t="str">
            <v>Pres</v>
          </cell>
          <cell r="Z2349">
            <v>2.57</v>
          </cell>
          <cell r="AA2349" t="str">
            <v>L</v>
          </cell>
          <cell r="AB2349">
            <v>0</v>
          </cell>
        </row>
        <row r="2350">
          <cell r="G2350" t="str">
            <v>X445_0</v>
          </cell>
          <cell r="H2350" t="str">
            <v>like</v>
          </cell>
          <cell r="I2350" t="str">
            <v>sim</v>
          </cell>
          <cell r="V2350" t="str">
            <v>not neg pair</v>
          </cell>
          <cell r="Y2350" t="str">
            <v>Pres</v>
          </cell>
          <cell r="Z2350">
            <v>3.36</v>
          </cell>
          <cell r="AA2350">
            <v>0</v>
          </cell>
          <cell r="AB2350">
            <v>0</v>
          </cell>
        </row>
        <row r="2351">
          <cell r="G2351" t="str">
            <v>X445_1</v>
          </cell>
          <cell r="H2351" t="str">
            <v>like</v>
          </cell>
          <cell r="I2351" t="str">
            <v>sim</v>
          </cell>
          <cell r="V2351" t="str">
            <v>not neg pair</v>
          </cell>
          <cell r="Y2351" t="str">
            <v>Pres</v>
          </cell>
          <cell r="Z2351">
            <v>3.36</v>
          </cell>
          <cell r="AA2351">
            <v>0</v>
          </cell>
          <cell r="AB2351">
            <v>0</v>
          </cell>
        </row>
        <row r="2352">
          <cell r="G2352" t="str">
            <v>X446_0</v>
          </cell>
          <cell r="H2352" t="str">
            <v/>
          </cell>
          <cell r="I2352" t="str">
            <v>met</v>
          </cell>
          <cell r="V2352" t="str">
            <v>0</v>
          </cell>
          <cell r="Y2352" t="str">
            <v>Pres</v>
          </cell>
          <cell r="Z2352">
            <v>3.08</v>
          </cell>
          <cell r="AA2352">
            <v>0</v>
          </cell>
          <cell r="AB2352">
            <v>0</v>
          </cell>
        </row>
        <row r="2353">
          <cell r="G2353" t="str">
            <v>X446_1</v>
          </cell>
          <cell r="H2353" t="str">
            <v/>
          </cell>
          <cell r="I2353" t="str">
            <v>met</v>
          </cell>
          <cell r="V2353" t="str">
            <v>0</v>
          </cell>
          <cell r="Y2353" t="str">
            <v>Pres</v>
          </cell>
          <cell r="Z2353">
            <v>3.08</v>
          </cell>
          <cell r="AA2353">
            <v>0</v>
          </cell>
          <cell r="AB2353">
            <v>0</v>
          </cell>
        </row>
        <row r="2354">
          <cell r="G2354" t="str">
            <v>X447_0</v>
          </cell>
          <cell r="H2354" t="str">
            <v>like</v>
          </cell>
          <cell r="I2354" t="str">
            <v>sim</v>
          </cell>
          <cell r="V2354" t="str">
            <v>not neg pair</v>
          </cell>
          <cell r="Y2354" t="str">
            <v>Past</v>
          </cell>
          <cell r="Z2354">
            <v>4.79</v>
          </cell>
          <cell r="AA2354">
            <v>0</v>
          </cell>
          <cell r="AB2354">
            <v>0</v>
          </cell>
        </row>
        <row r="2355">
          <cell r="G2355" t="str">
            <v>X447_1</v>
          </cell>
          <cell r="H2355" t="str">
            <v>like</v>
          </cell>
          <cell r="I2355" t="str">
            <v>sim</v>
          </cell>
          <cell r="V2355" t="str">
            <v>not neg pair</v>
          </cell>
          <cell r="Y2355" t="str">
            <v>Past</v>
          </cell>
          <cell r="Z2355">
            <v>4.79</v>
          </cell>
          <cell r="AA2355">
            <v>0</v>
          </cell>
          <cell r="AB2355">
            <v>0</v>
          </cell>
        </row>
        <row r="2356">
          <cell r="G2356" t="str">
            <v>X448_0</v>
          </cell>
          <cell r="H2356" t="str">
            <v>as-as</v>
          </cell>
          <cell r="I2356" t="str">
            <v>sim</v>
          </cell>
          <cell r="V2356" t="str">
            <v>not neg pair</v>
          </cell>
          <cell r="Y2356" t="str">
            <v>Pres</v>
          </cell>
          <cell r="Z2356">
            <v>4.79</v>
          </cell>
          <cell r="AA2356">
            <v>0</v>
          </cell>
          <cell r="AB2356">
            <v>0</v>
          </cell>
        </row>
        <row r="2357">
          <cell r="G2357" t="str">
            <v>X448_1</v>
          </cell>
          <cell r="H2357" t="str">
            <v>as-as</v>
          </cell>
          <cell r="I2357" t="str">
            <v>sim</v>
          </cell>
          <cell r="V2357" t="str">
            <v>not neg pair</v>
          </cell>
          <cell r="Y2357" t="str">
            <v>Past</v>
          </cell>
          <cell r="Z2357">
            <v>4.79</v>
          </cell>
          <cell r="AA2357">
            <v>0</v>
          </cell>
          <cell r="AB2357">
            <v>0</v>
          </cell>
        </row>
        <row r="2358">
          <cell r="G2358" t="str">
            <v>X449_0</v>
          </cell>
          <cell r="H2358" t="str">
            <v>the-of</v>
          </cell>
          <cell r="I2358" t="str">
            <v>sim</v>
          </cell>
          <cell r="V2358" t="str">
            <v>not neg pair</v>
          </cell>
          <cell r="Y2358" t="str">
            <v>Past</v>
          </cell>
          <cell r="Z2358">
            <v>4.79</v>
          </cell>
          <cell r="AA2358">
            <v>0</v>
          </cell>
          <cell r="AB2358">
            <v>0</v>
          </cell>
        </row>
        <row r="2359">
          <cell r="G2359" t="str">
            <v>X449_1</v>
          </cell>
          <cell r="H2359" t="str">
            <v>the-of</v>
          </cell>
          <cell r="I2359" t="str">
            <v>sim</v>
          </cell>
          <cell r="V2359" t="str">
            <v>not neg pair</v>
          </cell>
          <cell r="Y2359" t="str">
            <v>Past</v>
          </cell>
          <cell r="Z2359">
            <v>4.79</v>
          </cell>
          <cell r="AA2359">
            <v>0</v>
          </cell>
          <cell r="AB2359">
            <v>0</v>
          </cell>
        </row>
        <row r="2360">
          <cell r="G2360" t="str">
            <v>X450_0</v>
          </cell>
          <cell r="H2360" t="str">
            <v>like</v>
          </cell>
          <cell r="I2360" t="str">
            <v>sim</v>
          </cell>
          <cell r="V2360" t="str">
            <v>not</v>
          </cell>
          <cell r="Y2360" t="str">
            <v>Pres</v>
          </cell>
          <cell r="Z2360">
            <v>3.93</v>
          </cell>
          <cell r="AA2360">
            <v>0</v>
          </cell>
          <cell r="AB2360">
            <v>0</v>
          </cell>
        </row>
        <row r="2361">
          <cell r="G2361" t="str">
            <v>X450_1</v>
          </cell>
          <cell r="H2361" t="str">
            <v>like</v>
          </cell>
          <cell r="I2361" t="str">
            <v>sim</v>
          </cell>
          <cell r="V2361" t="str">
            <v>not</v>
          </cell>
          <cell r="Y2361" t="str">
            <v>Pres</v>
          </cell>
          <cell r="Z2361">
            <v>3.93</v>
          </cell>
          <cell r="AA2361">
            <v>0</v>
          </cell>
          <cell r="AB2361">
            <v>0</v>
          </cell>
        </row>
        <row r="2362">
          <cell r="G2362" t="str">
            <v>X451_0</v>
          </cell>
          <cell r="H2362" t="str">
            <v>as-as</v>
          </cell>
          <cell r="I2362" t="str">
            <v>sim</v>
          </cell>
          <cell r="V2362" t="str">
            <v>not</v>
          </cell>
          <cell r="Y2362" t="str">
            <v>Pres</v>
          </cell>
          <cell r="Z2362">
            <v>4.9000000000000004</v>
          </cell>
          <cell r="AA2362">
            <v>0</v>
          </cell>
          <cell r="AB2362">
            <v>0</v>
          </cell>
        </row>
        <row r="2363">
          <cell r="G2363" t="str">
            <v>X451_1</v>
          </cell>
          <cell r="H2363" t="str">
            <v>as-as</v>
          </cell>
          <cell r="I2363" t="str">
            <v>sim</v>
          </cell>
          <cell r="V2363" t="str">
            <v>not</v>
          </cell>
          <cell r="Y2363" t="str">
            <v>Pres</v>
          </cell>
          <cell r="Z2363">
            <v>4.9000000000000004</v>
          </cell>
          <cell r="AA2363">
            <v>0</v>
          </cell>
          <cell r="AB2363">
            <v>0</v>
          </cell>
        </row>
        <row r="2364">
          <cell r="G2364" t="str">
            <v>X452_0</v>
          </cell>
          <cell r="H2364" t="str">
            <v>as-as</v>
          </cell>
          <cell r="I2364" t="str">
            <v>sim</v>
          </cell>
          <cell r="V2364" t="str">
            <v>not neg pair</v>
          </cell>
          <cell r="Y2364" t="str">
            <v>Pres</v>
          </cell>
          <cell r="Z2364">
            <v>2.89</v>
          </cell>
          <cell r="AA2364">
            <v>0</v>
          </cell>
          <cell r="AB2364">
            <v>0</v>
          </cell>
        </row>
        <row r="2365">
          <cell r="G2365" t="str">
            <v>X452_1</v>
          </cell>
          <cell r="H2365" t="str">
            <v>as-as</v>
          </cell>
          <cell r="I2365" t="str">
            <v>sim</v>
          </cell>
          <cell r="V2365" t="str">
            <v>not neg pair</v>
          </cell>
          <cell r="Y2365" t="str">
            <v>Pres</v>
          </cell>
          <cell r="Z2365">
            <v>2.89</v>
          </cell>
          <cell r="AA2365">
            <v>0</v>
          </cell>
          <cell r="AB2365">
            <v>0</v>
          </cell>
        </row>
        <row r="2366">
          <cell r="G2366" t="str">
            <v>X453_0</v>
          </cell>
          <cell r="H2366" t="str">
            <v>like</v>
          </cell>
          <cell r="I2366" t="str">
            <v>sim</v>
          </cell>
          <cell r="V2366" t="str">
            <v>not neg pair</v>
          </cell>
          <cell r="Y2366">
            <v>0</v>
          </cell>
          <cell r="Z2366">
            <v>3.93</v>
          </cell>
          <cell r="AA2366">
            <v>0</v>
          </cell>
          <cell r="AB2366">
            <v>0</v>
          </cell>
        </row>
        <row r="2367">
          <cell r="G2367" t="str">
            <v>X453_1</v>
          </cell>
          <cell r="H2367" t="str">
            <v>like</v>
          </cell>
          <cell r="I2367" t="str">
            <v>sim</v>
          </cell>
          <cell r="V2367" t="str">
            <v>not neg pair</v>
          </cell>
          <cell r="Y2367" t="str">
            <v>Pres</v>
          </cell>
          <cell r="Z2367">
            <v>3.93</v>
          </cell>
          <cell r="AA2367">
            <v>0</v>
          </cell>
          <cell r="AB2367">
            <v>0</v>
          </cell>
        </row>
        <row r="2368">
          <cell r="G2368" t="str">
            <v>X454_0</v>
          </cell>
          <cell r="H2368" t="str">
            <v>as-as</v>
          </cell>
          <cell r="I2368" t="str">
            <v>sim</v>
          </cell>
          <cell r="V2368" t="str">
            <v>not</v>
          </cell>
          <cell r="Y2368" t="str">
            <v>Pres</v>
          </cell>
          <cell r="Z2368">
            <v>4.26</v>
          </cell>
          <cell r="AA2368">
            <v>0</v>
          </cell>
          <cell r="AB2368">
            <v>0</v>
          </cell>
        </row>
        <row r="2369">
          <cell r="G2369" t="str">
            <v>X454_1</v>
          </cell>
          <cell r="H2369" t="str">
            <v>as-as</v>
          </cell>
          <cell r="I2369" t="str">
            <v>sim</v>
          </cell>
          <cell r="V2369" t="str">
            <v>not</v>
          </cell>
          <cell r="Y2369" t="str">
            <v>Pres</v>
          </cell>
          <cell r="Z2369">
            <v>4.26</v>
          </cell>
          <cell r="AA2369">
            <v>0</v>
          </cell>
          <cell r="AB2369">
            <v>0</v>
          </cell>
        </row>
        <row r="2370">
          <cell r="G2370" t="str">
            <v>X455_0</v>
          </cell>
          <cell r="H2370" t="str">
            <v>as-as</v>
          </cell>
          <cell r="I2370" t="str">
            <v>sim</v>
          </cell>
          <cell r="V2370" t="str">
            <v>antonym</v>
          </cell>
          <cell r="Y2370" t="str">
            <v>Past</v>
          </cell>
          <cell r="Z2370">
            <v>3.43</v>
          </cell>
          <cell r="AA2370">
            <v>0</v>
          </cell>
          <cell r="AB2370">
            <v>0</v>
          </cell>
        </row>
        <row r="2371">
          <cell r="G2371" t="str">
            <v>X455_1</v>
          </cell>
          <cell r="H2371" t="str">
            <v>as-as</v>
          </cell>
          <cell r="I2371" t="str">
            <v>sim</v>
          </cell>
          <cell r="V2371" t="str">
            <v>antonym</v>
          </cell>
          <cell r="Y2371" t="str">
            <v>Past</v>
          </cell>
          <cell r="Z2371">
            <v>3.43</v>
          </cell>
          <cell r="AA2371">
            <v>0</v>
          </cell>
          <cell r="AB2371">
            <v>0</v>
          </cell>
        </row>
        <row r="2372">
          <cell r="G2372" t="str">
            <v>X456_0</v>
          </cell>
          <cell r="H2372" t="str">
            <v>like</v>
          </cell>
          <cell r="I2372" t="str">
            <v>sim</v>
          </cell>
          <cell r="V2372" t="str">
            <v>not neg pair</v>
          </cell>
          <cell r="Y2372" t="str">
            <v>Past</v>
          </cell>
          <cell r="Z2372">
            <v>3.36</v>
          </cell>
          <cell r="AA2372">
            <v>0</v>
          </cell>
          <cell r="AB2372">
            <v>0</v>
          </cell>
        </row>
        <row r="2373">
          <cell r="G2373" t="str">
            <v>X456_1</v>
          </cell>
          <cell r="H2373" t="str">
            <v>like</v>
          </cell>
          <cell r="I2373" t="str">
            <v>sim</v>
          </cell>
          <cell r="V2373" t="str">
            <v>not neg pair</v>
          </cell>
          <cell r="Y2373" t="str">
            <v>Past</v>
          </cell>
          <cell r="Z2373">
            <v>3.36</v>
          </cell>
          <cell r="AA2373">
            <v>0</v>
          </cell>
          <cell r="AB2373">
            <v>0</v>
          </cell>
        </row>
        <row r="2374">
          <cell r="G2374" t="str">
            <v>X457_0</v>
          </cell>
          <cell r="H2374" t="str">
            <v>as-as</v>
          </cell>
          <cell r="I2374" t="str">
            <v>sim</v>
          </cell>
          <cell r="V2374" t="str">
            <v>not</v>
          </cell>
          <cell r="Y2374" t="str">
            <v>Past</v>
          </cell>
          <cell r="Z2374">
            <v>4.9000000000000004</v>
          </cell>
          <cell r="AA2374">
            <v>0</v>
          </cell>
          <cell r="AB2374">
            <v>0</v>
          </cell>
        </row>
        <row r="2375">
          <cell r="G2375" t="str">
            <v>X457_1</v>
          </cell>
          <cell r="H2375" t="str">
            <v>as-as</v>
          </cell>
          <cell r="I2375" t="str">
            <v>sim</v>
          </cell>
          <cell r="V2375" t="str">
            <v>not</v>
          </cell>
          <cell r="Y2375" t="str">
            <v>Past</v>
          </cell>
          <cell r="Z2375">
            <v>4.9000000000000004</v>
          </cell>
          <cell r="AA2375">
            <v>0</v>
          </cell>
          <cell r="AB2375">
            <v>0</v>
          </cell>
        </row>
        <row r="2376">
          <cell r="G2376" t="str">
            <v>X458_0</v>
          </cell>
          <cell r="H2376" t="str">
            <v>like</v>
          </cell>
          <cell r="I2376" t="str">
            <v>sim</v>
          </cell>
          <cell r="V2376" t="str">
            <v>not</v>
          </cell>
          <cell r="Y2376" t="str">
            <v>Past</v>
          </cell>
          <cell r="Z2376">
            <v>3.93</v>
          </cell>
          <cell r="AA2376">
            <v>0</v>
          </cell>
          <cell r="AB2376">
            <v>0</v>
          </cell>
        </row>
        <row r="2377">
          <cell r="G2377" t="str">
            <v>X458_1</v>
          </cell>
          <cell r="H2377" t="str">
            <v>like</v>
          </cell>
          <cell r="I2377" t="str">
            <v>sim</v>
          </cell>
          <cell r="V2377" t="str">
            <v>not</v>
          </cell>
          <cell r="Y2377" t="str">
            <v>Past</v>
          </cell>
          <cell r="Z2377">
            <v>3.93</v>
          </cell>
          <cell r="AA2377">
            <v>0</v>
          </cell>
          <cell r="AB2377">
            <v>0</v>
          </cell>
        </row>
        <row r="2378">
          <cell r="G2378" t="str">
            <v>X459_0</v>
          </cell>
          <cell r="H2378" t="str">
            <v>as-as</v>
          </cell>
          <cell r="I2378" t="str">
            <v>sim</v>
          </cell>
          <cell r="V2378" t="str">
            <v>antonym</v>
          </cell>
          <cell r="Y2378" t="str">
            <v>Past</v>
          </cell>
          <cell r="Z2378">
            <v>4.13</v>
          </cell>
          <cell r="AA2378">
            <v>0</v>
          </cell>
          <cell r="AB2378">
            <v>0</v>
          </cell>
        </row>
        <row r="2379">
          <cell r="G2379" t="str">
            <v>X459_1</v>
          </cell>
          <cell r="H2379" t="str">
            <v>as-as</v>
          </cell>
          <cell r="I2379" t="str">
            <v>sim</v>
          </cell>
          <cell r="V2379" t="str">
            <v>antonym</v>
          </cell>
          <cell r="Y2379" t="str">
            <v>Past</v>
          </cell>
          <cell r="Z2379">
            <v>4.13</v>
          </cell>
          <cell r="AA2379">
            <v>0</v>
          </cell>
          <cell r="AB2379">
            <v>0</v>
          </cell>
        </row>
        <row r="2380">
          <cell r="G2380" t="str">
            <v>X460_0</v>
          </cell>
          <cell r="H2380" t="str">
            <v>as-as</v>
          </cell>
          <cell r="I2380" t="str">
            <v>sim</v>
          </cell>
          <cell r="V2380" t="str">
            <v>not</v>
          </cell>
          <cell r="Y2380" t="str">
            <v>Past</v>
          </cell>
          <cell r="Z2380">
            <v>3.43</v>
          </cell>
          <cell r="AA2380">
            <v>0</v>
          </cell>
          <cell r="AB2380">
            <v>0</v>
          </cell>
        </row>
        <row r="2381">
          <cell r="G2381" t="str">
            <v>X460_1</v>
          </cell>
          <cell r="H2381" t="str">
            <v>as-as</v>
          </cell>
          <cell r="I2381" t="str">
            <v>sim</v>
          </cell>
          <cell r="V2381" t="str">
            <v>not</v>
          </cell>
          <cell r="Y2381" t="str">
            <v>Past</v>
          </cell>
          <cell r="Z2381">
            <v>3.43</v>
          </cell>
          <cell r="AA2381">
            <v>0</v>
          </cell>
          <cell r="AB2381">
            <v>0</v>
          </cell>
        </row>
        <row r="2382">
          <cell r="G2382" t="str">
            <v>X461_0</v>
          </cell>
          <cell r="H2382" t="str">
            <v>as-as</v>
          </cell>
          <cell r="I2382" t="str">
            <v>sim</v>
          </cell>
          <cell r="V2382" t="str">
            <v>not</v>
          </cell>
          <cell r="Y2382" t="str">
            <v>Past</v>
          </cell>
          <cell r="Z2382">
            <v>3.81</v>
          </cell>
          <cell r="AA2382">
            <v>0</v>
          </cell>
          <cell r="AB2382">
            <v>0</v>
          </cell>
        </row>
        <row r="2383">
          <cell r="G2383" t="str">
            <v>X461_1</v>
          </cell>
          <cell r="H2383" t="str">
            <v>as-as</v>
          </cell>
          <cell r="I2383" t="str">
            <v>sim</v>
          </cell>
          <cell r="V2383" t="str">
            <v>not</v>
          </cell>
          <cell r="Y2383" t="str">
            <v>Past</v>
          </cell>
          <cell r="Z2383">
            <v>3.81</v>
          </cell>
          <cell r="AA2383">
            <v>0</v>
          </cell>
          <cell r="AB2383">
            <v>0</v>
          </cell>
        </row>
        <row r="2384">
          <cell r="G2384" t="str">
            <v>X462_0</v>
          </cell>
          <cell r="H2384" t="str">
            <v>like</v>
          </cell>
          <cell r="I2384" t="str">
            <v>sim</v>
          </cell>
          <cell r="V2384" t="str">
            <v>not</v>
          </cell>
          <cell r="Y2384" t="str">
            <v>Past</v>
          </cell>
          <cell r="Z2384">
            <v>2</v>
          </cell>
          <cell r="AA2384" t="str">
            <v>L</v>
          </cell>
          <cell r="AB2384">
            <v>0</v>
          </cell>
        </row>
        <row r="2385">
          <cell r="G2385" t="str">
            <v>X462_1</v>
          </cell>
          <cell r="H2385" t="str">
            <v>like</v>
          </cell>
          <cell r="I2385" t="str">
            <v>sim</v>
          </cell>
          <cell r="V2385" t="str">
            <v>not</v>
          </cell>
          <cell r="Y2385" t="str">
            <v>Pres</v>
          </cell>
          <cell r="Z2385">
            <v>2</v>
          </cell>
          <cell r="AA2385" t="str">
            <v>L</v>
          </cell>
          <cell r="AB2385">
            <v>0</v>
          </cell>
        </row>
        <row r="2386">
          <cell r="G2386" t="str">
            <v>X463_0</v>
          </cell>
          <cell r="H2386" t="str">
            <v>as-as</v>
          </cell>
          <cell r="I2386" t="str">
            <v>sim</v>
          </cell>
          <cell r="V2386" t="str">
            <v>antonym</v>
          </cell>
          <cell r="Y2386" t="str">
            <v>Pres</v>
          </cell>
          <cell r="Z2386">
            <v>5</v>
          </cell>
          <cell r="AA2386" t="str">
            <v>H</v>
          </cell>
          <cell r="AB2386">
            <v>0</v>
          </cell>
        </row>
        <row r="2387">
          <cell r="G2387" t="str">
            <v>X463_1</v>
          </cell>
          <cell r="H2387" t="str">
            <v>as-as</v>
          </cell>
          <cell r="I2387" t="str">
            <v>sim</v>
          </cell>
          <cell r="V2387" t="str">
            <v>antonym</v>
          </cell>
          <cell r="Y2387" t="str">
            <v>Pres</v>
          </cell>
          <cell r="Z2387">
            <v>5</v>
          </cell>
          <cell r="AA2387" t="str">
            <v>H</v>
          </cell>
          <cell r="AB2387">
            <v>0</v>
          </cell>
        </row>
        <row r="2388">
          <cell r="G2388" t="str">
            <v>X464_0</v>
          </cell>
          <cell r="H2388" t="str">
            <v>as-as</v>
          </cell>
          <cell r="I2388" t="str">
            <v>sim</v>
          </cell>
          <cell r="V2388" t="str">
            <v>antonym</v>
          </cell>
          <cell r="Y2388" t="str">
            <v>Past</v>
          </cell>
          <cell r="Z2388">
            <v>4.59</v>
          </cell>
          <cell r="AA2388">
            <v>0</v>
          </cell>
          <cell r="AB2388">
            <v>0</v>
          </cell>
        </row>
        <row r="2389">
          <cell r="G2389" t="str">
            <v>X464_1</v>
          </cell>
          <cell r="H2389" t="str">
            <v>as-as</v>
          </cell>
          <cell r="I2389" t="str">
            <v>sim</v>
          </cell>
          <cell r="V2389" t="str">
            <v>antonym</v>
          </cell>
          <cell r="Y2389" t="str">
            <v>Past</v>
          </cell>
          <cell r="Z2389">
            <v>4.59</v>
          </cell>
          <cell r="AA2389">
            <v>0</v>
          </cell>
          <cell r="AB2389">
            <v>0</v>
          </cell>
        </row>
        <row r="2390">
          <cell r="G2390" t="str">
            <v>X465_0</v>
          </cell>
          <cell r="H2390" t="str">
            <v>as-as</v>
          </cell>
          <cell r="I2390" t="str">
            <v>sim</v>
          </cell>
          <cell r="V2390" t="str">
            <v>not</v>
          </cell>
          <cell r="Y2390" t="str">
            <v>Past</v>
          </cell>
          <cell r="Z2390">
            <v>3.93</v>
          </cell>
          <cell r="AA2390">
            <v>0</v>
          </cell>
          <cell r="AB2390">
            <v>0</v>
          </cell>
        </row>
        <row r="2391">
          <cell r="G2391" t="str">
            <v>X465_1</v>
          </cell>
          <cell r="H2391" t="str">
            <v>as-as</v>
          </cell>
          <cell r="I2391" t="str">
            <v>sim</v>
          </cell>
          <cell r="V2391" t="str">
            <v>not</v>
          </cell>
          <cell r="Y2391" t="str">
            <v>Past</v>
          </cell>
          <cell r="Z2391">
            <v>3.93</v>
          </cell>
          <cell r="AA2391">
            <v>0</v>
          </cell>
          <cell r="AB2391">
            <v>0</v>
          </cell>
        </row>
        <row r="2392">
          <cell r="G2392" t="str">
            <v>X466_0</v>
          </cell>
          <cell r="H2392" t="str">
            <v>like</v>
          </cell>
          <cell r="I2392" t="str">
            <v>sim</v>
          </cell>
          <cell r="V2392" t="str">
            <v>not neg pair</v>
          </cell>
          <cell r="Y2392" t="str">
            <v>Past</v>
          </cell>
          <cell r="Z2392">
            <v>3.93</v>
          </cell>
          <cell r="AA2392">
            <v>0</v>
          </cell>
          <cell r="AB2392">
            <v>0</v>
          </cell>
        </row>
        <row r="2393">
          <cell r="G2393" t="str">
            <v>X466_1</v>
          </cell>
          <cell r="H2393" t="str">
            <v>like</v>
          </cell>
          <cell r="I2393" t="str">
            <v>sim</v>
          </cell>
          <cell r="V2393" t="str">
            <v>not neg pair</v>
          </cell>
          <cell r="Y2393" t="str">
            <v>Past</v>
          </cell>
          <cell r="Z2393">
            <v>3.93</v>
          </cell>
          <cell r="AA2393">
            <v>0</v>
          </cell>
          <cell r="AB2393">
            <v>0</v>
          </cell>
        </row>
        <row r="2394">
          <cell r="G2394" t="str">
            <v>X467_0</v>
          </cell>
          <cell r="H2394" t="str">
            <v>like</v>
          </cell>
          <cell r="I2394" t="str">
            <v>sim</v>
          </cell>
          <cell r="V2394" t="str">
            <v>not</v>
          </cell>
          <cell r="Y2394" t="str">
            <v>Past</v>
          </cell>
          <cell r="Z2394">
            <v>3.93</v>
          </cell>
          <cell r="AA2394">
            <v>0</v>
          </cell>
          <cell r="AB2394">
            <v>0</v>
          </cell>
        </row>
        <row r="2395">
          <cell r="G2395" t="str">
            <v>X467_1</v>
          </cell>
          <cell r="H2395" t="str">
            <v>like</v>
          </cell>
          <cell r="I2395" t="str">
            <v>sim</v>
          </cell>
          <cell r="V2395" t="str">
            <v>not</v>
          </cell>
          <cell r="Y2395" t="str">
            <v>Past</v>
          </cell>
          <cell r="Z2395">
            <v>3.93</v>
          </cell>
          <cell r="AA2395">
            <v>0</v>
          </cell>
          <cell r="AB2395">
            <v>0</v>
          </cell>
        </row>
        <row r="2396">
          <cell r="G2396" t="str">
            <v>X468_0</v>
          </cell>
          <cell r="H2396" t="str">
            <v>like</v>
          </cell>
          <cell r="I2396" t="str">
            <v>sim</v>
          </cell>
          <cell r="V2396" t="str">
            <v>not neg pair</v>
          </cell>
          <cell r="Y2396" t="str">
            <v>Pres</v>
          </cell>
          <cell r="Z2396">
            <v>3.36</v>
          </cell>
          <cell r="AA2396">
            <v>0</v>
          </cell>
          <cell r="AB2396">
            <v>0</v>
          </cell>
        </row>
        <row r="2397">
          <cell r="G2397" t="str">
            <v>X468_1</v>
          </cell>
          <cell r="H2397" t="str">
            <v>like</v>
          </cell>
          <cell r="I2397" t="str">
            <v>sim</v>
          </cell>
          <cell r="V2397" t="str">
            <v>not neg pair</v>
          </cell>
          <cell r="Y2397" t="str">
            <v>Pres</v>
          </cell>
          <cell r="Z2397">
            <v>3.36</v>
          </cell>
          <cell r="AA2397">
            <v>0</v>
          </cell>
          <cell r="AB2397">
            <v>0</v>
          </cell>
        </row>
        <row r="2398">
          <cell r="G2398" t="str">
            <v>X469_0</v>
          </cell>
          <cell r="H2398" t="str">
            <v/>
          </cell>
          <cell r="I2398" t="str">
            <v>met</v>
          </cell>
          <cell r="V2398" t="str">
            <v>0</v>
          </cell>
          <cell r="Y2398" t="str">
            <v>Pres</v>
          </cell>
          <cell r="Z2398">
            <v>5</v>
          </cell>
          <cell r="AA2398" t="str">
            <v>H</v>
          </cell>
          <cell r="AB2398">
            <v>0</v>
          </cell>
        </row>
        <row r="2399">
          <cell r="G2399" t="str">
            <v>X469_1</v>
          </cell>
          <cell r="H2399" t="str">
            <v/>
          </cell>
          <cell r="I2399" t="str">
            <v>met</v>
          </cell>
          <cell r="V2399" t="str">
            <v>0</v>
          </cell>
          <cell r="Y2399" t="str">
            <v>Pres</v>
          </cell>
          <cell r="Z2399">
            <v>5</v>
          </cell>
          <cell r="AA2399" t="str">
            <v>H</v>
          </cell>
          <cell r="AB2399">
            <v>0</v>
          </cell>
        </row>
        <row r="2400">
          <cell r="G2400" t="str">
            <v>X470_0</v>
          </cell>
          <cell r="H2400" t="str">
            <v>the-of</v>
          </cell>
          <cell r="I2400" t="str">
            <v>sim</v>
          </cell>
          <cell r="V2400" t="str">
            <v>not neg pair</v>
          </cell>
          <cell r="Y2400" t="str">
            <v>Pres</v>
          </cell>
          <cell r="Z2400">
            <v>3.93</v>
          </cell>
          <cell r="AA2400">
            <v>0</v>
          </cell>
          <cell r="AB2400">
            <v>0</v>
          </cell>
        </row>
        <row r="2401">
          <cell r="G2401" t="str">
            <v>X470_1</v>
          </cell>
          <cell r="H2401" t="str">
            <v>the-of</v>
          </cell>
          <cell r="I2401" t="str">
            <v>sim</v>
          </cell>
          <cell r="V2401" t="str">
            <v>not neg pair</v>
          </cell>
          <cell r="Y2401" t="str">
            <v>Pres</v>
          </cell>
          <cell r="Z2401">
            <v>3.93</v>
          </cell>
          <cell r="AA2401">
            <v>0</v>
          </cell>
          <cell r="AB2401">
            <v>0</v>
          </cell>
        </row>
        <row r="2402">
          <cell r="G2402" t="str">
            <v>X471_0</v>
          </cell>
          <cell r="H2402" t="str">
            <v/>
          </cell>
          <cell r="I2402" t="str">
            <v>met</v>
          </cell>
          <cell r="V2402" t="str">
            <v>0</v>
          </cell>
          <cell r="Y2402" t="str">
            <v>Pres</v>
          </cell>
          <cell r="Z2402">
            <v>0</v>
          </cell>
          <cell r="AA2402">
            <v>0</v>
          </cell>
          <cell r="AB2402">
            <v>0</v>
          </cell>
        </row>
        <row r="2403">
          <cell r="G2403" t="str">
            <v>X471_1</v>
          </cell>
          <cell r="H2403" t="str">
            <v/>
          </cell>
          <cell r="I2403" t="str">
            <v>met</v>
          </cell>
          <cell r="V2403" t="str">
            <v>0</v>
          </cell>
          <cell r="Y2403" t="str">
            <v>Pres</v>
          </cell>
          <cell r="Z2403">
            <v>0</v>
          </cell>
          <cell r="AA2403">
            <v>0</v>
          </cell>
          <cell r="AB2403">
            <v>0</v>
          </cell>
        </row>
        <row r="2404">
          <cell r="G2404" t="str">
            <v>X472_0</v>
          </cell>
          <cell r="H2404" t="str">
            <v/>
          </cell>
          <cell r="I2404" t="str">
            <v>met</v>
          </cell>
          <cell r="V2404" t="str">
            <v>0</v>
          </cell>
          <cell r="Y2404" t="str">
            <v>Pres</v>
          </cell>
          <cell r="Z2404">
            <v>4.42</v>
          </cell>
          <cell r="AA2404">
            <v>0</v>
          </cell>
          <cell r="AB2404">
            <v>0</v>
          </cell>
        </row>
        <row r="2405">
          <cell r="G2405" t="str">
            <v>X472_1</v>
          </cell>
          <cell r="H2405" t="str">
            <v/>
          </cell>
          <cell r="I2405" t="str">
            <v>met</v>
          </cell>
          <cell r="V2405" t="str">
            <v>0</v>
          </cell>
          <cell r="Y2405" t="str">
            <v>Pres</v>
          </cell>
          <cell r="Z2405">
            <v>4.42</v>
          </cell>
          <cell r="AA2405">
            <v>0</v>
          </cell>
          <cell r="AB2405">
            <v>0</v>
          </cell>
        </row>
        <row r="2406">
          <cell r="G2406" t="str">
            <v>X473_0</v>
          </cell>
          <cell r="H2406" t="str">
            <v/>
          </cell>
          <cell r="I2406" t="str">
            <v>met</v>
          </cell>
          <cell r="V2406" t="str">
            <v>0</v>
          </cell>
          <cell r="Y2406" t="str">
            <v>Pres</v>
          </cell>
          <cell r="Z2406">
            <v>3.93</v>
          </cell>
          <cell r="AA2406">
            <v>0</v>
          </cell>
          <cell r="AB2406">
            <v>0</v>
          </cell>
        </row>
        <row r="2407">
          <cell r="G2407" t="str">
            <v>X473_1</v>
          </cell>
          <cell r="H2407" t="str">
            <v/>
          </cell>
          <cell r="I2407" t="str">
            <v>met</v>
          </cell>
          <cell r="V2407" t="str">
            <v>0</v>
          </cell>
          <cell r="Y2407" t="str">
            <v>Pres</v>
          </cell>
          <cell r="Z2407">
            <v>3.14</v>
          </cell>
          <cell r="AA2407">
            <v>0</v>
          </cell>
          <cell r="AB2407">
            <v>0</v>
          </cell>
        </row>
        <row r="2408">
          <cell r="G2408" t="str">
            <v>X474_0</v>
          </cell>
          <cell r="H2408" t="str">
            <v>the-of</v>
          </cell>
          <cell r="I2408" t="str">
            <v>sim</v>
          </cell>
          <cell r="V2408" t="str">
            <v>not neg pair</v>
          </cell>
          <cell r="Y2408" t="str">
            <v>Pres</v>
          </cell>
          <cell r="Z2408">
            <v>4.8899999999999997</v>
          </cell>
          <cell r="AA2408">
            <v>0</v>
          </cell>
          <cell r="AB2408">
            <v>0</v>
          </cell>
        </row>
        <row r="2409">
          <cell r="G2409" t="str">
            <v>X474_1</v>
          </cell>
          <cell r="H2409" t="str">
            <v>the-of</v>
          </cell>
          <cell r="I2409" t="str">
            <v>sim</v>
          </cell>
          <cell r="V2409" t="str">
            <v>not neg pair</v>
          </cell>
          <cell r="Y2409" t="str">
            <v>Pres</v>
          </cell>
          <cell r="Z2409">
            <v>4.8899999999999997</v>
          </cell>
          <cell r="AA2409">
            <v>0</v>
          </cell>
          <cell r="AB2409">
            <v>0</v>
          </cell>
        </row>
        <row r="2410">
          <cell r="G2410" t="str">
            <v>X475_0</v>
          </cell>
          <cell r="H2410" t="str">
            <v>the-of</v>
          </cell>
          <cell r="I2410" t="str">
            <v>sim</v>
          </cell>
          <cell r="V2410" t="str">
            <v>not neg pair</v>
          </cell>
          <cell r="Y2410" t="str">
            <v>Pres</v>
          </cell>
          <cell r="Z2410">
            <v>4.79</v>
          </cell>
          <cell r="AA2410">
            <v>0</v>
          </cell>
          <cell r="AB2410">
            <v>0</v>
          </cell>
        </row>
        <row r="2411">
          <cell r="G2411" t="str">
            <v>X475_1</v>
          </cell>
          <cell r="H2411" t="str">
            <v>the-of</v>
          </cell>
          <cell r="I2411" t="str">
            <v>sim</v>
          </cell>
          <cell r="V2411" t="str">
            <v>not neg pair</v>
          </cell>
          <cell r="Y2411" t="str">
            <v>Pres</v>
          </cell>
          <cell r="Z2411">
            <v>4.79</v>
          </cell>
          <cell r="AA2411">
            <v>0</v>
          </cell>
          <cell r="AB2411">
            <v>0</v>
          </cell>
        </row>
        <row r="2412">
          <cell r="G2412" t="str">
            <v>X476_0</v>
          </cell>
          <cell r="H2412" t="str">
            <v>as-as</v>
          </cell>
          <cell r="I2412" t="str">
            <v>sim</v>
          </cell>
          <cell r="V2412" t="str">
            <v>0</v>
          </cell>
          <cell r="Y2412" t="str">
            <v>Past</v>
          </cell>
          <cell r="Z2412">
            <v>4.3</v>
          </cell>
          <cell r="AA2412">
            <v>0</v>
          </cell>
          <cell r="AB2412">
            <v>0</v>
          </cell>
        </row>
        <row r="2413">
          <cell r="G2413" t="str">
            <v>X476_1</v>
          </cell>
          <cell r="H2413" t="str">
            <v>as</v>
          </cell>
          <cell r="I2413" t="str">
            <v>sim</v>
          </cell>
          <cell r="V2413" t="str">
            <v>0</v>
          </cell>
          <cell r="Y2413" t="str">
            <v>Past</v>
          </cell>
          <cell r="Z2413">
            <v>4.3</v>
          </cell>
          <cell r="AA2413">
            <v>0</v>
          </cell>
          <cell r="AB2413">
            <v>0</v>
          </cell>
        </row>
        <row r="2414">
          <cell r="G2414" t="str">
            <v>X477_0</v>
          </cell>
          <cell r="H2414" t="str">
            <v>the-of</v>
          </cell>
          <cell r="I2414" t="str">
            <v>sim</v>
          </cell>
          <cell r="V2414" t="str">
            <v>not neg pair</v>
          </cell>
          <cell r="Y2414" t="str">
            <v>Pres</v>
          </cell>
          <cell r="Z2414">
            <v>4.46</v>
          </cell>
          <cell r="AA2414">
            <v>0</v>
          </cell>
          <cell r="AB2414">
            <v>0</v>
          </cell>
        </row>
        <row r="2415">
          <cell r="G2415" t="str">
            <v>X477_1</v>
          </cell>
          <cell r="H2415" t="str">
            <v>the-of</v>
          </cell>
          <cell r="I2415" t="str">
            <v>sim</v>
          </cell>
          <cell r="V2415" t="str">
            <v>not neg pair</v>
          </cell>
          <cell r="Y2415" t="str">
            <v>Pres</v>
          </cell>
          <cell r="Z2415">
            <v>4.46</v>
          </cell>
          <cell r="AA2415">
            <v>0</v>
          </cell>
          <cell r="AB2415">
            <v>0</v>
          </cell>
        </row>
        <row r="2416">
          <cell r="G2416" t="str">
            <v>X478_0</v>
          </cell>
          <cell r="H2416" t="str">
            <v>like</v>
          </cell>
          <cell r="I2416" t="str">
            <v>sim</v>
          </cell>
          <cell r="V2416" t="str">
            <v>not neg pair</v>
          </cell>
          <cell r="Y2416" t="str">
            <v>Pres</v>
          </cell>
          <cell r="Z2416">
            <v>4.79</v>
          </cell>
          <cell r="AA2416">
            <v>0</v>
          </cell>
          <cell r="AB2416">
            <v>0</v>
          </cell>
        </row>
        <row r="2417">
          <cell r="G2417" t="str">
            <v>X478_1</v>
          </cell>
          <cell r="H2417" t="str">
            <v>like</v>
          </cell>
          <cell r="I2417" t="str">
            <v>sim</v>
          </cell>
          <cell r="V2417" t="str">
            <v>not neg pair</v>
          </cell>
          <cell r="Y2417" t="str">
            <v>Pres</v>
          </cell>
          <cell r="Z2417">
            <v>4.79</v>
          </cell>
          <cell r="AA2417">
            <v>0</v>
          </cell>
          <cell r="AB2417">
            <v>0</v>
          </cell>
        </row>
        <row r="2418">
          <cell r="G2418" t="str">
            <v>X479_0</v>
          </cell>
          <cell r="H2418" t="str">
            <v>as-as</v>
          </cell>
          <cell r="I2418" t="str">
            <v>sim</v>
          </cell>
          <cell r="V2418" t="str">
            <v>antonym</v>
          </cell>
          <cell r="Y2418" t="str">
            <v>Pres</v>
          </cell>
          <cell r="Z2418">
            <v>4.78</v>
          </cell>
          <cell r="AA2418">
            <v>0</v>
          </cell>
          <cell r="AB2418">
            <v>0</v>
          </cell>
        </row>
        <row r="2419">
          <cell r="G2419" t="str">
            <v>X479_1</v>
          </cell>
          <cell r="H2419" t="str">
            <v>as-as</v>
          </cell>
          <cell r="I2419" t="str">
            <v>sim</v>
          </cell>
          <cell r="V2419" t="str">
            <v>antonym</v>
          </cell>
          <cell r="Y2419" t="str">
            <v>Pres</v>
          </cell>
          <cell r="Z2419">
            <v>4.78</v>
          </cell>
          <cell r="AA2419">
            <v>0</v>
          </cell>
          <cell r="AB2419">
            <v>0</v>
          </cell>
        </row>
        <row r="2420">
          <cell r="G2420" t="str">
            <v>X480_0</v>
          </cell>
          <cell r="H2420" t="str">
            <v/>
          </cell>
          <cell r="I2420" t="str">
            <v>met</v>
          </cell>
          <cell r="V2420" t="str">
            <v>0</v>
          </cell>
          <cell r="Y2420" t="str">
            <v>Past</v>
          </cell>
          <cell r="Z2420">
            <v>4.8899999999999997</v>
          </cell>
          <cell r="AA2420">
            <v>0</v>
          </cell>
          <cell r="AB2420">
            <v>0</v>
          </cell>
        </row>
        <row r="2421">
          <cell r="G2421" t="str">
            <v>X480_1</v>
          </cell>
          <cell r="H2421" t="str">
            <v/>
          </cell>
          <cell r="I2421" t="str">
            <v>met</v>
          </cell>
          <cell r="V2421" t="str">
            <v>0</v>
          </cell>
          <cell r="Y2421" t="str">
            <v>Past</v>
          </cell>
          <cell r="Z2421">
            <v>4.8899999999999997</v>
          </cell>
          <cell r="AA2421">
            <v>0</v>
          </cell>
          <cell r="AB2421">
            <v>0</v>
          </cell>
        </row>
        <row r="2422">
          <cell r="G2422" t="str">
            <v>X481_0</v>
          </cell>
          <cell r="H2422" t="str">
            <v/>
          </cell>
          <cell r="I2422" t="str">
            <v>met</v>
          </cell>
          <cell r="V2422" t="str">
            <v>0</v>
          </cell>
          <cell r="Y2422" t="str">
            <v>Past</v>
          </cell>
          <cell r="Z2422">
            <v>4.5199999999999996</v>
          </cell>
          <cell r="AA2422">
            <v>0</v>
          </cell>
          <cell r="AB2422">
            <v>0</v>
          </cell>
        </row>
        <row r="2423">
          <cell r="G2423" t="str">
            <v>X481_1</v>
          </cell>
          <cell r="H2423" t="str">
            <v/>
          </cell>
          <cell r="I2423" t="str">
            <v>met</v>
          </cell>
          <cell r="V2423" t="str">
            <v>0</v>
          </cell>
          <cell r="Y2423" t="str">
            <v>Past</v>
          </cell>
          <cell r="Z2423">
            <v>4.5199999999999996</v>
          </cell>
          <cell r="AA2423">
            <v>0</v>
          </cell>
          <cell r="AB2423">
            <v>0</v>
          </cell>
        </row>
        <row r="2424">
          <cell r="G2424" t="str">
            <v>X482_0</v>
          </cell>
          <cell r="H2424" t="str">
            <v/>
          </cell>
          <cell r="I2424" t="str">
            <v>met</v>
          </cell>
          <cell r="V2424" t="str">
            <v>0</v>
          </cell>
          <cell r="Y2424" t="str">
            <v>Pres</v>
          </cell>
          <cell r="Z2424">
            <v>4.8600000000000003</v>
          </cell>
          <cell r="AA2424">
            <v>0</v>
          </cell>
          <cell r="AB2424">
            <v>0</v>
          </cell>
        </row>
        <row r="2425">
          <cell r="G2425" t="str">
            <v>X482_1</v>
          </cell>
          <cell r="H2425" t="str">
            <v/>
          </cell>
          <cell r="I2425" t="str">
            <v>met</v>
          </cell>
          <cell r="V2425" t="str">
            <v>0</v>
          </cell>
          <cell r="Y2425" t="str">
            <v>Past</v>
          </cell>
          <cell r="Z2425">
            <v>4.8600000000000003</v>
          </cell>
          <cell r="AA2425">
            <v>0</v>
          </cell>
          <cell r="AB2425">
            <v>0</v>
          </cell>
        </row>
        <row r="2426">
          <cell r="G2426" t="str">
            <v>X483_0</v>
          </cell>
          <cell r="H2426" t="str">
            <v>as-as</v>
          </cell>
          <cell r="I2426" t="str">
            <v>sim</v>
          </cell>
          <cell r="V2426" t="str">
            <v>not</v>
          </cell>
          <cell r="Y2426" t="str">
            <v>Past</v>
          </cell>
          <cell r="Z2426">
            <v>3.07</v>
          </cell>
          <cell r="AA2426">
            <v>0</v>
          </cell>
          <cell r="AB2426">
            <v>0</v>
          </cell>
        </row>
        <row r="2427">
          <cell r="G2427" t="str">
            <v>X483_1</v>
          </cell>
          <cell r="H2427" t="str">
            <v>as-as</v>
          </cell>
          <cell r="I2427" t="str">
            <v>sim</v>
          </cell>
          <cell r="V2427" t="str">
            <v>not</v>
          </cell>
          <cell r="Y2427" t="str">
            <v>Past</v>
          </cell>
          <cell r="Z2427">
            <v>3.07</v>
          </cell>
          <cell r="AA2427">
            <v>0</v>
          </cell>
          <cell r="AB2427">
            <v>0</v>
          </cell>
        </row>
        <row r="2428">
          <cell r="G2428" t="str">
            <v>X484_0</v>
          </cell>
          <cell r="H2428" t="str">
            <v>the-of</v>
          </cell>
          <cell r="I2428" t="str">
            <v>sim</v>
          </cell>
          <cell r="V2428" t="str">
            <v>not neg pair</v>
          </cell>
          <cell r="Y2428" t="str">
            <v>Past</v>
          </cell>
          <cell r="Z2428">
            <v>3.07</v>
          </cell>
          <cell r="AA2428">
            <v>0</v>
          </cell>
          <cell r="AB2428">
            <v>0</v>
          </cell>
        </row>
        <row r="2429">
          <cell r="G2429" t="str">
            <v>X484_1</v>
          </cell>
          <cell r="H2429" t="str">
            <v>the-of</v>
          </cell>
          <cell r="I2429" t="str">
            <v>sim</v>
          </cell>
          <cell r="V2429" t="str">
            <v>not neg pair</v>
          </cell>
          <cell r="Y2429" t="str">
            <v>Past</v>
          </cell>
          <cell r="Z2429">
            <v>3.07</v>
          </cell>
          <cell r="AA2429">
            <v>0</v>
          </cell>
          <cell r="AB2429">
            <v>0</v>
          </cell>
        </row>
        <row r="2430">
          <cell r="G2430" t="str">
            <v>X485_0</v>
          </cell>
          <cell r="H2430" t="str">
            <v>as-as</v>
          </cell>
          <cell r="I2430" t="str">
            <v>sim</v>
          </cell>
          <cell r="V2430" t="str">
            <v>not neg pair</v>
          </cell>
          <cell r="Y2430" t="str">
            <v>Past</v>
          </cell>
          <cell r="Z2430">
            <v>4.5199999999999996</v>
          </cell>
          <cell r="AA2430">
            <v>0</v>
          </cell>
          <cell r="AB2430">
            <v>0</v>
          </cell>
        </row>
        <row r="2431">
          <cell r="G2431" t="str">
            <v>X485_1</v>
          </cell>
          <cell r="H2431" t="str">
            <v>as-as</v>
          </cell>
          <cell r="I2431" t="str">
            <v>sim</v>
          </cell>
          <cell r="V2431" t="str">
            <v>not neg pair</v>
          </cell>
          <cell r="Y2431" t="str">
            <v>Past</v>
          </cell>
          <cell r="Z2431">
            <v>4.5199999999999996</v>
          </cell>
          <cell r="AA2431">
            <v>0</v>
          </cell>
          <cell r="AB2431">
            <v>0</v>
          </cell>
        </row>
        <row r="2432">
          <cell r="G2432" t="str">
            <v>X486_0</v>
          </cell>
          <cell r="H2432" t="str">
            <v>as-as</v>
          </cell>
          <cell r="I2432" t="str">
            <v>sim</v>
          </cell>
          <cell r="V2432" t="str">
            <v>not neg pair</v>
          </cell>
          <cell r="Y2432" t="str">
            <v>Past</v>
          </cell>
          <cell r="Z2432">
            <v>4.67</v>
          </cell>
          <cell r="AA2432">
            <v>0</v>
          </cell>
          <cell r="AB2432">
            <v>0</v>
          </cell>
        </row>
        <row r="2433">
          <cell r="G2433" t="str">
            <v>X486_1</v>
          </cell>
          <cell r="H2433" t="str">
            <v>as-as</v>
          </cell>
          <cell r="I2433" t="str">
            <v>sim</v>
          </cell>
          <cell r="V2433" t="str">
            <v>not neg pair</v>
          </cell>
          <cell r="Y2433" t="str">
            <v>Pres</v>
          </cell>
          <cell r="Z2433">
            <v>4.67</v>
          </cell>
          <cell r="AA2433">
            <v>0</v>
          </cell>
          <cell r="AB2433">
            <v>0</v>
          </cell>
        </row>
        <row r="2434">
          <cell r="G2434" t="str">
            <v>X487_0</v>
          </cell>
          <cell r="H2434" t="str">
            <v>as</v>
          </cell>
          <cell r="I2434" t="str">
            <v>sim</v>
          </cell>
          <cell r="V2434" t="str">
            <v>not neg pair</v>
          </cell>
          <cell r="Y2434" t="str">
            <v>Pres</v>
          </cell>
          <cell r="Z2434">
            <v>2.1800000000000002</v>
          </cell>
          <cell r="AA2434" t="str">
            <v>L</v>
          </cell>
          <cell r="AB2434">
            <v>0</v>
          </cell>
        </row>
        <row r="2435">
          <cell r="G2435" t="str">
            <v>X487_1</v>
          </cell>
          <cell r="H2435" t="str">
            <v>as</v>
          </cell>
          <cell r="I2435" t="str">
            <v>sim</v>
          </cell>
          <cell r="V2435" t="str">
            <v>not neg pair</v>
          </cell>
          <cell r="Y2435" t="str">
            <v>Pres</v>
          </cell>
          <cell r="Z2435">
            <v>2.1800000000000002</v>
          </cell>
          <cell r="AA2435" t="str">
            <v>L</v>
          </cell>
          <cell r="AB2435">
            <v>0</v>
          </cell>
        </row>
        <row r="2436">
          <cell r="G2436" t="str">
            <v>X488_0</v>
          </cell>
          <cell r="H2436" t="str">
            <v>as-as</v>
          </cell>
          <cell r="I2436" t="str">
            <v>sim</v>
          </cell>
          <cell r="V2436" t="str">
            <v>not</v>
          </cell>
          <cell r="Y2436" t="str">
            <v>Pres</v>
          </cell>
          <cell r="Z2436">
            <v>4.68</v>
          </cell>
          <cell r="AA2436">
            <v>0</v>
          </cell>
          <cell r="AB2436">
            <v>0</v>
          </cell>
        </row>
        <row r="2437">
          <cell r="G2437" t="str">
            <v>X488_1</v>
          </cell>
          <cell r="H2437" t="str">
            <v>as-as</v>
          </cell>
          <cell r="I2437" t="str">
            <v>sim</v>
          </cell>
          <cell r="V2437" t="str">
            <v>not</v>
          </cell>
          <cell r="Y2437" t="str">
            <v>Pres</v>
          </cell>
          <cell r="Z2437">
            <v>4.68</v>
          </cell>
          <cell r="AA2437">
            <v>0</v>
          </cell>
          <cell r="AB2437">
            <v>0</v>
          </cell>
        </row>
        <row r="2438">
          <cell r="G2438" t="str">
            <v>X489_0</v>
          </cell>
          <cell r="H2438" t="str">
            <v>as-as</v>
          </cell>
          <cell r="I2438" t="str">
            <v>sim</v>
          </cell>
          <cell r="V2438" t="str">
            <v>not neg pair</v>
          </cell>
          <cell r="Y2438" t="str">
            <v>Past</v>
          </cell>
          <cell r="Z2438">
            <v>2.81</v>
          </cell>
          <cell r="AA2438">
            <v>0</v>
          </cell>
          <cell r="AB2438">
            <v>0</v>
          </cell>
        </row>
        <row r="2439">
          <cell r="G2439" t="str">
            <v>X489_1</v>
          </cell>
          <cell r="H2439" t="str">
            <v>as-as</v>
          </cell>
          <cell r="I2439" t="str">
            <v>sim</v>
          </cell>
          <cell r="V2439" t="str">
            <v>not neg pair</v>
          </cell>
          <cell r="Y2439" t="str">
            <v>Past</v>
          </cell>
          <cell r="Z2439">
            <v>2.81</v>
          </cell>
          <cell r="AA2439">
            <v>0</v>
          </cell>
          <cell r="AB2439">
            <v>0</v>
          </cell>
        </row>
        <row r="2440">
          <cell r="G2440" t="str">
            <v>X490_0</v>
          </cell>
          <cell r="H2440" t="str">
            <v>as-as</v>
          </cell>
          <cell r="I2440" t="str">
            <v>sim</v>
          </cell>
          <cell r="V2440" t="str">
            <v>not neg pair</v>
          </cell>
          <cell r="Y2440" t="str">
            <v>Past</v>
          </cell>
          <cell r="Z2440">
            <v>2.81</v>
          </cell>
          <cell r="AA2440">
            <v>0</v>
          </cell>
          <cell r="AB2440">
            <v>0</v>
          </cell>
        </row>
        <row r="2441">
          <cell r="G2441" t="str">
            <v>X490_1</v>
          </cell>
          <cell r="H2441" t="str">
            <v>as-as</v>
          </cell>
          <cell r="I2441" t="str">
            <v>sim</v>
          </cell>
          <cell r="V2441" t="str">
            <v>not neg pair</v>
          </cell>
          <cell r="Y2441" t="str">
            <v>Past</v>
          </cell>
          <cell r="Z2441">
            <v>2.81</v>
          </cell>
          <cell r="AA2441">
            <v>0</v>
          </cell>
          <cell r="AB2441">
            <v>0</v>
          </cell>
        </row>
        <row r="2442">
          <cell r="G2442" t="str">
            <v>X491_0</v>
          </cell>
          <cell r="H2442" t="str">
            <v>as-as</v>
          </cell>
          <cell r="I2442" t="str">
            <v>sim</v>
          </cell>
          <cell r="V2442" t="str">
            <v>not neg pair</v>
          </cell>
          <cell r="Y2442" t="str">
            <v>Past</v>
          </cell>
          <cell r="Z2442">
            <v>2.81</v>
          </cell>
          <cell r="AA2442">
            <v>0</v>
          </cell>
          <cell r="AB2442">
            <v>0</v>
          </cell>
        </row>
        <row r="2443">
          <cell r="G2443" t="str">
            <v>X491_1</v>
          </cell>
          <cell r="H2443" t="str">
            <v>as-as</v>
          </cell>
          <cell r="I2443" t="str">
            <v>sim</v>
          </cell>
          <cell r="V2443" t="str">
            <v>not neg pair</v>
          </cell>
          <cell r="Y2443" t="str">
            <v>Past</v>
          </cell>
          <cell r="Z2443">
            <v>2.81</v>
          </cell>
          <cell r="AA2443">
            <v>0</v>
          </cell>
          <cell r="AB2443">
            <v>0</v>
          </cell>
        </row>
        <row r="2444">
          <cell r="G2444" t="str">
            <v>X492_0</v>
          </cell>
          <cell r="H2444" t="str">
            <v/>
          </cell>
          <cell r="I2444" t="str">
            <v>met</v>
          </cell>
          <cell r="V2444" t="str">
            <v>0</v>
          </cell>
          <cell r="Y2444" t="str">
            <v>Pres</v>
          </cell>
          <cell r="Z2444">
            <v>4.5199999999999996</v>
          </cell>
          <cell r="AA2444">
            <v>0</v>
          </cell>
          <cell r="AB2444">
            <v>0</v>
          </cell>
        </row>
        <row r="2445">
          <cell r="G2445" t="str">
            <v>X492_1</v>
          </cell>
          <cell r="H2445" t="str">
            <v/>
          </cell>
          <cell r="I2445" t="str">
            <v>met</v>
          </cell>
          <cell r="V2445" t="str">
            <v>0</v>
          </cell>
          <cell r="Y2445" t="str">
            <v>Pres</v>
          </cell>
          <cell r="Z2445">
            <v>4.5199999999999996</v>
          </cell>
          <cell r="AA2445">
            <v>0</v>
          </cell>
          <cell r="AB2445">
            <v>0</v>
          </cell>
        </row>
        <row r="2446">
          <cell r="G2446" t="str">
            <v>X493_0</v>
          </cell>
          <cell r="H2446" t="str">
            <v/>
          </cell>
          <cell r="I2446" t="str">
            <v>met</v>
          </cell>
          <cell r="V2446" t="str">
            <v>0</v>
          </cell>
          <cell r="Y2446" t="str">
            <v>Past</v>
          </cell>
          <cell r="Z2446">
            <v>3.07</v>
          </cell>
          <cell r="AA2446">
            <v>0</v>
          </cell>
          <cell r="AB2446">
            <v>0</v>
          </cell>
        </row>
        <row r="2447">
          <cell r="G2447" t="str">
            <v>X493_1</v>
          </cell>
          <cell r="H2447" t="str">
            <v/>
          </cell>
          <cell r="I2447" t="str">
            <v>met</v>
          </cell>
          <cell r="V2447" t="str">
            <v>0</v>
          </cell>
          <cell r="Y2447" t="str">
            <v>Past</v>
          </cell>
          <cell r="Z2447">
            <v>3.07</v>
          </cell>
          <cell r="AA2447">
            <v>0</v>
          </cell>
          <cell r="AB2447">
            <v>0</v>
          </cell>
        </row>
        <row r="2448">
          <cell r="G2448" t="str">
            <v>X494_0</v>
          </cell>
          <cell r="H2448" t="str">
            <v/>
          </cell>
          <cell r="I2448" t="str">
            <v>met</v>
          </cell>
          <cell r="V2448" t="str">
            <v>0</v>
          </cell>
          <cell r="Y2448" t="str">
            <v>Past</v>
          </cell>
          <cell r="Z2448">
            <v>4.62</v>
          </cell>
          <cell r="AA2448">
            <v>0</v>
          </cell>
          <cell r="AB2448">
            <v>0</v>
          </cell>
        </row>
        <row r="2449">
          <cell r="G2449" t="str">
            <v>X494_1</v>
          </cell>
          <cell r="H2449" t="str">
            <v>the-of</v>
          </cell>
          <cell r="I2449" t="str">
            <v>sim</v>
          </cell>
          <cell r="V2449" t="str">
            <v>0</v>
          </cell>
          <cell r="Y2449" t="str">
            <v>Past</v>
          </cell>
          <cell r="Z2449">
            <v>4.62</v>
          </cell>
          <cell r="AA2449">
            <v>0</v>
          </cell>
          <cell r="AB2449">
            <v>0</v>
          </cell>
        </row>
        <row r="2450">
          <cell r="G2450" t="str">
            <v>X495_0</v>
          </cell>
          <cell r="H2450" t="str">
            <v/>
          </cell>
          <cell r="I2450" t="str">
            <v>met</v>
          </cell>
          <cell r="V2450" t="str">
            <v>0</v>
          </cell>
          <cell r="Y2450" t="str">
            <v>Pres</v>
          </cell>
          <cell r="Z2450">
            <v>4.8099999999999996</v>
          </cell>
          <cell r="AA2450">
            <v>0</v>
          </cell>
          <cell r="AB2450">
            <v>0</v>
          </cell>
        </row>
        <row r="2451">
          <cell r="G2451" t="str">
            <v>X495_1</v>
          </cell>
          <cell r="H2451" t="str">
            <v/>
          </cell>
          <cell r="I2451" t="str">
            <v>met</v>
          </cell>
          <cell r="V2451" t="str">
            <v>0</v>
          </cell>
          <cell r="Y2451" t="str">
            <v>Pres</v>
          </cell>
          <cell r="Z2451">
            <v>4.8099999999999996</v>
          </cell>
          <cell r="AA2451">
            <v>0</v>
          </cell>
          <cell r="AB2451">
            <v>0</v>
          </cell>
        </row>
        <row r="2452">
          <cell r="G2452" t="str">
            <v>X496_0</v>
          </cell>
          <cell r="H2452" t="str">
            <v/>
          </cell>
          <cell r="I2452" t="str">
            <v>met</v>
          </cell>
          <cell r="V2452" t="str">
            <v>0</v>
          </cell>
          <cell r="Y2452" t="str">
            <v>Pres</v>
          </cell>
          <cell r="Z2452">
            <v>1.67</v>
          </cell>
          <cell r="AA2452" t="str">
            <v>L</v>
          </cell>
          <cell r="AB2452">
            <v>0</v>
          </cell>
        </row>
        <row r="2453">
          <cell r="G2453" t="str">
            <v>X496_1</v>
          </cell>
          <cell r="H2453" t="str">
            <v/>
          </cell>
          <cell r="I2453" t="str">
            <v>met</v>
          </cell>
          <cell r="V2453" t="str">
            <v>0</v>
          </cell>
          <cell r="Y2453" t="str">
            <v>Pres</v>
          </cell>
          <cell r="Z2453">
            <v>1.67</v>
          </cell>
          <cell r="AA2453" t="str">
            <v>L</v>
          </cell>
          <cell r="AB2453">
            <v>0</v>
          </cell>
        </row>
        <row r="2454">
          <cell r="G2454" t="str">
            <v>X497_0</v>
          </cell>
          <cell r="H2454" t="str">
            <v>the-of</v>
          </cell>
          <cell r="I2454" t="str">
            <v>sim</v>
          </cell>
          <cell r="V2454" t="str">
            <v>not</v>
          </cell>
          <cell r="Y2454" t="str">
            <v>Pres</v>
          </cell>
          <cell r="Z2454">
            <v>3.15</v>
          </cell>
          <cell r="AA2454">
            <v>0</v>
          </cell>
          <cell r="AB2454">
            <v>0</v>
          </cell>
        </row>
        <row r="2455">
          <cell r="G2455" t="str">
            <v>X497_1</v>
          </cell>
          <cell r="H2455" t="str">
            <v>the-of</v>
          </cell>
          <cell r="I2455" t="str">
            <v>sim</v>
          </cell>
          <cell r="V2455" t="str">
            <v>not</v>
          </cell>
          <cell r="Y2455" t="str">
            <v>Pres</v>
          </cell>
          <cell r="Z2455">
            <v>4.4400000000000004</v>
          </cell>
          <cell r="AA2455">
            <v>0</v>
          </cell>
          <cell r="AB2455">
            <v>0</v>
          </cell>
        </row>
        <row r="2456">
          <cell r="G2456" t="str">
            <v>X498_0</v>
          </cell>
          <cell r="H2456" t="str">
            <v>like</v>
          </cell>
          <cell r="I2456" t="str">
            <v>sim</v>
          </cell>
          <cell r="V2456" t="str">
            <v>not</v>
          </cell>
          <cell r="Y2456">
            <v>0</v>
          </cell>
          <cell r="Z2456">
            <v>1.7</v>
          </cell>
          <cell r="AA2456" t="str">
            <v>L</v>
          </cell>
          <cell r="AB2456">
            <v>0</v>
          </cell>
        </row>
        <row r="2457">
          <cell r="G2457" t="str">
            <v>X498_1</v>
          </cell>
          <cell r="H2457" t="str">
            <v>like</v>
          </cell>
          <cell r="I2457" t="str">
            <v>sim</v>
          </cell>
          <cell r="V2457" t="str">
            <v>not</v>
          </cell>
          <cell r="Y2457" t="str">
            <v>Pres</v>
          </cell>
          <cell r="Z2457">
            <v>3.08</v>
          </cell>
          <cell r="AA2457">
            <v>0</v>
          </cell>
          <cell r="AB2457">
            <v>0</v>
          </cell>
        </row>
        <row r="2458">
          <cell r="G2458" t="str">
            <v>X499_0</v>
          </cell>
          <cell r="H2458" t="str">
            <v>like</v>
          </cell>
          <cell r="I2458" t="str">
            <v>sim</v>
          </cell>
          <cell r="V2458" t="str">
            <v>not neg pair</v>
          </cell>
          <cell r="Y2458" t="str">
            <v>Past</v>
          </cell>
          <cell r="Z2458">
            <v>0</v>
          </cell>
          <cell r="AA2458">
            <v>0</v>
          </cell>
          <cell r="AB2458">
            <v>0</v>
          </cell>
        </row>
        <row r="2459">
          <cell r="G2459" t="str">
            <v>X499_1</v>
          </cell>
          <cell r="H2459" t="str">
            <v>like</v>
          </cell>
          <cell r="I2459" t="str">
            <v>sim</v>
          </cell>
          <cell r="V2459" t="str">
            <v>not neg pair</v>
          </cell>
          <cell r="Y2459">
            <v>0</v>
          </cell>
          <cell r="Z2459">
            <v>3.08</v>
          </cell>
          <cell r="AA2459">
            <v>0</v>
          </cell>
          <cell r="AB2459">
            <v>0</v>
          </cell>
        </row>
        <row r="2460">
          <cell r="G2460" t="str">
            <v>X500_0</v>
          </cell>
          <cell r="H2460" t="str">
            <v>like</v>
          </cell>
          <cell r="I2460" t="str">
            <v>sim</v>
          </cell>
          <cell r="V2460" t="str">
            <v>not neg pair</v>
          </cell>
          <cell r="Y2460" t="str">
            <v>Pres</v>
          </cell>
          <cell r="Z2460">
            <v>2.81</v>
          </cell>
          <cell r="AA2460">
            <v>0</v>
          </cell>
          <cell r="AB2460">
            <v>0</v>
          </cell>
        </row>
        <row r="2461">
          <cell r="G2461" t="str">
            <v>X500_1</v>
          </cell>
          <cell r="H2461" t="str">
            <v>like</v>
          </cell>
          <cell r="I2461" t="str">
            <v>sim</v>
          </cell>
          <cell r="V2461" t="str">
            <v>not neg pair</v>
          </cell>
          <cell r="Y2461" t="str">
            <v>Pres</v>
          </cell>
          <cell r="Z2461">
            <v>2.0699999999999998</v>
          </cell>
          <cell r="AA2461" t="str">
            <v>L</v>
          </cell>
          <cell r="AB2461">
            <v>0</v>
          </cell>
        </row>
        <row r="2462">
          <cell r="G2462" t="str">
            <v>X501_0</v>
          </cell>
          <cell r="H2462" t="str">
            <v>as-as</v>
          </cell>
          <cell r="I2462" t="str">
            <v>sim</v>
          </cell>
          <cell r="V2462" t="str">
            <v>not</v>
          </cell>
          <cell r="Y2462" t="str">
            <v>Pres</v>
          </cell>
          <cell r="Z2462">
            <v>3.93</v>
          </cell>
          <cell r="AA2462">
            <v>0</v>
          </cell>
          <cell r="AB2462">
            <v>0</v>
          </cell>
        </row>
        <row r="2463">
          <cell r="G2463" t="str">
            <v>X501_1</v>
          </cell>
          <cell r="H2463" t="str">
            <v>as-as</v>
          </cell>
          <cell r="I2463" t="str">
            <v>sim</v>
          </cell>
          <cell r="V2463" t="str">
            <v>not</v>
          </cell>
          <cell r="Y2463" t="str">
            <v>Past</v>
          </cell>
          <cell r="Z2463">
            <v>3.93</v>
          </cell>
          <cell r="AA2463">
            <v>0</v>
          </cell>
          <cell r="AB2463">
            <v>0</v>
          </cell>
        </row>
        <row r="2464">
          <cell r="G2464" t="str">
            <v>X502_0</v>
          </cell>
          <cell r="H2464" t="str">
            <v>as-as</v>
          </cell>
          <cell r="I2464" t="str">
            <v>sim</v>
          </cell>
          <cell r="V2464" t="str">
            <v>not neg pair</v>
          </cell>
          <cell r="Y2464" t="str">
            <v>Past</v>
          </cell>
          <cell r="Z2464">
            <v>3.07</v>
          </cell>
          <cell r="AA2464">
            <v>0</v>
          </cell>
          <cell r="AB2464">
            <v>0</v>
          </cell>
        </row>
        <row r="2465">
          <cell r="G2465" t="str">
            <v>X502_1</v>
          </cell>
          <cell r="H2465" t="str">
            <v>as-as</v>
          </cell>
          <cell r="I2465" t="str">
            <v>sim</v>
          </cell>
          <cell r="V2465" t="str">
            <v>not neg pair</v>
          </cell>
          <cell r="Y2465" t="str">
            <v>Past</v>
          </cell>
          <cell r="Z2465">
            <v>3.07</v>
          </cell>
          <cell r="AA2465">
            <v>0</v>
          </cell>
          <cell r="AB2465">
            <v>0</v>
          </cell>
        </row>
        <row r="2466">
          <cell r="G2466" t="str">
            <v>X503_0</v>
          </cell>
          <cell r="H2466" t="str">
            <v>as-as</v>
          </cell>
          <cell r="I2466" t="str">
            <v>sim</v>
          </cell>
          <cell r="V2466" t="str">
            <v>not</v>
          </cell>
          <cell r="Y2466" t="str">
            <v>Pres</v>
          </cell>
          <cell r="Z2466">
            <v>2.94</v>
          </cell>
          <cell r="AA2466">
            <v>0</v>
          </cell>
          <cell r="AB2466">
            <v>0</v>
          </cell>
        </row>
        <row r="2467">
          <cell r="G2467" t="str">
            <v>X503_1</v>
          </cell>
          <cell r="H2467" t="str">
            <v>as-as</v>
          </cell>
          <cell r="I2467" t="str">
            <v>sim</v>
          </cell>
          <cell r="V2467" t="str">
            <v>not</v>
          </cell>
          <cell r="Y2467" t="str">
            <v>Pres</v>
          </cell>
          <cell r="Z2467">
            <v>2.94</v>
          </cell>
          <cell r="AA2467">
            <v>0</v>
          </cell>
          <cell r="AB2467">
            <v>0</v>
          </cell>
        </row>
        <row r="2468">
          <cell r="G2468" t="str">
            <v>X504_0</v>
          </cell>
          <cell r="H2468" t="str">
            <v>like</v>
          </cell>
          <cell r="I2468" t="str">
            <v>sim</v>
          </cell>
          <cell r="V2468" t="str">
            <v>not neg pair</v>
          </cell>
          <cell r="Y2468" t="str">
            <v>Past</v>
          </cell>
          <cell r="Z2468">
            <v>3.41</v>
          </cell>
          <cell r="AA2468">
            <v>0</v>
          </cell>
          <cell r="AB2468">
            <v>0</v>
          </cell>
        </row>
        <row r="2469">
          <cell r="G2469" t="str">
            <v>X504_1</v>
          </cell>
          <cell r="H2469" t="str">
            <v>like</v>
          </cell>
          <cell r="I2469" t="str">
            <v>sim</v>
          </cell>
          <cell r="V2469" t="str">
            <v>not neg pair</v>
          </cell>
          <cell r="Y2469" t="str">
            <v>Past</v>
          </cell>
          <cell r="Z2469">
            <v>3.41</v>
          </cell>
          <cell r="AA2469">
            <v>0</v>
          </cell>
          <cell r="AB2469">
            <v>0</v>
          </cell>
        </row>
        <row r="2470">
          <cell r="G2470" t="str">
            <v>X505_0</v>
          </cell>
          <cell r="H2470" t="str">
            <v>like</v>
          </cell>
          <cell r="I2470" t="str">
            <v>sim</v>
          </cell>
          <cell r="V2470" t="str">
            <v>0</v>
          </cell>
          <cell r="Y2470">
            <v>0</v>
          </cell>
          <cell r="Z2470">
            <v>3.93</v>
          </cell>
          <cell r="AA2470">
            <v>0</v>
          </cell>
          <cell r="AB2470">
            <v>0</v>
          </cell>
        </row>
        <row r="2471">
          <cell r="G2471" t="str">
            <v>X505_1</v>
          </cell>
          <cell r="H2471" t="str">
            <v/>
          </cell>
          <cell r="I2471" t="str">
            <v>met</v>
          </cell>
          <cell r="V2471" t="str">
            <v>0</v>
          </cell>
          <cell r="Y2471">
            <v>0</v>
          </cell>
          <cell r="Z2471">
            <v>3.93</v>
          </cell>
          <cell r="AA2471">
            <v>0</v>
          </cell>
          <cell r="AB2471">
            <v>0</v>
          </cell>
        </row>
        <row r="2472">
          <cell r="G2472" t="str">
            <v>X506_0</v>
          </cell>
          <cell r="H2472" t="str">
            <v>like</v>
          </cell>
          <cell r="I2472" t="str">
            <v>sim</v>
          </cell>
          <cell r="V2472" t="str">
            <v>not neg pair</v>
          </cell>
          <cell r="Y2472" t="str">
            <v>Past</v>
          </cell>
          <cell r="Z2472">
            <v>3.37</v>
          </cell>
          <cell r="AA2472">
            <v>0</v>
          </cell>
          <cell r="AB2472">
            <v>0</v>
          </cell>
        </row>
        <row r="2473">
          <cell r="G2473" t="str">
            <v>X506_1</v>
          </cell>
          <cell r="H2473" t="str">
            <v>like</v>
          </cell>
          <cell r="I2473" t="str">
            <v>sim</v>
          </cell>
          <cell r="V2473" t="str">
            <v>not neg pair</v>
          </cell>
          <cell r="Y2473" t="str">
            <v>Past</v>
          </cell>
          <cell r="Z2473">
            <v>3.37</v>
          </cell>
          <cell r="AA2473">
            <v>0</v>
          </cell>
          <cell r="AB2473">
            <v>0</v>
          </cell>
        </row>
        <row r="2474">
          <cell r="G2474" t="str">
            <v>X507_0</v>
          </cell>
          <cell r="H2474" t="str">
            <v>like</v>
          </cell>
          <cell r="I2474" t="str">
            <v>sim</v>
          </cell>
          <cell r="V2474" t="str">
            <v>not</v>
          </cell>
          <cell r="Y2474" t="str">
            <v>Past</v>
          </cell>
          <cell r="Z2474">
            <v>2.81</v>
          </cell>
          <cell r="AA2474">
            <v>0</v>
          </cell>
          <cell r="AB2474">
            <v>0</v>
          </cell>
        </row>
        <row r="2475">
          <cell r="G2475" t="str">
            <v>X507_1</v>
          </cell>
          <cell r="H2475" t="str">
            <v>like</v>
          </cell>
          <cell r="I2475" t="str">
            <v>sim</v>
          </cell>
          <cell r="V2475" t="str">
            <v>not</v>
          </cell>
          <cell r="Y2475" t="str">
            <v>Past</v>
          </cell>
          <cell r="Z2475">
            <v>2.81</v>
          </cell>
          <cell r="AA2475">
            <v>0</v>
          </cell>
          <cell r="AB2475">
            <v>0</v>
          </cell>
        </row>
        <row r="2476">
          <cell r="G2476" t="str">
            <v>X508_0</v>
          </cell>
          <cell r="H2476" t="str">
            <v>as-as</v>
          </cell>
          <cell r="I2476" t="str">
            <v>sim</v>
          </cell>
          <cell r="V2476" t="str">
            <v>not</v>
          </cell>
          <cell r="Y2476" t="str">
            <v>Past</v>
          </cell>
          <cell r="Z2476">
            <v>3.25</v>
          </cell>
          <cell r="AA2476">
            <v>0</v>
          </cell>
          <cell r="AB2476">
            <v>0</v>
          </cell>
        </row>
        <row r="2477">
          <cell r="G2477" t="str">
            <v>X508_1</v>
          </cell>
          <cell r="H2477" t="str">
            <v>as-as</v>
          </cell>
          <cell r="I2477" t="str">
            <v>sim</v>
          </cell>
          <cell r="V2477" t="str">
            <v>not</v>
          </cell>
          <cell r="Y2477" t="str">
            <v>Past</v>
          </cell>
          <cell r="Z2477">
            <v>3.07</v>
          </cell>
          <cell r="AA2477">
            <v>0</v>
          </cell>
          <cell r="AB2477">
            <v>0</v>
          </cell>
        </row>
        <row r="2478">
          <cell r="G2478" t="str">
            <v>X509_0</v>
          </cell>
          <cell r="H2478" t="str">
            <v>as-as</v>
          </cell>
          <cell r="I2478" t="str">
            <v>sim</v>
          </cell>
          <cell r="V2478" t="str">
            <v>not</v>
          </cell>
          <cell r="Y2478" t="str">
            <v>Pres</v>
          </cell>
          <cell r="Z2478">
            <v>1.54</v>
          </cell>
          <cell r="AA2478" t="str">
            <v>L</v>
          </cell>
          <cell r="AB2478">
            <v>0</v>
          </cell>
        </row>
        <row r="2479">
          <cell r="G2479" t="str">
            <v>X509_1</v>
          </cell>
          <cell r="H2479" t="str">
            <v>as-as</v>
          </cell>
          <cell r="I2479" t="str">
            <v>sim</v>
          </cell>
          <cell r="V2479" t="str">
            <v>not</v>
          </cell>
          <cell r="Y2479" t="str">
            <v>Pres</v>
          </cell>
          <cell r="Z2479">
            <v>1.54</v>
          </cell>
          <cell r="AA2479" t="str">
            <v>L</v>
          </cell>
          <cell r="AB2479">
            <v>0</v>
          </cell>
        </row>
        <row r="2480">
          <cell r="G2480" t="str">
            <v>X510_0</v>
          </cell>
          <cell r="H2480" t="str">
            <v>as-as</v>
          </cell>
          <cell r="I2480" t="str">
            <v>sim</v>
          </cell>
          <cell r="V2480" t="str">
            <v>not</v>
          </cell>
          <cell r="Y2480" t="str">
            <v>Pres</v>
          </cell>
          <cell r="Z2480">
            <v>3.93</v>
          </cell>
          <cell r="AA2480">
            <v>0</v>
          </cell>
          <cell r="AB2480">
            <v>0</v>
          </cell>
        </row>
        <row r="2481">
          <cell r="G2481" t="str">
            <v>X510_1</v>
          </cell>
          <cell r="H2481" t="str">
            <v>as-as</v>
          </cell>
          <cell r="I2481" t="str">
            <v>sim</v>
          </cell>
          <cell r="V2481" t="str">
            <v>not</v>
          </cell>
          <cell r="Y2481" t="str">
            <v>Pres</v>
          </cell>
          <cell r="Z2481">
            <v>3.93</v>
          </cell>
          <cell r="AA2481">
            <v>0</v>
          </cell>
          <cell r="AB2481">
            <v>0</v>
          </cell>
        </row>
        <row r="2482">
          <cell r="G2482" t="str">
            <v>X511_0</v>
          </cell>
          <cell r="H2482" t="str">
            <v/>
          </cell>
          <cell r="I2482" t="str">
            <v>met</v>
          </cell>
          <cell r="V2482" t="str">
            <v>0</v>
          </cell>
          <cell r="Y2482" t="str">
            <v>Pres</v>
          </cell>
          <cell r="Z2482">
            <v>4.96</v>
          </cell>
          <cell r="AA2482" t="str">
            <v>H</v>
          </cell>
          <cell r="AB2482">
            <v>0</v>
          </cell>
        </row>
        <row r="2483">
          <cell r="G2483" t="str">
            <v>X511_1</v>
          </cell>
          <cell r="H2483" t="str">
            <v/>
          </cell>
          <cell r="I2483" t="str">
            <v>met</v>
          </cell>
          <cell r="V2483" t="str">
            <v>0</v>
          </cell>
          <cell r="Y2483" t="str">
            <v>Pres</v>
          </cell>
          <cell r="Z2483">
            <v>4.96</v>
          </cell>
          <cell r="AA2483" t="str">
            <v>H</v>
          </cell>
          <cell r="AB2483">
            <v>0</v>
          </cell>
        </row>
        <row r="2484">
          <cell r="G2484" t="str">
            <v>X512_0</v>
          </cell>
          <cell r="H2484" t="str">
            <v/>
          </cell>
          <cell r="I2484" t="str">
            <v>met</v>
          </cell>
          <cell r="V2484" t="str">
            <v>0</v>
          </cell>
          <cell r="Y2484" t="str">
            <v>Pres</v>
          </cell>
          <cell r="Z2484">
            <v>4.97</v>
          </cell>
          <cell r="AA2484" t="str">
            <v>H</v>
          </cell>
          <cell r="AB2484">
            <v>0</v>
          </cell>
        </row>
        <row r="2485">
          <cell r="G2485" t="str">
            <v>X512_1</v>
          </cell>
          <cell r="H2485" t="str">
            <v/>
          </cell>
          <cell r="I2485" t="str">
            <v>met</v>
          </cell>
          <cell r="V2485" t="str">
            <v>0</v>
          </cell>
          <cell r="Y2485" t="str">
            <v>Pres</v>
          </cell>
          <cell r="Z2485">
            <v>3.61</v>
          </cell>
          <cell r="AA2485">
            <v>0</v>
          </cell>
          <cell r="AB2485">
            <v>0</v>
          </cell>
        </row>
        <row r="2486">
          <cell r="G2486" t="str">
            <v>X513_0</v>
          </cell>
          <cell r="H2486" t="str">
            <v/>
          </cell>
          <cell r="I2486" t="str">
            <v>met</v>
          </cell>
          <cell r="V2486" t="str">
            <v>0</v>
          </cell>
          <cell r="Y2486" t="str">
            <v>Pres</v>
          </cell>
          <cell r="Z2486">
            <v>4.8600000000000003</v>
          </cell>
          <cell r="AA2486">
            <v>0</v>
          </cell>
          <cell r="AB2486">
            <v>0</v>
          </cell>
        </row>
        <row r="2487">
          <cell r="G2487" t="str">
            <v>X513_1</v>
          </cell>
          <cell r="H2487" t="str">
            <v/>
          </cell>
          <cell r="I2487" t="str">
            <v>met</v>
          </cell>
          <cell r="V2487" t="str">
            <v>0</v>
          </cell>
          <cell r="Y2487" t="str">
            <v>Pres</v>
          </cell>
          <cell r="Z2487">
            <v>4.8600000000000003</v>
          </cell>
          <cell r="AA2487">
            <v>0</v>
          </cell>
          <cell r="AB2487">
            <v>0</v>
          </cell>
        </row>
        <row r="2488">
          <cell r="G2488" t="str">
            <v>X514_0</v>
          </cell>
          <cell r="H2488" t="str">
            <v>as-as</v>
          </cell>
          <cell r="I2488" t="str">
            <v>sim</v>
          </cell>
          <cell r="V2488" t="str">
            <v>not neg pair</v>
          </cell>
          <cell r="Y2488" t="str">
            <v>Pres</v>
          </cell>
          <cell r="Z2488">
            <v>3.83</v>
          </cell>
          <cell r="AA2488">
            <v>0</v>
          </cell>
          <cell r="AB2488">
            <v>0</v>
          </cell>
        </row>
        <row r="2489">
          <cell r="G2489" t="str">
            <v>X514_1</v>
          </cell>
          <cell r="H2489" t="str">
            <v>as-as</v>
          </cell>
          <cell r="I2489" t="str">
            <v>sim</v>
          </cell>
          <cell r="V2489" t="str">
            <v>not neg pair</v>
          </cell>
          <cell r="Y2489" t="str">
            <v>Pres</v>
          </cell>
          <cell r="Z2489">
            <v>3.83</v>
          </cell>
          <cell r="AA2489">
            <v>0</v>
          </cell>
          <cell r="AB2489">
            <v>0</v>
          </cell>
        </row>
        <row r="2490">
          <cell r="G2490" t="str">
            <v>X515_0</v>
          </cell>
          <cell r="H2490" t="str">
            <v>as-as</v>
          </cell>
          <cell r="I2490" t="str">
            <v>sim</v>
          </cell>
          <cell r="V2490" t="str">
            <v>not neg pair</v>
          </cell>
          <cell r="Y2490" t="str">
            <v>Pres</v>
          </cell>
          <cell r="Z2490">
            <v>4.1100000000000003</v>
          </cell>
          <cell r="AA2490">
            <v>0</v>
          </cell>
          <cell r="AB2490">
            <v>0</v>
          </cell>
        </row>
        <row r="2491">
          <cell r="G2491" t="str">
            <v>X515_1</v>
          </cell>
          <cell r="H2491" t="str">
            <v>as-as</v>
          </cell>
          <cell r="I2491" t="str">
            <v>sim</v>
          </cell>
          <cell r="V2491" t="str">
            <v>not neg pair</v>
          </cell>
          <cell r="Y2491" t="str">
            <v>Pres</v>
          </cell>
          <cell r="Z2491">
            <v>4.1100000000000003</v>
          </cell>
          <cell r="AA2491">
            <v>0</v>
          </cell>
          <cell r="AB2491">
            <v>0</v>
          </cell>
        </row>
        <row r="2492">
          <cell r="G2492" t="str">
            <v>X516_0</v>
          </cell>
          <cell r="H2492" t="str">
            <v>the-of</v>
          </cell>
          <cell r="I2492" t="str">
            <v>sim</v>
          </cell>
          <cell r="V2492" t="str">
            <v>not neg pair</v>
          </cell>
          <cell r="Y2492" t="str">
            <v>Past</v>
          </cell>
          <cell r="Z2492">
            <v>4.8600000000000003</v>
          </cell>
          <cell r="AA2492">
            <v>0</v>
          </cell>
          <cell r="AB2492">
            <v>0</v>
          </cell>
        </row>
        <row r="2493">
          <cell r="G2493" t="str">
            <v>X516_1</v>
          </cell>
          <cell r="H2493" t="str">
            <v>the-of</v>
          </cell>
          <cell r="I2493" t="str">
            <v>sim</v>
          </cell>
          <cell r="V2493" t="str">
            <v>not neg pair</v>
          </cell>
          <cell r="Y2493" t="str">
            <v>Pres</v>
          </cell>
          <cell r="Z2493">
            <v>4.8600000000000003</v>
          </cell>
          <cell r="AA2493">
            <v>0</v>
          </cell>
          <cell r="AB2493">
            <v>0</v>
          </cell>
        </row>
        <row r="2494">
          <cell r="G2494" t="str">
            <v>X517_0</v>
          </cell>
          <cell r="H2494" t="str">
            <v>like</v>
          </cell>
          <cell r="I2494" t="str">
            <v>sim</v>
          </cell>
          <cell r="V2494" t="str">
            <v>0</v>
          </cell>
          <cell r="Y2494" t="str">
            <v>Pres</v>
          </cell>
          <cell r="Z2494">
            <v>1.93</v>
          </cell>
          <cell r="AA2494" t="str">
            <v>L</v>
          </cell>
          <cell r="AB2494">
            <v>0</v>
          </cell>
        </row>
        <row r="2495">
          <cell r="G2495" t="str">
            <v>X517_1</v>
          </cell>
          <cell r="H2495" t="str">
            <v/>
          </cell>
          <cell r="I2495" t="str">
            <v>met</v>
          </cell>
          <cell r="V2495" t="str">
            <v>0</v>
          </cell>
          <cell r="Y2495" t="str">
            <v>Pres</v>
          </cell>
          <cell r="Z2495">
            <v>1.93</v>
          </cell>
          <cell r="AA2495" t="str">
            <v>L</v>
          </cell>
          <cell r="AB2495">
            <v>0</v>
          </cell>
        </row>
        <row r="2496">
          <cell r="G2496" t="str">
            <v>X518_0</v>
          </cell>
          <cell r="H2496" t="str">
            <v>like</v>
          </cell>
          <cell r="I2496" t="str">
            <v>sim</v>
          </cell>
          <cell r="V2496" t="str">
            <v>not neg pair</v>
          </cell>
          <cell r="Y2496" t="str">
            <v>Pres</v>
          </cell>
          <cell r="Z2496">
            <v>5</v>
          </cell>
          <cell r="AA2496" t="str">
            <v>H</v>
          </cell>
          <cell r="AB2496">
            <v>0</v>
          </cell>
        </row>
        <row r="2497">
          <cell r="G2497" t="str">
            <v>X518_1</v>
          </cell>
          <cell r="H2497" t="str">
            <v>like</v>
          </cell>
          <cell r="I2497" t="str">
            <v>sim</v>
          </cell>
          <cell r="V2497" t="str">
            <v>not neg pair</v>
          </cell>
          <cell r="Y2497" t="str">
            <v>Pres</v>
          </cell>
          <cell r="Z2497">
            <v>5</v>
          </cell>
          <cell r="AA2497" t="str">
            <v>H</v>
          </cell>
          <cell r="AB2497">
            <v>0</v>
          </cell>
        </row>
        <row r="2498">
          <cell r="G2498" t="str">
            <v>X519_0</v>
          </cell>
          <cell r="H2498" t="str">
            <v>like</v>
          </cell>
          <cell r="I2498" t="str">
            <v>sim</v>
          </cell>
          <cell r="V2498" t="str">
            <v>not neg pair</v>
          </cell>
          <cell r="Y2498" t="str">
            <v>Past</v>
          </cell>
          <cell r="Z2498">
            <v>3.9</v>
          </cell>
          <cell r="AA2498">
            <v>0</v>
          </cell>
          <cell r="AB2498">
            <v>0</v>
          </cell>
        </row>
        <row r="2499">
          <cell r="G2499" t="str">
            <v>X519_1</v>
          </cell>
          <cell r="H2499" t="str">
            <v>like</v>
          </cell>
          <cell r="I2499" t="str">
            <v>sim</v>
          </cell>
          <cell r="V2499" t="str">
            <v>not neg pair</v>
          </cell>
          <cell r="Y2499" t="str">
            <v>Past</v>
          </cell>
          <cell r="Z2499">
            <v>3.9</v>
          </cell>
          <cell r="AA2499">
            <v>0</v>
          </cell>
          <cell r="AB2499">
            <v>0</v>
          </cell>
        </row>
        <row r="2500">
          <cell r="G2500" t="str">
            <v>X520_0</v>
          </cell>
          <cell r="H2500" t="str">
            <v>as-as</v>
          </cell>
          <cell r="I2500" t="str">
            <v>sim</v>
          </cell>
          <cell r="V2500" t="str">
            <v>antonym</v>
          </cell>
          <cell r="Y2500" t="str">
            <v>Past</v>
          </cell>
          <cell r="Z2500">
            <v>4.8499999999999996</v>
          </cell>
          <cell r="AA2500">
            <v>0</v>
          </cell>
          <cell r="AB2500">
            <v>0</v>
          </cell>
        </row>
        <row r="2501">
          <cell r="G2501" t="str">
            <v>X520_1</v>
          </cell>
          <cell r="H2501" t="str">
            <v>as-as</v>
          </cell>
          <cell r="I2501" t="str">
            <v>sim</v>
          </cell>
          <cell r="V2501" t="str">
            <v>antonym</v>
          </cell>
          <cell r="Y2501" t="str">
            <v>Past</v>
          </cell>
          <cell r="Z2501">
            <v>0</v>
          </cell>
          <cell r="AA2501">
            <v>0</v>
          </cell>
          <cell r="AB2501">
            <v>0</v>
          </cell>
        </row>
        <row r="2502">
          <cell r="G2502" t="str">
            <v>X521_0</v>
          </cell>
          <cell r="H2502" t="str">
            <v>as-as</v>
          </cell>
          <cell r="I2502" t="str">
            <v>sim</v>
          </cell>
          <cell r="V2502" t="str">
            <v>not neg pair</v>
          </cell>
          <cell r="Y2502" t="str">
            <v>Past</v>
          </cell>
          <cell r="Z2502">
            <v>4.83</v>
          </cell>
          <cell r="AA2502">
            <v>0</v>
          </cell>
          <cell r="AB2502">
            <v>0</v>
          </cell>
        </row>
        <row r="2503">
          <cell r="G2503" t="str">
            <v>X521_1</v>
          </cell>
          <cell r="H2503" t="str">
            <v>as-as</v>
          </cell>
          <cell r="I2503" t="str">
            <v>sim</v>
          </cell>
          <cell r="V2503" t="str">
            <v>not neg pair</v>
          </cell>
          <cell r="Y2503" t="str">
            <v>Past</v>
          </cell>
          <cell r="Z2503">
            <v>4.83</v>
          </cell>
          <cell r="AA2503">
            <v>0</v>
          </cell>
          <cell r="AB2503">
            <v>0</v>
          </cell>
        </row>
        <row r="2504">
          <cell r="G2504" t="str">
            <v>X522_0</v>
          </cell>
          <cell r="H2504" t="str">
            <v>as-as</v>
          </cell>
          <cell r="I2504" t="str">
            <v>sim</v>
          </cell>
          <cell r="V2504" t="str">
            <v>antonym</v>
          </cell>
          <cell r="Y2504" t="str">
            <v>Past</v>
          </cell>
          <cell r="Z2504">
            <v>5</v>
          </cell>
          <cell r="AA2504" t="str">
            <v>H</v>
          </cell>
          <cell r="AB2504">
            <v>0</v>
          </cell>
        </row>
        <row r="2505">
          <cell r="G2505" t="str">
            <v>X522_1</v>
          </cell>
          <cell r="H2505" t="str">
            <v>as-as</v>
          </cell>
          <cell r="I2505" t="str">
            <v>sim</v>
          </cell>
          <cell r="V2505" t="str">
            <v>antonym</v>
          </cell>
          <cell r="Y2505" t="str">
            <v>Past</v>
          </cell>
          <cell r="Z2505">
            <v>5</v>
          </cell>
          <cell r="AA2505" t="str">
            <v>H</v>
          </cell>
          <cell r="AB2505">
            <v>0</v>
          </cell>
        </row>
        <row r="2506">
          <cell r="G2506" t="str">
            <v>X523_0</v>
          </cell>
          <cell r="H2506" t="str">
            <v>as-as</v>
          </cell>
          <cell r="I2506" t="str">
            <v>sim</v>
          </cell>
          <cell r="V2506" t="str">
            <v>not neg pair</v>
          </cell>
          <cell r="Y2506" t="str">
            <v>Pres</v>
          </cell>
          <cell r="Z2506">
            <v>3.93</v>
          </cell>
          <cell r="AA2506">
            <v>0</v>
          </cell>
          <cell r="AB2506">
            <v>0</v>
          </cell>
        </row>
        <row r="2507">
          <cell r="G2507" t="str">
            <v>X523_1</v>
          </cell>
          <cell r="H2507" t="str">
            <v>as-as</v>
          </cell>
          <cell r="I2507" t="str">
            <v>sim</v>
          </cell>
          <cell r="V2507" t="str">
            <v>not neg pair</v>
          </cell>
          <cell r="Y2507" t="str">
            <v>Pres</v>
          </cell>
          <cell r="Z2507">
            <v>3.93</v>
          </cell>
          <cell r="AA2507">
            <v>0</v>
          </cell>
          <cell r="AB2507">
            <v>0</v>
          </cell>
        </row>
        <row r="2508">
          <cell r="G2508" t="str">
            <v>X524_0</v>
          </cell>
          <cell r="H2508" t="str">
            <v>like</v>
          </cell>
          <cell r="I2508" t="str">
            <v>sim</v>
          </cell>
          <cell r="V2508" t="str">
            <v>0</v>
          </cell>
          <cell r="Y2508" t="str">
            <v>Pres</v>
          </cell>
          <cell r="Z2508">
            <v>4.54</v>
          </cell>
          <cell r="AA2508">
            <v>0</v>
          </cell>
          <cell r="AB2508">
            <v>0</v>
          </cell>
        </row>
        <row r="2509">
          <cell r="G2509" t="str">
            <v>X524_1</v>
          </cell>
          <cell r="H2509" t="str">
            <v>as-as</v>
          </cell>
          <cell r="I2509" t="str">
            <v>sim</v>
          </cell>
          <cell r="V2509" t="str">
            <v>0</v>
          </cell>
          <cell r="Y2509" t="str">
            <v>Pres</v>
          </cell>
          <cell r="Z2509">
            <v>4.54</v>
          </cell>
          <cell r="AA2509">
            <v>0</v>
          </cell>
          <cell r="AB2509">
            <v>0</v>
          </cell>
        </row>
        <row r="2510">
          <cell r="G2510" t="str">
            <v>X525_0</v>
          </cell>
          <cell r="H2510" t="str">
            <v>as-as</v>
          </cell>
          <cell r="I2510" t="str">
            <v>sim</v>
          </cell>
          <cell r="V2510" t="str">
            <v>0</v>
          </cell>
          <cell r="Y2510" t="str">
            <v>Past</v>
          </cell>
          <cell r="Z2510">
            <v>4.46</v>
          </cell>
          <cell r="AA2510">
            <v>0</v>
          </cell>
          <cell r="AB2510">
            <v>0</v>
          </cell>
        </row>
        <row r="2511">
          <cell r="G2511" t="str">
            <v>X525_1</v>
          </cell>
          <cell r="H2511" t="str">
            <v>as-as</v>
          </cell>
          <cell r="I2511" t="str">
            <v>sim</v>
          </cell>
          <cell r="V2511" t="str">
            <v>0</v>
          </cell>
          <cell r="Y2511" t="str">
            <v>Past</v>
          </cell>
          <cell r="Z2511">
            <v>4.46</v>
          </cell>
          <cell r="AA2511">
            <v>0</v>
          </cell>
          <cell r="AB2511">
            <v>0</v>
          </cell>
        </row>
        <row r="2512">
          <cell r="G2512" t="str">
            <v>X526_0</v>
          </cell>
          <cell r="H2512" t="str">
            <v>the-of</v>
          </cell>
          <cell r="I2512" t="str">
            <v>sim</v>
          </cell>
          <cell r="V2512" t="str">
            <v>not neg pair</v>
          </cell>
          <cell r="Y2512" t="str">
            <v>Past</v>
          </cell>
          <cell r="Z2512">
            <v>4.79</v>
          </cell>
          <cell r="AA2512">
            <v>0</v>
          </cell>
          <cell r="AB2512">
            <v>0</v>
          </cell>
        </row>
        <row r="2513">
          <cell r="G2513" t="str">
            <v>X526_1</v>
          </cell>
          <cell r="H2513" t="str">
            <v>the-of</v>
          </cell>
          <cell r="I2513" t="str">
            <v>sim</v>
          </cell>
          <cell r="V2513" t="str">
            <v>not neg pair</v>
          </cell>
          <cell r="Y2513" t="str">
            <v>Past</v>
          </cell>
          <cell r="Z2513">
            <v>4.79</v>
          </cell>
          <cell r="AA2513">
            <v>0</v>
          </cell>
          <cell r="AB2513">
            <v>0</v>
          </cell>
        </row>
        <row r="2514">
          <cell r="G2514" t="str">
            <v>X527_0</v>
          </cell>
          <cell r="H2514" t="str">
            <v>the-of</v>
          </cell>
          <cell r="I2514" t="str">
            <v>sim</v>
          </cell>
          <cell r="V2514" t="str">
            <v>not neg pair</v>
          </cell>
          <cell r="Y2514" t="str">
            <v>Past</v>
          </cell>
          <cell r="Z2514">
            <v>4.46</v>
          </cell>
          <cell r="AA2514">
            <v>0</v>
          </cell>
          <cell r="AB2514">
            <v>0</v>
          </cell>
        </row>
        <row r="2515">
          <cell r="G2515" t="str">
            <v>X527_1</v>
          </cell>
          <cell r="H2515" t="str">
            <v>the-of</v>
          </cell>
          <cell r="I2515" t="str">
            <v>sim</v>
          </cell>
          <cell r="V2515" t="str">
            <v>not neg pair</v>
          </cell>
          <cell r="Y2515" t="str">
            <v>Pres</v>
          </cell>
          <cell r="Z2515">
            <v>4.46</v>
          </cell>
          <cell r="AA2515">
            <v>0</v>
          </cell>
          <cell r="AB2515">
            <v>0</v>
          </cell>
        </row>
        <row r="2516">
          <cell r="G2516" t="str">
            <v>X528_0</v>
          </cell>
          <cell r="H2516" t="str">
            <v>like</v>
          </cell>
          <cell r="I2516" t="str">
            <v>sim</v>
          </cell>
          <cell r="V2516" t="str">
            <v>not neg pair</v>
          </cell>
          <cell r="Y2516" t="str">
            <v>Past</v>
          </cell>
          <cell r="Z2516">
            <v>4.1100000000000003</v>
          </cell>
          <cell r="AA2516">
            <v>0</v>
          </cell>
          <cell r="AB2516">
            <v>0</v>
          </cell>
        </row>
        <row r="2517">
          <cell r="G2517" t="str">
            <v>X528_1</v>
          </cell>
          <cell r="H2517" t="str">
            <v>like</v>
          </cell>
          <cell r="I2517" t="str">
            <v>sim</v>
          </cell>
          <cell r="V2517" t="str">
            <v>not neg pair</v>
          </cell>
          <cell r="Y2517" t="str">
            <v>Past</v>
          </cell>
          <cell r="Z2517">
            <v>4.1100000000000003</v>
          </cell>
          <cell r="AA2517">
            <v>0</v>
          </cell>
          <cell r="AB2517">
            <v>0</v>
          </cell>
        </row>
        <row r="2518">
          <cell r="G2518" t="str">
            <v>X529_0</v>
          </cell>
          <cell r="H2518" t="str">
            <v>the-of</v>
          </cell>
          <cell r="I2518" t="str">
            <v>sim</v>
          </cell>
          <cell r="V2518" t="str">
            <v>not neg pair</v>
          </cell>
          <cell r="Y2518" t="str">
            <v>Pres</v>
          </cell>
          <cell r="Z2518">
            <v>1.93</v>
          </cell>
          <cell r="AA2518" t="str">
            <v>L</v>
          </cell>
          <cell r="AB2518">
            <v>0</v>
          </cell>
        </row>
        <row r="2519">
          <cell r="G2519" t="str">
            <v>X529_1</v>
          </cell>
          <cell r="H2519" t="str">
            <v>like</v>
          </cell>
          <cell r="I2519" t="str">
            <v>sim</v>
          </cell>
          <cell r="V2519" t="str">
            <v>not neg pair</v>
          </cell>
          <cell r="Y2519" t="str">
            <v>Pres</v>
          </cell>
          <cell r="Z2519">
            <v>1.93</v>
          </cell>
          <cell r="AA2519" t="str">
            <v>L</v>
          </cell>
          <cell r="AB2519">
            <v>0</v>
          </cell>
        </row>
        <row r="2520">
          <cell r="G2520" t="str">
            <v>X530_0</v>
          </cell>
          <cell r="H2520" t="str">
            <v>like</v>
          </cell>
          <cell r="I2520" t="str">
            <v>sim</v>
          </cell>
          <cell r="V2520" t="str">
            <v>not</v>
          </cell>
          <cell r="Y2520" t="str">
            <v>Past</v>
          </cell>
          <cell r="Z2520">
            <v>4.1100000000000003</v>
          </cell>
          <cell r="AA2520">
            <v>0</v>
          </cell>
          <cell r="AB2520">
            <v>0</v>
          </cell>
        </row>
        <row r="2521">
          <cell r="G2521" t="str">
            <v>X530_1</v>
          </cell>
          <cell r="H2521" t="str">
            <v>like</v>
          </cell>
          <cell r="I2521" t="str">
            <v>sim</v>
          </cell>
          <cell r="V2521" t="str">
            <v>not</v>
          </cell>
          <cell r="Y2521" t="str">
            <v>Past</v>
          </cell>
          <cell r="Z2521">
            <v>4.1100000000000003</v>
          </cell>
          <cell r="AA2521">
            <v>0</v>
          </cell>
          <cell r="AB2521">
            <v>0</v>
          </cell>
        </row>
        <row r="2522">
          <cell r="G2522" t="str">
            <v>X531_0</v>
          </cell>
          <cell r="H2522" t="str">
            <v>like</v>
          </cell>
          <cell r="I2522" t="str">
            <v>sim</v>
          </cell>
          <cell r="V2522" t="str">
            <v>not neg pair</v>
          </cell>
          <cell r="Y2522" t="str">
            <v>Pres</v>
          </cell>
          <cell r="Z2522">
            <v>4.5</v>
          </cell>
          <cell r="AA2522">
            <v>0</v>
          </cell>
          <cell r="AB2522">
            <v>0</v>
          </cell>
        </row>
        <row r="2523">
          <cell r="G2523" t="str">
            <v>X531_1</v>
          </cell>
          <cell r="H2523" t="str">
            <v>like</v>
          </cell>
          <cell r="I2523" t="str">
            <v>sim</v>
          </cell>
          <cell r="V2523" t="str">
            <v>not neg pair</v>
          </cell>
          <cell r="Y2523" t="str">
            <v>Pres</v>
          </cell>
          <cell r="Z2523">
            <v>4.5</v>
          </cell>
          <cell r="AA2523">
            <v>0</v>
          </cell>
          <cell r="AB2523">
            <v>0</v>
          </cell>
        </row>
        <row r="2524">
          <cell r="G2524" t="str">
            <v>X532_0</v>
          </cell>
          <cell r="H2524" t="str">
            <v>the-of</v>
          </cell>
          <cell r="I2524" t="str">
            <v>sim</v>
          </cell>
          <cell r="V2524" t="str">
            <v>not</v>
          </cell>
          <cell r="Y2524" t="str">
            <v>Pres</v>
          </cell>
          <cell r="Z2524">
            <v>4.8600000000000003</v>
          </cell>
          <cell r="AA2524">
            <v>0</v>
          </cell>
          <cell r="AB2524">
            <v>0</v>
          </cell>
        </row>
        <row r="2525">
          <cell r="G2525" t="str">
            <v>X532_1</v>
          </cell>
          <cell r="H2525" t="str">
            <v>the-of</v>
          </cell>
          <cell r="I2525" t="str">
            <v>sim</v>
          </cell>
          <cell r="V2525" t="str">
            <v>not</v>
          </cell>
          <cell r="Y2525" t="str">
            <v>Pres</v>
          </cell>
          <cell r="Z2525">
            <v>4.8600000000000003</v>
          </cell>
          <cell r="AA2525">
            <v>0</v>
          </cell>
          <cell r="AB2525">
            <v>0</v>
          </cell>
        </row>
        <row r="2526">
          <cell r="G2526" t="str">
            <v>X533_0</v>
          </cell>
          <cell r="H2526" t="str">
            <v>as-as</v>
          </cell>
          <cell r="I2526" t="str">
            <v>sim</v>
          </cell>
          <cell r="V2526" t="str">
            <v>antonym</v>
          </cell>
          <cell r="Y2526" t="str">
            <v>Past</v>
          </cell>
          <cell r="Z2526">
            <v>4.79</v>
          </cell>
          <cell r="AA2526">
            <v>0</v>
          </cell>
          <cell r="AB2526">
            <v>0</v>
          </cell>
        </row>
        <row r="2527">
          <cell r="G2527" t="str">
            <v>X533_1</v>
          </cell>
          <cell r="H2527" t="str">
            <v>as-as</v>
          </cell>
          <cell r="I2527" t="str">
            <v>sim</v>
          </cell>
          <cell r="V2527" t="str">
            <v>antonym</v>
          </cell>
          <cell r="Y2527" t="str">
            <v>Past</v>
          </cell>
          <cell r="Z2527">
            <v>4.79</v>
          </cell>
          <cell r="AA2527">
            <v>0</v>
          </cell>
          <cell r="AB2527">
            <v>0</v>
          </cell>
        </row>
        <row r="2528">
          <cell r="G2528" t="str">
            <v>X534_0</v>
          </cell>
          <cell r="H2528" t="str">
            <v>as-as</v>
          </cell>
          <cell r="I2528" t="str">
            <v>sim</v>
          </cell>
          <cell r="V2528" t="str">
            <v>antonym</v>
          </cell>
          <cell r="Y2528" t="str">
            <v>Past</v>
          </cell>
          <cell r="Z2528">
            <v>4.1100000000000003</v>
          </cell>
          <cell r="AA2528">
            <v>0</v>
          </cell>
          <cell r="AB2528">
            <v>0</v>
          </cell>
        </row>
        <row r="2529">
          <cell r="G2529" t="str">
            <v>X534_1</v>
          </cell>
          <cell r="H2529" t="str">
            <v>as-as</v>
          </cell>
          <cell r="I2529" t="str">
            <v>sim</v>
          </cell>
          <cell r="V2529" t="str">
            <v>antonym</v>
          </cell>
          <cell r="Y2529" t="str">
            <v>Past</v>
          </cell>
          <cell r="Z2529">
            <v>4.1100000000000003</v>
          </cell>
          <cell r="AA2529">
            <v>0</v>
          </cell>
          <cell r="AB2529">
            <v>0</v>
          </cell>
        </row>
        <row r="2530">
          <cell r="G2530" t="str">
            <v>X535_0</v>
          </cell>
          <cell r="H2530" t="str">
            <v>as-as</v>
          </cell>
          <cell r="I2530" t="str">
            <v>sim</v>
          </cell>
          <cell r="V2530" t="str">
            <v>antonym</v>
          </cell>
          <cell r="Y2530" t="str">
            <v>Pres</v>
          </cell>
          <cell r="Z2530">
            <v>1.68</v>
          </cell>
          <cell r="AA2530" t="str">
            <v>L</v>
          </cell>
          <cell r="AB2530">
            <v>0</v>
          </cell>
        </row>
        <row r="2531">
          <cell r="G2531" t="str">
            <v>X535_1</v>
          </cell>
          <cell r="H2531" t="str">
            <v>as-as</v>
          </cell>
          <cell r="I2531" t="str">
            <v>sim</v>
          </cell>
          <cell r="V2531" t="str">
            <v>antonym</v>
          </cell>
          <cell r="Y2531" t="str">
            <v>Pres</v>
          </cell>
          <cell r="Z2531">
            <v>1.68</v>
          </cell>
          <cell r="AA2531" t="str">
            <v>L</v>
          </cell>
          <cell r="AB2531">
            <v>0</v>
          </cell>
        </row>
        <row r="2532">
          <cell r="G2532" t="str">
            <v>X536_0</v>
          </cell>
          <cell r="H2532" t="str">
            <v>as-as</v>
          </cell>
          <cell r="I2532" t="str">
            <v>sim</v>
          </cell>
          <cell r="V2532" t="str">
            <v>antonym</v>
          </cell>
          <cell r="Y2532" t="str">
            <v>Past</v>
          </cell>
          <cell r="Z2532">
            <v>1.93</v>
          </cell>
          <cell r="AA2532" t="str">
            <v>L</v>
          </cell>
          <cell r="AB2532">
            <v>0</v>
          </cell>
        </row>
        <row r="2533">
          <cell r="G2533" t="str">
            <v>X536_1</v>
          </cell>
          <cell r="H2533" t="str">
            <v>as-as</v>
          </cell>
          <cell r="I2533" t="str">
            <v>sim</v>
          </cell>
          <cell r="V2533" t="str">
            <v>antonym</v>
          </cell>
          <cell r="Y2533" t="str">
            <v>Past</v>
          </cell>
          <cell r="Z2533">
            <v>1.93</v>
          </cell>
          <cell r="AA2533" t="str">
            <v>L</v>
          </cell>
          <cell r="AB2533">
            <v>0</v>
          </cell>
        </row>
        <row r="2534">
          <cell r="G2534" t="str">
            <v>X537_0</v>
          </cell>
          <cell r="H2534" t="str">
            <v>as-as</v>
          </cell>
          <cell r="I2534" t="str">
            <v>sim</v>
          </cell>
          <cell r="V2534" t="str">
            <v>not</v>
          </cell>
          <cell r="Y2534" t="str">
            <v>Pres</v>
          </cell>
          <cell r="Z2534">
            <v>4.96</v>
          </cell>
          <cell r="AA2534" t="str">
            <v>H</v>
          </cell>
          <cell r="AB2534">
            <v>0</v>
          </cell>
        </row>
        <row r="2535">
          <cell r="G2535" t="str">
            <v>X537_1</v>
          </cell>
          <cell r="H2535" t="str">
            <v>as-as</v>
          </cell>
          <cell r="I2535" t="str">
            <v>sim</v>
          </cell>
          <cell r="V2535" t="str">
            <v>not</v>
          </cell>
          <cell r="Y2535" t="str">
            <v>Pres</v>
          </cell>
          <cell r="Z2535">
            <v>4.96</v>
          </cell>
          <cell r="AA2535" t="str">
            <v>H</v>
          </cell>
          <cell r="AB2535">
            <v>0</v>
          </cell>
        </row>
        <row r="2536">
          <cell r="G2536" t="str">
            <v>X538_0</v>
          </cell>
          <cell r="H2536" t="str">
            <v>as-as</v>
          </cell>
          <cell r="I2536" t="str">
            <v>sim</v>
          </cell>
          <cell r="V2536" t="str">
            <v>not</v>
          </cell>
          <cell r="Y2536" t="str">
            <v>Pres</v>
          </cell>
          <cell r="Z2536">
            <v>4.93</v>
          </cell>
          <cell r="AA2536" t="str">
            <v>H</v>
          </cell>
          <cell r="AB2536">
            <v>0</v>
          </cell>
        </row>
        <row r="2537">
          <cell r="G2537" t="str">
            <v>X538_1</v>
          </cell>
          <cell r="H2537" t="str">
            <v>as-as</v>
          </cell>
          <cell r="I2537" t="str">
            <v>sim</v>
          </cell>
          <cell r="V2537" t="str">
            <v>not</v>
          </cell>
          <cell r="Y2537" t="str">
            <v>Pres</v>
          </cell>
          <cell r="Z2537">
            <v>4.93</v>
          </cell>
          <cell r="AA2537" t="str">
            <v>H</v>
          </cell>
          <cell r="AB2537">
            <v>0</v>
          </cell>
        </row>
        <row r="2538">
          <cell r="G2538" t="str">
            <v>X539_0</v>
          </cell>
          <cell r="H2538" t="str">
            <v>as-as</v>
          </cell>
          <cell r="I2538" t="str">
            <v>sim</v>
          </cell>
          <cell r="V2538" t="str">
            <v>antonym</v>
          </cell>
          <cell r="Y2538" t="str">
            <v>Pres</v>
          </cell>
          <cell r="Z2538">
            <v>4.8899999999999997</v>
          </cell>
          <cell r="AA2538">
            <v>0</v>
          </cell>
          <cell r="AB2538">
            <v>0</v>
          </cell>
        </row>
        <row r="2539">
          <cell r="G2539" t="str">
            <v>X539_1</v>
          </cell>
          <cell r="H2539" t="str">
            <v>as-as</v>
          </cell>
          <cell r="I2539" t="str">
            <v>sim</v>
          </cell>
          <cell r="V2539" t="str">
            <v>antonym</v>
          </cell>
          <cell r="Y2539" t="str">
            <v>Pres</v>
          </cell>
          <cell r="Z2539">
            <v>4.8899999999999997</v>
          </cell>
          <cell r="AA2539">
            <v>0</v>
          </cell>
          <cell r="AB2539">
            <v>0</v>
          </cell>
        </row>
        <row r="2540">
          <cell r="G2540" t="str">
            <v>X540_0</v>
          </cell>
          <cell r="H2540" t="str">
            <v>as-as</v>
          </cell>
          <cell r="I2540" t="str">
            <v>sim</v>
          </cell>
          <cell r="V2540" t="str">
            <v>antonym</v>
          </cell>
          <cell r="Y2540" t="str">
            <v>Pres</v>
          </cell>
          <cell r="Z2540">
            <v>5</v>
          </cell>
          <cell r="AA2540" t="str">
            <v>H</v>
          </cell>
          <cell r="AB2540">
            <v>0</v>
          </cell>
        </row>
        <row r="2541">
          <cell r="G2541" t="str">
            <v>X540_1</v>
          </cell>
          <cell r="H2541" t="str">
            <v>as-as</v>
          </cell>
          <cell r="I2541" t="str">
            <v>sim</v>
          </cell>
          <cell r="V2541" t="str">
            <v>antonym</v>
          </cell>
          <cell r="Y2541" t="str">
            <v>Pres</v>
          </cell>
          <cell r="Z2541">
            <v>5</v>
          </cell>
          <cell r="AA2541" t="str">
            <v>H</v>
          </cell>
          <cell r="AB2541">
            <v>0</v>
          </cell>
        </row>
        <row r="2542">
          <cell r="G2542" t="str">
            <v>X541_0</v>
          </cell>
          <cell r="H2542" t="str">
            <v>as-as</v>
          </cell>
          <cell r="I2542" t="str">
            <v>sim</v>
          </cell>
          <cell r="V2542" t="str">
            <v>not neg pair</v>
          </cell>
          <cell r="Y2542" t="str">
            <v>Past</v>
          </cell>
          <cell r="Z2542">
            <v>4.33</v>
          </cell>
          <cell r="AA2542">
            <v>0</v>
          </cell>
          <cell r="AB2542">
            <v>0</v>
          </cell>
        </row>
        <row r="2543">
          <cell r="G2543" t="str">
            <v>X541_1</v>
          </cell>
          <cell r="H2543" t="str">
            <v>as-as</v>
          </cell>
          <cell r="I2543" t="str">
            <v>sim</v>
          </cell>
          <cell r="V2543" t="str">
            <v>not neg pair</v>
          </cell>
          <cell r="Y2543" t="str">
            <v>Past</v>
          </cell>
          <cell r="Z2543">
            <v>4.33</v>
          </cell>
          <cell r="AA2543">
            <v>0</v>
          </cell>
          <cell r="AB2543">
            <v>0</v>
          </cell>
        </row>
        <row r="2544">
          <cell r="G2544" t="str">
            <v>X542_0</v>
          </cell>
          <cell r="H2544" t="str">
            <v>as-as</v>
          </cell>
          <cell r="I2544" t="str">
            <v>sim</v>
          </cell>
          <cell r="V2544" t="str">
            <v>not</v>
          </cell>
          <cell r="Y2544" t="str">
            <v>Past</v>
          </cell>
          <cell r="Z2544">
            <v>4.54</v>
          </cell>
          <cell r="AA2544">
            <v>0</v>
          </cell>
          <cell r="AB2544">
            <v>0</v>
          </cell>
        </row>
        <row r="2545">
          <cell r="G2545" t="str">
            <v>X542_1</v>
          </cell>
          <cell r="H2545" t="str">
            <v>as-as</v>
          </cell>
          <cell r="I2545" t="str">
            <v>sim</v>
          </cell>
          <cell r="V2545" t="str">
            <v>not</v>
          </cell>
          <cell r="Y2545" t="str">
            <v>Past</v>
          </cell>
          <cell r="Z2545">
            <v>4.54</v>
          </cell>
          <cell r="AA2545">
            <v>0</v>
          </cell>
          <cell r="AB2545">
            <v>0</v>
          </cell>
        </row>
        <row r="2546">
          <cell r="G2546" t="str">
            <v>X543_0</v>
          </cell>
          <cell r="H2546" t="str">
            <v>as-as</v>
          </cell>
          <cell r="I2546" t="str">
            <v>sim</v>
          </cell>
          <cell r="V2546" t="str">
            <v>not neg pair</v>
          </cell>
          <cell r="Y2546" t="str">
            <v>Past</v>
          </cell>
          <cell r="Z2546">
            <v>4.8499999999999996</v>
          </cell>
          <cell r="AA2546">
            <v>0</v>
          </cell>
          <cell r="AB2546">
            <v>0</v>
          </cell>
        </row>
        <row r="2547">
          <cell r="G2547" t="str">
            <v>X543_1</v>
          </cell>
          <cell r="H2547" t="str">
            <v>as-as</v>
          </cell>
          <cell r="I2547" t="str">
            <v>sim</v>
          </cell>
          <cell r="V2547" t="str">
            <v>not neg pair</v>
          </cell>
          <cell r="Y2547" t="str">
            <v>Past</v>
          </cell>
          <cell r="Z2547">
            <v>4.8499999999999996</v>
          </cell>
          <cell r="AA2547">
            <v>0</v>
          </cell>
          <cell r="AB2547">
            <v>0</v>
          </cell>
        </row>
        <row r="2548">
          <cell r="G2548" t="str">
            <v>X544_0</v>
          </cell>
          <cell r="H2548" t="str">
            <v>like</v>
          </cell>
          <cell r="I2548" t="str">
            <v>sim</v>
          </cell>
          <cell r="V2548" t="str">
            <v>not neg pair</v>
          </cell>
          <cell r="Y2548" t="str">
            <v>Pres</v>
          </cell>
          <cell r="Z2548">
            <v>3.93</v>
          </cell>
          <cell r="AA2548">
            <v>0</v>
          </cell>
          <cell r="AB2548">
            <v>0</v>
          </cell>
        </row>
        <row r="2549">
          <cell r="G2549" t="str">
            <v>X544_1</v>
          </cell>
          <cell r="H2549" t="str">
            <v>like</v>
          </cell>
          <cell r="I2549" t="str">
            <v>sim</v>
          </cell>
          <cell r="V2549" t="str">
            <v>not neg pair</v>
          </cell>
          <cell r="Y2549" t="str">
            <v>Pres</v>
          </cell>
          <cell r="Z2549">
            <v>3.93</v>
          </cell>
          <cell r="AA2549">
            <v>0</v>
          </cell>
          <cell r="AB2549">
            <v>0</v>
          </cell>
        </row>
        <row r="2550">
          <cell r="G2550" t="str">
            <v>X545_0</v>
          </cell>
          <cell r="H2550" t="str">
            <v>like</v>
          </cell>
          <cell r="I2550" t="str">
            <v>sim</v>
          </cell>
          <cell r="V2550" t="str">
            <v>not neg pair</v>
          </cell>
          <cell r="Y2550" t="str">
            <v>Pres</v>
          </cell>
          <cell r="Z2550">
            <v>3.36</v>
          </cell>
          <cell r="AA2550">
            <v>0</v>
          </cell>
          <cell r="AB2550">
            <v>0</v>
          </cell>
        </row>
        <row r="2551">
          <cell r="G2551" t="str">
            <v>X545_1</v>
          </cell>
          <cell r="H2551" t="str">
            <v>like</v>
          </cell>
          <cell r="I2551" t="str">
            <v>sim</v>
          </cell>
          <cell r="V2551" t="str">
            <v>not neg pair</v>
          </cell>
          <cell r="Y2551" t="str">
            <v>Pres</v>
          </cell>
          <cell r="Z2551">
            <v>3.36</v>
          </cell>
          <cell r="AA2551">
            <v>0</v>
          </cell>
          <cell r="AB2551">
            <v>0</v>
          </cell>
        </row>
        <row r="2552">
          <cell r="G2552" t="str">
            <v>X546_0</v>
          </cell>
          <cell r="H2552" t="str">
            <v>like</v>
          </cell>
          <cell r="I2552" t="str">
            <v>sim</v>
          </cell>
          <cell r="V2552" t="str">
            <v>not neg pair</v>
          </cell>
          <cell r="Y2552" t="str">
            <v>Pres</v>
          </cell>
          <cell r="Z2552">
            <v>3.93</v>
          </cell>
          <cell r="AA2552">
            <v>0</v>
          </cell>
          <cell r="AB2552">
            <v>0</v>
          </cell>
        </row>
        <row r="2553">
          <cell r="G2553" t="str">
            <v>X546_1</v>
          </cell>
          <cell r="H2553" t="str">
            <v>like</v>
          </cell>
          <cell r="I2553" t="str">
            <v>sim</v>
          </cell>
          <cell r="V2553" t="str">
            <v>not neg pair</v>
          </cell>
          <cell r="Y2553" t="str">
            <v>Pres</v>
          </cell>
          <cell r="Z2553">
            <v>3.93</v>
          </cell>
          <cell r="AA2553">
            <v>0</v>
          </cell>
          <cell r="AB2553">
            <v>0</v>
          </cell>
        </row>
        <row r="2554">
          <cell r="G2554" t="str">
            <v>X547_0</v>
          </cell>
          <cell r="H2554" t="str">
            <v>as-as</v>
          </cell>
          <cell r="I2554" t="str">
            <v>sim</v>
          </cell>
          <cell r="V2554" t="str">
            <v>not</v>
          </cell>
          <cell r="Y2554" t="str">
            <v>Past</v>
          </cell>
          <cell r="Z2554">
            <v>4.93</v>
          </cell>
          <cell r="AA2554" t="str">
            <v>H</v>
          </cell>
          <cell r="AB2554">
            <v>0</v>
          </cell>
        </row>
        <row r="2555">
          <cell r="G2555" t="str">
            <v>X547_1</v>
          </cell>
          <cell r="H2555" t="str">
            <v>as-as</v>
          </cell>
          <cell r="I2555" t="str">
            <v>sim</v>
          </cell>
          <cell r="V2555" t="str">
            <v>not</v>
          </cell>
          <cell r="Y2555" t="str">
            <v>Past</v>
          </cell>
          <cell r="Z2555">
            <v>4.93</v>
          </cell>
          <cell r="AA2555" t="str">
            <v>H</v>
          </cell>
          <cell r="AB2555">
            <v>0</v>
          </cell>
        </row>
        <row r="2556">
          <cell r="G2556" t="str">
            <v>X548_0</v>
          </cell>
          <cell r="H2556" t="str">
            <v>as-as</v>
          </cell>
          <cell r="I2556" t="str">
            <v>sim</v>
          </cell>
          <cell r="V2556" t="str">
            <v>not</v>
          </cell>
          <cell r="Y2556" t="str">
            <v>Past</v>
          </cell>
          <cell r="Z2556">
            <v>4.1100000000000003</v>
          </cell>
          <cell r="AA2556">
            <v>0</v>
          </cell>
          <cell r="AB2556">
            <v>0</v>
          </cell>
        </row>
        <row r="2557">
          <cell r="G2557" t="str">
            <v>X548_1</v>
          </cell>
          <cell r="H2557" t="str">
            <v>as-as</v>
          </cell>
          <cell r="I2557" t="str">
            <v>sim</v>
          </cell>
          <cell r="V2557" t="str">
            <v>not</v>
          </cell>
          <cell r="Y2557" t="str">
            <v>Past</v>
          </cell>
          <cell r="Z2557">
            <v>4.1100000000000003</v>
          </cell>
          <cell r="AA2557">
            <v>0</v>
          </cell>
          <cell r="AB2557">
            <v>0</v>
          </cell>
        </row>
        <row r="2558">
          <cell r="G2558" t="str">
            <v>X549_0</v>
          </cell>
          <cell r="H2558" t="str">
            <v>like</v>
          </cell>
          <cell r="I2558" t="str">
            <v>sim</v>
          </cell>
          <cell r="V2558" t="str">
            <v>not neg pair</v>
          </cell>
          <cell r="Y2558" t="str">
            <v>Past</v>
          </cell>
          <cell r="Z2558">
            <v>4.9000000000000004</v>
          </cell>
          <cell r="AA2558">
            <v>0</v>
          </cell>
          <cell r="AB2558">
            <v>0</v>
          </cell>
        </row>
        <row r="2559">
          <cell r="G2559" t="str">
            <v>X549_1</v>
          </cell>
          <cell r="H2559" t="str">
            <v>like</v>
          </cell>
          <cell r="I2559" t="str">
            <v>sim</v>
          </cell>
          <cell r="V2559" t="str">
            <v>not neg pair</v>
          </cell>
          <cell r="Y2559" t="str">
            <v>Past</v>
          </cell>
          <cell r="Z2559">
            <v>4.9000000000000004</v>
          </cell>
          <cell r="AA2559">
            <v>0</v>
          </cell>
          <cell r="AB2559">
            <v>0</v>
          </cell>
        </row>
        <row r="2560">
          <cell r="G2560" t="str">
            <v>X550_0</v>
          </cell>
          <cell r="H2560" t="str">
            <v/>
          </cell>
          <cell r="I2560" t="str">
            <v>met</v>
          </cell>
          <cell r="V2560" t="str">
            <v>0</v>
          </cell>
          <cell r="Y2560">
            <v>0</v>
          </cell>
          <cell r="Z2560">
            <v>2.41</v>
          </cell>
          <cell r="AA2560" t="str">
            <v>L</v>
          </cell>
          <cell r="AB2560">
            <v>0</v>
          </cell>
        </row>
        <row r="2561">
          <cell r="G2561" t="str">
            <v>X550_1</v>
          </cell>
          <cell r="H2561" t="str">
            <v/>
          </cell>
          <cell r="I2561" t="str">
            <v>met</v>
          </cell>
          <cell r="V2561" t="str">
            <v>0</v>
          </cell>
          <cell r="Y2561" t="str">
            <v>Past</v>
          </cell>
          <cell r="Z2561">
            <v>2.41</v>
          </cell>
          <cell r="AA2561" t="str">
            <v>L</v>
          </cell>
          <cell r="AB2561">
            <v>0</v>
          </cell>
        </row>
        <row r="2562">
          <cell r="G2562" t="str">
            <v>X551_0</v>
          </cell>
          <cell r="H2562" t="str">
            <v/>
          </cell>
          <cell r="I2562" t="str">
            <v>met</v>
          </cell>
          <cell r="V2562" t="str">
            <v>0</v>
          </cell>
          <cell r="Y2562" t="str">
            <v>Past</v>
          </cell>
          <cell r="Z2562">
            <v>0</v>
          </cell>
          <cell r="AA2562">
            <v>0</v>
          </cell>
          <cell r="AB2562">
            <v>0</v>
          </cell>
        </row>
        <row r="2563">
          <cell r="G2563" t="str">
            <v>X551_1</v>
          </cell>
          <cell r="H2563" t="str">
            <v/>
          </cell>
          <cell r="I2563" t="str">
            <v>met</v>
          </cell>
          <cell r="V2563" t="str">
            <v>0</v>
          </cell>
          <cell r="Y2563" t="str">
            <v>Past</v>
          </cell>
          <cell r="Z2563">
            <v>0</v>
          </cell>
          <cell r="AA2563">
            <v>0</v>
          </cell>
          <cell r="AB2563">
            <v>0</v>
          </cell>
        </row>
        <row r="2564">
          <cell r="G2564" t="str">
            <v>X552_0</v>
          </cell>
          <cell r="H2564" t="str">
            <v>as</v>
          </cell>
          <cell r="I2564" t="str">
            <v>sim</v>
          </cell>
          <cell r="V2564" t="str">
            <v>not neg pair</v>
          </cell>
          <cell r="Y2564" t="str">
            <v>Past</v>
          </cell>
          <cell r="Z2564">
            <v>4.92</v>
          </cell>
          <cell r="AA2564" t="str">
            <v>H</v>
          </cell>
          <cell r="AB2564">
            <v>0</v>
          </cell>
        </row>
        <row r="2565">
          <cell r="G2565" t="str">
            <v>X552_1</v>
          </cell>
          <cell r="H2565" t="str">
            <v>as</v>
          </cell>
          <cell r="I2565" t="str">
            <v>sim</v>
          </cell>
          <cell r="V2565" t="str">
            <v>not neg pair</v>
          </cell>
          <cell r="Y2565" t="str">
            <v>Past</v>
          </cell>
          <cell r="Z2565">
            <v>4.92</v>
          </cell>
          <cell r="AA2565" t="str">
            <v>H</v>
          </cell>
          <cell r="AB2565">
            <v>0</v>
          </cell>
        </row>
        <row r="2566">
          <cell r="G2566" t="str">
            <v>X553_0</v>
          </cell>
          <cell r="H2566" t="str">
            <v/>
          </cell>
          <cell r="I2566" t="str">
            <v>met</v>
          </cell>
          <cell r="V2566" t="str">
            <v>0</v>
          </cell>
          <cell r="Y2566" t="str">
            <v>Pres</v>
          </cell>
          <cell r="Z2566">
            <v>4.93</v>
          </cell>
          <cell r="AA2566" t="str">
            <v>H</v>
          </cell>
          <cell r="AB2566">
            <v>0</v>
          </cell>
        </row>
        <row r="2567">
          <cell r="G2567" t="str">
            <v>X553_1</v>
          </cell>
          <cell r="H2567" t="str">
            <v/>
          </cell>
          <cell r="I2567" t="str">
            <v>met</v>
          </cell>
          <cell r="V2567" t="str">
            <v>0</v>
          </cell>
          <cell r="Y2567" t="str">
            <v>Pres</v>
          </cell>
          <cell r="Z2567">
            <v>4.93</v>
          </cell>
          <cell r="AA2567" t="str">
            <v>H</v>
          </cell>
          <cell r="AB2567">
            <v>0</v>
          </cell>
        </row>
        <row r="2568">
          <cell r="G2568" t="str">
            <v>X554_0</v>
          </cell>
          <cell r="H2568" t="str">
            <v/>
          </cell>
          <cell r="I2568" t="str">
            <v>met</v>
          </cell>
          <cell r="V2568" t="str">
            <v>0</v>
          </cell>
          <cell r="Y2568" t="str">
            <v>Pres</v>
          </cell>
          <cell r="Z2568">
            <v>4.7699999999999996</v>
          </cell>
          <cell r="AA2568">
            <v>0</v>
          </cell>
          <cell r="AB2568">
            <v>0</v>
          </cell>
        </row>
        <row r="2569">
          <cell r="G2569" t="str">
            <v>X554_1</v>
          </cell>
          <cell r="H2569" t="str">
            <v/>
          </cell>
          <cell r="I2569" t="str">
            <v>met</v>
          </cell>
          <cell r="V2569" t="str">
            <v>0</v>
          </cell>
          <cell r="Y2569" t="str">
            <v>Pres</v>
          </cell>
          <cell r="Z2569">
            <v>4.7699999999999996</v>
          </cell>
          <cell r="AA2569">
            <v>0</v>
          </cell>
          <cell r="AB2569">
            <v>0</v>
          </cell>
        </row>
        <row r="2570">
          <cell r="G2570" t="str">
            <v>X555_0</v>
          </cell>
          <cell r="H2570" t="str">
            <v>as</v>
          </cell>
          <cell r="I2570" t="str">
            <v>sim</v>
          </cell>
          <cell r="V2570" t="str">
            <v>not neg pair</v>
          </cell>
          <cell r="Y2570" t="str">
            <v>Pres</v>
          </cell>
          <cell r="Z2570">
            <v>4.8600000000000003</v>
          </cell>
          <cell r="AA2570">
            <v>0</v>
          </cell>
          <cell r="AB2570">
            <v>0</v>
          </cell>
        </row>
        <row r="2571">
          <cell r="G2571" t="str">
            <v>X555_1</v>
          </cell>
          <cell r="H2571" t="str">
            <v>as</v>
          </cell>
          <cell r="I2571" t="str">
            <v>sim</v>
          </cell>
          <cell r="V2571" t="str">
            <v>not neg pair</v>
          </cell>
          <cell r="Y2571" t="str">
            <v>Pres</v>
          </cell>
          <cell r="Z2571">
            <v>4.8600000000000003</v>
          </cell>
          <cell r="AA2571">
            <v>0</v>
          </cell>
          <cell r="AB2571">
            <v>0</v>
          </cell>
        </row>
        <row r="2572">
          <cell r="G2572" t="str">
            <v>X556_0</v>
          </cell>
          <cell r="H2572" t="str">
            <v>as-as</v>
          </cell>
          <cell r="I2572" t="str">
            <v>sim</v>
          </cell>
          <cell r="V2572" t="str">
            <v>not neg pair</v>
          </cell>
          <cell r="Y2572" t="str">
            <v>Past</v>
          </cell>
          <cell r="Z2572">
            <v>2.81</v>
          </cell>
          <cell r="AA2572">
            <v>0</v>
          </cell>
          <cell r="AB2572">
            <v>0</v>
          </cell>
        </row>
        <row r="2573">
          <cell r="G2573" t="str">
            <v>X556_1</v>
          </cell>
          <cell r="H2573" t="str">
            <v>as-as</v>
          </cell>
          <cell r="I2573" t="str">
            <v>sim</v>
          </cell>
          <cell r="V2573" t="str">
            <v>not neg pair</v>
          </cell>
          <cell r="Y2573" t="str">
            <v>Past</v>
          </cell>
          <cell r="Z2573">
            <v>2.81</v>
          </cell>
          <cell r="AA2573">
            <v>0</v>
          </cell>
          <cell r="AB2573">
            <v>0</v>
          </cell>
        </row>
        <row r="2574">
          <cell r="G2574" t="str">
            <v>X557_0</v>
          </cell>
          <cell r="H2574" t="str">
            <v>as-as</v>
          </cell>
          <cell r="I2574" t="str">
            <v>sim</v>
          </cell>
          <cell r="V2574" t="str">
            <v>not neg pair</v>
          </cell>
          <cell r="Y2574" t="str">
            <v>Past</v>
          </cell>
          <cell r="Z2574">
            <v>2.81</v>
          </cell>
          <cell r="AA2574">
            <v>0</v>
          </cell>
          <cell r="AB2574">
            <v>0</v>
          </cell>
        </row>
        <row r="2575">
          <cell r="G2575" t="str">
            <v>X557_1</v>
          </cell>
          <cell r="H2575" t="str">
            <v>as-as</v>
          </cell>
          <cell r="I2575" t="str">
            <v>sim</v>
          </cell>
          <cell r="V2575" t="str">
            <v>not neg pair</v>
          </cell>
          <cell r="Y2575" t="str">
            <v>Past</v>
          </cell>
          <cell r="Z2575">
            <v>2.81</v>
          </cell>
          <cell r="AA2575">
            <v>0</v>
          </cell>
          <cell r="AB2575">
            <v>0</v>
          </cell>
        </row>
        <row r="2576">
          <cell r="G2576" t="str">
            <v>X558_0</v>
          </cell>
          <cell r="H2576" t="str">
            <v>as-as</v>
          </cell>
          <cell r="I2576" t="str">
            <v>sim</v>
          </cell>
          <cell r="V2576" t="str">
            <v>not neg pair</v>
          </cell>
          <cell r="Y2576" t="str">
            <v>Past</v>
          </cell>
          <cell r="Z2576">
            <v>2.81</v>
          </cell>
          <cell r="AA2576">
            <v>0</v>
          </cell>
          <cell r="AB2576">
            <v>0</v>
          </cell>
        </row>
        <row r="2577">
          <cell r="G2577" t="str">
            <v>X558_1</v>
          </cell>
          <cell r="H2577" t="str">
            <v>as-as</v>
          </cell>
          <cell r="I2577" t="str">
            <v>sim</v>
          </cell>
          <cell r="V2577" t="str">
            <v>not neg pair</v>
          </cell>
          <cell r="Y2577" t="str">
            <v>Past</v>
          </cell>
          <cell r="Z2577">
            <v>2.81</v>
          </cell>
          <cell r="AA2577">
            <v>0</v>
          </cell>
          <cell r="AB2577">
            <v>0</v>
          </cell>
        </row>
        <row r="2578">
          <cell r="G2578" t="str">
            <v>X559_0</v>
          </cell>
          <cell r="H2578" t="str">
            <v>the-of</v>
          </cell>
          <cell r="I2578" t="str">
            <v>sim</v>
          </cell>
          <cell r="V2578" t="str">
            <v>not neg pair</v>
          </cell>
          <cell r="Y2578" t="str">
            <v>Pres</v>
          </cell>
          <cell r="Z2578">
            <v>4.8899999999999997</v>
          </cell>
          <cell r="AA2578">
            <v>0</v>
          </cell>
          <cell r="AB2578">
            <v>0</v>
          </cell>
        </row>
        <row r="2579">
          <cell r="G2579" t="str">
            <v>X559_1</v>
          </cell>
          <cell r="H2579" t="str">
            <v>the-of</v>
          </cell>
          <cell r="I2579" t="str">
            <v>sim</v>
          </cell>
          <cell r="V2579" t="str">
            <v>not neg pair</v>
          </cell>
          <cell r="Y2579" t="str">
            <v>Pres</v>
          </cell>
          <cell r="Z2579">
            <v>4.8899999999999997</v>
          </cell>
          <cell r="AA2579">
            <v>0</v>
          </cell>
          <cell r="AB2579">
            <v>0</v>
          </cell>
        </row>
        <row r="2580">
          <cell r="G2580" t="str">
            <v>X560_0</v>
          </cell>
          <cell r="H2580" t="str">
            <v>the-of</v>
          </cell>
          <cell r="I2580" t="str">
            <v>sim</v>
          </cell>
          <cell r="V2580" t="str">
            <v>not</v>
          </cell>
          <cell r="Y2580" t="str">
            <v>Past</v>
          </cell>
          <cell r="Z2580">
            <v>4.5199999999999996</v>
          </cell>
          <cell r="AA2580">
            <v>0</v>
          </cell>
          <cell r="AB2580">
            <v>0</v>
          </cell>
        </row>
        <row r="2581">
          <cell r="G2581" t="str">
            <v>X560_1</v>
          </cell>
          <cell r="H2581" t="str">
            <v>the-of</v>
          </cell>
          <cell r="I2581" t="str">
            <v>sim</v>
          </cell>
          <cell r="V2581" t="str">
            <v>not</v>
          </cell>
          <cell r="Y2581" t="str">
            <v>Pres</v>
          </cell>
          <cell r="Z2581">
            <v>4.5199999999999996</v>
          </cell>
          <cell r="AA2581">
            <v>0</v>
          </cell>
          <cell r="AB2581">
            <v>0</v>
          </cell>
        </row>
        <row r="2582">
          <cell r="G2582" t="str">
            <v>X561_0</v>
          </cell>
          <cell r="H2582" t="str">
            <v/>
          </cell>
          <cell r="I2582" t="str">
            <v>met</v>
          </cell>
          <cell r="V2582" t="str">
            <v>0</v>
          </cell>
          <cell r="Y2582" t="str">
            <v>Pres</v>
          </cell>
          <cell r="Z2582">
            <v>4.66</v>
          </cell>
          <cell r="AA2582">
            <v>0</v>
          </cell>
          <cell r="AB2582">
            <v>0</v>
          </cell>
        </row>
        <row r="2583">
          <cell r="G2583" t="str">
            <v>X561_1</v>
          </cell>
          <cell r="H2583" t="str">
            <v/>
          </cell>
          <cell r="I2583" t="str">
            <v>met</v>
          </cell>
          <cell r="V2583" t="str">
            <v>0</v>
          </cell>
          <cell r="Y2583" t="str">
            <v>Pres</v>
          </cell>
          <cell r="Z2583">
            <v>4.66</v>
          </cell>
          <cell r="AA2583">
            <v>0</v>
          </cell>
          <cell r="AB2583">
            <v>0</v>
          </cell>
        </row>
        <row r="2584">
          <cell r="G2584" t="str">
            <v>X562_0</v>
          </cell>
          <cell r="H2584" t="str">
            <v>as-as</v>
          </cell>
          <cell r="I2584" t="str">
            <v>sim</v>
          </cell>
          <cell r="V2584" t="str">
            <v>antonym</v>
          </cell>
          <cell r="Y2584" t="str">
            <v>Pres</v>
          </cell>
          <cell r="Z2584">
            <v>4.7699999999999996</v>
          </cell>
          <cell r="AA2584">
            <v>0</v>
          </cell>
          <cell r="AB2584">
            <v>0</v>
          </cell>
        </row>
        <row r="2585">
          <cell r="G2585" t="str">
            <v>X562_1</v>
          </cell>
          <cell r="H2585" t="str">
            <v>as-as</v>
          </cell>
          <cell r="I2585" t="str">
            <v>sim</v>
          </cell>
          <cell r="V2585" t="str">
            <v>antonym</v>
          </cell>
          <cell r="Y2585" t="str">
            <v>Pres</v>
          </cell>
          <cell r="Z2585">
            <v>4.7699999999999996</v>
          </cell>
          <cell r="AA2585">
            <v>0</v>
          </cell>
          <cell r="AB2585">
            <v>0</v>
          </cell>
        </row>
        <row r="2586">
          <cell r="G2586" t="str">
            <v>X563_0</v>
          </cell>
          <cell r="H2586" t="str">
            <v>as-as</v>
          </cell>
          <cell r="I2586" t="str">
            <v>sim</v>
          </cell>
          <cell r="V2586" t="str">
            <v>not neg pair</v>
          </cell>
          <cell r="Y2586" t="str">
            <v>Pres</v>
          </cell>
          <cell r="Z2586">
            <v>2.67</v>
          </cell>
          <cell r="AA2586" t="str">
            <v>L</v>
          </cell>
          <cell r="AB2586">
            <v>0</v>
          </cell>
        </row>
        <row r="2587">
          <cell r="G2587" t="str">
            <v>X563_1</v>
          </cell>
          <cell r="H2587" t="str">
            <v>as-as</v>
          </cell>
          <cell r="I2587" t="str">
            <v>sim</v>
          </cell>
          <cell r="V2587" t="str">
            <v>not neg pair</v>
          </cell>
          <cell r="Y2587" t="str">
            <v>Pres</v>
          </cell>
          <cell r="Z2587">
            <v>2.67</v>
          </cell>
          <cell r="AA2587" t="str">
            <v>L</v>
          </cell>
          <cell r="AB2587">
            <v>0</v>
          </cell>
        </row>
        <row r="2588">
          <cell r="G2588" t="str">
            <v>X564_0</v>
          </cell>
          <cell r="H2588" t="str">
            <v>as-as</v>
          </cell>
          <cell r="I2588" t="str">
            <v>sim</v>
          </cell>
          <cell r="V2588" t="str">
            <v>antonym</v>
          </cell>
          <cell r="Y2588" t="str">
            <v>Pres</v>
          </cell>
          <cell r="Z2588">
            <v>4.07</v>
          </cell>
          <cell r="AA2588">
            <v>0</v>
          </cell>
          <cell r="AB2588">
            <v>0</v>
          </cell>
        </row>
        <row r="2589">
          <cell r="G2589" t="str">
            <v>X564_1</v>
          </cell>
          <cell r="H2589" t="str">
            <v>as-as</v>
          </cell>
          <cell r="I2589" t="str">
            <v>sim</v>
          </cell>
          <cell r="V2589" t="str">
            <v>antonym</v>
          </cell>
          <cell r="Y2589" t="str">
            <v>Pres</v>
          </cell>
          <cell r="Z2589">
            <v>4.07</v>
          </cell>
          <cell r="AA2589">
            <v>0</v>
          </cell>
          <cell r="AB2589">
            <v>0</v>
          </cell>
        </row>
        <row r="2590">
          <cell r="G2590" t="str">
            <v>X565_0</v>
          </cell>
          <cell r="H2590" t="str">
            <v>the-of</v>
          </cell>
          <cell r="I2590" t="str">
            <v>sim</v>
          </cell>
          <cell r="V2590" t="str">
            <v>not neg pair</v>
          </cell>
          <cell r="Y2590" t="str">
            <v>Pres</v>
          </cell>
          <cell r="Z2590">
            <v>4.8899999999999997</v>
          </cell>
          <cell r="AA2590">
            <v>0</v>
          </cell>
          <cell r="AB2590">
            <v>0</v>
          </cell>
        </row>
        <row r="2591">
          <cell r="G2591" t="str">
            <v>X565_1</v>
          </cell>
          <cell r="H2591" t="str">
            <v>the-of</v>
          </cell>
          <cell r="I2591" t="str">
            <v>sim</v>
          </cell>
          <cell r="V2591" t="str">
            <v>not neg pair</v>
          </cell>
          <cell r="Y2591" t="str">
            <v>Pres</v>
          </cell>
          <cell r="Z2591">
            <v>4.8899999999999997</v>
          </cell>
          <cell r="AA2591">
            <v>0</v>
          </cell>
          <cell r="AB2591">
            <v>0</v>
          </cell>
        </row>
        <row r="2592">
          <cell r="G2592" t="str">
            <v>X566_0</v>
          </cell>
          <cell r="H2592" t="str">
            <v>the-of</v>
          </cell>
          <cell r="I2592" t="str">
            <v>sim</v>
          </cell>
          <cell r="V2592" t="str">
            <v>not neg pair</v>
          </cell>
          <cell r="Y2592" t="str">
            <v>Pres</v>
          </cell>
          <cell r="Z2592">
            <v>3.23</v>
          </cell>
          <cell r="AA2592">
            <v>0</v>
          </cell>
          <cell r="AB2592">
            <v>0</v>
          </cell>
        </row>
        <row r="2593">
          <cell r="G2593" t="str">
            <v>X566_1</v>
          </cell>
          <cell r="H2593" t="str">
            <v>the-of</v>
          </cell>
          <cell r="I2593" t="str">
            <v>sim</v>
          </cell>
          <cell r="V2593" t="str">
            <v>not neg pair</v>
          </cell>
          <cell r="Y2593" t="str">
            <v>Pres</v>
          </cell>
          <cell r="Z2593">
            <v>3.23</v>
          </cell>
          <cell r="AA2593">
            <v>0</v>
          </cell>
          <cell r="AB2593">
            <v>0</v>
          </cell>
        </row>
        <row r="2594">
          <cell r="G2594" t="str">
            <v>X567_0</v>
          </cell>
          <cell r="H2594" t="str">
            <v>the-of</v>
          </cell>
          <cell r="I2594" t="str">
            <v>sim</v>
          </cell>
          <cell r="V2594" t="str">
            <v>not neg pair</v>
          </cell>
          <cell r="Y2594" t="str">
            <v>Past</v>
          </cell>
          <cell r="Z2594">
            <v>4.7699999999999996</v>
          </cell>
          <cell r="AA2594">
            <v>0</v>
          </cell>
          <cell r="AB2594">
            <v>0</v>
          </cell>
        </row>
        <row r="2595">
          <cell r="G2595" t="str">
            <v>X567_1</v>
          </cell>
          <cell r="H2595" t="str">
            <v>the-of</v>
          </cell>
          <cell r="I2595" t="str">
            <v>sim</v>
          </cell>
          <cell r="V2595" t="str">
            <v>not neg pair</v>
          </cell>
          <cell r="Y2595" t="str">
            <v>Past</v>
          </cell>
          <cell r="Z2595">
            <v>4.7699999999999996</v>
          </cell>
          <cell r="AA2595">
            <v>0</v>
          </cell>
          <cell r="AB2595">
            <v>0</v>
          </cell>
        </row>
        <row r="2596">
          <cell r="G2596" t="str">
            <v>X568_0</v>
          </cell>
          <cell r="H2596" t="str">
            <v>as-as</v>
          </cell>
          <cell r="I2596" t="str">
            <v>sim</v>
          </cell>
          <cell r="V2596" t="str">
            <v>antonym</v>
          </cell>
          <cell r="Y2596" t="str">
            <v>Pres</v>
          </cell>
          <cell r="Z2596">
            <v>3.06</v>
          </cell>
          <cell r="AA2596">
            <v>0</v>
          </cell>
          <cell r="AB2596">
            <v>0</v>
          </cell>
        </row>
        <row r="2597">
          <cell r="G2597" t="str">
            <v>X568_1</v>
          </cell>
          <cell r="H2597" t="str">
            <v>as-as</v>
          </cell>
          <cell r="I2597" t="str">
            <v>sim</v>
          </cell>
          <cell r="V2597" t="str">
            <v>antonym</v>
          </cell>
          <cell r="Y2597" t="str">
            <v>Pres</v>
          </cell>
          <cell r="Z2597">
            <v>3.23</v>
          </cell>
          <cell r="AA2597">
            <v>0</v>
          </cell>
          <cell r="AB2597">
            <v>0</v>
          </cell>
        </row>
        <row r="2598">
          <cell r="G2598" t="str">
            <v>X569_0</v>
          </cell>
          <cell r="H2598" t="str">
            <v>as-as</v>
          </cell>
          <cell r="I2598" t="str">
            <v>sim</v>
          </cell>
          <cell r="V2598" t="str">
            <v>not</v>
          </cell>
          <cell r="Y2598" t="str">
            <v>Past</v>
          </cell>
          <cell r="Z2598">
            <v>5</v>
          </cell>
          <cell r="AA2598" t="str">
            <v>H</v>
          </cell>
          <cell r="AB2598">
            <v>0</v>
          </cell>
        </row>
        <row r="2599">
          <cell r="G2599" t="str">
            <v>X569_1</v>
          </cell>
          <cell r="H2599" t="str">
            <v>as-as</v>
          </cell>
          <cell r="I2599" t="str">
            <v>sim</v>
          </cell>
          <cell r="V2599" t="str">
            <v>not</v>
          </cell>
          <cell r="Y2599" t="str">
            <v>Past</v>
          </cell>
          <cell r="Z2599">
            <v>5</v>
          </cell>
          <cell r="AA2599" t="str">
            <v>H</v>
          </cell>
          <cell r="AB2599">
            <v>0</v>
          </cell>
        </row>
        <row r="2600">
          <cell r="G2600" t="str">
            <v>X570_0</v>
          </cell>
          <cell r="H2600" t="str">
            <v>as-as</v>
          </cell>
          <cell r="I2600" t="str">
            <v>sim</v>
          </cell>
          <cell r="V2600" t="str">
            <v>antonym</v>
          </cell>
          <cell r="Y2600" t="str">
            <v>Past</v>
          </cell>
          <cell r="Z2600">
            <v>4.6399999999999997</v>
          </cell>
          <cell r="AA2600">
            <v>0</v>
          </cell>
          <cell r="AB2600">
            <v>0</v>
          </cell>
        </row>
        <row r="2601">
          <cell r="G2601" t="str">
            <v>X570_1</v>
          </cell>
          <cell r="H2601" t="str">
            <v>as-as</v>
          </cell>
          <cell r="I2601" t="str">
            <v>sim</v>
          </cell>
          <cell r="V2601" t="str">
            <v>antonym</v>
          </cell>
          <cell r="Y2601" t="str">
            <v>Past</v>
          </cell>
          <cell r="Z2601">
            <v>4.6399999999999997</v>
          </cell>
          <cell r="AA2601">
            <v>0</v>
          </cell>
          <cell r="AB2601">
            <v>0</v>
          </cell>
        </row>
        <row r="2602">
          <cell r="G2602" t="str">
            <v>X571_0</v>
          </cell>
          <cell r="H2602" t="str">
            <v/>
          </cell>
          <cell r="I2602" t="str">
            <v>met</v>
          </cell>
          <cell r="V2602" t="str">
            <v>0</v>
          </cell>
          <cell r="Y2602" t="str">
            <v>Pres</v>
          </cell>
          <cell r="Z2602">
            <v>2.69</v>
          </cell>
          <cell r="AA2602" t="str">
            <v>L</v>
          </cell>
          <cell r="AB2602">
            <v>0</v>
          </cell>
        </row>
        <row r="2603">
          <cell r="G2603" t="str">
            <v>X571_1</v>
          </cell>
          <cell r="H2603" t="str">
            <v/>
          </cell>
          <cell r="I2603" t="str">
            <v>met</v>
          </cell>
          <cell r="V2603" t="str">
            <v>0</v>
          </cell>
          <cell r="Y2603" t="str">
            <v>Pres</v>
          </cell>
          <cell r="Z2603">
            <v>2.69</v>
          </cell>
          <cell r="AA2603" t="str">
            <v>L</v>
          </cell>
          <cell r="AB2603">
            <v>0</v>
          </cell>
        </row>
        <row r="2604">
          <cell r="G2604" t="str">
            <v>X572_0</v>
          </cell>
          <cell r="H2604" t="str">
            <v>like</v>
          </cell>
          <cell r="I2604" t="str">
            <v>sim</v>
          </cell>
          <cell r="V2604" t="str">
            <v>not neg pair</v>
          </cell>
          <cell r="Y2604" t="str">
            <v>Pres</v>
          </cell>
          <cell r="Z2604">
            <v>2.8</v>
          </cell>
          <cell r="AA2604" t="str">
            <v>L</v>
          </cell>
          <cell r="AB2604">
            <v>0</v>
          </cell>
        </row>
        <row r="2605">
          <cell r="G2605" t="str">
            <v>X572_1</v>
          </cell>
          <cell r="H2605" t="str">
            <v>like</v>
          </cell>
          <cell r="I2605" t="str">
            <v>sim</v>
          </cell>
          <cell r="V2605" t="str">
            <v>not neg pair</v>
          </cell>
          <cell r="Y2605" t="str">
            <v>Past</v>
          </cell>
          <cell r="Z2605">
            <v>4.1100000000000003</v>
          </cell>
          <cell r="AA2605">
            <v>0</v>
          </cell>
          <cell r="AB2605">
            <v>0</v>
          </cell>
        </row>
        <row r="2606">
          <cell r="G2606" t="str">
            <v>X573_0</v>
          </cell>
          <cell r="H2606" t="str">
            <v/>
          </cell>
          <cell r="I2606" t="str">
            <v>met</v>
          </cell>
          <cell r="V2606" t="str">
            <v>0</v>
          </cell>
          <cell r="Y2606" t="str">
            <v>Pres</v>
          </cell>
          <cell r="Z2606">
            <v>3.52</v>
          </cell>
          <cell r="AA2606">
            <v>0</v>
          </cell>
          <cell r="AB2606">
            <v>0</v>
          </cell>
        </row>
        <row r="2607">
          <cell r="G2607" t="str">
            <v>X573_1</v>
          </cell>
          <cell r="H2607" t="str">
            <v/>
          </cell>
          <cell r="I2607" t="str">
            <v>met</v>
          </cell>
          <cell r="V2607" t="str">
            <v>0</v>
          </cell>
          <cell r="Y2607" t="str">
            <v>Pres</v>
          </cell>
          <cell r="Z2607">
            <v>3.97</v>
          </cell>
          <cell r="AA2607">
            <v>0</v>
          </cell>
          <cell r="AB2607">
            <v>0</v>
          </cell>
        </row>
        <row r="2608">
          <cell r="G2608" t="str">
            <v>X574_0</v>
          </cell>
          <cell r="H2608" t="str">
            <v>the-of</v>
          </cell>
          <cell r="I2608" t="str">
            <v>sim</v>
          </cell>
          <cell r="V2608" t="str">
            <v>not</v>
          </cell>
          <cell r="Y2608" t="str">
            <v>Pres</v>
          </cell>
          <cell r="Z2608">
            <v>3.36</v>
          </cell>
          <cell r="AA2608">
            <v>0</v>
          </cell>
          <cell r="AB2608">
            <v>0</v>
          </cell>
        </row>
        <row r="2609">
          <cell r="G2609" t="str">
            <v>X574_1</v>
          </cell>
          <cell r="H2609" t="str">
            <v>the-of</v>
          </cell>
          <cell r="I2609" t="str">
            <v>sim</v>
          </cell>
          <cell r="V2609" t="str">
            <v>not</v>
          </cell>
          <cell r="Y2609" t="str">
            <v>Pres</v>
          </cell>
          <cell r="Z2609">
            <v>3.36</v>
          </cell>
          <cell r="AA2609">
            <v>0</v>
          </cell>
          <cell r="AB2609">
            <v>0</v>
          </cell>
        </row>
        <row r="2610">
          <cell r="G2610" t="str">
            <v>X575_0</v>
          </cell>
          <cell r="H2610" t="str">
            <v>as-as</v>
          </cell>
          <cell r="I2610" t="str">
            <v>sim</v>
          </cell>
          <cell r="V2610" t="str">
            <v>antonym</v>
          </cell>
          <cell r="Y2610" t="str">
            <v>Past</v>
          </cell>
          <cell r="Z2610">
            <v>3.93</v>
          </cell>
          <cell r="AA2610">
            <v>0</v>
          </cell>
          <cell r="AB2610">
            <v>0</v>
          </cell>
        </row>
        <row r="2611">
          <cell r="G2611" t="str">
            <v>X575_1</v>
          </cell>
          <cell r="H2611" t="str">
            <v>as-as</v>
          </cell>
          <cell r="I2611" t="str">
            <v>sim</v>
          </cell>
          <cell r="V2611" t="str">
            <v>antonym</v>
          </cell>
          <cell r="Y2611" t="str">
            <v>Pres</v>
          </cell>
          <cell r="Z2611">
            <v>3.93</v>
          </cell>
          <cell r="AA2611">
            <v>0</v>
          </cell>
          <cell r="AB2611">
            <v>0</v>
          </cell>
        </row>
        <row r="2612">
          <cell r="G2612" t="str">
            <v>X576_0</v>
          </cell>
          <cell r="H2612" t="str">
            <v>like</v>
          </cell>
          <cell r="I2612" t="str">
            <v>sim</v>
          </cell>
          <cell r="V2612" t="str">
            <v>not neg pair</v>
          </cell>
          <cell r="Y2612" t="str">
            <v>Past</v>
          </cell>
          <cell r="Z2612">
            <v>4.1399999999999997</v>
          </cell>
          <cell r="AA2612">
            <v>0</v>
          </cell>
          <cell r="AB2612">
            <v>0</v>
          </cell>
        </row>
        <row r="2613">
          <cell r="G2613" t="str">
            <v>X576_1</v>
          </cell>
          <cell r="H2613" t="str">
            <v>like</v>
          </cell>
          <cell r="I2613" t="str">
            <v>sim</v>
          </cell>
          <cell r="V2613" t="str">
            <v>not neg pair</v>
          </cell>
          <cell r="Y2613" t="str">
            <v>Past</v>
          </cell>
          <cell r="Z2613">
            <v>4.1399999999999997</v>
          </cell>
          <cell r="AA2613">
            <v>0</v>
          </cell>
          <cell r="AB2613">
            <v>0</v>
          </cell>
        </row>
        <row r="2614">
          <cell r="G2614" t="str">
            <v>X577_0</v>
          </cell>
          <cell r="H2614" t="str">
            <v>like</v>
          </cell>
          <cell r="I2614" t="str">
            <v>sim</v>
          </cell>
          <cell r="V2614" t="str">
            <v>not</v>
          </cell>
          <cell r="Y2614" t="str">
            <v>Past</v>
          </cell>
          <cell r="Z2614">
            <v>3.93</v>
          </cell>
          <cell r="AA2614">
            <v>0</v>
          </cell>
          <cell r="AB2614">
            <v>0</v>
          </cell>
        </row>
        <row r="2615">
          <cell r="G2615" t="str">
            <v>X577_1</v>
          </cell>
          <cell r="H2615" t="str">
            <v>like</v>
          </cell>
          <cell r="I2615" t="str">
            <v>sim</v>
          </cell>
          <cell r="V2615" t="str">
            <v>not</v>
          </cell>
          <cell r="Y2615" t="str">
            <v>Past</v>
          </cell>
          <cell r="Z2615">
            <v>3.93</v>
          </cell>
          <cell r="AA2615">
            <v>0</v>
          </cell>
          <cell r="AB2615">
            <v>0</v>
          </cell>
        </row>
        <row r="2616">
          <cell r="G2616" t="str">
            <v>X578_0</v>
          </cell>
          <cell r="H2616" t="str">
            <v>like</v>
          </cell>
          <cell r="I2616" t="str">
            <v>sim</v>
          </cell>
          <cell r="V2616" t="str">
            <v>not neg pair</v>
          </cell>
          <cell r="Y2616" t="str">
            <v>Past</v>
          </cell>
          <cell r="Z2616">
            <v>4.97</v>
          </cell>
          <cell r="AA2616" t="str">
            <v>H</v>
          </cell>
          <cell r="AB2616">
            <v>0</v>
          </cell>
        </row>
        <row r="2617">
          <cell r="G2617" t="str">
            <v>X578_1</v>
          </cell>
          <cell r="H2617" t="str">
            <v>like</v>
          </cell>
          <cell r="I2617" t="str">
            <v>sim</v>
          </cell>
          <cell r="V2617" t="str">
            <v>not neg pair</v>
          </cell>
          <cell r="Y2617" t="str">
            <v>Past</v>
          </cell>
          <cell r="Z2617">
            <v>4.97</v>
          </cell>
          <cell r="AA2617" t="str">
            <v>H</v>
          </cell>
          <cell r="AB2617">
            <v>0</v>
          </cell>
        </row>
        <row r="2618">
          <cell r="G2618" t="str">
            <v>X579_0</v>
          </cell>
          <cell r="H2618" t="str">
            <v>like</v>
          </cell>
          <cell r="I2618" t="str">
            <v>sim</v>
          </cell>
          <cell r="V2618" t="str">
            <v>not</v>
          </cell>
          <cell r="Y2618" t="str">
            <v>Past</v>
          </cell>
          <cell r="Z2618">
            <v>2.81</v>
          </cell>
          <cell r="AA2618">
            <v>0</v>
          </cell>
          <cell r="AB2618">
            <v>0</v>
          </cell>
        </row>
        <row r="2619">
          <cell r="G2619" t="str">
            <v>X579_1</v>
          </cell>
          <cell r="H2619" t="str">
            <v>like</v>
          </cell>
          <cell r="I2619" t="str">
            <v>sim</v>
          </cell>
          <cell r="V2619" t="str">
            <v>not</v>
          </cell>
          <cell r="Y2619" t="str">
            <v>Past</v>
          </cell>
          <cell r="Z2619">
            <v>2.81</v>
          </cell>
          <cell r="AA2619">
            <v>0</v>
          </cell>
          <cell r="AB2619">
            <v>0</v>
          </cell>
        </row>
        <row r="2620">
          <cell r="G2620" t="str">
            <v>X580_0</v>
          </cell>
          <cell r="H2620" t="str">
            <v>as-as</v>
          </cell>
          <cell r="I2620" t="str">
            <v>sim</v>
          </cell>
          <cell r="V2620" t="str">
            <v>antonym</v>
          </cell>
          <cell r="Y2620" t="str">
            <v>Past</v>
          </cell>
          <cell r="Z2620">
            <v>3.07</v>
          </cell>
          <cell r="AA2620">
            <v>0</v>
          </cell>
          <cell r="AB2620">
            <v>0</v>
          </cell>
        </row>
        <row r="2621">
          <cell r="G2621" t="str">
            <v>X580_1</v>
          </cell>
          <cell r="H2621" t="str">
            <v>as-as</v>
          </cell>
          <cell r="I2621" t="str">
            <v>sim</v>
          </cell>
          <cell r="V2621" t="str">
            <v>antonym</v>
          </cell>
          <cell r="Y2621" t="str">
            <v>Past</v>
          </cell>
          <cell r="Z2621">
            <v>3.07</v>
          </cell>
          <cell r="AA2621">
            <v>0</v>
          </cell>
          <cell r="AB2621">
            <v>0</v>
          </cell>
        </row>
        <row r="2622">
          <cell r="G2622" t="str">
            <v>X581_0</v>
          </cell>
          <cell r="H2622" t="str">
            <v>as-as</v>
          </cell>
          <cell r="I2622" t="str">
            <v>sim</v>
          </cell>
          <cell r="V2622" t="str">
            <v>not</v>
          </cell>
          <cell r="Y2622" t="str">
            <v>Pres</v>
          </cell>
          <cell r="Z2622">
            <v>4.8499999999999996</v>
          </cell>
          <cell r="AA2622">
            <v>0</v>
          </cell>
          <cell r="AB2622">
            <v>0</v>
          </cell>
        </row>
        <row r="2623">
          <cell r="G2623" t="str">
            <v>X581_1</v>
          </cell>
          <cell r="H2623" t="str">
            <v>as-as</v>
          </cell>
          <cell r="I2623" t="str">
            <v>sim</v>
          </cell>
          <cell r="V2623" t="str">
            <v>not</v>
          </cell>
          <cell r="Y2623" t="str">
            <v>Pres</v>
          </cell>
          <cell r="Z2623">
            <v>4.8499999999999996</v>
          </cell>
          <cell r="AA2623">
            <v>0</v>
          </cell>
          <cell r="AB2623">
            <v>0</v>
          </cell>
        </row>
        <row r="2624">
          <cell r="G2624" t="str">
            <v>X582_0</v>
          </cell>
          <cell r="H2624" t="str">
            <v>as-as</v>
          </cell>
          <cell r="I2624" t="str">
            <v>sim</v>
          </cell>
          <cell r="V2624" t="str">
            <v>not</v>
          </cell>
          <cell r="Y2624" t="str">
            <v>Pres</v>
          </cell>
          <cell r="Z2624">
            <v>4.1100000000000003</v>
          </cell>
          <cell r="AA2624">
            <v>0</v>
          </cell>
          <cell r="AB2624">
            <v>0</v>
          </cell>
        </row>
        <row r="2625">
          <cell r="G2625" t="str">
            <v>X582_1</v>
          </cell>
          <cell r="H2625" t="str">
            <v>as-as</v>
          </cell>
          <cell r="I2625" t="str">
            <v>sim</v>
          </cell>
          <cell r="V2625" t="str">
            <v>not</v>
          </cell>
          <cell r="Y2625" t="str">
            <v>Pres</v>
          </cell>
          <cell r="Z2625">
            <v>4.1100000000000003</v>
          </cell>
          <cell r="AA2625">
            <v>0</v>
          </cell>
          <cell r="AB2625">
            <v>0</v>
          </cell>
        </row>
        <row r="2626">
          <cell r="G2626" t="str">
            <v>X583_0</v>
          </cell>
          <cell r="H2626" t="str">
            <v>as-as</v>
          </cell>
          <cell r="I2626" t="str">
            <v>sim</v>
          </cell>
          <cell r="V2626" t="str">
            <v>antonym</v>
          </cell>
          <cell r="Y2626" t="str">
            <v>Pres</v>
          </cell>
          <cell r="Z2626">
            <v>3.23</v>
          </cell>
          <cell r="AA2626">
            <v>0</v>
          </cell>
          <cell r="AB2626">
            <v>0</v>
          </cell>
        </row>
        <row r="2627">
          <cell r="G2627" t="str">
            <v>X583_1</v>
          </cell>
          <cell r="H2627" t="str">
            <v>as-as</v>
          </cell>
          <cell r="I2627" t="str">
            <v>sim</v>
          </cell>
          <cell r="V2627" t="str">
            <v>antonym</v>
          </cell>
          <cell r="Y2627" t="str">
            <v>Pres</v>
          </cell>
          <cell r="Z2627">
            <v>3.23</v>
          </cell>
          <cell r="AA2627">
            <v>0</v>
          </cell>
          <cell r="AB2627">
            <v>0</v>
          </cell>
        </row>
        <row r="2628">
          <cell r="G2628" t="str">
            <v>X584_0</v>
          </cell>
          <cell r="H2628" t="str">
            <v>like</v>
          </cell>
          <cell r="I2628" t="str">
            <v>sim</v>
          </cell>
          <cell r="V2628" t="str">
            <v>not neg pair</v>
          </cell>
          <cell r="Y2628" t="str">
            <v>Past</v>
          </cell>
          <cell r="Z2628">
            <v>2.67</v>
          </cell>
          <cell r="AA2628" t="str">
            <v>L</v>
          </cell>
          <cell r="AB2628">
            <v>0</v>
          </cell>
        </row>
        <row r="2629">
          <cell r="G2629" t="str">
            <v>X584_1</v>
          </cell>
          <cell r="H2629" t="str">
            <v>like</v>
          </cell>
          <cell r="I2629" t="str">
            <v>sim</v>
          </cell>
          <cell r="V2629" t="str">
            <v>not neg pair</v>
          </cell>
          <cell r="Y2629" t="str">
            <v>Pres</v>
          </cell>
          <cell r="Z2629">
            <v>2.67</v>
          </cell>
          <cell r="AA2629" t="str">
            <v>L</v>
          </cell>
          <cell r="AB2629">
            <v>0</v>
          </cell>
        </row>
        <row r="2630">
          <cell r="G2630" t="str">
            <v>X585_0</v>
          </cell>
          <cell r="H2630" t="str">
            <v>the-of</v>
          </cell>
          <cell r="I2630" t="str">
            <v>sim</v>
          </cell>
          <cell r="V2630" t="str">
            <v>not neg pair</v>
          </cell>
          <cell r="Y2630" t="str">
            <v>Pres</v>
          </cell>
          <cell r="Z2630">
            <v>4.7699999999999996</v>
          </cell>
          <cell r="AA2630">
            <v>0</v>
          </cell>
          <cell r="AB2630">
            <v>0</v>
          </cell>
        </row>
        <row r="2631">
          <cell r="G2631" t="str">
            <v>X585_1</v>
          </cell>
          <cell r="H2631" t="str">
            <v>the-of</v>
          </cell>
          <cell r="I2631" t="str">
            <v>sim</v>
          </cell>
          <cell r="V2631" t="str">
            <v>not neg pair</v>
          </cell>
          <cell r="Y2631" t="str">
            <v>Pres</v>
          </cell>
          <cell r="Z2631">
            <v>4.7699999999999996</v>
          </cell>
          <cell r="AA2631">
            <v>0</v>
          </cell>
          <cell r="AB2631">
            <v>0</v>
          </cell>
        </row>
        <row r="2632">
          <cell r="G2632" t="str">
            <v>X586_0</v>
          </cell>
          <cell r="H2632" t="str">
            <v>like</v>
          </cell>
          <cell r="I2632" t="str">
            <v>sim</v>
          </cell>
          <cell r="V2632" t="str">
            <v>not neg pair</v>
          </cell>
          <cell r="Y2632" t="str">
            <v>Past</v>
          </cell>
          <cell r="Z2632">
            <v>4.72</v>
          </cell>
          <cell r="AA2632">
            <v>0</v>
          </cell>
          <cell r="AB2632">
            <v>0</v>
          </cell>
        </row>
        <row r="2633">
          <cell r="G2633" t="str">
            <v>X586_1</v>
          </cell>
          <cell r="H2633" t="str">
            <v>like</v>
          </cell>
          <cell r="I2633" t="str">
            <v>sim</v>
          </cell>
          <cell r="V2633" t="str">
            <v>not neg pair</v>
          </cell>
          <cell r="Y2633" t="str">
            <v>Past</v>
          </cell>
          <cell r="Z2633">
            <v>4.72</v>
          </cell>
          <cell r="AA2633">
            <v>0</v>
          </cell>
          <cell r="AB2633">
            <v>0</v>
          </cell>
        </row>
        <row r="2634">
          <cell r="G2634" t="str">
            <v>X587_0</v>
          </cell>
          <cell r="H2634" t="str">
            <v>the-of</v>
          </cell>
          <cell r="I2634" t="str">
            <v>sim</v>
          </cell>
          <cell r="V2634" t="str">
            <v>not neg pair</v>
          </cell>
          <cell r="Y2634" t="str">
            <v>Past</v>
          </cell>
          <cell r="Z2634">
            <v>3.97</v>
          </cell>
          <cell r="AA2634">
            <v>0</v>
          </cell>
          <cell r="AB2634">
            <v>0</v>
          </cell>
        </row>
        <row r="2635">
          <cell r="G2635" t="str">
            <v>X587_1</v>
          </cell>
          <cell r="H2635" t="str">
            <v>the-of</v>
          </cell>
          <cell r="I2635" t="str">
            <v>sim</v>
          </cell>
          <cell r="V2635" t="str">
            <v>not neg pair</v>
          </cell>
          <cell r="Y2635" t="str">
            <v>Past</v>
          </cell>
          <cell r="Z2635">
            <v>3.97</v>
          </cell>
          <cell r="AA2635">
            <v>0</v>
          </cell>
          <cell r="AB2635">
            <v>0</v>
          </cell>
        </row>
        <row r="2636">
          <cell r="G2636" t="str">
            <v>X588_0</v>
          </cell>
          <cell r="H2636" t="str">
            <v>the-of</v>
          </cell>
          <cell r="I2636" t="str">
            <v>sim</v>
          </cell>
          <cell r="V2636" t="str">
            <v>not neg pair</v>
          </cell>
          <cell r="Y2636" t="str">
            <v>Past</v>
          </cell>
          <cell r="Z2636">
            <v>4.75</v>
          </cell>
          <cell r="AA2636">
            <v>0</v>
          </cell>
          <cell r="AB2636">
            <v>0</v>
          </cell>
        </row>
        <row r="2637">
          <cell r="G2637" t="str">
            <v>X588_1</v>
          </cell>
          <cell r="H2637" t="str">
            <v>the-of</v>
          </cell>
          <cell r="I2637" t="str">
            <v>sim</v>
          </cell>
          <cell r="V2637" t="str">
            <v>not neg pair</v>
          </cell>
          <cell r="Y2637" t="str">
            <v>Past</v>
          </cell>
          <cell r="Z2637">
            <v>4.75</v>
          </cell>
          <cell r="AA2637">
            <v>0</v>
          </cell>
          <cell r="AB2637">
            <v>0</v>
          </cell>
        </row>
        <row r="2638">
          <cell r="G2638" t="str">
            <v>X589_0</v>
          </cell>
          <cell r="H2638" t="str">
            <v/>
          </cell>
          <cell r="I2638" t="str">
            <v>met</v>
          </cell>
          <cell r="V2638" t="str">
            <v>0</v>
          </cell>
          <cell r="Y2638" t="str">
            <v>Pres</v>
          </cell>
          <cell r="Z2638">
            <v>4.8600000000000003</v>
          </cell>
          <cell r="AA2638">
            <v>0</v>
          </cell>
          <cell r="AB2638">
            <v>0</v>
          </cell>
        </row>
        <row r="2639">
          <cell r="G2639" t="str">
            <v>X589_1</v>
          </cell>
          <cell r="H2639" t="str">
            <v/>
          </cell>
          <cell r="I2639" t="str">
            <v>met</v>
          </cell>
          <cell r="V2639" t="str">
            <v>0</v>
          </cell>
          <cell r="Y2639" t="str">
            <v>Pres</v>
          </cell>
          <cell r="Z2639">
            <v>4.8600000000000003</v>
          </cell>
          <cell r="AA2639">
            <v>0</v>
          </cell>
          <cell r="AB2639">
            <v>0</v>
          </cell>
        </row>
        <row r="2640">
          <cell r="G2640" t="str">
            <v>X590_0</v>
          </cell>
          <cell r="H2640" t="str">
            <v/>
          </cell>
          <cell r="I2640" t="str">
            <v>met</v>
          </cell>
          <cell r="V2640" t="str">
            <v>0</v>
          </cell>
          <cell r="Y2640" t="str">
            <v>Pres</v>
          </cell>
          <cell r="Z2640">
            <v>0</v>
          </cell>
          <cell r="AA2640">
            <v>0</v>
          </cell>
          <cell r="AB2640">
            <v>0</v>
          </cell>
        </row>
        <row r="2641">
          <cell r="G2641" t="str">
            <v>X590_1</v>
          </cell>
          <cell r="H2641" t="str">
            <v/>
          </cell>
          <cell r="I2641" t="str">
            <v>met</v>
          </cell>
          <cell r="V2641" t="str">
            <v>0</v>
          </cell>
          <cell r="Y2641" t="str">
            <v>Pres</v>
          </cell>
          <cell r="Z2641">
            <v>0</v>
          </cell>
          <cell r="AA2641">
            <v>0</v>
          </cell>
          <cell r="AB2641">
            <v>0</v>
          </cell>
        </row>
        <row r="2642">
          <cell r="G2642" t="str">
            <v>X591_0</v>
          </cell>
          <cell r="H2642" t="str">
            <v/>
          </cell>
          <cell r="I2642" t="str">
            <v>met</v>
          </cell>
          <cell r="V2642" t="str">
            <v>0</v>
          </cell>
          <cell r="Y2642" t="str">
            <v>Pres</v>
          </cell>
          <cell r="Z2642">
            <v>2.76</v>
          </cell>
          <cell r="AA2642" t="str">
            <v>L</v>
          </cell>
          <cell r="AB2642">
            <v>0</v>
          </cell>
        </row>
        <row r="2643">
          <cell r="G2643" t="str">
            <v>X591_1</v>
          </cell>
          <cell r="H2643" t="str">
            <v/>
          </cell>
          <cell r="I2643" t="str">
            <v>met</v>
          </cell>
          <cell r="V2643" t="str">
            <v>0</v>
          </cell>
          <cell r="Y2643" t="str">
            <v>Pres</v>
          </cell>
          <cell r="Z2643">
            <v>2.76</v>
          </cell>
          <cell r="AA2643" t="str">
            <v>L</v>
          </cell>
          <cell r="AB2643">
            <v>0</v>
          </cell>
        </row>
        <row r="2644">
          <cell r="G2644" t="str">
            <v>X592_0</v>
          </cell>
          <cell r="H2644" t="str">
            <v/>
          </cell>
          <cell r="I2644" t="str">
            <v>met</v>
          </cell>
          <cell r="V2644" t="str">
            <v>0</v>
          </cell>
          <cell r="Y2644" t="str">
            <v>Pres</v>
          </cell>
          <cell r="Z2644">
            <v>4.72</v>
          </cell>
          <cell r="AA2644">
            <v>0</v>
          </cell>
          <cell r="AB2644">
            <v>0</v>
          </cell>
        </row>
        <row r="2645">
          <cell r="G2645" t="str">
            <v>X592_1</v>
          </cell>
          <cell r="H2645" t="str">
            <v/>
          </cell>
          <cell r="I2645" t="str">
            <v>met</v>
          </cell>
          <cell r="V2645" t="str">
            <v>0</v>
          </cell>
          <cell r="Y2645" t="str">
            <v>Pres</v>
          </cell>
          <cell r="Z2645">
            <v>4.72</v>
          </cell>
          <cell r="AA2645">
            <v>0</v>
          </cell>
          <cell r="AB2645">
            <v>0</v>
          </cell>
        </row>
        <row r="2646">
          <cell r="G2646" t="str">
            <v>X593_0</v>
          </cell>
          <cell r="H2646" t="str">
            <v>like</v>
          </cell>
          <cell r="I2646" t="str">
            <v>sim</v>
          </cell>
          <cell r="V2646" t="str">
            <v>not neg pair</v>
          </cell>
          <cell r="Y2646" t="str">
            <v>Pres</v>
          </cell>
          <cell r="Z2646">
            <v>4.82</v>
          </cell>
          <cell r="AA2646">
            <v>0</v>
          </cell>
          <cell r="AB2646">
            <v>0</v>
          </cell>
        </row>
        <row r="2647">
          <cell r="G2647" t="str">
            <v>X593_1</v>
          </cell>
          <cell r="H2647" t="str">
            <v>like</v>
          </cell>
          <cell r="I2647" t="str">
            <v>sim</v>
          </cell>
          <cell r="V2647" t="str">
            <v>not neg pair</v>
          </cell>
          <cell r="Y2647" t="str">
            <v>Past</v>
          </cell>
          <cell r="Z2647">
            <v>4.82</v>
          </cell>
          <cell r="AA2647">
            <v>0</v>
          </cell>
          <cell r="AB2647">
            <v>0</v>
          </cell>
        </row>
        <row r="2648">
          <cell r="G2648" t="str">
            <v>X594_0</v>
          </cell>
          <cell r="H2648" t="str">
            <v>like</v>
          </cell>
          <cell r="I2648" t="str">
            <v>sim</v>
          </cell>
          <cell r="V2648" t="str">
            <v>not</v>
          </cell>
          <cell r="Y2648" t="str">
            <v>Pres</v>
          </cell>
          <cell r="Z2648">
            <v>2.79</v>
          </cell>
          <cell r="AA2648" t="str">
            <v>L</v>
          </cell>
          <cell r="AB2648">
            <v>0</v>
          </cell>
        </row>
        <row r="2649">
          <cell r="G2649" t="str">
            <v>X594_1</v>
          </cell>
          <cell r="H2649" t="str">
            <v>like</v>
          </cell>
          <cell r="I2649" t="str">
            <v>sim</v>
          </cell>
          <cell r="V2649" t="str">
            <v>not</v>
          </cell>
          <cell r="Y2649" t="str">
            <v>Pres</v>
          </cell>
          <cell r="Z2649">
            <v>2.79</v>
          </cell>
          <cell r="AA2649" t="str">
            <v>L</v>
          </cell>
          <cell r="AB2649">
            <v>0</v>
          </cell>
        </row>
        <row r="2650">
          <cell r="G2650" t="str">
            <v>X595_0</v>
          </cell>
          <cell r="H2650" t="str">
            <v/>
          </cell>
          <cell r="I2650" t="str">
            <v>met</v>
          </cell>
          <cell r="V2650" t="str">
            <v>0</v>
          </cell>
          <cell r="Y2650" t="str">
            <v>Pres</v>
          </cell>
          <cell r="Z2650">
            <v>4.9000000000000004</v>
          </cell>
          <cell r="AA2650">
            <v>0</v>
          </cell>
          <cell r="AB2650">
            <v>0</v>
          </cell>
        </row>
        <row r="2651">
          <cell r="G2651" t="str">
            <v>X595_1</v>
          </cell>
          <cell r="H2651" t="str">
            <v/>
          </cell>
          <cell r="I2651" t="str">
            <v>met</v>
          </cell>
          <cell r="V2651" t="str">
            <v>0</v>
          </cell>
          <cell r="Y2651" t="str">
            <v>Pres</v>
          </cell>
          <cell r="Z2651">
            <v>2.81</v>
          </cell>
          <cell r="AA2651">
            <v>0</v>
          </cell>
          <cell r="AB2651">
            <v>0</v>
          </cell>
        </row>
        <row r="2652">
          <cell r="G2652" t="str">
            <v>X596_0</v>
          </cell>
          <cell r="H2652" t="str">
            <v/>
          </cell>
          <cell r="I2652" t="str">
            <v>met</v>
          </cell>
          <cell r="V2652" t="str">
            <v>0</v>
          </cell>
          <cell r="Y2652" t="str">
            <v>Pres</v>
          </cell>
          <cell r="Z2652">
            <v>3.81</v>
          </cell>
          <cell r="AA2652">
            <v>0</v>
          </cell>
          <cell r="AB2652">
            <v>0</v>
          </cell>
        </row>
        <row r="2653">
          <cell r="G2653" t="str">
            <v>X596_1</v>
          </cell>
          <cell r="H2653" t="str">
            <v/>
          </cell>
          <cell r="I2653" t="str">
            <v>met</v>
          </cell>
          <cell r="V2653" t="str">
            <v>0</v>
          </cell>
          <cell r="Y2653" t="str">
            <v>Pres</v>
          </cell>
          <cell r="Z2653">
            <v>3.81</v>
          </cell>
          <cell r="AA2653">
            <v>0</v>
          </cell>
          <cell r="AB2653">
            <v>0</v>
          </cell>
        </row>
        <row r="2654">
          <cell r="G2654" t="str">
            <v>X597_0</v>
          </cell>
          <cell r="H2654" t="str">
            <v/>
          </cell>
          <cell r="I2654" t="str">
            <v>met</v>
          </cell>
          <cell r="V2654" t="str">
            <v>0</v>
          </cell>
          <cell r="Y2654" t="str">
            <v>Pres</v>
          </cell>
          <cell r="Z2654">
            <v>2.17</v>
          </cell>
          <cell r="AA2654" t="str">
            <v>L</v>
          </cell>
          <cell r="AB2654">
            <v>0</v>
          </cell>
        </row>
        <row r="2655">
          <cell r="G2655" t="str">
            <v>X597_1</v>
          </cell>
          <cell r="H2655" t="str">
            <v/>
          </cell>
          <cell r="I2655" t="str">
            <v>met</v>
          </cell>
          <cell r="V2655" t="str">
            <v>0</v>
          </cell>
          <cell r="Y2655" t="str">
            <v>Pres</v>
          </cell>
          <cell r="Z2655">
            <v>2.17</v>
          </cell>
          <cell r="AA2655" t="str">
            <v>L</v>
          </cell>
          <cell r="AB2655">
            <v>0</v>
          </cell>
        </row>
        <row r="2656">
          <cell r="G2656" t="str">
            <v>X598_0</v>
          </cell>
          <cell r="H2656" t="str">
            <v/>
          </cell>
          <cell r="I2656" t="str">
            <v>met</v>
          </cell>
          <cell r="V2656" t="str">
            <v>0</v>
          </cell>
          <cell r="Y2656" t="str">
            <v>Pres</v>
          </cell>
          <cell r="Z2656">
            <v>4.72</v>
          </cell>
          <cell r="AA2656">
            <v>0</v>
          </cell>
          <cell r="AB2656">
            <v>0</v>
          </cell>
        </row>
        <row r="2657">
          <cell r="G2657" t="str">
            <v>X598_1</v>
          </cell>
          <cell r="H2657" t="str">
            <v/>
          </cell>
          <cell r="I2657" t="str">
            <v>met</v>
          </cell>
          <cell r="V2657" t="str">
            <v>0</v>
          </cell>
          <cell r="Y2657" t="str">
            <v>Pres</v>
          </cell>
          <cell r="Z2657">
            <v>4.72</v>
          </cell>
          <cell r="AA2657">
            <v>0</v>
          </cell>
          <cell r="AB2657">
            <v>0</v>
          </cell>
        </row>
        <row r="2658">
          <cell r="G2658" t="str">
            <v>X599_0</v>
          </cell>
          <cell r="H2658" t="str">
            <v/>
          </cell>
          <cell r="I2658" t="str">
            <v>met</v>
          </cell>
          <cell r="V2658" t="str">
            <v>0</v>
          </cell>
          <cell r="Y2658" t="str">
            <v>Pres</v>
          </cell>
          <cell r="Z2658">
            <v>3.66</v>
          </cell>
          <cell r="AA2658">
            <v>0</v>
          </cell>
          <cell r="AB2658">
            <v>0</v>
          </cell>
        </row>
        <row r="2659">
          <cell r="G2659" t="str">
            <v>X599_1</v>
          </cell>
          <cell r="H2659" t="str">
            <v/>
          </cell>
          <cell r="I2659" t="str">
            <v>met</v>
          </cell>
          <cell r="V2659" t="str">
            <v>0</v>
          </cell>
          <cell r="Y2659" t="str">
            <v>Pres</v>
          </cell>
          <cell r="Z2659">
            <v>3.66</v>
          </cell>
          <cell r="AA2659">
            <v>0</v>
          </cell>
          <cell r="AB2659">
            <v>0</v>
          </cell>
        </row>
        <row r="2660">
          <cell r="G2660" t="str">
            <v>X600_0</v>
          </cell>
          <cell r="H2660" t="str">
            <v/>
          </cell>
          <cell r="I2660" t="str">
            <v>met</v>
          </cell>
          <cell r="V2660" t="str">
            <v>0</v>
          </cell>
          <cell r="Y2660" t="str">
            <v>Pres</v>
          </cell>
          <cell r="Z2660">
            <v>2.04</v>
          </cell>
          <cell r="AA2660" t="str">
            <v>L</v>
          </cell>
          <cell r="AB2660">
            <v>0</v>
          </cell>
        </row>
        <row r="2661">
          <cell r="G2661" t="str">
            <v>X600_1</v>
          </cell>
          <cell r="H2661" t="str">
            <v/>
          </cell>
          <cell r="I2661" t="str">
            <v>met</v>
          </cell>
          <cell r="V2661" t="str">
            <v>0</v>
          </cell>
          <cell r="Y2661" t="str">
            <v>Pres</v>
          </cell>
          <cell r="Z2661">
            <v>2.04</v>
          </cell>
          <cell r="AA2661" t="str">
            <v>L</v>
          </cell>
          <cell r="AB2661">
            <v>0</v>
          </cell>
        </row>
        <row r="2662">
          <cell r="G2662" t="str">
            <v>X601_0</v>
          </cell>
          <cell r="H2662" t="str">
            <v>as-as</v>
          </cell>
          <cell r="I2662" t="str">
            <v>sim</v>
          </cell>
          <cell r="V2662" t="str">
            <v>antonym</v>
          </cell>
          <cell r="Y2662" t="str">
            <v>Pres</v>
          </cell>
          <cell r="Z2662">
            <v>3.36</v>
          </cell>
          <cell r="AA2662">
            <v>0</v>
          </cell>
          <cell r="AB2662">
            <v>0</v>
          </cell>
        </row>
        <row r="2663">
          <cell r="G2663" t="str">
            <v>X601_1</v>
          </cell>
          <cell r="H2663" t="str">
            <v>as-as</v>
          </cell>
          <cell r="I2663" t="str">
            <v>sim</v>
          </cell>
          <cell r="V2663" t="str">
            <v>antonym</v>
          </cell>
          <cell r="Y2663" t="str">
            <v>Pres</v>
          </cell>
          <cell r="Z2663">
            <v>3.36</v>
          </cell>
          <cell r="AA2663">
            <v>0</v>
          </cell>
          <cell r="AB2663">
            <v>0</v>
          </cell>
        </row>
        <row r="2664">
          <cell r="G2664" t="str">
            <v>X602_0</v>
          </cell>
          <cell r="H2664" t="str">
            <v>the-of</v>
          </cell>
          <cell r="I2664" t="str">
            <v>sim</v>
          </cell>
          <cell r="V2664" t="str">
            <v>not neg pair</v>
          </cell>
          <cell r="Y2664" t="str">
            <v>Pres</v>
          </cell>
          <cell r="Z2664">
            <v>3.36</v>
          </cell>
          <cell r="AA2664">
            <v>0</v>
          </cell>
          <cell r="AB2664">
            <v>0</v>
          </cell>
        </row>
        <row r="2665">
          <cell r="G2665" t="str">
            <v>X602_1</v>
          </cell>
          <cell r="H2665" t="str">
            <v>the-of</v>
          </cell>
          <cell r="I2665" t="str">
            <v>sim</v>
          </cell>
          <cell r="V2665" t="str">
            <v>not neg pair</v>
          </cell>
          <cell r="Y2665" t="str">
            <v>Pres</v>
          </cell>
          <cell r="Z2665">
            <v>3.36</v>
          </cell>
          <cell r="AA2665">
            <v>0</v>
          </cell>
          <cell r="AB2665">
            <v>0</v>
          </cell>
        </row>
        <row r="2666">
          <cell r="G2666" t="str">
            <v>X603_0</v>
          </cell>
          <cell r="H2666" t="str">
            <v>the-of</v>
          </cell>
          <cell r="I2666" t="str">
            <v>sim</v>
          </cell>
          <cell r="V2666" t="str">
            <v>not neg pair</v>
          </cell>
          <cell r="Y2666" t="str">
            <v>Past</v>
          </cell>
          <cell r="Z2666">
            <v>3.36</v>
          </cell>
          <cell r="AA2666">
            <v>0</v>
          </cell>
          <cell r="AB2666">
            <v>0</v>
          </cell>
        </row>
        <row r="2667">
          <cell r="G2667" t="str">
            <v>X603_1</v>
          </cell>
          <cell r="H2667" t="str">
            <v>the-of</v>
          </cell>
          <cell r="I2667" t="str">
            <v>sim</v>
          </cell>
          <cell r="V2667" t="str">
            <v>not neg pair</v>
          </cell>
          <cell r="Y2667" t="str">
            <v>Past</v>
          </cell>
          <cell r="Z2667">
            <v>3.36</v>
          </cell>
          <cell r="AA2667">
            <v>0</v>
          </cell>
          <cell r="AB2667">
            <v>0</v>
          </cell>
        </row>
        <row r="2668">
          <cell r="G2668" t="str">
            <v>X604_0</v>
          </cell>
          <cell r="H2668" t="str">
            <v>as-as</v>
          </cell>
          <cell r="I2668" t="str">
            <v>sim</v>
          </cell>
          <cell r="V2668" t="str">
            <v>not neg pair</v>
          </cell>
          <cell r="Y2668" t="str">
            <v>Past</v>
          </cell>
          <cell r="Z2668">
            <v>2.81</v>
          </cell>
          <cell r="AA2668">
            <v>0</v>
          </cell>
          <cell r="AB2668">
            <v>0</v>
          </cell>
        </row>
        <row r="2669">
          <cell r="G2669" t="str">
            <v>X604_1</v>
          </cell>
          <cell r="H2669" t="str">
            <v>as-as</v>
          </cell>
          <cell r="I2669" t="str">
            <v>sim</v>
          </cell>
          <cell r="V2669" t="str">
            <v>not neg pair</v>
          </cell>
          <cell r="Y2669" t="str">
            <v>Past</v>
          </cell>
          <cell r="Z2669">
            <v>2.81</v>
          </cell>
          <cell r="AA2669">
            <v>0</v>
          </cell>
          <cell r="AB2669">
            <v>0</v>
          </cell>
        </row>
        <row r="2670">
          <cell r="G2670" t="str">
            <v>X605_0</v>
          </cell>
          <cell r="H2670" t="str">
            <v>as-as</v>
          </cell>
          <cell r="I2670" t="str">
            <v>sim</v>
          </cell>
          <cell r="V2670" t="str">
            <v>not neg pair</v>
          </cell>
          <cell r="Y2670" t="str">
            <v>Past</v>
          </cell>
          <cell r="Z2670">
            <v>2.81</v>
          </cell>
          <cell r="AA2670">
            <v>0</v>
          </cell>
          <cell r="AB2670">
            <v>0</v>
          </cell>
        </row>
        <row r="2671">
          <cell r="G2671" t="str">
            <v>X605_1</v>
          </cell>
          <cell r="H2671" t="str">
            <v>as-as</v>
          </cell>
          <cell r="I2671" t="str">
            <v>sim</v>
          </cell>
          <cell r="V2671" t="str">
            <v>not neg pair</v>
          </cell>
          <cell r="Y2671" t="str">
            <v>Past</v>
          </cell>
          <cell r="Z2671">
            <v>2.81</v>
          </cell>
          <cell r="AA2671">
            <v>0</v>
          </cell>
          <cell r="AB2671">
            <v>0</v>
          </cell>
        </row>
        <row r="2672">
          <cell r="G2672" t="str">
            <v>X606_0</v>
          </cell>
          <cell r="H2672" t="str">
            <v>as-as</v>
          </cell>
          <cell r="I2672" t="str">
            <v>sim</v>
          </cell>
          <cell r="V2672" t="str">
            <v>not neg pair</v>
          </cell>
          <cell r="Y2672" t="str">
            <v>Past</v>
          </cell>
          <cell r="Z2672">
            <v>2.81</v>
          </cell>
          <cell r="AA2672">
            <v>0</v>
          </cell>
          <cell r="AB2672">
            <v>0</v>
          </cell>
        </row>
        <row r="2673">
          <cell r="G2673" t="str">
            <v>X606_1</v>
          </cell>
          <cell r="H2673" t="str">
            <v>as-as</v>
          </cell>
          <cell r="I2673" t="str">
            <v>sim</v>
          </cell>
          <cell r="V2673" t="str">
            <v>not neg pair</v>
          </cell>
          <cell r="Y2673" t="str">
            <v>Past</v>
          </cell>
          <cell r="Z2673">
            <v>2.81</v>
          </cell>
          <cell r="AA2673">
            <v>0</v>
          </cell>
          <cell r="AB2673">
            <v>0</v>
          </cell>
        </row>
        <row r="2674">
          <cell r="G2674" t="str">
            <v>X607_0</v>
          </cell>
          <cell r="H2674" t="str">
            <v>as-as</v>
          </cell>
          <cell r="I2674" t="str">
            <v>sim</v>
          </cell>
          <cell r="V2674" t="str">
            <v>not</v>
          </cell>
          <cell r="Y2674" t="str">
            <v>Pres</v>
          </cell>
          <cell r="Z2674">
            <v>3.93</v>
          </cell>
          <cell r="AA2674">
            <v>0</v>
          </cell>
          <cell r="AB2674">
            <v>0</v>
          </cell>
        </row>
        <row r="2675">
          <cell r="G2675" t="str">
            <v>X607_1</v>
          </cell>
          <cell r="H2675" t="str">
            <v>as-as</v>
          </cell>
          <cell r="I2675" t="str">
            <v>sim</v>
          </cell>
          <cell r="V2675" t="str">
            <v>not</v>
          </cell>
          <cell r="Y2675" t="str">
            <v>Pres</v>
          </cell>
          <cell r="Z2675">
            <v>3.93</v>
          </cell>
          <cell r="AA2675">
            <v>0</v>
          </cell>
          <cell r="AB2675">
            <v>0</v>
          </cell>
        </row>
        <row r="2676">
          <cell r="G2676" t="str">
            <v>X608_0</v>
          </cell>
          <cell r="H2676" t="str">
            <v>like</v>
          </cell>
          <cell r="I2676" t="str">
            <v>sim</v>
          </cell>
          <cell r="V2676" t="str">
            <v>not neg pair</v>
          </cell>
          <cell r="Y2676" t="str">
            <v>Pres</v>
          </cell>
          <cell r="Z2676">
            <v>3.93</v>
          </cell>
          <cell r="AA2676">
            <v>0</v>
          </cell>
          <cell r="AB2676">
            <v>0</v>
          </cell>
        </row>
        <row r="2677">
          <cell r="G2677" t="str">
            <v>X608_1</v>
          </cell>
          <cell r="H2677" t="str">
            <v>like</v>
          </cell>
          <cell r="I2677" t="str">
            <v>sim</v>
          </cell>
          <cell r="V2677" t="str">
            <v>not neg pair</v>
          </cell>
          <cell r="Y2677" t="str">
            <v>Pres</v>
          </cell>
          <cell r="Z2677">
            <v>3.93</v>
          </cell>
          <cell r="AA2677">
            <v>0</v>
          </cell>
          <cell r="AB2677">
            <v>0</v>
          </cell>
        </row>
        <row r="2678">
          <cell r="G2678" t="str">
            <v>X609_0</v>
          </cell>
          <cell r="H2678" t="str">
            <v>the-of</v>
          </cell>
          <cell r="I2678" t="str">
            <v>sim</v>
          </cell>
          <cell r="V2678" t="str">
            <v>not neg pair</v>
          </cell>
          <cell r="Y2678" t="str">
            <v>Past</v>
          </cell>
          <cell r="Z2678">
            <v>3.93</v>
          </cell>
          <cell r="AA2678">
            <v>0</v>
          </cell>
          <cell r="AB2678">
            <v>0</v>
          </cell>
        </row>
        <row r="2679">
          <cell r="G2679" t="str">
            <v>X609_1</v>
          </cell>
          <cell r="H2679" t="str">
            <v>the-of</v>
          </cell>
          <cell r="I2679" t="str">
            <v>sim</v>
          </cell>
          <cell r="V2679" t="str">
            <v>not neg pair</v>
          </cell>
          <cell r="Y2679" t="str">
            <v>Past</v>
          </cell>
          <cell r="Z2679">
            <v>3.93</v>
          </cell>
          <cell r="AA2679">
            <v>0</v>
          </cell>
          <cell r="AB2679">
            <v>0</v>
          </cell>
        </row>
        <row r="2680">
          <cell r="G2680" t="str">
            <v>X610_0</v>
          </cell>
          <cell r="H2680" t="str">
            <v>as-as</v>
          </cell>
          <cell r="I2680" t="str">
            <v>sim</v>
          </cell>
          <cell r="V2680" t="str">
            <v>not neg pair</v>
          </cell>
          <cell r="Y2680" t="str">
            <v>Past</v>
          </cell>
          <cell r="Z2680">
            <v>4.8899999999999997</v>
          </cell>
          <cell r="AA2680">
            <v>0</v>
          </cell>
          <cell r="AB2680">
            <v>0</v>
          </cell>
        </row>
        <row r="2681">
          <cell r="G2681" t="str">
            <v>X610_1</v>
          </cell>
          <cell r="H2681" t="str">
            <v>as-as</v>
          </cell>
          <cell r="I2681" t="str">
            <v>sim</v>
          </cell>
          <cell r="V2681" t="str">
            <v>not neg pair</v>
          </cell>
          <cell r="Y2681" t="str">
            <v>Past</v>
          </cell>
          <cell r="Z2681">
            <v>4.8899999999999997</v>
          </cell>
          <cell r="AA2681">
            <v>0</v>
          </cell>
          <cell r="AB2681">
            <v>0</v>
          </cell>
        </row>
        <row r="2682">
          <cell r="G2682" t="str">
            <v>X611_0</v>
          </cell>
          <cell r="H2682" t="str">
            <v>as-as</v>
          </cell>
          <cell r="I2682" t="str">
            <v>sim</v>
          </cell>
          <cell r="V2682" t="str">
            <v>not neg pair</v>
          </cell>
          <cell r="Y2682" t="str">
            <v>Past</v>
          </cell>
          <cell r="Z2682">
            <v>4.97</v>
          </cell>
          <cell r="AA2682" t="str">
            <v>H</v>
          </cell>
          <cell r="AB2682">
            <v>0</v>
          </cell>
        </row>
        <row r="2683">
          <cell r="G2683" t="str">
            <v>X611_1</v>
          </cell>
          <cell r="H2683" t="str">
            <v>as-as</v>
          </cell>
          <cell r="I2683" t="str">
            <v>sim</v>
          </cell>
          <cell r="V2683" t="str">
            <v>not neg pair</v>
          </cell>
          <cell r="Y2683" t="str">
            <v>Past</v>
          </cell>
          <cell r="Z2683">
            <v>4.97</v>
          </cell>
          <cell r="AA2683" t="str">
            <v>H</v>
          </cell>
          <cell r="AB2683">
            <v>0</v>
          </cell>
        </row>
        <row r="2684">
          <cell r="G2684" t="str">
            <v>X612_0</v>
          </cell>
          <cell r="H2684" t="str">
            <v>as-as</v>
          </cell>
          <cell r="I2684" t="str">
            <v>sim</v>
          </cell>
          <cell r="V2684" t="str">
            <v>antonym</v>
          </cell>
          <cell r="Y2684" t="str">
            <v>Past</v>
          </cell>
          <cell r="Z2684">
            <v>4.96</v>
          </cell>
          <cell r="AA2684" t="str">
            <v>H</v>
          </cell>
          <cell r="AB2684">
            <v>0</v>
          </cell>
        </row>
        <row r="2685">
          <cell r="G2685" t="str">
            <v>X612_1</v>
          </cell>
          <cell r="H2685" t="str">
            <v>as-as</v>
          </cell>
          <cell r="I2685" t="str">
            <v>sim</v>
          </cell>
          <cell r="V2685" t="str">
            <v>antonym</v>
          </cell>
          <cell r="Y2685" t="str">
            <v>Past</v>
          </cell>
          <cell r="Z2685">
            <v>4.96</v>
          </cell>
          <cell r="AA2685" t="str">
            <v>H</v>
          </cell>
          <cell r="AB2685">
            <v>0</v>
          </cell>
        </row>
        <row r="2686">
          <cell r="G2686" t="str">
            <v>X613_0</v>
          </cell>
          <cell r="H2686" t="str">
            <v>as-as</v>
          </cell>
          <cell r="I2686" t="str">
            <v>sim</v>
          </cell>
          <cell r="V2686" t="str">
            <v>not</v>
          </cell>
          <cell r="Y2686" t="str">
            <v>Pres</v>
          </cell>
          <cell r="Z2686">
            <v>3.07</v>
          </cell>
          <cell r="AA2686">
            <v>0</v>
          </cell>
          <cell r="AB2686">
            <v>0</v>
          </cell>
        </row>
        <row r="2687">
          <cell r="G2687" t="str">
            <v>X613_1</v>
          </cell>
          <cell r="H2687" t="str">
            <v>as-as</v>
          </cell>
          <cell r="I2687" t="str">
            <v>sim</v>
          </cell>
          <cell r="V2687" t="str">
            <v>not</v>
          </cell>
          <cell r="Y2687" t="str">
            <v>Pres</v>
          </cell>
          <cell r="Z2687">
            <v>3.07</v>
          </cell>
          <cell r="AA2687">
            <v>0</v>
          </cell>
          <cell r="AB2687">
            <v>0</v>
          </cell>
        </row>
        <row r="2688">
          <cell r="G2688" t="str">
            <v>X614_0</v>
          </cell>
          <cell r="H2688" t="str">
            <v>as-as</v>
          </cell>
          <cell r="I2688" t="str">
            <v>sim</v>
          </cell>
          <cell r="V2688" t="str">
            <v>antonym</v>
          </cell>
          <cell r="Y2688" t="str">
            <v>Pres</v>
          </cell>
          <cell r="Z2688">
            <v>4.59</v>
          </cell>
          <cell r="AA2688">
            <v>0</v>
          </cell>
          <cell r="AB2688">
            <v>0</v>
          </cell>
        </row>
        <row r="2689">
          <cell r="G2689" t="str">
            <v>X614_1</v>
          </cell>
          <cell r="H2689" t="str">
            <v>as-as</v>
          </cell>
          <cell r="I2689" t="str">
            <v>sim</v>
          </cell>
          <cell r="V2689" t="str">
            <v>antonym</v>
          </cell>
          <cell r="Y2689" t="str">
            <v>Pres</v>
          </cell>
          <cell r="Z2689">
            <v>4.59</v>
          </cell>
          <cell r="AA2689">
            <v>0</v>
          </cell>
          <cell r="AB2689">
            <v>0</v>
          </cell>
        </row>
        <row r="2690">
          <cell r="G2690" t="str">
            <v>X615_0</v>
          </cell>
          <cell r="H2690" t="str">
            <v/>
          </cell>
          <cell r="I2690" t="str">
            <v>met</v>
          </cell>
          <cell r="V2690" t="str">
            <v>0</v>
          </cell>
          <cell r="Y2690" t="str">
            <v>Pres</v>
          </cell>
          <cell r="Z2690">
            <v>4.83</v>
          </cell>
          <cell r="AA2690">
            <v>0</v>
          </cell>
          <cell r="AB2690">
            <v>0</v>
          </cell>
        </row>
        <row r="2691">
          <cell r="G2691" t="str">
            <v>X615_1</v>
          </cell>
          <cell r="H2691" t="str">
            <v/>
          </cell>
          <cell r="I2691" t="str">
            <v>met</v>
          </cell>
          <cell r="V2691" t="str">
            <v>0</v>
          </cell>
          <cell r="Y2691" t="str">
            <v>Pres</v>
          </cell>
          <cell r="Z2691">
            <v>4.83</v>
          </cell>
          <cell r="AA2691">
            <v>0</v>
          </cell>
          <cell r="AB2691">
            <v>0</v>
          </cell>
        </row>
        <row r="2692">
          <cell r="G2692" t="str">
            <v>X616_0</v>
          </cell>
          <cell r="H2692" t="str">
            <v/>
          </cell>
          <cell r="I2692" t="str">
            <v>met</v>
          </cell>
          <cell r="V2692" t="str">
            <v>0</v>
          </cell>
          <cell r="Y2692" t="str">
            <v>Pres</v>
          </cell>
          <cell r="Z2692">
            <v>3.28</v>
          </cell>
          <cell r="AA2692">
            <v>0</v>
          </cell>
          <cell r="AB2692">
            <v>0</v>
          </cell>
        </row>
        <row r="2693">
          <cell r="G2693" t="str">
            <v>X616_1</v>
          </cell>
          <cell r="H2693" t="str">
            <v/>
          </cell>
          <cell r="I2693" t="str">
            <v>met</v>
          </cell>
          <cell r="V2693" t="str">
            <v>0</v>
          </cell>
          <cell r="Y2693" t="str">
            <v>Pres</v>
          </cell>
          <cell r="Z2693">
            <v>3.28</v>
          </cell>
          <cell r="AA2693">
            <v>0</v>
          </cell>
          <cell r="AB2693">
            <v>0</v>
          </cell>
        </row>
        <row r="2694">
          <cell r="G2694" t="str">
            <v>X617_0</v>
          </cell>
          <cell r="H2694" t="str">
            <v/>
          </cell>
          <cell r="I2694" t="str">
            <v>met</v>
          </cell>
          <cell r="V2694" t="str">
            <v>0</v>
          </cell>
          <cell r="Y2694" t="str">
            <v>Pres</v>
          </cell>
          <cell r="Z2694">
            <v>4.92</v>
          </cell>
          <cell r="AA2694" t="str">
            <v>H</v>
          </cell>
          <cell r="AB2694">
            <v>0</v>
          </cell>
        </row>
        <row r="2695">
          <cell r="G2695" t="str">
            <v>X617_1</v>
          </cell>
          <cell r="H2695" t="str">
            <v/>
          </cell>
          <cell r="I2695" t="str">
            <v>met</v>
          </cell>
          <cell r="V2695" t="str">
            <v>0</v>
          </cell>
          <cell r="Y2695" t="str">
            <v>Pres</v>
          </cell>
          <cell r="Z2695">
            <v>4.92</v>
          </cell>
          <cell r="AA2695" t="str">
            <v>H</v>
          </cell>
          <cell r="AB2695">
            <v>0</v>
          </cell>
        </row>
        <row r="2696">
          <cell r="G2696" t="str">
            <v>X618_0</v>
          </cell>
          <cell r="H2696" t="str">
            <v>as-as</v>
          </cell>
          <cell r="I2696" t="str">
            <v>sim</v>
          </cell>
          <cell r="V2696" t="str">
            <v>not neg pair</v>
          </cell>
          <cell r="Y2696" t="str">
            <v>Pres</v>
          </cell>
          <cell r="Z2696">
            <v>4.96</v>
          </cell>
          <cell r="AA2696" t="str">
            <v>H</v>
          </cell>
          <cell r="AB2696">
            <v>0</v>
          </cell>
        </row>
        <row r="2697">
          <cell r="G2697" t="str">
            <v>X618_1</v>
          </cell>
          <cell r="H2697" t="str">
            <v>as-as</v>
          </cell>
          <cell r="I2697" t="str">
            <v>sim</v>
          </cell>
          <cell r="V2697" t="str">
            <v>not neg pair</v>
          </cell>
          <cell r="Y2697" t="str">
            <v>Pres</v>
          </cell>
          <cell r="Z2697">
            <v>4.96</v>
          </cell>
          <cell r="AA2697" t="str">
            <v>H</v>
          </cell>
          <cell r="AB2697">
            <v>0</v>
          </cell>
        </row>
        <row r="2698">
          <cell r="G2698" t="str">
            <v>X619_0</v>
          </cell>
          <cell r="H2698" t="str">
            <v>as-as</v>
          </cell>
          <cell r="I2698" t="str">
            <v>sim</v>
          </cell>
          <cell r="V2698" t="str">
            <v>antonym</v>
          </cell>
          <cell r="Y2698" t="str">
            <v>Pres</v>
          </cell>
          <cell r="Z2698">
            <v>4.92</v>
          </cell>
          <cell r="AA2698" t="str">
            <v>H</v>
          </cell>
          <cell r="AB2698">
            <v>0</v>
          </cell>
        </row>
        <row r="2699">
          <cell r="G2699" t="str">
            <v>X619_1</v>
          </cell>
          <cell r="H2699" t="str">
            <v>as-as</v>
          </cell>
          <cell r="I2699" t="str">
            <v>sim</v>
          </cell>
          <cell r="V2699" t="str">
            <v>antonym</v>
          </cell>
          <cell r="Y2699" t="str">
            <v>Pres</v>
          </cell>
          <cell r="Z2699">
            <v>4.92</v>
          </cell>
          <cell r="AA2699" t="str">
            <v>H</v>
          </cell>
          <cell r="AB2699">
            <v>0</v>
          </cell>
        </row>
        <row r="2700">
          <cell r="G2700" t="str">
            <v>X620_0</v>
          </cell>
          <cell r="H2700" t="str">
            <v>as-as</v>
          </cell>
          <cell r="I2700" t="str">
            <v>sim</v>
          </cell>
          <cell r="V2700" t="str">
            <v>antonym</v>
          </cell>
          <cell r="Y2700">
            <v>0</v>
          </cell>
          <cell r="Z2700">
            <v>4.9000000000000004</v>
          </cell>
          <cell r="AA2700">
            <v>0</v>
          </cell>
          <cell r="AB2700">
            <v>0</v>
          </cell>
        </row>
        <row r="2701">
          <cell r="G2701" t="str">
            <v>X620_1</v>
          </cell>
          <cell r="H2701" t="str">
            <v>as-as</v>
          </cell>
          <cell r="I2701" t="str">
            <v>sim</v>
          </cell>
          <cell r="V2701" t="str">
            <v>antonym</v>
          </cell>
          <cell r="Y2701">
            <v>0</v>
          </cell>
          <cell r="Z2701">
            <v>4.9000000000000004</v>
          </cell>
          <cell r="AA2701">
            <v>0</v>
          </cell>
          <cell r="AB2701">
            <v>0</v>
          </cell>
        </row>
        <row r="2702">
          <cell r="G2702" t="str">
            <v>X621_0</v>
          </cell>
          <cell r="H2702" t="str">
            <v>the-of</v>
          </cell>
          <cell r="I2702" t="str">
            <v>sim</v>
          </cell>
          <cell r="V2702" t="str">
            <v>not neg pair</v>
          </cell>
          <cell r="Y2702" t="str">
            <v>Past</v>
          </cell>
          <cell r="Z2702">
            <v>4.79</v>
          </cell>
          <cell r="AA2702">
            <v>0</v>
          </cell>
          <cell r="AB2702">
            <v>0</v>
          </cell>
        </row>
        <row r="2703">
          <cell r="G2703" t="str">
            <v>X621_1</v>
          </cell>
          <cell r="H2703" t="str">
            <v>the-of</v>
          </cell>
          <cell r="I2703" t="str">
            <v>sim</v>
          </cell>
          <cell r="V2703" t="str">
            <v>not neg pair</v>
          </cell>
          <cell r="Y2703" t="str">
            <v>Past</v>
          </cell>
          <cell r="Z2703">
            <v>4.79</v>
          </cell>
          <cell r="AA2703">
            <v>0</v>
          </cell>
          <cell r="AB2703">
            <v>0</v>
          </cell>
        </row>
        <row r="2704">
          <cell r="G2704" t="str">
            <v>X622_0</v>
          </cell>
          <cell r="H2704" t="str">
            <v>as-as</v>
          </cell>
          <cell r="I2704" t="str">
            <v>sim</v>
          </cell>
          <cell r="V2704" t="str">
            <v>not</v>
          </cell>
          <cell r="Y2704" t="str">
            <v>Past</v>
          </cell>
          <cell r="Z2704">
            <v>4.79</v>
          </cell>
          <cell r="AA2704">
            <v>0</v>
          </cell>
          <cell r="AB2704">
            <v>0</v>
          </cell>
        </row>
        <row r="2705">
          <cell r="G2705" t="str">
            <v>X622_1</v>
          </cell>
          <cell r="H2705" t="str">
            <v>as-as</v>
          </cell>
          <cell r="I2705" t="str">
            <v>sim</v>
          </cell>
          <cell r="V2705" t="str">
            <v>not</v>
          </cell>
          <cell r="Y2705" t="str">
            <v>Past</v>
          </cell>
          <cell r="Z2705">
            <v>4.79</v>
          </cell>
          <cell r="AA2705">
            <v>0</v>
          </cell>
          <cell r="AB2705">
            <v>0</v>
          </cell>
        </row>
        <row r="2706">
          <cell r="G2706" t="str">
            <v>X623_0</v>
          </cell>
          <cell r="H2706" t="str">
            <v>the-of</v>
          </cell>
          <cell r="I2706" t="str">
            <v>sim</v>
          </cell>
          <cell r="V2706" t="str">
            <v>not neg pair</v>
          </cell>
          <cell r="Y2706" t="str">
            <v>Past</v>
          </cell>
          <cell r="Z2706">
            <v>2.8</v>
          </cell>
          <cell r="AA2706" t="str">
            <v>L</v>
          </cell>
          <cell r="AB2706">
            <v>0</v>
          </cell>
        </row>
        <row r="2707">
          <cell r="G2707" t="str">
            <v>X623_1</v>
          </cell>
          <cell r="H2707" t="str">
            <v>the-of</v>
          </cell>
          <cell r="I2707" t="str">
            <v>sim</v>
          </cell>
          <cell r="V2707" t="str">
            <v>not neg pair</v>
          </cell>
          <cell r="Y2707" t="str">
            <v>Past</v>
          </cell>
          <cell r="Z2707">
            <v>2.8</v>
          </cell>
          <cell r="AA2707" t="str">
            <v>L</v>
          </cell>
          <cell r="AB2707">
            <v>0</v>
          </cell>
        </row>
        <row r="2708">
          <cell r="G2708" t="str">
            <v>X624_0</v>
          </cell>
          <cell r="H2708" t="str">
            <v/>
          </cell>
          <cell r="I2708" t="str">
            <v>met</v>
          </cell>
          <cell r="V2708" t="str">
            <v>0</v>
          </cell>
          <cell r="Y2708" t="str">
            <v>Past</v>
          </cell>
          <cell r="Z2708">
            <v>4.96</v>
          </cell>
          <cell r="AA2708" t="str">
            <v>H</v>
          </cell>
          <cell r="AB2708">
            <v>0</v>
          </cell>
        </row>
        <row r="2709">
          <cell r="G2709" t="str">
            <v>X624_1</v>
          </cell>
          <cell r="H2709" t="str">
            <v/>
          </cell>
          <cell r="I2709" t="str">
            <v>met</v>
          </cell>
          <cell r="V2709" t="str">
            <v>0</v>
          </cell>
          <cell r="Y2709" t="str">
            <v>Past</v>
          </cell>
          <cell r="Z2709">
            <v>4.96</v>
          </cell>
          <cell r="AA2709" t="str">
            <v>H</v>
          </cell>
          <cell r="AB2709">
            <v>0</v>
          </cell>
        </row>
        <row r="2710">
          <cell r="G2710" t="str">
            <v>X625_0</v>
          </cell>
          <cell r="H2710" t="str">
            <v/>
          </cell>
          <cell r="I2710" t="str">
            <v>met</v>
          </cell>
          <cell r="V2710" t="str">
            <v>0</v>
          </cell>
          <cell r="Y2710" t="str">
            <v>Pres</v>
          </cell>
          <cell r="Z2710">
            <v>2.5</v>
          </cell>
          <cell r="AA2710" t="str">
            <v>L</v>
          </cell>
          <cell r="AB2710">
            <v>0</v>
          </cell>
        </row>
        <row r="2711">
          <cell r="G2711" t="str">
            <v>X625_1</v>
          </cell>
          <cell r="H2711" t="str">
            <v/>
          </cell>
          <cell r="I2711" t="str">
            <v>met</v>
          </cell>
          <cell r="V2711" t="str">
            <v>0</v>
          </cell>
          <cell r="Y2711" t="str">
            <v>Pres</v>
          </cell>
          <cell r="Z2711">
            <v>2.5</v>
          </cell>
          <cell r="AA2711" t="str">
            <v>L</v>
          </cell>
          <cell r="AB2711">
            <v>0</v>
          </cell>
        </row>
        <row r="2712">
          <cell r="G2712" t="str">
            <v>X626_0</v>
          </cell>
          <cell r="H2712" t="str">
            <v/>
          </cell>
          <cell r="I2712" t="str">
            <v>met</v>
          </cell>
          <cell r="V2712" t="str">
            <v>0</v>
          </cell>
          <cell r="Y2712" t="str">
            <v>Past</v>
          </cell>
          <cell r="Z2712">
            <v>4.9000000000000004</v>
          </cell>
          <cell r="AA2712">
            <v>0</v>
          </cell>
          <cell r="AB2712">
            <v>0</v>
          </cell>
        </row>
        <row r="2713">
          <cell r="G2713" t="str">
            <v>X626_1</v>
          </cell>
          <cell r="H2713" t="str">
            <v/>
          </cell>
          <cell r="I2713" t="str">
            <v>met</v>
          </cell>
          <cell r="V2713" t="str">
            <v>0</v>
          </cell>
          <cell r="Y2713" t="str">
            <v>Past</v>
          </cell>
          <cell r="Z2713">
            <v>4.9000000000000004</v>
          </cell>
          <cell r="AA2713">
            <v>0</v>
          </cell>
          <cell r="AB2713">
            <v>0</v>
          </cell>
        </row>
        <row r="2714">
          <cell r="G2714" t="str">
            <v>X627_0</v>
          </cell>
          <cell r="H2714" t="str">
            <v>as-as</v>
          </cell>
          <cell r="I2714" t="str">
            <v>sim</v>
          </cell>
          <cell r="V2714" t="str">
            <v>not neg pair</v>
          </cell>
          <cell r="Y2714" t="str">
            <v>Past</v>
          </cell>
          <cell r="Z2714">
            <v>3.82</v>
          </cell>
          <cell r="AA2714">
            <v>0</v>
          </cell>
          <cell r="AB2714">
            <v>0</v>
          </cell>
        </row>
        <row r="2715">
          <cell r="G2715" t="str">
            <v>X627_1</v>
          </cell>
          <cell r="H2715" t="str">
            <v>as-as</v>
          </cell>
          <cell r="I2715" t="str">
            <v>sim</v>
          </cell>
          <cell r="V2715" t="str">
            <v>not neg pair</v>
          </cell>
          <cell r="Y2715" t="str">
            <v>Past</v>
          </cell>
          <cell r="Z2715">
            <v>3.82</v>
          </cell>
          <cell r="AA2715">
            <v>0</v>
          </cell>
          <cell r="AB2715">
            <v>0</v>
          </cell>
        </row>
        <row r="2716">
          <cell r="G2716" t="str">
            <v>X628_0</v>
          </cell>
          <cell r="H2716" t="str">
            <v>as-as</v>
          </cell>
          <cell r="I2716" t="str">
            <v>sim</v>
          </cell>
          <cell r="V2716" t="str">
            <v>not neg pair</v>
          </cell>
          <cell r="Y2716" t="str">
            <v>Past</v>
          </cell>
          <cell r="Z2716">
            <v>4.21</v>
          </cell>
          <cell r="AA2716">
            <v>0</v>
          </cell>
          <cell r="AB2716">
            <v>0</v>
          </cell>
        </row>
        <row r="2717">
          <cell r="G2717" t="str">
            <v>X628_1</v>
          </cell>
          <cell r="H2717" t="str">
            <v>as-as</v>
          </cell>
          <cell r="I2717" t="str">
            <v>sim</v>
          </cell>
          <cell r="V2717" t="str">
            <v>not neg pair</v>
          </cell>
          <cell r="Y2717" t="str">
            <v>Past</v>
          </cell>
          <cell r="Z2717">
            <v>4.21</v>
          </cell>
          <cell r="AA2717">
            <v>0</v>
          </cell>
          <cell r="AB2717">
            <v>0</v>
          </cell>
        </row>
        <row r="2718">
          <cell r="G2718" t="str">
            <v>X629_0</v>
          </cell>
          <cell r="H2718" t="str">
            <v>as-as</v>
          </cell>
          <cell r="I2718" t="str">
            <v>sim</v>
          </cell>
          <cell r="V2718" t="str">
            <v>not neg pair</v>
          </cell>
          <cell r="Y2718" t="str">
            <v>Past</v>
          </cell>
          <cell r="Z2718">
            <v>3.04</v>
          </cell>
          <cell r="AA2718">
            <v>0</v>
          </cell>
          <cell r="AB2718">
            <v>0</v>
          </cell>
        </row>
        <row r="2719">
          <cell r="G2719" t="str">
            <v>X629_1</v>
          </cell>
          <cell r="H2719" t="str">
            <v>as-as</v>
          </cell>
          <cell r="I2719" t="str">
            <v>sim</v>
          </cell>
          <cell r="V2719" t="str">
            <v>not neg pair</v>
          </cell>
          <cell r="Y2719" t="str">
            <v>Past</v>
          </cell>
          <cell r="Z2719">
            <v>3.04</v>
          </cell>
          <cell r="AA2719">
            <v>0</v>
          </cell>
          <cell r="AB2719">
            <v>0</v>
          </cell>
        </row>
        <row r="2720">
          <cell r="G2720" t="str">
            <v>X630_0</v>
          </cell>
          <cell r="H2720" t="str">
            <v>as-as</v>
          </cell>
          <cell r="I2720" t="str">
            <v>sim</v>
          </cell>
          <cell r="V2720" t="str">
            <v>not</v>
          </cell>
          <cell r="Y2720">
            <v>0</v>
          </cell>
          <cell r="Z2720">
            <v>3.36</v>
          </cell>
          <cell r="AA2720">
            <v>0</v>
          </cell>
          <cell r="AB2720">
            <v>0</v>
          </cell>
        </row>
        <row r="2721">
          <cell r="G2721" t="str">
            <v>X630_1</v>
          </cell>
          <cell r="H2721" t="str">
            <v>as-as</v>
          </cell>
          <cell r="I2721" t="str">
            <v>sim</v>
          </cell>
          <cell r="V2721" t="str">
            <v>not</v>
          </cell>
          <cell r="Y2721">
            <v>0</v>
          </cell>
          <cell r="Z2721">
            <v>3.36</v>
          </cell>
          <cell r="AA2721">
            <v>0</v>
          </cell>
          <cell r="AB2721">
            <v>0</v>
          </cell>
        </row>
        <row r="2722">
          <cell r="G2722" t="str">
            <v>X631_0</v>
          </cell>
          <cell r="H2722" t="str">
            <v>as-as</v>
          </cell>
          <cell r="I2722" t="str">
            <v>sim</v>
          </cell>
          <cell r="V2722" t="str">
            <v>not</v>
          </cell>
          <cell r="Y2722" t="str">
            <v>Past</v>
          </cell>
          <cell r="Z2722">
            <v>3.93</v>
          </cell>
          <cell r="AA2722">
            <v>0</v>
          </cell>
          <cell r="AB2722">
            <v>0</v>
          </cell>
        </row>
        <row r="2723">
          <cell r="G2723" t="str">
            <v>X631_1</v>
          </cell>
          <cell r="H2723" t="str">
            <v>as-as</v>
          </cell>
          <cell r="I2723" t="str">
            <v>sim</v>
          </cell>
          <cell r="V2723" t="str">
            <v>not</v>
          </cell>
          <cell r="Y2723" t="str">
            <v>Past</v>
          </cell>
          <cell r="Z2723">
            <v>3.93</v>
          </cell>
          <cell r="AA2723">
            <v>0</v>
          </cell>
          <cell r="AB2723">
            <v>0</v>
          </cell>
        </row>
        <row r="2724">
          <cell r="G2724" t="str">
            <v>X632_0</v>
          </cell>
          <cell r="H2724" t="str">
            <v>as-as</v>
          </cell>
          <cell r="I2724" t="str">
            <v>sim</v>
          </cell>
          <cell r="V2724" t="str">
            <v>not</v>
          </cell>
          <cell r="Y2724" t="str">
            <v>Past</v>
          </cell>
          <cell r="Z2724">
            <v>4.59</v>
          </cell>
          <cell r="AA2724">
            <v>0</v>
          </cell>
          <cell r="AB2724">
            <v>0</v>
          </cell>
        </row>
        <row r="2725">
          <cell r="G2725" t="str">
            <v>X632_1</v>
          </cell>
          <cell r="H2725" t="str">
            <v>as-as</v>
          </cell>
          <cell r="I2725" t="str">
            <v>sim</v>
          </cell>
          <cell r="V2725" t="str">
            <v>not</v>
          </cell>
          <cell r="Y2725" t="str">
            <v>Past</v>
          </cell>
          <cell r="Z2725">
            <v>4.59</v>
          </cell>
          <cell r="AA2725">
            <v>0</v>
          </cell>
          <cell r="AB2725">
            <v>0</v>
          </cell>
        </row>
        <row r="2726">
          <cell r="G2726" t="str">
            <v>X633_0</v>
          </cell>
          <cell r="H2726" t="str">
            <v>as-as</v>
          </cell>
          <cell r="I2726" t="str">
            <v>sim</v>
          </cell>
          <cell r="V2726" t="str">
            <v>not</v>
          </cell>
          <cell r="Y2726" t="str">
            <v>Past</v>
          </cell>
          <cell r="Z2726">
            <v>5</v>
          </cell>
          <cell r="AA2726" t="str">
            <v>H</v>
          </cell>
          <cell r="AB2726">
            <v>0</v>
          </cell>
        </row>
        <row r="2727">
          <cell r="G2727" t="str">
            <v>X633_1</v>
          </cell>
          <cell r="H2727" t="str">
            <v>as-as</v>
          </cell>
          <cell r="I2727" t="str">
            <v>sim</v>
          </cell>
          <cell r="V2727" t="str">
            <v>not</v>
          </cell>
          <cell r="Y2727" t="str">
            <v>Past</v>
          </cell>
          <cell r="Z2727">
            <v>5</v>
          </cell>
          <cell r="AA2727" t="str">
            <v>H</v>
          </cell>
          <cell r="AB2727">
            <v>0</v>
          </cell>
        </row>
        <row r="2728">
          <cell r="G2728" t="str">
            <v>X634_0</v>
          </cell>
          <cell r="H2728" t="str">
            <v>the-of</v>
          </cell>
          <cell r="I2728" t="str">
            <v>sim</v>
          </cell>
          <cell r="V2728" t="str">
            <v>not neg pair</v>
          </cell>
          <cell r="Y2728" t="str">
            <v>Past</v>
          </cell>
          <cell r="Z2728">
            <v>4.8899999999999997</v>
          </cell>
          <cell r="AA2728">
            <v>0</v>
          </cell>
          <cell r="AB2728">
            <v>0</v>
          </cell>
        </row>
        <row r="2729">
          <cell r="G2729" t="str">
            <v>X634_1</v>
          </cell>
          <cell r="H2729" t="str">
            <v>the-of</v>
          </cell>
          <cell r="I2729" t="str">
            <v>sim</v>
          </cell>
          <cell r="V2729" t="str">
            <v>not neg pair</v>
          </cell>
          <cell r="Y2729" t="str">
            <v>Past</v>
          </cell>
          <cell r="Z2729">
            <v>4.8899999999999997</v>
          </cell>
          <cell r="AA2729">
            <v>0</v>
          </cell>
          <cell r="AB2729">
            <v>0</v>
          </cell>
        </row>
        <row r="2730">
          <cell r="G2730" t="str">
            <v>X635_0</v>
          </cell>
          <cell r="H2730" t="str">
            <v>the-of</v>
          </cell>
          <cell r="I2730" t="str">
            <v>sim</v>
          </cell>
          <cell r="V2730" t="str">
            <v>not</v>
          </cell>
          <cell r="Y2730" t="str">
            <v>Past</v>
          </cell>
          <cell r="Z2730">
            <v>3.93</v>
          </cell>
          <cell r="AA2730">
            <v>0</v>
          </cell>
          <cell r="AB2730">
            <v>0</v>
          </cell>
        </row>
        <row r="2731">
          <cell r="G2731" t="str">
            <v>X635_1</v>
          </cell>
          <cell r="H2731" t="str">
            <v>the-of</v>
          </cell>
          <cell r="I2731" t="str">
            <v>sim</v>
          </cell>
          <cell r="V2731" t="str">
            <v>not</v>
          </cell>
          <cell r="Y2731" t="str">
            <v>Past</v>
          </cell>
          <cell r="Z2731">
            <v>3.93</v>
          </cell>
          <cell r="AA2731">
            <v>0</v>
          </cell>
          <cell r="AB2731">
            <v>0</v>
          </cell>
        </row>
        <row r="2732">
          <cell r="G2732" t="str">
            <v>X636_0</v>
          </cell>
          <cell r="H2732" t="str">
            <v>the-of</v>
          </cell>
          <cell r="I2732" t="str">
            <v>sim</v>
          </cell>
          <cell r="V2732" t="str">
            <v>not</v>
          </cell>
          <cell r="Y2732" t="str">
            <v>Pres</v>
          </cell>
          <cell r="Z2732">
            <v>0</v>
          </cell>
          <cell r="AA2732">
            <v>0</v>
          </cell>
          <cell r="AB2732">
            <v>0</v>
          </cell>
        </row>
        <row r="2733">
          <cell r="G2733" t="str">
            <v>X636_1</v>
          </cell>
          <cell r="H2733" t="str">
            <v>the-of</v>
          </cell>
          <cell r="I2733" t="str">
            <v>sim</v>
          </cell>
          <cell r="V2733" t="str">
            <v>not</v>
          </cell>
          <cell r="Y2733" t="str">
            <v>Pres</v>
          </cell>
          <cell r="Z2733">
            <v>0</v>
          </cell>
          <cell r="AA2733">
            <v>0</v>
          </cell>
          <cell r="AB2733">
            <v>0</v>
          </cell>
        </row>
        <row r="2734">
          <cell r="G2734" t="str">
            <v>X637_0</v>
          </cell>
          <cell r="H2734" t="str">
            <v>the-of</v>
          </cell>
          <cell r="I2734" t="str">
            <v>sim</v>
          </cell>
          <cell r="V2734" t="str">
            <v>not neg pair</v>
          </cell>
          <cell r="Y2734" t="str">
            <v>Pres</v>
          </cell>
          <cell r="Z2734">
            <v>4.8600000000000003</v>
          </cell>
          <cell r="AA2734">
            <v>0</v>
          </cell>
          <cell r="AB2734">
            <v>0</v>
          </cell>
        </row>
        <row r="2735">
          <cell r="G2735" t="str">
            <v>X637_1</v>
          </cell>
          <cell r="H2735" t="str">
            <v>the-of</v>
          </cell>
          <cell r="I2735" t="str">
            <v>sim</v>
          </cell>
          <cell r="V2735" t="str">
            <v>not neg pair</v>
          </cell>
          <cell r="Y2735" t="str">
            <v>Pres</v>
          </cell>
          <cell r="Z2735">
            <v>4.8600000000000003</v>
          </cell>
          <cell r="AA2735">
            <v>0</v>
          </cell>
          <cell r="AB2735">
            <v>0</v>
          </cell>
        </row>
        <row r="2736">
          <cell r="G2736" t="str">
            <v>X638_0</v>
          </cell>
          <cell r="H2736" t="str">
            <v>the-of</v>
          </cell>
          <cell r="I2736" t="str">
            <v>sim</v>
          </cell>
          <cell r="V2736" t="str">
            <v>0</v>
          </cell>
          <cell r="Y2736" t="str">
            <v>Pres</v>
          </cell>
          <cell r="Z2736">
            <v>4.57</v>
          </cell>
          <cell r="AA2736">
            <v>0</v>
          </cell>
          <cell r="AB2736">
            <v>0</v>
          </cell>
        </row>
        <row r="2737">
          <cell r="G2737" t="str">
            <v>X638_1</v>
          </cell>
          <cell r="H2737" t="str">
            <v/>
          </cell>
          <cell r="I2737" t="str">
            <v>met</v>
          </cell>
          <cell r="V2737" t="str">
            <v>0</v>
          </cell>
          <cell r="Y2737" t="str">
            <v>Pres</v>
          </cell>
          <cell r="Z2737">
            <v>4.57</v>
          </cell>
          <cell r="AA2737">
            <v>0</v>
          </cell>
          <cell r="AB2737">
            <v>0</v>
          </cell>
        </row>
        <row r="2738">
          <cell r="G2738" t="str">
            <v>X639_0</v>
          </cell>
          <cell r="H2738" t="str">
            <v>like</v>
          </cell>
          <cell r="I2738" t="str">
            <v>sim</v>
          </cell>
          <cell r="V2738" t="str">
            <v>not neg pair</v>
          </cell>
          <cell r="Y2738" t="str">
            <v>Pres</v>
          </cell>
          <cell r="Z2738">
            <v>4.93</v>
          </cell>
          <cell r="AA2738" t="str">
            <v>H</v>
          </cell>
          <cell r="AB2738">
            <v>0</v>
          </cell>
        </row>
        <row r="2739">
          <cell r="G2739" t="str">
            <v>X639_1</v>
          </cell>
          <cell r="H2739" t="str">
            <v>like</v>
          </cell>
          <cell r="I2739" t="str">
            <v>sim</v>
          </cell>
          <cell r="V2739" t="str">
            <v>not neg pair</v>
          </cell>
          <cell r="Y2739" t="str">
            <v>Pres</v>
          </cell>
          <cell r="Z2739">
            <v>4.93</v>
          </cell>
          <cell r="AA2739" t="str">
            <v>H</v>
          </cell>
          <cell r="AB2739">
            <v>0</v>
          </cell>
        </row>
        <row r="2740">
          <cell r="G2740" t="str">
            <v>X640_0</v>
          </cell>
          <cell r="H2740" t="str">
            <v>as-as</v>
          </cell>
          <cell r="I2740" t="str">
            <v>sim</v>
          </cell>
          <cell r="V2740" t="str">
            <v>not neg pair</v>
          </cell>
          <cell r="Y2740" t="str">
            <v>Past</v>
          </cell>
          <cell r="Z2740">
            <v>4.6399999999999997</v>
          </cell>
          <cell r="AA2740">
            <v>0</v>
          </cell>
          <cell r="AB2740">
            <v>0</v>
          </cell>
        </row>
        <row r="2741">
          <cell r="G2741" t="str">
            <v>X640_1</v>
          </cell>
          <cell r="H2741" t="str">
            <v>as-as</v>
          </cell>
          <cell r="I2741" t="str">
            <v>sim</v>
          </cell>
          <cell r="V2741" t="str">
            <v>not neg pair</v>
          </cell>
          <cell r="Y2741" t="str">
            <v>Past</v>
          </cell>
          <cell r="Z2741">
            <v>4.6399999999999997</v>
          </cell>
          <cell r="AA2741">
            <v>0</v>
          </cell>
          <cell r="AB2741">
            <v>0</v>
          </cell>
        </row>
        <row r="2742">
          <cell r="G2742" t="str">
            <v>X641_0</v>
          </cell>
          <cell r="H2742" t="str">
            <v>as-as</v>
          </cell>
          <cell r="I2742" t="str">
            <v>sim</v>
          </cell>
          <cell r="V2742" t="str">
            <v>antonym</v>
          </cell>
          <cell r="Y2742" t="str">
            <v>Past</v>
          </cell>
          <cell r="Z2742">
            <v>4.76</v>
          </cell>
          <cell r="AA2742">
            <v>0</v>
          </cell>
          <cell r="AB2742">
            <v>0</v>
          </cell>
        </row>
        <row r="2743">
          <cell r="G2743" t="str">
            <v>X641_1</v>
          </cell>
          <cell r="H2743" t="str">
            <v>as-as</v>
          </cell>
          <cell r="I2743" t="str">
            <v>sim</v>
          </cell>
          <cell r="V2743" t="str">
            <v>antonym</v>
          </cell>
          <cell r="Y2743" t="str">
            <v>Past</v>
          </cell>
          <cell r="Z2743">
            <v>4.76</v>
          </cell>
          <cell r="AA2743">
            <v>0</v>
          </cell>
          <cell r="AB2743">
            <v>0</v>
          </cell>
        </row>
        <row r="2744">
          <cell r="G2744" t="str">
            <v>X642_0</v>
          </cell>
          <cell r="H2744" t="str">
            <v>like</v>
          </cell>
          <cell r="I2744" t="str">
            <v>sim</v>
          </cell>
          <cell r="V2744" t="str">
            <v>not neg pair</v>
          </cell>
          <cell r="Y2744" t="str">
            <v>Past</v>
          </cell>
          <cell r="Z2744">
            <v>4.46</v>
          </cell>
          <cell r="AA2744">
            <v>0</v>
          </cell>
          <cell r="AB2744">
            <v>0</v>
          </cell>
        </row>
        <row r="2745">
          <cell r="G2745" t="str">
            <v>X642_1</v>
          </cell>
          <cell r="H2745" t="str">
            <v>like</v>
          </cell>
          <cell r="I2745" t="str">
            <v>sim</v>
          </cell>
          <cell r="V2745" t="str">
            <v>not neg pair</v>
          </cell>
          <cell r="Y2745" t="str">
            <v>Past</v>
          </cell>
          <cell r="Z2745">
            <v>4.46</v>
          </cell>
          <cell r="AA2745">
            <v>0</v>
          </cell>
          <cell r="AB2745">
            <v>0</v>
          </cell>
        </row>
        <row r="2746">
          <cell r="G2746" t="str">
            <v>X643_0</v>
          </cell>
          <cell r="H2746" t="str">
            <v/>
          </cell>
          <cell r="I2746" t="str">
            <v>met</v>
          </cell>
          <cell r="V2746" t="str">
            <v>0</v>
          </cell>
          <cell r="Y2746" t="str">
            <v>Past</v>
          </cell>
          <cell r="Z2746">
            <v>4.7</v>
          </cell>
          <cell r="AA2746">
            <v>0</v>
          </cell>
          <cell r="AB2746">
            <v>0</v>
          </cell>
        </row>
        <row r="2747">
          <cell r="G2747" t="str">
            <v>X643_1</v>
          </cell>
          <cell r="H2747" t="str">
            <v/>
          </cell>
          <cell r="I2747" t="str">
            <v>met</v>
          </cell>
          <cell r="V2747" t="str">
            <v>0</v>
          </cell>
          <cell r="Y2747" t="str">
            <v>Past</v>
          </cell>
          <cell r="Z2747">
            <v>4.7</v>
          </cell>
          <cell r="AA2747">
            <v>0</v>
          </cell>
          <cell r="AB2747">
            <v>0</v>
          </cell>
        </row>
        <row r="2748">
          <cell r="G2748" t="str">
            <v>X644_0</v>
          </cell>
          <cell r="H2748" t="str">
            <v>the-of</v>
          </cell>
          <cell r="I2748" t="str">
            <v>sim</v>
          </cell>
          <cell r="V2748" t="str">
            <v>not neg pair</v>
          </cell>
          <cell r="Y2748" t="str">
            <v>Past</v>
          </cell>
          <cell r="Z2748">
            <v>4.93</v>
          </cell>
          <cell r="AA2748" t="str">
            <v>H</v>
          </cell>
          <cell r="AB2748">
            <v>0</v>
          </cell>
        </row>
        <row r="2749">
          <cell r="G2749" t="str">
            <v>X644_1</v>
          </cell>
          <cell r="H2749" t="str">
            <v>the-of</v>
          </cell>
          <cell r="I2749" t="str">
            <v>sim</v>
          </cell>
          <cell r="V2749" t="str">
            <v>not neg pair</v>
          </cell>
          <cell r="Y2749" t="str">
            <v>Past</v>
          </cell>
          <cell r="Z2749">
            <v>4.93</v>
          </cell>
          <cell r="AA2749" t="str">
            <v>H</v>
          </cell>
          <cell r="AB2749">
            <v>0</v>
          </cell>
        </row>
        <row r="2750">
          <cell r="G2750" t="str">
            <v>X645_0</v>
          </cell>
          <cell r="H2750" t="str">
            <v>as-as</v>
          </cell>
          <cell r="I2750" t="str">
            <v>sim</v>
          </cell>
          <cell r="V2750" t="str">
            <v>antonym</v>
          </cell>
          <cell r="Y2750" t="str">
            <v>Pres</v>
          </cell>
          <cell r="Z2750">
            <v>2.5099999999999998</v>
          </cell>
          <cell r="AA2750" t="str">
            <v>L</v>
          </cell>
          <cell r="AB2750">
            <v>0</v>
          </cell>
        </row>
        <row r="2751">
          <cell r="G2751" t="str">
            <v>X645_1</v>
          </cell>
          <cell r="H2751" t="str">
            <v>as-as</v>
          </cell>
          <cell r="I2751" t="str">
            <v>sim</v>
          </cell>
          <cell r="V2751" t="str">
            <v>antonym</v>
          </cell>
          <cell r="Y2751" t="str">
            <v>Pres</v>
          </cell>
          <cell r="Z2751">
            <v>2.5099999999999998</v>
          </cell>
          <cell r="AA2751" t="str">
            <v>L</v>
          </cell>
          <cell r="AB2751">
            <v>0</v>
          </cell>
        </row>
        <row r="2752">
          <cell r="G2752" t="str">
            <v>X646_0</v>
          </cell>
          <cell r="H2752" t="str">
            <v/>
          </cell>
          <cell r="I2752" t="str">
            <v>met</v>
          </cell>
          <cell r="V2752" t="str">
            <v>0</v>
          </cell>
          <cell r="Y2752" t="str">
            <v>Pres</v>
          </cell>
          <cell r="Z2752">
            <v>3.21</v>
          </cell>
          <cell r="AA2752">
            <v>0</v>
          </cell>
          <cell r="AB2752">
            <v>0</v>
          </cell>
        </row>
        <row r="2753">
          <cell r="G2753" t="str">
            <v>X646_1</v>
          </cell>
          <cell r="H2753" t="str">
            <v/>
          </cell>
          <cell r="I2753" t="str">
            <v>met</v>
          </cell>
          <cell r="V2753" t="str">
            <v>0</v>
          </cell>
          <cell r="Y2753" t="str">
            <v>Pres</v>
          </cell>
          <cell r="Z2753">
            <v>3.21</v>
          </cell>
          <cell r="AA2753">
            <v>0</v>
          </cell>
          <cell r="AB2753">
            <v>0</v>
          </cell>
        </row>
        <row r="2754">
          <cell r="G2754" t="str">
            <v>X647_0</v>
          </cell>
          <cell r="H2754" t="str">
            <v>like</v>
          </cell>
          <cell r="I2754" t="str">
            <v>sim</v>
          </cell>
          <cell r="V2754" t="str">
            <v>not neg pair</v>
          </cell>
          <cell r="Y2754" t="str">
            <v>Pres</v>
          </cell>
          <cell r="Z2754">
            <v>4.46</v>
          </cell>
          <cell r="AA2754">
            <v>0</v>
          </cell>
          <cell r="AB2754">
            <v>0</v>
          </cell>
        </row>
        <row r="2755">
          <cell r="G2755" t="str">
            <v>X647_1</v>
          </cell>
          <cell r="H2755" t="str">
            <v>like</v>
          </cell>
          <cell r="I2755" t="str">
            <v>sim</v>
          </cell>
          <cell r="V2755" t="str">
            <v>not neg pair</v>
          </cell>
          <cell r="Y2755" t="str">
            <v>Pres</v>
          </cell>
          <cell r="Z2755">
            <v>4.46</v>
          </cell>
          <cell r="AA2755">
            <v>0</v>
          </cell>
          <cell r="AB2755">
            <v>0</v>
          </cell>
        </row>
        <row r="2756">
          <cell r="G2756" t="str">
            <v>X648_0</v>
          </cell>
          <cell r="H2756" t="str">
            <v>like</v>
          </cell>
          <cell r="I2756" t="str">
            <v>sim</v>
          </cell>
          <cell r="V2756" t="str">
            <v>not neg pair</v>
          </cell>
          <cell r="Y2756" t="str">
            <v>Pres</v>
          </cell>
          <cell r="Z2756">
            <v>5</v>
          </cell>
          <cell r="AA2756" t="str">
            <v>H</v>
          </cell>
          <cell r="AB2756">
            <v>0</v>
          </cell>
        </row>
        <row r="2757">
          <cell r="G2757" t="str">
            <v>X648_1</v>
          </cell>
          <cell r="H2757" t="str">
            <v>like</v>
          </cell>
          <cell r="I2757" t="str">
            <v>sim</v>
          </cell>
          <cell r="V2757" t="str">
            <v>not neg pair</v>
          </cell>
          <cell r="Y2757" t="str">
            <v>Pres</v>
          </cell>
          <cell r="Z2757">
            <v>5</v>
          </cell>
          <cell r="AA2757" t="str">
            <v>H</v>
          </cell>
          <cell r="AB2757">
            <v>0</v>
          </cell>
        </row>
        <row r="2758">
          <cell r="G2758" t="str">
            <v>X649_0</v>
          </cell>
          <cell r="H2758" t="str">
            <v>as-as</v>
          </cell>
          <cell r="I2758" t="str">
            <v>sim</v>
          </cell>
          <cell r="V2758" t="str">
            <v>antonym</v>
          </cell>
          <cell r="Y2758" t="str">
            <v>Pres</v>
          </cell>
          <cell r="Z2758">
            <v>0</v>
          </cell>
          <cell r="AA2758">
            <v>0</v>
          </cell>
          <cell r="AB2758">
            <v>0</v>
          </cell>
        </row>
        <row r="2759">
          <cell r="G2759" t="str">
            <v>X649_1</v>
          </cell>
          <cell r="H2759" t="str">
            <v>as-as</v>
          </cell>
          <cell r="I2759" t="str">
            <v>sim</v>
          </cell>
          <cell r="V2759" t="str">
            <v>antonym</v>
          </cell>
          <cell r="Y2759" t="str">
            <v>Pres</v>
          </cell>
          <cell r="Z2759">
            <v>0</v>
          </cell>
          <cell r="AA2759">
            <v>0</v>
          </cell>
          <cell r="AB2759">
            <v>0</v>
          </cell>
        </row>
        <row r="2760">
          <cell r="G2760" t="str">
            <v>X650_0</v>
          </cell>
          <cell r="H2760" t="str">
            <v>as-as</v>
          </cell>
          <cell r="I2760" t="str">
            <v>sim</v>
          </cell>
          <cell r="V2760" t="str">
            <v>not</v>
          </cell>
          <cell r="Y2760" t="str">
            <v>Pres</v>
          </cell>
          <cell r="Z2760">
            <v>4.17</v>
          </cell>
          <cell r="AA2760">
            <v>0</v>
          </cell>
          <cell r="AB2760">
            <v>0</v>
          </cell>
        </row>
        <row r="2761">
          <cell r="G2761" t="str">
            <v>X650_1</v>
          </cell>
          <cell r="H2761" t="str">
            <v>as-as</v>
          </cell>
          <cell r="I2761" t="str">
            <v>sim</v>
          </cell>
          <cell r="V2761" t="str">
            <v>not</v>
          </cell>
          <cell r="Y2761" t="str">
            <v>Pres</v>
          </cell>
          <cell r="Z2761">
            <v>4.17</v>
          </cell>
          <cell r="AA2761">
            <v>0</v>
          </cell>
          <cell r="AB2761">
            <v>0</v>
          </cell>
        </row>
        <row r="2762">
          <cell r="G2762" t="str">
            <v>X651_0</v>
          </cell>
          <cell r="H2762" t="str">
            <v/>
          </cell>
          <cell r="I2762" t="str">
            <v>met</v>
          </cell>
          <cell r="V2762" t="str">
            <v>0</v>
          </cell>
          <cell r="Y2762" t="str">
            <v>Pres</v>
          </cell>
          <cell r="Z2762">
            <v>4.43</v>
          </cell>
          <cell r="AA2762">
            <v>0</v>
          </cell>
          <cell r="AB2762">
            <v>0</v>
          </cell>
        </row>
        <row r="2763">
          <cell r="G2763" t="str">
            <v>X651_1</v>
          </cell>
          <cell r="H2763" t="str">
            <v/>
          </cell>
          <cell r="I2763" t="str">
            <v>met</v>
          </cell>
          <cell r="V2763" t="str">
            <v>0</v>
          </cell>
          <cell r="Y2763" t="str">
            <v>Past</v>
          </cell>
          <cell r="Z2763">
            <v>2.81</v>
          </cell>
          <cell r="AA2763">
            <v>0</v>
          </cell>
          <cell r="AB2763">
            <v>0</v>
          </cell>
        </row>
        <row r="2764">
          <cell r="G2764" t="str">
            <v>X652_0</v>
          </cell>
          <cell r="H2764" t="str">
            <v/>
          </cell>
          <cell r="I2764" t="str">
            <v>met</v>
          </cell>
          <cell r="V2764" t="str">
            <v>0</v>
          </cell>
          <cell r="Y2764" t="str">
            <v>Pres</v>
          </cell>
          <cell r="Z2764">
            <v>4.83</v>
          </cell>
          <cell r="AA2764">
            <v>0</v>
          </cell>
          <cell r="AB2764">
            <v>0</v>
          </cell>
        </row>
        <row r="2765">
          <cell r="G2765" t="str">
            <v>X652_1</v>
          </cell>
          <cell r="H2765" t="str">
            <v/>
          </cell>
          <cell r="I2765" t="str">
            <v>met</v>
          </cell>
          <cell r="V2765" t="str">
            <v>0</v>
          </cell>
          <cell r="Y2765" t="str">
            <v>Pres</v>
          </cell>
          <cell r="Z2765">
            <v>1.94</v>
          </cell>
          <cell r="AA2765" t="str">
            <v>L</v>
          </cell>
          <cell r="AB2765">
            <v>0</v>
          </cell>
        </row>
        <row r="2766">
          <cell r="G2766" t="str">
            <v>X653_0</v>
          </cell>
          <cell r="H2766" t="str">
            <v/>
          </cell>
          <cell r="I2766" t="str">
            <v>met</v>
          </cell>
          <cell r="V2766" t="str">
            <v>0</v>
          </cell>
          <cell r="Y2766" t="str">
            <v>Past</v>
          </cell>
          <cell r="Z2766">
            <v>3.71</v>
          </cell>
          <cell r="AA2766">
            <v>0</v>
          </cell>
          <cell r="AB2766">
            <v>0</v>
          </cell>
        </row>
        <row r="2767">
          <cell r="G2767" t="str">
            <v>X653_1</v>
          </cell>
          <cell r="H2767" t="str">
            <v/>
          </cell>
          <cell r="I2767" t="str">
            <v>met</v>
          </cell>
          <cell r="V2767" t="str">
            <v>0</v>
          </cell>
          <cell r="Y2767">
            <v>0</v>
          </cell>
          <cell r="Z2767">
            <v>2.81</v>
          </cell>
          <cell r="AA2767">
            <v>0</v>
          </cell>
          <cell r="AB2767">
            <v>0</v>
          </cell>
        </row>
        <row r="2768">
          <cell r="G2768" t="str">
            <v>X654_0</v>
          </cell>
          <cell r="H2768" t="str">
            <v>as-as</v>
          </cell>
          <cell r="I2768" t="str">
            <v>sim</v>
          </cell>
          <cell r="V2768" t="str">
            <v>antonym</v>
          </cell>
          <cell r="Y2768" t="str">
            <v>Pres</v>
          </cell>
          <cell r="Z2768">
            <v>5</v>
          </cell>
          <cell r="AA2768" t="str">
            <v>H</v>
          </cell>
          <cell r="AB2768">
            <v>0</v>
          </cell>
        </row>
        <row r="2769">
          <cell r="G2769" t="str">
            <v>X654_1</v>
          </cell>
          <cell r="H2769" t="str">
            <v>as-as</v>
          </cell>
          <cell r="I2769" t="str">
            <v>sim</v>
          </cell>
          <cell r="V2769" t="str">
            <v>antonym</v>
          </cell>
          <cell r="Y2769" t="str">
            <v>Pres</v>
          </cell>
          <cell r="Z2769">
            <v>5</v>
          </cell>
          <cell r="AA2769" t="str">
            <v>H</v>
          </cell>
          <cell r="AB2769">
            <v>0</v>
          </cell>
        </row>
        <row r="2770">
          <cell r="G2770" t="str">
            <v>X655_0</v>
          </cell>
          <cell r="H2770" t="str">
            <v>as-as</v>
          </cell>
          <cell r="I2770" t="str">
            <v>sim</v>
          </cell>
          <cell r="V2770" t="str">
            <v>antonym</v>
          </cell>
          <cell r="Y2770" t="str">
            <v>Pres</v>
          </cell>
          <cell r="Z2770">
            <v>4.4000000000000004</v>
          </cell>
          <cell r="AA2770">
            <v>0</v>
          </cell>
          <cell r="AB2770">
            <v>0</v>
          </cell>
        </row>
        <row r="2771">
          <cell r="G2771" t="str">
            <v>X655_1</v>
          </cell>
          <cell r="H2771" t="str">
            <v>as-as</v>
          </cell>
          <cell r="I2771" t="str">
            <v>sim</v>
          </cell>
          <cell r="V2771" t="str">
            <v>antonym</v>
          </cell>
          <cell r="Y2771" t="str">
            <v>Pres</v>
          </cell>
          <cell r="Z2771">
            <v>4.4000000000000004</v>
          </cell>
          <cell r="AA2771">
            <v>0</v>
          </cell>
          <cell r="AB2771">
            <v>0</v>
          </cell>
        </row>
        <row r="2772">
          <cell r="G2772" t="str">
            <v>X656_0</v>
          </cell>
          <cell r="H2772" t="str">
            <v>as-as</v>
          </cell>
          <cell r="I2772" t="str">
            <v>sim</v>
          </cell>
          <cell r="V2772" t="str">
            <v>antonym</v>
          </cell>
          <cell r="Y2772" t="str">
            <v>Pres</v>
          </cell>
          <cell r="Z2772">
            <v>4.59</v>
          </cell>
          <cell r="AA2772">
            <v>0</v>
          </cell>
          <cell r="AB2772">
            <v>0</v>
          </cell>
        </row>
        <row r="2773">
          <cell r="G2773" t="str">
            <v>X656_1</v>
          </cell>
          <cell r="H2773" t="str">
            <v>as-as</v>
          </cell>
          <cell r="I2773" t="str">
            <v>sim</v>
          </cell>
          <cell r="V2773" t="str">
            <v>antonym</v>
          </cell>
          <cell r="Y2773" t="str">
            <v>Pres</v>
          </cell>
          <cell r="Z2773">
            <v>4.59</v>
          </cell>
          <cell r="AA2773">
            <v>0</v>
          </cell>
          <cell r="AB2773">
            <v>0</v>
          </cell>
        </row>
        <row r="2774">
          <cell r="G2774" t="str">
            <v>X657_0</v>
          </cell>
          <cell r="H2774" t="str">
            <v/>
          </cell>
          <cell r="I2774" t="str">
            <v>met</v>
          </cell>
          <cell r="V2774" t="str">
            <v>0</v>
          </cell>
          <cell r="Y2774" t="str">
            <v>Pres</v>
          </cell>
          <cell r="Z2774">
            <v>1.64</v>
          </cell>
          <cell r="AA2774" t="str">
            <v>L</v>
          </cell>
          <cell r="AB2774">
            <v>0</v>
          </cell>
        </row>
        <row r="2775">
          <cell r="G2775" t="str">
            <v>X657_1</v>
          </cell>
          <cell r="H2775" t="str">
            <v/>
          </cell>
          <cell r="I2775" t="str">
            <v>met</v>
          </cell>
          <cell r="V2775" t="str">
            <v>0</v>
          </cell>
          <cell r="Y2775" t="str">
            <v>Pres</v>
          </cell>
          <cell r="Z2775">
            <v>3.08</v>
          </cell>
          <cell r="AA2775">
            <v>0</v>
          </cell>
          <cell r="AB2775">
            <v>0</v>
          </cell>
        </row>
        <row r="2776">
          <cell r="G2776" t="str">
            <v>X658_0</v>
          </cell>
          <cell r="H2776" t="str">
            <v/>
          </cell>
          <cell r="I2776" t="str">
            <v>met</v>
          </cell>
          <cell r="V2776" t="str">
            <v>0</v>
          </cell>
          <cell r="Y2776" t="str">
            <v>Pres</v>
          </cell>
          <cell r="Z2776">
            <v>3.08</v>
          </cell>
          <cell r="AA2776">
            <v>0</v>
          </cell>
          <cell r="AB2776">
            <v>0</v>
          </cell>
        </row>
        <row r="2777">
          <cell r="G2777" t="str">
            <v>X658_1</v>
          </cell>
          <cell r="H2777" t="str">
            <v>the-of</v>
          </cell>
          <cell r="I2777" t="str">
            <v>sim</v>
          </cell>
          <cell r="V2777" t="str">
            <v>0</v>
          </cell>
          <cell r="Y2777" t="str">
            <v>Pres</v>
          </cell>
          <cell r="Z2777">
            <v>3.08</v>
          </cell>
          <cell r="AA2777">
            <v>0</v>
          </cell>
          <cell r="AB2777">
            <v>0</v>
          </cell>
        </row>
        <row r="2778">
          <cell r="G2778" t="str">
            <v>X659_0</v>
          </cell>
          <cell r="H2778" t="str">
            <v/>
          </cell>
          <cell r="I2778" t="str">
            <v>met</v>
          </cell>
          <cell r="V2778" t="str">
            <v>0</v>
          </cell>
          <cell r="Y2778" t="str">
            <v>Pres</v>
          </cell>
          <cell r="Z2778">
            <v>3.08</v>
          </cell>
          <cell r="AA2778">
            <v>0</v>
          </cell>
          <cell r="AB2778">
            <v>0</v>
          </cell>
        </row>
        <row r="2779">
          <cell r="G2779" t="str">
            <v>X659_1</v>
          </cell>
          <cell r="H2779" t="str">
            <v/>
          </cell>
          <cell r="I2779" t="str">
            <v>met</v>
          </cell>
          <cell r="V2779" t="str">
            <v>0</v>
          </cell>
          <cell r="Y2779" t="str">
            <v>Pres</v>
          </cell>
          <cell r="Z2779">
            <v>3.08</v>
          </cell>
          <cell r="AA2779">
            <v>0</v>
          </cell>
          <cell r="AB2779">
            <v>0</v>
          </cell>
        </row>
        <row r="2780">
          <cell r="G2780" t="str">
            <v>X660_0</v>
          </cell>
          <cell r="H2780" t="str">
            <v>the-of</v>
          </cell>
          <cell r="I2780" t="str">
            <v>sim</v>
          </cell>
          <cell r="V2780" t="str">
            <v>not neg pair</v>
          </cell>
          <cell r="Y2780" t="str">
            <v>Pres</v>
          </cell>
          <cell r="Z2780">
            <v>2.2400000000000002</v>
          </cell>
          <cell r="AA2780" t="str">
            <v>L</v>
          </cell>
          <cell r="AB2780">
            <v>0</v>
          </cell>
        </row>
        <row r="2781">
          <cell r="G2781" t="str">
            <v>X660_1</v>
          </cell>
          <cell r="H2781" t="str">
            <v>the-of</v>
          </cell>
          <cell r="I2781" t="str">
            <v>sim</v>
          </cell>
          <cell r="V2781" t="str">
            <v>not neg pair</v>
          </cell>
          <cell r="Y2781" t="str">
            <v>Pres</v>
          </cell>
          <cell r="Z2781">
            <v>2.2400000000000002</v>
          </cell>
          <cell r="AA2781" t="str">
            <v>L</v>
          </cell>
          <cell r="AB2781">
            <v>0</v>
          </cell>
        </row>
        <row r="2782">
          <cell r="G2782" t="str">
            <v>X661_0</v>
          </cell>
          <cell r="H2782" t="str">
            <v>the-of</v>
          </cell>
          <cell r="I2782" t="str">
            <v>sim</v>
          </cell>
          <cell r="V2782" t="str">
            <v>not neg pair</v>
          </cell>
          <cell r="Y2782" t="str">
            <v>Pres</v>
          </cell>
          <cell r="Z2782">
            <v>2.57</v>
          </cell>
          <cell r="AA2782" t="str">
            <v>L</v>
          </cell>
          <cell r="AB2782">
            <v>0</v>
          </cell>
        </row>
        <row r="2783">
          <cell r="G2783" t="str">
            <v>X661_1</v>
          </cell>
          <cell r="H2783" t="str">
            <v>the-of</v>
          </cell>
          <cell r="I2783" t="str">
            <v>sim</v>
          </cell>
          <cell r="V2783" t="str">
            <v>not neg pair</v>
          </cell>
          <cell r="Y2783" t="str">
            <v>Pres</v>
          </cell>
          <cell r="Z2783">
            <v>2.57</v>
          </cell>
          <cell r="AA2783" t="str">
            <v>L</v>
          </cell>
          <cell r="AB2783">
            <v>0</v>
          </cell>
        </row>
        <row r="2784">
          <cell r="G2784" t="str">
            <v>X662_0</v>
          </cell>
          <cell r="H2784" t="str">
            <v/>
          </cell>
          <cell r="I2784" t="str">
            <v>met</v>
          </cell>
          <cell r="V2784" t="str">
            <v>0</v>
          </cell>
          <cell r="Y2784" t="str">
            <v>Pres</v>
          </cell>
          <cell r="Z2784">
            <v>4.78</v>
          </cell>
          <cell r="AA2784">
            <v>0</v>
          </cell>
          <cell r="AB2784">
            <v>0</v>
          </cell>
        </row>
        <row r="2785">
          <cell r="G2785" t="str">
            <v>X662_1</v>
          </cell>
          <cell r="H2785" t="str">
            <v/>
          </cell>
          <cell r="I2785" t="str">
            <v>met</v>
          </cell>
          <cell r="V2785" t="str">
            <v>0</v>
          </cell>
          <cell r="Y2785" t="str">
            <v>Pres</v>
          </cell>
          <cell r="Z2785">
            <v>4.78</v>
          </cell>
          <cell r="AA2785">
            <v>0</v>
          </cell>
          <cell r="AB2785">
            <v>0</v>
          </cell>
        </row>
        <row r="2786">
          <cell r="G2786" t="str">
            <v>X663_0</v>
          </cell>
          <cell r="H2786" t="str">
            <v>as-as</v>
          </cell>
          <cell r="I2786" t="str">
            <v>sim</v>
          </cell>
          <cell r="V2786" t="str">
            <v>antonym</v>
          </cell>
          <cell r="Y2786" t="str">
            <v>Pres</v>
          </cell>
          <cell r="Z2786">
            <v>1.64</v>
          </cell>
          <cell r="AA2786" t="str">
            <v>L</v>
          </cell>
          <cell r="AB2786">
            <v>0</v>
          </cell>
        </row>
        <row r="2787">
          <cell r="G2787" t="str">
            <v>X663_1</v>
          </cell>
          <cell r="H2787" t="str">
            <v>as-as</v>
          </cell>
          <cell r="I2787" t="str">
            <v>sim</v>
          </cell>
          <cell r="V2787" t="str">
            <v>antonym</v>
          </cell>
          <cell r="Y2787" t="str">
            <v>Pres</v>
          </cell>
          <cell r="Z2787">
            <v>1.64</v>
          </cell>
          <cell r="AA2787" t="str">
            <v>L</v>
          </cell>
          <cell r="AB2787">
            <v>0</v>
          </cell>
        </row>
        <row r="2788">
          <cell r="G2788" t="str">
            <v>X664_0</v>
          </cell>
          <cell r="H2788" t="str">
            <v>as-as</v>
          </cell>
          <cell r="I2788" t="str">
            <v>sim</v>
          </cell>
          <cell r="V2788" t="str">
            <v>antonym</v>
          </cell>
          <cell r="Y2788">
            <v>0</v>
          </cell>
          <cell r="Z2788">
            <v>2.57</v>
          </cell>
          <cell r="AA2788" t="str">
            <v>L</v>
          </cell>
          <cell r="AB2788">
            <v>0</v>
          </cell>
        </row>
        <row r="2789">
          <cell r="G2789" t="str">
            <v>X664_1</v>
          </cell>
          <cell r="H2789" t="str">
            <v>as-as</v>
          </cell>
          <cell r="I2789" t="str">
            <v>sim</v>
          </cell>
          <cell r="V2789" t="str">
            <v>antonym</v>
          </cell>
          <cell r="Y2789">
            <v>0</v>
          </cell>
          <cell r="Z2789">
            <v>2.57</v>
          </cell>
          <cell r="AA2789" t="str">
            <v>L</v>
          </cell>
          <cell r="AB2789">
            <v>0</v>
          </cell>
        </row>
        <row r="2790">
          <cell r="G2790" t="str">
            <v>X665_0</v>
          </cell>
          <cell r="H2790" t="str">
            <v>as-as</v>
          </cell>
          <cell r="I2790" t="str">
            <v>sim</v>
          </cell>
          <cell r="V2790" t="str">
            <v>antonym</v>
          </cell>
          <cell r="Y2790" t="str">
            <v>Pres</v>
          </cell>
          <cell r="Z2790">
            <v>2.96</v>
          </cell>
          <cell r="AA2790">
            <v>0</v>
          </cell>
          <cell r="AB2790">
            <v>0</v>
          </cell>
        </row>
        <row r="2791">
          <cell r="G2791" t="str">
            <v>X665_1</v>
          </cell>
          <cell r="H2791" t="str">
            <v>as-as</v>
          </cell>
          <cell r="I2791" t="str">
            <v>sim</v>
          </cell>
          <cell r="V2791" t="str">
            <v>antonym</v>
          </cell>
          <cell r="Y2791" t="str">
            <v>Pres</v>
          </cell>
          <cell r="Z2791">
            <v>2.96</v>
          </cell>
          <cell r="AA2791">
            <v>0</v>
          </cell>
          <cell r="AB2791">
            <v>0</v>
          </cell>
        </row>
        <row r="2792">
          <cell r="G2792" t="str">
            <v>X666_0</v>
          </cell>
          <cell r="H2792" t="str">
            <v>as-as</v>
          </cell>
          <cell r="I2792" t="str">
            <v>sim</v>
          </cell>
          <cell r="V2792" t="str">
            <v>not neg pair</v>
          </cell>
          <cell r="Y2792" t="str">
            <v>Past</v>
          </cell>
          <cell r="Z2792">
            <v>2.81</v>
          </cell>
          <cell r="AA2792">
            <v>0</v>
          </cell>
          <cell r="AB2792">
            <v>0</v>
          </cell>
        </row>
        <row r="2793">
          <cell r="G2793" t="str">
            <v>X666_1</v>
          </cell>
          <cell r="H2793" t="str">
            <v>as-as</v>
          </cell>
          <cell r="I2793" t="str">
            <v>sim</v>
          </cell>
          <cell r="V2793" t="str">
            <v>not neg pair</v>
          </cell>
          <cell r="Y2793" t="str">
            <v>Past</v>
          </cell>
          <cell r="Z2793">
            <v>2.81</v>
          </cell>
          <cell r="AA2793">
            <v>0</v>
          </cell>
          <cell r="AB2793">
            <v>0</v>
          </cell>
        </row>
        <row r="2794">
          <cell r="G2794" t="str">
            <v>X667_0</v>
          </cell>
          <cell r="H2794" t="str">
            <v>as-as</v>
          </cell>
          <cell r="I2794" t="str">
            <v>sim</v>
          </cell>
          <cell r="V2794" t="str">
            <v>not neg pair</v>
          </cell>
          <cell r="Y2794" t="str">
            <v>Past</v>
          </cell>
          <cell r="Z2794">
            <v>3.93</v>
          </cell>
          <cell r="AA2794">
            <v>0</v>
          </cell>
          <cell r="AB2794">
            <v>0</v>
          </cell>
        </row>
        <row r="2795">
          <cell r="G2795" t="str">
            <v>X667_1</v>
          </cell>
          <cell r="H2795" t="str">
            <v>as-as</v>
          </cell>
          <cell r="I2795" t="str">
            <v>sim</v>
          </cell>
          <cell r="V2795" t="str">
            <v>not neg pair</v>
          </cell>
          <cell r="Y2795" t="str">
            <v>Pres</v>
          </cell>
          <cell r="Z2795">
            <v>3.93</v>
          </cell>
          <cell r="AA2795">
            <v>0</v>
          </cell>
          <cell r="AB2795">
            <v>0</v>
          </cell>
        </row>
        <row r="2796">
          <cell r="G2796" t="str">
            <v>X668_0</v>
          </cell>
          <cell r="H2796" t="str">
            <v>as-as</v>
          </cell>
          <cell r="I2796" t="str">
            <v>sim</v>
          </cell>
          <cell r="V2796" t="str">
            <v>not neg pair</v>
          </cell>
          <cell r="Y2796" t="str">
            <v>Past</v>
          </cell>
          <cell r="Z2796">
            <v>2.81</v>
          </cell>
          <cell r="AA2796">
            <v>0</v>
          </cell>
          <cell r="AB2796">
            <v>0</v>
          </cell>
        </row>
        <row r="2797">
          <cell r="G2797" t="str">
            <v>X668_1</v>
          </cell>
          <cell r="H2797" t="str">
            <v>as-as</v>
          </cell>
          <cell r="I2797" t="str">
            <v>sim</v>
          </cell>
          <cell r="V2797" t="str">
            <v>not neg pair</v>
          </cell>
          <cell r="Y2797" t="str">
            <v>Past</v>
          </cell>
          <cell r="Z2797">
            <v>2.81</v>
          </cell>
          <cell r="AA2797">
            <v>0</v>
          </cell>
          <cell r="AB2797">
            <v>0</v>
          </cell>
        </row>
        <row r="2798">
          <cell r="G2798" t="str">
            <v>X669_0</v>
          </cell>
          <cell r="H2798" t="str">
            <v>the-of</v>
          </cell>
          <cell r="I2798" t="str">
            <v>sim</v>
          </cell>
          <cell r="V2798" t="str">
            <v>not neg pair</v>
          </cell>
          <cell r="Y2798" t="str">
            <v>Pres</v>
          </cell>
          <cell r="Z2798">
            <v>4.75</v>
          </cell>
          <cell r="AA2798">
            <v>0</v>
          </cell>
          <cell r="AB2798">
            <v>0</v>
          </cell>
        </row>
        <row r="2799">
          <cell r="G2799" t="str">
            <v>X669_1</v>
          </cell>
          <cell r="H2799" t="str">
            <v>the-of</v>
          </cell>
          <cell r="I2799" t="str">
            <v>sim</v>
          </cell>
          <cell r="V2799" t="str">
            <v>not neg pair</v>
          </cell>
          <cell r="Y2799" t="str">
            <v>Pres</v>
          </cell>
          <cell r="Z2799">
            <v>4.75</v>
          </cell>
          <cell r="AA2799">
            <v>0</v>
          </cell>
          <cell r="AB2799">
            <v>0</v>
          </cell>
        </row>
        <row r="2800">
          <cell r="G2800" t="str">
            <v>X670_0</v>
          </cell>
          <cell r="H2800" t="str">
            <v>as-as</v>
          </cell>
          <cell r="I2800" t="str">
            <v>sim</v>
          </cell>
          <cell r="V2800" t="str">
            <v>not neg pair</v>
          </cell>
          <cell r="Y2800" t="str">
            <v>Pres</v>
          </cell>
          <cell r="Z2800">
            <v>3.97</v>
          </cell>
          <cell r="AA2800">
            <v>0</v>
          </cell>
          <cell r="AB2800">
            <v>0</v>
          </cell>
        </row>
        <row r="2801">
          <cell r="G2801" t="str">
            <v>X670_1</v>
          </cell>
          <cell r="H2801" t="str">
            <v>as-as</v>
          </cell>
          <cell r="I2801" t="str">
            <v>sim</v>
          </cell>
          <cell r="V2801" t="str">
            <v>not neg pair</v>
          </cell>
          <cell r="Y2801" t="str">
            <v>Pres</v>
          </cell>
          <cell r="Z2801">
            <v>3.97</v>
          </cell>
          <cell r="AA2801">
            <v>0</v>
          </cell>
          <cell r="AB2801">
            <v>0</v>
          </cell>
        </row>
        <row r="2802">
          <cell r="G2802" t="str">
            <v>X671_0</v>
          </cell>
          <cell r="H2802" t="str">
            <v>as-as</v>
          </cell>
          <cell r="I2802" t="str">
            <v>sim</v>
          </cell>
          <cell r="V2802" t="str">
            <v>not neg pair</v>
          </cell>
          <cell r="Y2802" t="str">
            <v>Pres</v>
          </cell>
          <cell r="Z2802">
            <v>4.46</v>
          </cell>
          <cell r="AA2802">
            <v>0</v>
          </cell>
          <cell r="AB2802">
            <v>0</v>
          </cell>
        </row>
        <row r="2803">
          <cell r="G2803" t="str">
            <v>X671_1</v>
          </cell>
          <cell r="H2803" t="str">
            <v>as-as</v>
          </cell>
          <cell r="I2803" t="str">
            <v>sim</v>
          </cell>
          <cell r="V2803" t="str">
            <v>not neg pair</v>
          </cell>
          <cell r="Y2803" t="str">
            <v>Pres</v>
          </cell>
          <cell r="Z2803">
            <v>4.46</v>
          </cell>
          <cell r="AA2803">
            <v>0</v>
          </cell>
          <cell r="AB2803">
            <v>0</v>
          </cell>
        </row>
        <row r="2804">
          <cell r="G2804" t="str">
            <v>X672_0</v>
          </cell>
          <cell r="H2804" t="str">
            <v>as-as</v>
          </cell>
          <cell r="I2804" t="str">
            <v>sim</v>
          </cell>
          <cell r="V2804" t="str">
            <v>antonym</v>
          </cell>
          <cell r="Y2804" t="str">
            <v>Past</v>
          </cell>
          <cell r="Z2804">
            <v>0</v>
          </cell>
          <cell r="AA2804">
            <v>0</v>
          </cell>
          <cell r="AB2804">
            <v>0</v>
          </cell>
        </row>
        <row r="2805">
          <cell r="G2805" t="str">
            <v>X672_1</v>
          </cell>
          <cell r="H2805" t="str">
            <v>as-as</v>
          </cell>
          <cell r="I2805" t="str">
            <v>sim</v>
          </cell>
          <cell r="V2805" t="str">
            <v>antonym</v>
          </cell>
          <cell r="Y2805" t="str">
            <v>Past</v>
          </cell>
          <cell r="Z2805">
            <v>0</v>
          </cell>
          <cell r="AA2805">
            <v>0</v>
          </cell>
          <cell r="AB2805">
            <v>0</v>
          </cell>
        </row>
        <row r="2806">
          <cell r="G2806" t="str">
            <v>X673_0</v>
          </cell>
          <cell r="H2806" t="str">
            <v>as-as</v>
          </cell>
          <cell r="I2806" t="str">
            <v>sim</v>
          </cell>
          <cell r="V2806" t="str">
            <v>antonym</v>
          </cell>
          <cell r="Y2806">
            <v>0</v>
          </cell>
          <cell r="Z2806">
            <v>2.57</v>
          </cell>
          <cell r="AA2806" t="str">
            <v>L</v>
          </cell>
          <cell r="AB2806">
            <v>0</v>
          </cell>
        </row>
        <row r="2807">
          <cell r="G2807" t="str">
            <v>X673_1</v>
          </cell>
          <cell r="H2807" t="str">
            <v>as-as</v>
          </cell>
          <cell r="I2807" t="str">
            <v>sim</v>
          </cell>
          <cell r="V2807" t="str">
            <v>antonym</v>
          </cell>
          <cell r="Y2807">
            <v>0</v>
          </cell>
          <cell r="Z2807">
            <v>2.81</v>
          </cell>
          <cell r="AA2807">
            <v>0</v>
          </cell>
          <cell r="AB2807">
            <v>0</v>
          </cell>
        </row>
        <row r="2808">
          <cell r="G2808" t="str">
            <v>X674_0</v>
          </cell>
          <cell r="H2808" t="str">
            <v>the-of</v>
          </cell>
          <cell r="I2808" t="str">
            <v>sim</v>
          </cell>
          <cell r="V2808" t="str">
            <v>not neg pair</v>
          </cell>
          <cell r="Y2808" t="str">
            <v>Past</v>
          </cell>
          <cell r="Z2808">
            <v>3.36</v>
          </cell>
          <cell r="AA2808">
            <v>0</v>
          </cell>
          <cell r="AB2808">
            <v>0</v>
          </cell>
        </row>
        <row r="2809">
          <cell r="G2809" t="str">
            <v>X674_1</v>
          </cell>
          <cell r="H2809" t="str">
            <v>the-of</v>
          </cell>
          <cell r="I2809" t="str">
            <v>sim</v>
          </cell>
          <cell r="V2809" t="str">
            <v>not neg pair</v>
          </cell>
          <cell r="Y2809" t="str">
            <v>Past</v>
          </cell>
          <cell r="Z2809">
            <v>3.36</v>
          </cell>
          <cell r="AA2809">
            <v>0</v>
          </cell>
          <cell r="AB2809">
            <v>0</v>
          </cell>
        </row>
        <row r="2810">
          <cell r="G2810" t="str">
            <v>X675_0</v>
          </cell>
          <cell r="H2810" t="str">
            <v/>
          </cell>
          <cell r="I2810" t="str">
            <v>met</v>
          </cell>
          <cell r="V2810" t="str">
            <v>0</v>
          </cell>
          <cell r="Y2810" t="str">
            <v>Past</v>
          </cell>
          <cell r="Z2810">
            <v>3.08</v>
          </cell>
          <cell r="AA2810">
            <v>0</v>
          </cell>
          <cell r="AB2810">
            <v>0</v>
          </cell>
        </row>
        <row r="2811">
          <cell r="G2811" t="str">
            <v>X675_1</v>
          </cell>
          <cell r="H2811" t="str">
            <v/>
          </cell>
          <cell r="I2811" t="str">
            <v>met</v>
          </cell>
          <cell r="V2811" t="str">
            <v>0</v>
          </cell>
          <cell r="Y2811" t="str">
            <v>Past</v>
          </cell>
          <cell r="Z2811">
            <v>3.08</v>
          </cell>
          <cell r="AA2811">
            <v>0</v>
          </cell>
          <cell r="AB2811">
            <v>0</v>
          </cell>
        </row>
        <row r="2812">
          <cell r="G2812" t="str">
            <v>X676_0</v>
          </cell>
          <cell r="H2812" t="str">
            <v/>
          </cell>
          <cell r="I2812" t="str">
            <v>met</v>
          </cell>
          <cell r="V2812" t="str">
            <v>0</v>
          </cell>
          <cell r="Y2812" t="str">
            <v>Pres</v>
          </cell>
          <cell r="Z2812">
            <v>2.57</v>
          </cell>
          <cell r="AA2812" t="str">
            <v>L</v>
          </cell>
          <cell r="AB2812">
            <v>0</v>
          </cell>
        </row>
        <row r="2813">
          <cell r="G2813" t="str">
            <v>X676_1</v>
          </cell>
          <cell r="H2813" t="str">
            <v/>
          </cell>
          <cell r="I2813" t="str">
            <v>met</v>
          </cell>
          <cell r="V2813" t="str">
            <v>0</v>
          </cell>
          <cell r="Y2813" t="str">
            <v>Pres</v>
          </cell>
          <cell r="Z2813">
            <v>2.57</v>
          </cell>
          <cell r="AA2813" t="str">
            <v>L</v>
          </cell>
          <cell r="AB2813">
            <v>0</v>
          </cell>
        </row>
        <row r="2814">
          <cell r="G2814" t="str">
            <v>X677_0</v>
          </cell>
          <cell r="H2814" t="str">
            <v>the-of</v>
          </cell>
          <cell r="I2814" t="str">
            <v>sim</v>
          </cell>
          <cell r="V2814" t="str">
            <v>not</v>
          </cell>
          <cell r="Y2814" t="str">
            <v>Pres</v>
          </cell>
          <cell r="Z2814">
            <v>3.93</v>
          </cell>
          <cell r="AA2814">
            <v>0</v>
          </cell>
          <cell r="AB2814">
            <v>0</v>
          </cell>
        </row>
        <row r="2815">
          <cell r="G2815" t="str">
            <v>X677_1</v>
          </cell>
          <cell r="H2815" t="str">
            <v>the-of</v>
          </cell>
          <cell r="I2815" t="str">
            <v>sim</v>
          </cell>
          <cell r="V2815" t="str">
            <v>not</v>
          </cell>
          <cell r="Y2815" t="str">
            <v>Pres</v>
          </cell>
          <cell r="Z2815">
            <v>3.93</v>
          </cell>
          <cell r="AA2815">
            <v>0</v>
          </cell>
          <cell r="AB2815">
            <v>0</v>
          </cell>
        </row>
        <row r="2816">
          <cell r="G2816" t="str">
            <v>X678_0</v>
          </cell>
          <cell r="H2816" t="str">
            <v/>
          </cell>
          <cell r="I2816" t="str">
            <v>met</v>
          </cell>
          <cell r="V2816" t="str">
            <v>0</v>
          </cell>
          <cell r="Y2816" t="str">
            <v>Past</v>
          </cell>
          <cell r="Z2816">
            <v>4.96</v>
          </cell>
          <cell r="AA2816" t="str">
            <v>H</v>
          </cell>
          <cell r="AB2816">
            <v>0</v>
          </cell>
        </row>
        <row r="2817">
          <cell r="G2817" t="str">
            <v>X678_1</v>
          </cell>
          <cell r="H2817" t="str">
            <v/>
          </cell>
          <cell r="I2817" t="str">
            <v>met</v>
          </cell>
          <cell r="V2817" t="str">
            <v>0</v>
          </cell>
          <cell r="Y2817" t="str">
            <v>Past</v>
          </cell>
          <cell r="Z2817">
            <v>4.96</v>
          </cell>
          <cell r="AA2817" t="str">
            <v>H</v>
          </cell>
          <cell r="AB2817">
            <v>0</v>
          </cell>
        </row>
        <row r="2818">
          <cell r="G2818" t="str">
            <v>X679_0</v>
          </cell>
          <cell r="H2818" t="str">
            <v>the-of</v>
          </cell>
          <cell r="I2818" t="str">
            <v>sim</v>
          </cell>
          <cell r="V2818" t="str">
            <v>not neg pair</v>
          </cell>
          <cell r="Y2818" t="str">
            <v>Pres</v>
          </cell>
          <cell r="Z2818">
            <v>2.86</v>
          </cell>
          <cell r="AA2818">
            <v>0</v>
          </cell>
          <cell r="AB2818">
            <v>0</v>
          </cell>
        </row>
        <row r="2819">
          <cell r="G2819" t="str">
            <v>X679_1</v>
          </cell>
          <cell r="H2819" t="str">
            <v>the-of</v>
          </cell>
          <cell r="I2819" t="str">
            <v>sim</v>
          </cell>
          <cell r="V2819" t="str">
            <v>not neg pair</v>
          </cell>
          <cell r="Y2819" t="str">
            <v>Pres</v>
          </cell>
          <cell r="Z2819">
            <v>3.97</v>
          </cell>
          <cell r="AA2819">
            <v>0</v>
          </cell>
          <cell r="AB2819">
            <v>0</v>
          </cell>
        </row>
        <row r="2820">
          <cell r="G2820" t="str">
            <v>X680_0</v>
          </cell>
          <cell r="H2820" t="str">
            <v>as-as</v>
          </cell>
          <cell r="I2820" t="str">
            <v>sim</v>
          </cell>
          <cell r="V2820" t="str">
            <v>not</v>
          </cell>
          <cell r="Y2820" t="str">
            <v>Pres</v>
          </cell>
          <cell r="Z2820">
            <v>4.1100000000000003</v>
          </cell>
          <cell r="AA2820">
            <v>0</v>
          </cell>
          <cell r="AB2820">
            <v>0</v>
          </cell>
        </row>
        <row r="2821">
          <cell r="G2821" t="str">
            <v>X680_1</v>
          </cell>
          <cell r="H2821" t="str">
            <v>as-as</v>
          </cell>
          <cell r="I2821" t="str">
            <v>sim</v>
          </cell>
          <cell r="V2821" t="str">
            <v>not</v>
          </cell>
          <cell r="Y2821" t="str">
            <v>Pres</v>
          </cell>
          <cell r="Z2821">
            <v>4.1100000000000003</v>
          </cell>
          <cell r="AA2821">
            <v>0</v>
          </cell>
          <cell r="AB2821">
            <v>0</v>
          </cell>
        </row>
        <row r="2822">
          <cell r="G2822" t="str">
            <v>X681_0</v>
          </cell>
          <cell r="H2822" t="str">
            <v>as-as</v>
          </cell>
          <cell r="I2822" t="str">
            <v>sim</v>
          </cell>
          <cell r="V2822" t="str">
            <v>antonym</v>
          </cell>
          <cell r="Y2822" t="str">
            <v>Pres</v>
          </cell>
          <cell r="Z2822">
            <v>4.9000000000000004</v>
          </cell>
          <cell r="AA2822">
            <v>0</v>
          </cell>
          <cell r="AB2822">
            <v>0</v>
          </cell>
        </row>
        <row r="2823">
          <cell r="G2823" t="str">
            <v>X681_1</v>
          </cell>
          <cell r="H2823" t="str">
            <v>as-as</v>
          </cell>
          <cell r="I2823" t="str">
            <v>sim</v>
          </cell>
          <cell r="V2823" t="str">
            <v>antonym</v>
          </cell>
          <cell r="Y2823" t="str">
            <v>Pres</v>
          </cell>
          <cell r="Z2823">
            <v>4.9000000000000004</v>
          </cell>
          <cell r="AA2823">
            <v>0</v>
          </cell>
          <cell r="AB2823">
            <v>0</v>
          </cell>
        </row>
        <row r="2824">
          <cell r="G2824" t="str">
            <v>X682_0</v>
          </cell>
          <cell r="H2824" t="str">
            <v/>
          </cell>
          <cell r="I2824" t="str">
            <v>met</v>
          </cell>
          <cell r="V2824" t="str">
            <v>0</v>
          </cell>
          <cell r="Y2824" t="str">
            <v>Pres</v>
          </cell>
          <cell r="Z2824">
            <v>4.1100000000000003</v>
          </cell>
          <cell r="AA2824">
            <v>0</v>
          </cell>
          <cell r="AB2824">
            <v>0</v>
          </cell>
        </row>
        <row r="2825">
          <cell r="G2825" t="str">
            <v>X682_1</v>
          </cell>
          <cell r="H2825" t="str">
            <v/>
          </cell>
          <cell r="I2825" t="str">
            <v>met</v>
          </cell>
          <cell r="V2825" t="str">
            <v>0</v>
          </cell>
          <cell r="Y2825" t="str">
            <v>Pres</v>
          </cell>
          <cell r="Z2825">
            <v>4.1100000000000003</v>
          </cell>
          <cell r="AA2825">
            <v>0</v>
          </cell>
          <cell r="AB2825">
            <v>0</v>
          </cell>
        </row>
        <row r="2826">
          <cell r="G2826" t="str">
            <v>X683_0</v>
          </cell>
          <cell r="H2826" t="str">
            <v>as-as</v>
          </cell>
          <cell r="I2826" t="str">
            <v>sim</v>
          </cell>
          <cell r="V2826" t="str">
            <v>not</v>
          </cell>
          <cell r="Y2826" t="str">
            <v>Past</v>
          </cell>
          <cell r="Z2826">
            <v>2.81</v>
          </cell>
          <cell r="AA2826">
            <v>0</v>
          </cell>
          <cell r="AB2826">
            <v>0</v>
          </cell>
        </row>
        <row r="2827">
          <cell r="G2827" t="str">
            <v>X683_1</v>
          </cell>
          <cell r="H2827" t="str">
            <v>as-as</v>
          </cell>
          <cell r="I2827" t="str">
            <v>sim</v>
          </cell>
          <cell r="V2827" t="str">
            <v>not</v>
          </cell>
          <cell r="Y2827" t="str">
            <v>Past</v>
          </cell>
          <cell r="Z2827">
            <v>2.81</v>
          </cell>
          <cell r="AA2827">
            <v>0</v>
          </cell>
          <cell r="AB2827">
            <v>0</v>
          </cell>
        </row>
        <row r="2828">
          <cell r="G2828" t="str">
            <v>X684_0</v>
          </cell>
          <cell r="H2828" t="str">
            <v>as-as</v>
          </cell>
          <cell r="I2828" t="str">
            <v>sim</v>
          </cell>
          <cell r="V2828" t="str">
            <v>antonym</v>
          </cell>
          <cell r="Y2828" t="str">
            <v>Past</v>
          </cell>
          <cell r="Z2828">
            <v>2.81</v>
          </cell>
          <cell r="AA2828">
            <v>0</v>
          </cell>
          <cell r="AB2828">
            <v>0</v>
          </cell>
        </row>
        <row r="2829">
          <cell r="G2829" t="str">
            <v>X684_1</v>
          </cell>
          <cell r="H2829" t="str">
            <v>as-as</v>
          </cell>
          <cell r="I2829" t="str">
            <v>sim</v>
          </cell>
          <cell r="V2829" t="str">
            <v>antonym</v>
          </cell>
          <cell r="Y2829" t="str">
            <v>Past</v>
          </cell>
          <cell r="Z2829">
            <v>2.81</v>
          </cell>
          <cell r="AA2829">
            <v>0</v>
          </cell>
          <cell r="AB2829">
            <v>0</v>
          </cell>
        </row>
        <row r="2830">
          <cell r="G2830" t="str">
            <v>X685_0</v>
          </cell>
          <cell r="H2830" t="str">
            <v>as-as</v>
          </cell>
          <cell r="I2830" t="str">
            <v>sim</v>
          </cell>
          <cell r="V2830" t="str">
            <v>antonym</v>
          </cell>
          <cell r="Y2830" t="str">
            <v>Past</v>
          </cell>
          <cell r="Z2830">
            <v>2.81</v>
          </cell>
          <cell r="AA2830">
            <v>0</v>
          </cell>
          <cell r="AB2830">
            <v>0</v>
          </cell>
        </row>
        <row r="2831">
          <cell r="G2831" t="str">
            <v>X685_1</v>
          </cell>
          <cell r="H2831" t="str">
            <v>as-as</v>
          </cell>
          <cell r="I2831" t="str">
            <v>sim</v>
          </cell>
          <cell r="V2831" t="str">
            <v>antonym</v>
          </cell>
          <cell r="Y2831" t="str">
            <v>Past</v>
          </cell>
          <cell r="Z2831">
            <v>2.81</v>
          </cell>
          <cell r="AA2831">
            <v>0</v>
          </cell>
          <cell r="AB2831">
            <v>0</v>
          </cell>
        </row>
        <row r="2832">
          <cell r="G2832" t="str">
            <v>X686_0</v>
          </cell>
          <cell r="H2832" t="str">
            <v>like</v>
          </cell>
          <cell r="I2832" t="str">
            <v>sim</v>
          </cell>
          <cell r="V2832" t="str">
            <v>not neg pair</v>
          </cell>
          <cell r="Y2832" t="str">
            <v>Pres</v>
          </cell>
          <cell r="Z2832">
            <v>4.46</v>
          </cell>
          <cell r="AA2832">
            <v>0</v>
          </cell>
          <cell r="AB2832">
            <v>0</v>
          </cell>
        </row>
        <row r="2833">
          <cell r="G2833" t="str">
            <v>X686_1</v>
          </cell>
          <cell r="H2833" t="str">
            <v>like</v>
          </cell>
          <cell r="I2833" t="str">
            <v>sim</v>
          </cell>
          <cell r="V2833" t="str">
            <v>not neg pair</v>
          </cell>
          <cell r="Y2833" t="str">
            <v>Pres</v>
          </cell>
          <cell r="Z2833">
            <v>4.46</v>
          </cell>
          <cell r="AA2833">
            <v>0</v>
          </cell>
          <cell r="AB2833">
            <v>0</v>
          </cell>
        </row>
        <row r="2834">
          <cell r="G2834" t="str">
            <v>X687_0</v>
          </cell>
          <cell r="H2834" t="str">
            <v>as-as</v>
          </cell>
          <cell r="I2834" t="str">
            <v>sim</v>
          </cell>
          <cell r="V2834" t="str">
            <v>antonym</v>
          </cell>
          <cell r="Y2834" t="str">
            <v>Pres</v>
          </cell>
          <cell r="Z2834">
            <v>3.14</v>
          </cell>
          <cell r="AA2834">
            <v>0</v>
          </cell>
          <cell r="AB2834">
            <v>0</v>
          </cell>
        </row>
        <row r="2835">
          <cell r="G2835" t="str">
            <v>X687_1</v>
          </cell>
          <cell r="H2835" t="str">
            <v>as-as</v>
          </cell>
          <cell r="I2835" t="str">
            <v>sim</v>
          </cell>
          <cell r="V2835" t="str">
            <v>antonym</v>
          </cell>
          <cell r="Y2835" t="str">
            <v>Pres</v>
          </cell>
          <cell r="Z2835">
            <v>3.14</v>
          </cell>
          <cell r="AA2835">
            <v>0</v>
          </cell>
          <cell r="AB2835">
            <v>0</v>
          </cell>
        </row>
        <row r="2836">
          <cell r="G2836" t="str">
            <v>X688_0</v>
          </cell>
          <cell r="H2836" t="str">
            <v>the-of</v>
          </cell>
          <cell r="I2836" t="str">
            <v>sim</v>
          </cell>
          <cell r="V2836" t="str">
            <v>not neg pair</v>
          </cell>
          <cell r="Y2836" t="str">
            <v>Pres</v>
          </cell>
          <cell r="Z2836">
            <v>4.5</v>
          </cell>
          <cell r="AA2836">
            <v>0</v>
          </cell>
          <cell r="AB2836">
            <v>0</v>
          </cell>
        </row>
        <row r="2837">
          <cell r="G2837" t="str">
            <v>X688_1</v>
          </cell>
          <cell r="H2837" t="str">
            <v>the-of</v>
          </cell>
          <cell r="I2837" t="str">
            <v>sim</v>
          </cell>
          <cell r="V2837" t="str">
            <v>not neg pair</v>
          </cell>
          <cell r="Y2837" t="str">
            <v>Pres</v>
          </cell>
          <cell r="Z2837">
            <v>4.5</v>
          </cell>
          <cell r="AA2837">
            <v>0</v>
          </cell>
          <cell r="AB2837">
            <v>0</v>
          </cell>
        </row>
        <row r="2838">
          <cell r="G2838" t="str">
            <v>X689_0</v>
          </cell>
          <cell r="H2838" t="str">
            <v>as-as</v>
          </cell>
          <cell r="I2838" t="str">
            <v>sim</v>
          </cell>
          <cell r="V2838" t="str">
            <v>not neg pair</v>
          </cell>
          <cell r="Y2838" t="str">
            <v>Past</v>
          </cell>
          <cell r="Z2838">
            <v>2.81</v>
          </cell>
          <cell r="AA2838">
            <v>0</v>
          </cell>
          <cell r="AB2838">
            <v>0</v>
          </cell>
        </row>
        <row r="2839">
          <cell r="G2839" t="str">
            <v>X689_1</v>
          </cell>
          <cell r="H2839" t="str">
            <v>as-as</v>
          </cell>
          <cell r="I2839" t="str">
            <v>sim</v>
          </cell>
          <cell r="V2839" t="str">
            <v>not neg pair</v>
          </cell>
          <cell r="Y2839" t="str">
            <v>Past</v>
          </cell>
          <cell r="Z2839">
            <v>2.81</v>
          </cell>
          <cell r="AA2839">
            <v>0</v>
          </cell>
          <cell r="AB2839">
            <v>0</v>
          </cell>
        </row>
        <row r="2840">
          <cell r="G2840" t="str">
            <v>X690_0</v>
          </cell>
          <cell r="H2840" t="str">
            <v>as-as</v>
          </cell>
          <cell r="I2840" t="str">
            <v>sim</v>
          </cell>
          <cell r="V2840" t="str">
            <v>not neg pair</v>
          </cell>
          <cell r="Y2840" t="str">
            <v>Past</v>
          </cell>
          <cell r="Z2840">
            <v>2.81</v>
          </cell>
          <cell r="AA2840">
            <v>0</v>
          </cell>
          <cell r="AB2840">
            <v>0</v>
          </cell>
        </row>
        <row r="2841">
          <cell r="G2841" t="str">
            <v>X690_1</v>
          </cell>
          <cell r="H2841" t="str">
            <v>as-as</v>
          </cell>
          <cell r="I2841" t="str">
            <v>sim</v>
          </cell>
          <cell r="V2841" t="str">
            <v>not neg pair</v>
          </cell>
          <cell r="Y2841" t="str">
            <v>Past</v>
          </cell>
          <cell r="Z2841">
            <v>2.81</v>
          </cell>
          <cell r="AA2841">
            <v>0</v>
          </cell>
          <cell r="AB2841">
            <v>0</v>
          </cell>
        </row>
        <row r="2842">
          <cell r="G2842" t="str">
            <v>X691_0</v>
          </cell>
          <cell r="H2842" t="str">
            <v>as-as</v>
          </cell>
          <cell r="I2842" t="str">
            <v>sim</v>
          </cell>
          <cell r="V2842" t="str">
            <v>not neg pair</v>
          </cell>
          <cell r="Y2842" t="str">
            <v>Past</v>
          </cell>
          <cell r="Z2842">
            <v>2.81</v>
          </cell>
          <cell r="AA2842">
            <v>0</v>
          </cell>
          <cell r="AB2842">
            <v>0</v>
          </cell>
        </row>
        <row r="2843">
          <cell r="G2843" t="str">
            <v>X691_1</v>
          </cell>
          <cell r="H2843" t="str">
            <v>as-as</v>
          </cell>
          <cell r="I2843" t="str">
            <v>sim</v>
          </cell>
          <cell r="V2843" t="str">
            <v>not neg pair</v>
          </cell>
          <cell r="Y2843" t="str">
            <v>Past</v>
          </cell>
          <cell r="Z2843">
            <v>2.81</v>
          </cell>
          <cell r="AA2843">
            <v>0</v>
          </cell>
          <cell r="AB2843">
            <v>0</v>
          </cell>
        </row>
        <row r="2844">
          <cell r="G2844" t="str">
            <v>X692_0</v>
          </cell>
          <cell r="H2844" t="str">
            <v>as-as</v>
          </cell>
          <cell r="I2844" t="str">
            <v>sim</v>
          </cell>
          <cell r="V2844" t="str">
            <v>not</v>
          </cell>
          <cell r="Y2844" t="str">
            <v>Past</v>
          </cell>
          <cell r="Z2844">
            <v>4.57</v>
          </cell>
          <cell r="AA2844">
            <v>0</v>
          </cell>
          <cell r="AB2844">
            <v>0</v>
          </cell>
        </row>
        <row r="2845">
          <cell r="G2845" t="str">
            <v>X692_1</v>
          </cell>
          <cell r="H2845" t="str">
            <v>as-as</v>
          </cell>
          <cell r="I2845" t="str">
            <v>sim</v>
          </cell>
          <cell r="V2845" t="str">
            <v>not</v>
          </cell>
          <cell r="Y2845" t="str">
            <v>Past</v>
          </cell>
          <cell r="Z2845">
            <v>4.57</v>
          </cell>
          <cell r="AA2845">
            <v>0</v>
          </cell>
          <cell r="AB2845">
            <v>0</v>
          </cell>
        </row>
        <row r="2846">
          <cell r="G2846" t="str">
            <v>X693_0</v>
          </cell>
          <cell r="H2846" t="str">
            <v>as-as</v>
          </cell>
          <cell r="I2846" t="str">
            <v>sim</v>
          </cell>
          <cell r="V2846" t="str">
            <v>not</v>
          </cell>
          <cell r="Y2846" t="str">
            <v>Past</v>
          </cell>
          <cell r="Z2846">
            <v>3.93</v>
          </cell>
          <cell r="AA2846">
            <v>0</v>
          </cell>
          <cell r="AB2846">
            <v>0</v>
          </cell>
        </row>
        <row r="2847">
          <cell r="G2847" t="str">
            <v>X693_1</v>
          </cell>
          <cell r="H2847" t="str">
            <v>as-as</v>
          </cell>
          <cell r="I2847" t="str">
            <v>sim</v>
          </cell>
          <cell r="V2847" t="str">
            <v>not</v>
          </cell>
          <cell r="Y2847" t="str">
            <v>Past</v>
          </cell>
          <cell r="Z2847">
            <v>3.93</v>
          </cell>
          <cell r="AA2847">
            <v>0</v>
          </cell>
          <cell r="AB2847">
            <v>0</v>
          </cell>
        </row>
        <row r="2848">
          <cell r="G2848" t="str">
            <v>X694_0</v>
          </cell>
          <cell r="H2848" t="str">
            <v>like</v>
          </cell>
          <cell r="I2848" t="str">
            <v>sim</v>
          </cell>
          <cell r="V2848" t="str">
            <v>not neg pair</v>
          </cell>
          <cell r="Y2848" t="str">
            <v>Past</v>
          </cell>
          <cell r="Z2848">
            <v>3.93</v>
          </cell>
          <cell r="AA2848">
            <v>0</v>
          </cell>
          <cell r="AB2848">
            <v>0</v>
          </cell>
        </row>
        <row r="2849">
          <cell r="G2849" t="str">
            <v>X694_1</v>
          </cell>
          <cell r="H2849" t="str">
            <v>like</v>
          </cell>
          <cell r="I2849" t="str">
            <v>sim</v>
          </cell>
          <cell r="V2849" t="str">
            <v>not neg pair</v>
          </cell>
          <cell r="Y2849" t="str">
            <v>Past</v>
          </cell>
          <cell r="Z2849">
            <v>3.93</v>
          </cell>
          <cell r="AA2849">
            <v>0</v>
          </cell>
          <cell r="AB2849">
            <v>0</v>
          </cell>
        </row>
        <row r="2850">
          <cell r="G2850" t="str">
            <v>X695_0</v>
          </cell>
          <cell r="H2850" t="str">
            <v>as-as</v>
          </cell>
          <cell r="I2850" t="str">
            <v>sim</v>
          </cell>
          <cell r="V2850" t="str">
            <v>not</v>
          </cell>
          <cell r="Y2850" t="str">
            <v>Past</v>
          </cell>
          <cell r="Z2850">
            <v>4.29</v>
          </cell>
          <cell r="AA2850">
            <v>0</v>
          </cell>
          <cell r="AB2850">
            <v>0</v>
          </cell>
        </row>
        <row r="2851">
          <cell r="G2851" t="str">
            <v>X695_1</v>
          </cell>
          <cell r="H2851" t="str">
            <v>as-as</v>
          </cell>
          <cell r="I2851" t="str">
            <v>sim</v>
          </cell>
          <cell r="V2851" t="str">
            <v>not</v>
          </cell>
          <cell r="Y2851" t="str">
            <v>Pres</v>
          </cell>
          <cell r="Z2851">
            <v>4.29</v>
          </cell>
          <cell r="AA2851">
            <v>0</v>
          </cell>
          <cell r="AB2851">
            <v>0</v>
          </cell>
        </row>
        <row r="2852">
          <cell r="G2852" t="str">
            <v>X696_0</v>
          </cell>
          <cell r="H2852" t="str">
            <v>as-as</v>
          </cell>
          <cell r="I2852" t="str">
            <v>sim</v>
          </cell>
          <cell r="V2852" t="str">
            <v>antonym</v>
          </cell>
          <cell r="Y2852" t="str">
            <v>Past</v>
          </cell>
          <cell r="Z2852">
            <v>2.08</v>
          </cell>
          <cell r="AA2852" t="str">
            <v>L</v>
          </cell>
          <cell r="AB2852">
            <v>0</v>
          </cell>
        </row>
        <row r="2853">
          <cell r="G2853" t="str">
            <v>X696_1</v>
          </cell>
          <cell r="H2853" t="str">
            <v>as-as</v>
          </cell>
          <cell r="I2853" t="str">
            <v>sim</v>
          </cell>
          <cell r="V2853" t="str">
            <v>antonym</v>
          </cell>
          <cell r="Y2853" t="str">
            <v>Past</v>
          </cell>
          <cell r="Z2853">
            <v>2.08</v>
          </cell>
          <cell r="AA2853" t="str">
            <v>L</v>
          </cell>
          <cell r="AB2853">
            <v>0</v>
          </cell>
        </row>
        <row r="2854">
          <cell r="G2854" t="str">
            <v>X697_0</v>
          </cell>
          <cell r="H2854" t="str">
            <v/>
          </cell>
          <cell r="I2854" t="str">
            <v>met</v>
          </cell>
          <cell r="V2854" t="str">
            <v>0</v>
          </cell>
          <cell r="Y2854" t="str">
            <v>Pres</v>
          </cell>
          <cell r="Z2854">
            <v>2.5</v>
          </cell>
          <cell r="AA2854" t="str">
            <v>L</v>
          </cell>
          <cell r="AB2854">
            <v>0</v>
          </cell>
        </row>
        <row r="2855">
          <cell r="G2855" t="str">
            <v>X697_1</v>
          </cell>
          <cell r="H2855" t="str">
            <v/>
          </cell>
          <cell r="I2855" t="str">
            <v>met</v>
          </cell>
          <cell r="V2855" t="str">
            <v>0</v>
          </cell>
          <cell r="Y2855" t="str">
            <v>Pres</v>
          </cell>
          <cell r="Z2855">
            <v>2.5</v>
          </cell>
          <cell r="AA2855" t="str">
            <v>L</v>
          </cell>
          <cell r="AB2855">
            <v>0</v>
          </cell>
        </row>
        <row r="2856">
          <cell r="G2856" t="str">
            <v>X698_0</v>
          </cell>
          <cell r="H2856" t="str">
            <v/>
          </cell>
          <cell r="I2856" t="str">
            <v>met</v>
          </cell>
          <cell r="V2856" t="str">
            <v>0</v>
          </cell>
          <cell r="Y2856" t="str">
            <v>Pres</v>
          </cell>
          <cell r="Z2856">
            <v>3.36</v>
          </cell>
          <cell r="AA2856">
            <v>0</v>
          </cell>
          <cell r="AB2856">
            <v>0</v>
          </cell>
        </row>
        <row r="2857">
          <cell r="G2857" t="str">
            <v>X698_1</v>
          </cell>
          <cell r="H2857" t="str">
            <v/>
          </cell>
          <cell r="I2857" t="str">
            <v>met</v>
          </cell>
          <cell r="V2857" t="str">
            <v>0</v>
          </cell>
          <cell r="Y2857" t="str">
            <v>Pres</v>
          </cell>
          <cell r="Z2857">
            <v>3.36</v>
          </cell>
          <cell r="AA2857">
            <v>0</v>
          </cell>
          <cell r="AB2857">
            <v>0</v>
          </cell>
        </row>
        <row r="2858">
          <cell r="G2858" t="str">
            <v>X699_0</v>
          </cell>
          <cell r="H2858" t="str">
            <v/>
          </cell>
          <cell r="I2858" t="str">
            <v>met</v>
          </cell>
          <cell r="V2858" t="str">
            <v>0</v>
          </cell>
          <cell r="Y2858" t="str">
            <v>Pres</v>
          </cell>
          <cell r="Z2858">
            <v>3.93</v>
          </cell>
          <cell r="AA2858">
            <v>0</v>
          </cell>
          <cell r="AB2858">
            <v>0</v>
          </cell>
        </row>
        <row r="2859">
          <cell r="G2859" t="str">
            <v>X699_1</v>
          </cell>
          <cell r="H2859" t="str">
            <v/>
          </cell>
          <cell r="I2859" t="str">
            <v>met</v>
          </cell>
          <cell r="V2859" t="str">
            <v>0</v>
          </cell>
          <cell r="Y2859" t="str">
            <v>Pres</v>
          </cell>
          <cell r="Z2859">
            <v>3.93</v>
          </cell>
          <cell r="AA2859">
            <v>0</v>
          </cell>
          <cell r="AB2859">
            <v>0</v>
          </cell>
        </row>
        <row r="2860">
          <cell r="G2860" t="str">
            <v>X700_0</v>
          </cell>
          <cell r="H2860" t="str">
            <v/>
          </cell>
          <cell r="I2860" t="str">
            <v>met</v>
          </cell>
          <cell r="V2860" t="str">
            <v>0</v>
          </cell>
          <cell r="Y2860" t="str">
            <v>Pres</v>
          </cell>
          <cell r="Z2860">
            <v>4.8499999999999996</v>
          </cell>
          <cell r="AA2860">
            <v>0</v>
          </cell>
          <cell r="AB2860">
            <v>0</v>
          </cell>
        </row>
        <row r="2861">
          <cell r="G2861" t="str">
            <v>X700_1</v>
          </cell>
          <cell r="H2861" t="str">
            <v/>
          </cell>
          <cell r="I2861" t="str">
            <v>met</v>
          </cell>
          <cell r="V2861" t="str">
            <v>0</v>
          </cell>
          <cell r="Y2861" t="str">
            <v>Pres</v>
          </cell>
          <cell r="Z2861">
            <v>4.8499999999999996</v>
          </cell>
          <cell r="AA2861">
            <v>0</v>
          </cell>
          <cell r="AB2861">
            <v>0</v>
          </cell>
        </row>
        <row r="2862">
          <cell r="G2862" t="str">
            <v>X701_0</v>
          </cell>
          <cell r="H2862" t="str">
            <v>as-as</v>
          </cell>
          <cell r="I2862" t="str">
            <v>sim</v>
          </cell>
          <cell r="V2862" t="str">
            <v>not neg pair</v>
          </cell>
          <cell r="Y2862" t="str">
            <v>Pres</v>
          </cell>
          <cell r="Z2862">
            <v>3.88</v>
          </cell>
          <cell r="AA2862">
            <v>0</v>
          </cell>
          <cell r="AB2862">
            <v>0</v>
          </cell>
        </row>
        <row r="2863">
          <cell r="G2863" t="str">
            <v>X701_1</v>
          </cell>
          <cell r="H2863" t="str">
            <v>as-as</v>
          </cell>
          <cell r="I2863" t="str">
            <v>sim</v>
          </cell>
          <cell r="V2863" t="str">
            <v>not neg pair</v>
          </cell>
          <cell r="Y2863" t="str">
            <v>Pres</v>
          </cell>
          <cell r="Z2863">
            <v>3.88</v>
          </cell>
          <cell r="AA2863">
            <v>0</v>
          </cell>
          <cell r="AB2863">
            <v>0</v>
          </cell>
        </row>
        <row r="2864">
          <cell r="G2864" t="str">
            <v>X702_0</v>
          </cell>
          <cell r="H2864" t="str">
            <v>as-as</v>
          </cell>
          <cell r="I2864" t="str">
            <v>sim</v>
          </cell>
          <cell r="V2864" t="str">
            <v>not</v>
          </cell>
          <cell r="Y2864" t="str">
            <v>Pres</v>
          </cell>
          <cell r="Z2864">
            <v>3.86</v>
          </cell>
          <cell r="AA2864">
            <v>0</v>
          </cell>
          <cell r="AB2864">
            <v>0</v>
          </cell>
        </row>
        <row r="2865">
          <cell r="G2865" t="str">
            <v>X702_1</v>
          </cell>
          <cell r="H2865" t="str">
            <v>as-as</v>
          </cell>
          <cell r="I2865" t="str">
            <v>sim</v>
          </cell>
          <cell r="V2865" t="str">
            <v>not</v>
          </cell>
          <cell r="Y2865" t="str">
            <v>Pres</v>
          </cell>
          <cell r="Z2865">
            <v>3.86</v>
          </cell>
          <cell r="AA2865">
            <v>0</v>
          </cell>
          <cell r="AB2865">
            <v>0</v>
          </cell>
        </row>
        <row r="2866">
          <cell r="G2866" t="str">
            <v>X703_0</v>
          </cell>
          <cell r="H2866" t="str">
            <v>as-as</v>
          </cell>
          <cell r="I2866" t="str">
            <v>sim</v>
          </cell>
          <cell r="V2866" t="str">
            <v>not</v>
          </cell>
          <cell r="Y2866" t="str">
            <v>Pres</v>
          </cell>
          <cell r="Z2866">
            <v>4.1100000000000003</v>
          </cell>
          <cell r="AA2866">
            <v>0</v>
          </cell>
          <cell r="AB2866">
            <v>0</v>
          </cell>
        </row>
        <row r="2867">
          <cell r="G2867" t="str">
            <v>X703_1</v>
          </cell>
          <cell r="H2867" t="str">
            <v>as-as</v>
          </cell>
          <cell r="I2867" t="str">
            <v>sim</v>
          </cell>
          <cell r="V2867" t="str">
            <v>not</v>
          </cell>
          <cell r="Y2867" t="str">
            <v>Pres</v>
          </cell>
          <cell r="Z2867">
            <v>4.1100000000000003</v>
          </cell>
          <cell r="AA2867">
            <v>0</v>
          </cell>
          <cell r="AB2867">
            <v>0</v>
          </cell>
        </row>
        <row r="2868">
          <cell r="G2868" t="str">
            <v>X704_0</v>
          </cell>
          <cell r="H2868" t="str">
            <v>like</v>
          </cell>
          <cell r="I2868" t="str">
            <v>sim</v>
          </cell>
          <cell r="V2868" t="str">
            <v>not</v>
          </cell>
          <cell r="Y2868" t="str">
            <v>Pres</v>
          </cell>
          <cell r="Z2868">
            <v>2.94</v>
          </cell>
          <cell r="AA2868">
            <v>0</v>
          </cell>
          <cell r="AB2868">
            <v>0</v>
          </cell>
        </row>
        <row r="2869">
          <cell r="G2869" t="str">
            <v>X704_1</v>
          </cell>
          <cell r="H2869" t="str">
            <v>like</v>
          </cell>
          <cell r="I2869" t="str">
            <v>sim</v>
          </cell>
          <cell r="V2869" t="str">
            <v>not</v>
          </cell>
          <cell r="Y2869" t="str">
            <v>Pres</v>
          </cell>
          <cell r="Z2869">
            <v>2.94</v>
          </cell>
          <cell r="AA2869">
            <v>0</v>
          </cell>
          <cell r="AB2869">
            <v>0</v>
          </cell>
        </row>
        <row r="2870">
          <cell r="G2870" t="str">
            <v>X705_0</v>
          </cell>
          <cell r="H2870" t="str">
            <v>as-as</v>
          </cell>
          <cell r="I2870" t="str">
            <v>sim</v>
          </cell>
          <cell r="V2870" t="str">
            <v>not</v>
          </cell>
          <cell r="Y2870" t="str">
            <v>Pres</v>
          </cell>
          <cell r="Z2870">
            <v>3.56</v>
          </cell>
          <cell r="AA2870">
            <v>0</v>
          </cell>
          <cell r="AB2870">
            <v>0</v>
          </cell>
        </row>
        <row r="2871">
          <cell r="G2871" t="str">
            <v>X705_1</v>
          </cell>
          <cell r="H2871" t="str">
            <v>as-as</v>
          </cell>
          <cell r="I2871" t="str">
            <v>sim</v>
          </cell>
          <cell r="V2871" t="str">
            <v>not</v>
          </cell>
          <cell r="Y2871" t="str">
            <v>Pres</v>
          </cell>
          <cell r="Z2871">
            <v>3.56</v>
          </cell>
          <cell r="AA2871">
            <v>0</v>
          </cell>
          <cell r="AB2871">
            <v>0</v>
          </cell>
        </row>
        <row r="2872">
          <cell r="G2872" t="str">
            <v>X706_0</v>
          </cell>
          <cell r="H2872" t="str">
            <v>like</v>
          </cell>
          <cell r="I2872" t="str">
            <v>sim</v>
          </cell>
          <cell r="V2872" t="str">
            <v>not neg pair</v>
          </cell>
          <cell r="Y2872" t="str">
            <v>Pres</v>
          </cell>
          <cell r="Z2872">
            <v>4.7300000000000004</v>
          </cell>
          <cell r="AA2872">
            <v>0</v>
          </cell>
          <cell r="AB2872">
            <v>0</v>
          </cell>
        </row>
        <row r="2873">
          <cell r="G2873" t="str">
            <v>X706_1</v>
          </cell>
          <cell r="H2873" t="str">
            <v>like</v>
          </cell>
          <cell r="I2873" t="str">
            <v>sim</v>
          </cell>
          <cell r="V2873" t="str">
            <v>not neg pair</v>
          </cell>
          <cell r="Y2873" t="str">
            <v>Pres</v>
          </cell>
          <cell r="Z2873">
            <v>4.7300000000000004</v>
          </cell>
          <cell r="AA2873">
            <v>0</v>
          </cell>
          <cell r="AB2873">
            <v>0</v>
          </cell>
        </row>
        <row r="2874">
          <cell r="G2874" t="str">
            <v>X707_0</v>
          </cell>
          <cell r="H2874" t="str">
            <v>as-as</v>
          </cell>
          <cell r="I2874" t="str">
            <v>sim</v>
          </cell>
          <cell r="V2874" t="str">
            <v>not</v>
          </cell>
          <cell r="Y2874" t="str">
            <v>Past</v>
          </cell>
          <cell r="Z2874">
            <v>2.94</v>
          </cell>
          <cell r="AA2874">
            <v>0</v>
          </cell>
          <cell r="AB2874">
            <v>0</v>
          </cell>
        </row>
        <row r="2875">
          <cell r="G2875" t="str">
            <v>X707_1</v>
          </cell>
          <cell r="H2875" t="str">
            <v>as-as</v>
          </cell>
          <cell r="I2875" t="str">
            <v>sim</v>
          </cell>
          <cell r="V2875" t="str">
            <v>not</v>
          </cell>
          <cell r="Y2875" t="str">
            <v>Past</v>
          </cell>
          <cell r="Z2875">
            <v>2.94</v>
          </cell>
          <cell r="AA2875">
            <v>0</v>
          </cell>
          <cell r="AB2875">
            <v>0</v>
          </cell>
        </row>
        <row r="2876">
          <cell r="G2876" t="str">
            <v>X708_0</v>
          </cell>
          <cell r="H2876" t="str">
            <v>as-as</v>
          </cell>
          <cell r="I2876" t="str">
            <v>sim</v>
          </cell>
          <cell r="V2876" t="str">
            <v>not neg pair</v>
          </cell>
          <cell r="Y2876" t="str">
            <v>Past</v>
          </cell>
          <cell r="Z2876">
            <v>4.07</v>
          </cell>
          <cell r="AA2876">
            <v>0</v>
          </cell>
          <cell r="AB2876">
            <v>0</v>
          </cell>
        </row>
        <row r="2877">
          <cell r="G2877" t="str">
            <v>X708_1</v>
          </cell>
          <cell r="H2877" t="str">
            <v>as-as</v>
          </cell>
          <cell r="I2877" t="str">
            <v>sim</v>
          </cell>
          <cell r="V2877" t="str">
            <v>not neg pair</v>
          </cell>
          <cell r="Y2877" t="str">
            <v>Past</v>
          </cell>
          <cell r="Z2877">
            <v>4.07</v>
          </cell>
          <cell r="AA2877">
            <v>0</v>
          </cell>
          <cell r="AB2877">
            <v>0</v>
          </cell>
        </row>
        <row r="2878">
          <cell r="G2878" t="str">
            <v>X709_0</v>
          </cell>
          <cell r="H2878" t="str">
            <v>as-as</v>
          </cell>
          <cell r="I2878" t="str">
            <v>sim</v>
          </cell>
          <cell r="V2878" t="str">
            <v>not</v>
          </cell>
          <cell r="Y2878" t="str">
            <v>Past</v>
          </cell>
          <cell r="Z2878">
            <v>3.7</v>
          </cell>
          <cell r="AA2878">
            <v>0</v>
          </cell>
          <cell r="AB2878">
            <v>0</v>
          </cell>
        </row>
        <row r="2879">
          <cell r="G2879" t="str">
            <v>X709_1</v>
          </cell>
          <cell r="H2879" t="str">
            <v>as-as</v>
          </cell>
          <cell r="I2879" t="str">
            <v>sim</v>
          </cell>
          <cell r="V2879" t="str">
            <v>not</v>
          </cell>
          <cell r="Y2879" t="str">
            <v>Past</v>
          </cell>
          <cell r="Z2879">
            <v>3.7</v>
          </cell>
          <cell r="AA2879">
            <v>0</v>
          </cell>
          <cell r="AB2879">
            <v>0</v>
          </cell>
        </row>
        <row r="2880">
          <cell r="G2880" t="str">
            <v>X710_0</v>
          </cell>
          <cell r="H2880" t="str">
            <v/>
          </cell>
          <cell r="I2880" t="str">
            <v>met</v>
          </cell>
          <cell r="V2880" t="str">
            <v>0</v>
          </cell>
          <cell r="Y2880" t="str">
            <v>Past</v>
          </cell>
          <cell r="Z2880">
            <v>4.97</v>
          </cell>
          <cell r="AA2880" t="str">
            <v>H</v>
          </cell>
          <cell r="AB2880">
            <v>0</v>
          </cell>
        </row>
        <row r="2881">
          <cell r="G2881" t="str">
            <v>X710_1</v>
          </cell>
          <cell r="H2881" t="str">
            <v/>
          </cell>
          <cell r="I2881" t="str">
            <v>met</v>
          </cell>
          <cell r="V2881" t="str">
            <v>0</v>
          </cell>
          <cell r="Y2881" t="str">
            <v>Past</v>
          </cell>
          <cell r="Z2881">
            <v>4.97</v>
          </cell>
          <cell r="AA2881" t="str">
            <v>H</v>
          </cell>
          <cell r="AB2881">
            <v>0</v>
          </cell>
        </row>
        <row r="2882">
          <cell r="G2882" t="str">
            <v>X711_0</v>
          </cell>
          <cell r="H2882" t="str">
            <v/>
          </cell>
          <cell r="I2882" t="str">
            <v>met</v>
          </cell>
          <cell r="V2882" t="str">
            <v>0</v>
          </cell>
          <cell r="Y2882" t="str">
            <v>Past</v>
          </cell>
          <cell r="Z2882">
            <v>4.7</v>
          </cell>
          <cell r="AA2882">
            <v>0</v>
          </cell>
          <cell r="AB2882">
            <v>0</v>
          </cell>
        </row>
        <row r="2883">
          <cell r="G2883" t="str">
            <v>X711_1</v>
          </cell>
          <cell r="H2883" t="str">
            <v/>
          </cell>
          <cell r="I2883" t="str">
            <v>met</v>
          </cell>
          <cell r="V2883" t="str">
            <v>0</v>
          </cell>
          <cell r="Y2883" t="str">
            <v>Past</v>
          </cell>
          <cell r="Z2883">
            <v>4.7</v>
          </cell>
          <cell r="AA2883">
            <v>0</v>
          </cell>
          <cell r="AB2883">
            <v>0</v>
          </cell>
        </row>
        <row r="2884">
          <cell r="G2884" t="str">
            <v>X712_0</v>
          </cell>
          <cell r="H2884" t="str">
            <v/>
          </cell>
          <cell r="I2884" t="str">
            <v>met</v>
          </cell>
          <cell r="V2884" t="str">
            <v>0</v>
          </cell>
          <cell r="Y2884" t="str">
            <v>Past</v>
          </cell>
          <cell r="Z2884">
            <v>4.8099999999999996</v>
          </cell>
          <cell r="AA2884">
            <v>0</v>
          </cell>
          <cell r="AB2884">
            <v>0</v>
          </cell>
        </row>
        <row r="2885">
          <cell r="G2885" t="str">
            <v>X712_1</v>
          </cell>
          <cell r="H2885" t="str">
            <v/>
          </cell>
          <cell r="I2885" t="str">
            <v>met</v>
          </cell>
          <cell r="V2885" t="str">
            <v>0</v>
          </cell>
          <cell r="Y2885" t="str">
            <v>Past</v>
          </cell>
          <cell r="Z2885">
            <v>4.8099999999999996</v>
          </cell>
          <cell r="AA2885">
            <v>0</v>
          </cell>
          <cell r="AB2885">
            <v>0</v>
          </cell>
        </row>
        <row r="2886">
          <cell r="G2886" t="str">
            <v>X713_0</v>
          </cell>
          <cell r="H2886" t="str">
            <v/>
          </cell>
          <cell r="I2886" t="str">
            <v>met</v>
          </cell>
          <cell r="V2886" t="str">
            <v>0</v>
          </cell>
          <cell r="Y2886" t="str">
            <v>Pres</v>
          </cell>
          <cell r="Z2886">
            <v>2.94</v>
          </cell>
          <cell r="AA2886">
            <v>0</v>
          </cell>
          <cell r="AB2886">
            <v>0</v>
          </cell>
        </row>
        <row r="2887">
          <cell r="G2887" t="str">
            <v>X713_1</v>
          </cell>
          <cell r="H2887" t="str">
            <v/>
          </cell>
          <cell r="I2887" t="str">
            <v>met</v>
          </cell>
          <cell r="V2887" t="str">
            <v>0</v>
          </cell>
          <cell r="Y2887" t="str">
            <v>Pres</v>
          </cell>
          <cell r="Z2887">
            <v>2.94</v>
          </cell>
          <cell r="AA2887">
            <v>0</v>
          </cell>
          <cell r="AB2887">
            <v>0</v>
          </cell>
        </row>
        <row r="2888">
          <cell r="G2888" t="str">
            <v>X714_0</v>
          </cell>
          <cell r="H2888" t="str">
            <v/>
          </cell>
          <cell r="I2888" t="str">
            <v>met</v>
          </cell>
          <cell r="V2888" t="str">
            <v>0</v>
          </cell>
          <cell r="Y2888" t="str">
            <v>Pres</v>
          </cell>
          <cell r="Z2888">
            <v>1.96</v>
          </cell>
          <cell r="AA2888" t="str">
            <v>L</v>
          </cell>
          <cell r="AB2888">
            <v>0</v>
          </cell>
        </row>
        <row r="2889">
          <cell r="G2889" t="str">
            <v>X714_1</v>
          </cell>
          <cell r="H2889" t="str">
            <v/>
          </cell>
          <cell r="I2889" t="str">
            <v>met</v>
          </cell>
          <cell r="V2889" t="str">
            <v>0</v>
          </cell>
          <cell r="Y2889" t="str">
            <v>Pres</v>
          </cell>
          <cell r="Z2889">
            <v>1.96</v>
          </cell>
          <cell r="AA2889" t="str">
            <v>L</v>
          </cell>
          <cell r="AB2889">
            <v>0</v>
          </cell>
        </row>
        <row r="2890">
          <cell r="G2890" t="str">
            <v>X715_0</v>
          </cell>
          <cell r="H2890" t="str">
            <v/>
          </cell>
          <cell r="I2890" t="str">
            <v>met</v>
          </cell>
          <cell r="V2890" t="str">
            <v>0</v>
          </cell>
          <cell r="Y2890" t="str">
            <v>Pres</v>
          </cell>
          <cell r="Z2890">
            <v>4.7300000000000004</v>
          </cell>
          <cell r="AA2890">
            <v>0</v>
          </cell>
          <cell r="AB2890">
            <v>0</v>
          </cell>
        </row>
        <row r="2891">
          <cell r="G2891" t="str">
            <v>X715_1</v>
          </cell>
          <cell r="H2891" t="str">
            <v/>
          </cell>
          <cell r="I2891" t="str">
            <v>met</v>
          </cell>
          <cell r="V2891" t="str">
            <v>0</v>
          </cell>
          <cell r="Y2891" t="str">
            <v>Pres</v>
          </cell>
          <cell r="Z2891">
            <v>4.7300000000000004</v>
          </cell>
          <cell r="AA2891">
            <v>0</v>
          </cell>
          <cell r="AB2891">
            <v>0</v>
          </cell>
        </row>
        <row r="2892">
          <cell r="G2892" t="str">
            <v>X716_0</v>
          </cell>
          <cell r="H2892" t="str">
            <v>the-of</v>
          </cell>
          <cell r="I2892" t="str">
            <v>sim</v>
          </cell>
          <cell r="V2892" t="str">
            <v>0</v>
          </cell>
          <cell r="Y2892" t="str">
            <v>Past</v>
          </cell>
          <cell r="Z2892">
            <v>4.78</v>
          </cell>
          <cell r="AA2892">
            <v>0</v>
          </cell>
          <cell r="AB2892">
            <v>0</v>
          </cell>
        </row>
        <row r="2893">
          <cell r="G2893" t="str">
            <v>X716_1</v>
          </cell>
          <cell r="H2893" t="str">
            <v/>
          </cell>
          <cell r="I2893" t="str">
            <v>met</v>
          </cell>
          <cell r="V2893" t="str">
            <v>0</v>
          </cell>
          <cell r="Y2893" t="str">
            <v>Pres</v>
          </cell>
          <cell r="Z2893">
            <v>4.78</v>
          </cell>
          <cell r="AA2893">
            <v>0</v>
          </cell>
          <cell r="AB2893">
            <v>0</v>
          </cell>
        </row>
        <row r="2894">
          <cell r="G2894" t="str">
            <v>X717_0</v>
          </cell>
          <cell r="H2894" t="str">
            <v>the-of</v>
          </cell>
          <cell r="I2894" t="str">
            <v>sim</v>
          </cell>
          <cell r="V2894" t="str">
            <v>0</v>
          </cell>
          <cell r="Y2894" t="str">
            <v>Pres</v>
          </cell>
          <cell r="Z2894">
            <v>4.79</v>
          </cell>
          <cell r="AA2894">
            <v>0</v>
          </cell>
          <cell r="AB2894">
            <v>0</v>
          </cell>
        </row>
        <row r="2895">
          <cell r="G2895" t="str">
            <v>X717_1</v>
          </cell>
          <cell r="H2895" t="str">
            <v/>
          </cell>
          <cell r="I2895" t="str">
            <v>met</v>
          </cell>
          <cell r="V2895" t="str">
            <v>0</v>
          </cell>
          <cell r="Y2895" t="str">
            <v>Pres</v>
          </cell>
          <cell r="Z2895">
            <v>4.79</v>
          </cell>
          <cell r="AA2895">
            <v>0</v>
          </cell>
          <cell r="AB2895">
            <v>0</v>
          </cell>
        </row>
        <row r="2896">
          <cell r="G2896" t="str">
            <v>X718_0</v>
          </cell>
          <cell r="H2896" t="str">
            <v/>
          </cell>
          <cell r="I2896" t="str">
            <v>met</v>
          </cell>
          <cell r="V2896" t="str">
            <v>0</v>
          </cell>
          <cell r="Y2896" t="str">
            <v>Past</v>
          </cell>
          <cell r="Z2896">
            <v>4.5</v>
          </cell>
          <cell r="AA2896">
            <v>0</v>
          </cell>
          <cell r="AB2896">
            <v>0</v>
          </cell>
        </row>
        <row r="2897">
          <cell r="G2897" t="str">
            <v>X718_1</v>
          </cell>
          <cell r="H2897" t="str">
            <v/>
          </cell>
          <cell r="I2897" t="str">
            <v>met</v>
          </cell>
          <cell r="V2897" t="str">
            <v>0</v>
          </cell>
          <cell r="Y2897" t="str">
            <v>Past</v>
          </cell>
          <cell r="Z2897">
            <v>4.5</v>
          </cell>
          <cell r="AA2897">
            <v>0</v>
          </cell>
          <cell r="AB2897">
            <v>0</v>
          </cell>
        </row>
        <row r="2898">
          <cell r="G2898" t="str">
            <v>X719_0</v>
          </cell>
          <cell r="H2898" t="str">
            <v>as-as</v>
          </cell>
          <cell r="I2898" t="str">
            <v>sim</v>
          </cell>
          <cell r="V2898" t="str">
            <v>not</v>
          </cell>
          <cell r="Y2898" t="str">
            <v>Past</v>
          </cell>
          <cell r="Z2898">
            <v>2.94</v>
          </cell>
          <cell r="AA2898">
            <v>0</v>
          </cell>
          <cell r="AB2898">
            <v>0</v>
          </cell>
        </row>
        <row r="2899">
          <cell r="G2899" t="str">
            <v>X719_1</v>
          </cell>
          <cell r="H2899" t="str">
            <v>as-as</v>
          </cell>
          <cell r="I2899" t="str">
            <v>sim</v>
          </cell>
          <cell r="V2899" t="str">
            <v>not</v>
          </cell>
          <cell r="Y2899" t="str">
            <v>Past</v>
          </cell>
          <cell r="Z2899">
            <v>2.94</v>
          </cell>
          <cell r="AA2899">
            <v>0</v>
          </cell>
          <cell r="AB2899">
            <v>0</v>
          </cell>
        </row>
        <row r="2900">
          <cell r="G2900" t="str">
            <v>X720_0</v>
          </cell>
          <cell r="H2900" t="str">
            <v>like</v>
          </cell>
          <cell r="I2900" t="str">
            <v>sim</v>
          </cell>
          <cell r="V2900" t="str">
            <v>not neg pair</v>
          </cell>
          <cell r="Y2900" t="str">
            <v>Pres</v>
          </cell>
          <cell r="Z2900">
            <v>3.71</v>
          </cell>
          <cell r="AA2900">
            <v>0</v>
          </cell>
          <cell r="AB2900">
            <v>0</v>
          </cell>
        </row>
        <row r="2901">
          <cell r="G2901" t="str">
            <v>X720_1</v>
          </cell>
          <cell r="H2901" t="str">
            <v>like</v>
          </cell>
          <cell r="I2901" t="str">
            <v>sim</v>
          </cell>
          <cell r="V2901" t="str">
            <v>not neg pair</v>
          </cell>
          <cell r="Y2901" t="str">
            <v>Past</v>
          </cell>
          <cell r="Z2901">
            <v>3.71</v>
          </cell>
          <cell r="AA2901">
            <v>0</v>
          </cell>
          <cell r="AB2901">
            <v>0</v>
          </cell>
        </row>
        <row r="2902">
          <cell r="G2902" t="str">
            <v>X721_0</v>
          </cell>
          <cell r="H2902" t="str">
            <v>the-of</v>
          </cell>
          <cell r="I2902" t="str">
            <v>sim</v>
          </cell>
          <cell r="V2902" t="str">
            <v>not neg pair</v>
          </cell>
          <cell r="Y2902" t="str">
            <v>Past</v>
          </cell>
          <cell r="Z2902">
            <v>5</v>
          </cell>
          <cell r="AA2902" t="str">
            <v>H</v>
          </cell>
          <cell r="AB2902">
            <v>0</v>
          </cell>
        </row>
        <row r="2903">
          <cell r="G2903" t="str">
            <v>X721_1</v>
          </cell>
          <cell r="H2903" t="str">
            <v>the-of</v>
          </cell>
          <cell r="I2903" t="str">
            <v>sim</v>
          </cell>
          <cell r="V2903" t="str">
            <v>not neg pair</v>
          </cell>
          <cell r="Y2903" t="str">
            <v>Past</v>
          </cell>
          <cell r="Z2903">
            <v>5</v>
          </cell>
          <cell r="AA2903" t="str">
            <v>H</v>
          </cell>
          <cell r="AB2903">
            <v>0</v>
          </cell>
        </row>
        <row r="2904">
          <cell r="G2904" t="str">
            <v>X722_0</v>
          </cell>
          <cell r="H2904" t="str">
            <v>as-as</v>
          </cell>
          <cell r="I2904" t="str">
            <v>sim</v>
          </cell>
          <cell r="V2904" t="str">
            <v>not neg pair</v>
          </cell>
          <cell r="Y2904" t="str">
            <v>Pres</v>
          </cell>
          <cell r="Z2904">
            <v>3.45</v>
          </cell>
          <cell r="AA2904">
            <v>0</v>
          </cell>
          <cell r="AB2904">
            <v>0</v>
          </cell>
        </row>
        <row r="2905">
          <cell r="G2905" t="str">
            <v>X722_1</v>
          </cell>
          <cell r="H2905" t="str">
            <v>as-as</v>
          </cell>
          <cell r="I2905" t="str">
            <v>sim</v>
          </cell>
          <cell r="V2905" t="str">
            <v>not neg pair</v>
          </cell>
          <cell r="Y2905" t="str">
            <v>Pres</v>
          </cell>
          <cell r="Z2905">
            <v>3.45</v>
          </cell>
          <cell r="AA2905">
            <v>0</v>
          </cell>
          <cell r="AB2905">
            <v>0</v>
          </cell>
        </row>
        <row r="2906">
          <cell r="G2906" t="str">
            <v>X723_0</v>
          </cell>
          <cell r="H2906" t="str">
            <v>like</v>
          </cell>
          <cell r="I2906" t="str">
            <v>sim</v>
          </cell>
          <cell r="V2906" t="str">
            <v>not neg pair</v>
          </cell>
          <cell r="Y2906" t="str">
            <v>Pres</v>
          </cell>
          <cell r="Z2906">
            <v>5</v>
          </cell>
          <cell r="AA2906" t="str">
            <v>H</v>
          </cell>
          <cell r="AB2906">
            <v>0</v>
          </cell>
        </row>
        <row r="2907">
          <cell r="G2907" t="str">
            <v>X723_1</v>
          </cell>
          <cell r="H2907" t="str">
            <v>like</v>
          </cell>
          <cell r="I2907" t="str">
            <v>sim</v>
          </cell>
          <cell r="V2907" t="str">
            <v>not neg pair</v>
          </cell>
          <cell r="Y2907" t="str">
            <v>Pres</v>
          </cell>
          <cell r="Z2907">
            <v>5</v>
          </cell>
          <cell r="AA2907" t="str">
            <v>H</v>
          </cell>
          <cell r="AB2907">
            <v>0</v>
          </cell>
        </row>
        <row r="2908">
          <cell r="G2908" t="str">
            <v>X724_0</v>
          </cell>
          <cell r="H2908" t="str">
            <v/>
          </cell>
          <cell r="I2908" t="str">
            <v>met</v>
          </cell>
          <cell r="V2908" t="str">
            <v>0</v>
          </cell>
          <cell r="Y2908" t="str">
            <v>Pres</v>
          </cell>
          <cell r="Z2908">
            <v>4.5199999999999996</v>
          </cell>
          <cell r="AA2908">
            <v>0</v>
          </cell>
          <cell r="AB2908">
            <v>0</v>
          </cell>
        </row>
        <row r="2909">
          <cell r="G2909" t="str">
            <v>X724_1</v>
          </cell>
          <cell r="H2909" t="str">
            <v/>
          </cell>
          <cell r="I2909" t="str">
            <v>met</v>
          </cell>
          <cell r="V2909" t="str">
            <v>0</v>
          </cell>
          <cell r="Y2909" t="str">
            <v>Pres</v>
          </cell>
          <cell r="Z2909">
            <v>4.5199999999999996</v>
          </cell>
          <cell r="AA2909">
            <v>0</v>
          </cell>
          <cell r="AB2909">
            <v>0</v>
          </cell>
        </row>
        <row r="2910">
          <cell r="G2910" t="str">
            <v>X725_0</v>
          </cell>
          <cell r="H2910" t="str">
            <v>as-as</v>
          </cell>
          <cell r="I2910" t="str">
            <v>sim</v>
          </cell>
          <cell r="V2910" t="str">
            <v>not</v>
          </cell>
          <cell r="Y2910" t="str">
            <v>Pres</v>
          </cell>
          <cell r="Z2910">
            <v>3</v>
          </cell>
          <cell r="AA2910">
            <v>0</v>
          </cell>
          <cell r="AB2910">
            <v>0</v>
          </cell>
        </row>
        <row r="2911">
          <cell r="G2911" t="str">
            <v>X725_1</v>
          </cell>
          <cell r="H2911" t="str">
            <v>as-as</v>
          </cell>
          <cell r="I2911" t="str">
            <v>sim</v>
          </cell>
          <cell r="V2911" t="str">
            <v>not</v>
          </cell>
          <cell r="Y2911" t="str">
            <v>Pres</v>
          </cell>
          <cell r="Z2911">
            <v>3</v>
          </cell>
          <cell r="AA2911">
            <v>0</v>
          </cell>
          <cell r="AB2911">
            <v>0</v>
          </cell>
        </row>
        <row r="2912">
          <cell r="G2912" t="str">
            <v>X726_0</v>
          </cell>
          <cell r="H2912" t="str">
            <v>like</v>
          </cell>
          <cell r="I2912" t="str">
            <v>sim</v>
          </cell>
          <cell r="V2912" t="str">
            <v>not neg pair</v>
          </cell>
          <cell r="Y2912" t="str">
            <v>Pres</v>
          </cell>
          <cell r="Z2912">
            <v>4.2300000000000004</v>
          </cell>
          <cell r="AA2912">
            <v>0</v>
          </cell>
          <cell r="AB2912">
            <v>0</v>
          </cell>
        </row>
        <row r="2913">
          <cell r="G2913" t="str">
            <v>X726_1</v>
          </cell>
          <cell r="H2913" t="str">
            <v>like</v>
          </cell>
          <cell r="I2913" t="str">
            <v>sim</v>
          </cell>
          <cell r="V2913" t="str">
            <v>not neg pair</v>
          </cell>
          <cell r="Y2913" t="str">
            <v>Pres</v>
          </cell>
          <cell r="Z2913">
            <v>4.2300000000000004</v>
          </cell>
          <cell r="AA2913">
            <v>0</v>
          </cell>
          <cell r="AB2913">
            <v>0</v>
          </cell>
        </row>
        <row r="2914">
          <cell r="G2914" t="str">
            <v>X727_0</v>
          </cell>
          <cell r="H2914" t="str">
            <v>like</v>
          </cell>
          <cell r="I2914" t="str">
            <v>sim</v>
          </cell>
          <cell r="V2914" t="str">
            <v>not neg pair</v>
          </cell>
          <cell r="Y2914" t="str">
            <v>Pres</v>
          </cell>
          <cell r="Z2914">
            <v>3.71</v>
          </cell>
          <cell r="AA2914">
            <v>0</v>
          </cell>
          <cell r="AB2914">
            <v>0</v>
          </cell>
        </row>
        <row r="2915">
          <cell r="G2915" t="str">
            <v>X727_1</v>
          </cell>
          <cell r="H2915" t="str">
            <v>like</v>
          </cell>
          <cell r="I2915" t="str">
            <v>sim</v>
          </cell>
          <cell r="V2915" t="str">
            <v>not neg pair</v>
          </cell>
          <cell r="Y2915" t="str">
            <v>Pres</v>
          </cell>
          <cell r="Z2915">
            <v>3.71</v>
          </cell>
          <cell r="AA2915">
            <v>0</v>
          </cell>
          <cell r="AB2915">
            <v>0</v>
          </cell>
        </row>
        <row r="2916">
          <cell r="G2916" t="str">
            <v>X728_0</v>
          </cell>
          <cell r="H2916" t="str">
            <v/>
          </cell>
          <cell r="I2916" t="str">
            <v>met</v>
          </cell>
          <cell r="V2916" t="str">
            <v>0</v>
          </cell>
          <cell r="Y2916" t="str">
            <v>Pres</v>
          </cell>
          <cell r="Z2916">
            <v>4.59</v>
          </cell>
          <cell r="AA2916">
            <v>0</v>
          </cell>
          <cell r="AB2916">
            <v>0</v>
          </cell>
        </row>
        <row r="2917">
          <cell r="G2917" t="str">
            <v>X728_1</v>
          </cell>
          <cell r="H2917" t="str">
            <v/>
          </cell>
          <cell r="I2917" t="str">
            <v>met</v>
          </cell>
          <cell r="V2917" t="str">
            <v>0</v>
          </cell>
          <cell r="Y2917" t="str">
            <v>Pres</v>
          </cell>
          <cell r="Z2917">
            <v>4.59</v>
          </cell>
          <cell r="AA2917">
            <v>0</v>
          </cell>
          <cell r="AB2917">
            <v>0</v>
          </cell>
        </row>
        <row r="2918">
          <cell r="G2918" t="str">
            <v>X729_0</v>
          </cell>
          <cell r="H2918" t="str">
            <v/>
          </cell>
          <cell r="I2918" t="str">
            <v>met</v>
          </cell>
          <cell r="V2918" t="str">
            <v>0</v>
          </cell>
          <cell r="Y2918" t="str">
            <v>Pres</v>
          </cell>
          <cell r="Z2918">
            <v>4.5</v>
          </cell>
          <cell r="AA2918">
            <v>0</v>
          </cell>
          <cell r="AB2918">
            <v>0</v>
          </cell>
        </row>
        <row r="2919">
          <cell r="G2919" t="str">
            <v>X729_1</v>
          </cell>
          <cell r="H2919" t="str">
            <v/>
          </cell>
          <cell r="I2919" t="str">
            <v>met</v>
          </cell>
          <cell r="V2919" t="str">
            <v>0</v>
          </cell>
          <cell r="Y2919" t="str">
            <v>Pres</v>
          </cell>
          <cell r="Z2919">
            <v>4.5</v>
          </cell>
          <cell r="AA2919">
            <v>0</v>
          </cell>
          <cell r="AB2919">
            <v>0</v>
          </cell>
        </row>
        <row r="2920">
          <cell r="G2920" t="str">
            <v>X730_0</v>
          </cell>
          <cell r="H2920" t="str">
            <v>like</v>
          </cell>
          <cell r="I2920" t="str">
            <v>sim</v>
          </cell>
          <cell r="V2920" t="str">
            <v>not</v>
          </cell>
          <cell r="Y2920" t="str">
            <v>Pres</v>
          </cell>
          <cell r="Z2920">
            <v>4.8600000000000003</v>
          </cell>
          <cell r="AA2920">
            <v>0</v>
          </cell>
          <cell r="AB2920">
            <v>0</v>
          </cell>
        </row>
        <row r="2921">
          <cell r="G2921" t="str">
            <v>X730_1</v>
          </cell>
          <cell r="H2921" t="str">
            <v>like</v>
          </cell>
          <cell r="I2921" t="str">
            <v>sim</v>
          </cell>
          <cell r="V2921" t="str">
            <v>not</v>
          </cell>
          <cell r="Y2921" t="str">
            <v>Pres</v>
          </cell>
          <cell r="Z2921">
            <v>4.8600000000000003</v>
          </cell>
          <cell r="AA2921">
            <v>0</v>
          </cell>
          <cell r="AB2921">
            <v>0</v>
          </cell>
        </row>
        <row r="2922">
          <cell r="G2922" t="str">
            <v>X731_0</v>
          </cell>
          <cell r="H2922" t="str">
            <v/>
          </cell>
          <cell r="I2922" t="str">
            <v>met</v>
          </cell>
          <cell r="V2922" t="str">
            <v>0</v>
          </cell>
          <cell r="Y2922" t="str">
            <v>Pres</v>
          </cell>
          <cell r="Z2922">
            <v>4.32</v>
          </cell>
          <cell r="AA2922">
            <v>0</v>
          </cell>
          <cell r="AB2922">
            <v>0</v>
          </cell>
        </row>
        <row r="2923">
          <cell r="G2923" t="str">
            <v>X731_1</v>
          </cell>
          <cell r="H2923" t="str">
            <v/>
          </cell>
          <cell r="I2923" t="str">
            <v>met</v>
          </cell>
          <cell r="V2923" t="str">
            <v>0</v>
          </cell>
          <cell r="Y2923" t="str">
            <v>Pres</v>
          </cell>
          <cell r="Z2923">
            <v>4.32</v>
          </cell>
          <cell r="AA2923">
            <v>0</v>
          </cell>
          <cell r="AB2923">
            <v>0</v>
          </cell>
        </row>
        <row r="2924">
          <cell r="G2924" t="str">
            <v>X732_0</v>
          </cell>
          <cell r="H2924" t="str">
            <v/>
          </cell>
          <cell r="I2924" t="str">
            <v>met</v>
          </cell>
          <cell r="V2924" t="str">
            <v>0</v>
          </cell>
          <cell r="Y2924" t="str">
            <v>Pres</v>
          </cell>
          <cell r="Z2924">
            <v>3.62</v>
          </cell>
          <cell r="AA2924">
            <v>0</v>
          </cell>
          <cell r="AB2924">
            <v>0</v>
          </cell>
        </row>
        <row r="2925">
          <cell r="G2925" t="str">
            <v>X732_1</v>
          </cell>
          <cell r="H2925" t="str">
            <v/>
          </cell>
          <cell r="I2925" t="str">
            <v>met</v>
          </cell>
          <cell r="V2925" t="str">
            <v>0</v>
          </cell>
          <cell r="Y2925" t="str">
            <v>Pres</v>
          </cell>
          <cell r="Z2925">
            <v>3.62</v>
          </cell>
          <cell r="AA2925">
            <v>0</v>
          </cell>
          <cell r="AB2925">
            <v>0</v>
          </cell>
        </row>
        <row r="2926">
          <cell r="G2926" t="str">
            <v>X733_0</v>
          </cell>
          <cell r="H2926" t="str">
            <v/>
          </cell>
          <cell r="I2926" t="str">
            <v>met</v>
          </cell>
          <cell r="V2926" t="str">
            <v>0</v>
          </cell>
          <cell r="Y2926" t="str">
            <v>Pres</v>
          </cell>
          <cell r="Z2926">
            <v>4.96</v>
          </cell>
          <cell r="AA2926" t="str">
            <v>H</v>
          </cell>
          <cell r="AB2926">
            <v>0</v>
          </cell>
        </row>
        <row r="2927">
          <cell r="G2927" t="str">
            <v>X733_1</v>
          </cell>
          <cell r="H2927" t="str">
            <v/>
          </cell>
          <cell r="I2927" t="str">
            <v>met</v>
          </cell>
          <cell r="V2927" t="str">
            <v>0</v>
          </cell>
          <cell r="Y2927" t="str">
            <v>Pres</v>
          </cell>
          <cell r="Z2927">
            <v>4.96</v>
          </cell>
          <cell r="AA2927" t="str">
            <v>H</v>
          </cell>
          <cell r="AB2927">
            <v>0</v>
          </cell>
        </row>
        <row r="2928">
          <cell r="G2928" t="str">
            <v>X734_0</v>
          </cell>
          <cell r="H2928" t="str">
            <v>as-as</v>
          </cell>
          <cell r="I2928" t="str">
            <v>sim</v>
          </cell>
          <cell r="V2928" t="str">
            <v>not</v>
          </cell>
          <cell r="Y2928" t="str">
            <v>Past</v>
          </cell>
          <cell r="Z2928">
            <v>4.75</v>
          </cell>
          <cell r="AA2928">
            <v>0</v>
          </cell>
          <cell r="AB2928">
            <v>0</v>
          </cell>
        </row>
        <row r="2929">
          <cell r="G2929" t="str">
            <v>X734_1</v>
          </cell>
          <cell r="H2929" t="str">
            <v>as-as</v>
          </cell>
          <cell r="I2929" t="str">
            <v>sim</v>
          </cell>
          <cell r="V2929" t="str">
            <v>not</v>
          </cell>
          <cell r="Y2929" t="str">
            <v>Past</v>
          </cell>
          <cell r="Z2929">
            <v>4.75</v>
          </cell>
          <cell r="AA2929">
            <v>0</v>
          </cell>
          <cell r="AB2929">
            <v>0</v>
          </cell>
        </row>
        <row r="2930">
          <cell r="G2930" t="str">
            <v>X735_0</v>
          </cell>
          <cell r="H2930" t="str">
            <v>as-as</v>
          </cell>
          <cell r="I2930" t="str">
            <v>sim</v>
          </cell>
          <cell r="V2930" t="str">
            <v>not</v>
          </cell>
          <cell r="Y2930" t="str">
            <v>Past</v>
          </cell>
          <cell r="Z2930">
            <v>3.45</v>
          </cell>
          <cell r="AA2930">
            <v>0</v>
          </cell>
          <cell r="AB2930">
            <v>0</v>
          </cell>
        </row>
        <row r="2931">
          <cell r="G2931" t="str">
            <v>X735_1</v>
          </cell>
          <cell r="H2931" t="str">
            <v>as-as</v>
          </cell>
          <cell r="I2931" t="str">
            <v>sim</v>
          </cell>
          <cell r="V2931" t="str">
            <v>not</v>
          </cell>
          <cell r="Y2931" t="str">
            <v>Past</v>
          </cell>
          <cell r="Z2931">
            <v>3.45</v>
          </cell>
          <cell r="AA2931">
            <v>0</v>
          </cell>
          <cell r="AB2931">
            <v>0</v>
          </cell>
        </row>
        <row r="2932">
          <cell r="G2932" t="str">
            <v>X736_0</v>
          </cell>
          <cell r="H2932" t="str">
            <v>like</v>
          </cell>
          <cell r="I2932" t="str">
            <v>sim</v>
          </cell>
          <cell r="V2932" t="str">
            <v>not neg pair</v>
          </cell>
          <cell r="Y2932" t="str">
            <v>Past</v>
          </cell>
          <cell r="Z2932">
            <v>3.36</v>
          </cell>
          <cell r="AA2932">
            <v>0</v>
          </cell>
          <cell r="AB2932">
            <v>0</v>
          </cell>
        </row>
        <row r="2933">
          <cell r="G2933" t="str">
            <v>X736_1</v>
          </cell>
          <cell r="H2933" t="str">
            <v>like</v>
          </cell>
          <cell r="I2933" t="str">
            <v>sim</v>
          </cell>
          <cell r="V2933" t="str">
            <v>not neg pair</v>
          </cell>
          <cell r="Y2933" t="str">
            <v>Past</v>
          </cell>
          <cell r="Z2933">
            <v>3.36</v>
          </cell>
          <cell r="AA2933">
            <v>0</v>
          </cell>
          <cell r="AB2933">
            <v>0</v>
          </cell>
        </row>
        <row r="2934">
          <cell r="G2934" t="str">
            <v>X737_0</v>
          </cell>
          <cell r="H2934" t="str">
            <v>as-as</v>
          </cell>
          <cell r="I2934" t="str">
            <v>sim</v>
          </cell>
          <cell r="V2934" t="str">
            <v>not</v>
          </cell>
          <cell r="Y2934" t="str">
            <v>Pres</v>
          </cell>
          <cell r="Z2934">
            <v>3.93</v>
          </cell>
          <cell r="AA2934">
            <v>0</v>
          </cell>
          <cell r="AB2934">
            <v>0</v>
          </cell>
        </row>
        <row r="2935">
          <cell r="G2935" t="str">
            <v>X737_1</v>
          </cell>
          <cell r="H2935" t="str">
            <v>as-as</v>
          </cell>
          <cell r="I2935" t="str">
            <v>sim</v>
          </cell>
          <cell r="V2935" t="str">
            <v>not</v>
          </cell>
          <cell r="Y2935" t="str">
            <v>Pres</v>
          </cell>
          <cell r="Z2935">
            <v>3.93</v>
          </cell>
          <cell r="AA2935">
            <v>0</v>
          </cell>
          <cell r="AB2935">
            <v>0</v>
          </cell>
        </row>
        <row r="2936">
          <cell r="G2936" t="str">
            <v>X738_0</v>
          </cell>
          <cell r="H2936" t="str">
            <v>as-as</v>
          </cell>
          <cell r="I2936" t="str">
            <v>sim</v>
          </cell>
          <cell r="V2936" t="str">
            <v>antonym</v>
          </cell>
          <cell r="Y2936" t="str">
            <v>Pres</v>
          </cell>
          <cell r="Z2936">
            <v>3.93</v>
          </cell>
          <cell r="AA2936">
            <v>0</v>
          </cell>
          <cell r="AB2936">
            <v>0</v>
          </cell>
        </row>
        <row r="2937">
          <cell r="G2937" t="str">
            <v>X738_1</v>
          </cell>
          <cell r="H2937" t="str">
            <v>as-as</v>
          </cell>
          <cell r="I2937" t="str">
            <v>sim</v>
          </cell>
          <cell r="V2937" t="str">
            <v>antonym</v>
          </cell>
          <cell r="Y2937" t="str">
            <v>Pres</v>
          </cell>
          <cell r="Z2937">
            <v>3.93</v>
          </cell>
          <cell r="AA2937">
            <v>0</v>
          </cell>
          <cell r="AB2937">
            <v>0</v>
          </cell>
        </row>
        <row r="2938">
          <cell r="G2938" t="str">
            <v>X739_0</v>
          </cell>
          <cell r="H2938" t="str">
            <v>like</v>
          </cell>
          <cell r="I2938" t="str">
            <v>sim</v>
          </cell>
          <cell r="V2938" t="str">
            <v>not neg pair</v>
          </cell>
          <cell r="Y2938" t="str">
            <v>Past</v>
          </cell>
          <cell r="Z2938">
            <v>3.93</v>
          </cell>
          <cell r="AA2938">
            <v>0</v>
          </cell>
          <cell r="AB2938">
            <v>0</v>
          </cell>
        </row>
        <row r="2939">
          <cell r="G2939" t="str">
            <v>X739_1</v>
          </cell>
          <cell r="H2939" t="str">
            <v>like</v>
          </cell>
          <cell r="I2939" t="str">
            <v>sim</v>
          </cell>
          <cell r="V2939" t="str">
            <v>not neg pair</v>
          </cell>
          <cell r="Y2939" t="str">
            <v>Past</v>
          </cell>
          <cell r="Z2939">
            <v>3.93</v>
          </cell>
          <cell r="AA2939">
            <v>0</v>
          </cell>
          <cell r="AB2939">
            <v>0</v>
          </cell>
        </row>
        <row r="2940">
          <cell r="G2940" t="str">
            <v>X740_0</v>
          </cell>
          <cell r="H2940" t="str">
            <v>the-of</v>
          </cell>
          <cell r="I2940" t="str">
            <v>sim</v>
          </cell>
          <cell r="V2940" t="str">
            <v>0</v>
          </cell>
          <cell r="Y2940" t="str">
            <v>Pres</v>
          </cell>
          <cell r="Z2940">
            <v>3.56</v>
          </cell>
          <cell r="AA2940">
            <v>0</v>
          </cell>
          <cell r="AB2940">
            <v>0</v>
          </cell>
        </row>
        <row r="2941">
          <cell r="G2941" t="str">
            <v>X740_1</v>
          </cell>
          <cell r="H2941" t="str">
            <v/>
          </cell>
          <cell r="I2941" t="str">
            <v>met</v>
          </cell>
          <cell r="V2941" t="str">
            <v>0</v>
          </cell>
          <cell r="Y2941" t="str">
            <v>Pres</v>
          </cell>
          <cell r="Z2941">
            <v>3.56</v>
          </cell>
          <cell r="AA2941">
            <v>0</v>
          </cell>
          <cell r="AB2941">
            <v>0</v>
          </cell>
        </row>
        <row r="2942">
          <cell r="G2942" t="str">
            <v>X741_0</v>
          </cell>
          <cell r="H2942" t="str">
            <v/>
          </cell>
          <cell r="I2942" t="str">
            <v>met</v>
          </cell>
          <cell r="V2942" t="str">
            <v>0</v>
          </cell>
          <cell r="Y2942">
            <v>0</v>
          </cell>
          <cell r="Z2942">
            <v>3.23</v>
          </cell>
          <cell r="AA2942">
            <v>0</v>
          </cell>
          <cell r="AB2942">
            <v>0</v>
          </cell>
        </row>
        <row r="2943">
          <cell r="G2943" t="str">
            <v>X741_1</v>
          </cell>
          <cell r="H2943" t="str">
            <v/>
          </cell>
          <cell r="I2943" t="str">
            <v>met</v>
          </cell>
          <cell r="V2943" t="str">
            <v>0</v>
          </cell>
          <cell r="Y2943">
            <v>0</v>
          </cell>
          <cell r="Z2943">
            <v>3.23</v>
          </cell>
          <cell r="AA2943">
            <v>0</v>
          </cell>
          <cell r="AB2943">
            <v>0</v>
          </cell>
        </row>
        <row r="2944">
          <cell r="G2944" t="str">
            <v>X742_0</v>
          </cell>
          <cell r="H2944" t="str">
            <v/>
          </cell>
          <cell r="I2944" t="str">
            <v>met</v>
          </cell>
          <cell r="V2944" t="str">
            <v>0</v>
          </cell>
          <cell r="Y2944" t="str">
            <v>Pres</v>
          </cell>
          <cell r="Z2944">
            <v>4.8499999999999996</v>
          </cell>
          <cell r="AA2944">
            <v>0</v>
          </cell>
          <cell r="AB2944">
            <v>0</v>
          </cell>
        </row>
        <row r="2945">
          <cell r="G2945" t="str">
            <v>X742_1</v>
          </cell>
          <cell r="H2945" t="str">
            <v/>
          </cell>
          <cell r="I2945" t="str">
            <v>met</v>
          </cell>
          <cell r="V2945" t="str">
            <v>0</v>
          </cell>
          <cell r="Y2945">
            <v>0</v>
          </cell>
          <cell r="Z2945">
            <v>4.8499999999999996</v>
          </cell>
          <cell r="AA2945">
            <v>0</v>
          </cell>
          <cell r="AB2945">
            <v>0</v>
          </cell>
        </row>
        <row r="2946">
          <cell r="G2946" t="str">
            <v>X743_0</v>
          </cell>
          <cell r="H2946" t="str">
            <v>the-of</v>
          </cell>
          <cell r="I2946" t="str">
            <v>sim</v>
          </cell>
          <cell r="V2946" t="str">
            <v>not neg pair</v>
          </cell>
          <cell r="Y2946" t="str">
            <v>Past</v>
          </cell>
          <cell r="Z2946">
            <v>3.19</v>
          </cell>
          <cell r="AA2946">
            <v>0</v>
          </cell>
          <cell r="AB2946">
            <v>0</v>
          </cell>
        </row>
        <row r="2947">
          <cell r="G2947" t="str">
            <v>X743_1</v>
          </cell>
          <cell r="H2947" t="str">
            <v>the-of</v>
          </cell>
          <cell r="I2947" t="str">
            <v>sim</v>
          </cell>
          <cell r="V2947" t="str">
            <v>not neg pair</v>
          </cell>
          <cell r="Y2947" t="str">
            <v>Past</v>
          </cell>
          <cell r="Z2947">
            <v>3.19</v>
          </cell>
          <cell r="AA2947">
            <v>0</v>
          </cell>
          <cell r="AB2947">
            <v>0</v>
          </cell>
        </row>
        <row r="2948">
          <cell r="G2948" t="str">
            <v>X744_0</v>
          </cell>
          <cell r="H2948" t="str">
            <v>the-of</v>
          </cell>
          <cell r="I2948" t="str">
            <v>sim</v>
          </cell>
          <cell r="V2948" t="str">
            <v>not neg pair</v>
          </cell>
          <cell r="Y2948" t="str">
            <v>Past</v>
          </cell>
          <cell r="Z2948">
            <v>4.67</v>
          </cell>
          <cell r="AA2948">
            <v>0</v>
          </cell>
          <cell r="AB2948">
            <v>0</v>
          </cell>
        </row>
        <row r="2949">
          <cell r="G2949" t="str">
            <v>X744_1</v>
          </cell>
          <cell r="H2949" t="str">
            <v>the-of</v>
          </cell>
          <cell r="I2949" t="str">
            <v>sim</v>
          </cell>
          <cell r="V2949" t="str">
            <v>not neg pair</v>
          </cell>
          <cell r="Y2949" t="str">
            <v>Past</v>
          </cell>
          <cell r="Z2949">
            <v>4.67</v>
          </cell>
          <cell r="AA2949">
            <v>0</v>
          </cell>
          <cell r="AB2949">
            <v>0</v>
          </cell>
        </row>
        <row r="2950">
          <cell r="G2950" t="str">
            <v>X745_0</v>
          </cell>
          <cell r="H2950" t="str">
            <v>as-as</v>
          </cell>
          <cell r="I2950" t="str">
            <v>sim</v>
          </cell>
          <cell r="V2950" t="str">
            <v>not</v>
          </cell>
          <cell r="Y2950" t="str">
            <v>Past</v>
          </cell>
          <cell r="Z2950">
            <v>4.8499999999999996</v>
          </cell>
          <cell r="AA2950">
            <v>0</v>
          </cell>
          <cell r="AB2950">
            <v>0</v>
          </cell>
        </row>
        <row r="2951">
          <cell r="G2951" t="str">
            <v>X745_1</v>
          </cell>
          <cell r="H2951" t="str">
            <v>as-as</v>
          </cell>
          <cell r="I2951" t="str">
            <v>sim</v>
          </cell>
          <cell r="V2951" t="str">
            <v>not</v>
          </cell>
          <cell r="Y2951" t="str">
            <v>Past</v>
          </cell>
          <cell r="Z2951">
            <v>4.8499999999999996</v>
          </cell>
          <cell r="AA2951">
            <v>0</v>
          </cell>
          <cell r="AB2951">
            <v>0</v>
          </cell>
        </row>
        <row r="2952">
          <cell r="G2952" t="str">
            <v>X746_0</v>
          </cell>
          <cell r="H2952" t="str">
            <v>as-as</v>
          </cell>
          <cell r="I2952" t="str">
            <v>sim</v>
          </cell>
          <cell r="V2952" t="str">
            <v>not neg pair</v>
          </cell>
          <cell r="Y2952" t="str">
            <v>Pres</v>
          </cell>
          <cell r="Z2952">
            <v>4.8499999999999996</v>
          </cell>
          <cell r="AA2952">
            <v>0</v>
          </cell>
          <cell r="AB2952">
            <v>0</v>
          </cell>
        </row>
        <row r="2953">
          <cell r="G2953" t="str">
            <v>X746_1</v>
          </cell>
          <cell r="H2953" t="str">
            <v>as-as</v>
          </cell>
          <cell r="I2953" t="str">
            <v>sim</v>
          </cell>
          <cell r="V2953" t="str">
            <v>not neg pair</v>
          </cell>
          <cell r="Y2953" t="str">
            <v>Pres</v>
          </cell>
          <cell r="Z2953">
            <v>4.8499999999999996</v>
          </cell>
          <cell r="AA2953">
            <v>0</v>
          </cell>
          <cell r="AB2953">
            <v>0</v>
          </cell>
        </row>
        <row r="2954">
          <cell r="G2954" t="str">
            <v>X747_0</v>
          </cell>
          <cell r="H2954" t="str">
            <v>as-as</v>
          </cell>
          <cell r="I2954" t="str">
            <v>sim</v>
          </cell>
          <cell r="V2954" t="str">
            <v>not</v>
          </cell>
          <cell r="Y2954" t="str">
            <v>Pres</v>
          </cell>
          <cell r="Z2954">
            <v>3.93</v>
          </cell>
          <cell r="AA2954">
            <v>0</v>
          </cell>
          <cell r="AB2954">
            <v>0</v>
          </cell>
        </row>
        <row r="2955">
          <cell r="G2955" t="str">
            <v>X747_1</v>
          </cell>
          <cell r="H2955" t="str">
            <v>as-as</v>
          </cell>
          <cell r="I2955" t="str">
            <v>sim</v>
          </cell>
          <cell r="V2955" t="str">
            <v>not</v>
          </cell>
          <cell r="Y2955" t="str">
            <v>Pres</v>
          </cell>
          <cell r="Z2955">
            <v>3.93</v>
          </cell>
          <cell r="AA2955">
            <v>0</v>
          </cell>
          <cell r="AB2955">
            <v>0</v>
          </cell>
        </row>
        <row r="2956">
          <cell r="G2956" t="str">
            <v>X748_0</v>
          </cell>
          <cell r="H2956" t="str">
            <v/>
          </cell>
          <cell r="I2956" t="str">
            <v>met</v>
          </cell>
          <cell r="V2956" t="str">
            <v>0</v>
          </cell>
          <cell r="Y2956" t="str">
            <v>Past</v>
          </cell>
          <cell r="Z2956">
            <v>3.56</v>
          </cell>
          <cell r="AA2956">
            <v>0</v>
          </cell>
          <cell r="AB2956">
            <v>0</v>
          </cell>
        </row>
        <row r="2957">
          <cell r="G2957" t="str">
            <v>X748_1</v>
          </cell>
          <cell r="H2957" t="str">
            <v>like</v>
          </cell>
          <cell r="I2957" t="str">
            <v>sim</v>
          </cell>
          <cell r="V2957" t="str">
            <v>0</v>
          </cell>
          <cell r="Y2957" t="str">
            <v>Past</v>
          </cell>
          <cell r="Z2957">
            <v>3.56</v>
          </cell>
          <cell r="AA2957">
            <v>0</v>
          </cell>
          <cell r="AB2957">
            <v>0</v>
          </cell>
        </row>
        <row r="2958">
          <cell r="G2958" t="str">
            <v>X749_0</v>
          </cell>
          <cell r="H2958" t="str">
            <v>the-of</v>
          </cell>
          <cell r="I2958" t="str">
            <v>sim</v>
          </cell>
          <cell r="V2958" t="str">
            <v>not neg pair</v>
          </cell>
          <cell r="Y2958" t="str">
            <v>Past</v>
          </cell>
          <cell r="Z2958">
            <v>4.5199999999999996</v>
          </cell>
          <cell r="AA2958">
            <v>0</v>
          </cell>
          <cell r="AB2958">
            <v>0</v>
          </cell>
        </row>
        <row r="2959">
          <cell r="G2959" t="str">
            <v>X749_1</v>
          </cell>
          <cell r="H2959" t="str">
            <v>the-of</v>
          </cell>
          <cell r="I2959" t="str">
            <v>sim</v>
          </cell>
          <cell r="V2959" t="str">
            <v>not neg pair</v>
          </cell>
          <cell r="Y2959" t="str">
            <v>Past</v>
          </cell>
          <cell r="Z2959">
            <v>4.5199999999999996</v>
          </cell>
          <cell r="AA2959">
            <v>0</v>
          </cell>
          <cell r="AB2959">
            <v>0</v>
          </cell>
        </row>
        <row r="2960">
          <cell r="G2960" t="str">
            <v>X750_0</v>
          </cell>
          <cell r="H2960" t="str">
            <v>the-of</v>
          </cell>
          <cell r="I2960" t="str">
            <v>sim</v>
          </cell>
          <cell r="V2960" t="str">
            <v>not neg pair</v>
          </cell>
          <cell r="Y2960" t="str">
            <v>Past</v>
          </cell>
          <cell r="Z2960">
            <v>4.8499999999999996</v>
          </cell>
          <cell r="AA2960">
            <v>0</v>
          </cell>
          <cell r="AB2960">
            <v>0</v>
          </cell>
        </row>
        <row r="2961">
          <cell r="G2961" t="str">
            <v>X750_1</v>
          </cell>
          <cell r="H2961" t="str">
            <v>the-of</v>
          </cell>
          <cell r="I2961" t="str">
            <v>sim</v>
          </cell>
          <cell r="V2961" t="str">
            <v>not neg pair</v>
          </cell>
          <cell r="Y2961" t="str">
            <v>Past</v>
          </cell>
          <cell r="Z2961">
            <v>4.8499999999999996</v>
          </cell>
          <cell r="AA2961">
            <v>0</v>
          </cell>
          <cell r="AB2961">
            <v>0</v>
          </cell>
        </row>
        <row r="2962">
          <cell r="G2962" t="str">
            <v>X751_0</v>
          </cell>
          <cell r="H2962" t="str">
            <v>the-of</v>
          </cell>
          <cell r="I2962" t="str">
            <v>sim</v>
          </cell>
          <cell r="V2962" t="str">
            <v>not neg pair</v>
          </cell>
          <cell r="Y2962" t="str">
            <v>Past</v>
          </cell>
          <cell r="Z2962">
            <v>4.21</v>
          </cell>
          <cell r="AA2962">
            <v>0</v>
          </cell>
          <cell r="AB2962">
            <v>0</v>
          </cell>
        </row>
        <row r="2963">
          <cell r="G2963" t="str">
            <v>X751_1</v>
          </cell>
          <cell r="H2963" t="str">
            <v>the-of</v>
          </cell>
          <cell r="I2963" t="str">
            <v>sim</v>
          </cell>
          <cell r="V2963" t="str">
            <v>not neg pair</v>
          </cell>
          <cell r="Y2963" t="str">
            <v>Past</v>
          </cell>
          <cell r="Z2963">
            <v>4.21</v>
          </cell>
          <cell r="AA2963">
            <v>0</v>
          </cell>
          <cell r="AB2963">
            <v>0</v>
          </cell>
        </row>
        <row r="2964">
          <cell r="G2964" t="str">
            <v>X752_0</v>
          </cell>
          <cell r="H2964" t="str">
            <v>as-as</v>
          </cell>
          <cell r="I2964" t="str">
            <v>sim</v>
          </cell>
          <cell r="V2964" t="str">
            <v>not</v>
          </cell>
          <cell r="Y2964" t="str">
            <v>Past</v>
          </cell>
          <cell r="Z2964">
            <v>4.8499999999999996</v>
          </cell>
          <cell r="AA2964">
            <v>0</v>
          </cell>
          <cell r="AB2964">
            <v>0</v>
          </cell>
        </row>
        <row r="2965">
          <cell r="G2965" t="str">
            <v>X752_1</v>
          </cell>
          <cell r="H2965" t="str">
            <v>as-as</v>
          </cell>
          <cell r="I2965" t="str">
            <v>sim</v>
          </cell>
          <cell r="V2965" t="str">
            <v>not</v>
          </cell>
          <cell r="Y2965" t="str">
            <v>Past</v>
          </cell>
          <cell r="Z2965">
            <v>4.8499999999999996</v>
          </cell>
          <cell r="AA2965">
            <v>0</v>
          </cell>
          <cell r="AB2965">
            <v>0</v>
          </cell>
        </row>
        <row r="2966">
          <cell r="G2966" t="str">
            <v>X753_0</v>
          </cell>
          <cell r="H2966" t="str">
            <v>like</v>
          </cell>
          <cell r="I2966" t="str">
            <v>sim</v>
          </cell>
          <cell r="V2966" t="str">
            <v>not neg pair</v>
          </cell>
          <cell r="Y2966" t="str">
            <v>Pres</v>
          </cell>
          <cell r="Z2966">
            <v>1.69</v>
          </cell>
          <cell r="AA2966" t="str">
            <v>L</v>
          </cell>
          <cell r="AB2966">
            <v>0</v>
          </cell>
        </row>
        <row r="2967">
          <cell r="G2967" t="str">
            <v>X753_1</v>
          </cell>
          <cell r="H2967" t="str">
            <v>like</v>
          </cell>
          <cell r="I2967" t="str">
            <v>sim</v>
          </cell>
          <cell r="V2967" t="str">
            <v>not neg pair</v>
          </cell>
          <cell r="Y2967" t="str">
            <v>Pres</v>
          </cell>
          <cell r="Z2967">
            <v>4.26</v>
          </cell>
          <cell r="AA2967">
            <v>0</v>
          </cell>
          <cell r="AB2967">
            <v>0</v>
          </cell>
        </row>
        <row r="2968">
          <cell r="G2968" t="str">
            <v>X754_0</v>
          </cell>
          <cell r="H2968" t="str">
            <v>the-of</v>
          </cell>
          <cell r="I2968" t="str">
            <v>sim</v>
          </cell>
          <cell r="V2968" t="str">
            <v>not neg pair</v>
          </cell>
          <cell r="Y2968" t="str">
            <v>Pres</v>
          </cell>
          <cell r="Z2968">
            <v>2.71</v>
          </cell>
          <cell r="AA2968" t="str">
            <v>L</v>
          </cell>
          <cell r="AB2968">
            <v>0</v>
          </cell>
        </row>
        <row r="2969">
          <cell r="G2969" t="str">
            <v>X754_1</v>
          </cell>
          <cell r="H2969" t="str">
            <v>the-of</v>
          </cell>
          <cell r="I2969" t="str">
            <v>sim</v>
          </cell>
          <cell r="V2969" t="str">
            <v>not neg pair</v>
          </cell>
          <cell r="Y2969" t="str">
            <v>Pres</v>
          </cell>
          <cell r="Z2969">
            <v>2.71</v>
          </cell>
          <cell r="AA2969" t="str">
            <v>L</v>
          </cell>
          <cell r="AB2969">
            <v>0</v>
          </cell>
        </row>
        <row r="2970">
          <cell r="G2970" t="str">
            <v>X755_0</v>
          </cell>
          <cell r="H2970" t="str">
            <v/>
          </cell>
          <cell r="I2970" t="str">
            <v>met</v>
          </cell>
          <cell r="V2970" t="str">
            <v>0</v>
          </cell>
          <cell r="Y2970" t="str">
            <v>Pres</v>
          </cell>
          <cell r="Z2970">
            <v>4.8499999999999996</v>
          </cell>
          <cell r="AA2970">
            <v>0</v>
          </cell>
          <cell r="AB2970">
            <v>0</v>
          </cell>
        </row>
        <row r="2971">
          <cell r="G2971" t="str">
            <v>X755_1</v>
          </cell>
          <cell r="H2971" t="str">
            <v/>
          </cell>
          <cell r="I2971" t="str">
            <v>met</v>
          </cell>
          <cell r="V2971" t="str">
            <v>0</v>
          </cell>
          <cell r="Y2971" t="str">
            <v>Pres</v>
          </cell>
          <cell r="Z2971">
            <v>4.8499999999999996</v>
          </cell>
          <cell r="AA2971">
            <v>0</v>
          </cell>
          <cell r="AB2971">
            <v>0</v>
          </cell>
        </row>
        <row r="2972">
          <cell r="G2972" t="str">
            <v>X756_0</v>
          </cell>
          <cell r="H2972" t="str">
            <v>the-of</v>
          </cell>
          <cell r="I2972" t="str">
            <v>sim</v>
          </cell>
          <cell r="V2972" t="str">
            <v>not</v>
          </cell>
          <cell r="Y2972" t="str">
            <v>Pres</v>
          </cell>
          <cell r="Z2972">
            <v>1.69</v>
          </cell>
          <cell r="AA2972" t="str">
            <v>L</v>
          </cell>
          <cell r="AB2972">
            <v>0</v>
          </cell>
        </row>
        <row r="2973">
          <cell r="G2973" t="str">
            <v>X756_1</v>
          </cell>
          <cell r="H2973" t="str">
            <v>the-of</v>
          </cell>
          <cell r="I2973" t="str">
            <v>sim</v>
          </cell>
          <cell r="V2973" t="str">
            <v>not</v>
          </cell>
          <cell r="Y2973" t="str">
            <v>Pres</v>
          </cell>
          <cell r="Z2973">
            <v>1.69</v>
          </cell>
          <cell r="AA2973" t="str">
            <v>L</v>
          </cell>
          <cell r="AB2973">
            <v>0</v>
          </cell>
        </row>
        <row r="2974">
          <cell r="G2974" t="str">
            <v>X757_0</v>
          </cell>
          <cell r="H2974" t="str">
            <v/>
          </cell>
          <cell r="I2974" t="str">
            <v>met</v>
          </cell>
          <cell r="V2974" t="str">
            <v>0</v>
          </cell>
          <cell r="Y2974" t="str">
            <v>Pres</v>
          </cell>
          <cell r="Z2974">
            <v>4.8899999999999997</v>
          </cell>
          <cell r="AA2974">
            <v>0</v>
          </cell>
          <cell r="AB2974">
            <v>0</v>
          </cell>
        </row>
        <row r="2975">
          <cell r="G2975" t="str">
            <v>X757_1</v>
          </cell>
          <cell r="H2975" t="str">
            <v/>
          </cell>
          <cell r="I2975" t="str">
            <v>met</v>
          </cell>
          <cell r="V2975" t="str">
            <v>0</v>
          </cell>
          <cell r="Y2975" t="str">
            <v>Pres</v>
          </cell>
          <cell r="Z2975">
            <v>4.8899999999999997</v>
          </cell>
          <cell r="AA2975">
            <v>0</v>
          </cell>
          <cell r="AB2975">
            <v>0</v>
          </cell>
        </row>
        <row r="2976">
          <cell r="G2976" t="str">
            <v>X758_0</v>
          </cell>
          <cell r="H2976" t="str">
            <v>the-of</v>
          </cell>
          <cell r="I2976" t="str">
            <v>sim</v>
          </cell>
          <cell r="V2976" t="str">
            <v>not neg pair</v>
          </cell>
          <cell r="Y2976" t="str">
            <v>Past</v>
          </cell>
          <cell r="Z2976">
            <v>4.8499999999999996</v>
          </cell>
          <cell r="AA2976">
            <v>0</v>
          </cell>
          <cell r="AB2976">
            <v>0</v>
          </cell>
        </row>
        <row r="2977">
          <cell r="G2977" t="str">
            <v>X758_1</v>
          </cell>
          <cell r="H2977" t="str">
            <v>the-of</v>
          </cell>
          <cell r="I2977" t="str">
            <v>sim</v>
          </cell>
          <cell r="V2977" t="str">
            <v>not neg pair</v>
          </cell>
          <cell r="Y2977" t="str">
            <v>Past</v>
          </cell>
          <cell r="Z2977">
            <v>4.8499999999999996</v>
          </cell>
          <cell r="AA2977">
            <v>0</v>
          </cell>
          <cell r="AB2977">
            <v>0</v>
          </cell>
        </row>
        <row r="2978">
          <cell r="G2978" t="str">
            <v>X759_0</v>
          </cell>
          <cell r="H2978" t="str">
            <v>the-of</v>
          </cell>
          <cell r="I2978" t="str">
            <v>sim</v>
          </cell>
          <cell r="V2978" t="str">
            <v>not neg pair</v>
          </cell>
          <cell r="Y2978" t="str">
            <v>Pres</v>
          </cell>
          <cell r="Z2978">
            <v>4.92</v>
          </cell>
          <cell r="AA2978" t="str">
            <v>H</v>
          </cell>
          <cell r="AB2978">
            <v>0</v>
          </cell>
        </row>
        <row r="2979">
          <cell r="G2979" t="str">
            <v>X759_1</v>
          </cell>
          <cell r="H2979" t="str">
            <v>the-of</v>
          </cell>
          <cell r="I2979" t="str">
            <v>sim</v>
          </cell>
          <cell r="V2979" t="str">
            <v>not neg pair</v>
          </cell>
          <cell r="Y2979" t="str">
            <v>Past</v>
          </cell>
          <cell r="Z2979">
            <v>4.92</v>
          </cell>
          <cell r="AA2979" t="str">
            <v>H</v>
          </cell>
          <cell r="AB2979">
            <v>0</v>
          </cell>
        </row>
        <row r="2980">
          <cell r="G2980" t="str">
            <v>X760_0</v>
          </cell>
          <cell r="H2980" t="str">
            <v>the-of</v>
          </cell>
          <cell r="I2980" t="str">
            <v>sim</v>
          </cell>
          <cell r="V2980" t="str">
            <v>not neg pair</v>
          </cell>
          <cell r="Y2980" t="str">
            <v>Past</v>
          </cell>
          <cell r="Z2980">
            <v>2.93</v>
          </cell>
          <cell r="AA2980">
            <v>0</v>
          </cell>
          <cell r="AB2980">
            <v>0</v>
          </cell>
        </row>
        <row r="2981">
          <cell r="G2981" t="str">
            <v>X760_1</v>
          </cell>
          <cell r="H2981" t="str">
            <v>the-of</v>
          </cell>
          <cell r="I2981" t="str">
            <v>sim</v>
          </cell>
          <cell r="V2981" t="str">
            <v>not neg pair</v>
          </cell>
          <cell r="Y2981" t="str">
            <v>Past</v>
          </cell>
          <cell r="Z2981">
            <v>2.93</v>
          </cell>
          <cell r="AA2981">
            <v>0</v>
          </cell>
          <cell r="AB2981">
            <v>0</v>
          </cell>
        </row>
        <row r="2982">
          <cell r="G2982" t="str">
            <v>X761_0</v>
          </cell>
          <cell r="H2982" t="str">
            <v/>
          </cell>
          <cell r="I2982" t="str">
            <v>met</v>
          </cell>
          <cell r="V2982" t="str">
            <v>0</v>
          </cell>
          <cell r="Y2982" t="str">
            <v>Pres</v>
          </cell>
          <cell r="Z2982">
            <v>3.93</v>
          </cell>
          <cell r="AA2982">
            <v>0</v>
          </cell>
          <cell r="AB2982">
            <v>0</v>
          </cell>
        </row>
        <row r="2983">
          <cell r="G2983" t="str">
            <v>X761_1</v>
          </cell>
          <cell r="H2983" t="str">
            <v/>
          </cell>
          <cell r="I2983" t="str">
            <v>met</v>
          </cell>
          <cell r="V2983" t="str">
            <v>0</v>
          </cell>
          <cell r="Y2983" t="str">
            <v>Pres</v>
          </cell>
          <cell r="Z2983">
            <v>3.93</v>
          </cell>
          <cell r="AA2983">
            <v>0</v>
          </cell>
          <cell r="AB2983">
            <v>0</v>
          </cell>
        </row>
        <row r="2984">
          <cell r="G2984" t="str">
            <v>X762_0</v>
          </cell>
          <cell r="H2984" t="str">
            <v>the-of</v>
          </cell>
          <cell r="I2984" t="str">
            <v>sim</v>
          </cell>
          <cell r="V2984" t="str">
            <v>0</v>
          </cell>
          <cell r="Y2984" t="str">
            <v>Pres</v>
          </cell>
          <cell r="Z2984">
            <v>4.8499999999999996</v>
          </cell>
          <cell r="AA2984">
            <v>0</v>
          </cell>
          <cell r="AB2984">
            <v>0</v>
          </cell>
        </row>
        <row r="2985">
          <cell r="G2985" t="str">
            <v>X762_1</v>
          </cell>
          <cell r="H2985" t="str">
            <v/>
          </cell>
          <cell r="I2985" t="str">
            <v>met</v>
          </cell>
          <cell r="V2985" t="str">
            <v>0</v>
          </cell>
          <cell r="Y2985" t="str">
            <v>Pres</v>
          </cell>
          <cell r="Z2985">
            <v>4.8499999999999996</v>
          </cell>
          <cell r="AA2985">
            <v>0</v>
          </cell>
          <cell r="AB2985">
            <v>0</v>
          </cell>
        </row>
        <row r="2986">
          <cell r="G2986" t="str">
            <v>X763_0</v>
          </cell>
          <cell r="H2986" t="str">
            <v>the-of</v>
          </cell>
          <cell r="I2986" t="str">
            <v>sim</v>
          </cell>
          <cell r="V2986" t="str">
            <v>not</v>
          </cell>
          <cell r="Y2986" t="str">
            <v>Pres</v>
          </cell>
          <cell r="Z2986">
            <v>4.33</v>
          </cell>
          <cell r="AA2986">
            <v>0</v>
          </cell>
          <cell r="AB2986">
            <v>0</v>
          </cell>
        </row>
        <row r="2987">
          <cell r="G2987" t="str">
            <v>X763_1</v>
          </cell>
          <cell r="H2987" t="str">
            <v>the-of</v>
          </cell>
          <cell r="I2987" t="str">
            <v>sim</v>
          </cell>
          <cell r="V2987" t="str">
            <v>not</v>
          </cell>
          <cell r="Y2987" t="str">
            <v>Pres</v>
          </cell>
          <cell r="Z2987">
            <v>4.33</v>
          </cell>
          <cell r="AA2987">
            <v>0</v>
          </cell>
          <cell r="AB2987">
            <v>0</v>
          </cell>
        </row>
        <row r="2988">
          <cell r="G2988" t="str">
            <v>X764_0</v>
          </cell>
          <cell r="H2988" t="str">
            <v>as-as</v>
          </cell>
          <cell r="I2988" t="str">
            <v>sim</v>
          </cell>
          <cell r="V2988" t="str">
            <v>not</v>
          </cell>
          <cell r="Y2988" t="str">
            <v>Past</v>
          </cell>
          <cell r="Z2988">
            <v>4.8499999999999996</v>
          </cell>
          <cell r="AA2988">
            <v>0</v>
          </cell>
          <cell r="AB2988">
            <v>0</v>
          </cell>
        </row>
        <row r="2989">
          <cell r="G2989" t="str">
            <v>X764_1</v>
          </cell>
          <cell r="H2989" t="str">
            <v>as-as</v>
          </cell>
          <cell r="I2989" t="str">
            <v>sim</v>
          </cell>
          <cell r="V2989" t="str">
            <v>not</v>
          </cell>
          <cell r="Y2989" t="str">
            <v>Past</v>
          </cell>
          <cell r="Z2989">
            <v>4.8499999999999996</v>
          </cell>
          <cell r="AA2989">
            <v>0</v>
          </cell>
          <cell r="AB2989">
            <v>0</v>
          </cell>
        </row>
        <row r="2990">
          <cell r="G2990" t="str">
            <v>X765_0</v>
          </cell>
          <cell r="H2990" t="str">
            <v>the-of</v>
          </cell>
          <cell r="I2990" t="str">
            <v>sim</v>
          </cell>
          <cell r="V2990" t="str">
            <v>not</v>
          </cell>
          <cell r="Y2990" t="str">
            <v>Past</v>
          </cell>
          <cell r="Z2990">
            <v>3.93</v>
          </cell>
          <cell r="AA2990">
            <v>0</v>
          </cell>
          <cell r="AB2990">
            <v>0</v>
          </cell>
        </row>
        <row r="2991">
          <cell r="G2991" t="str">
            <v>X765_1</v>
          </cell>
          <cell r="H2991" t="str">
            <v>the-of</v>
          </cell>
          <cell r="I2991" t="str">
            <v>sim</v>
          </cell>
          <cell r="V2991" t="str">
            <v>not</v>
          </cell>
          <cell r="Y2991" t="str">
            <v>Past</v>
          </cell>
          <cell r="Z2991">
            <v>3.93</v>
          </cell>
          <cell r="AA2991">
            <v>0</v>
          </cell>
          <cell r="AB2991">
            <v>0</v>
          </cell>
        </row>
        <row r="2992">
          <cell r="G2992" t="str">
            <v>X766_0</v>
          </cell>
          <cell r="H2992" t="str">
            <v>as-as</v>
          </cell>
          <cell r="I2992" t="str">
            <v>sim</v>
          </cell>
          <cell r="V2992" t="str">
            <v>not</v>
          </cell>
          <cell r="Y2992" t="str">
            <v>Past</v>
          </cell>
          <cell r="Z2992">
            <v>4.43</v>
          </cell>
          <cell r="AA2992">
            <v>0</v>
          </cell>
          <cell r="AB2992">
            <v>0</v>
          </cell>
        </row>
        <row r="2993">
          <cell r="G2993" t="str">
            <v>X766_1</v>
          </cell>
          <cell r="H2993" t="str">
            <v>as-as</v>
          </cell>
          <cell r="I2993" t="str">
            <v>sim</v>
          </cell>
          <cell r="V2993" t="str">
            <v>not</v>
          </cell>
          <cell r="Y2993" t="str">
            <v>Past</v>
          </cell>
          <cell r="Z2993">
            <v>4.43</v>
          </cell>
          <cell r="AA2993">
            <v>0</v>
          </cell>
          <cell r="AB2993">
            <v>0</v>
          </cell>
        </row>
        <row r="2994">
          <cell r="G2994" t="str">
            <v>X767_0</v>
          </cell>
          <cell r="H2994" t="str">
            <v>the-of</v>
          </cell>
          <cell r="I2994" t="str">
            <v>sim</v>
          </cell>
          <cell r="V2994" t="str">
            <v>not neg pair</v>
          </cell>
          <cell r="Y2994" t="str">
            <v>Past</v>
          </cell>
          <cell r="Z2994">
            <v>4.79</v>
          </cell>
          <cell r="AA2994">
            <v>0</v>
          </cell>
          <cell r="AB2994">
            <v>0</v>
          </cell>
        </row>
        <row r="2995">
          <cell r="G2995" t="str">
            <v>X767_1</v>
          </cell>
          <cell r="H2995" t="str">
            <v>the-of</v>
          </cell>
          <cell r="I2995" t="str">
            <v>sim</v>
          </cell>
          <cell r="V2995" t="str">
            <v>not neg pair</v>
          </cell>
          <cell r="Y2995" t="str">
            <v>Past</v>
          </cell>
          <cell r="Z2995">
            <v>4.79</v>
          </cell>
          <cell r="AA2995">
            <v>0</v>
          </cell>
          <cell r="AB2995">
            <v>0</v>
          </cell>
        </row>
        <row r="2996">
          <cell r="G2996" t="str">
            <v>X768_0</v>
          </cell>
          <cell r="H2996" t="str">
            <v>the-of</v>
          </cell>
          <cell r="I2996" t="str">
            <v>sim</v>
          </cell>
          <cell r="V2996" t="str">
            <v>not neg pair</v>
          </cell>
          <cell r="Y2996" t="str">
            <v>Past</v>
          </cell>
          <cell r="Z2996">
            <v>5</v>
          </cell>
          <cell r="AA2996" t="str">
            <v>H</v>
          </cell>
          <cell r="AB2996">
            <v>0</v>
          </cell>
        </row>
        <row r="2997">
          <cell r="G2997" t="str">
            <v>X768_1</v>
          </cell>
          <cell r="H2997" t="str">
            <v>the-of</v>
          </cell>
          <cell r="I2997" t="str">
            <v>sim</v>
          </cell>
          <cell r="V2997" t="str">
            <v>not neg pair</v>
          </cell>
          <cell r="Y2997" t="str">
            <v>Past</v>
          </cell>
          <cell r="Z2997">
            <v>4.8</v>
          </cell>
          <cell r="AA2997">
            <v>0</v>
          </cell>
          <cell r="AB2997">
            <v>0</v>
          </cell>
        </row>
        <row r="2998">
          <cell r="G2998" t="str">
            <v>X769_0</v>
          </cell>
          <cell r="H2998" t="str">
            <v>as-as</v>
          </cell>
          <cell r="I2998" t="str">
            <v>sim</v>
          </cell>
          <cell r="V2998" t="str">
            <v>not</v>
          </cell>
          <cell r="Y2998" t="str">
            <v>Past</v>
          </cell>
          <cell r="Z2998">
            <v>3.93</v>
          </cell>
          <cell r="AA2998">
            <v>0</v>
          </cell>
          <cell r="AB2998">
            <v>0</v>
          </cell>
        </row>
        <row r="2999">
          <cell r="G2999" t="str">
            <v>X769_1</v>
          </cell>
          <cell r="H2999" t="str">
            <v>as-as</v>
          </cell>
          <cell r="I2999" t="str">
            <v>sim</v>
          </cell>
          <cell r="V2999" t="str">
            <v>not</v>
          </cell>
          <cell r="Y2999" t="str">
            <v>Past</v>
          </cell>
          <cell r="Z2999">
            <v>3.93</v>
          </cell>
          <cell r="AA2999">
            <v>0</v>
          </cell>
          <cell r="AB2999">
            <v>0</v>
          </cell>
        </row>
        <row r="3000">
          <cell r="G3000" t="str">
            <v>X770_0</v>
          </cell>
          <cell r="H3000" t="str">
            <v>the-of</v>
          </cell>
          <cell r="I3000" t="str">
            <v>sim</v>
          </cell>
          <cell r="V3000" t="str">
            <v>not neg pair</v>
          </cell>
          <cell r="Y3000" t="str">
            <v>Pres</v>
          </cell>
          <cell r="Z3000">
            <v>3.93</v>
          </cell>
          <cell r="AA3000">
            <v>0</v>
          </cell>
          <cell r="AB3000">
            <v>0</v>
          </cell>
        </row>
        <row r="3001">
          <cell r="G3001" t="str">
            <v>X770_1</v>
          </cell>
          <cell r="H3001" t="str">
            <v>the-of</v>
          </cell>
          <cell r="I3001" t="str">
            <v>sim</v>
          </cell>
          <cell r="V3001" t="str">
            <v>not neg pair</v>
          </cell>
          <cell r="Y3001" t="str">
            <v>Pres</v>
          </cell>
          <cell r="Z3001">
            <v>3.93</v>
          </cell>
          <cell r="AA3001">
            <v>0</v>
          </cell>
          <cell r="AB3001">
            <v>0</v>
          </cell>
        </row>
        <row r="3002">
          <cell r="G3002" t="str">
            <v>X771_0</v>
          </cell>
          <cell r="H3002" t="str">
            <v>the-of</v>
          </cell>
          <cell r="I3002" t="str">
            <v>sim</v>
          </cell>
          <cell r="V3002" t="str">
            <v>not neg pair</v>
          </cell>
          <cell r="Y3002" t="str">
            <v>Pres</v>
          </cell>
          <cell r="Z3002">
            <v>4.0999999999999996</v>
          </cell>
          <cell r="AA3002">
            <v>0</v>
          </cell>
          <cell r="AB3002">
            <v>0</v>
          </cell>
        </row>
        <row r="3003">
          <cell r="G3003" t="str">
            <v>X771_1</v>
          </cell>
          <cell r="H3003" t="str">
            <v>the-of</v>
          </cell>
          <cell r="I3003" t="str">
            <v>sim</v>
          </cell>
          <cell r="V3003" t="str">
            <v>not neg pair</v>
          </cell>
          <cell r="Y3003" t="str">
            <v>Past</v>
          </cell>
          <cell r="Z3003">
            <v>4.0999999999999996</v>
          </cell>
          <cell r="AA3003">
            <v>0</v>
          </cell>
          <cell r="AB3003">
            <v>0</v>
          </cell>
        </row>
        <row r="3004">
          <cell r="G3004" t="str">
            <v>X772_0</v>
          </cell>
          <cell r="H3004" t="str">
            <v>as-as</v>
          </cell>
          <cell r="I3004" t="str">
            <v>sim</v>
          </cell>
          <cell r="V3004" t="str">
            <v>0</v>
          </cell>
          <cell r="Y3004" t="str">
            <v>Pres</v>
          </cell>
          <cell r="Z3004">
            <v>3.54</v>
          </cell>
          <cell r="AA3004">
            <v>0</v>
          </cell>
          <cell r="AB3004">
            <v>0</v>
          </cell>
        </row>
        <row r="3005">
          <cell r="G3005" t="str">
            <v>X772_1</v>
          </cell>
          <cell r="H3005" t="str">
            <v>as-as</v>
          </cell>
          <cell r="I3005" t="str">
            <v>sim</v>
          </cell>
          <cell r="V3005" t="str">
            <v>0</v>
          </cell>
          <cell r="Y3005" t="str">
            <v>Pres</v>
          </cell>
          <cell r="Z3005">
            <v>3.54</v>
          </cell>
          <cell r="AA3005">
            <v>0</v>
          </cell>
          <cell r="AB3005">
            <v>0</v>
          </cell>
        </row>
        <row r="3006">
          <cell r="G3006" t="str">
            <v>X773_0</v>
          </cell>
          <cell r="H3006" t="str">
            <v>the-of</v>
          </cell>
          <cell r="I3006" t="str">
            <v>sim</v>
          </cell>
          <cell r="V3006" t="str">
            <v>not</v>
          </cell>
          <cell r="Y3006" t="str">
            <v>Pres</v>
          </cell>
          <cell r="Z3006">
            <v>4.1399999999999997</v>
          </cell>
          <cell r="AA3006">
            <v>0</v>
          </cell>
          <cell r="AB3006">
            <v>0</v>
          </cell>
        </row>
        <row r="3007">
          <cell r="G3007" t="str">
            <v>X773_1</v>
          </cell>
          <cell r="H3007" t="str">
            <v>the-of</v>
          </cell>
          <cell r="I3007" t="str">
            <v>sim</v>
          </cell>
          <cell r="V3007" t="str">
            <v>not</v>
          </cell>
          <cell r="Y3007" t="str">
            <v>Pres</v>
          </cell>
          <cell r="Z3007">
            <v>4.1399999999999997</v>
          </cell>
          <cell r="AA3007">
            <v>0</v>
          </cell>
          <cell r="AB3007">
            <v>0</v>
          </cell>
        </row>
        <row r="3008">
          <cell r="G3008" t="str">
            <v>X774_0</v>
          </cell>
          <cell r="H3008" t="str">
            <v>as-as</v>
          </cell>
          <cell r="I3008" t="str">
            <v>sim</v>
          </cell>
          <cell r="V3008" t="str">
            <v>not neg pair</v>
          </cell>
          <cell r="Y3008" t="str">
            <v>Pres</v>
          </cell>
          <cell r="Z3008">
            <v>3.75</v>
          </cell>
          <cell r="AA3008">
            <v>0</v>
          </cell>
          <cell r="AB3008">
            <v>0</v>
          </cell>
        </row>
        <row r="3009">
          <cell r="G3009" t="str">
            <v>X774_1</v>
          </cell>
          <cell r="H3009" t="str">
            <v>as-as</v>
          </cell>
          <cell r="I3009" t="str">
            <v>sim</v>
          </cell>
          <cell r="V3009" t="str">
            <v>not neg pair</v>
          </cell>
          <cell r="Y3009" t="str">
            <v>Pres</v>
          </cell>
          <cell r="Z3009">
            <v>3.75</v>
          </cell>
          <cell r="AA3009">
            <v>0</v>
          </cell>
          <cell r="AB3009">
            <v>0</v>
          </cell>
        </row>
        <row r="3010">
          <cell r="G3010" t="str">
            <v>X775_0</v>
          </cell>
          <cell r="H3010" t="str">
            <v>as-as</v>
          </cell>
          <cell r="I3010" t="str">
            <v>sim</v>
          </cell>
          <cell r="V3010" t="str">
            <v>antonym</v>
          </cell>
          <cell r="Y3010" t="str">
            <v>Pres</v>
          </cell>
          <cell r="Z3010">
            <v>2.81</v>
          </cell>
          <cell r="AA3010">
            <v>0</v>
          </cell>
          <cell r="AB3010">
            <v>0</v>
          </cell>
        </row>
        <row r="3011">
          <cell r="G3011" t="str">
            <v>X775_1</v>
          </cell>
          <cell r="H3011" t="str">
            <v>as-as</v>
          </cell>
          <cell r="I3011" t="str">
            <v>sim</v>
          </cell>
          <cell r="V3011" t="str">
            <v>antonym</v>
          </cell>
          <cell r="Y3011" t="str">
            <v>Pres</v>
          </cell>
          <cell r="Z3011">
            <v>2.81</v>
          </cell>
          <cell r="AA3011">
            <v>0</v>
          </cell>
          <cell r="AB3011">
            <v>0</v>
          </cell>
        </row>
        <row r="3012">
          <cell r="G3012" t="str">
            <v>X776_0</v>
          </cell>
          <cell r="H3012" t="str">
            <v>as-as</v>
          </cell>
          <cell r="I3012" t="str">
            <v>sim</v>
          </cell>
          <cell r="V3012" t="str">
            <v>not neg pair</v>
          </cell>
          <cell r="Y3012" t="str">
            <v>Past</v>
          </cell>
          <cell r="Z3012">
            <v>4.62</v>
          </cell>
          <cell r="AA3012">
            <v>0</v>
          </cell>
          <cell r="AB3012">
            <v>0</v>
          </cell>
        </row>
        <row r="3013">
          <cell r="G3013" t="str">
            <v>X776_1</v>
          </cell>
          <cell r="H3013" t="str">
            <v>as-as</v>
          </cell>
          <cell r="I3013" t="str">
            <v>sim</v>
          </cell>
          <cell r="V3013" t="str">
            <v>not neg pair</v>
          </cell>
          <cell r="Y3013" t="str">
            <v>Past</v>
          </cell>
          <cell r="Z3013">
            <v>4.62</v>
          </cell>
          <cell r="AA3013">
            <v>0</v>
          </cell>
          <cell r="AB3013">
            <v>0</v>
          </cell>
        </row>
        <row r="3014">
          <cell r="G3014" t="str">
            <v>X777_0</v>
          </cell>
          <cell r="H3014" t="str">
            <v>the-of</v>
          </cell>
          <cell r="I3014" t="str">
            <v>sim</v>
          </cell>
          <cell r="V3014" t="str">
            <v>not neg pair</v>
          </cell>
          <cell r="Y3014" t="str">
            <v>Past</v>
          </cell>
          <cell r="Z3014">
            <v>2.96</v>
          </cell>
          <cell r="AA3014">
            <v>0</v>
          </cell>
          <cell r="AB3014">
            <v>0</v>
          </cell>
        </row>
        <row r="3015">
          <cell r="G3015" t="str">
            <v>X777_1</v>
          </cell>
          <cell r="H3015" t="str">
            <v>the-of</v>
          </cell>
          <cell r="I3015" t="str">
            <v>sim</v>
          </cell>
          <cell r="V3015" t="str">
            <v>not neg pair</v>
          </cell>
          <cell r="Y3015" t="str">
            <v>Past</v>
          </cell>
          <cell r="Z3015">
            <v>2.96</v>
          </cell>
          <cell r="AA3015">
            <v>0</v>
          </cell>
          <cell r="AB3015">
            <v>0</v>
          </cell>
        </row>
        <row r="3016">
          <cell r="G3016" t="str">
            <v>X778_0</v>
          </cell>
          <cell r="H3016" t="str">
            <v>as-as</v>
          </cell>
          <cell r="I3016" t="str">
            <v>sim</v>
          </cell>
          <cell r="V3016" t="str">
            <v>not neg pair</v>
          </cell>
          <cell r="Y3016" t="str">
            <v>Past</v>
          </cell>
          <cell r="Z3016">
            <v>3.9</v>
          </cell>
          <cell r="AA3016">
            <v>0</v>
          </cell>
          <cell r="AB3016">
            <v>0</v>
          </cell>
        </row>
        <row r="3017">
          <cell r="G3017" t="str">
            <v>X778_1</v>
          </cell>
          <cell r="H3017" t="str">
            <v>as-as</v>
          </cell>
          <cell r="I3017" t="str">
            <v>sim</v>
          </cell>
          <cell r="V3017" t="str">
            <v>not neg pair</v>
          </cell>
          <cell r="Y3017" t="str">
            <v>Past</v>
          </cell>
          <cell r="Z3017">
            <v>3.9</v>
          </cell>
          <cell r="AA3017">
            <v>0</v>
          </cell>
          <cell r="AB3017">
            <v>0</v>
          </cell>
        </row>
        <row r="3018">
          <cell r="G3018" t="str">
            <v>X779_0</v>
          </cell>
          <cell r="H3018" t="str">
            <v/>
          </cell>
          <cell r="I3018" t="str">
            <v>met</v>
          </cell>
          <cell r="V3018" t="str">
            <v>0</v>
          </cell>
          <cell r="Y3018" t="str">
            <v>Past</v>
          </cell>
          <cell r="Z3018">
            <v>2.2799999999999998</v>
          </cell>
          <cell r="AA3018" t="str">
            <v>L</v>
          </cell>
          <cell r="AB3018">
            <v>0</v>
          </cell>
        </row>
        <row r="3019">
          <cell r="G3019" t="str">
            <v>X779_1</v>
          </cell>
          <cell r="H3019" t="str">
            <v/>
          </cell>
          <cell r="I3019" t="str">
            <v>met</v>
          </cell>
          <cell r="V3019" t="str">
            <v>0</v>
          </cell>
          <cell r="Y3019" t="str">
            <v>Past</v>
          </cell>
          <cell r="Z3019">
            <v>2.2799999999999998</v>
          </cell>
          <cell r="AA3019" t="str">
            <v>L</v>
          </cell>
          <cell r="AB3019">
            <v>0</v>
          </cell>
        </row>
        <row r="3020">
          <cell r="G3020" t="str">
            <v>X780_0</v>
          </cell>
          <cell r="H3020" t="str">
            <v>as-as</v>
          </cell>
          <cell r="I3020" t="str">
            <v>sim</v>
          </cell>
          <cell r="V3020" t="str">
            <v>not</v>
          </cell>
          <cell r="Y3020" t="str">
            <v>Past</v>
          </cell>
          <cell r="Z3020">
            <v>4.63</v>
          </cell>
          <cell r="AA3020">
            <v>0</v>
          </cell>
          <cell r="AB3020">
            <v>0</v>
          </cell>
        </row>
        <row r="3021">
          <cell r="G3021" t="str">
            <v>X780_1</v>
          </cell>
          <cell r="H3021" t="str">
            <v>as-as</v>
          </cell>
          <cell r="I3021" t="str">
            <v>sim</v>
          </cell>
          <cell r="V3021" t="str">
            <v>not</v>
          </cell>
          <cell r="Y3021" t="str">
            <v>Pres</v>
          </cell>
          <cell r="Z3021">
            <v>4.63</v>
          </cell>
          <cell r="AA3021">
            <v>0</v>
          </cell>
          <cell r="AB3021">
            <v>0</v>
          </cell>
        </row>
        <row r="3022">
          <cell r="G3022" t="str">
            <v>X781_0</v>
          </cell>
          <cell r="H3022" t="str">
            <v>as-as</v>
          </cell>
          <cell r="I3022" t="str">
            <v>sim</v>
          </cell>
          <cell r="V3022" t="str">
            <v>not</v>
          </cell>
          <cell r="Y3022" t="str">
            <v>Past</v>
          </cell>
          <cell r="Z3022">
            <v>4.46</v>
          </cell>
          <cell r="AA3022">
            <v>0</v>
          </cell>
          <cell r="AB3022">
            <v>0</v>
          </cell>
        </row>
        <row r="3023">
          <cell r="G3023" t="str">
            <v>X781_1</v>
          </cell>
          <cell r="H3023" t="str">
            <v>as-as</v>
          </cell>
          <cell r="I3023" t="str">
            <v>sim</v>
          </cell>
          <cell r="V3023" t="str">
            <v>not</v>
          </cell>
          <cell r="Y3023" t="str">
            <v>Past</v>
          </cell>
          <cell r="Z3023">
            <v>4.46</v>
          </cell>
          <cell r="AA3023">
            <v>0</v>
          </cell>
          <cell r="AB3023">
            <v>0</v>
          </cell>
        </row>
        <row r="3024">
          <cell r="G3024" t="str">
            <v>X782_0</v>
          </cell>
          <cell r="H3024" t="str">
            <v>like</v>
          </cell>
          <cell r="I3024" t="str">
            <v>sim</v>
          </cell>
          <cell r="V3024" t="str">
            <v>not</v>
          </cell>
          <cell r="Y3024" t="str">
            <v>Past</v>
          </cell>
          <cell r="Z3024">
            <v>2.93</v>
          </cell>
          <cell r="AA3024">
            <v>0</v>
          </cell>
          <cell r="AB3024">
            <v>0</v>
          </cell>
        </row>
        <row r="3025">
          <cell r="G3025" t="str">
            <v>X782_1</v>
          </cell>
          <cell r="H3025" t="str">
            <v>like</v>
          </cell>
          <cell r="I3025" t="str">
            <v>sim</v>
          </cell>
          <cell r="V3025" t="str">
            <v>not</v>
          </cell>
          <cell r="Y3025" t="str">
            <v>Past</v>
          </cell>
          <cell r="Z3025">
            <v>2.93</v>
          </cell>
          <cell r="AA3025">
            <v>0</v>
          </cell>
          <cell r="AB3025">
            <v>0</v>
          </cell>
        </row>
        <row r="3026">
          <cell r="G3026" t="str">
            <v>X783_0</v>
          </cell>
          <cell r="H3026" t="str">
            <v>like</v>
          </cell>
          <cell r="I3026" t="str">
            <v>sim</v>
          </cell>
          <cell r="V3026" t="str">
            <v>not</v>
          </cell>
          <cell r="Y3026" t="str">
            <v>Past</v>
          </cell>
          <cell r="Z3026">
            <v>2.81</v>
          </cell>
          <cell r="AA3026">
            <v>0</v>
          </cell>
          <cell r="AB3026">
            <v>0</v>
          </cell>
        </row>
        <row r="3027">
          <cell r="G3027" t="str">
            <v>X783_1</v>
          </cell>
          <cell r="H3027" t="str">
            <v>like</v>
          </cell>
          <cell r="I3027" t="str">
            <v>sim</v>
          </cell>
          <cell r="V3027" t="str">
            <v>not</v>
          </cell>
          <cell r="Y3027" t="str">
            <v>Past</v>
          </cell>
          <cell r="Z3027">
            <v>2.81</v>
          </cell>
          <cell r="AA3027">
            <v>0</v>
          </cell>
          <cell r="AB3027">
            <v>0</v>
          </cell>
        </row>
        <row r="3028">
          <cell r="G3028" t="str">
            <v>X784_0</v>
          </cell>
          <cell r="H3028" t="str">
            <v>like</v>
          </cell>
          <cell r="I3028" t="str">
            <v>sim</v>
          </cell>
          <cell r="V3028" t="str">
            <v>not</v>
          </cell>
          <cell r="Y3028" t="str">
            <v>Past</v>
          </cell>
          <cell r="Z3028">
            <v>2.81</v>
          </cell>
          <cell r="AA3028">
            <v>0</v>
          </cell>
          <cell r="AB3028">
            <v>0</v>
          </cell>
        </row>
        <row r="3029">
          <cell r="G3029" t="str">
            <v>X784_1</v>
          </cell>
          <cell r="H3029" t="str">
            <v>like</v>
          </cell>
          <cell r="I3029" t="str">
            <v>sim</v>
          </cell>
          <cell r="V3029" t="str">
            <v>not</v>
          </cell>
          <cell r="Y3029" t="str">
            <v>Past</v>
          </cell>
          <cell r="Z3029">
            <v>2.81</v>
          </cell>
          <cell r="AA3029">
            <v>0</v>
          </cell>
          <cell r="AB3029">
            <v>0</v>
          </cell>
        </row>
        <row r="3030">
          <cell r="G3030" t="str">
            <v>X785_0</v>
          </cell>
          <cell r="H3030" t="str">
            <v>as-as</v>
          </cell>
          <cell r="I3030" t="str">
            <v>sim</v>
          </cell>
          <cell r="V3030" t="str">
            <v>not neg pair</v>
          </cell>
          <cell r="Y3030" t="str">
            <v>Past</v>
          </cell>
          <cell r="Z3030">
            <v>2.81</v>
          </cell>
          <cell r="AA3030">
            <v>0</v>
          </cell>
          <cell r="AB3030">
            <v>0</v>
          </cell>
        </row>
        <row r="3031">
          <cell r="G3031" t="str">
            <v>X785_1</v>
          </cell>
          <cell r="H3031" t="str">
            <v>as-as</v>
          </cell>
          <cell r="I3031" t="str">
            <v>sim</v>
          </cell>
          <cell r="V3031" t="str">
            <v>not neg pair</v>
          </cell>
          <cell r="Y3031" t="str">
            <v>Past</v>
          </cell>
          <cell r="Z3031">
            <v>2.81</v>
          </cell>
          <cell r="AA3031">
            <v>0</v>
          </cell>
          <cell r="AB3031">
            <v>0</v>
          </cell>
        </row>
        <row r="3032">
          <cell r="G3032" t="str">
            <v>X786_0</v>
          </cell>
          <cell r="H3032" t="str">
            <v>as-as</v>
          </cell>
          <cell r="I3032" t="str">
            <v>sim</v>
          </cell>
          <cell r="V3032" t="str">
            <v>not neg pair</v>
          </cell>
          <cell r="Y3032" t="str">
            <v>Past</v>
          </cell>
          <cell r="Z3032">
            <v>2.81</v>
          </cell>
          <cell r="AA3032">
            <v>0</v>
          </cell>
          <cell r="AB3032">
            <v>0</v>
          </cell>
        </row>
        <row r="3033">
          <cell r="G3033" t="str">
            <v>X786_1</v>
          </cell>
          <cell r="H3033" t="str">
            <v>as-as</v>
          </cell>
          <cell r="I3033" t="str">
            <v>sim</v>
          </cell>
          <cell r="V3033" t="str">
            <v>not neg pair</v>
          </cell>
          <cell r="Y3033" t="str">
            <v>Past</v>
          </cell>
          <cell r="Z3033">
            <v>2.81</v>
          </cell>
          <cell r="AA3033">
            <v>0</v>
          </cell>
          <cell r="AB3033">
            <v>0</v>
          </cell>
        </row>
        <row r="3034">
          <cell r="G3034" t="str">
            <v>X787_0</v>
          </cell>
          <cell r="H3034" t="str">
            <v>as-as</v>
          </cell>
          <cell r="I3034" t="str">
            <v>sim</v>
          </cell>
          <cell r="V3034" t="str">
            <v>not neg pair</v>
          </cell>
          <cell r="Y3034" t="str">
            <v>Past</v>
          </cell>
          <cell r="Z3034">
            <v>2.81</v>
          </cell>
          <cell r="AA3034">
            <v>0</v>
          </cell>
          <cell r="AB3034">
            <v>0</v>
          </cell>
        </row>
        <row r="3035">
          <cell r="G3035" t="str">
            <v>X787_1</v>
          </cell>
          <cell r="H3035" t="str">
            <v>as-as</v>
          </cell>
          <cell r="I3035" t="str">
            <v>sim</v>
          </cell>
          <cell r="V3035" t="str">
            <v>not neg pair</v>
          </cell>
          <cell r="Y3035" t="str">
            <v>Past</v>
          </cell>
          <cell r="Z3035">
            <v>2.81</v>
          </cell>
          <cell r="AA3035">
            <v>0</v>
          </cell>
          <cell r="AB3035">
            <v>0</v>
          </cell>
        </row>
        <row r="3036">
          <cell r="G3036" t="str">
            <v>X788_0</v>
          </cell>
          <cell r="H3036" t="str">
            <v>as-as</v>
          </cell>
          <cell r="I3036" t="str">
            <v>sim</v>
          </cell>
          <cell r="V3036" t="str">
            <v>not</v>
          </cell>
          <cell r="Y3036" t="str">
            <v>Pres</v>
          </cell>
          <cell r="Z3036">
            <v>4.32</v>
          </cell>
          <cell r="AA3036">
            <v>0</v>
          </cell>
          <cell r="AB3036">
            <v>0</v>
          </cell>
        </row>
        <row r="3037">
          <cell r="G3037" t="str">
            <v>X788_1</v>
          </cell>
          <cell r="H3037" t="str">
            <v>as-as</v>
          </cell>
          <cell r="I3037" t="str">
            <v>sim</v>
          </cell>
          <cell r="V3037" t="str">
            <v>not</v>
          </cell>
          <cell r="Y3037" t="str">
            <v>Pres</v>
          </cell>
          <cell r="Z3037">
            <v>4.32</v>
          </cell>
          <cell r="AA3037">
            <v>0</v>
          </cell>
          <cell r="AB3037">
            <v>0</v>
          </cell>
        </row>
        <row r="3038">
          <cell r="G3038" t="str">
            <v>X789_0</v>
          </cell>
          <cell r="H3038" t="str">
            <v>like</v>
          </cell>
          <cell r="I3038" t="str">
            <v>sim</v>
          </cell>
          <cell r="V3038" t="str">
            <v>not neg pair</v>
          </cell>
          <cell r="Y3038" t="str">
            <v>Pres</v>
          </cell>
          <cell r="Z3038">
            <v>4.88</v>
          </cell>
          <cell r="AA3038">
            <v>0</v>
          </cell>
          <cell r="AB3038">
            <v>0</v>
          </cell>
        </row>
        <row r="3039">
          <cell r="G3039" t="str">
            <v>X789_1</v>
          </cell>
          <cell r="H3039" t="str">
            <v>like</v>
          </cell>
          <cell r="I3039" t="str">
            <v>sim</v>
          </cell>
          <cell r="V3039" t="str">
            <v>not neg pair</v>
          </cell>
          <cell r="Y3039" t="str">
            <v>Pres</v>
          </cell>
          <cell r="Z3039">
            <v>4.88</v>
          </cell>
          <cell r="AA3039">
            <v>0</v>
          </cell>
          <cell r="AB3039">
            <v>0</v>
          </cell>
        </row>
        <row r="3040">
          <cell r="G3040" t="str">
            <v>X790_0</v>
          </cell>
          <cell r="H3040" t="str">
            <v/>
          </cell>
          <cell r="I3040" t="str">
            <v>met</v>
          </cell>
          <cell r="V3040" t="str">
            <v>0</v>
          </cell>
          <cell r="Y3040" t="str">
            <v>Pres</v>
          </cell>
          <cell r="Z3040">
            <v>3.89</v>
          </cell>
          <cell r="AA3040">
            <v>0</v>
          </cell>
          <cell r="AB3040">
            <v>0</v>
          </cell>
        </row>
        <row r="3041">
          <cell r="G3041" t="str">
            <v>X790_1</v>
          </cell>
          <cell r="H3041" t="str">
            <v/>
          </cell>
          <cell r="I3041" t="str">
            <v>met</v>
          </cell>
          <cell r="V3041" t="str">
            <v>0</v>
          </cell>
          <cell r="Y3041" t="str">
            <v>Pres</v>
          </cell>
          <cell r="Z3041">
            <v>3.89</v>
          </cell>
          <cell r="AA3041">
            <v>0</v>
          </cell>
          <cell r="AB3041">
            <v>0</v>
          </cell>
        </row>
        <row r="3042">
          <cell r="G3042" t="str">
            <v>X791_0</v>
          </cell>
          <cell r="H3042" t="str">
            <v/>
          </cell>
          <cell r="I3042" t="str">
            <v>met</v>
          </cell>
          <cell r="V3042" t="str">
            <v>0</v>
          </cell>
          <cell r="Y3042" t="str">
            <v>Pres</v>
          </cell>
          <cell r="Z3042">
            <v>1.96</v>
          </cell>
          <cell r="AA3042" t="str">
            <v>L</v>
          </cell>
          <cell r="AB3042">
            <v>0</v>
          </cell>
        </row>
        <row r="3043">
          <cell r="G3043" t="str">
            <v>X791_1</v>
          </cell>
          <cell r="H3043" t="str">
            <v/>
          </cell>
          <cell r="I3043" t="str">
            <v>met</v>
          </cell>
          <cell r="V3043" t="str">
            <v>0</v>
          </cell>
          <cell r="Y3043" t="str">
            <v>Pres</v>
          </cell>
          <cell r="Z3043">
            <v>1.96</v>
          </cell>
          <cell r="AA3043" t="str">
            <v>L</v>
          </cell>
          <cell r="AB3043">
            <v>0</v>
          </cell>
        </row>
        <row r="3044">
          <cell r="G3044" t="str">
            <v>X792_0</v>
          </cell>
          <cell r="H3044" t="str">
            <v/>
          </cell>
          <cell r="I3044" t="str">
            <v>met</v>
          </cell>
          <cell r="V3044" t="str">
            <v>0</v>
          </cell>
          <cell r="Y3044" t="str">
            <v>Pres</v>
          </cell>
          <cell r="Z3044">
            <v>3.93</v>
          </cell>
          <cell r="AA3044">
            <v>0</v>
          </cell>
          <cell r="AB3044">
            <v>0</v>
          </cell>
        </row>
        <row r="3045">
          <cell r="G3045" t="str">
            <v>X792_1</v>
          </cell>
          <cell r="H3045" t="str">
            <v/>
          </cell>
          <cell r="I3045" t="str">
            <v>met</v>
          </cell>
          <cell r="V3045" t="str">
            <v>0</v>
          </cell>
          <cell r="Y3045" t="str">
            <v>Pres</v>
          </cell>
          <cell r="Z3045">
            <v>3.93</v>
          </cell>
          <cell r="AA3045">
            <v>0</v>
          </cell>
          <cell r="AB3045">
            <v>0</v>
          </cell>
        </row>
        <row r="3046">
          <cell r="G3046" t="str">
            <v>X793_0</v>
          </cell>
          <cell r="H3046" t="str">
            <v/>
          </cell>
          <cell r="I3046" t="str">
            <v>met</v>
          </cell>
          <cell r="V3046" t="str">
            <v>0</v>
          </cell>
          <cell r="Y3046" t="str">
            <v>Pres</v>
          </cell>
          <cell r="Z3046">
            <v>4.91</v>
          </cell>
          <cell r="AA3046" t="str">
            <v>H</v>
          </cell>
          <cell r="AB3046">
            <v>0</v>
          </cell>
        </row>
        <row r="3047">
          <cell r="G3047" t="str">
            <v>X793_1</v>
          </cell>
          <cell r="H3047" t="str">
            <v/>
          </cell>
          <cell r="I3047" t="str">
            <v>met</v>
          </cell>
          <cell r="V3047" t="str">
            <v>0</v>
          </cell>
          <cell r="Y3047" t="str">
            <v>Pres</v>
          </cell>
          <cell r="Z3047">
            <v>4.91</v>
          </cell>
          <cell r="AA3047" t="str">
            <v>H</v>
          </cell>
          <cell r="AB3047">
            <v>0</v>
          </cell>
        </row>
        <row r="3048">
          <cell r="G3048" t="str">
            <v>X794_0</v>
          </cell>
          <cell r="H3048" t="str">
            <v>the-of</v>
          </cell>
          <cell r="I3048" t="str">
            <v>sim</v>
          </cell>
          <cell r="V3048" t="str">
            <v>not neg pair</v>
          </cell>
          <cell r="Y3048" t="str">
            <v>Pres</v>
          </cell>
          <cell r="Z3048">
            <v>3.36</v>
          </cell>
          <cell r="AA3048">
            <v>0</v>
          </cell>
          <cell r="AB3048">
            <v>0</v>
          </cell>
        </row>
        <row r="3049">
          <cell r="G3049" t="str">
            <v>X794_1</v>
          </cell>
          <cell r="H3049" t="str">
            <v>the-of</v>
          </cell>
          <cell r="I3049" t="str">
            <v>sim</v>
          </cell>
          <cell r="V3049" t="str">
            <v>not neg pair</v>
          </cell>
          <cell r="Y3049" t="str">
            <v>Pres</v>
          </cell>
          <cell r="Z3049">
            <v>3.36</v>
          </cell>
          <cell r="AA3049">
            <v>0</v>
          </cell>
          <cell r="AB3049">
            <v>0</v>
          </cell>
        </row>
        <row r="3050">
          <cell r="G3050" t="str">
            <v>X795_0</v>
          </cell>
          <cell r="H3050" t="str">
            <v/>
          </cell>
          <cell r="I3050" t="str">
            <v>met</v>
          </cell>
          <cell r="V3050" t="str">
            <v>0</v>
          </cell>
          <cell r="Y3050" t="str">
            <v>Pres</v>
          </cell>
          <cell r="Z3050">
            <v>3.93</v>
          </cell>
          <cell r="AA3050">
            <v>0</v>
          </cell>
          <cell r="AB3050">
            <v>0</v>
          </cell>
        </row>
        <row r="3051">
          <cell r="G3051" t="str">
            <v>X795_1</v>
          </cell>
          <cell r="H3051" t="str">
            <v/>
          </cell>
          <cell r="I3051" t="str">
            <v>met</v>
          </cell>
          <cell r="V3051" t="str">
            <v>0</v>
          </cell>
          <cell r="Y3051" t="str">
            <v>Pres</v>
          </cell>
          <cell r="Z3051">
            <v>3.93</v>
          </cell>
          <cell r="AA3051">
            <v>0</v>
          </cell>
          <cell r="AB3051">
            <v>0</v>
          </cell>
        </row>
        <row r="3052">
          <cell r="G3052" t="str">
            <v>X796_0</v>
          </cell>
          <cell r="H3052" t="str">
            <v>the-of</v>
          </cell>
          <cell r="I3052" t="str">
            <v>sim</v>
          </cell>
          <cell r="V3052" t="str">
            <v>not neg pair</v>
          </cell>
          <cell r="Y3052" t="str">
            <v>Pres</v>
          </cell>
          <cell r="Z3052">
            <v>2.93</v>
          </cell>
          <cell r="AA3052">
            <v>0</v>
          </cell>
          <cell r="AB3052">
            <v>0</v>
          </cell>
        </row>
        <row r="3053">
          <cell r="G3053" t="str">
            <v>X796_1</v>
          </cell>
          <cell r="H3053" t="str">
            <v>the-of</v>
          </cell>
          <cell r="I3053" t="str">
            <v>sim</v>
          </cell>
          <cell r="V3053" t="str">
            <v>not neg pair</v>
          </cell>
          <cell r="Y3053" t="str">
            <v>Pres</v>
          </cell>
          <cell r="Z3053">
            <v>2.93</v>
          </cell>
          <cell r="AA3053">
            <v>0</v>
          </cell>
          <cell r="AB3053">
            <v>0</v>
          </cell>
        </row>
        <row r="3054">
          <cell r="G3054" t="str">
            <v>X797_0</v>
          </cell>
          <cell r="H3054" t="str">
            <v>the-of</v>
          </cell>
          <cell r="I3054" t="str">
            <v>sim</v>
          </cell>
          <cell r="V3054" t="str">
            <v>not neg pair</v>
          </cell>
          <cell r="Y3054" t="str">
            <v>Pres</v>
          </cell>
          <cell r="Z3054">
            <v>4.59</v>
          </cell>
          <cell r="AA3054">
            <v>0</v>
          </cell>
          <cell r="AB3054">
            <v>0</v>
          </cell>
        </row>
        <row r="3055">
          <cell r="G3055" t="str">
            <v>X797_1</v>
          </cell>
          <cell r="H3055" t="str">
            <v>the-of</v>
          </cell>
          <cell r="I3055" t="str">
            <v>sim</v>
          </cell>
          <cell r="V3055" t="str">
            <v>not neg pair</v>
          </cell>
          <cell r="Y3055" t="str">
            <v>Pres</v>
          </cell>
          <cell r="Z3055">
            <v>4.59</v>
          </cell>
          <cell r="AA3055">
            <v>0</v>
          </cell>
          <cell r="AB3055">
            <v>0</v>
          </cell>
        </row>
        <row r="3056">
          <cell r="G3056" t="str">
            <v>X798_0</v>
          </cell>
          <cell r="H3056" t="str">
            <v>the-of</v>
          </cell>
          <cell r="I3056" t="str">
            <v>sim</v>
          </cell>
          <cell r="V3056" t="str">
            <v>not neg pair</v>
          </cell>
          <cell r="Y3056" t="str">
            <v>Pres</v>
          </cell>
          <cell r="Z3056">
            <v>4.59</v>
          </cell>
          <cell r="AA3056">
            <v>0</v>
          </cell>
          <cell r="AB3056">
            <v>0</v>
          </cell>
        </row>
        <row r="3057">
          <cell r="G3057" t="str">
            <v>X798_1</v>
          </cell>
          <cell r="H3057" t="str">
            <v>the-of</v>
          </cell>
          <cell r="I3057" t="str">
            <v>sim</v>
          </cell>
          <cell r="V3057" t="str">
            <v>not neg pair</v>
          </cell>
          <cell r="Y3057" t="str">
            <v>Pres</v>
          </cell>
          <cell r="Z3057">
            <v>4.59</v>
          </cell>
          <cell r="AA3057">
            <v>0</v>
          </cell>
          <cell r="AB3057">
            <v>0</v>
          </cell>
        </row>
        <row r="3058">
          <cell r="G3058" t="str">
            <v>X799_0</v>
          </cell>
          <cell r="H3058" t="str">
            <v>the-of</v>
          </cell>
          <cell r="I3058" t="str">
            <v>sim</v>
          </cell>
          <cell r="V3058" t="str">
            <v>not neg pair</v>
          </cell>
          <cell r="Y3058" t="str">
            <v>Pres</v>
          </cell>
          <cell r="Z3058">
            <v>4.59</v>
          </cell>
          <cell r="AA3058">
            <v>0</v>
          </cell>
          <cell r="AB3058">
            <v>0</v>
          </cell>
        </row>
        <row r="3059">
          <cell r="G3059" t="str">
            <v>X799_1</v>
          </cell>
          <cell r="H3059" t="str">
            <v>the-of</v>
          </cell>
          <cell r="I3059" t="str">
            <v>sim</v>
          </cell>
          <cell r="V3059" t="str">
            <v>not neg pair</v>
          </cell>
          <cell r="Y3059" t="str">
            <v>Pres</v>
          </cell>
          <cell r="Z3059">
            <v>4.59</v>
          </cell>
          <cell r="AA3059">
            <v>0</v>
          </cell>
          <cell r="AB3059">
            <v>0</v>
          </cell>
        </row>
        <row r="3060">
          <cell r="G3060" t="str">
            <v>X800_0</v>
          </cell>
          <cell r="H3060" t="str">
            <v>the-of</v>
          </cell>
          <cell r="I3060" t="str">
            <v>sim</v>
          </cell>
          <cell r="V3060" t="str">
            <v>not neg pair</v>
          </cell>
          <cell r="Y3060" t="str">
            <v>Past</v>
          </cell>
          <cell r="Z3060">
            <v>4.79</v>
          </cell>
          <cell r="AA3060">
            <v>0</v>
          </cell>
          <cell r="AB3060">
            <v>0</v>
          </cell>
        </row>
        <row r="3061">
          <cell r="G3061" t="str">
            <v>X800_1</v>
          </cell>
          <cell r="H3061" t="str">
            <v>the-of</v>
          </cell>
          <cell r="I3061" t="str">
            <v>sim</v>
          </cell>
          <cell r="V3061" t="str">
            <v>not neg pair</v>
          </cell>
          <cell r="Y3061" t="str">
            <v>Past</v>
          </cell>
          <cell r="Z3061">
            <v>4.79</v>
          </cell>
          <cell r="AA3061">
            <v>0</v>
          </cell>
          <cell r="AB3061">
            <v>0</v>
          </cell>
        </row>
        <row r="3062">
          <cell r="G3062" t="str">
            <v>X801_0</v>
          </cell>
          <cell r="H3062" t="str">
            <v>as-as</v>
          </cell>
          <cell r="I3062" t="str">
            <v>sim</v>
          </cell>
          <cell r="V3062" t="str">
            <v>antonym</v>
          </cell>
          <cell r="Y3062" t="str">
            <v>Past</v>
          </cell>
          <cell r="Z3062">
            <v>4.97</v>
          </cell>
          <cell r="AA3062" t="str">
            <v>H</v>
          </cell>
          <cell r="AB3062">
            <v>0</v>
          </cell>
        </row>
        <row r="3063">
          <cell r="G3063" t="str">
            <v>X801_1</v>
          </cell>
          <cell r="H3063" t="str">
            <v>as-as</v>
          </cell>
          <cell r="I3063" t="str">
            <v>sim</v>
          </cell>
          <cell r="V3063" t="str">
            <v>antonym</v>
          </cell>
          <cell r="Y3063" t="str">
            <v>Past</v>
          </cell>
          <cell r="Z3063">
            <v>3.83</v>
          </cell>
          <cell r="AA3063">
            <v>0</v>
          </cell>
          <cell r="AB3063">
            <v>0</v>
          </cell>
        </row>
        <row r="3064">
          <cell r="G3064" t="str">
            <v>X802_0</v>
          </cell>
          <cell r="H3064" t="str">
            <v>as-as</v>
          </cell>
          <cell r="I3064" t="str">
            <v>sim</v>
          </cell>
          <cell r="V3064" t="str">
            <v>not neg pair</v>
          </cell>
          <cell r="Y3064" t="str">
            <v>Past</v>
          </cell>
          <cell r="Z3064">
            <v>1.93</v>
          </cell>
          <cell r="AA3064" t="str">
            <v>L</v>
          </cell>
          <cell r="AB3064">
            <v>0</v>
          </cell>
        </row>
        <row r="3065">
          <cell r="G3065" t="str">
            <v>X802_1</v>
          </cell>
          <cell r="H3065" t="str">
            <v>as-as</v>
          </cell>
          <cell r="I3065" t="str">
            <v>sim</v>
          </cell>
          <cell r="V3065" t="str">
            <v>not neg pair</v>
          </cell>
          <cell r="Y3065" t="str">
            <v>Past</v>
          </cell>
          <cell r="Z3065">
            <v>1.93</v>
          </cell>
          <cell r="AA3065" t="str">
            <v>L</v>
          </cell>
          <cell r="AB3065">
            <v>0</v>
          </cell>
        </row>
        <row r="3066">
          <cell r="G3066" t="str">
            <v>X803_0</v>
          </cell>
          <cell r="H3066" t="str">
            <v>the-of</v>
          </cell>
          <cell r="I3066" t="str">
            <v>sim</v>
          </cell>
          <cell r="V3066" t="str">
            <v>not neg pair</v>
          </cell>
          <cell r="Y3066" t="str">
            <v>Pres</v>
          </cell>
          <cell r="Z3066">
            <v>4.6100000000000003</v>
          </cell>
          <cell r="AA3066">
            <v>0</v>
          </cell>
          <cell r="AB3066">
            <v>0</v>
          </cell>
        </row>
        <row r="3067">
          <cell r="G3067" t="str">
            <v>X803_1</v>
          </cell>
          <cell r="H3067" t="str">
            <v>the-of</v>
          </cell>
          <cell r="I3067" t="str">
            <v>sim</v>
          </cell>
          <cell r="V3067" t="str">
            <v>not neg pair</v>
          </cell>
          <cell r="Y3067" t="str">
            <v>Pres</v>
          </cell>
          <cell r="Z3067">
            <v>4.6100000000000003</v>
          </cell>
          <cell r="AA3067">
            <v>0</v>
          </cell>
          <cell r="AB3067">
            <v>0</v>
          </cell>
        </row>
        <row r="3068">
          <cell r="G3068" t="str">
            <v>X804_0</v>
          </cell>
          <cell r="H3068" t="str">
            <v>the-of</v>
          </cell>
          <cell r="I3068" t="str">
            <v>sim</v>
          </cell>
          <cell r="V3068" t="str">
            <v>not</v>
          </cell>
          <cell r="Y3068" t="str">
            <v>Past</v>
          </cell>
          <cell r="Z3068">
            <v>4.8099999999999996</v>
          </cell>
          <cell r="AA3068">
            <v>0</v>
          </cell>
          <cell r="AB3068">
            <v>0</v>
          </cell>
        </row>
        <row r="3069">
          <cell r="G3069" t="str">
            <v>X804_1</v>
          </cell>
          <cell r="H3069" t="str">
            <v>the-of</v>
          </cell>
          <cell r="I3069" t="str">
            <v>sim</v>
          </cell>
          <cell r="V3069" t="str">
            <v>not</v>
          </cell>
          <cell r="Y3069" t="str">
            <v>Past</v>
          </cell>
          <cell r="Z3069">
            <v>4.8099999999999996</v>
          </cell>
          <cell r="AA3069">
            <v>0</v>
          </cell>
          <cell r="AB3069">
            <v>0</v>
          </cell>
        </row>
        <row r="3070">
          <cell r="G3070" t="str">
            <v>X805_0</v>
          </cell>
          <cell r="H3070" t="str">
            <v>the-of</v>
          </cell>
          <cell r="I3070" t="str">
            <v>sim</v>
          </cell>
          <cell r="V3070" t="str">
            <v>not neg pair</v>
          </cell>
          <cell r="Y3070" t="str">
            <v>Past</v>
          </cell>
          <cell r="Z3070">
            <v>3.19</v>
          </cell>
          <cell r="AA3070">
            <v>0</v>
          </cell>
          <cell r="AB3070">
            <v>0</v>
          </cell>
        </row>
        <row r="3071">
          <cell r="G3071" t="str">
            <v>X805_1</v>
          </cell>
          <cell r="H3071" t="str">
            <v>the-of</v>
          </cell>
          <cell r="I3071" t="str">
            <v>sim</v>
          </cell>
          <cell r="V3071" t="str">
            <v>not neg pair</v>
          </cell>
          <cell r="Y3071" t="str">
            <v>Past</v>
          </cell>
          <cell r="Z3071">
            <v>3.19</v>
          </cell>
          <cell r="AA3071">
            <v>0</v>
          </cell>
          <cell r="AB3071">
            <v>0</v>
          </cell>
        </row>
        <row r="3072">
          <cell r="G3072" t="str">
            <v>X806_0</v>
          </cell>
          <cell r="H3072" t="str">
            <v/>
          </cell>
          <cell r="I3072" t="str">
            <v>met</v>
          </cell>
          <cell r="V3072" t="str">
            <v>0</v>
          </cell>
          <cell r="Y3072" t="str">
            <v>Pres</v>
          </cell>
          <cell r="Z3072">
            <v>0</v>
          </cell>
          <cell r="AA3072">
            <v>0</v>
          </cell>
          <cell r="AB3072">
            <v>0</v>
          </cell>
        </row>
        <row r="3073">
          <cell r="G3073" t="str">
            <v>X806_1</v>
          </cell>
          <cell r="H3073" t="str">
            <v/>
          </cell>
          <cell r="I3073" t="str">
            <v>met</v>
          </cell>
          <cell r="V3073" t="str">
            <v>0</v>
          </cell>
          <cell r="Y3073" t="str">
            <v>Pres</v>
          </cell>
          <cell r="Z3073">
            <v>0</v>
          </cell>
          <cell r="AA3073">
            <v>0</v>
          </cell>
          <cell r="AB3073">
            <v>0</v>
          </cell>
        </row>
        <row r="3074">
          <cell r="G3074" t="str">
            <v>X807_0</v>
          </cell>
          <cell r="H3074" t="str">
            <v/>
          </cell>
          <cell r="I3074" t="str">
            <v>met</v>
          </cell>
          <cell r="V3074" t="str">
            <v>0</v>
          </cell>
          <cell r="Y3074" t="str">
            <v>Pres</v>
          </cell>
          <cell r="Z3074">
            <v>4.1100000000000003</v>
          </cell>
          <cell r="AA3074">
            <v>0</v>
          </cell>
          <cell r="AB3074">
            <v>0</v>
          </cell>
        </row>
        <row r="3075">
          <cell r="G3075" t="str">
            <v>X807_1</v>
          </cell>
          <cell r="H3075" t="str">
            <v/>
          </cell>
          <cell r="I3075" t="str">
            <v>met</v>
          </cell>
          <cell r="V3075" t="str">
            <v>0</v>
          </cell>
          <cell r="Y3075" t="str">
            <v>Pres</v>
          </cell>
          <cell r="Z3075">
            <v>4.1100000000000003</v>
          </cell>
          <cell r="AA3075">
            <v>0</v>
          </cell>
          <cell r="AB3075">
            <v>0</v>
          </cell>
        </row>
        <row r="3076">
          <cell r="G3076" t="str">
            <v>X808_0</v>
          </cell>
          <cell r="H3076" t="str">
            <v/>
          </cell>
          <cell r="I3076" t="str">
            <v>met</v>
          </cell>
          <cell r="V3076" t="str">
            <v>0</v>
          </cell>
          <cell r="Y3076" t="str">
            <v>Pres</v>
          </cell>
          <cell r="Z3076">
            <v>3.93</v>
          </cell>
          <cell r="AA3076">
            <v>0</v>
          </cell>
          <cell r="AB3076">
            <v>0</v>
          </cell>
        </row>
        <row r="3077">
          <cell r="G3077" t="str">
            <v>X808_1</v>
          </cell>
          <cell r="H3077" t="str">
            <v/>
          </cell>
          <cell r="I3077" t="str">
            <v>met</v>
          </cell>
          <cell r="V3077" t="str">
            <v>0</v>
          </cell>
          <cell r="Y3077" t="str">
            <v>Pres</v>
          </cell>
          <cell r="Z3077">
            <v>3.93</v>
          </cell>
          <cell r="AA3077">
            <v>0</v>
          </cell>
          <cell r="AB3077">
            <v>0</v>
          </cell>
        </row>
        <row r="3078">
          <cell r="G3078" t="str">
            <v>X809_0</v>
          </cell>
          <cell r="H3078" t="str">
            <v>the-of</v>
          </cell>
          <cell r="I3078" t="str">
            <v>sim</v>
          </cell>
          <cell r="V3078" t="str">
            <v>not neg pair</v>
          </cell>
          <cell r="Y3078" t="str">
            <v>Past</v>
          </cell>
          <cell r="Z3078">
            <v>4.79</v>
          </cell>
          <cell r="AA3078">
            <v>0</v>
          </cell>
          <cell r="AB3078">
            <v>0</v>
          </cell>
        </row>
        <row r="3079">
          <cell r="G3079" t="str">
            <v>X809_1</v>
          </cell>
          <cell r="H3079" t="str">
            <v>the-of</v>
          </cell>
          <cell r="I3079" t="str">
            <v>sim</v>
          </cell>
          <cell r="V3079" t="str">
            <v>not neg pair</v>
          </cell>
          <cell r="Y3079" t="str">
            <v>Past</v>
          </cell>
          <cell r="Z3079">
            <v>4.79</v>
          </cell>
          <cell r="AA3079">
            <v>0</v>
          </cell>
          <cell r="AB3079">
            <v>0</v>
          </cell>
        </row>
        <row r="3080">
          <cell r="G3080" t="str">
            <v>X810_0</v>
          </cell>
          <cell r="H3080" t="str">
            <v>like</v>
          </cell>
          <cell r="I3080" t="str">
            <v>sim</v>
          </cell>
          <cell r="V3080" t="str">
            <v>not neg pair</v>
          </cell>
          <cell r="Y3080" t="str">
            <v>Past</v>
          </cell>
          <cell r="Z3080">
            <v>4.92</v>
          </cell>
          <cell r="AA3080" t="str">
            <v>H</v>
          </cell>
          <cell r="AB3080">
            <v>0</v>
          </cell>
        </row>
        <row r="3081">
          <cell r="G3081" t="str">
            <v>X810_1</v>
          </cell>
          <cell r="H3081" t="str">
            <v>like</v>
          </cell>
          <cell r="I3081" t="str">
            <v>sim</v>
          </cell>
          <cell r="V3081" t="str">
            <v>not neg pair</v>
          </cell>
          <cell r="Y3081" t="str">
            <v>Past</v>
          </cell>
          <cell r="Z3081">
            <v>4.92</v>
          </cell>
          <cell r="AA3081" t="str">
            <v>H</v>
          </cell>
          <cell r="AB3081">
            <v>0</v>
          </cell>
        </row>
        <row r="3082">
          <cell r="G3082" t="str">
            <v>X811_0</v>
          </cell>
          <cell r="H3082" t="str">
            <v/>
          </cell>
          <cell r="I3082" t="str">
            <v>met</v>
          </cell>
          <cell r="V3082" t="str">
            <v>0</v>
          </cell>
          <cell r="Y3082" t="str">
            <v>Pres</v>
          </cell>
          <cell r="Z3082">
            <v>4.97</v>
          </cell>
          <cell r="AA3082" t="str">
            <v>H</v>
          </cell>
          <cell r="AB3082">
            <v>0</v>
          </cell>
        </row>
        <row r="3083">
          <cell r="G3083" t="str">
            <v>X811_1</v>
          </cell>
          <cell r="H3083" t="str">
            <v/>
          </cell>
          <cell r="I3083" t="str">
            <v>met</v>
          </cell>
          <cell r="V3083" t="str">
            <v>0</v>
          </cell>
          <cell r="Y3083" t="str">
            <v>Past</v>
          </cell>
          <cell r="Z3083">
            <v>4.97</v>
          </cell>
          <cell r="AA3083" t="str">
            <v>H</v>
          </cell>
          <cell r="AB3083">
            <v>0</v>
          </cell>
        </row>
        <row r="3084">
          <cell r="G3084" t="str">
            <v>X812_0</v>
          </cell>
          <cell r="H3084" t="str">
            <v/>
          </cell>
          <cell r="I3084" t="str">
            <v>met</v>
          </cell>
          <cell r="V3084" t="str">
            <v>0</v>
          </cell>
          <cell r="Y3084" t="str">
            <v>Pres</v>
          </cell>
          <cell r="Z3084">
            <v>5</v>
          </cell>
          <cell r="AA3084" t="str">
            <v>H</v>
          </cell>
          <cell r="AB3084">
            <v>0</v>
          </cell>
        </row>
        <row r="3085">
          <cell r="G3085" t="str">
            <v>X812_1</v>
          </cell>
          <cell r="H3085" t="str">
            <v/>
          </cell>
          <cell r="I3085" t="str">
            <v>met</v>
          </cell>
          <cell r="V3085" t="str">
            <v>0</v>
          </cell>
          <cell r="Y3085" t="str">
            <v>Pres</v>
          </cell>
          <cell r="Z3085">
            <v>5</v>
          </cell>
          <cell r="AA3085" t="str">
            <v>H</v>
          </cell>
          <cell r="AB3085">
            <v>0</v>
          </cell>
        </row>
        <row r="3086">
          <cell r="G3086" t="str">
            <v>X813_0</v>
          </cell>
          <cell r="H3086" t="str">
            <v/>
          </cell>
          <cell r="I3086" t="str">
            <v>met</v>
          </cell>
          <cell r="V3086" t="str">
            <v>0</v>
          </cell>
          <cell r="Y3086" t="str">
            <v>Pres</v>
          </cell>
          <cell r="Z3086">
            <v>4.03</v>
          </cell>
          <cell r="AA3086">
            <v>0</v>
          </cell>
          <cell r="AB3086">
            <v>0</v>
          </cell>
        </row>
        <row r="3087">
          <cell r="G3087" t="str">
            <v>X813_1</v>
          </cell>
          <cell r="H3087" t="str">
            <v/>
          </cell>
          <cell r="I3087" t="str">
            <v>met</v>
          </cell>
          <cell r="V3087" t="str">
            <v>0</v>
          </cell>
          <cell r="Y3087" t="str">
            <v>Pres</v>
          </cell>
          <cell r="Z3087">
            <v>4.03</v>
          </cell>
          <cell r="AA3087">
            <v>0</v>
          </cell>
          <cell r="AB3087">
            <v>0</v>
          </cell>
        </row>
        <row r="3088">
          <cell r="G3088" t="str">
            <v>X814_0</v>
          </cell>
          <cell r="H3088" t="str">
            <v>like</v>
          </cell>
          <cell r="I3088" t="str">
            <v>sim</v>
          </cell>
          <cell r="V3088" t="str">
            <v>not neg pair</v>
          </cell>
          <cell r="Y3088" t="str">
            <v>Pres</v>
          </cell>
          <cell r="Z3088">
            <v>4.8</v>
          </cell>
          <cell r="AA3088">
            <v>0</v>
          </cell>
          <cell r="AB3088">
            <v>0</v>
          </cell>
        </row>
        <row r="3089">
          <cell r="G3089" t="str">
            <v>X814_1</v>
          </cell>
          <cell r="H3089" t="str">
            <v>like</v>
          </cell>
          <cell r="I3089" t="str">
            <v>sim</v>
          </cell>
          <cell r="V3089" t="str">
            <v>not neg pair</v>
          </cell>
          <cell r="Y3089" t="str">
            <v>Pres</v>
          </cell>
          <cell r="Z3089">
            <v>4.8</v>
          </cell>
          <cell r="AA3089">
            <v>0</v>
          </cell>
          <cell r="AB3089">
            <v>0</v>
          </cell>
        </row>
        <row r="3090">
          <cell r="G3090" t="str">
            <v>X815_0</v>
          </cell>
          <cell r="H3090" t="str">
            <v>like</v>
          </cell>
          <cell r="I3090" t="str">
            <v>sim</v>
          </cell>
          <cell r="V3090" t="str">
            <v>not neg pair</v>
          </cell>
          <cell r="Y3090" t="str">
            <v>Pres</v>
          </cell>
          <cell r="Z3090">
            <v>4.54</v>
          </cell>
          <cell r="AA3090">
            <v>0</v>
          </cell>
          <cell r="AB3090">
            <v>0</v>
          </cell>
        </row>
        <row r="3091">
          <cell r="G3091" t="str">
            <v>X815_1</v>
          </cell>
          <cell r="H3091" t="str">
            <v>like</v>
          </cell>
          <cell r="I3091" t="str">
            <v>sim</v>
          </cell>
          <cell r="V3091" t="str">
            <v>not neg pair</v>
          </cell>
          <cell r="Y3091" t="str">
            <v>Pres</v>
          </cell>
          <cell r="Z3091">
            <v>4.54</v>
          </cell>
          <cell r="AA3091">
            <v>0</v>
          </cell>
          <cell r="AB3091">
            <v>0</v>
          </cell>
        </row>
        <row r="3092">
          <cell r="G3092" t="str">
            <v>X816_0</v>
          </cell>
          <cell r="H3092" t="str">
            <v>as-as</v>
          </cell>
          <cell r="I3092" t="str">
            <v>sim</v>
          </cell>
          <cell r="V3092" t="str">
            <v>not neg pair</v>
          </cell>
          <cell r="Y3092" t="str">
            <v>Pres</v>
          </cell>
          <cell r="Z3092">
            <v>4.78</v>
          </cell>
          <cell r="AA3092">
            <v>0</v>
          </cell>
          <cell r="AB3092">
            <v>0</v>
          </cell>
        </row>
        <row r="3093">
          <cell r="G3093" t="str">
            <v>X816_1</v>
          </cell>
          <cell r="H3093" t="str">
            <v>as-as</v>
          </cell>
          <cell r="I3093" t="str">
            <v>sim</v>
          </cell>
          <cell r="V3093" t="str">
            <v>not neg pair</v>
          </cell>
          <cell r="Y3093" t="str">
            <v>Pres</v>
          </cell>
          <cell r="Z3093">
            <v>4.78</v>
          </cell>
          <cell r="AA3093">
            <v>0</v>
          </cell>
          <cell r="AB3093">
            <v>0</v>
          </cell>
        </row>
        <row r="3094">
          <cell r="G3094" t="str">
            <v>X817_0</v>
          </cell>
          <cell r="H3094" t="str">
            <v>as-as</v>
          </cell>
          <cell r="I3094" t="str">
            <v>sim</v>
          </cell>
          <cell r="V3094" t="str">
            <v>not neg pair</v>
          </cell>
          <cell r="Y3094" t="str">
            <v>Past</v>
          </cell>
          <cell r="Z3094">
            <v>3.93</v>
          </cell>
          <cell r="AA3094">
            <v>0</v>
          </cell>
          <cell r="AB3094">
            <v>0</v>
          </cell>
        </row>
        <row r="3095">
          <cell r="G3095" t="str">
            <v>X817_1</v>
          </cell>
          <cell r="H3095" t="str">
            <v>as-as</v>
          </cell>
          <cell r="I3095" t="str">
            <v>sim</v>
          </cell>
          <cell r="V3095" t="str">
            <v>not neg pair</v>
          </cell>
          <cell r="Y3095" t="str">
            <v>Past</v>
          </cell>
          <cell r="Z3095">
            <v>3.93</v>
          </cell>
          <cell r="AA3095">
            <v>0</v>
          </cell>
          <cell r="AB3095">
            <v>0</v>
          </cell>
        </row>
        <row r="3096">
          <cell r="G3096" t="str">
            <v>X818_0</v>
          </cell>
          <cell r="H3096" t="str">
            <v>the-of</v>
          </cell>
          <cell r="I3096" t="str">
            <v>sim</v>
          </cell>
          <cell r="V3096" t="str">
            <v>not neg pair</v>
          </cell>
          <cell r="Y3096" t="str">
            <v>Pres</v>
          </cell>
          <cell r="Z3096">
            <v>3.93</v>
          </cell>
          <cell r="AA3096">
            <v>0</v>
          </cell>
          <cell r="AB3096">
            <v>0</v>
          </cell>
        </row>
        <row r="3097">
          <cell r="G3097" t="str">
            <v>X818_1</v>
          </cell>
          <cell r="H3097" t="str">
            <v>the-of</v>
          </cell>
          <cell r="I3097" t="str">
            <v>sim</v>
          </cell>
          <cell r="V3097" t="str">
            <v>not neg pair</v>
          </cell>
          <cell r="Y3097" t="str">
            <v>Pres</v>
          </cell>
          <cell r="Z3097">
            <v>3.93</v>
          </cell>
          <cell r="AA3097">
            <v>0</v>
          </cell>
          <cell r="AB3097">
            <v>0</v>
          </cell>
        </row>
        <row r="3098">
          <cell r="G3098" t="str">
            <v>X819_0</v>
          </cell>
          <cell r="H3098" t="str">
            <v>as-as</v>
          </cell>
          <cell r="I3098" t="str">
            <v>sim</v>
          </cell>
          <cell r="V3098" t="str">
            <v>not</v>
          </cell>
          <cell r="Y3098" t="str">
            <v>Past</v>
          </cell>
          <cell r="Z3098">
            <v>4.1399999999999997</v>
          </cell>
          <cell r="AA3098">
            <v>0</v>
          </cell>
          <cell r="AB3098">
            <v>0</v>
          </cell>
        </row>
        <row r="3099">
          <cell r="G3099" t="str">
            <v>X819_1</v>
          </cell>
          <cell r="H3099" t="str">
            <v>as-as</v>
          </cell>
          <cell r="I3099" t="str">
            <v>sim</v>
          </cell>
          <cell r="V3099" t="str">
            <v>not</v>
          </cell>
          <cell r="Y3099" t="str">
            <v>Past</v>
          </cell>
          <cell r="Z3099">
            <v>4.1399999999999997</v>
          </cell>
          <cell r="AA3099">
            <v>0</v>
          </cell>
          <cell r="AB3099">
            <v>0</v>
          </cell>
        </row>
        <row r="3100">
          <cell r="G3100" t="str">
            <v>X820_0</v>
          </cell>
          <cell r="H3100" t="str">
            <v>the-of</v>
          </cell>
          <cell r="I3100" t="str">
            <v>sim</v>
          </cell>
          <cell r="V3100" t="str">
            <v>not neg pair</v>
          </cell>
          <cell r="Y3100" t="str">
            <v>Past</v>
          </cell>
          <cell r="Z3100">
            <v>4.5</v>
          </cell>
          <cell r="AA3100">
            <v>0</v>
          </cell>
          <cell r="AB3100">
            <v>0</v>
          </cell>
        </row>
        <row r="3101">
          <cell r="G3101" t="str">
            <v>X820_1</v>
          </cell>
          <cell r="H3101" t="str">
            <v>the-of</v>
          </cell>
          <cell r="I3101" t="str">
            <v>sim</v>
          </cell>
          <cell r="V3101" t="str">
            <v>not neg pair</v>
          </cell>
          <cell r="Y3101" t="str">
            <v>Past</v>
          </cell>
          <cell r="Z3101">
            <v>4.5</v>
          </cell>
          <cell r="AA3101">
            <v>0</v>
          </cell>
          <cell r="AB3101">
            <v>0</v>
          </cell>
        </row>
        <row r="3102">
          <cell r="G3102" t="str">
            <v>X821_0</v>
          </cell>
          <cell r="H3102" t="str">
            <v>as-as</v>
          </cell>
          <cell r="I3102" t="str">
            <v>sim</v>
          </cell>
          <cell r="V3102" t="str">
            <v>antonym</v>
          </cell>
          <cell r="Y3102" t="str">
            <v>Pres</v>
          </cell>
          <cell r="Z3102">
            <v>4.76</v>
          </cell>
          <cell r="AA3102">
            <v>0</v>
          </cell>
          <cell r="AB3102">
            <v>0</v>
          </cell>
        </row>
        <row r="3103">
          <cell r="G3103" t="str">
            <v>X821_1</v>
          </cell>
          <cell r="H3103" t="str">
            <v>as-as</v>
          </cell>
          <cell r="I3103" t="str">
            <v>sim</v>
          </cell>
          <cell r="V3103" t="str">
            <v>antonym</v>
          </cell>
          <cell r="Y3103" t="str">
            <v>Past</v>
          </cell>
          <cell r="Z3103">
            <v>4.76</v>
          </cell>
          <cell r="AA3103">
            <v>0</v>
          </cell>
          <cell r="AB3103">
            <v>0</v>
          </cell>
        </row>
        <row r="3104">
          <cell r="G3104" t="str">
            <v>X822_0</v>
          </cell>
          <cell r="H3104" t="str">
            <v>the-of</v>
          </cell>
          <cell r="I3104" t="str">
            <v>sim</v>
          </cell>
          <cell r="V3104" t="str">
            <v>not neg pair</v>
          </cell>
          <cell r="Y3104" t="str">
            <v>Pres</v>
          </cell>
          <cell r="Z3104">
            <v>4.37</v>
          </cell>
          <cell r="AA3104">
            <v>0</v>
          </cell>
          <cell r="AB3104">
            <v>0</v>
          </cell>
        </row>
        <row r="3105">
          <cell r="G3105" t="str">
            <v>X822_1</v>
          </cell>
          <cell r="H3105" t="str">
            <v>the-of</v>
          </cell>
          <cell r="I3105" t="str">
            <v>sim</v>
          </cell>
          <cell r="V3105" t="str">
            <v>not neg pair</v>
          </cell>
          <cell r="Y3105" t="str">
            <v>Past</v>
          </cell>
          <cell r="Z3105">
            <v>4.37</v>
          </cell>
          <cell r="AA3105">
            <v>0</v>
          </cell>
          <cell r="AB3105">
            <v>0</v>
          </cell>
        </row>
        <row r="3106">
          <cell r="G3106" t="str">
            <v>X823_0</v>
          </cell>
          <cell r="H3106" t="str">
            <v>as-as</v>
          </cell>
          <cell r="I3106" t="str">
            <v>sim</v>
          </cell>
          <cell r="V3106" t="str">
            <v>not</v>
          </cell>
          <cell r="Y3106" t="str">
            <v>Past</v>
          </cell>
          <cell r="Z3106">
            <v>3.93</v>
          </cell>
          <cell r="AA3106">
            <v>0</v>
          </cell>
          <cell r="AB3106">
            <v>0</v>
          </cell>
        </row>
        <row r="3107">
          <cell r="G3107" t="str">
            <v>X823_1</v>
          </cell>
          <cell r="H3107" t="str">
            <v>as-as</v>
          </cell>
          <cell r="I3107" t="str">
            <v>sim</v>
          </cell>
          <cell r="V3107" t="str">
            <v>not</v>
          </cell>
          <cell r="Y3107" t="str">
            <v>Past</v>
          </cell>
          <cell r="Z3107">
            <v>3.93</v>
          </cell>
          <cell r="AA3107">
            <v>0</v>
          </cell>
          <cell r="AB3107">
            <v>0</v>
          </cell>
        </row>
        <row r="3108">
          <cell r="G3108" t="str">
            <v>X824_0</v>
          </cell>
          <cell r="H3108" t="str">
            <v>as-as</v>
          </cell>
          <cell r="I3108" t="str">
            <v>sim</v>
          </cell>
          <cell r="V3108" t="str">
            <v>not neg pair</v>
          </cell>
          <cell r="Y3108" t="str">
            <v>Past</v>
          </cell>
          <cell r="Z3108">
            <v>2.5</v>
          </cell>
          <cell r="AA3108" t="str">
            <v>L</v>
          </cell>
          <cell r="AB3108">
            <v>0</v>
          </cell>
        </row>
        <row r="3109">
          <cell r="G3109" t="str">
            <v>X824_1</v>
          </cell>
          <cell r="H3109" t="str">
            <v>as-as</v>
          </cell>
          <cell r="I3109" t="str">
            <v>sim</v>
          </cell>
          <cell r="V3109" t="str">
            <v>not neg pair</v>
          </cell>
          <cell r="Y3109" t="str">
            <v>Past</v>
          </cell>
          <cell r="Z3109">
            <v>4.8899999999999997</v>
          </cell>
          <cell r="AA3109">
            <v>0</v>
          </cell>
          <cell r="AB3109">
            <v>0</v>
          </cell>
        </row>
        <row r="3110">
          <cell r="G3110" t="str">
            <v>X825_0</v>
          </cell>
          <cell r="H3110" t="str">
            <v>as-as</v>
          </cell>
          <cell r="I3110" t="str">
            <v>sim</v>
          </cell>
          <cell r="V3110" t="str">
            <v>not</v>
          </cell>
          <cell r="Y3110" t="str">
            <v>Past</v>
          </cell>
          <cell r="Z3110">
            <v>3.39</v>
          </cell>
          <cell r="AA3110">
            <v>0</v>
          </cell>
          <cell r="AB3110">
            <v>0</v>
          </cell>
        </row>
        <row r="3111">
          <cell r="G3111" t="str">
            <v>X825_1</v>
          </cell>
          <cell r="H3111" t="str">
            <v>as-as</v>
          </cell>
          <cell r="I3111" t="str">
            <v>sim</v>
          </cell>
          <cell r="V3111" t="str">
            <v>not</v>
          </cell>
          <cell r="Y3111" t="str">
            <v>Past</v>
          </cell>
          <cell r="Z3111">
            <v>3.39</v>
          </cell>
          <cell r="AA3111">
            <v>0</v>
          </cell>
          <cell r="AB3111">
            <v>0</v>
          </cell>
        </row>
        <row r="3112">
          <cell r="G3112" t="str">
            <v>X826_0</v>
          </cell>
          <cell r="H3112" t="str">
            <v/>
          </cell>
          <cell r="I3112" t="str">
            <v>met</v>
          </cell>
          <cell r="V3112" t="str">
            <v>0</v>
          </cell>
          <cell r="Y3112" t="str">
            <v>Pres</v>
          </cell>
          <cell r="Z3112">
            <v>3.96</v>
          </cell>
          <cell r="AA3112">
            <v>0</v>
          </cell>
          <cell r="AB3112">
            <v>0</v>
          </cell>
        </row>
        <row r="3113">
          <cell r="G3113" t="str">
            <v>X826_1</v>
          </cell>
          <cell r="H3113" t="str">
            <v/>
          </cell>
          <cell r="I3113" t="str">
            <v>met</v>
          </cell>
          <cell r="V3113" t="str">
            <v>0</v>
          </cell>
          <cell r="Y3113" t="str">
            <v>Pres</v>
          </cell>
          <cell r="Z3113">
            <v>3.96</v>
          </cell>
          <cell r="AA3113">
            <v>0</v>
          </cell>
          <cell r="AB3113">
            <v>0</v>
          </cell>
        </row>
        <row r="3114">
          <cell r="G3114" t="str">
            <v>X827_0</v>
          </cell>
          <cell r="H3114" t="str">
            <v>like</v>
          </cell>
          <cell r="I3114" t="str">
            <v>sim</v>
          </cell>
          <cell r="V3114" t="str">
            <v>not neg pair</v>
          </cell>
          <cell r="Y3114" t="str">
            <v>Pres</v>
          </cell>
          <cell r="Z3114">
            <v>2.12</v>
          </cell>
          <cell r="AA3114" t="str">
            <v>L</v>
          </cell>
          <cell r="AB3114">
            <v>0</v>
          </cell>
        </row>
        <row r="3115">
          <cell r="G3115" t="str">
            <v>X827_1</v>
          </cell>
          <cell r="H3115" t="str">
            <v>like</v>
          </cell>
          <cell r="I3115" t="str">
            <v>sim</v>
          </cell>
          <cell r="V3115" t="str">
            <v>not neg pair</v>
          </cell>
          <cell r="Y3115" t="str">
            <v>Pres</v>
          </cell>
          <cell r="Z3115">
            <v>2.12</v>
          </cell>
          <cell r="AA3115" t="str">
            <v>L</v>
          </cell>
          <cell r="AB3115">
            <v>0</v>
          </cell>
        </row>
        <row r="3116">
          <cell r="G3116" t="str">
            <v>X828_0</v>
          </cell>
          <cell r="H3116" t="str">
            <v>the-of</v>
          </cell>
          <cell r="I3116" t="str">
            <v>sim</v>
          </cell>
          <cell r="V3116" t="str">
            <v>not neg pair</v>
          </cell>
          <cell r="Y3116" t="str">
            <v>Pres</v>
          </cell>
          <cell r="Z3116">
            <v>2.93</v>
          </cell>
          <cell r="AA3116">
            <v>0</v>
          </cell>
          <cell r="AB3116">
            <v>0</v>
          </cell>
        </row>
        <row r="3117">
          <cell r="G3117" t="str">
            <v>X828_1</v>
          </cell>
          <cell r="H3117" t="str">
            <v>the-of</v>
          </cell>
          <cell r="I3117" t="str">
            <v>sim</v>
          </cell>
          <cell r="V3117" t="str">
            <v>not neg pair</v>
          </cell>
          <cell r="Y3117" t="str">
            <v>Pres</v>
          </cell>
          <cell r="Z3117">
            <v>2.93</v>
          </cell>
          <cell r="AA3117">
            <v>0</v>
          </cell>
          <cell r="AB3117">
            <v>0</v>
          </cell>
        </row>
        <row r="3118">
          <cell r="G3118" t="str">
            <v>X829_0</v>
          </cell>
          <cell r="H3118" t="str">
            <v>the-of</v>
          </cell>
          <cell r="I3118" t="str">
            <v>sim</v>
          </cell>
          <cell r="V3118" t="str">
            <v>not neg pair</v>
          </cell>
          <cell r="Y3118" t="str">
            <v>Past</v>
          </cell>
          <cell r="Z3118">
            <v>3.85</v>
          </cell>
          <cell r="AA3118">
            <v>0</v>
          </cell>
          <cell r="AB3118">
            <v>0</v>
          </cell>
        </row>
        <row r="3119">
          <cell r="G3119" t="str">
            <v>X829_1</v>
          </cell>
          <cell r="H3119" t="str">
            <v>the-of</v>
          </cell>
          <cell r="I3119" t="str">
            <v>sim</v>
          </cell>
          <cell r="V3119" t="str">
            <v>not neg pair</v>
          </cell>
          <cell r="Y3119" t="str">
            <v>Past</v>
          </cell>
          <cell r="Z3119">
            <v>3.85</v>
          </cell>
          <cell r="AA3119">
            <v>0</v>
          </cell>
          <cell r="AB3119">
            <v>0</v>
          </cell>
        </row>
        <row r="3120">
          <cell r="G3120" t="str">
            <v>X830_0</v>
          </cell>
          <cell r="H3120" t="str">
            <v>like</v>
          </cell>
          <cell r="I3120" t="str">
            <v>sim</v>
          </cell>
          <cell r="V3120" t="str">
            <v>not neg pair</v>
          </cell>
          <cell r="Y3120" t="str">
            <v>Past</v>
          </cell>
          <cell r="Z3120">
            <v>2.12</v>
          </cell>
          <cell r="AA3120" t="str">
            <v>L</v>
          </cell>
          <cell r="AB3120">
            <v>0</v>
          </cell>
        </row>
        <row r="3121">
          <cell r="G3121" t="str">
            <v>X830_1</v>
          </cell>
          <cell r="H3121" t="str">
            <v>like</v>
          </cell>
          <cell r="I3121" t="str">
            <v>sim</v>
          </cell>
          <cell r="V3121" t="str">
            <v>not neg pair</v>
          </cell>
          <cell r="Y3121" t="str">
            <v>Past</v>
          </cell>
          <cell r="Z3121">
            <v>2.12</v>
          </cell>
          <cell r="AA3121" t="str">
            <v>L</v>
          </cell>
          <cell r="AB3121">
            <v>0</v>
          </cell>
        </row>
        <row r="3122">
          <cell r="G3122" t="str">
            <v>X831_0</v>
          </cell>
          <cell r="H3122" t="str">
            <v/>
          </cell>
          <cell r="I3122" t="str">
            <v>met</v>
          </cell>
          <cell r="V3122" t="str">
            <v>0</v>
          </cell>
          <cell r="Y3122" t="str">
            <v>Past</v>
          </cell>
          <cell r="Z3122">
            <v>4.68</v>
          </cell>
          <cell r="AA3122">
            <v>0</v>
          </cell>
          <cell r="AB3122">
            <v>0</v>
          </cell>
        </row>
        <row r="3123">
          <cell r="G3123" t="str">
            <v>X831_1</v>
          </cell>
          <cell r="H3123" t="str">
            <v/>
          </cell>
          <cell r="I3123" t="str">
            <v>met</v>
          </cell>
          <cell r="V3123" t="str">
            <v>0</v>
          </cell>
          <cell r="Y3123" t="str">
            <v>Past</v>
          </cell>
          <cell r="Z3123">
            <v>4.68</v>
          </cell>
          <cell r="AA3123">
            <v>0</v>
          </cell>
          <cell r="AB3123">
            <v>0</v>
          </cell>
        </row>
        <row r="3124">
          <cell r="G3124" t="str">
            <v>X832_0</v>
          </cell>
          <cell r="H3124" t="str">
            <v/>
          </cell>
          <cell r="I3124" t="str">
            <v>met</v>
          </cell>
          <cell r="V3124" t="str">
            <v>0</v>
          </cell>
          <cell r="Y3124" t="str">
            <v>Pres</v>
          </cell>
          <cell r="Z3124">
            <v>3.96</v>
          </cell>
          <cell r="AA3124">
            <v>0</v>
          </cell>
          <cell r="AB3124">
            <v>0</v>
          </cell>
        </row>
        <row r="3125">
          <cell r="G3125" t="str">
            <v>X832_1</v>
          </cell>
          <cell r="H3125" t="str">
            <v/>
          </cell>
          <cell r="I3125" t="str">
            <v>met</v>
          </cell>
          <cell r="V3125" t="str">
            <v>0</v>
          </cell>
          <cell r="Y3125" t="str">
            <v>Pres</v>
          </cell>
          <cell r="Z3125">
            <v>3.96</v>
          </cell>
          <cell r="AA3125">
            <v>0</v>
          </cell>
          <cell r="AB3125">
            <v>0</v>
          </cell>
        </row>
        <row r="3126">
          <cell r="G3126" t="str">
            <v>X833_0</v>
          </cell>
          <cell r="H3126" t="str">
            <v/>
          </cell>
          <cell r="I3126" t="str">
            <v>met</v>
          </cell>
          <cell r="V3126" t="str">
            <v>0</v>
          </cell>
          <cell r="Y3126" t="str">
            <v>Past</v>
          </cell>
          <cell r="Z3126">
            <v>2.12</v>
          </cell>
          <cell r="AA3126" t="str">
            <v>L</v>
          </cell>
          <cell r="AB3126">
            <v>0</v>
          </cell>
        </row>
        <row r="3127">
          <cell r="G3127" t="str">
            <v>X833_1</v>
          </cell>
          <cell r="H3127" t="str">
            <v/>
          </cell>
          <cell r="I3127" t="str">
            <v>met</v>
          </cell>
          <cell r="V3127" t="str">
            <v>0</v>
          </cell>
          <cell r="Y3127" t="str">
            <v>Past</v>
          </cell>
          <cell r="Z3127">
            <v>2.12</v>
          </cell>
          <cell r="AA3127" t="str">
            <v>L</v>
          </cell>
          <cell r="AB3127">
            <v>0</v>
          </cell>
        </row>
        <row r="3128">
          <cell r="G3128" t="str">
            <v>X834_0</v>
          </cell>
          <cell r="H3128" t="str">
            <v/>
          </cell>
          <cell r="I3128" t="str">
            <v>met</v>
          </cell>
          <cell r="V3128" t="str">
            <v>0</v>
          </cell>
          <cell r="Y3128" t="str">
            <v>Pres</v>
          </cell>
          <cell r="Z3128">
            <v>3.03</v>
          </cell>
          <cell r="AA3128">
            <v>0</v>
          </cell>
          <cell r="AB3128">
            <v>0</v>
          </cell>
        </row>
        <row r="3129">
          <cell r="G3129" t="str">
            <v>X834_1</v>
          </cell>
          <cell r="H3129" t="str">
            <v/>
          </cell>
          <cell r="I3129" t="str">
            <v>met</v>
          </cell>
          <cell r="V3129" t="str">
            <v>0</v>
          </cell>
          <cell r="Y3129" t="str">
            <v>Pres</v>
          </cell>
          <cell r="Z3129">
            <v>3.03</v>
          </cell>
          <cell r="AA3129">
            <v>0</v>
          </cell>
          <cell r="AB3129">
            <v>0</v>
          </cell>
        </row>
        <row r="3130">
          <cell r="G3130" t="str">
            <v>X835_0</v>
          </cell>
          <cell r="H3130" t="str">
            <v>as-as</v>
          </cell>
          <cell r="I3130" t="str">
            <v>sim</v>
          </cell>
          <cell r="V3130" t="str">
            <v>not</v>
          </cell>
          <cell r="Y3130" t="str">
            <v>Pres</v>
          </cell>
          <cell r="Z3130">
            <v>4.8</v>
          </cell>
          <cell r="AA3130">
            <v>0</v>
          </cell>
          <cell r="AB3130">
            <v>0</v>
          </cell>
        </row>
        <row r="3131">
          <cell r="G3131" t="str">
            <v>X835_1</v>
          </cell>
          <cell r="H3131" t="str">
            <v>as-as</v>
          </cell>
          <cell r="I3131" t="str">
            <v>sim</v>
          </cell>
          <cell r="V3131" t="str">
            <v>not</v>
          </cell>
          <cell r="Y3131" t="str">
            <v>Pres</v>
          </cell>
          <cell r="Z3131">
            <v>4.8</v>
          </cell>
          <cell r="AA3131">
            <v>0</v>
          </cell>
          <cell r="AB3131">
            <v>0</v>
          </cell>
        </row>
        <row r="3132">
          <cell r="G3132" t="str">
            <v>X836_0</v>
          </cell>
          <cell r="H3132" t="str">
            <v>as</v>
          </cell>
          <cell r="I3132" t="str">
            <v>sim</v>
          </cell>
          <cell r="V3132" t="str">
            <v>not</v>
          </cell>
          <cell r="Y3132" t="str">
            <v>Past</v>
          </cell>
          <cell r="Z3132">
            <v>0</v>
          </cell>
          <cell r="AA3132">
            <v>0</v>
          </cell>
          <cell r="AB3132">
            <v>0</v>
          </cell>
        </row>
        <row r="3133">
          <cell r="G3133" t="str">
            <v>X836_1</v>
          </cell>
          <cell r="H3133" t="str">
            <v>like</v>
          </cell>
          <cell r="I3133" t="str">
            <v>sim</v>
          </cell>
          <cell r="V3133" t="str">
            <v>not</v>
          </cell>
          <cell r="Y3133" t="str">
            <v>Past</v>
          </cell>
          <cell r="Z3133">
            <v>0</v>
          </cell>
          <cell r="AA3133">
            <v>0</v>
          </cell>
          <cell r="AB3133">
            <v>0</v>
          </cell>
        </row>
        <row r="3134">
          <cell r="G3134" t="str">
            <v>X837_0</v>
          </cell>
          <cell r="H3134" t="str">
            <v>as</v>
          </cell>
          <cell r="I3134" t="str">
            <v>sim</v>
          </cell>
          <cell r="V3134" t="str">
            <v>not neg pair</v>
          </cell>
          <cell r="Y3134" t="str">
            <v>Past</v>
          </cell>
          <cell r="Z3134">
            <v>5</v>
          </cell>
          <cell r="AA3134" t="str">
            <v>H</v>
          </cell>
          <cell r="AB3134">
            <v>0</v>
          </cell>
        </row>
        <row r="3135">
          <cell r="G3135" t="str">
            <v>X837_1</v>
          </cell>
          <cell r="H3135" t="str">
            <v>as</v>
          </cell>
          <cell r="I3135" t="str">
            <v>sim</v>
          </cell>
          <cell r="V3135" t="str">
            <v>not neg pair</v>
          </cell>
          <cell r="Y3135" t="str">
            <v>Pres</v>
          </cell>
          <cell r="Z3135">
            <v>5</v>
          </cell>
          <cell r="AA3135" t="str">
            <v>H</v>
          </cell>
          <cell r="AB3135">
            <v>0</v>
          </cell>
        </row>
        <row r="3136">
          <cell r="G3136" t="str">
            <v>X838_0</v>
          </cell>
          <cell r="H3136" t="str">
            <v>the-of</v>
          </cell>
          <cell r="I3136" t="str">
            <v>sim</v>
          </cell>
          <cell r="V3136" t="str">
            <v>not neg pair</v>
          </cell>
          <cell r="Y3136" t="str">
            <v>Pres</v>
          </cell>
          <cell r="Z3136">
            <v>4.8899999999999997</v>
          </cell>
          <cell r="AA3136">
            <v>0</v>
          </cell>
          <cell r="AB3136">
            <v>0</v>
          </cell>
        </row>
        <row r="3137">
          <cell r="G3137" t="str">
            <v>X838_1</v>
          </cell>
          <cell r="H3137" t="str">
            <v>the-of</v>
          </cell>
          <cell r="I3137" t="str">
            <v>sim</v>
          </cell>
          <cell r="V3137" t="str">
            <v>not neg pair</v>
          </cell>
          <cell r="Y3137" t="str">
            <v>Pres</v>
          </cell>
          <cell r="Z3137">
            <v>4.8899999999999997</v>
          </cell>
          <cell r="AA3137">
            <v>0</v>
          </cell>
          <cell r="AB3137">
            <v>0</v>
          </cell>
        </row>
        <row r="3138">
          <cell r="G3138" t="str">
            <v>X839_0</v>
          </cell>
          <cell r="H3138" t="str">
            <v>the-of</v>
          </cell>
          <cell r="I3138" t="str">
            <v>sim</v>
          </cell>
          <cell r="V3138" t="str">
            <v>not neg pair</v>
          </cell>
          <cell r="Y3138" t="str">
            <v>Pres</v>
          </cell>
          <cell r="Z3138">
            <v>4.8899999999999997</v>
          </cell>
          <cell r="AA3138">
            <v>0</v>
          </cell>
          <cell r="AB3138">
            <v>0</v>
          </cell>
        </row>
        <row r="3139">
          <cell r="G3139" t="str">
            <v>X839_1</v>
          </cell>
          <cell r="H3139" t="str">
            <v>the-of</v>
          </cell>
          <cell r="I3139" t="str">
            <v>sim</v>
          </cell>
          <cell r="V3139" t="str">
            <v>not neg pair</v>
          </cell>
          <cell r="Y3139" t="str">
            <v>Pres</v>
          </cell>
          <cell r="Z3139">
            <v>4.8899999999999997</v>
          </cell>
          <cell r="AA3139">
            <v>0</v>
          </cell>
          <cell r="AB3139">
            <v>0</v>
          </cell>
        </row>
        <row r="3140">
          <cell r="G3140" t="str">
            <v>X840_0</v>
          </cell>
          <cell r="H3140" t="str">
            <v>the-of</v>
          </cell>
          <cell r="I3140" t="str">
            <v>sim</v>
          </cell>
          <cell r="V3140" t="str">
            <v>not neg pair</v>
          </cell>
          <cell r="Y3140" t="str">
            <v>Pres</v>
          </cell>
          <cell r="Z3140">
            <v>3.62</v>
          </cell>
          <cell r="AA3140">
            <v>0</v>
          </cell>
          <cell r="AB3140">
            <v>0</v>
          </cell>
        </row>
        <row r="3141">
          <cell r="G3141" t="str">
            <v>X840_1</v>
          </cell>
          <cell r="H3141" t="str">
            <v>the-of</v>
          </cell>
          <cell r="I3141" t="str">
            <v>sim</v>
          </cell>
          <cell r="V3141" t="str">
            <v>not neg pair</v>
          </cell>
          <cell r="Y3141" t="str">
            <v>Pres</v>
          </cell>
          <cell r="Z3141">
            <v>3.62</v>
          </cell>
          <cell r="AA3141">
            <v>0</v>
          </cell>
          <cell r="AB3141">
            <v>0</v>
          </cell>
        </row>
        <row r="3142">
          <cell r="G3142" t="str">
            <v>X841_0</v>
          </cell>
          <cell r="H3142" t="str">
            <v>the-of</v>
          </cell>
          <cell r="I3142" t="str">
            <v>sim</v>
          </cell>
          <cell r="V3142" t="str">
            <v>not neg pair</v>
          </cell>
          <cell r="Y3142" t="str">
            <v>Past</v>
          </cell>
          <cell r="Z3142">
            <v>4.3899999999999997</v>
          </cell>
          <cell r="AA3142">
            <v>0</v>
          </cell>
          <cell r="AB3142">
            <v>0</v>
          </cell>
        </row>
        <row r="3143">
          <cell r="G3143" t="str">
            <v>X841_1</v>
          </cell>
          <cell r="H3143" t="str">
            <v>the-of</v>
          </cell>
          <cell r="I3143" t="str">
            <v>sim</v>
          </cell>
          <cell r="V3143" t="str">
            <v>not neg pair</v>
          </cell>
          <cell r="Y3143" t="str">
            <v>Past</v>
          </cell>
          <cell r="Z3143">
            <v>4.3899999999999997</v>
          </cell>
          <cell r="AA3143">
            <v>0</v>
          </cell>
          <cell r="AB3143">
            <v>0</v>
          </cell>
        </row>
        <row r="3144">
          <cell r="G3144" t="str">
            <v>X842_0</v>
          </cell>
          <cell r="H3144" t="str">
            <v>as-as</v>
          </cell>
          <cell r="I3144" t="str">
            <v>sim</v>
          </cell>
          <cell r="V3144" t="str">
            <v>not</v>
          </cell>
          <cell r="Y3144" t="str">
            <v>Past</v>
          </cell>
          <cell r="Z3144">
            <v>4.79</v>
          </cell>
          <cell r="AA3144">
            <v>0</v>
          </cell>
          <cell r="AB3144">
            <v>0</v>
          </cell>
        </row>
        <row r="3145">
          <cell r="G3145" t="str">
            <v>X842_1</v>
          </cell>
          <cell r="H3145" t="str">
            <v>as-as</v>
          </cell>
          <cell r="I3145" t="str">
            <v>sim</v>
          </cell>
          <cell r="V3145" t="str">
            <v>not</v>
          </cell>
          <cell r="Y3145" t="str">
            <v>Pres</v>
          </cell>
          <cell r="Z3145">
            <v>4.79</v>
          </cell>
          <cell r="AA3145">
            <v>0</v>
          </cell>
          <cell r="AB3145">
            <v>0</v>
          </cell>
        </row>
        <row r="3146">
          <cell r="G3146" t="str">
            <v>X843_0</v>
          </cell>
          <cell r="H3146" t="str">
            <v>as-as</v>
          </cell>
          <cell r="I3146" t="str">
            <v>sim</v>
          </cell>
          <cell r="V3146" t="str">
            <v>not</v>
          </cell>
          <cell r="Y3146" t="str">
            <v>Past</v>
          </cell>
          <cell r="Z3146">
            <v>3.48</v>
          </cell>
          <cell r="AA3146">
            <v>0</v>
          </cell>
          <cell r="AB3146">
            <v>0</v>
          </cell>
        </row>
        <row r="3147">
          <cell r="G3147" t="str">
            <v>X843_1</v>
          </cell>
          <cell r="H3147" t="str">
            <v>as-as</v>
          </cell>
          <cell r="I3147" t="str">
            <v>sim</v>
          </cell>
          <cell r="V3147" t="str">
            <v>not</v>
          </cell>
          <cell r="Y3147" t="str">
            <v>Past</v>
          </cell>
          <cell r="Z3147">
            <v>3.48</v>
          </cell>
          <cell r="AA3147">
            <v>0</v>
          </cell>
          <cell r="AB3147">
            <v>0</v>
          </cell>
        </row>
        <row r="3148">
          <cell r="G3148" t="str">
            <v>X844_0</v>
          </cell>
          <cell r="H3148" t="str">
            <v>the-of</v>
          </cell>
          <cell r="I3148" t="str">
            <v>sim</v>
          </cell>
          <cell r="V3148" t="str">
            <v>not neg pair</v>
          </cell>
          <cell r="Y3148" t="str">
            <v>Past</v>
          </cell>
          <cell r="Z3148">
            <v>4.96</v>
          </cell>
          <cell r="AA3148" t="str">
            <v>H</v>
          </cell>
          <cell r="AB3148">
            <v>0</v>
          </cell>
        </row>
        <row r="3149">
          <cell r="G3149" t="str">
            <v>X844_1</v>
          </cell>
          <cell r="H3149" t="str">
            <v>the-of</v>
          </cell>
          <cell r="I3149" t="str">
            <v>sim</v>
          </cell>
          <cell r="V3149" t="str">
            <v>not neg pair</v>
          </cell>
          <cell r="Y3149" t="str">
            <v>Past</v>
          </cell>
          <cell r="Z3149">
            <v>4.96</v>
          </cell>
          <cell r="AA3149" t="str">
            <v>H</v>
          </cell>
          <cell r="AB3149">
            <v>0</v>
          </cell>
        </row>
        <row r="3150">
          <cell r="G3150" t="str">
            <v>X845_0</v>
          </cell>
          <cell r="H3150" t="str">
            <v>as</v>
          </cell>
          <cell r="I3150" t="str">
            <v>sim</v>
          </cell>
          <cell r="V3150" t="str">
            <v>not</v>
          </cell>
          <cell r="Y3150" t="str">
            <v>Past</v>
          </cell>
          <cell r="Z3150">
            <v>4.97</v>
          </cell>
          <cell r="AA3150" t="str">
            <v>H</v>
          </cell>
          <cell r="AB3150">
            <v>0</v>
          </cell>
        </row>
        <row r="3151">
          <cell r="G3151" t="str">
            <v>X845_1</v>
          </cell>
          <cell r="H3151" t="str">
            <v>as</v>
          </cell>
          <cell r="I3151" t="str">
            <v>sim</v>
          </cell>
          <cell r="V3151" t="str">
            <v>not</v>
          </cell>
          <cell r="Y3151" t="str">
            <v>Past</v>
          </cell>
          <cell r="Z3151">
            <v>4.97</v>
          </cell>
          <cell r="AA3151" t="str">
            <v>H</v>
          </cell>
          <cell r="AB3151">
            <v>0</v>
          </cell>
        </row>
        <row r="3152">
          <cell r="G3152" t="str">
            <v>X846_0</v>
          </cell>
          <cell r="H3152" t="str">
            <v>as-as</v>
          </cell>
          <cell r="I3152" t="str">
            <v>sim</v>
          </cell>
          <cell r="V3152" t="str">
            <v>antonym</v>
          </cell>
          <cell r="Y3152" t="str">
            <v>Past</v>
          </cell>
          <cell r="Z3152">
            <v>4.6900000000000004</v>
          </cell>
          <cell r="AA3152">
            <v>0</v>
          </cell>
          <cell r="AB3152">
            <v>0</v>
          </cell>
        </row>
        <row r="3153">
          <cell r="G3153" t="str">
            <v>X846_1</v>
          </cell>
          <cell r="H3153" t="str">
            <v>as-as</v>
          </cell>
          <cell r="I3153" t="str">
            <v>sim</v>
          </cell>
          <cell r="V3153" t="str">
            <v>antonym</v>
          </cell>
          <cell r="Y3153" t="str">
            <v>Past</v>
          </cell>
          <cell r="Z3153">
            <v>4.6900000000000004</v>
          </cell>
          <cell r="AA3153">
            <v>0</v>
          </cell>
          <cell r="AB3153">
            <v>0</v>
          </cell>
        </row>
        <row r="3154">
          <cell r="G3154" t="str">
            <v>X847_0</v>
          </cell>
          <cell r="H3154" t="str">
            <v/>
          </cell>
          <cell r="I3154" t="str">
            <v>met</v>
          </cell>
          <cell r="V3154" t="str">
            <v>0</v>
          </cell>
          <cell r="Y3154" t="str">
            <v>Pres</v>
          </cell>
          <cell r="Z3154">
            <v>5</v>
          </cell>
          <cell r="AA3154" t="str">
            <v>H</v>
          </cell>
          <cell r="AB3154">
            <v>0</v>
          </cell>
        </row>
        <row r="3155">
          <cell r="G3155" t="str">
            <v>X847_1</v>
          </cell>
          <cell r="H3155" t="str">
            <v/>
          </cell>
          <cell r="I3155" t="str">
            <v>met</v>
          </cell>
          <cell r="V3155" t="str">
            <v>0</v>
          </cell>
          <cell r="Y3155" t="str">
            <v>Pres</v>
          </cell>
          <cell r="Z3155">
            <v>5</v>
          </cell>
          <cell r="AA3155" t="str">
            <v>H</v>
          </cell>
          <cell r="AB3155">
            <v>0</v>
          </cell>
        </row>
        <row r="3156">
          <cell r="G3156" t="str">
            <v>X848_0</v>
          </cell>
          <cell r="H3156" t="str">
            <v/>
          </cell>
          <cell r="I3156" t="str">
            <v>met</v>
          </cell>
          <cell r="V3156" t="str">
            <v>0</v>
          </cell>
          <cell r="Y3156" t="str">
            <v>Pres</v>
          </cell>
          <cell r="Z3156">
            <v>4.9000000000000004</v>
          </cell>
          <cell r="AA3156">
            <v>0</v>
          </cell>
          <cell r="AB3156">
            <v>0</v>
          </cell>
        </row>
        <row r="3157">
          <cell r="G3157" t="str">
            <v>X848_1</v>
          </cell>
          <cell r="H3157" t="str">
            <v/>
          </cell>
          <cell r="I3157" t="str">
            <v>met</v>
          </cell>
          <cell r="V3157" t="str">
            <v>0</v>
          </cell>
          <cell r="Y3157" t="str">
            <v>Pres</v>
          </cell>
          <cell r="Z3157">
            <v>4.9000000000000004</v>
          </cell>
          <cell r="AA3157">
            <v>0</v>
          </cell>
          <cell r="AB3157">
            <v>0</v>
          </cell>
        </row>
        <row r="3158">
          <cell r="G3158" t="str">
            <v>X849_0</v>
          </cell>
          <cell r="H3158" t="str">
            <v/>
          </cell>
          <cell r="I3158" t="str">
            <v>met</v>
          </cell>
          <cell r="V3158" t="str">
            <v>0</v>
          </cell>
          <cell r="Y3158" t="str">
            <v>Pres</v>
          </cell>
          <cell r="Z3158">
            <v>1.54</v>
          </cell>
          <cell r="AA3158" t="str">
            <v>L</v>
          </cell>
          <cell r="AB3158">
            <v>0</v>
          </cell>
        </row>
        <row r="3159">
          <cell r="G3159" t="str">
            <v>X849_1</v>
          </cell>
          <cell r="H3159" t="str">
            <v/>
          </cell>
          <cell r="I3159" t="str">
            <v>met</v>
          </cell>
          <cell r="V3159" t="str">
            <v>0</v>
          </cell>
          <cell r="Y3159">
            <v>0</v>
          </cell>
          <cell r="Z3159">
            <v>4.8499999999999996</v>
          </cell>
          <cell r="AA3159">
            <v>0</v>
          </cell>
          <cell r="AB3159">
            <v>0</v>
          </cell>
        </row>
        <row r="3160">
          <cell r="G3160" t="str">
            <v>X850_0</v>
          </cell>
          <cell r="H3160" t="str">
            <v>the-of</v>
          </cell>
          <cell r="I3160" t="str">
            <v>sim</v>
          </cell>
          <cell r="V3160" t="str">
            <v>not</v>
          </cell>
          <cell r="Y3160" t="str">
            <v>Pres</v>
          </cell>
          <cell r="Z3160">
            <v>4.8899999999999997</v>
          </cell>
          <cell r="AA3160">
            <v>0</v>
          </cell>
          <cell r="AB3160">
            <v>0</v>
          </cell>
        </row>
        <row r="3161">
          <cell r="G3161" t="str">
            <v>X850_1</v>
          </cell>
          <cell r="H3161" t="str">
            <v>the-of</v>
          </cell>
          <cell r="I3161" t="str">
            <v>sim</v>
          </cell>
          <cell r="V3161" t="str">
            <v>not</v>
          </cell>
          <cell r="Y3161" t="str">
            <v>Pres</v>
          </cell>
          <cell r="Z3161">
            <v>4.8899999999999997</v>
          </cell>
          <cell r="AA3161">
            <v>0</v>
          </cell>
          <cell r="AB3161">
            <v>0</v>
          </cell>
        </row>
        <row r="3162">
          <cell r="G3162" t="str">
            <v>X851_0</v>
          </cell>
          <cell r="H3162" t="str">
            <v>the-of</v>
          </cell>
          <cell r="I3162" t="str">
            <v>sim</v>
          </cell>
          <cell r="V3162" t="str">
            <v>not neg pair</v>
          </cell>
          <cell r="Y3162" t="str">
            <v>Pres</v>
          </cell>
          <cell r="Z3162">
            <v>2.19</v>
          </cell>
          <cell r="AA3162" t="str">
            <v>L</v>
          </cell>
          <cell r="AB3162">
            <v>0</v>
          </cell>
        </row>
        <row r="3163">
          <cell r="G3163" t="str">
            <v>X851_1</v>
          </cell>
          <cell r="H3163" t="str">
            <v>the-of</v>
          </cell>
          <cell r="I3163" t="str">
            <v>sim</v>
          </cell>
          <cell r="V3163" t="str">
            <v>not neg pair</v>
          </cell>
          <cell r="Y3163" t="str">
            <v>Pres</v>
          </cell>
          <cell r="Z3163">
            <v>2.19</v>
          </cell>
          <cell r="AA3163" t="str">
            <v>L</v>
          </cell>
          <cell r="AB3163">
            <v>0</v>
          </cell>
        </row>
        <row r="3164">
          <cell r="G3164" t="str">
            <v>X852_0</v>
          </cell>
          <cell r="H3164" t="str">
            <v>the-of</v>
          </cell>
          <cell r="I3164" t="str">
            <v>sim</v>
          </cell>
          <cell r="V3164" t="str">
            <v>not neg pair</v>
          </cell>
          <cell r="Y3164" t="str">
            <v>Pres</v>
          </cell>
          <cell r="Z3164">
            <v>4.93</v>
          </cell>
          <cell r="AA3164" t="str">
            <v>H</v>
          </cell>
          <cell r="AB3164">
            <v>0</v>
          </cell>
        </row>
        <row r="3165">
          <cell r="G3165" t="str">
            <v>X852_1</v>
          </cell>
          <cell r="H3165" t="str">
            <v>the-of</v>
          </cell>
          <cell r="I3165" t="str">
            <v>sim</v>
          </cell>
          <cell r="V3165" t="str">
            <v>not neg pair</v>
          </cell>
          <cell r="Y3165" t="str">
            <v>Pres</v>
          </cell>
          <cell r="Z3165">
            <v>4.93</v>
          </cell>
          <cell r="AA3165" t="str">
            <v>H</v>
          </cell>
          <cell r="AB3165">
            <v>0</v>
          </cell>
        </row>
        <row r="3166">
          <cell r="G3166" t="str">
            <v>X853_0</v>
          </cell>
          <cell r="H3166" t="str">
            <v>as-as</v>
          </cell>
          <cell r="I3166" t="str">
            <v>sim</v>
          </cell>
          <cell r="V3166" t="str">
            <v>not neg pair</v>
          </cell>
          <cell r="Y3166" t="str">
            <v>Past</v>
          </cell>
          <cell r="Z3166">
            <v>2.81</v>
          </cell>
          <cell r="AA3166">
            <v>0</v>
          </cell>
          <cell r="AB3166">
            <v>0</v>
          </cell>
        </row>
        <row r="3167">
          <cell r="G3167" t="str">
            <v>X853_1</v>
          </cell>
          <cell r="H3167" t="str">
            <v>as-as</v>
          </cell>
          <cell r="I3167" t="str">
            <v>sim</v>
          </cell>
          <cell r="V3167" t="str">
            <v>not neg pair</v>
          </cell>
          <cell r="Y3167" t="str">
            <v>Past</v>
          </cell>
          <cell r="Z3167">
            <v>2.81</v>
          </cell>
          <cell r="AA3167">
            <v>0</v>
          </cell>
          <cell r="AB3167">
            <v>0</v>
          </cell>
        </row>
        <row r="3168">
          <cell r="G3168" t="str">
            <v>X854_0</v>
          </cell>
          <cell r="H3168" t="str">
            <v>as-as</v>
          </cell>
          <cell r="I3168" t="str">
            <v>sim</v>
          </cell>
          <cell r="V3168" t="str">
            <v>not neg pair</v>
          </cell>
          <cell r="Y3168" t="str">
            <v>Past</v>
          </cell>
          <cell r="Z3168">
            <v>2.93</v>
          </cell>
          <cell r="AA3168">
            <v>0</v>
          </cell>
          <cell r="AB3168">
            <v>0</v>
          </cell>
        </row>
        <row r="3169">
          <cell r="G3169" t="str">
            <v>X854_1</v>
          </cell>
          <cell r="H3169" t="str">
            <v>as-as</v>
          </cell>
          <cell r="I3169" t="str">
            <v>sim</v>
          </cell>
          <cell r="V3169" t="str">
            <v>not neg pair</v>
          </cell>
          <cell r="Y3169" t="str">
            <v>Past</v>
          </cell>
          <cell r="Z3169">
            <v>2.93</v>
          </cell>
          <cell r="AA3169">
            <v>0</v>
          </cell>
          <cell r="AB3169">
            <v>0</v>
          </cell>
        </row>
        <row r="3170">
          <cell r="G3170" t="str">
            <v>X855_0</v>
          </cell>
          <cell r="H3170" t="str">
            <v>as-as</v>
          </cell>
          <cell r="I3170" t="str">
            <v>sim</v>
          </cell>
          <cell r="V3170" t="str">
            <v>not neg pair</v>
          </cell>
          <cell r="Y3170" t="str">
            <v>Pres</v>
          </cell>
          <cell r="Z3170">
            <v>2.81</v>
          </cell>
          <cell r="AA3170">
            <v>0</v>
          </cell>
          <cell r="AB3170">
            <v>0</v>
          </cell>
        </row>
        <row r="3171">
          <cell r="G3171" t="str">
            <v>X855_1</v>
          </cell>
          <cell r="H3171" t="str">
            <v>as-as</v>
          </cell>
          <cell r="I3171" t="str">
            <v>sim</v>
          </cell>
          <cell r="V3171" t="str">
            <v>not neg pair</v>
          </cell>
          <cell r="Y3171" t="str">
            <v>Past</v>
          </cell>
          <cell r="Z3171">
            <v>2.81</v>
          </cell>
          <cell r="AA3171">
            <v>0</v>
          </cell>
          <cell r="AB3171">
            <v>0</v>
          </cell>
        </row>
        <row r="3172">
          <cell r="G3172" t="str">
            <v>X856_0</v>
          </cell>
          <cell r="H3172" t="str">
            <v>as-as</v>
          </cell>
          <cell r="I3172" t="str">
            <v>sim</v>
          </cell>
          <cell r="V3172" t="str">
            <v>not</v>
          </cell>
          <cell r="Y3172" t="str">
            <v>Pres</v>
          </cell>
          <cell r="Z3172">
            <v>3.36</v>
          </cell>
          <cell r="AA3172">
            <v>0</v>
          </cell>
          <cell r="AB3172">
            <v>0</v>
          </cell>
        </row>
        <row r="3173">
          <cell r="G3173" t="str">
            <v>X856_1</v>
          </cell>
          <cell r="H3173" t="str">
            <v>as-as</v>
          </cell>
          <cell r="I3173" t="str">
            <v>sim</v>
          </cell>
          <cell r="V3173" t="str">
            <v>not</v>
          </cell>
          <cell r="Y3173" t="str">
            <v>Pres</v>
          </cell>
          <cell r="Z3173">
            <v>3.36</v>
          </cell>
          <cell r="AA3173">
            <v>0</v>
          </cell>
          <cell r="AB3173">
            <v>0</v>
          </cell>
        </row>
        <row r="3174">
          <cell r="G3174" t="str">
            <v>X857_0</v>
          </cell>
          <cell r="H3174" t="str">
            <v>as-as</v>
          </cell>
          <cell r="I3174" t="str">
            <v>sim</v>
          </cell>
          <cell r="V3174" t="str">
            <v>antonym</v>
          </cell>
          <cell r="Y3174" t="str">
            <v>Pres</v>
          </cell>
          <cell r="Z3174">
            <v>4.76</v>
          </cell>
          <cell r="AA3174">
            <v>0</v>
          </cell>
          <cell r="AB3174">
            <v>0</v>
          </cell>
        </row>
        <row r="3175">
          <cell r="G3175" t="str">
            <v>X857_1</v>
          </cell>
          <cell r="H3175" t="str">
            <v>as-as</v>
          </cell>
          <cell r="I3175" t="str">
            <v>sim</v>
          </cell>
          <cell r="V3175" t="str">
            <v>antonym</v>
          </cell>
          <cell r="Y3175" t="str">
            <v>Pres</v>
          </cell>
          <cell r="Z3175">
            <v>4.76</v>
          </cell>
          <cell r="AA3175">
            <v>0</v>
          </cell>
          <cell r="AB3175">
            <v>0</v>
          </cell>
        </row>
        <row r="3176">
          <cell r="G3176" t="str">
            <v>X858_0</v>
          </cell>
          <cell r="H3176" t="str">
            <v>as-as</v>
          </cell>
          <cell r="I3176" t="str">
            <v>sim</v>
          </cell>
          <cell r="V3176" t="str">
            <v>not neg pair</v>
          </cell>
          <cell r="Y3176" t="str">
            <v>Pres</v>
          </cell>
          <cell r="Z3176">
            <v>4.5199999999999996</v>
          </cell>
          <cell r="AA3176">
            <v>0</v>
          </cell>
          <cell r="AB3176">
            <v>0</v>
          </cell>
        </row>
        <row r="3177">
          <cell r="G3177" t="str">
            <v>X858_1</v>
          </cell>
          <cell r="H3177" t="str">
            <v>as-as</v>
          </cell>
          <cell r="I3177" t="str">
            <v>sim</v>
          </cell>
          <cell r="V3177" t="str">
            <v>not neg pair</v>
          </cell>
          <cell r="Y3177" t="str">
            <v>Pres</v>
          </cell>
          <cell r="Z3177">
            <v>4.5199999999999996</v>
          </cell>
          <cell r="AA3177">
            <v>0</v>
          </cell>
          <cell r="AB3177">
            <v>0</v>
          </cell>
        </row>
        <row r="3178">
          <cell r="G3178" t="str">
            <v>X859_0</v>
          </cell>
          <cell r="H3178" t="str">
            <v>the-of</v>
          </cell>
          <cell r="I3178" t="str">
            <v>sim</v>
          </cell>
          <cell r="V3178" t="str">
            <v>not neg pair</v>
          </cell>
          <cell r="Y3178" t="str">
            <v>Past</v>
          </cell>
          <cell r="Z3178">
            <v>2.84</v>
          </cell>
          <cell r="AA3178">
            <v>0</v>
          </cell>
          <cell r="AB3178">
            <v>0</v>
          </cell>
        </row>
        <row r="3179">
          <cell r="G3179" t="str">
            <v>X859_1</v>
          </cell>
          <cell r="H3179" t="str">
            <v>the-of</v>
          </cell>
          <cell r="I3179" t="str">
            <v>sim</v>
          </cell>
          <cell r="V3179" t="str">
            <v>not neg pair</v>
          </cell>
          <cell r="Y3179" t="str">
            <v>Past</v>
          </cell>
          <cell r="Z3179">
            <v>2.84</v>
          </cell>
          <cell r="AA3179">
            <v>0</v>
          </cell>
          <cell r="AB3179">
            <v>0</v>
          </cell>
        </row>
        <row r="3180">
          <cell r="G3180" t="str">
            <v>X860_0</v>
          </cell>
          <cell r="H3180" t="str">
            <v>as-as</v>
          </cell>
          <cell r="I3180" t="str">
            <v>sim</v>
          </cell>
          <cell r="V3180" t="str">
            <v>not</v>
          </cell>
          <cell r="Y3180" t="str">
            <v>Past</v>
          </cell>
          <cell r="Z3180">
            <v>4.8499999999999996</v>
          </cell>
          <cell r="AA3180">
            <v>0</v>
          </cell>
          <cell r="AB3180">
            <v>0</v>
          </cell>
        </row>
        <row r="3181">
          <cell r="G3181" t="str">
            <v>X860_1</v>
          </cell>
          <cell r="H3181" t="str">
            <v>as-as</v>
          </cell>
          <cell r="I3181" t="str">
            <v>sim</v>
          </cell>
          <cell r="V3181" t="str">
            <v>not</v>
          </cell>
          <cell r="Y3181" t="str">
            <v>Past</v>
          </cell>
          <cell r="Z3181">
            <v>4.8499999999999996</v>
          </cell>
          <cell r="AA3181">
            <v>0</v>
          </cell>
          <cell r="AB3181">
            <v>0</v>
          </cell>
        </row>
        <row r="3182">
          <cell r="G3182" t="str">
            <v>X861_0</v>
          </cell>
          <cell r="H3182" t="str">
            <v/>
          </cell>
          <cell r="I3182" t="str">
            <v>met</v>
          </cell>
          <cell r="V3182" t="str">
            <v>0</v>
          </cell>
          <cell r="Y3182" t="str">
            <v>Past</v>
          </cell>
          <cell r="Z3182">
            <v>3.93</v>
          </cell>
          <cell r="AA3182">
            <v>0</v>
          </cell>
          <cell r="AB3182">
            <v>0</v>
          </cell>
        </row>
        <row r="3183">
          <cell r="G3183" t="str">
            <v>X861_1</v>
          </cell>
          <cell r="H3183" t="str">
            <v/>
          </cell>
          <cell r="I3183" t="str">
            <v>met</v>
          </cell>
          <cell r="V3183" t="str">
            <v>0</v>
          </cell>
          <cell r="Y3183" t="str">
            <v>Past</v>
          </cell>
          <cell r="Z3183">
            <v>3.93</v>
          </cell>
          <cell r="AA3183">
            <v>0</v>
          </cell>
          <cell r="AB3183">
            <v>0</v>
          </cell>
        </row>
        <row r="3184">
          <cell r="G3184" t="str">
            <v>X862_0</v>
          </cell>
          <cell r="H3184" t="str">
            <v/>
          </cell>
          <cell r="I3184" t="str">
            <v>met</v>
          </cell>
          <cell r="V3184" t="str">
            <v>0</v>
          </cell>
          <cell r="Y3184" t="str">
            <v>Past</v>
          </cell>
          <cell r="Z3184">
            <v>2.33</v>
          </cell>
          <cell r="AA3184" t="str">
            <v>L</v>
          </cell>
          <cell r="AB3184">
            <v>0</v>
          </cell>
        </row>
        <row r="3185">
          <cell r="G3185" t="str">
            <v>X862_1</v>
          </cell>
          <cell r="H3185" t="str">
            <v/>
          </cell>
          <cell r="I3185" t="str">
            <v>met</v>
          </cell>
          <cell r="V3185" t="str">
            <v>0</v>
          </cell>
          <cell r="Y3185" t="str">
            <v>Past</v>
          </cell>
          <cell r="Z3185">
            <v>2.33</v>
          </cell>
          <cell r="AA3185" t="str">
            <v>L</v>
          </cell>
          <cell r="AB3185">
            <v>0</v>
          </cell>
        </row>
        <row r="3186">
          <cell r="G3186" t="str">
            <v>X863_0</v>
          </cell>
          <cell r="H3186" t="str">
            <v/>
          </cell>
          <cell r="I3186" t="str">
            <v>met</v>
          </cell>
          <cell r="V3186" t="str">
            <v>0</v>
          </cell>
          <cell r="Y3186" t="str">
            <v>Past</v>
          </cell>
          <cell r="Z3186">
            <v>2.81</v>
          </cell>
          <cell r="AA3186">
            <v>0</v>
          </cell>
          <cell r="AB3186">
            <v>0</v>
          </cell>
        </row>
        <row r="3187">
          <cell r="G3187" t="str">
            <v>X863_1</v>
          </cell>
          <cell r="H3187" t="str">
            <v/>
          </cell>
          <cell r="I3187" t="str">
            <v>met</v>
          </cell>
          <cell r="V3187" t="str">
            <v>0</v>
          </cell>
          <cell r="Y3187" t="str">
            <v>Past</v>
          </cell>
          <cell r="Z3187">
            <v>2.81</v>
          </cell>
          <cell r="AA3187">
            <v>0</v>
          </cell>
          <cell r="AB3187">
            <v>0</v>
          </cell>
        </row>
        <row r="3188">
          <cell r="G3188" t="str">
            <v>X864_0</v>
          </cell>
          <cell r="H3188" t="str">
            <v/>
          </cell>
          <cell r="I3188" t="str">
            <v>met</v>
          </cell>
          <cell r="V3188" t="str">
            <v>0</v>
          </cell>
          <cell r="Y3188" t="str">
            <v>Past</v>
          </cell>
          <cell r="Z3188">
            <v>4.8499999999999996</v>
          </cell>
          <cell r="AA3188">
            <v>0</v>
          </cell>
          <cell r="AB3188">
            <v>0</v>
          </cell>
        </row>
        <row r="3189">
          <cell r="G3189" t="str">
            <v>X864_1</v>
          </cell>
          <cell r="H3189" t="str">
            <v/>
          </cell>
          <cell r="I3189" t="str">
            <v>met</v>
          </cell>
          <cell r="V3189" t="str">
            <v>0</v>
          </cell>
          <cell r="Y3189" t="str">
            <v>Past</v>
          </cell>
          <cell r="Z3189">
            <v>4.8499999999999996</v>
          </cell>
          <cell r="AA3189">
            <v>0</v>
          </cell>
          <cell r="AB3189">
            <v>0</v>
          </cell>
        </row>
        <row r="3190">
          <cell r="G3190" t="str">
            <v>X865_0</v>
          </cell>
          <cell r="H3190" t="str">
            <v>the-of</v>
          </cell>
          <cell r="I3190" t="str">
            <v>sim</v>
          </cell>
          <cell r="V3190" t="str">
            <v>not neg pair</v>
          </cell>
          <cell r="Y3190" t="str">
            <v>Past</v>
          </cell>
          <cell r="Z3190">
            <v>4.6500000000000004</v>
          </cell>
          <cell r="AA3190">
            <v>0</v>
          </cell>
          <cell r="AB3190">
            <v>0</v>
          </cell>
        </row>
        <row r="3191">
          <cell r="G3191" t="str">
            <v>X865_1</v>
          </cell>
          <cell r="H3191" t="str">
            <v>the-of</v>
          </cell>
          <cell r="I3191" t="str">
            <v>sim</v>
          </cell>
          <cell r="V3191" t="str">
            <v>not neg pair</v>
          </cell>
          <cell r="Y3191" t="str">
            <v>Past</v>
          </cell>
          <cell r="Z3191">
            <v>4.6500000000000004</v>
          </cell>
          <cell r="AA3191">
            <v>0</v>
          </cell>
          <cell r="AB3191">
            <v>0</v>
          </cell>
        </row>
        <row r="3192">
          <cell r="G3192" t="str">
            <v>X866_0</v>
          </cell>
          <cell r="H3192" t="str">
            <v>as-as</v>
          </cell>
          <cell r="I3192" t="str">
            <v>sim</v>
          </cell>
          <cell r="V3192" t="str">
            <v>not</v>
          </cell>
          <cell r="Y3192" t="str">
            <v>Past</v>
          </cell>
          <cell r="Z3192">
            <v>4.75</v>
          </cell>
          <cell r="AA3192">
            <v>0</v>
          </cell>
          <cell r="AB3192">
            <v>0</v>
          </cell>
        </row>
        <row r="3193">
          <cell r="G3193" t="str">
            <v>X866_1</v>
          </cell>
          <cell r="H3193" t="str">
            <v>as-as</v>
          </cell>
          <cell r="I3193" t="str">
            <v>sim</v>
          </cell>
          <cell r="V3193" t="str">
            <v>not</v>
          </cell>
          <cell r="Y3193" t="str">
            <v>Past</v>
          </cell>
          <cell r="Z3193">
            <v>4.75</v>
          </cell>
          <cell r="AA3193">
            <v>0</v>
          </cell>
          <cell r="AB3193">
            <v>0</v>
          </cell>
        </row>
        <row r="3194">
          <cell r="G3194" t="str">
            <v>X867_0</v>
          </cell>
          <cell r="H3194" t="str">
            <v>as-as</v>
          </cell>
          <cell r="I3194" t="str">
            <v>sim</v>
          </cell>
          <cell r="V3194" t="str">
            <v>antonym</v>
          </cell>
          <cell r="Y3194" t="str">
            <v>Past</v>
          </cell>
          <cell r="Z3194">
            <v>4.5</v>
          </cell>
          <cell r="AA3194">
            <v>0</v>
          </cell>
          <cell r="AB3194">
            <v>0</v>
          </cell>
        </row>
        <row r="3195">
          <cell r="G3195" t="str">
            <v>X867_1</v>
          </cell>
          <cell r="H3195" t="str">
            <v>as-as</v>
          </cell>
          <cell r="I3195" t="str">
            <v>sim</v>
          </cell>
          <cell r="V3195" t="str">
            <v>antonym</v>
          </cell>
          <cell r="Y3195" t="str">
            <v>Past</v>
          </cell>
          <cell r="Z3195">
            <v>4.5</v>
          </cell>
          <cell r="AA3195">
            <v>0</v>
          </cell>
          <cell r="AB3195">
            <v>0</v>
          </cell>
        </row>
        <row r="3196">
          <cell r="G3196" t="str">
            <v>X868_0</v>
          </cell>
          <cell r="H3196" t="str">
            <v/>
          </cell>
          <cell r="I3196" t="str">
            <v>met</v>
          </cell>
          <cell r="V3196" t="str">
            <v>0</v>
          </cell>
          <cell r="Y3196" t="str">
            <v>Pres</v>
          </cell>
          <cell r="Z3196">
            <v>4.6900000000000004</v>
          </cell>
          <cell r="AA3196">
            <v>0</v>
          </cell>
          <cell r="AB3196">
            <v>0</v>
          </cell>
        </row>
        <row r="3197">
          <cell r="G3197" t="str">
            <v>X868_1</v>
          </cell>
          <cell r="H3197" t="str">
            <v/>
          </cell>
          <cell r="I3197" t="str">
            <v>met</v>
          </cell>
          <cell r="V3197" t="str">
            <v>0</v>
          </cell>
          <cell r="Y3197" t="str">
            <v>Pres</v>
          </cell>
          <cell r="Z3197">
            <v>4.6900000000000004</v>
          </cell>
          <cell r="AA3197">
            <v>0</v>
          </cell>
          <cell r="AB3197">
            <v>0</v>
          </cell>
        </row>
        <row r="3198">
          <cell r="G3198" t="str">
            <v>X869_0</v>
          </cell>
          <cell r="H3198" t="str">
            <v/>
          </cell>
          <cell r="I3198" t="str">
            <v>met</v>
          </cell>
          <cell r="V3198" t="str">
            <v>0</v>
          </cell>
          <cell r="Y3198" t="str">
            <v>Pres</v>
          </cell>
          <cell r="Z3198">
            <v>2.56</v>
          </cell>
          <cell r="AA3198" t="str">
            <v>L</v>
          </cell>
          <cell r="AB3198">
            <v>0</v>
          </cell>
        </row>
        <row r="3199">
          <cell r="G3199" t="str">
            <v>X869_1</v>
          </cell>
          <cell r="H3199" t="str">
            <v/>
          </cell>
          <cell r="I3199" t="str">
            <v>met</v>
          </cell>
          <cell r="V3199" t="str">
            <v>0</v>
          </cell>
          <cell r="Y3199" t="str">
            <v>Pres</v>
          </cell>
          <cell r="Z3199">
            <v>2.56</v>
          </cell>
          <cell r="AA3199" t="str">
            <v>L</v>
          </cell>
          <cell r="AB3199">
            <v>0</v>
          </cell>
        </row>
        <row r="3200">
          <cell r="G3200" t="str">
            <v>X870_0</v>
          </cell>
          <cell r="H3200" t="str">
            <v/>
          </cell>
          <cell r="I3200" t="str">
            <v>met</v>
          </cell>
          <cell r="V3200" t="str">
            <v>0</v>
          </cell>
          <cell r="Y3200" t="str">
            <v>Pres</v>
          </cell>
          <cell r="Z3200">
            <v>3.07</v>
          </cell>
          <cell r="AA3200">
            <v>0</v>
          </cell>
          <cell r="AB3200">
            <v>0</v>
          </cell>
        </row>
        <row r="3201">
          <cell r="G3201" t="str">
            <v>X870_1</v>
          </cell>
          <cell r="H3201" t="str">
            <v/>
          </cell>
          <cell r="I3201" t="str">
            <v>met</v>
          </cell>
          <cell r="V3201" t="str">
            <v>0</v>
          </cell>
          <cell r="Y3201" t="str">
            <v>Pres</v>
          </cell>
          <cell r="Z3201">
            <v>3.07</v>
          </cell>
          <cell r="AA3201">
            <v>0</v>
          </cell>
          <cell r="AB3201">
            <v>0</v>
          </cell>
        </row>
        <row r="3202">
          <cell r="G3202" t="str">
            <v>X871_0</v>
          </cell>
          <cell r="H3202" t="str">
            <v>as-as</v>
          </cell>
          <cell r="I3202" t="str">
            <v>sim</v>
          </cell>
          <cell r="V3202" t="str">
            <v>not</v>
          </cell>
          <cell r="Y3202" t="str">
            <v>Pres</v>
          </cell>
          <cell r="Z3202">
            <v>4.8499999999999996</v>
          </cell>
          <cell r="AA3202">
            <v>0</v>
          </cell>
          <cell r="AB3202">
            <v>0</v>
          </cell>
        </row>
        <row r="3203">
          <cell r="G3203" t="str">
            <v>X871_1</v>
          </cell>
          <cell r="H3203" t="str">
            <v>as-as</v>
          </cell>
          <cell r="I3203" t="str">
            <v>sim</v>
          </cell>
          <cell r="V3203" t="str">
            <v>not</v>
          </cell>
          <cell r="Y3203" t="str">
            <v>Pres</v>
          </cell>
          <cell r="Z3203">
            <v>4.8499999999999996</v>
          </cell>
          <cell r="AA3203">
            <v>0</v>
          </cell>
          <cell r="AB3203">
            <v>0</v>
          </cell>
        </row>
        <row r="3204">
          <cell r="G3204" t="str">
            <v>X872_0</v>
          </cell>
          <cell r="H3204" t="str">
            <v>the-of</v>
          </cell>
          <cell r="I3204" t="str">
            <v>sim</v>
          </cell>
          <cell r="V3204" t="str">
            <v>not</v>
          </cell>
          <cell r="Y3204" t="str">
            <v>Pres</v>
          </cell>
          <cell r="Z3204">
            <v>4.79</v>
          </cell>
          <cell r="AA3204">
            <v>0</v>
          </cell>
          <cell r="AB3204">
            <v>0</v>
          </cell>
        </row>
        <row r="3205">
          <cell r="G3205" t="str">
            <v>X872_1</v>
          </cell>
          <cell r="H3205" t="str">
            <v>the-of</v>
          </cell>
          <cell r="I3205" t="str">
            <v>sim</v>
          </cell>
          <cell r="V3205" t="str">
            <v>not</v>
          </cell>
          <cell r="Y3205" t="str">
            <v>Pres</v>
          </cell>
          <cell r="Z3205">
            <v>4.79</v>
          </cell>
          <cell r="AA3205">
            <v>0</v>
          </cell>
          <cell r="AB3205">
            <v>0</v>
          </cell>
        </row>
        <row r="3206">
          <cell r="G3206" t="str">
            <v>X873_0</v>
          </cell>
          <cell r="H3206" t="str">
            <v>as-as</v>
          </cell>
          <cell r="I3206" t="str">
            <v>sim</v>
          </cell>
          <cell r="V3206" t="str">
            <v>not</v>
          </cell>
          <cell r="Y3206" t="str">
            <v>Pres</v>
          </cell>
          <cell r="Z3206">
            <v>3.89</v>
          </cell>
          <cell r="AA3206">
            <v>0</v>
          </cell>
          <cell r="AB3206">
            <v>0</v>
          </cell>
        </row>
        <row r="3207">
          <cell r="G3207" t="str">
            <v>X873_1</v>
          </cell>
          <cell r="H3207" t="str">
            <v>as-as</v>
          </cell>
          <cell r="I3207" t="str">
            <v>sim</v>
          </cell>
          <cell r="V3207" t="str">
            <v>not</v>
          </cell>
          <cell r="Y3207" t="str">
            <v>Pres</v>
          </cell>
          <cell r="Z3207">
            <v>3.89</v>
          </cell>
          <cell r="AA3207">
            <v>0</v>
          </cell>
          <cell r="AB3207">
            <v>0</v>
          </cell>
        </row>
        <row r="3208">
          <cell r="G3208" t="str">
            <v>X874_0</v>
          </cell>
          <cell r="H3208" t="str">
            <v>like</v>
          </cell>
          <cell r="I3208" t="str">
            <v>sim</v>
          </cell>
          <cell r="V3208" t="str">
            <v>not neg pair</v>
          </cell>
          <cell r="Y3208" t="str">
            <v>Pres</v>
          </cell>
          <cell r="Z3208">
            <v>4.8499999999999996</v>
          </cell>
          <cell r="AA3208">
            <v>0</v>
          </cell>
          <cell r="AB3208">
            <v>0</v>
          </cell>
        </row>
        <row r="3209">
          <cell r="G3209" t="str">
            <v>X874_1</v>
          </cell>
          <cell r="H3209" t="str">
            <v>like</v>
          </cell>
          <cell r="I3209" t="str">
            <v>sim</v>
          </cell>
          <cell r="V3209" t="str">
            <v>not neg pair</v>
          </cell>
          <cell r="Y3209" t="str">
            <v>Pres</v>
          </cell>
          <cell r="Z3209">
            <v>4.8499999999999996</v>
          </cell>
          <cell r="AA3209">
            <v>0</v>
          </cell>
          <cell r="AB3209">
            <v>0</v>
          </cell>
        </row>
        <row r="3210">
          <cell r="G3210" t="str">
            <v>X875_0</v>
          </cell>
          <cell r="H3210" t="str">
            <v>as-as</v>
          </cell>
          <cell r="I3210" t="str">
            <v>sim</v>
          </cell>
          <cell r="V3210" t="str">
            <v>antonym</v>
          </cell>
          <cell r="Y3210" t="str">
            <v>Pres</v>
          </cell>
          <cell r="Z3210">
            <v>4.46</v>
          </cell>
          <cell r="AA3210">
            <v>0</v>
          </cell>
          <cell r="AB3210">
            <v>0</v>
          </cell>
        </row>
        <row r="3211">
          <cell r="G3211" t="str">
            <v>X875_1</v>
          </cell>
          <cell r="H3211" t="str">
            <v>as-as</v>
          </cell>
          <cell r="I3211" t="str">
            <v>sim</v>
          </cell>
          <cell r="V3211" t="str">
            <v>antonym</v>
          </cell>
          <cell r="Y3211" t="str">
            <v>Pres</v>
          </cell>
          <cell r="Z3211">
            <v>4.46</v>
          </cell>
          <cell r="AA3211">
            <v>0</v>
          </cell>
          <cell r="AB3211">
            <v>0</v>
          </cell>
        </row>
        <row r="3212">
          <cell r="G3212" t="str">
            <v>X876_0</v>
          </cell>
          <cell r="H3212" t="str">
            <v>as-as</v>
          </cell>
          <cell r="I3212" t="str">
            <v>sim</v>
          </cell>
          <cell r="V3212" t="str">
            <v>antonym</v>
          </cell>
          <cell r="Y3212" t="str">
            <v>Pres</v>
          </cell>
          <cell r="Z3212">
            <v>1.97</v>
          </cell>
          <cell r="AA3212" t="str">
            <v>L</v>
          </cell>
          <cell r="AB3212">
            <v>0</v>
          </cell>
        </row>
        <row r="3213">
          <cell r="G3213" t="str">
            <v>X876_1</v>
          </cell>
          <cell r="H3213" t="str">
            <v>as-as</v>
          </cell>
          <cell r="I3213" t="str">
            <v>sim</v>
          </cell>
          <cell r="V3213" t="str">
            <v>antonym</v>
          </cell>
          <cell r="Y3213" t="str">
            <v>Pres</v>
          </cell>
          <cell r="Z3213">
            <v>1.97</v>
          </cell>
          <cell r="AA3213" t="str">
            <v>L</v>
          </cell>
          <cell r="AB3213">
            <v>0</v>
          </cell>
        </row>
        <row r="3214">
          <cell r="G3214" t="str">
            <v>X877_0</v>
          </cell>
          <cell r="H3214" t="str">
            <v>as-as</v>
          </cell>
          <cell r="I3214" t="str">
            <v>sim</v>
          </cell>
          <cell r="V3214" t="str">
            <v>not neg pair</v>
          </cell>
          <cell r="Y3214" t="str">
            <v>Past</v>
          </cell>
          <cell r="Z3214">
            <v>4.79</v>
          </cell>
          <cell r="AA3214">
            <v>0</v>
          </cell>
          <cell r="AB3214">
            <v>0</v>
          </cell>
        </row>
        <row r="3215">
          <cell r="G3215" t="str">
            <v>X877_1</v>
          </cell>
          <cell r="H3215" t="str">
            <v>as-as</v>
          </cell>
          <cell r="I3215" t="str">
            <v>sim</v>
          </cell>
          <cell r="V3215" t="str">
            <v>not neg pair</v>
          </cell>
          <cell r="Y3215" t="str">
            <v>Pres</v>
          </cell>
          <cell r="Z3215">
            <v>4.79</v>
          </cell>
          <cell r="AA3215">
            <v>0</v>
          </cell>
          <cell r="AB3215">
            <v>0</v>
          </cell>
        </row>
        <row r="3216">
          <cell r="G3216" t="str">
            <v>X878_0</v>
          </cell>
          <cell r="H3216" t="str">
            <v>as-as</v>
          </cell>
          <cell r="I3216" t="str">
            <v>sim</v>
          </cell>
          <cell r="V3216" t="str">
            <v>antonym</v>
          </cell>
          <cell r="Y3216" t="str">
            <v>Past</v>
          </cell>
          <cell r="Z3216">
            <v>5</v>
          </cell>
          <cell r="AA3216" t="str">
            <v>H</v>
          </cell>
          <cell r="AB3216">
            <v>0</v>
          </cell>
        </row>
        <row r="3217">
          <cell r="G3217" t="str">
            <v>X878_1</v>
          </cell>
          <cell r="H3217" t="str">
            <v>as-as</v>
          </cell>
          <cell r="I3217" t="str">
            <v>sim</v>
          </cell>
          <cell r="V3217" t="str">
            <v>antonym</v>
          </cell>
          <cell r="Y3217" t="str">
            <v>Past</v>
          </cell>
          <cell r="Z3217">
            <v>4.46</v>
          </cell>
          <cell r="AA3217">
            <v>0</v>
          </cell>
          <cell r="AB3217">
            <v>0</v>
          </cell>
        </row>
        <row r="3218">
          <cell r="G3218" t="str">
            <v>X879_0</v>
          </cell>
          <cell r="H3218" t="str">
            <v/>
          </cell>
          <cell r="I3218" t="str">
            <v>met</v>
          </cell>
          <cell r="V3218" t="str">
            <v>0</v>
          </cell>
          <cell r="Y3218" t="str">
            <v>Past</v>
          </cell>
          <cell r="Z3218">
            <v>2.81</v>
          </cell>
          <cell r="AA3218">
            <v>0</v>
          </cell>
          <cell r="AB3218">
            <v>0</v>
          </cell>
        </row>
        <row r="3219">
          <cell r="G3219" t="str">
            <v>X879_1</v>
          </cell>
          <cell r="H3219" t="str">
            <v/>
          </cell>
          <cell r="I3219" t="str">
            <v>met</v>
          </cell>
          <cell r="V3219" t="str">
            <v>0</v>
          </cell>
          <cell r="Y3219" t="str">
            <v>Past</v>
          </cell>
          <cell r="Z3219">
            <v>2.81</v>
          </cell>
          <cell r="AA3219">
            <v>0</v>
          </cell>
          <cell r="AB3219">
            <v>0</v>
          </cell>
        </row>
        <row r="3220">
          <cell r="G3220" t="str">
            <v>X880_0</v>
          </cell>
          <cell r="H3220" t="str">
            <v>as</v>
          </cell>
          <cell r="I3220" t="str">
            <v>sim</v>
          </cell>
          <cell r="V3220" t="str">
            <v>not</v>
          </cell>
          <cell r="Y3220" t="str">
            <v>Past</v>
          </cell>
          <cell r="Z3220">
            <v>3.56</v>
          </cell>
          <cell r="AA3220">
            <v>0</v>
          </cell>
          <cell r="AB3220">
            <v>0</v>
          </cell>
        </row>
        <row r="3221">
          <cell r="G3221" t="str">
            <v>X880_1</v>
          </cell>
          <cell r="H3221" t="str">
            <v>as</v>
          </cell>
          <cell r="I3221" t="str">
            <v>sim</v>
          </cell>
          <cell r="V3221" t="str">
            <v>not</v>
          </cell>
          <cell r="Y3221" t="str">
            <v>Pres</v>
          </cell>
          <cell r="Z3221">
            <v>3.56</v>
          </cell>
          <cell r="AA3221">
            <v>0</v>
          </cell>
          <cell r="AB3221">
            <v>0</v>
          </cell>
        </row>
        <row r="3222">
          <cell r="G3222" t="str">
            <v>X881_0</v>
          </cell>
          <cell r="H3222" t="str">
            <v>as</v>
          </cell>
          <cell r="I3222" t="str">
            <v>sim</v>
          </cell>
          <cell r="V3222" t="str">
            <v>not neg pair</v>
          </cell>
          <cell r="Y3222" t="str">
            <v>Pres</v>
          </cell>
          <cell r="Z3222">
            <v>3.92</v>
          </cell>
          <cell r="AA3222">
            <v>0</v>
          </cell>
          <cell r="AB3222">
            <v>0</v>
          </cell>
        </row>
        <row r="3223">
          <cell r="G3223" t="str">
            <v>X881_1</v>
          </cell>
          <cell r="H3223" t="str">
            <v>as</v>
          </cell>
          <cell r="I3223" t="str">
            <v>sim</v>
          </cell>
          <cell r="V3223" t="str">
            <v>not neg pair</v>
          </cell>
          <cell r="Y3223" t="str">
            <v>Pres</v>
          </cell>
          <cell r="Z3223">
            <v>3.92</v>
          </cell>
          <cell r="AA3223">
            <v>0</v>
          </cell>
          <cell r="AB3223">
            <v>0</v>
          </cell>
        </row>
        <row r="3224">
          <cell r="G3224" t="str">
            <v>X882_0</v>
          </cell>
          <cell r="H3224" t="str">
            <v>as-as</v>
          </cell>
          <cell r="I3224" t="str">
            <v>sim</v>
          </cell>
          <cell r="V3224" t="str">
            <v>not neg pair</v>
          </cell>
          <cell r="Y3224" t="str">
            <v>Pres</v>
          </cell>
          <cell r="Z3224">
            <v>4.1100000000000003</v>
          </cell>
          <cell r="AA3224">
            <v>0</v>
          </cell>
          <cell r="AB3224">
            <v>0</v>
          </cell>
        </row>
        <row r="3225">
          <cell r="G3225" t="str">
            <v>X882_1</v>
          </cell>
          <cell r="H3225" t="str">
            <v>as-as</v>
          </cell>
          <cell r="I3225" t="str">
            <v>sim</v>
          </cell>
          <cell r="V3225" t="str">
            <v>not neg pair</v>
          </cell>
          <cell r="Y3225" t="str">
            <v>Pres</v>
          </cell>
          <cell r="Z3225">
            <v>4.1100000000000003</v>
          </cell>
          <cell r="AA3225">
            <v>0</v>
          </cell>
          <cell r="AB3225">
            <v>0</v>
          </cell>
        </row>
        <row r="3226">
          <cell r="G3226" t="str">
            <v>X883_0</v>
          </cell>
          <cell r="H3226" t="str">
            <v/>
          </cell>
          <cell r="I3226" t="str">
            <v>met</v>
          </cell>
          <cell r="V3226" t="str">
            <v>0</v>
          </cell>
          <cell r="Y3226" t="str">
            <v>Pres</v>
          </cell>
          <cell r="Z3226">
            <v>3.93</v>
          </cell>
          <cell r="AA3226">
            <v>0</v>
          </cell>
          <cell r="AB3226">
            <v>0</v>
          </cell>
        </row>
        <row r="3227">
          <cell r="G3227" t="str">
            <v>X883_1</v>
          </cell>
          <cell r="H3227" t="str">
            <v/>
          </cell>
          <cell r="I3227" t="str">
            <v>met</v>
          </cell>
          <cell r="V3227" t="str">
            <v>0</v>
          </cell>
          <cell r="Y3227" t="str">
            <v>Pres</v>
          </cell>
          <cell r="Z3227">
            <v>3.93</v>
          </cell>
          <cell r="AA3227">
            <v>0</v>
          </cell>
          <cell r="AB3227">
            <v>0</v>
          </cell>
        </row>
        <row r="3228">
          <cell r="G3228" t="str">
            <v>X884_0</v>
          </cell>
          <cell r="H3228" t="str">
            <v/>
          </cell>
          <cell r="I3228" t="str">
            <v>met</v>
          </cell>
          <cell r="V3228" t="str">
            <v>0</v>
          </cell>
          <cell r="Y3228" t="str">
            <v>Pres</v>
          </cell>
          <cell r="Z3228">
            <v>2.17</v>
          </cell>
          <cell r="AA3228" t="str">
            <v>L</v>
          </cell>
          <cell r="AB3228">
            <v>0</v>
          </cell>
        </row>
        <row r="3229">
          <cell r="G3229" t="str">
            <v>X884_1</v>
          </cell>
          <cell r="H3229" t="str">
            <v/>
          </cell>
          <cell r="I3229" t="str">
            <v>met</v>
          </cell>
          <cell r="V3229" t="str">
            <v>0</v>
          </cell>
          <cell r="Y3229" t="str">
            <v>Pres</v>
          </cell>
          <cell r="Z3229">
            <v>2.17</v>
          </cell>
          <cell r="AA3229" t="str">
            <v>L</v>
          </cell>
          <cell r="AB3229">
            <v>0</v>
          </cell>
        </row>
        <row r="3230">
          <cell r="G3230" t="str">
            <v>X885_0</v>
          </cell>
          <cell r="H3230" t="str">
            <v>the-of</v>
          </cell>
          <cell r="I3230" t="str">
            <v>sim</v>
          </cell>
          <cell r="V3230" t="str">
            <v>not</v>
          </cell>
          <cell r="Y3230" t="str">
            <v>Pres</v>
          </cell>
          <cell r="Z3230">
            <v>4.83</v>
          </cell>
          <cell r="AA3230">
            <v>0</v>
          </cell>
          <cell r="AB3230">
            <v>0</v>
          </cell>
        </row>
        <row r="3231">
          <cell r="G3231" t="str">
            <v>X885_1</v>
          </cell>
          <cell r="H3231" t="str">
            <v>the-of</v>
          </cell>
          <cell r="I3231" t="str">
            <v>sim</v>
          </cell>
          <cell r="V3231" t="str">
            <v>not</v>
          </cell>
          <cell r="Y3231" t="str">
            <v>Pres</v>
          </cell>
          <cell r="Z3231">
            <v>4.83</v>
          </cell>
          <cell r="AA3231">
            <v>0</v>
          </cell>
          <cell r="AB3231">
            <v>0</v>
          </cell>
        </row>
        <row r="3232">
          <cell r="G3232" t="str">
            <v>X886_0</v>
          </cell>
          <cell r="H3232" t="str">
            <v>as-as</v>
          </cell>
          <cell r="I3232" t="str">
            <v>sim</v>
          </cell>
          <cell r="V3232" t="str">
            <v>antonym</v>
          </cell>
          <cell r="Y3232" t="str">
            <v>Pres</v>
          </cell>
          <cell r="Z3232">
            <v>2.81</v>
          </cell>
          <cell r="AA3232">
            <v>0</v>
          </cell>
          <cell r="AB3232">
            <v>0</v>
          </cell>
        </row>
        <row r="3233">
          <cell r="G3233" t="str">
            <v>X886_1</v>
          </cell>
          <cell r="H3233" t="str">
            <v>as-as</v>
          </cell>
          <cell r="I3233" t="str">
            <v>sim</v>
          </cell>
          <cell r="V3233" t="str">
            <v>antonym</v>
          </cell>
          <cell r="Y3233" t="str">
            <v>Pres</v>
          </cell>
          <cell r="Z3233">
            <v>2.81</v>
          </cell>
          <cell r="AA3233">
            <v>0</v>
          </cell>
          <cell r="AB3233">
            <v>0</v>
          </cell>
        </row>
        <row r="3234">
          <cell r="G3234" t="str">
            <v>X887_0</v>
          </cell>
          <cell r="H3234" t="str">
            <v>as</v>
          </cell>
          <cell r="I3234" t="str">
            <v>sim</v>
          </cell>
          <cell r="V3234" t="str">
            <v>not neg pair</v>
          </cell>
          <cell r="Y3234" t="str">
            <v>Pres</v>
          </cell>
          <cell r="Z3234">
            <v>2.81</v>
          </cell>
          <cell r="AA3234">
            <v>0</v>
          </cell>
          <cell r="AB3234">
            <v>0</v>
          </cell>
        </row>
        <row r="3235">
          <cell r="G3235" t="str">
            <v>X887_1</v>
          </cell>
          <cell r="H3235" t="str">
            <v>as</v>
          </cell>
          <cell r="I3235" t="str">
            <v>sim</v>
          </cell>
          <cell r="V3235" t="str">
            <v>not neg pair</v>
          </cell>
          <cell r="Y3235" t="str">
            <v>Pres</v>
          </cell>
          <cell r="Z3235">
            <v>2.81</v>
          </cell>
          <cell r="AA3235">
            <v>0</v>
          </cell>
          <cell r="AB3235">
            <v>0</v>
          </cell>
        </row>
        <row r="3236">
          <cell r="G3236" t="str">
            <v>X888_0</v>
          </cell>
          <cell r="H3236" t="str">
            <v>as</v>
          </cell>
          <cell r="I3236" t="str">
            <v>sim</v>
          </cell>
          <cell r="V3236" t="str">
            <v>not neg pair</v>
          </cell>
          <cell r="Y3236" t="str">
            <v>Pres</v>
          </cell>
          <cell r="Z3236">
            <v>4.1100000000000003</v>
          </cell>
          <cell r="AA3236">
            <v>0</v>
          </cell>
          <cell r="AB3236">
            <v>0</v>
          </cell>
        </row>
        <row r="3237">
          <cell r="G3237" t="str">
            <v>X888_1</v>
          </cell>
          <cell r="H3237" t="str">
            <v>as</v>
          </cell>
          <cell r="I3237" t="str">
            <v>sim</v>
          </cell>
          <cell r="V3237" t="str">
            <v>not neg pair</v>
          </cell>
          <cell r="Y3237" t="str">
            <v>Pres</v>
          </cell>
          <cell r="Z3237">
            <v>4.1100000000000003</v>
          </cell>
          <cell r="AA3237">
            <v>0</v>
          </cell>
          <cell r="AB3237">
            <v>0</v>
          </cell>
        </row>
        <row r="3238">
          <cell r="G3238" t="str">
            <v>X889_0</v>
          </cell>
          <cell r="H3238" t="str">
            <v>as-as</v>
          </cell>
          <cell r="I3238" t="str">
            <v>sim</v>
          </cell>
          <cell r="V3238" t="str">
            <v>not neg pair</v>
          </cell>
          <cell r="Y3238">
            <v>0</v>
          </cell>
          <cell r="Z3238">
            <v>2.73</v>
          </cell>
          <cell r="AA3238" t="str">
            <v>L</v>
          </cell>
          <cell r="AB3238">
            <v>0</v>
          </cell>
        </row>
        <row r="3239">
          <cell r="G3239" t="str">
            <v>X889_1</v>
          </cell>
          <cell r="H3239" t="str">
            <v>as-as</v>
          </cell>
          <cell r="I3239" t="str">
            <v>sim</v>
          </cell>
          <cell r="V3239" t="str">
            <v>not neg pair</v>
          </cell>
          <cell r="Y3239">
            <v>0</v>
          </cell>
          <cell r="Z3239">
            <v>2.73</v>
          </cell>
          <cell r="AA3239" t="str">
            <v>L</v>
          </cell>
          <cell r="AB3239">
            <v>0</v>
          </cell>
        </row>
        <row r="3240">
          <cell r="G3240" t="str">
            <v>X890_0</v>
          </cell>
          <cell r="H3240" t="str">
            <v/>
          </cell>
          <cell r="I3240" t="str">
            <v>met</v>
          </cell>
          <cell r="V3240" t="str">
            <v>0</v>
          </cell>
          <cell r="Y3240" t="str">
            <v>Pres</v>
          </cell>
          <cell r="Z3240">
            <v>5</v>
          </cell>
          <cell r="AA3240" t="str">
            <v>H</v>
          </cell>
          <cell r="AB3240">
            <v>0</v>
          </cell>
        </row>
        <row r="3241">
          <cell r="G3241" t="str">
            <v>X890_1</v>
          </cell>
          <cell r="H3241" t="str">
            <v/>
          </cell>
          <cell r="I3241" t="str">
            <v>met</v>
          </cell>
          <cell r="V3241" t="str">
            <v>0</v>
          </cell>
          <cell r="Y3241" t="str">
            <v>Pres</v>
          </cell>
          <cell r="Z3241">
            <v>5</v>
          </cell>
          <cell r="AA3241" t="str">
            <v>H</v>
          </cell>
          <cell r="AB3241">
            <v>0</v>
          </cell>
        </row>
        <row r="3242">
          <cell r="G3242" t="str">
            <v>X891_0</v>
          </cell>
          <cell r="H3242" t="str">
            <v/>
          </cell>
          <cell r="I3242" t="str">
            <v>met</v>
          </cell>
          <cell r="V3242" t="str">
            <v>0</v>
          </cell>
          <cell r="Y3242" t="str">
            <v>Pres</v>
          </cell>
          <cell r="Z3242">
            <v>4.22</v>
          </cell>
          <cell r="AA3242">
            <v>0</v>
          </cell>
          <cell r="AB3242">
            <v>0</v>
          </cell>
        </row>
        <row r="3243">
          <cell r="G3243" t="str">
            <v>X891_1</v>
          </cell>
          <cell r="H3243" t="str">
            <v/>
          </cell>
          <cell r="I3243" t="str">
            <v>met</v>
          </cell>
          <cell r="V3243" t="str">
            <v>0</v>
          </cell>
          <cell r="Y3243">
            <v>0</v>
          </cell>
          <cell r="Z3243">
            <v>3.96</v>
          </cell>
          <cell r="AA3243">
            <v>0</v>
          </cell>
          <cell r="AB3243">
            <v>0</v>
          </cell>
        </row>
        <row r="3244">
          <cell r="G3244" t="str">
            <v>X892_0</v>
          </cell>
          <cell r="H3244" t="str">
            <v>the-of</v>
          </cell>
          <cell r="I3244" t="str">
            <v>sim</v>
          </cell>
          <cell r="V3244" t="str">
            <v>not</v>
          </cell>
          <cell r="Y3244" t="str">
            <v>Past</v>
          </cell>
          <cell r="Z3244">
            <v>3.93</v>
          </cell>
          <cell r="AA3244">
            <v>0</v>
          </cell>
          <cell r="AB3244">
            <v>0</v>
          </cell>
        </row>
        <row r="3245">
          <cell r="G3245" t="str">
            <v>X892_1</v>
          </cell>
          <cell r="H3245" t="str">
            <v>the-of</v>
          </cell>
          <cell r="I3245" t="str">
            <v>sim</v>
          </cell>
          <cell r="V3245" t="str">
            <v>not</v>
          </cell>
          <cell r="Y3245" t="str">
            <v>Past</v>
          </cell>
          <cell r="Z3245">
            <v>3.93</v>
          </cell>
          <cell r="AA3245">
            <v>0</v>
          </cell>
          <cell r="AB3245">
            <v>0</v>
          </cell>
        </row>
        <row r="3246">
          <cell r="G3246" t="str">
            <v>X893_0</v>
          </cell>
          <cell r="H3246" t="str">
            <v/>
          </cell>
          <cell r="I3246" t="str">
            <v>met</v>
          </cell>
          <cell r="V3246" t="str">
            <v>0</v>
          </cell>
          <cell r="Y3246" t="str">
            <v>Past</v>
          </cell>
          <cell r="Z3246">
            <v>0</v>
          </cell>
          <cell r="AA3246">
            <v>0</v>
          </cell>
          <cell r="AB3246">
            <v>0</v>
          </cell>
        </row>
        <row r="3247">
          <cell r="G3247" t="str">
            <v>X893_1</v>
          </cell>
          <cell r="H3247" t="str">
            <v/>
          </cell>
          <cell r="I3247" t="str">
            <v>met</v>
          </cell>
          <cell r="V3247" t="str">
            <v>0</v>
          </cell>
          <cell r="Y3247" t="str">
            <v>Past</v>
          </cell>
          <cell r="Z3247">
            <v>0</v>
          </cell>
          <cell r="AA3247">
            <v>0</v>
          </cell>
          <cell r="AB3247">
            <v>0</v>
          </cell>
        </row>
        <row r="3248">
          <cell r="G3248" t="str">
            <v>X894_0</v>
          </cell>
          <cell r="H3248" t="str">
            <v/>
          </cell>
          <cell r="I3248" t="str">
            <v>met</v>
          </cell>
          <cell r="V3248" t="str">
            <v>0</v>
          </cell>
          <cell r="Y3248" t="str">
            <v>Past</v>
          </cell>
          <cell r="Z3248">
            <v>3.93</v>
          </cell>
          <cell r="AA3248">
            <v>0</v>
          </cell>
          <cell r="AB3248">
            <v>0</v>
          </cell>
        </row>
        <row r="3249">
          <cell r="G3249" t="str">
            <v>X894_1</v>
          </cell>
          <cell r="H3249" t="str">
            <v/>
          </cell>
          <cell r="I3249" t="str">
            <v>met</v>
          </cell>
          <cell r="V3249" t="str">
            <v>0</v>
          </cell>
          <cell r="Y3249" t="str">
            <v>Past</v>
          </cell>
          <cell r="Z3249">
            <v>3.93</v>
          </cell>
          <cell r="AA3249">
            <v>0</v>
          </cell>
          <cell r="AB3249">
            <v>0</v>
          </cell>
        </row>
        <row r="3250">
          <cell r="G3250" t="str">
            <v>X895_0</v>
          </cell>
          <cell r="H3250" t="str">
            <v/>
          </cell>
          <cell r="I3250" t="str">
            <v>met</v>
          </cell>
          <cell r="V3250" t="str">
            <v>0</v>
          </cell>
          <cell r="Y3250" t="str">
            <v>Past</v>
          </cell>
          <cell r="Z3250">
            <v>1.8</v>
          </cell>
          <cell r="AA3250" t="str">
            <v>L</v>
          </cell>
          <cell r="AB3250">
            <v>0</v>
          </cell>
        </row>
        <row r="3251">
          <cell r="G3251" t="str">
            <v>X895_1</v>
          </cell>
          <cell r="H3251" t="str">
            <v/>
          </cell>
          <cell r="I3251" t="str">
            <v>met</v>
          </cell>
          <cell r="V3251" t="str">
            <v>0</v>
          </cell>
          <cell r="Y3251" t="str">
            <v>Past</v>
          </cell>
          <cell r="Z3251">
            <v>1.8</v>
          </cell>
          <cell r="AA3251" t="str">
            <v>L</v>
          </cell>
          <cell r="AB3251">
            <v>0</v>
          </cell>
        </row>
        <row r="3252">
          <cell r="G3252" t="str">
            <v>X896_0</v>
          </cell>
          <cell r="H3252" t="str">
            <v/>
          </cell>
          <cell r="I3252" t="str">
            <v>met</v>
          </cell>
          <cell r="V3252" t="str">
            <v>0</v>
          </cell>
          <cell r="Y3252" t="str">
            <v>Past</v>
          </cell>
          <cell r="Z3252">
            <v>3.48</v>
          </cell>
          <cell r="AA3252">
            <v>0</v>
          </cell>
          <cell r="AB3252">
            <v>0</v>
          </cell>
        </row>
        <row r="3253">
          <cell r="G3253" t="str">
            <v>X896_1</v>
          </cell>
          <cell r="H3253" t="str">
            <v/>
          </cell>
          <cell r="I3253" t="str">
            <v>met</v>
          </cell>
          <cell r="V3253" t="str">
            <v>0</v>
          </cell>
          <cell r="Y3253" t="str">
            <v>Past</v>
          </cell>
          <cell r="Z3253">
            <v>3.48</v>
          </cell>
          <cell r="AA3253">
            <v>0</v>
          </cell>
          <cell r="AB3253">
            <v>0</v>
          </cell>
        </row>
        <row r="3254">
          <cell r="G3254" t="str">
            <v>X897_0</v>
          </cell>
          <cell r="H3254" t="str">
            <v>like</v>
          </cell>
          <cell r="I3254" t="str">
            <v>sim</v>
          </cell>
          <cell r="V3254" t="str">
            <v>not</v>
          </cell>
          <cell r="Y3254">
            <v>0</v>
          </cell>
          <cell r="Z3254">
            <v>3.93</v>
          </cell>
          <cell r="AA3254">
            <v>0</v>
          </cell>
          <cell r="AB3254">
            <v>0</v>
          </cell>
        </row>
        <row r="3255">
          <cell r="G3255" t="str">
            <v>X897_1</v>
          </cell>
          <cell r="H3255" t="str">
            <v>like</v>
          </cell>
          <cell r="I3255" t="str">
            <v>sim</v>
          </cell>
          <cell r="V3255" t="str">
            <v>not</v>
          </cell>
          <cell r="Y3255">
            <v>0</v>
          </cell>
          <cell r="Z3255">
            <v>3.93</v>
          </cell>
          <cell r="AA3255">
            <v>0</v>
          </cell>
          <cell r="AB3255">
            <v>0</v>
          </cell>
        </row>
        <row r="3256">
          <cell r="G3256" t="str">
            <v>X898_0</v>
          </cell>
          <cell r="H3256" t="str">
            <v>as-as</v>
          </cell>
          <cell r="I3256" t="str">
            <v>sim</v>
          </cell>
          <cell r="V3256" t="str">
            <v>antonym</v>
          </cell>
          <cell r="Y3256" t="str">
            <v>Past</v>
          </cell>
          <cell r="Z3256">
            <v>4.67</v>
          </cell>
          <cell r="AA3256">
            <v>0</v>
          </cell>
          <cell r="AB3256">
            <v>0</v>
          </cell>
        </row>
        <row r="3257">
          <cell r="G3257" t="str">
            <v>X898_1</v>
          </cell>
          <cell r="H3257" t="str">
            <v>as-as</v>
          </cell>
          <cell r="I3257" t="str">
            <v>sim</v>
          </cell>
          <cell r="V3257" t="str">
            <v>antonym</v>
          </cell>
          <cell r="Y3257" t="str">
            <v>Past</v>
          </cell>
          <cell r="Z3257">
            <v>4.67</v>
          </cell>
          <cell r="AA3257">
            <v>0</v>
          </cell>
          <cell r="AB3257">
            <v>0</v>
          </cell>
        </row>
        <row r="3258">
          <cell r="G3258" t="str">
            <v>X899_0</v>
          </cell>
          <cell r="H3258" t="str">
            <v>as-as</v>
          </cell>
          <cell r="I3258" t="str">
            <v>sim</v>
          </cell>
          <cell r="V3258" t="str">
            <v>not</v>
          </cell>
          <cell r="Y3258" t="str">
            <v>Past</v>
          </cell>
          <cell r="Z3258">
            <v>3.36</v>
          </cell>
          <cell r="AA3258">
            <v>0</v>
          </cell>
          <cell r="AB3258">
            <v>0</v>
          </cell>
        </row>
        <row r="3259">
          <cell r="G3259" t="str">
            <v>X899_1</v>
          </cell>
          <cell r="H3259" t="str">
            <v>as-as</v>
          </cell>
          <cell r="I3259" t="str">
            <v>sim</v>
          </cell>
          <cell r="V3259" t="str">
            <v>not</v>
          </cell>
          <cell r="Y3259" t="str">
            <v>Past</v>
          </cell>
          <cell r="Z3259">
            <v>3.36</v>
          </cell>
          <cell r="AA3259">
            <v>0</v>
          </cell>
          <cell r="AB3259">
            <v>0</v>
          </cell>
        </row>
        <row r="3260">
          <cell r="G3260" t="str">
            <v>X900_0</v>
          </cell>
          <cell r="H3260" t="str">
            <v>the-of</v>
          </cell>
          <cell r="I3260" t="str">
            <v>sim</v>
          </cell>
          <cell r="V3260" t="str">
            <v>not neg pair</v>
          </cell>
          <cell r="Y3260" t="str">
            <v>Pres</v>
          </cell>
          <cell r="Z3260">
            <v>4.79</v>
          </cell>
          <cell r="AA3260">
            <v>0</v>
          </cell>
          <cell r="AB3260">
            <v>0</v>
          </cell>
        </row>
        <row r="3261">
          <cell r="G3261" t="str">
            <v>X900_1</v>
          </cell>
          <cell r="H3261" t="str">
            <v>the-of</v>
          </cell>
          <cell r="I3261" t="str">
            <v>sim</v>
          </cell>
          <cell r="V3261" t="str">
            <v>not neg pair</v>
          </cell>
          <cell r="Y3261" t="str">
            <v>Pres</v>
          </cell>
          <cell r="Z3261">
            <v>4.79</v>
          </cell>
          <cell r="AA3261">
            <v>0</v>
          </cell>
          <cell r="AB3261">
            <v>0</v>
          </cell>
        </row>
        <row r="3262">
          <cell r="G3262" t="str">
            <v>X901_0</v>
          </cell>
          <cell r="H3262" t="str">
            <v>the-of</v>
          </cell>
          <cell r="I3262" t="str">
            <v>sim</v>
          </cell>
          <cell r="V3262" t="str">
            <v>not neg pair</v>
          </cell>
          <cell r="Y3262" t="str">
            <v>Pres</v>
          </cell>
          <cell r="Z3262">
            <v>4.79</v>
          </cell>
          <cell r="AA3262">
            <v>0</v>
          </cell>
          <cell r="AB3262">
            <v>0</v>
          </cell>
        </row>
        <row r="3263">
          <cell r="G3263" t="str">
            <v>X901_1</v>
          </cell>
          <cell r="H3263" t="str">
            <v>the-of</v>
          </cell>
          <cell r="I3263" t="str">
            <v>sim</v>
          </cell>
          <cell r="V3263" t="str">
            <v>not neg pair</v>
          </cell>
          <cell r="Y3263" t="str">
            <v>Pres</v>
          </cell>
          <cell r="Z3263">
            <v>4.79</v>
          </cell>
          <cell r="AA3263">
            <v>0</v>
          </cell>
          <cell r="AB3263">
            <v>0</v>
          </cell>
        </row>
        <row r="3264">
          <cell r="G3264" t="str">
            <v>X902_0</v>
          </cell>
          <cell r="H3264" t="str">
            <v/>
          </cell>
          <cell r="I3264" t="str">
            <v>met</v>
          </cell>
          <cell r="V3264" t="str">
            <v>0</v>
          </cell>
          <cell r="Y3264" t="str">
            <v>Pres</v>
          </cell>
          <cell r="Z3264">
            <v>4.79</v>
          </cell>
          <cell r="AA3264">
            <v>0</v>
          </cell>
          <cell r="AB3264">
            <v>0</v>
          </cell>
        </row>
        <row r="3265">
          <cell r="G3265" t="str">
            <v>X902_1</v>
          </cell>
          <cell r="H3265" t="str">
            <v/>
          </cell>
          <cell r="I3265" t="str">
            <v>met</v>
          </cell>
          <cell r="V3265" t="str">
            <v>0</v>
          </cell>
          <cell r="Y3265" t="str">
            <v>Pres</v>
          </cell>
          <cell r="Z3265">
            <v>4.79</v>
          </cell>
          <cell r="AA3265">
            <v>0</v>
          </cell>
          <cell r="AB3265">
            <v>0</v>
          </cell>
        </row>
        <row r="3266">
          <cell r="G3266" t="str">
            <v>X903_0</v>
          </cell>
          <cell r="H3266" t="str">
            <v/>
          </cell>
          <cell r="I3266" t="str">
            <v>met</v>
          </cell>
          <cell r="V3266" t="str">
            <v>0</v>
          </cell>
          <cell r="Y3266" t="str">
            <v>Pres</v>
          </cell>
          <cell r="Z3266">
            <v>0</v>
          </cell>
          <cell r="AA3266">
            <v>0</v>
          </cell>
          <cell r="AB3266">
            <v>0</v>
          </cell>
        </row>
        <row r="3267">
          <cell r="G3267" t="str">
            <v>X903_1</v>
          </cell>
          <cell r="H3267" t="str">
            <v/>
          </cell>
          <cell r="I3267" t="str">
            <v>met</v>
          </cell>
          <cell r="V3267" t="str">
            <v>0</v>
          </cell>
          <cell r="Y3267" t="str">
            <v>Pres</v>
          </cell>
          <cell r="Z3267">
            <v>0</v>
          </cell>
          <cell r="AA3267">
            <v>0</v>
          </cell>
          <cell r="AB3267">
            <v>0</v>
          </cell>
        </row>
        <row r="3268">
          <cell r="G3268" t="str">
            <v>X904_0</v>
          </cell>
          <cell r="H3268" t="str">
            <v/>
          </cell>
          <cell r="I3268" t="str">
            <v>met</v>
          </cell>
          <cell r="V3268" t="str">
            <v>0</v>
          </cell>
          <cell r="Y3268" t="str">
            <v>Pres</v>
          </cell>
          <cell r="Z3268">
            <v>3.93</v>
          </cell>
          <cell r="AA3268">
            <v>0</v>
          </cell>
          <cell r="AB3268">
            <v>0</v>
          </cell>
        </row>
        <row r="3269">
          <cell r="G3269" t="str">
            <v>X904_1</v>
          </cell>
          <cell r="H3269" t="str">
            <v/>
          </cell>
          <cell r="I3269" t="str">
            <v>met</v>
          </cell>
          <cell r="V3269" t="str">
            <v>0</v>
          </cell>
          <cell r="Y3269" t="str">
            <v>Pres</v>
          </cell>
          <cell r="Z3269">
            <v>3.93</v>
          </cell>
          <cell r="AA3269">
            <v>0</v>
          </cell>
          <cell r="AB3269">
            <v>0</v>
          </cell>
        </row>
        <row r="3270">
          <cell r="G3270" t="str">
            <v>X905_0</v>
          </cell>
          <cell r="H3270" t="str">
            <v/>
          </cell>
          <cell r="I3270" t="str">
            <v>met</v>
          </cell>
          <cell r="V3270" t="str">
            <v>0</v>
          </cell>
          <cell r="Y3270" t="str">
            <v>Past</v>
          </cell>
          <cell r="Z3270">
            <v>3.75</v>
          </cell>
          <cell r="AA3270">
            <v>0</v>
          </cell>
          <cell r="AB3270">
            <v>0</v>
          </cell>
        </row>
        <row r="3271">
          <cell r="G3271" t="str">
            <v>X905_1</v>
          </cell>
          <cell r="H3271" t="str">
            <v/>
          </cell>
          <cell r="I3271" t="str">
            <v>met</v>
          </cell>
          <cell r="V3271" t="str">
            <v>0</v>
          </cell>
          <cell r="Y3271" t="str">
            <v>Past</v>
          </cell>
          <cell r="Z3271">
            <v>3.75</v>
          </cell>
          <cell r="AA3271">
            <v>0</v>
          </cell>
          <cell r="AB3271">
            <v>0</v>
          </cell>
        </row>
        <row r="3272">
          <cell r="G3272" t="str">
            <v>X906_0</v>
          </cell>
          <cell r="H3272" t="str">
            <v>as-as</v>
          </cell>
          <cell r="I3272" t="str">
            <v>sim</v>
          </cell>
          <cell r="V3272" t="str">
            <v>not</v>
          </cell>
          <cell r="Y3272" t="str">
            <v>Pres</v>
          </cell>
          <cell r="Z3272">
            <v>4.79</v>
          </cell>
          <cell r="AA3272">
            <v>0</v>
          </cell>
          <cell r="AB3272">
            <v>0</v>
          </cell>
        </row>
        <row r="3273">
          <cell r="G3273" t="str">
            <v>X906_1</v>
          </cell>
          <cell r="H3273" t="str">
            <v>as-as</v>
          </cell>
          <cell r="I3273" t="str">
            <v>sim</v>
          </cell>
          <cell r="V3273" t="str">
            <v>not</v>
          </cell>
          <cell r="Y3273" t="str">
            <v>Pres</v>
          </cell>
          <cell r="Z3273">
            <v>4.79</v>
          </cell>
          <cell r="AA3273">
            <v>0</v>
          </cell>
          <cell r="AB3273">
            <v>0</v>
          </cell>
        </row>
        <row r="3274">
          <cell r="G3274" t="str">
            <v>X907_0</v>
          </cell>
          <cell r="H3274" t="str">
            <v>as-as</v>
          </cell>
          <cell r="I3274" t="str">
            <v>sim</v>
          </cell>
          <cell r="V3274" t="str">
            <v>antonym</v>
          </cell>
          <cell r="Y3274" t="str">
            <v>Pres</v>
          </cell>
          <cell r="Z3274">
            <v>3.75</v>
          </cell>
          <cell r="AA3274">
            <v>0</v>
          </cell>
          <cell r="AB3274">
            <v>0</v>
          </cell>
        </row>
        <row r="3275">
          <cell r="G3275" t="str">
            <v>X907_1</v>
          </cell>
          <cell r="H3275" t="str">
            <v>as-as</v>
          </cell>
          <cell r="I3275" t="str">
            <v>sim</v>
          </cell>
          <cell r="V3275" t="str">
            <v>antonym</v>
          </cell>
          <cell r="Y3275" t="str">
            <v>Pres</v>
          </cell>
          <cell r="Z3275">
            <v>3.75</v>
          </cell>
          <cell r="AA3275">
            <v>0</v>
          </cell>
          <cell r="AB3275">
            <v>0</v>
          </cell>
        </row>
        <row r="3276">
          <cell r="G3276" t="str">
            <v>X908_0</v>
          </cell>
          <cell r="H3276" t="str">
            <v>as-as</v>
          </cell>
          <cell r="I3276" t="str">
            <v>sim</v>
          </cell>
          <cell r="V3276" t="str">
            <v>0</v>
          </cell>
          <cell r="Y3276" t="str">
            <v>Pres</v>
          </cell>
          <cell r="Z3276">
            <v>3.93</v>
          </cell>
          <cell r="AA3276">
            <v>0</v>
          </cell>
          <cell r="AB3276">
            <v>0</v>
          </cell>
        </row>
        <row r="3277">
          <cell r="G3277" t="str">
            <v>X909_0</v>
          </cell>
          <cell r="H3277" t="str">
            <v>the-of</v>
          </cell>
          <cell r="I3277" t="str">
            <v>sim</v>
          </cell>
          <cell r="V3277" t="str">
            <v>not neg pair</v>
          </cell>
          <cell r="Y3277" t="str">
            <v>Pres</v>
          </cell>
          <cell r="Z3277">
            <v>3.75</v>
          </cell>
          <cell r="AA3277">
            <v>0</v>
          </cell>
          <cell r="AB3277">
            <v>0</v>
          </cell>
        </row>
        <row r="3278">
          <cell r="G3278" t="str">
            <v>X909_1</v>
          </cell>
          <cell r="H3278" t="str">
            <v>the-of</v>
          </cell>
          <cell r="I3278" t="str">
            <v>sim</v>
          </cell>
          <cell r="V3278" t="str">
            <v>not neg pair</v>
          </cell>
          <cell r="Y3278" t="str">
            <v>Pres</v>
          </cell>
          <cell r="Z3278">
            <v>3.75</v>
          </cell>
          <cell r="AA3278">
            <v>0</v>
          </cell>
          <cell r="AB3278">
            <v>0</v>
          </cell>
        </row>
        <row r="3279">
          <cell r="G3279" t="str">
            <v>X910_0</v>
          </cell>
          <cell r="H3279" t="str">
            <v>the-of</v>
          </cell>
          <cell r="I3279" t="str">
            <v>sim</v>
          </cell>
          <cell r="V3279" t="str">
            <v>not neg pair</v>
          </cell>
          <cell r="Y3279" t="str">
            <v>Pres</v>
          </cell>
          <cell r="Z3279">
            <v>4.68</v>
          </cell>
          <cell r="AA3279">
            <v>0</v>
          </cell>
          <cell r="AB3279">
            <v>0</v>
          </cell>
        </row>
        <row r="3280">
          <cell r="G3280" t="str">
            <v>X910_1</v>
          </cell>
          <cell r="H3280" t="str">
            <v>the-of</v>
          </cell>
          <cell r="I3280" t="str">
            <v>sim</v>
          </cell>
          <cell r="V3280" t="str">
            <v>not neg pair</v>
          </cell>
          <cell r="Y3280" t="str">
            <v>Pres</v>
          </cell>
          <cell r="Z3280">
            <v>4.68</v>
          </cell>
          <cell r="AA3280">
            <v>0</v>
          </cell>
          <cell r="AB3280">
            <v>0</v>
          </cell>
        </row>
        <row r="3281">
          <cell r="G3281" t="str">
            <v>X911_0</v>
          </cell>
          <cell r="H3281" t="str">
            <v>the-of</v>
          </cell>
          <cell r="I3281" t="str">
            <v>sim</v>
          </cell>
          <cell r="V3281" t="str">
            <v>not neg pair</v>
          </cell>
          <cell r="Y3281" t="str">
            <v>Pres</v>
          </cell>
          <cell r="Z3281">
            <v>4.96</v>
          </cell>
          <cell r="AA3281" t="str">
            <v>H</v>
          </cell>
          <cell r="AB3281">
            <v>0</v>
          </cell>
        </row>
        <row r="3282">
          <cell r="G3282" t="str">
            <v>X911_1</v>
          </cell>
          <cell r="H3282" t="str">
            <v>the-of</v>
          </cell>
          <cell r="I3282" t="str">
            <v>sim</v>
          </cell>
          <cell r="V3282" t="str">
            <v>not neg pair</v>
          </cell>
          <cell r="Y3282" t="str">
            <v>Pres</v>
          </cell>
          <cell r="Z3282">
            <v>4.96</v>
          </cell>
          <cell r="AA3282" t="str">
            <v>H</v>
          </cell>
          <cell r="AB3282">
            <v>0</v>
          </cell>
        </row>
        <row r="3283">
          <cell r="G3283" t="str">
            <v>X912_0</v>
          </cell>
          <cell r="H3283" t="str">
            <v>like</v>
          </cell>
          <cell r="I3283" t="str">
            <v>sim</v>
          </cell>
          <cell r="V3283" t="str">
            <v>not</v>
          </cell>
          <cell r="Y3283" t="str">
            <v>Pres</v>
          </cell>
          <cell r="Z3283">
            <v>4.6399999999999997</v>
          </cell>
          <cell r="AA3283">
            <v>0</v>
          </cell>
          <cell r="AB3283">
            <v>0</v>
          </cell>
        </row>
        <row r="3284">
          <cell r="G3284" t="str">
            <v>X912_1</v>
          </cell>
          <cell r="H3284" t="str">
            <v>like</v>
          </cell>
          <cell r="I3284" t="str">
            <v>sim</v>
          </cell>
          <cell r="V3284" t="str">
            <v>not</v>
          </cell>
          <cell r="Y3284" t="str">
            <v>Pres</v>
          </cell>
          <cell r="Z3284">
            <v>4.6399999999999997</v>
          </cell>
          <cell r="AA3284">
            <v>0</v>
          </cell>
          <cell r="AB3284">
            <v>0</v>
          </cell>
        </row>
        <row r="3285">
          <cell r="G3285" t="str">
            <v>X913_0</v>
          </cell>
          <cell r="H3285" t="str">
            <v>as-as</v>
          </cell>
          <cell r="I3285" t="str">
            <v>sim</v>
          </cell>
          <cell r="V3285" t="str">
            <v>not neg pair</v>
          </cell>
          <cell r="Y3285" t="str">
            <v>Past</v>
          </cell>
          <cell r="Z3285">
            <v>3</v>
          </cell>
          <cell r="AA3285">
            <v>0</v>
          </cell>
          <cell r="AB3285">
            <v>0</v>
          </cell>
        </row>
        <row r="3286">
          <cell r="G3286" t="str">
            <v>X913_1</v>
          </cell>
          <cell r="H3286" t="str">
            <v>as-as</v>
          </cell>
          <cell r="I3286" t="str">
            <v>sim</v>
          </cell>
          <cell r="V3286" t="str">
            <v>not neg pair</v>
          </cell>
          <cell r="Y3286" t="str">
            <v>Pres</v>
          </cell>
          <cell r="Z3286">
            <v>3</v>
          </cell>
          <cell r="AA3286">
            <v>0</v>
          </cell>
          <cell r="AB3286">
            <v>0</v>
          </cell>
        </row>
        <row r="3287">
          <cell r="G3287" t="str">
            <v>X914_0</v>
          </cell>
          <cell r="H3287" t="str">
            <v>the-of</v>
          </cell>
          <cell r="I3287" t="str">
            <v>sim</v>
          </cell>
          <cell r="V3287" t="str">
            <v>not neg pair</v>
          </cell>
          <cell r="Y3287" t="str">
            <v>Pres</v>
          </cell>
          <cell r="Z3287">
            <v>3.79</v>
          </cell>
          <cell r="AA3287">
            <v>0</v>
          </cell>
          <cell r="AB3287">
            <v>0</v>
          </cell>
        </row>
        <row r="3288">
          <cell r="G3288" t="str">
            <v>X914_1</v>
          </cell>
          <cell r="H3288" t="str">
            <v>the-of</v>
          </cell>
          <cell r="I3288" t="str">
            <v>sim</v>
          </cell>
          <cell r="V3288" t="str">
            <v>not neg pair</v>
          </cell>
          <cell r="Y3288" t="str">
            <v>Pres</v>
          </cell>
          <cell r="Z3288">
            <v>3.79</v>
          </cell>
          <cell r="AA3288">
            <v>0</v>
          </cell>
          <cell r="AB3288">
            <v>0</v>
          </cell>
        </row>
        <row r="3289">
          <cell r="G3289" t="str">
            <v>X915_0</v>
          </cell>
          <cell r="H3289" t="str">
            <v>as-as</v>
          </cell>
          <cell r="I3289" t="str">
            <v>sim</v>
          </cell>
          <cell r="V3289" t="str">
            <v>antonym</v>
          </cell>
          <cell r="Y3289" t="str">
            <v>Past</v>
          </cell>
          <cell r="Z3289">
            <v>3.36</v>
          </cell>
          <cell r="AA3289">
            <v>0</v>
          </cell>
          <cell r="AB3289">
            <v>0</v>
          </cell>
        </row>
        <row r="3290">
          <cell r="G3290" t="str">
            <v>X915_1</v>
          </cell>
          <cell r="H3290" t="str">
            <v>as-as</v>
          </cell>
          <cell r="I3290" t="str">
            <v>sim</v>
          </cell>
          <cell r="V3290" t="str">
            <v>antonym</v>
          </cell>
          <cell r="Y3290" t="str">
            <v>Past</v>
          </cell>
          <cell r="Z3290">
            <v>3.36</v>
          </cell>
          <cell r="AA3290">
            <v>0</v>
          </cell>
          <cell r="AB3290">
            <v>0</v>
          </cell>
        </row>
        <row r="3291">
          <cell r="G3291" t="str">
            <v>X916_0</v>
          </cell>
          <cell r="H3291" t="str">
            <v>as-as</v>
          </cell>
          <cell r="I3291" t="str">
            <v>sim</v>
          </cell>
          <cell r="V3291" t="str">
            <v>antonym</v>
          </cell>
          <cell r="Y3291" t="str">
            <v>Past</v>
          </cell>
          <cell r="Z3291">
            <v>3.75</v>
          </cell>
          <cell r="AA3291">
            <v>0</v>
          </cell>
          <cell r="AB3291">
            <v>0</v>
          </cell>
        </row>
        <row r="3292">
          <cell r="G3292" t="str">
            <v>X916_1</v>
          </cell>
          <cell r="H3292" t="str">
            <v>as-as</v>
          </cell>
          <cell r="I3292" t="str">
            <v>sim</v>
          </cell>
          <cell r="V3292" t="str">
            <v>antonym</v>
          </cell>
          <cell r="Y3292" t="str">
            <v>Past</v>
          </cell>
          <cell r="Z3292">
            <v>3.75</v>
          </cell>
          <cell r="AA3292">
            <v>0</v>
          </cell>
          <cell r="AB3292">
            <v>0</v>
          </cell>
        </row>
        <row r="3293">
          <cell r="G3293" t="str">
            <v>X917_0</v>
          </cell>
          <cell r="H3293" t="str">
            <v>as-as</v>
          </cell>
          <cell r="I3293" t="str">
            <v>sim</v>
          </cell>
          <cell r="V3293" t="str">
            <v>not neg pair</v>
          </cell>
          <cell r="Y3293" t="str">
            <v>Past</v>
          </cell>
          <cell r="Z3293">
            <v>2.81</v>
          </cell>
          <cell r="AA3293">
            <v>0</v>
          </cell>
          <cell r="AB3293">
            <v>0</v>
          </cell>
        </row>
        <row r="3294">
          <cell r="G3294" t="str">
            <v>X917_1</v>
          </cell>
          <cell r="H3294" t="str">
            <v>as-as</v>
          </cell>
          <cell r="I3294" t="str">
            <v>sim</v>
          </cell>
          <cell r="V3294" t="str">
            <v>not neg pair</v>
          </cell>
          <cell r="Y3294" t="str">
            <v>Past</v>
          </cell>
          <cell r="Z3294">
            <v>4.62</v>
          </cell>
          <cell r="AA3294">
            <v>0</v>
          </cell>
          <cell r="AB3294">
            <v>0</v>
          </cell>
        </row>
        <row r="3295">
          <cell r="G3295" t="str">
            <v>X918_0</v>
          </cell>
          <cell r="H3295" t="str">
            <v>as-as</v>
          </cell>
          <cell r="I3295" t="str">
            <v>sim</v>
          </cell>
          <cell r="V3295" t="str">
            <v>antonym</v>
          </cell>
          <cell r="Y3295" t="str">
            <v>Past</v>
          </cell>
          <cell r="Z3295">
            <v>3.93</v>
          </cell>
          <cell r="AA3295">
            <v>0</v>
          </cell>
          <cell r="AB3295">
            <v>0</v>
          </cell>
        </row>
        <row r="3296">
          <cell r="G3296" t="str">
            <v>X918_1</v>
          </cell>
          <cell r="H3296" t="str">
            <v>as-as</v>
          </cell>
          <cell r="I3296" t="str">
            <v>sim</v>
          </cell>
          <cell r="V3296" t="str">
            <v>antonym</v>
          </cell>
          <cell r="Y3296" t="str">
            <v>Past</v>
          </cell>
          <cell r="Z3296">
            <v>3</v>
          </cell>
          <cell r="AA3296">
            <v>0</v>
          </cell>
          <cell r="AB3296">
            <v>0</v>
          </cell>
        </row>
        <row r="3297">
          <cell r="G3297" t="str">
            <v>X919_0</v>
          </cell>
          <cell r="H3297" t="str">
            <v>as-as</v>
          </cell>
          <cell r="I3297" t="str">
            <v>sim</v>
          </cell>
          <cell r="V3297" t="str">
            <v>not</v>
          </cell>
          <cell r="Y3297" t="str">
            <v>Past</v>
          </cell>
          <cell r="Z3297">
            <v>4.8499999999999996</v>
          </cell>
          <cell r="AA3297">
            <v>0</v>
          </cell>
          <cell r="AB3297">
            <v>0</v>
          </cell>
        </row>
        <row r="3298">
          <cell r="G3298" t="str">
            <v>X919_1</v>
          </cell>
          <cell r="H3298" t="str">
            <v>as-as</v>
          </cell>
          <cell r="I3298" t="str">
            <v>sim</v>
          </cell>
          <cell r="V3298" t="str">
            <v>not</v>
          </cell>
          <cell r="Y3298" t="str">
            <v>Past</v>
          </cell>
          <cell r="Z3298">
            <v>4.8499999999999996</v>
          </cell>
          <cell r="AA3298">
            <v>0</v>
          </cell>
          <cell r="AB3298">
            <v>0</v>
          </cell>
        </row>
        <row r="3299">
          <cell r="G3299" t="str">
            <v>X920_0</v>
          </cell>
          <cell r="H3299" t="str">
            <v>the-of</v>
          </cell>
          <cell r="I3299" t="str">
            <v>sim</v>
          </cell>
          <cell r="V3299" t="str">
            <v>not neg pair</v>
          </cell>
          <cell r="Y3299" t="str">
            <v>Past</v>
          </cell>
          <cell r="Z3299">
            <v>5</v>
          </cell>
          <cell r="AA3299" t="str">
            <v>H</v>
          </cell>
          <cell r="AB3299">
            <v>0</v>
          </cell>
        </row>
        <row r="3300">
          <cell r="G3300" t="str">
            <v>X920_1</v>
          </cell>
          <cell r="H3300" t="str">
            <v>the-of</v>
          </cell>
          <cell r="I3300" t="str">
            <v>sim</v>
          </cell>
          <cell r="V3300" t="str">
            <v>not neg pair</v>
          </cell>
          <cell r="Y3300" t="str">
            <v>Past</v>
          </cell>
          <cell r="Z3300">
            <v>5</v>
          </cell>
          <cell r="AA3300" t="str">
            <v>H</v>
          </cell>
          <cell r="AB3300">
            <v>0</v>
          </cell>
        </row>
        <row r="3301">
          <cell r="G3301" t="str">
            <v>X921_0</v>
          </cell>
          <cell r="H3301" t="str">
            <v>as-as</v>
          </cell>
          <cell r="I3301" t="str">
            <v>sim</v>
          </cell>
          <cell r="V3301" t="str">
            <v>not neg pair</v>
          </cell>
          <cell r="Y3301" t="str">
            <v>Past</v>
          </cell>
          <cell r="Z3301">
            <v>3.78</v>
          </cell>
          <cell r="AA3301">
            <v>0</v>
          </cell>
          <cell r="AB3301">
            <v>0</v>
          </cell>
        </row>
        <row r="3302">
          <cell r="G3302" t="str">
            <v>X921_1</v>
          </cell>
          <cell r="H3302" t="str">
            <v>as-as</v>
          </cell>
          <cell r="I3302" t="str">
            <v>sim</v>
          </cell>
          <cell r="V3302" t="str">
            <v>not neg pair</v>
          </cell>
          <cell r="Y3302" t="str">
            <v>Past</v>
          </cell>
          <cell r="Z3302">
            <v>3.78</v>
          </cell>
          <cell r="AA3302">
            <v>0</v>
          </cell>
          <cell r="AB3302">
            <v>0</v>
          </cell>
        </row>
        <row r="3303">
          <cell r="G3303" t="str">
            <v>X922_0</v>
          </cell>
          <cell r="H3303" t="str">
            <v>as-as</v>
          </cell>
          <cell r="I3303" t="str">
            <v>sim</v>
          </cell>
          <cell r="V3303" t="str">
            <v>not</v>
          </cell>
          <cell r="Y3303" t="str">
            <v>Past</v>
          </cell>
          <cell r="Z3303">
            <v>0</v>
          </cell>
          <cell r="AA3303">
            <v>0</v>
          </cell>
          <cell r="AB3303">
            <v>0</v>
          </cell>
        </row>
        <row r="3304">
          <cell r="G3304" t="str">
            <v>X922_1</v>
          </cell>
          <cell r="H3304" t="str">
            <v>as-as</v>
          </cell>
          <cell r="I3304" t="str">
            <v>sim</v>
          </cell>
          <cell r="V3304" t="str">
            <v>not</v>
          </cell>
          <cell r="Y3304" t="str">
            <v>Past</v>
          </cell>
          <cell r="Z3304">
            <v>4.67</v>
          </cell>
          <cell r="AA3304">
            <v>0</v>
          </cell>
          <cell r="AB3304">
            <v>0</v>
          </cell>
        </row>
        <row r="3305">
          <cell r="G3305" t="str">
            <v>X923_0</v>
          </cell>
          <cell r="H3305" t="str">
            <v>the-of</v>
          </cell>
          <cell r="I3305" t="str">
            <v>sim</v>
          </cell>
          <cell r="V3305" t="str">
            <v>not neg pair</v>
          </cell>
          <cell r="Y3305" t="str">
            <v>Past</v>
          </cell>
          <cell r="Z3305">
            <v>3.75</v>
          </cell>
          <cell r="AA3305">
            <v>0</v>
          </cell>
          <cell r="AB3305">
            <v>0</v>
          </cell>
        </row>
        <row r="3306">
          <cell r="G3306" t="str">
            <v>X923_1</v>
          </cell>
          <cell r="H3306" t="str">
            <v>the-of</v>
          </cell>
          <cell r="I3306" t="str">
            <v>sim</v>
          </cell>
          <cell r="V3306" t="str">
            <v>not neg pair</v>
          </cell>
          <cell r="Y3306" t="str">
            <v>Past</v>
          </cell>
          <cell r="Z3306">
            <v>3.75</v>
          </cell>
          <cell r="AA3306">
            <v>0</v>
          </cell>
          <cell r="AB3306">
            <v>0</v>
          </cell>
        </row>
        <row r="3307">
          <cell r="G3307" t="str">
            <v>X924_0</v>
          </cell>
          <cell r="H3307" t="str">
            <v>the-of</v>
          </cell>
          <cell r="I3307" t="str">
            <v>sim</v>
          </cell>
          <cell r="V3307" t="str">
            <v>not neg pair</v>
          </cell>
          <cell r="Y3307" t="str">
            <v>Pres</v>
          </cell>
          <cell r="Z3307">
            <v>4.76</v>
          </cell>
          <cell r="AA3307">
            <v>0</v>
          </cell>
          <cell r="AB3307">
            <v>0</v>
          </cell>
        </row>
        <row r="3308">
          <cell r="G3308" t="str">
            <v>X924_1</v>
          </cell>
          <cell r="H3308" t="str">
            <v>the-of</v>
          </cell>
          <cell r="I3308" t="str">
            <v>sim</v>
          </cell>
          <cell r="V3308" t="str">
            <v>not neg pair</v>
          </cell>
          <cell r="Y3308" t="str">
            <v>Pres</v>
          </cell>
          <cell r="Z3308">
            <v>4.76</v>
          </cell>
          <cell r="AA3308">
            <v>0</v>
          </cell>
          <cell r="AB3308">
            <v>0</v>
          </cell>
        </row>
        <row r="3309">
          <cell r="G3309" t="str">
            <v>X925_0</v>
          </cell>
          <cell r="H3309" t="str">
            <v>the-of</v>
          </cell>
          <cell r="I3309" t="str">
            <v>sim</v>
          </cell>
          <cell r="V3309" t="str">
            <v>not neg pair</v>
          </cell>
          <cell r="Y3309" t="str">
            <v>Pres</v>
          </cell>
          <cell r="Z3309">
            <v>4.8499999999999996</v>
          </cell>
          <cell r="AA3309">
            <v>0</v>
          </cell>
          <cell r="AB3309">
            <v>0</v>
          </cell>
        </row>
        <row r="3310">
          <cell r="G3310" t="str">
            <v>X925_1</v>
          </cell>
          <cell r="H3310" t="str">
            <v>the-of</v>
          </cell>
          <cell r="I3310" t="str">
            <v>sim</v>
          </cell>
          <cell r="V3310" t="str">
            <v>not neg pair</v>
          </cell>
          <cell r="Y3310" t="str">
            <v>Pres</v>
          </cell>
          <cell r="Z3310">
            <v>4.8499999999999996</v>
          </cell>
          <cell r="AA3310">
            <v>0</v>
          </cell>
          <cell r="AB3310">
            <v>0</v>
          </cell>
        </row>
        <row r="3311">
          <cell r="G3311" t="str">
            <v>X926_0</v>
          </cell>
          <cell r="H3311" t="str">
            <v>the-of</v>
          </cell>
          <cell r="I3311" t="str">
            <v>sim</v>
          </cell>
          <cell r="V3311" t="str">
            <v>not</v>
          </cell>
          <cell r="Y3311" t="str">
            <v>Pres</v>
          </cell>
          <cell r="Z3311">
            <v>4.13</v>
          </cell>
          <cell r="AA3311">
            <v>0</v>
          </cell>
          <cell r="AB3311">
            <v>0</v>
          </cell>
        </row>
        <row r="3312">
          <cell r="G3312" t="str">
            <v>X926_1</v>
          </cell>
          <cell r="H3312" t="str">
            <v>the-of</v>
          </cell>
          <cell r="I3312" t="str">
            <v>sim</v>
          </cell>
          <cell r="V3312" t="str">
            <v>not</v>
          </cell>
          <cell r="Y3312" t="str">
            <v>Pres</v>
          </cell>
          <cell r="Z3312">
            <v>4.13</v>
          </cell>
          <cell r="AA3312">
            <v>0</v>
          </cell>
          <cell r="AB3312">
            <v>0</v>
          </cell>
        </row>
        <row r="3313">
          <cell r="G3313" t="str">
            <v>X927_0</v>
          </cell>
          <cell r="H3313" t="str">
            <v>as-as</v>
          </cell>
          <cell r="I3313" t="str">
            <v>sim</v>
          </cell>
          <cell r="V3313" t="str">
            <v>antonym</v>
          </cell>
          <cell r="Y3313" t="str">
            <v>Pres</v>
          </cell>
          <cell r="Z3313">
            <v>5</v>
          </cell>
          <cell r="AA3313" t="str">
            <v>H</v>
          </cell>
          <cell r="AB3313">
            <v>0</v>
          </cell>
        </row>
        <row r="3314">
          <cell r="G3314" t="str">
            <v>X927_1</v>
          </cell>
          <cell r="H3314" t="str">
            <v>as-as</v>
          </cell>
          <cell r="I3314" t="str">
            <v>sim</v>
          </cell>
          <cell r="V3314" t="str">
            <v>antonym</v>
          </cell>
          <cell r="Y3314" t="str">
            <v>Pres</v>
          </cell>
          <cell r="Z3314">
            <v>5</v>
          </cell>
          <cell r="AA3314" t="str">
            <v>H</v>
          </cell>
          <cell r="AB3314">
            <v>0</v>
          </cell>
        </row>
        <row r="3315">
          <cell r="G3315" t="str">
            <v>X928_0</v>
          </cell>
          <cell r="H3315" t="str">
            <v>as-as</v>
          </cell>
          <cell r="I3315" t="str">
            <v>sim</v>
          </cell>
          <cell r="V3315" t="str">
            <v>not</v>
          </cell>
          <cell r="Y3315" t="str">
            <v>Past</v>
          </cell>
          <cell r="Z3315">
            <v>3.97</v>
          </cell>
          <cell r="AA3315">
            <v>0</v>
          </cell>
          <cell r="AB3315">
            <v>0</v>
          </cell>
        </row>
        <row r="3316">
          <cell r="G3316" t="str">
            <v>X928_1</v>
          </cell>
          <cell r="H3316" t="str">
            <v>as-as</v>
          </cell>
          <cell r="I3316" t="str">
            <v>sim</v>
          </cell>
          <cell r="V3316" t="str">
            <v>not</v>
          </cell>
          <cell r="Y3316" t="str">
            <v>Past</v>
          </cell>
          <cell r="Z3316">
            <v>3.97</v>
          </cell>
          <cell r="AA3316">
            <v>0</v>
          </cell>
          <cell r="AB3316">
            <v>0</v>
          </cell>
        </row>
        <row r="3317">
          <cell r="G3317" t="str">
            <v>X929_0</v>
          </cell>
          <cell r="H3317" t="str">
            <v>as-as</v>
          </cell>
          <cell r="I3317" t="str">
            <v>sim</v>
          </cell>
          <cell r="V3317" t="str">
            <v>not</v>
          </cell>
          <cell r="Y3317" t="str">
            <v>Pres</v>
          </cell>
          <cell r="Z3317">
            <v>4.92</v>
          </cell>
          <cell r="AA3317" t="str">
            <v>H</v>
          </cell>
          <cell r="AB3317">
            <v>0</v>
          </cell>
        </row>
        <row r="3318">
          <cell r="G3318" t="str">
            <v>X929_1</v>
          </cell>
          <cell r="H3318" t="str">
            <v>as-as</v>
          </cell>
          <cell r="I3318" t="str">
            <v>sim</v>
          </cell>
          <cell r="V3318" t="str">
            <v>not</v>
          </cell>
          <cell r="Y3318" t="str">
            <v>Pres</v>
          </cell>
          <cell r="Z3318">
            <v>4.92</v>
          </cell>
          <cell r="AA3318" t="str">
            <v>H</v>
          </cell>
          <cell r="AB3318">
            <v>0</v>
          </cell>
        </row>
        <row r="3319">
          <cell r="G3319" t="str">
            <v>X930_0</v>
          </cell>
          <cell r="H3319" t="str">
            <v/>
          </cell>
          <cell r="I3319" t="str">
            <v>met</v>
          </cell>
          <cell r="V3319" t="str">
            <v>0</v>
          </cell>
          <cell r="Y3319" t="str">
            <v>Past</v>
          </cell>
          <cell r="Z3319">
            <v>4.93</v>
          </cell>
          <cell r="AA3319" t="str">
            <v>H</v>
          </cell>
          <cell r="AB3319">
            <v>0</v>
          </cell>
        </row>
        <row r="3320">
          <cell r="G3320" t="str">
            <v>X930_1</v>
          </cell>
          <cell r="H3320" t="str">
            <v/>
          </cell>
          <cell r="I3320" t="str">
            <v>met</v>
          </cell>
          <cell r="V3320" t="str">
            <v>0</v>
          </cell>
          <cell r="Y3320" t="str">
            <v>Pres</v>
          </cell>
          <cell r="Z3320">
            <v>4.93</v>
          </cell>
          <cell r="AA3320" t="str">
            <v>H</v>
          </cell>
          <cell r="AB3320">
            <v>0</v>
          </cell>
        </row>
        <row r="3321">
          <cell r="G3321" t="str">
            <v>X931_0</v>
          </cell>
          <cell r="H3321" t="str">
            <v>the-of</v>
          </cell>
          <cell r="I3321" t="str">
            <v>sim</v>
          </cell>
          <cell r="V3321" t="str">
            <v>not neg pair</v>
          </cell>
          <cell r="Y3321" t="str">
            <v>Pres</v>
          </cell>
          <cell r="Z3321">
            <v>4.75</v>
          </cell>
          <cell r="AA3321">
            <v>0</v>
          </cell>
          <cell r="AB3321">
            <v>0</v>
          </cell>
        </row>
        <row r="3322">
          <cell r="G3322" t="str">
            <v>X931_1</v>
          </cell>
          <cell r="H3322" t="str">
            <v>the-of</v>
          </cell>
          <cell r="I3322" t="str">
            <v>sim</v>
          </cell>
          <cell r="V3322" t="str">
            <v>not neg pair</v>
          </cell>
          <cell r="Y3322" t="str">
            <v>Pres</v>
          </cell>
          <cell r="Z3322">
            <v>4.75</v>
          </cell>
          <cell r="AA3322">
            <v>0</v>
          </cell>
          <cell r="AB3322">
            <v>0</v>
          </cell>
        </row>
        <row r="3323">
          <cell r="G3323" t="str">
            <v>X932_0</v>
          </cell>
          <cell r="H3323" t="str">
            <v>the-of</v>
          </cell>
          <cell r="I3323" t="str">
            <v>sim</v>
          </cell>
          <cell r="V3323" t="str">
            <v>not neg pair</v>
          </cell>
          <cell r="Y3323" t="str">
            <v>Pres</v>
          </cell>
          <cell r="Z3323">
            <v>5</v>
          </cell>
          <cell r="AA3323" t="str">
            <v>H</v>
          </cell>
          <cell r="AB3323">
            <v>0</v>
          </cell>
        </row>
        <row r="3324">
          <cell r="G3324" t="str">
            <v>X932_1</v>
          </cell>
          <cell r="H3324" t="str">
            <v>the-of</v>
          </cell>
          <cell r="I3324" t="str">
            <v>sim</v>
          </cell>
          <cell r="V3324" t="str">
            <v>not neg pair</v>
          </cell>
          <cell r="Y3324" t="str">
            <v>Pres</v>
          </cell>
          <cell r="Z3324">
            <v>5</v>
          </cell>
          <cell r="AA3324" t="str">
            <v>H</v>
          </cell>
          <cell r="AB3324">
            <v>0</v>
          </cell>
        </row>
        <row r="3325">
          <cell r="G3325" t="str">
            <v>X933_0</v>
          </cell>
          <cell r="H3325" t="str">
            <v>the-of</v>
          </cell>
          <cell r="I3325" t="str">
            <v>sim</v>
          </cell>
          <cell r="V3325" t="str">
            <v>not neg pair</v>
          </cell>
          <cell r="Y3325" t="str">
            <v>Past</v>
          </cell>
          <cell r="Z3325">
            <v>4.8499999999999996</v>
          </cell>
          <cell r="AA3325">
            <v>0</v>
          </cell>
          <cell r="AB3325">
            <v>0</v>
          </cell>
        </row>
        <row r="3326">
          <cell r="G3326" t="str">
            <v>X933_1</v>
          </cell>
          <cell r="H3326" t="str">
            <v>the-of</v>
          </cell>
          <cell r="I3326" t="str">
            <v>sim</v>
          </cell>
          <cell r="V3326" t="str">
            <v>not neg pair</v>
          </cell>
          <cell r="Y3326" t="str">
            <v>Past</v>
          </cell>
          <cell r="Z3326">
            <v>4.8499999999999996</v>
          </cell>
          <cell r="AA3326">
            <v>0</v>
          </cell>
          <cell r="AB3326">
            <v>0</v>
          </cell>
        </row>
        <row r="3327">
          <cell r="G3327" t="str">
            <v>X934_0</v>
          </cell>
          <cell r="H3327" t="str">
            <v>the-of</v>
          </cell>
          <cell r="I3327" t="str">
            <v>sim</v>
          </cell>
          <cell r="V3327" t="str">
            <v>not neg pair</v>
          </cell>
          <cell r="Y3327" t="str">
            <v>Past</v>
          </cell>
          <cell r="Z3327">
            <v>5</v>
          </cell>
          <cell r="AA3327" t="str">
            <v>H</v>
          </cell>
          <cell r="AB3327">
            <v>0</v>
          </cell>
        </row>
        <row r="3328">
          <cell r="G3328" t="str">
            <v>X934_1</v>
          </cell>
          <cell r="H3328" t="str">
            <v>the-of</v>
          </cell>
          <cell r="I3328" t="str">
            <v>sim</v>
          </cell>
          <cell r="V3328" t="str">
            <v>not neg pair</v>
          </cell>
          <cell r="Y3328" t="str">
            <v>Past</v>
          </cell>
          <cell r="Z3328">
            <v>5</v>
          </cell>
          <cell r="AA3328" t="str">
            <v>H</v>
          </cell>
          <cell r="AB3328">
            <v>0</v>
          </cell>
        </row>
        <row r="3329">
          <cell r="G3329" t="str">
            <v>X935_0</v>
          </cell>
          <cell r="H3329" t="str">
            <v>the-of</v>
          </cell>
          <cell r="I3329" t="str">
            <v>sim</v>
          </cell>
          <cell r="V3329" t="str">
            <v>not neg pair</v>
          </cell>
          <cell r="Y3329" t="str">
            <v>Past</v>
          </cell>
          <cell r="Z3329">
            <v>4.79</v>
          </cell>
          <cell r="AA3329">
            <v>0</v>
          </cell>
          <cell r="AB3329">
            <v>0</v>
          </cell>
        </row>
        <row r="3330">
          <cell r="G3330" t="str">
            <v>X935_1</v>
          </cell>
          <cell r="H3330" t="str">
            <v>the-of</v>
          </cell>
          <cell r="I3330" t="str">
            <v>sim</v>
          </cell>
          <cell r="V3330" t="str">
            <v>not neg pair</v>
          </cell>
          <cell r="Y3330" t="str">
            <v>Past</v>
          </cell>
          <cell r="Z3330">
            <v>4.79</v>
          </cell>
          <cell r="AA3330">
            <v>0</v>
          </cell>
          <cell r="AB3330">
            <v>0</v>
          </cell>
        </row>
        <row r="3331">
          <cell r="G3331" t="str">
            <v>X936_0</v>
          </cell>
          <cell r="H3331" t="str">
            <v>as-as</v>
          </cell>
          <cell r="I3331" t="str">
            <v>sim</v>
          </cell>
          <cell r="V3331" t="str">
            <v>antonym</v>
          </cell>
          <cell r="Y3331" t="str">
            <v>Pres</v>
          </cell>
          <cell r="Z3331">
            <v>4.8499999999999996</v>
          </cell>
          <cell r="AA3331">
            <v>0</v>
          </cell>
          <cell r="AB3331">
            <v>0</v>
          </cell>
        </row>
        <row r="3332">
          <cell r="G3332" t="str">
            <v>X936_1</v>
          </cell>
          <cell r="H3332" t="str">
            <v>as-as</v>
          </cell>
          <cell r="I3332" t="str">
            <v>sim</v>
          </cell>
          <cell r="V3332" t="str">
            <v>antonym</v>
          </cell>
          <cell r="Y3332" t="str">
            <v>Pres</v>
          </cell>
          <cell r="Z3332">
            <v>4.8499999999999996</v>
          </cell>
          <cell r="AA3332">
            <v>0</v>
          </cell>
          <cell r="AB3332">
            <v>0</v>
          </cell>
        </row>
        <row r="3333">
          <cell r="G3333" t="str">
            <v>X937_0</v>
          </cell>
          <cell r="H3333" t="str">
            <v>as-as</v>
          </cell>
          <cell r="I3333" t="str">
            <v>sim</v>
          </cell>
          <cell r="V3333" t="str">
            <v>not neg pair</v>
          </cell>
          <cell r="Y3333" t="str">
            <v>Past</v>
          </cell>
          <cell r="Z3333">
            <v>4.97</v>
          </cell>
          <cell r="AA3333" t="str">
            <v>H</v>
          </cell>
          <cell r="AB3333">
            <v>0</v>
          </cell>
        </row>
        <row r="3334">
          <cell r="G3334" t="str">
            <v>X937_1</v>
          </cell>
          <cell r="H3334" t="str">
            <v>as-as</v>
          </cell>
          <cell r="I3334" t="str">
            <v>sim</v>
          </cell>
          <cell r="V3334" t="str">
            <v>not neg pair</v>
          </cell>
          <cell r="Y3334" t="str">
            <v>Past</v>
          </cell>
          <cell r="Z3334">
            <v>4.97</v>
          </cell>
          <cell r="AA3334" t="str">
            <v>H</v>
          </cell>
          <cell r="AB3334">
            <v>0</v>
          </cell>
        </row>
        <row r="3335">
          <cell r="G3335" t="str">
            <v>X938_0</v>
          </cell>
          <cell r="H3335" t="str">
            <v>as-as</v>
          </cell>
          <cell r="I3335" t="str">
            <v>sim</v>
          </cell>
          <cell r="V3335" t="str">
            <v>antonym</v>
          </cell>
          <cell r="Y3335" t="str">
            <v>Past</v>
          </cell>
          <cell r="Z3335">
            <v>4.8899999999999997</v>
          </cell>
          <cell r="AA3335">
            <v>0</v>
          </cell>
          <cell r="AB3335">
            <v>0</v>
          </cell>
        </row>
        <row r="3336">
          <cell r="G3336" t="str">
            <v>X938_1</v>
          </cell>
          <cell r="H3336" t="str">
            <v>as-as</v>
          </cell>
          <cell r="I3336" t="str">
            <v>sim</v>
          </cell>
          <cell r="V3336" t="str">
            <v>antonym</v>
          </cell>
          <cell r="Y3336" t="str">
            <v>Past</v>
          </cell>
          <cell r="Z3336">
            <v>4.8899999999999997</v>
          </cell>
          <cell r="AA3336">
            <v>0</v>
          </cell>
          <cell r="AB3336">
            <v>0</v>
          </cell>
        </row>
        <row r="3337">
          <cell r="G3337" t="str">
            <v>X939_0</v>
          </cell>
          <cell r="H3337" t="str">
            <v>as-as</v>
          </cell>
          <cell r="I3337" t="str">
            <v>sim</v>
          </cell>
          <cell r="V3337" t="str">
            <v>not neg pair</v>
          </cell>
          <cell r="Y3337" t="str">
            <v>Past</v>
          </cell>
          <cell r="Z3337">
            <v>2.81</v>
          </cell>
          <cell r="AA3337">
            <v>0</v>
          </cell>
          <cell r="AB3337">
            <v>0</v>
          </cell>
        </row>
        <row r="3338">
          <cell r="G3338" t="str">
            <v>X939_1</v>
          </cell>
          <cell r="H3338" t="str">
            <v>as-as</v>
          </cell>
          <cell r="I3338" t="str">
            <v>sim</v>
          </cell>
          <cell r="V3338" t="str">
            <v>not neg pair</v>
          </cell>
          <cell r="Y3338" t="str">
            <v>Past</v>
          </cell>
          <cell r="Z3338">
            <v>2.81</v>
          </cell>
          <cell r="AA3338">
            <v>0</v>
          </cell>
          <cell r="AB3338">
            <v>0</v>
          </cell>
        </row>
        <row r="3339">
          <cell r="G3339" t="str">
            <v>X940_0</v>
          </cell>
          <cell r="H3339" t="str">
            <v>as-as</v>
          </cell>
          <cell r="I3339" t="str">
            <v>sim</v>
          </cell>
          <cell r="V3339" t="str">
            <v>not neg pair</v>
          </cell>
          <cell r="Y3339" t="str">
            <v>Past</v>
          </cell>
          <cell r="Z3339">
            <v>2.81</v>
          </cell>
          <cell r="AA3339">
            <v>0</v>
          </cell>
          <cell r="AB3339">
            <v>0</v>
          </cell>
        </row>
        <row r="3340">
          <cell r="G3340" t="str">
            <v>X940_1</v>
          </cell>
          <cell r="H3340" t="str">
            <v>as-as</v>
          </cell>
          <cell r="I3340" t="str">
            <v>sim</v>
          </cell>
          <cell r="V3340" t="str">
            <v>not neg pair</v>
          </cell>
          <cell r="Y3340" t="str">
            <v>Past</v>
          </cell>
          <cell r="Z3340">
            <v>2.81</v>
          </cell>
          <cell r="AA3340">
            <v>0</v>
          </cell>
          <cell r="AB3340">
            <v>0</v>
          </cell>
        </row>
        <row r="3341">
          <cell r="G3341" t="str">
            <v>X941_0</v>
          </cell>
          <cell r="H3341" t="str">
            <v>as-as</v>
          </cell>
          <cell r="I3341" t="str">
            <v>sim</v>
          </cell>
          <cell r="V3341" t="str">
            <v>not neg pair</v>
          </cell>
          <cell r="Y3341" t="str">
            <v>Past</v>
          </cell>
          <cell r="Z3341">
            <v>2.81</v>
          </cell>
          <cell r="AA3341">
            <v>0</v>
          </cell>
          <cell r="AB3341">
            <v>0</v>
          </cell>
        </row>
        <row r="3342">
          <cell r="G3342" t="str">
            <v>X941_1</v>
          </cell>
          <cell r="H3342" t="str">
            <v>as-as</v>
          </cell>
          <cell r="I3342" t="str">
            <v>sim</v>
          </cell>
          <cell r="V3342" t="str">
            <v>not neg pair</v>
          </cell>
          <cell r="Y3342" t="str">
            <v>Past</v>
          </cell>
          <cell r="Z3342">
            <v>2.81</v>
          </cell>
          <cell r="AA3342">
            <v>0</v>
          </cell>
          <cell r="AB3342">
            <v>0</v>
          </cell>
        </row>
        <row r="3343">
          <cell r="G3343" t="str">
            <v>X942_0</v>
          </cell>
          <cell r="H3343" t="str">
            <v>like</v>
          </cell>
          <cell r="I3343" t="str">
            <v>sim</v>
          </cell>
          <cell r="V3343" t="str">
            <v>not neg pair</v>
          </cell>
          <cell r="Y3343" t="str">
            <v>Past</v>
          </cell>
          <cell r="Z3343">
            <v>4.3</v>
          </cell>
          <cell r="AA3343">
            <v>0</v>
          </cell>
          <cell r="AB3343">
            <v>0</v>
          </cell>
        </row>
        <row r="3344">
          <cell r="G3344" t="str">
            <v>X942_1</v>
          </cell>
          <cell r="H3344" t="str">
            <v>like</v>
          </cell>
          <cell r="I3344" t="str">
            <v>sim</v>
          </cell>
          <cell r="V3344" t="str">
            <v>not neg pair</v>
          </cell>
          <cell r="Y3344" t="str">
            <v>Past</v>
          </cell>
          <cell r="Z3344">
            <v>4.3</v>
          </cell>
          <cell r="AA3344">
            <v>0</v>
          </cell>
          <cell r="AB3344">
            <v>0</v>
          </cell>
        </row>
        <row r="3345">
          <cell r="G3345" t="str">
            <v>X943_0</v>
          </cell>
          <cell r="H3345" t="str">
            <v/>
          </cell>
          <cell r="I3345" t="str">
            <v>met</v>
          </cell>
          <cell r="V3345" t="str">
            <v>0</v>
          </cell>
          <cell r="Y3345" t="str">
            <v>Past</v>
          </cell>
          <cell r="Z3345">
            <v>4.93</v>
          </cell>
          <cell r="AA3345" t="str">
            <v>H</v>
          </cell>
          <cell r="AB3345">
            <v>0</v>
          </cell>
        </row>
        <row r="3346">
          <cell r="G3346" t="str">
            <v>X943_1</v>
          </cell>
          <cell r="H3346" t="str">
            <v>like</v>
          </cell>
          <cell r="I3346" t="str">
            <v>sim</v>
          </cell>
          <cell r="V3346" t="str">
            <v>0</v>
          </cell>
          <cell r="Y3346">
            <v>0</v>
          </cell>
          <cell r="Z3346">
            <v>4.93</v>
          </cell>
          <cell r="AA3346" t="str">
            <v>H</v>
          </cell>
          <cell r="AB3346">
            <v>0</v>
          </cell>
        </row>
        <row r="3347">
          <cell r="G3347" t="str">
            <v>X944_0</v>
          </cell>
          <cell r="H3347" t="str">
            <v/>
          </cell>
          <cell r="I3347" t="str">
            <v>met</v>
          </cell>
          <cell r="V3347" t="str">
            <v>0</v>
          </cell>
          <cell r="Y3347" t="str">
            <v>Past</v>
          </cell>
          <cell r="Z3347">
            <v>3.04</v>
          </cell>
          <cell r="AA3347">
            <v>0</v>
          </cell>
          <cell r="AB3347">
            <v>0</v>
          </cell>
        </row>
        <row r="3348">
          <cell r="G3348" t="str">
            <v>X944_1</v>
          </cell>
          <cell r="H3348" t="str">
            <v>as-as</v>
          </cell>
          <cell r="I3348" t="str">
            <v>sim</v>
          </cell>
          <cell r="V3348" t="str">
            <v>0</v>
          </cell>
          <cell r="Y3348" t="str">
            <v>Past</v>
          </cell>
          <cell r="Z3348">
            <v>3.04</v>
          </cell>
          <cell r="AA3348">
            <v>0</v>
          </cell>
          <cell r="AB3348">
            <v>0</v>
          </cell>
        </row>
        <row r="3349">
          <cell r="G3349" t="str">
            <v>X945_0</v>
          </cell>
          <cell r="H3349" t="str">
            <v>like</v>
          </cell>
          <cell r="I3349" t="str">
            <v>sim</v>
          </cell>
          <cell r="V3349" t="str">
            <v>not neg pair</v>
          </cell>
          <cell r="Y3349">
            <v>0</v>
          </cell>
          <cell r="Z3349">
            <v>4.8600000000000003</v>
          </cell>
          <cell r="AA3349">
            <v>0</v>
          </cell>
          <cell r="AB3349">
            <v>0</v>
          </cell>
        </row>
        <row r="3350">
          <cell r="G3350" t="str">
            <v>X945_1</v>
          </cell>
          <cell r="H3350" t="str">
            <v>like</v>
          </cell>
          <cell r="I3350" t="str">
            <v>sim</v>
          </cell>
          <cell r="V3350" t="str">
            <v>not neg pair</v>
          </cell>
          <cell r="Y3350" t="str">
            <v>Pres</v>
          </cell>
          <cell r="Z3350">
            <v>3.08</v>
          </cell>
          <cell r="AA3350">
            <v>0</v>
          </cell>
          <cell r="AB3350">
            <v>0</v>
          </cell>
        </row>
        <row r="3351">
          <cell r="G3351" t="str">
            <v>X946_0</v>
          </cell>
          <cell r="H3351" t="str">
            <v>like</v>
          </cell>
          <cell r="I3351" t="str">
            <v>sim</v>
          </cell>
          <cell r="V3351" t="str">
            <v>0</v>
          </cell>
          <cell r="Y3351" t="str">
            <v>Pres</v>
          </cell>
          <cell r="Z3351">
            <v>2.81</v>
          </cell>
          <cell r="AA3351">
            <v>0</v>
          </cell>
          <cell r="AB3351">
            <v>0</v>
          </cell>
        </row>
        <row r="3352">
          <cell r="G3352" t="str">
            <v>X946_1</v>
          </cell>
          <cell r="H3352" t="str">
            <v/>
          </cell>
          <cell r="I3352" t="str">
            <v>met</v>
          </cell>
          <cell r="V3352" t="str">
            <v>0</v>
          </cell>
          <cell r="Y3352" t="str">
            <v>Pres</v>
          </cell>
          <cell r="Z3352">
            <v>1.25</v>
          </cell>
          <cell r="AA3352" t="str">
            <v>L</v>
          </cell>
          <cell r="AB3352">
            <v>0</v>
          </cell>
        </row>
        <row r="3353">
          <cell r="G3353" t="str">
            <v>X947_0</v>
          </cell>
          <cell r="H3353" t="str">
            <v>like</v>
          </cell>
          <cell r="I3353" t="str">
            <v>sim</v>
          </cell>
          <cell r="V3353" t="str">
            <v>not neg pair</v>
          </cell>
          <cell r="Y3353">
            <v>0</v>
          </cell>
          <cell r="Z3353">
            <v>2.5</v>
          </cell>
          <cell r="AA3353" t="str">
            <v>L</v>
          </cell>
          <cell r="AB3353">
            <v>0</v>
          </cell>
        </row>
        <row r="3354">
          <cell r="G3354" t="str">
            <v>X947_1</v>
          </cell>
          <cell r="H3354" t="str">
            <v>like</v>
          </cell>
          <cell r="I3354" t="str">
            <v>sim</v>
          </cell>
          <cell r="V3354" t="str">
            <v>not neg pair</v>
          </cell>
          <cell r="Y3354" t="str">
            <v>Pres</v>
          </cell>
          <cell r="Z3354">
            <v>5</v>
          </cell>
          <cell r="AA3354" t="str">
            <v>H</v>
          </cell>
          <cell r="AB3354">
            <v>0</v>
          </cell>
        </row>
        <row r="3355">
          <cell r="G3355" t="str">
            <v>X948_0</v>
          </cell>
          <cell r="H3355" t="str">
            <v>as-as</v>
          </cell>
          <cell r="I3355" t="str">
            <v>sim</v>
          </cell>
          <cell r="V3355" t="str">
            <v>not</v>
          </cell>
          <cell r="Y3355" t="str">
            <v>Past</v>
          </cell>
          <cell r="Z3355">
            <v>4.63</v>
          </cell>
          <cell r="AA3355">
            <v>0</v>
          </cell>
          <cell r="AB3355">
            <v>0</v>
          </cell>
        </row>
        <row r="3356">
          <cell r="G3356" t="str">
            <v>X948_1</v>
          </cell>
          <cell r="H3356" t="str">
            <v>as-as</v>
          </cell>
          <cell r="I3356" t="str">
            <v>sim</v>
          </cell>
          <cell r="V3356" t="str">
            <v>not</v>
          </cell>
          <cell r="Y3356" t="str">
            <v>Past</v>
          </cell>
          <cell r="Z3356">
            <v>4.63</v>
          </cell>
          <cell r="AA3356">
            <v>0</v>
          </cell>
          <cell r="AB3356">
            <v>0</v>
          </cell>
        </row>
        <row r="3357">
          <cell r="G3357" t="str">
            <v>X949_0</v>
          </cell>
          <cell r="H3357" t="str">
            <v>as-as</v>
          </cell>
          <cell r="I3357" t="str">
            <v>sim</v>
          </cell>
          <cell r="V3357" t="str">
            <v>not</v>
          </cell>
          <cell r="Y3357" t="str">
            <v>Past</v>
          </cell>
          <cell r="Z3357">
            <v>3.36</v>
          </cell>
          <cell r="AA3357">
            <v>0</v>
          </cell>
          <cell r="AB3357">
            <v>0</v>
          </cell>
        </row>
        <row r="3358">
          <cell r="G3358" t="str">
            <v>X949_1</v>
          </cell>
          <cell r="H3358" t="str">
            <v>as-as</v>
          </cell>
          <cell r="I3358" t="str">
            <v>sim</v>
          </cell>
          <cell r="V3358" t="str">
            <v>not</v>
          </cell>
          <cell r="Y3358" t="str">
            <v>Past</v>
          </cell>
          <cell r="Z3358">
            <v>3.36</v>
          </cell>
          <cell r="AA3358">
            <v>0</v>
          </cell>
          <cell r="AB3358">
            <v>0</v>
          </cell>
        </row>
        <row r="3359">
          <cell r="G3359" t="str">
            <v>X950_0</v>
          </cell>
          <cell r="H3359" t="str">
            <v>like</v>
          </cell>
          <cell r="I3359" t="str">
            <v>sim</v>
          </cell>
          <cell r="V3359" t="str">
            <v>not neg pair</v>
          </cell>
          <cell r="Y3359" t="str">
            <v>Past</v>
          </cell>
          <cell r="Z3359">
            <v>4.3099999999999996</v>
          </cell>
          <cell r="AA3359">
            <v>0</v>
          </cell>
          <cell r="AB3359">
            <v>0</v>
          </cell>
        </row>
        <row r="3360">
          <cell r="G3360" t="str">
            <v>X950_1</v>
          </cell>
          <cell r="H3360" t="str">
            <v>like</v>
          </cell>
          <cell r="I3360" t="str">
            <v>sim</v>
          </cell>
          <cell r="V3360" t="str">
            <v>not neg pair</v>
          </cell>
          <cell r="Y3360" t="str">
            <v>Past</v>
          </cell>
          <cell r="Z3360">
            <v>4.3099999999999996</v>
          </cell>
          <cell r="AA3360">
            <v>0</v>
          </cell>
          <cell r="AB3360">
            <v>0</v>
          </cell>
        </row>
        <row r="3361">
          <cell r="G3361" t="str">
            <v>X951_0</v>
          </cell>
          <cell r="H3361" t="str">
            <v>as-as</v>
          </cell>
          <cell r="I3361" t="str">
            <v>sim</v>
          </cell>
          <cell r="V3361" t="str">
            <v>not neg pair</v>
          </cell>
          <cell r="Y3361" t="str">
            <v>Past</v>
          </cell>
          <cell r="Z3361">
            <v>5</v>
          </cell>
          <cell r="AA3361" t="str">
            <v>H</v>
          </cell>
          <cell r="AB3361">
            <v>0</v>
          </cell>
        </row>
        <row r="3362">
          <cell r="G3362" t="str">
            <v>X951_1</v>
          </cell>
          <cell r="H3362" t="str">
            <v>as-as</v>
          </cell>
          <cell r="I3362" t="str">
            <v>sim</v>
          </cell>
          <cell r="V3362" t="str">
            <v>not neg pair</v>
          </cell>
          <cell r="Y3362" t="str">
            <v>Past</v>
          </cell>
          <cell r="Z3362">
            <v>5</v>
          </cell>
          <cell r="AA3362" t="str">
            <v>H</v>
          </cell>
          <cell r="AB3362">
            <v>0</v>
          </cell>
        </row>
        <row r="3363">
          <cell r="G3363" t="str">
            <v>X952_0</v>
          </cell>
          <cell r="H3363" t="str">
            <v/>
          </cell>
          <cell r="I3363" t="str">
            <v>met</v>
          </cell>
          <cell r="V3363" t="str">
            <v>0</v>
          </cell>
          <cell r="Y3363" t="str">
            <v>Past</v>
          </cell>
          <cell r="Z3363">
            <v>4.3600000000000003</v>
          </cell>
          <cell r="AA3363">
            <v>0</v>
          </cell>
          <cell r="AB3363">
            <v>0</v>
          </cell>
        </row>
        <row r="3364">
          <cell r="G3364" t="str">
            <v>X952_1</v>
          </cell>
          <cell r="H3364" t="str">
            <v/>
          </cell>
          <cell r="I3364" t="str">
            <v>met</v>
          </cell>
          <cell r="V3364" t="str">
            <v>0</v>
          </cell>
          <cell r="Y3364" t="str">
            <v>Past</v>
          </cell>
          <cell r="Z3364">
            <v>4.3600000000000003</v>
          </cell>
          <cell r="AA3364">
            <v>0</v>
          </cell>
          <cell r="AB3364">
            <v>0</v>
          </cell>
        </row>
        <row r="3365">
          <cell r="G3365" t="str">
            <v>X953_0</v>
          </cell>
          <cell r="H3365" t="str">
            <v>the-of</v>
          </cell>
          <cell r="I3365" t="str">
            <v>sim</v>
          </cell>
          <cell r="V3365" t="str">
            <v>not neg pair</v>
          </cell>
          <cell r="Y3365" t="str">
            <v>Past</v>
          </cell>
          <cell r="Z3365">
            <v>3.36</v>
          </cell>
          <cell r="AA3365">
            <v>0</v>
          </cell>
          <cell r="AB3365">
            <v>0</v>
          </cell>
        </row>
        <row r="3366">
          <cell r="G3366" t="str">
            <v>X953_1</v>
          </cell>
          <cell r="H3366" t="str">
            <v>the-of</v>
          </cell>
          <cell r="I3366" t="str">
            <v>sim</v>
          </cell>
          <cell r="V3366" t="str">
            <v>not neg pair</v>
          </cell>
          <cell r="Y3366" t="str">
            <v>Past</v>
          </cell>
          <cell r="Z3366">
            <v>3.36</v>
          </cell>
          <cell r="AA3366">
            <v>0</v>
          </cell>
          <cell r="AB3366">
            <v>0</v>
          </cell>
        </row>
        <row r="3367">
          <cell r="G3367" t="str">
            <v>X954_0</v>
          </cell>
          <cell r="H3367" t="str">
            <v>as-as</v>
          </cell>
          <cell r="I3367" t="str">
            <v>sim</v>
          </cell>
          <cell r="V3367" t="str">
            <v>antonym</v>
          </cell>
          <cell r="Y3367" t="str">
            <v>Pres</v>
          </cell>
          <cell r="Z3367">
            <v>4.26</v>
          </cell>
          <cell r="AA3367">
            <v>0</v>
          </cell>
          <cell r="AB3367">
            <v>0</v>
          </cell>
        </row>
        <row r="3368">
          <cell r="G3368" t="str">
            <v>X954_1</v>
          </cell>
          <cell r="H3368" t="str">
            <v>as-as</v>
          </cell>
          <cell r="I3368" t="str">
            <v>sim</v>
          </cell>
          <cell r="V3368" t="str">
            <v>antonym</v>
          </cell>
          <cell r="Y3368" t="str">
            <v>Pres</v>
          </cell>
          <cell r="Z3368">
            <v>4.26</v>
          </cell>
          <cell r="AA3368">
            <v>0</v>
          </cell>
          <cell r="AB3368">
            <v>0</v>
          </cell>
        </row>
        <row r="3369">
          <cell r="G3369" t="str">
            <v>X955_0</v>
          </cell>
          <cell r="H3369" t="str">
            <v>as-as</v>
          </cell>
          <cell r="I3369" t="str">
            <v>sim</v>
          </cell>
          <cell r="V3369" t="str">
            <v>not</v>
          </cell>
          <cell r="Y3369" t="str">
            <v>Pres</v>
          </cell>
          <cell r="Z3369">
            <v>4.93</v>
          </cell>
          <cell r="AA3369" t="str">
            <v>H</v>
          </cell>
          <cell r="AB3369">
            <v>0</v>
          </cell>
        </row>
        <row r="3370">
          <cell r="G3370" t="str">
            <v>X955_1</v>
          </cell>
          <cell r="H3370" t="str">
            <v>as-as</v>
          </cell>
          <cell r="I3370" t="str">
            <v>sim</v>
          </cell>
          <cell r="V3370" t="str">
            <v>not</v>
          </cell>
          <cell r="Y3370" t="str">
            <v>Pres</v>
          </cell>
          <cell r="Z3370">
            <v>4.93</v>
          </cell>
          <cell r="AA3370" t="str">
            <v>H</v>
          </cell>
          <cell r="AB3370">
            <v>0</v>
          </cell>
        </row>
        <row r="3371">
          <cell r="G3371" t="str">
            <v>X956_0</v>
          </cell>
          <cell r="H3371" t="str">
            <v>as-as</v>
          </cell>
          <cell r="I3371" t="str">
            <v>sim</v>
          </cell>
          <cell r="V3371" t="str">
            <v>antonym</v>
          </cell>
          <cell r="Y3371" t="str">
            <v>Past</v>
          </cell>
          <cell r="Z3371">
            <v>4.97</v>
          </cell>
          <cell r="AA3371" t="str">
            <v>H</v>
          </cell>
          <cell r="AB3371">
            <v>0</v>
          </cell>
        </row>
        <row r="3372">
          <cell r="G3372" t="str">
            <v>X956_1</v>
          </cell>
          <cell r="H3372" t="str">
            <v>as-as</v>
          </cell>
          <cell r="I3372" t="str">
            <v>sim</v>
          </cell>
          <cell r="V3372" t="str">
            <v>antonym</v>
          </cell>
          <cell r="Y3372" t="str">
            <v>Past</v>
          </cell>
          <cell r="Z3372">
            <v>3.83</v>
          </cell>
          <cell r="AA3372">
            <v>0</v>
          </cell>
          <cell r="AB3372">
            <v>0</v>
          </cell>
        </row>
        <row r="3373">
          <cell r="G3373" t="str">
            <v>X957_0</v>
          </cell>
          <cell r="H3373" t="str">
            <v>as-as</v>
          </cell>
          <cell r="I3373" t="str">
            <v>sim</v>
          </cell>
          <cell r="V3373" t="str">
            <v>not neg pair</v>
          </cell>
          <cell r="Y3373" t="str">
            <v>Past</v>
          </cell>
          <cell r="Z3373">
            <v>4.6100000000000003</v>
          </cell>
          <cell r="AA3373">
            <v>0</v>
          </cell>
          <cell r="AB3373">
            <v>0</v>
          </cell>
        </row>
        <row r="3374">
          <cell r="G3374" t="str">
            <v>X957_1</v>
          </cell>
          <cell r="H3374" t="str">
            <v>as-as</v>
          </cell>
          <cell r="I3374" t="str">
            <v>sim</v>
          </cell>
          <cell r="V3374" t="str">
            <v>not neg pair</v>
          </cell>
          <cell r="Y3374" t="str">
            <v>Past</v>
          </cell>
          <cell r="Z3374">
            <v>4.6100000000000003</v>
          </cell>
          <cell r="AA3374">
            <v>0</v>
          </cell>
          <cell r="AB3374">
            <v>0</v>
          </cell>
        </row>
        <row r="3375">
          <cell r="G3375" t="str">
            <v>X958_0</v>
          </cell>
          <cell r="H3375" t="str">
            <v/>
          </cell>
          <cell r="I3375" t="str">
            <v>met</v>
          </cell>
          <cell r="V3375" t="str">
            <v>0</v>
          </cell>
          <cell r="Y3375" t="str">
            <v>Past</v>
          </cell>
          <cell r="Z3375">
            <v>3.7</v>
          </cell>
          <cell r="AA3375">
            <v>0</v>
          </cell>
          <cell r="AB3375">
            <v>0</v>
          </cell>
        </row>
        <row r="3376">
          <cell r="G3376" t="str">
            <v>X958_1</v>
          </cell>
          <cell r="H3376" t="str">
            <v/>
          </cell>
          <cell r="I3376" t="str">
            <v>met</v>
          </cell>
          <cell r="V3376" t="str">
            <v>0</v>
          </cell>
          <cell r="Y3376" t="str">
            <v>Pres</v>
          </cell>
          <cell r="Z3376">
            <v>3.7</v>
          </cell>
          <cell r="AA3376">
            <v>0</v>
          </cell>
          <cell r="AB3376">
            <v>0</v>
          </cell>
        </row>
        <row r="3377">
          <cell r="G3377" t="str">
            <v>X959_0</v>
          </cell>
          <cell r="H3377" t="str">
            <v>the-of</v>
          </cell>
          <cell r="I3377" t="str">
            <v>sim</v>
          </cell>
          <cell r="V3377" t="str">
            <v>not neg pair</v>
          </cell>
          <cell r="Y3377" t="str">
            <v>Past</v>
          </cell>
          <cell r="Z3377">
            <v>4.7</v>
          </cell>
          <cell r="AA3377">
            <v>0</v>
          </cell>
          <cell r="AB3377">
            <v>0</v>
          </cell>
        </row>
        <row r="3378">
          <cell r="G3378" t="str">
            <v>X959_1</v>
          </cell>
          <cell r="H3378" t="str">
            <v>the-of</v>
          </cell>
          <cell r="I3378" t="str">
            <v>sim</v>
          </cell>
          <cell r="V3378" t="str">
            <v>not neg pair</v>
          </cell>
          <cell r="Y3378" t="str">
            <v>Past</v>
          </cell>
          <cell r="Z3378">
            <v>4.7</v>
          </cell>
          <cell r="AA3378">
            <v>0</v>
          </cell>
          <cell r="AB3378">
            <v>0</v>
          </cell>
        </row>
        <row r="3379">
          <cell r="G3379" t="str">
            <v>X960_0</v>
          </cell>
          <cell r="H3379" t="str">
            <v>the-of</v>
          </cell>
          <cell r="I3379" t="str">
            <v>sim</v>
          </cell>
          <cell r="V3379" t="str">
            <v>not neg pair</v>
          </cell>
          <cell r="Y3379" t="str">
            <v>Past</v>
          </cell>
          <cell r="Z3379">
            <v>3.36</v>
          </cell>
          <cell r="AA3379">
            <v>0</v>
          </cell>
          <cell r="AB3379">
            <v>0</v>
          </cell>
        </row>
        <row r="3380">
          <cell r="G3380" t="str">
            <v>X960_1</v>
          </cell>
          <cell r="H3380" t="str">
            <v>the-of</v>
          </cell>
          <cell r="I3380" t="str">
            <v>sim</v>
          </cell>
          <cell r="V3380" t="str">
            <v>not neg pair</v>
          </cell>
          <cell r="Y3380" t="str">
            <v>Past</v>
          </cell>
          <cell r="Z3380">
            <v>3.36</v>
          </cell>
          <cell r="AA3380">
            <v>0</v>
          </cell>
          <cell r="AB3380">
            <v>0</v>
          </cell>
        </row>
        <row r="3381">
          <cell r="G3381" t="str">
            <v>X961_0</v>
          </cell>
          <cell r="H3381" t="str">
            <v>as-as</v>
          </cell>
          <cell r="I3381" t="str">
            <v>sim</v>
          </cell>
          <cell r="V3381" t="str">
            <v>antonym</v>
          </cell>
          <cell r="Y3381" t="str">
            <v>Past</v>
          </cell>
          <cell r="Z3381">
            <v>3.93</v>
          </cell>
          <cell r="AA3381">
            <v>0</v>
          </cell>
          <cell r="AB3381">
            <v>0</v>
          </cell>
        </row>
        <row r="3382">
          <cell r="G3382" t="str">
            <v>X961_1</v>
          </cell>
          <cell r="H3382" t="str">
            <v>as-as</v>
          </cell>
          <cell r="I3382" t="str">
            <v>sim</v>
          </cell>
          <cell r="V3382" t="str">
            <v>antonym</v>
          </cell>
          <cell r="Y3382" t="str">
            <v>Past</v>
          </cell>
          <cell r="Z3382">
            <v>3.93</v>
          </cell>
          <cell r="AA3382">
            <v>0</v>
          </cell>
          <cell r="AB3382">
            <v>0</v>
          </cell>
        </row>
        <row r="3383">
          <cell r="G3383" t="str">
            <v>X962_0</v>
          </cell>
          <cell r="H3383" t="str">
            <v>like</v>
          </cell>
          <cell r="I3383" t="str">
            <v>sim</v>
          </cell>
          <cell r="V3383" t="str">
            <v>not neg pair</v>
          </cell>
          <cell r="Y3383" t="str">
            <v>Pres</v>
          </cell>
          <cell r="Z3383">
            <v>4.9000000000000004</v>
          </cell>
          <cell r="AA3383">
            <v>0</v>
          </cell>
          <cell r="AB3383">
            <v>0</v>
          </cell>
        </row>
        <row r="3384">
          <cell r="G3384" t="str">
            <v>X962_1</v>
          </cell>
          <cell r="H3384" t="str">
            <v>like</v>
          </cell>
          <cell r="I3384" t="str">
            <v>sim</v>
          </cell>
          <cell r="V3384" t="str">
            <v>not neg pair</v>
          </cell>
          <cell r="Y3384" t="str">
            <v>Pres</v>
          </cell>
          <cell r="Z3384">
            <v>4.9000000000000004</v>
          </cell>
          <cell r="AA3384">
            <v>0</v>
          </cell>
          <cell r="AB3384">
            <v>0</v>
          </cell>
        </row>
        <row r="3385">
          <cell r="G3385" t="str">
            <v>X963_0</v>
          </cell>
          <cell r="H3385" t="str">
            <v>the-of</v>
          </cell>
          <cell r="I3385" t="str">
            <v>sim</v>
          </cell>
          <cell r="V3385" t="str">
            <v>not neg pair</v>
          </cell>
          <cell r="Y3385" t="str">
            <v>Pres</v>
          </cell>
          <cell r="Z3385">
            <v>4.8499999999999996</v>
          </cell>
          <cell r="AA3385">
            <v>0</v>
          </cell>
          <cell r="AB3385">
            <v>0</v>
          </cell>
        </row>
        <row r="3386">
          <cell r="G3386" t="str">
            <v>X963_1</v>
          </cell>
          <cell r="H3386" t="str">
            <v>the-of</v>
          </cell>
          <cell r="I3386" t="str">
            <v>sim</v>
          </cell>
          <cell r="V3386" t="str">
            <v>not neg pair</v>
          </cell>
          <cell r="Y3386" t="str">
            <v>Pres</v>
          </cell>
          <cell r="Z3386">
            <v>4.8499999999999996</v>
          </cell>
          <cell r="AA3386">
            <v>0</v>
          </cell>
          <cell r="AB3386">
            <v>0</v>
          </cell>
        </row>
        <row r="3387">
          <cell r="G3387" t="str">
            <v>X964_0</v>
          </cell>
          <cell r="H3387" t="str">
            <v>like</v>
          </cell>
          <cell r="I3387" t="str">
            <v>sim</v>
          </cell>
          <cell r="V3387" t="str">
            <v>not neg pair</v>
          </cell>
          <cell r="Y3387" t="str">
            <v>Pres</v>
          </cell>
          <cell r="Z3387">
            <v>4.1100000000000003</v>
          </cell>
          <cell r="AA3387">
            <v>0</v>
          </cell>
          <cell r="AB3387">
            <v>0</v>
          </cell>
        </row>
        <row r="3388">
          <cell r="G3388" t="str">
            <v>X964_1</v>
          </cell>
          <cell r="H3388" t="str">
            <v>like</v>
          </cell>
          <cell r="I3388" t="str">
            <v>sim</v>
          </cell>
          <cell r="V3388" t="str">
            <v>not neg pair</v>
          </cell>
          <cell r="Y3388" t="str">
            <v>Pres</v>
          </cell>
          <cell r="Z3388">
            <v>4.1100000000000003</v>
          </cell>
          <cell r="AA3388">
            <v>0</v>
          </cell>
          <cell r="AB3388">
            <v>0</v>
          </cell>
        </row>
        <row r="3389">
          <cell r="G3389" t="str">
            <v>X965_0</v>
          </cell>
          <cell r="H3389" t="str">
            <v>as-as</v>
          </cell>
          <cell r="I3389" t="str">
            <v>sim</v>
          </cell>
          <cell r="V3389" t="str">
            <v>antonym</v>
          </cell>
          <cell r="Y3389" t="str">
            <v>Past</v>
          </cell>
          <cell r="Z3389">
            <v>4.5199999999999996</v>
          </cell>
          <cell r="AA3389">
            <v>0</v>
          </cell>
          <cell r="AB3389">
            <v>0</v>
          </cell>
        </row>
        <row r="3390">
          <cell r="G3390" t="str">
            <v>X965_1</v>
          </cell>
          <cell r="H3390" t="str">
            <v>as-as</v>
          </cell>
          <cell r="I3390" t="str">
            <v>sim</v>
          </cell>
          <cell r="V3390" t="str">
            <v>antonym</v>
          </cell>
          <cell r="Y3390" t="str">
            <v>Past</v>
          </cell>
          <cell r="Z3390">
            <v>4.5199999999999996</v>
          </cell>
          <cell r="AA3390">
            <v>0</v>
          </cell>
          <cell r="AB3390">
            <v>0</v>
          </cell>
        </row>
        <row r="3391">
          <cell r="G3391" t="str">
            <v>X966_0</v>
          </cell>
          <cell r="H3391" t="str">
            <v>as-as</v>
          </cell>
          <cell r="I3391" t="str">
            <v>sim</v>
          </cell>
          <cell r="V3391" t="str">
            <v>antonym</v>
          </cell>
          <cell r="Y3391" t="str">
            <v>Past</v>
          </cell>
          <cell r="Z3391">
            <v>4.8899999999999997</v>
          </cell>
          <cell r="AA3391">
            <v>0</v>
          </cell>
          <cell r="AB3391">
            <v>0</v>
          </cell>
        </row>
        <row r="3392">
          <cell r="G3392" t="str">
            <v>X966_1</v>
          </cell>
          <cell r="H3392" t="str">
            <v>as-as</v>
          </cell>
          <cell r="I3392" t="str">
            <v>sim</v>
          </cell>
          <cell r="V3392" t="str">
            <v>antonym</v>
          </cell>
          <cell r="Y3392" t="str">
            <v>Past</v>
          </cell>
          <cell r="Z3392">
            <v>4.8899999999999997</v>
          </cell>
          <cell r="AA3392">
            <v>0</v>
          </cell>
          <cell r="AB3392">
            <v>0</v>
          </cell>
        </row>
        <row r="3393">
          <cell r="G3393" t="str">
            <v>X967_0</v>
          </cell>
          <cell r="H3393" t="str">
            <v>as-as</v>
          </cell>
          <cell r="I3393" t="str">
            <v>sim</v>
          </cell>
          <cell r="V3393" t="str">
            <v>not neg pair</v>
          </cell>
          <cell r="Y3393" t="str">
            <v>Pres</v>
          </cell>
          <cell r="Z3393">
            <v>4.26</v>
          </cell>
          <cell r="AA3393">
            <v>0</v>
          </cell>
          <cell r="AB3393">
            <v>0</v>
          </cell>
        </row>
        <row r="3394">
          <cell r="G3394" t="str">
            <v>X967_1</v>
          </cell>
          <cell r="H3394" t="str">
            <v>as-as</v>
          </cell>
          <cell r="I3394" t="str">
            <v>sim</v>
          </cell>
          <cell r="V3394" t="str">
            <v>not neg pair</v>
          </cell>
          <cell r="Y3394" t="str">
            <v>Pres</v>
          </cell>
          <cell r="Z3394">
            <v>4.26</v>
          </cell>
          <cell r="AA3394">
            <v>0</v>
          </cell>
          <cell r="AB3394">
            <v>0</v>
          </cell>
        </row>
        <row r="3395">
          <cell r="G3395" t="str">
            <v>X968_0</v>
          </cell>
          <cell r="H3395" t="str">
            <v>as-as</v>
          </cell>
          <cell r="I3395" t="str">
            <v>sim</v>
          </cell>
          <cell r="V3395" t="str">
            <v>antonym</v>
          </cell>
          <cell r="Y3395" t="str">
            <v>Pres</v>
          </cell>
          <cell r="Z3395">
            <v>4.97</v>
          </cell>
          <cell r="AA3395" t="str">
            <v>H</v>
          </cell>
          <cell r="AB3395">
            <v>0</v>
          </cell>
        </row>
        <row r="3396">
          <cell r="G3396" t="str">
            <v>X968_1</v>
          </cell>
          <cell r="H3396" t="str">
            <v>as-as</v>
          </cell>
          <cell r="I3396" t="str">
            <v>sim</v>
          </cell>
          <cell r="V3396" t="str">
            <v>antonym</v>
          </cell>
          <cell r="Y3396" t="str">
            <v>Pres</v>
          </cell>
          <cell r="Z3396">
            <v>4.97</v>
          </cell>
          <cell r="AA3396" t="str">
            <v>H</v>
          </cell>
          <cell r="AB3396">
            <v>0</v>
          </cell>
        </row>
        <row r="3397">
          <cell r="G3397" t="str">
            <v>X969_0</v>
          </cell>
          <cell r="H3397" t="str">
            <v>as-as</v>
          </cell>
          <cell r="I3397" t="str">
            <v>sim</v>
          </cell>
          <cell r="V3397" t="str">
            <v>not neg pair</v>
          </cell>
          <cell r="Y3397" t="str">
            <v>Pres</v>
          </cell>
          <cell r="Z3397">
            <v>2.72</v>
          </cell>
          <cell r="AA3397" t="str">
            <v>L</v>
          </cell>
          <cell r="AB3397">
            <v>0</v>
          </cell>
        </row>
        <row r="3398">
          <cell r="G3398" t="str">
            <v>X969_1</v>
          </cell>
          <cell r="H3398" t="str">
            <v>as-as</v>
          </cell>
          <cell r="I3398" t="str">
            <v>sim</v>
          </cell>
          <cell r="V3398" t="str">
            <v>not neg pair</v>
          </cell>
          <cell r="Y3398" t="str">
            <v>Pres</v>
          </cell>
          <cell r="Z3398">
            <v>2.72</v>
          </cell>
          <cell r="AA3398" t="str">
            <v>L</v>
          </cell>
          <cell r="AB3398">
            <v>0</v>
          </cell>
        </row>
        <row r="3399">
          <cell r="G3399" t="str">
            <v>X970_0</v>
          </cell>
          <cell r="H3399" t="str">
            <v/>
          </cell>
          <cell r="I3399" t="str">
            <v>met</v>
          </cell>
          <cell r="V3399" t="str">
            <v>0</v>
          </cell>
          <cell r="Y3399" t="str">
            <v>Pres</v>
          </cell>
          <cell r="Z3399">
            <v>3.9</v>
          </cell>
          <cell r="AA3399">
            <v>0</v>
          </cell>
          <cell r="AB3399">
            <v>0</v>
          </cell>
        </row>
        <row r="3400">
          <cell r="G3400" t="str">
            <v>X970_1</v>
          </cell>
          <cell r="H3400" t="str">
            <v/>
          </cell>
          <cell r="I3400" t="str">
            <v>met</v>
          </cell>
          <cell r="V3400" t="str">
            <v>0</v>
          </cell>
          <cell r="Y3400" t="str">
            <v>Pres</v>
          </cell>
          <cell r="Z3400">
            <v>3.11</v>
          </cell>
          <cell r="AA3400">
            <v>0</v>
          </cell>
          <cell r="AB3400">
            <v>0</v>
          </cell>
        </row>
        <row r="3401">
          <cell r="G3401" t="str">
            <v>X971_0</v>
          </cell>
          <cell r="H3401" t="str">
            <v/>
          </cell>
          <cell r="I3401" t="str">
            <v>met</v>
          </cell>
          <cell r="V3401" t="str">
            <v>0</v>
          </cell>
          <cell r="Y3401">
            <v>0</v>
          </cell>
          <cell r="Z3401">
            <v>2.8</v>
          </cell>
          <cell r="AA3401" t="str">
            <v>L</v>
          </cell>
          <cell r="AB3401">
            <v>0</v>
          </cell>
        </row>
        <row r="3402">
          <cell r="G3402" t="str">
            <v>X971_1</v>
          </cell>
          <cell r="H3402" t="str">
            <v/>
          </cell>
          <cell r="I3402" t="str">
            <v>met</v>
          </cell>
          <cell r="V3402" t="str">
            <v>0</v>
          </cell>
          <cell r="Y3402">
            <v>0</v>
          </cell>
          <cell r="Z3402">
            <v>2.8</v>
          </cell>
          <cell r="AA3402" t="str">
            <v>L</v>
          </cell>
          <cell r="AB3402">
            <v>0</v>
          </cell>
        </row>
        <row r="3403">
          <cell r="G3403" t="str">
            <v>X972_0</v>
          </cell>
          <cell r="H3403" t="str">
            <v/>
          </cell>
          <cell r="I3403" t="str">
            <v>met</v>
          </cell>
          <cell r="V3403" t="str">
            <v>0</v>
          </cell>
          <cell r="Y3403" t="str">
            <v>Past</v>
          </cell>
          <cell r="Z3403">
            <v>4.76</v>
          </cell>
          <cell r="AA3403">
            <v>0</v>
          </cell>
          <cell r="AB3403">
            <v>0</v>
          </cell>
        </row>
        <row r="3404">
          <cell r="G3404" t="str">
            <v>X972_1</v>
          </cell>
          <cell r="H3404" t="str">
            <v/>
          </cell>
          <cell r="I3404" t="str">
            <v>met</v>
          </cell>
          <cell r="V3404" t="str">
            <v>0</v>
          </cell>
          <cell r="Y3404" t="str">
            <v>Past</v>
          </cell>
          <cell r="Z3404">
            <v>4.76</v>
          </cell>
          <cell r="AA3404">
            <v>0</v>
          </cell>
          <cell r="AB3404">
            <v>0</v>
          </cell>
        </row>
        <row r="3405">
          <cell r="G3405" t="str">
            <v>X973_0</v>
          </cell>
          <cell r="H3405" t="str">
            <v>as-as</v>
          </cell>
          <cell r="I3405" t="str">
            <v>sim</v>
          </cell>
          <cell r="V3405" t="str">
            <v>not neg pair</v>
          </cell>
          <cell r="Y3405" t="str">
            <v>Past</v>
          </cell>
          <cell r="Z3405">
            <v>4.8099999999999996</v>
          </cell>
          <cell r="AA3405">
            <v>0</v>
          </cell>
          <cell r="AB3405">
            <v>0</v>
          </cell>
        </row>
        <row r="3406">
          <cell r="G3406" t="str">
            <v>X973_1</v>
          </cell>
          <cell r="H3406" t="str">
            <v>as-as</v>
          </cell>
          <cell r="I3406" t="str">
            <v>sim</v>
          </cell>
          <cell r="V3406" t="str">
            <v>not neg pair</v>
          </cell>
          <cell r="Y3406" t="str">
            <v>Past</v>
          </cell>
          <cell r="Z3406">
            <v>4.8099999999999996</v>
          </cell>
          <cell r="AA3406">
            <v>0</v>
          </cell>
          <cell r="AB3406">
            <v>0</v>
          </cell>
        </row>
        <row r="3407">
          <cell r="G3407" t="str">
            <v>X974_0</v>
          </cell>
          <cell r="H3407" t="str">
            <v>as-as</v>
          </cell>
          <cell r="I3407" t="str">
            <v>sim</v>
          </cell>
          <cell r="V3407" t="str">
            <v>not neg pair</v>
          </cell>
          <cell r="Y3407" t="str">
            <v>Past</v>
          </cell>
          <cell r="Z3407">
            <v>2.86</v>
          </cell>
          <cell r="AA3407">
            <v>0</v>
          </cell>
          <cell r="AB3407">
            <v>0</v>
          </cell>
        </row>
        <row r="3408">
          <cell r="G3408" t="str">
            <v>X974_1</v>
          </cell>
          <cell r="H3408" t="str">
            <v>as-as</v>
          </cell>
          <cell r="I3408" t="str">
            <v>sim</v>
          </cell>
          <cell r="V3408" t="str">
            <v>not neg pair</v>
          </cell>
          <cell r="Y3408" t="str">
            <v>Past</v>
          </cell>
          <cell r="Z3408">
            <v>2.86</v>
          </cell>
          <cell r="AA3408">
            <v>0</v>
          </cell>
          <cell r="AB3408">
            <v>0</v>
          </cell>
        </row>
        <row r="3409">
          <cell r="G3409" t="str">
            <v>X975_0</v>
          </cell>
          <cell r="H3409" t="str">
            <v>as-as</v>
          </cell>
          <cell r="I3409" t="str">
            <v>sim</v>
          </cell>
          <cell r="V3409" t="str">
            <v>not neg pair</v>
          </cell>
          <cell r="Y3409" t="str">
            <v>Past</v>
          </cell>
          <cell r="Z3409">
            <v>4.9000000000000004</v>
          </cell>
          <cell r="AA3409">
            <v>0</v>
          </cell>
          <cell r="AB3409">
            <v>0</v>
          </cell>
        </row>
        <row r="3410">
          <cell r="G3410" t="str">
            <v>X975_1</v>
          </cell>
          <cell r="H3410" t="str">
            <v>as-as</v>
          </cell>
          <cell r="I3410" t="str">
            <v>sim</v>
          </cell>
          <cell r="V3410" t="str">
            <v>not neg pair</v>
          </cell>
          <cell r="Y3410" t="str">
            <v>Past</v>
          </cell>
          <cell r="Z3410">
            <v>4.9000000000000004</v>
          </cell>
          <cell r="AA3410">
            <v>0</v>
          </cell>
          <cell r="AB3410">
            <v>0</v>
          </cell>
        </row>
        <row r="3411">
          <cell r="G3411" t="str">
            <v>X976_0</v>
          </cell>
          <cell r="H3411" t="str">
            <v>as-as</v>
          </cell>
          <cell r="I3411" t="str">
            <v>sim</v>
          </cell>
          <cell r="V3411" t="str">
            <v>antonym</v>
          </cell>
          <cell r="Y3411" t="str">
            <v>Past</v>
          </cell>
          <cell r="Z3411">
            <v>4.46</v>
          </cell>
          <cell r="AA3411">
            <v>0</v>
          </cell>
          <cell r="AB3411">
            <v>0</v>
          </cell>
        </row>
        <row r="3412">
          <cell r="G3412" t="str">
            <v>X976_1</v>
          </cell>
          <cell r="H3412" t="str">
            <v>as-as</v>
          </cell>
          <cell r="I3412" t="str">
            <v>sim</v>
          </cell>
          <cell r="V3412" t="str">
            <v>antonym</v>
          </cell>
          <cell r="Y3412" t="str">
            <v>Past</v>
          </cell>
          <cell r="Z3412">
            <v>4.46</v>
          </cell>
          <cell r="AA3412">
            <v>0</v>
          </cell>
          <cell r="AB3412">
            <v>0</v>
          </cell>
        </row>
        <row r="3413">
          <cell r="G3413" t="str">
            <v>X977_0</v>
          </cell>
          <cell r="H3413" t="str">
            <v>as-as</v>
          </cell>
          <cell r="I3413" t="str">
            <v>sim</v>
          </cell>
          <cell r="V3413" t="str">
            <v>antonym</v>
          </cell>
          <cell r="Y3413" t="str">
            <v>Pres</v>
          </cell>
          <cell r="Z3413">
            <v>4.8600000000000003</v>
          </cell>
          <cell r="AA3413">
            <v>0</v>
          </cell>
          <cell r="AB3413">
            <v>0</v>
          </cell>
        </row>
        <row r="3414">
          <cell r="G3414" t="str">
            <v>X977_1</v>
          </cell>
          <cell r="H3414" t="str">
            <v>as-as</v>
          </cell>
          <cell r="I3414" t="str">
            <v>sim</v>
          </cell>
          <cell r="V3414" t="str">
            <v>antonym</v>
          </cell>
          <cell r="Y3414" t="str">
            <v>Pres</v>
          </cell>
          <cell r="Z3414">
            <v>4.8600000000000003</v>
          </cell>
          <cell r="AA3414">
            <v>0</v>
          </cell>
          <cell r="AB3414">
            <v>0</v>
          </cell>
        </row>
        <row r="3415">
          <cell r="G3415" t="str">
            <v>X978_0</v>
          </cell>
          <cell r="H3415" t="str">
            <v>as-as</v>
          </cell>
          <cell r="I3415" t="str">
            <v>sim</v>
          </cell>
          <cell r="V3415" t="str">
            <v>antonym</v>
          </cell>
          <cell r="Y3415" t="str">
            <v>Pres</v>
          </cell>
          <cell r="Z3415">
            <v>4.79</v>
          </cell>
          <cell r="AA3415">
            <v>0</v>
          </cell>
          <cell r="AB3415">
            <v>0</v>
          </cell>
        </row>
        <row r="3416">
          <cell r="G3416" t="str">
            <v>X978_1</v>
          </cell>
          <cell r="H3416" t="str">
            <v>as-as</v>
          </cell>
          <cell r="I3416" t="str">
            <v>sim</v>
          </cell>
          <cell r="V3416" t="str">
            <v>antonym</v>
          </cell>
          <cell r="Y3416" t="str">
            <v>Pres</v>
          </cell>
          <cell r="Z3416">
            <v>4.79</v>
          </cell>
          <cell r="AA3416">
            <v>0</v>
          </cell>
          <cell r="AB3416">
            <v>0</v>
          </cell>
        </row>
        <row r="3417">
          <cell r="G3417" t="str">
            <v>X979_0</v>
          </cell>
          <cell r="H3417" t="str">
            <v/>
          </cell>
          <cell r="I3417" t="str">
            <v>met</v>
          </cell>
          <cell r="V3417" t="str">
            <v>0</v>
          </cell>
          <cell r="Y3417" t="str">
            <v>Pres</v>
          </cell>
          <cell r="Z3417">
            <v>2.81</v>
          </cell>
          <cell r="AA3417">
            <v>0</v>
          </cell>
          <cell r="AB3417">
            <v>0</v>
          </cell>
        </row>
        <row r="3418">
          <cell r="G3418" t="str">
            <v>X979_1</v>
          </cell>
          <cell r="H3418" t="str">
            <v/>
          </cell>
          <cell r="I3418" t="str">
            <v>met</v>
          </cell>
          <cell r="V3418" t="str">
            <v>0</v>
          </cell>
          <cell r="Y3418" t="str">
            <v>Pres</v>
          </cell>
          <cell r="Z3418">
            <v>2.81</v>
          </cell>
          <cell r="AA3418">
            <v>0</v>
          </cell>
          <cell r="AB3418">
            <v>0</v>
          </cell>
        </row>
        <row r="3419">
          <cell r="G3419" t="str">
            <v>X980_0</v>
          </cell>
          <cell r="H3419" t="str">
            <v>like</v>
          </cell>
          <cell r="I3419" t="str">
            <v>sim</v>
          </cell>
          <cell r="V3419" t="str">
            <v>not neg pair</v>
          </cell>
          <cell r="Y3419" t="str">
            <v>Pres</v>
          </cell>
          <cell r="Z3419">
            <v>5</v>
          </cell>
          <cell r="AA3419" t="str">
            <v>H</v>
          </cell>
          <cell r="AB3419">
            <v>0</v>
          </cell>
        </row>
        <row r="3420">
          <cell r="G3420" t="str">
            <v>X980_1</v>
          </cell>
          <cell r="H3420" t="str">
            <v>like</v>
          </cell>
          <cell r="I3420" t="str">
            <v>sim</v>
          </cell>
          <cell r="V3420" t="str">
            <v>not neg pair</v>
          </cell>
          <cell r="Y3420" t="str">
            <v>Pres</v>
          </cell>
          <cell r="Z3420">
            <v>5</v>
          </cell>
          <cell r="AA3420" t="str">
            <v>H</v>
          </cell>
          <cell r="AB3420">
            <v>0</v>
          </cell>
        </row>
        <row r="3421">
          <cell r="G3421" t="str">
            <v>X981_0</v>
          </cell>
          <cell r="H3421" t="str">
            <v>the-of</v>
          </cell>
          <cell r="I3421" t="str">
            <v>sim</v>
          </cell>
          <cell r="V3421" t="str">
            <v>not neg pair</v>
          </cell>
          <cell r="Y3421" t="str">
            <v>Pres</v>
          </cell>
          <cell r="Z3421">
            <v>4.8600000000000003</v>
          </cell>
          <cell r="AA3421">
            <v>0</v>
          </cell>
          <cell r="AB3421">
            <v>0</v>
          </cell>
        </row>
        <row r="3422">
          <cell r="G3422" t="str">
            <v>X981_1</v>
          </cell>
          <cell r="H3422" t="str">
            <v>the-of</v>
          </cell>
          <cell r="I3422" t="str">
            <v>sim</v>
          </cell>
          <cell r="V3422" t="str">
            <v>not neg pair</v>
          </cell>
          <cell r="Y3422" t="str">
            <v>Pres</v>
          </cell>
          <cell r="Z3422">
            <v>4.8600000000000003</v>
          </cell>
          <cell r="AA3422">
            <v>0</v>
          </cell>
          <cell r="AB3422">
            <v>0</v>
          </cell>
        </row>
        <row r="3423">
          <cell r="G3423" t="str">
            <v>X982_0</v>
          </cell>
          <cell r="H3423" t="str">
            <v>the-of</v>
          </cell>
          <cell r="I3423" t="str">
            <v>sim</v>
          </cell>
          <cell r="V3423" t="str">
            <v>not</v>
          </cell>
          <cell r="Y3423" t="str">
            <v>Pres</v>
          </cell>
          <cell r="Z3423">
            <v>3.65</v>
          </cell>
          <cell r="AA3423">
            <v>0</v>
          </cell>
          <cell r="AB3423">
            <v>0</v>
          </cell>
        </row>
        <row r="3424">
          <cell r="G3424" t="str">
            <v>X982_1</v>
          </cell>
          <cell r="H3424" t="str">
            <v>the-of</v>
          </cell>
          <cell r="I3424" t="str">
            <v>sim</v>
          </cell>
          <cell r="V3424" t="str">
            <v>not</v>
          </cell>
          <cell r="Y3424" t="str">
            <v>Pres</v>
          </cell>
          <cell r="Z3424">
            <v>3.65</v>
          </cell>
          <cell r="AA3424">
            <v>0</v>
          </cell>
          <cell r="AB3424">
            <v>0</v>
          </cell>
        </row>
        <row r="3425">
          <cell r="G3425" t="str">
            <v>X983_0</v>
          </cell>
          <cell r="H3425" t="str">
            <v>the-of</v>
          </cell>
          <cell r="I3425" t="str">
            <v>sim</v>
          </cell>
          <cell r="V3425" t="str">
            <v>not neg pair</v>
          </cell>
          <cell r="Y3425" t="str">
            <v>Pres</v>
          </cell>
          <cell r="Z3425">
            <v>4.79</v>
          </cell>
          <cell r="AA3425">
            <v>0</v>
          </cell>
          <cell r="AB3425">
            <v>0</v>
          </cell>
        </row>
        <row r="3426">
          <cell r="G3426" t="str">
            <v>X983_1</v>
          </cell>
          <cell r="H3426" t="str">
            <v>the-of</v>
          </cell>
          <cell r="I3426" t="str">
            <v>sim</v>
          </cell>
          <cell r="V3426" t="str">
            <v>not neg pair</v>
          </cell>
          <cell r="Y3426" t="str">
            <v>Pres</v>
          </cell>
          <cell r="Z3426">
            <v>4.79</v>
          </cell>
          <cell r="AA3426">
            <v>0</v>
          </cell>
          <cell r="AB3426">
            <v>0</v>
          </cell>
        </row>
        <row r="3427">
          <cell r="G3427" t="str">
            <v>X984_0</v>
          </cell>
          <cell r="H3427" t="str">
            <v>the-of</v>
          </cell>
          <cell r="I3427" t="str">
            <v>sim</v>
          </cell>
          <cell r="V3427" t="str">
            <v>0</v>
          </cell>
          <cell r="Y3427" t="str">
            <v>Past</v>
          </cell>
          <cell r="Z3427">
            <v>4.79</v>
          </cell>
          <cell r="AA3427">
            <v>0</v>
          </cell>
          <cell r="AB3427">
            <v>0</v>
          </cell>
        </row>
        <row r="3428">
          <cell r="G3428" t="str">
            <v>X984_1</v>
          </cell>
          <cell r="H3428" t="str">
            <v/>
          </cell>
          <cell r="I3428" t="str">
            <v>met</v>
          </cell>
          <cell r="V3428" t="str">
            <v>0</v>
          </cell>
          <cell r="Y3428" t="str">
            <v>Past</v>
          </cell>
          <cell r="Z3428">
            <v>4.79</v>
          </cell>
          <cell r="AA3428">
            <v>0</v>
          </cell>
          <cell r="AB3428">
            <v>0</v>
          </cell>
        </row>
        <row r="3429">
          <cell r="G3429" t="str">
            <v>X985_0</v>
          </cell>
          <cell r="H3429" t="str">
            <v>the-of</v>
          </cell>
          <cell r="I3429" t="str">
            <v>sim</v>
          </cell>
          <cell r="V3429" t="str">
            <v>not neg pair</v>
          </cell>
          <cell r="Y3429" t="str">
            <v>Pres</v>
          </cell>
          <cell r="Z3429">
            <v>3.93</v>
          </cell>
          <cell r="AA3429">
            <v>0</v>
          </cell>
          <cell r="AB3429">
            <v>0</v>
          </cell>
        </row>
        <row r="3430">
          <cell r="G3430" t="str">
            <v>X985_1</v>
          </cell>
          <cell r="H3430" t="str">
            <v>the-of</v>
          </cell>
          <cell r="I3430" t="str">
            <v>sim</v>
          </cell>
          <cell r="V3430" t="str">
            <v>not neg pair</v>
          </cell>
          <cell r="Y3430" t="str">
            <v>Pres</v>
          </cell>
          <cell r="Z3430">
            <v>3.93</v>
          </cell>
          <cell r="AA3430">
            <v>0</v>
          </cell>
          <cell r="AB3430">
            <v>0</v>
          </cell>
        </row>
        <row r="3431">
          <cell r="G3431" t="str">
            <v>X986_0</v>
          </cell>
          <cell r="H3431" t="str">
            <v>the-of</v>
          </cell>
          <cell r="I3431" t="str">
            <v>sim</v>
          </cell>
          <cell r="V3431" t="str">
            <v>not</v>
          </cell>
          <cell r="Y3431" t="str">
            <v>Pres</v>
          </cell>
          <cell r="Z3431">
            <v>3.93</v>
          </cell>
          <cell r="AA3431">
            <v>0</v>
          </cell>
          <cell r="AB3431">
            <v>0</v>
          </cell>
        </row>
        <row r="3432">
          <cell r="G3432" t="str">
            <v>X986_1</v>
          </cell>
          <cell r="H3432" t="str">
            <v>the-of</v>
          </cell>
          <cell r="I3432" t="str">
            <v>sim</v>
          </cell>
          <cell r="V3432" t="str">
            <v>not</v>
          </cell>
          <cell r="Y3432" t="str">
            <v>Pres</v>
          </cell>
          <cell r="Z3432">
            <v>3.93</v>
          </cell>
          <cell r="AA3432">
            <v>0</v>
          </cell>
          <cell r="AB3432">
            <v>0</v>
          </cell>
        </row>
        <row r="3433">
          <cell r="G3433" t="str">
            <v>X987_0</v>
          </cell>
          <cell r="H3433" t="str">
            <v>the-of</v>
          </cell>
          <cell r="I3433" t="str">
            <v>sim</v>
          </cell>
          <cell r="V3433" t="str">
            <v>not neg pair</v>
          </cell>
          <cell r="Y3433" t="str">
            <v>Pres</v>
          </cell>
          <cell r="Z3433">
            <v>3.93</v>
          </cell>
          <cell r="AA3433">
            <v>0</v>
          </cell>
          <cell r="AB3433">
            <v>0</v>
          </cell>
        </row>
        <row r="3434">
          <cell r="G3434" t="str">
            <v>X987_1</v>
          </cell>
          <cell r="H3434" t="str">
            <v>the-of</v>
          </cell>
          <cell r="I3434" t="str">
            <v>sim</v>
          </cell>
          <cell r="V3434" t="str">
            <v>not neg pair</v>
          </cell>
          <cell r="Y3434" t="str">
            <v>Pres</v>
          </cell>
          <cell r="Z3434">
            <v>3.93</v>
          </cell>
          <cell r="AA3434">
            <v>0</v>
          </cell>
          <cell r="AB3434">
            <v>0</v>
          </cell>
        </row>
        <row r="3435">
          <cell r="G3435" t="str">
            <v>X987b_1</v>
          </cell>
          <cell r="H3435" t="str">
            <v>as-as</v>
          </cell>
          <cell r="I3435" t="str">
            <v>sim</v>
          </cell>
          <cell r="V3435" t="str">
            <v>0</v>
          </cell>
          <cell r="Y3435" t="str">
            <v>Pres</v>
          </cell>
          <cell r="Z3435">
            <v>2.81</v>
          </cell>
          <cell r="AA3435">
            <v>0</v>
          </cell>
          <cell r="AB3435">
            <v>0</v>
          </cell>
        </row>
        <row r="3436">
          <cell r="G3436" t="str">
            <v>X988_0</v>
          </cell>
          <cell r="H3436" t="str">
            <v>as-as</v>
          </cell>
          <cell r="I3436" t="str">
            <v>sim</v>
          </cell>
          <cell r="V3436" t="str">
            <v>antonym</v>
          </cell>
          <cell r="Y3436" t="str">
            <v>Pres</v>
          </cell>
          <cell r="Z3436">
            <v>2.81</v>
          </cell>
          <cell r="AA3436">
            <v>0</v>
          </cell>
          <cell r="AB3436">
            <v>0</v>
          </cell>
        </row>
        <row r="3437">
          <cell r="G3437" t="str">
            <v>X988_1</v>
          </cell>
          <cell r="H3437" t="str">
            <v>as-as</v>
          </cell>
          <cell r="I3437" t="str">
            <v>sim</v>
          </cell>
          <cell r="V3437" t="str">
            <v>antonym</v>
          </cell>
          <cell r="Y3437" t="str">
            <v>Pres</v>
          </cell>
          <cell r="Z3437">
            <v>2.81</v>
          </cell>
          <cell r="AA3437">
            <v>0</v>
          </cell>
          <cell r="AB3437">
            <v>0</v>
          </cell>
        </row>
        <row r="3438">
          <cell r="G3438" t="str">
            <v>X989_0</v>
          </cell>
          <cell r="H3438" t="str">
            <v>as-as</v>
          </cell>
          <cell r="I3438" t="str">
            <v>sim</v>
          </cell>
          <cell r="V3438" t="str">
            <v>antonym</v>
          </cell>
          <cell r="Y3438" t="str">
            <v>Pres</v>
          </cell>
          <cell r="Z3438">
            <v>2.81</v>
          </cell>
          <cell r="AA3438">
            <v>0</v>
          </cell>
          <cell r="AB3438">
            <v>0</v>
          </cell>
        </row>
        <row r="3439">
          <cell r="G3439" t="str">
            <v>X989_1</v>
          </cell>
          <cell r="H3439" t="str">
            <v>as-as</v>
          </cell>
          <cell r="I3439" t="str">
            <v>sim</v>
          </cell>
          <cell r="V3439" t="str">
            <v>antonym</v>
          </cell>
          <cell r="Y3439" t="str">
            <v>Pres</v>
          </cell>
          <cell r="Z3439">
            <v>2.81</v>
          </cell>
          <cell r="AA3439">
            <v>0</v>
          </cell>
          <cell r="AB3439">
            <v>0</v>
          </cell>
        </row>
        <row r="3440">
          <cell r="G3440" t="str">
            <v>X990_0</v>
          </cell>
          <cell r="H3440" t="str">
            <v/>
          </cell>
          <cell r="I3440" t="str">
            <v>met</v>
          </cell>
          <cell r="V3440" t="str">
            <v>0</v>
          </cell>
          <cell r="Y3440" t="str">
            <v>Pres</v>
          </cell>
          <cell r="Z3440">
            <v>3.36</v>
          </cell>
          <cell r="AA3440">
            <v>0</v>
          </cell>
          <cell r="AB3440">
            <v>0</v>
          </cell>
        </row>
        <row r="3441">
          <cell r="G3441" t="str">
            <v>X990_1</v>
          </cell>
          <cell r="H3441" t="str">
            <v/>
          </cell>
          <cell r="I3441" t="str">
            <v>met</v>
          </cell>
          <cell r="V3441" t="str">
            <v>0</v>
          </cell>
          <cell r="Y3441" t="str">
            <v>Pres</v>
          </cell>
          <cell r="Z3441">
            <v>3.36</v>
          </cell>
          <cell r="AA3441">
            <v>0</v>
          </cell>
          <cell r="AB3441">
            <v>0</v>
          </cell>
        </row>
        <row r="3442">
          <cell r="G3442" t="str">
            <v>X991_0</v>
          </cell>
          <cell r="H3442" t="str">
            <v/>
          </cell>
          <cell r="I3442" t="str">
            <v>met</v>
          </cell>
          <cell r="V3442" t="str">
            <v>0</v>
          </cell>
          <cell r="Y3442">
            <v>0</v>
          </cell>
          <cell r="Z3442">
            <v>3.36</v>
          </cell>
          <cell r="AA3442">
            <v>0</v>
          </cell>
          <cell r="AB3442">
            <v>0</v>
          </cell>
        </row>
        <row r="3443">
          <cell r="G3443" t="str">
            <v>X991_1</v>
          </cell>
          <cell r="H3443" t="str">
            <v/>
          </cell>
          <cell r="I3443" t="str">
            <v>met</v>
          </cell>
          <cell r="V3443" t="str">
            <v>0</v>
          </cell>
          <cell r="Y3443">
            <v>0</v>
          </cell>
          <cell r="Z3443">
            <v>3.36</v>
          </cell>
          <cell r="AA3443">
            <v>0</v>
          </cell>
          <cell r="AB3443">
            <v>0</v>
          </cell>
        </row>
        <row r="3444">
          <cell r="G3444" t="str">
            <v>X992_0</v>
          </cell>
          <cell r="H3444" t="str">
            <v/>
          </cell>
          <cell r="I3444" t="str">
            <v>met</v>
          </cell>
          <cell r="V3444" t="str">
            <v>0</v>
          </cell>
          <cell r="Y3444" t="str">
            <v>Pres</v>
          </cell>
          <cell r="Z3444">
            <v>3.36</v>
          </cell>
          <cell r="AA3444">
            <v>0</v>
          </cell>
          <cell r="AB3444">
            <v>0</v>
          </cell>
        </row>
        <row r="3445">
          <cell r="G3445" t="str">
            <v>X992_1</v>
          </cell>
          <cell r="H3445" t="str">
            <v/>
          </cell>
          <cell r="I3445" t="str">
            <v>met</v>
          </cell>
          <cell r="V3445" t="str">
            <v>0</v>
          </cell>
          <cell r="Y3445" t="str">
            <v>Pres</v>
          </cell>
          <cell r="Z3445">
            <v>3.36</v>
          </cell>
          <cell r="AA3445">
            <v>0</v>
          </cell>
          <cell r="AB3445">
            <v>0</v>
          </cell>
        </row>
        <row r="3446">
          <cell r="G3446" t="str">
            <v>X993_0</v>
          </cell>
          <cell r="H3446" t="str">
            <v>as-as</v>
          </cell>
          <cell r="I3446" t="str">
            <v>sim</v>
          </cell>
          <cell r="V3446" t="str">
            <v>antonym</v>
          </cell>
          <cell r="Y3446" t="str">
            <v>Pres</v>
          </cell>
          <cell r="Z3446">
            <v>3.85</v>
          </cell>
          <cell r="AA3446">
            <v>0</v>
          </cell>
          <cell r="AB3446">
            <v>0</v>
          </cell>
        </row>
        <row r="3447">
          <cell r="G3447" t="str">
            <v>X993_1</v>
          </cell>
          <cell r="H3447" t="str">
            <v>as-as</v>
          </cell>
          <cell r="I3447" t="str">
            <v>sim</v>
          </cell>
          <cell r="V3447" t="str">
            <v>antonym</v>
          </cell>
          <cell r="Y3447" t="str">
            <v>Pres</v>
          </cell>
          <cell r="Z3447">
            <v>3.85</v>
          </cell>
          <cell r="AA3447">
            <v>0</v>
          </cell>
          <cell r="AB3447">
            <v>0</v>
          </cell>
        </row>
        <row r="3448">
          <cell r="G3448" t="str">
            <v>X994_0</v>
          </cell>
          <cell r="H3448" t="str">
            <v>as-as</v>
          </cell>
          <cell r="I3448" t="str">
            <v>sim</v>
          </cell>
          <cell r="V3448" t="str">
            <v>not neg pair</v>
          </cell>
          <cell r="Y3448" t="str">
            <v>Pres</v>
          </cell>
          <cell r="Z3448">
            <v>0</v>
          </cell>
          <cell r="AA3448">
            <v>0</v>
          </cell>
          <cell r="AB3448">
            <v>0</v>
          </cell>
        </row>
        <row r="3449">
          <cell r="G3449" t="str">
            <v>X994_1</v>
          </cell>
          <cell r="H3449" t="str">
            <v>as-as</v>
          </cell>
          <cell r="I3449" t="str">
            <v>sim</v>
          </cell>
          <cell r="V3449" t="str">
            <v>not neg pair</v>
          </cell>
          <cell r="Y3449" t="str">
            <v>Pres</v>
          </cell>
          <cell r="Z3449">
            <v>0</v>
          </cell>
          <cell r="AA3449">
            <v>0</v>
          </cell>
          <cell r="AB3449">
            <v>0</v>
          </cell>
        </row>
        <row r="3450">
          <cell r="G3450" t="str">
            <v>X995_0</v>
          </cell>
          <cell r="H3450" t="str">
            <v>the-of</v>
          </cell>
          <cell r="I3450" t="str">
            <v>sim</v>
          </cell>
          <cell r="V3450" t="str">
            <v>not neg pair</v>
          </cell>
          <cell r="Y3450" t="str">
            <v>Pres</v>
          </cell>
          <cell r="Z3450">
            <v>4.5</v>
          </cell>
          <cell r="AA3450">
            <v>0</v>
          </cell>
          <cell r="AB3450">
            <v>0</v>
          </cell>
        </row>
        <row r="3451">
          <cell r="G3451" t="str">
            <v>X995_1</v>
          </cell>
          <cell r="H3451" t="str">
            <v>the-of</v>
          </cell>
          <cell r="I3451" t="str">
            <v>sim</v>
          </cell>
          <cell r="V3451" t="str">
            <v>not neg pair</v>
          </cell>
          <cell r="Y3451" t="str">
            <v>Pres</v>
          </cell>
          <cell r="Z3451">
            <v>4.5</v>
          </cell>
          <cell r="AA3451">
            <v>0</v>
          </cell>
          <cell r="AB3451">
            <v>0</v>
          </cell>
        </row>
        <row r="3452">
          <cell r="G3452" t="str">
            <v>X996_0</v>
          </cell>
          <cell r="H3452" t="str">
            <v/>
          </cell>
          <cell r="I3452" t="str">
            <v>met</v>
          </cell>
          <cell r="V3452" t="str">
            <v>0</v>
          </cell>
          <cell r="Y3452" t="str">
            <v>Pres</v>
          </cell>
          <cell r="Z3452">
            <v>0</v>
          </cell>
          <cell r="AA3452">
            <v>0</v>
          </cell>
          <cell r="AB3452">
            <v>0</v>
          </cell>
        </row>
        <row r="3453">
          <cell r="G3453" t="str">
            <v>X996_1</v>
          </cell>
          <cell r="H3453" t="str">
            <v/>
          </cell>
          <cell r="I3453" t="str">
            <v>met</v>
          </cell>
          <cell r="V3453" t="str">
            <v>0</v>
          </cell>
          <cell r="Y3453" t="str">
            <v>Pres</v>
          </cell>
          <cell r="Z3453">
            <v>4.93</v>
          </cell>
          <cell r="AA3453" t="str">
            <v>H</v>
          </cell>
          <cell r="AB3453">
            <v>0</v>
          </cell>
        </row>
        <row r="3454">
          <cell r="G3454" t="str">
            <v>X997_0</v>
          </cell>
          <cell r="H3454" t="str">
            <v/>
          </cell>
          <cell r="I3454" t="str">
            <v>met</v>
          </cell>
          <cell r="V3454" t="str">
            <v>0</v>
          </cell>
          <cell r="Y3454" t="str">
            <v>Pres</v>
          </cell>
          <cell r="Z3454">
            <v>3.36</v>
          </cell>
          <cell r="AA3454">
            <v>0</v>
          </cell>
          <cell r="AB3454">
            <v>0</v>
          </cell>
        </row>
        <row r="3455">
          <cell r="G3455" t="str">
            <v>X997_1</v>
          </cell>
          <cell r="H3455" t="str">
            <v/>
          </cell>
          <cell r="I3455" t="str">
            <v>met</v>
          </cell>
          <cell r="V3455" t="str">
            <v>0</v>
          </cell>
          <cell r="Y3455" t="str">
            <v>Past</v>
          </cell>
          <cell r="Z3455">
            <v>3.36</v>
          </cell>
          <cell r="AA3455">
            <v>0</v>
          </cell>
          <cell r="AB3455">
            <v>0</v>
          </cell>
        </row>
        <row r="3456">
          <cell r="G3456" t="str">
            <v>X998_0</v>
          </cell>
          <cell r="H3456" t="str">
            <v/>
          </cell>
          <cell r="I3456" t="str">
            <v>met</v>
          </cell>
          <cell r="V3456" t="str">
            <v>0</v>
          </cell>
          <cell r="Y3456" t="str">
            <v>Past</v>
          </cell>
          <cell r="Z3456">
            <v>4.76</v>
          </cell>
          <cell r="AA3456">
            <v>0</v>
          </cell>
          <cell r="AB3456">
            <v>0</v>
          </cell>
        </row>
        <row r="3457">
          <cell r="G3457" t="str">
            <v>X998_1</v>
          </cell>
          <cell r="H3457" t="str">
            <v/>
          </cell>
          <cell r="I3457" t="str">
            <v>met</v>
          </cell>
          <cell r="V3457" t="str">
            <v>0</v>
          </cell>
          <cell r="Y3457" t="str">
            <v>Past</v>
          </cell>
          <cell r="Z3457">
            <v>4.76</v>
          </cell>
          <cell r="AA3457">
            <v>0</v>
          </cell>
          <cell r="AB3457">
            <v>0</v>
          </cell>
        </row>
        <row r="3458">
          <cell r="G3458" t="str">
            <v>X999_0</v>
          </cell>
          <cell r="H3458" t="str">
            <v>as-as</v>
          </cell>
          <cell r="I3458" t="str">
            <v>sim</v>
          </cell>
          <cell r="V3458" t="str">
            <v>not</v>
          </cell>
          <cell r="Y3458" t="str">
            <v>Past</v>
          </cell>
          <cell r="Z3458">
            <v>2.9</v>
          </cell>
          <cell r="AA3458">
            <v>0</v>
          </cell>
          <cell r="AB3458">
            <v>0</v>
          </cell>
        </row>
        <row r="3459">
          <cell r="G3459" t="str">
            <v>X999_1</v>
          </cell>
          <cell r="H3459" t="str">
            <v>as-as</v>
          </cell>
          <cell r="I3459" t="str">
            <v>sim</v>
          </cell>
          <cell r="V3459" t="str">
            <v>not</v>
          </cell>
          <cell r="Y3459" t="str">
            <v>Past</v>
          </cell>
          <cell r="Z3459">
            <v>2.9</v>
          </cell>
          <cell r="AA3459">
            <v>0</v>
          </cell>
          <cell r="AB3459">
            <v>0</v>
          </cell>
        </row>
        <row r="3460">
          <cell r="G3460" t="str">
            <v>X1000_0</v>
          </cell>
          <cell r="H3460" t="str">
            <v>as-as</v>
          </cell>
          <cell r="I3460" t="str">
            <v>sim</v>
          </cell>
          <cell r="V3460" t="str">
            <v>antonym</v>
          </cell>
          <cell r="Y3460" t="str">
            <v>Past</v>
          </cell>
          <cell r="Z3460">
            <v>4.5</v>
          </cell>
          <cell r="AA3460">
            <v>0</v>
          </cell>
          <cell r="AB3460">
            <v>0</v>
          </cell>
        </row>
        <row r="3461">
          <cell r="G3461" t="str">
            <v>X1000_1</v>
          </cell>
          <cell r="H3461" t="str">
            <v>as-as</v>
          </cell>
          <cell r="I3461" t="str">
            <v>sim</v>
          </cell>
          <cell r="V3461" t="str">
            <v>antonym</v>
          </cell>
          <cell r="Y3461" t="str">
            <v>Past</v>
          </cell>
          <cell r="Z3461">
            <v>4.5</v>
          </cell>
          <cell r="AA3461">
            <v>0</v>
          </cell>
          <cell r="AB3461">
            <v>0</v>
          </cell>
        </row>
        <row r="3462">
          <cell r="G3462" t="str">
            <v>X1001_0</v>
          </cell>
          <cell r="H3462" t="str">
            <v>the-of</v>
          </cell>
          <cell r="I3462" t="str">
            <v>sim</v>
          </cell>
          <cell r="V3462" t="str">
            <v>not</v>
          </cell>
          <cell r="Y3462" t="str">
            <v>Pres</v>
          </cell>
          <cell r="Z3462">
            <v>4.84</v>
          </cell>
          <cell r="AA3462">
            <v>0</v>
          </cell>
          <cell r="AB3462">
            <v>0</v>
          </cell>
        </row>
        <row r="3463">
          <cell r="G3463" t="str">
            <v>X1001_1</v>
          </cell>
          <cell r="H3463" t="str">
            <v>the-of</v>
          </cell>
          <cell r="I3463" t="str">
            <v>sim</v>
          </cell>
          <cell r="V3463" t="str">
            <v>not</v>
          </cell>
          <cell r="Y3463" t="str">
            <v>Pres</v>
          </cell>
          <cell r="Z3463">
            <v>4.84</v>
          </cell>
          <cell r="AA3463">
            <v>0</v>
          </cell>
          <cell r="AB3463">
            <v>0</v>
          </cell>
        </row>
        <row r="3464">
          <cell r="G3464" t="str">
            <v>X1002_0</v>
          </cell>
          <cell r="H3464" t="str">
            <v/>
          </cell>
          <cell r="I3464" t="str">
            <v>met</v>
          </cell>
          <cell r="V3464" t="str">
            <v>0</v>
          </cell>
          <cell r="Y3464" t="str">
            <v>Past</v>
          </cell>
          <cell r="Z3464">
            <v>4.92</v>
          </cell>
          <cell r="AA3464" t="str">
            <v>H</v>
          </cell>
          <cell r="AB3464">
            <v>0</v>
          </cell>
        </row>
        <row r="3465">
          <cell r="G3465" t="str">
            <v>X1002_1</v>
          </cell>
          <cell r="H3465" t="str">
            <v/>
          </cell>
          <cell r="I3465" t="str">
            <v>met</v>
          </cell>
          <cell r="V3465" t="str">
            <v>0</v>
          </cell>
          <cell r="Y3465" t="str">
            <v>Past</v>
          </cell>
          <cell r="Z3465">
            <v>4.92</v>
          </cell>
          <cell r="AA3465" t="str">
            <v>H</v>
          </cell>
          <cell r="AB3465">
            <v>0</v>
          </cell>
        </row>
        <row r="3466">
          <cell r="G3466" t="str">
            <v>X1003_0</v>
          </cell>
          <cell r="H3466" t="str">
            <v/>
          </cell>
          <cell r="I3466" t="str">
            <v>met</v>
          </cell>
          <cell r="V3466" t="str">
            <v>0</v>
          </cell>
          <cell r="Y3466" t="str">
            <v>Past</v>
          </cell>
          <cell r="Z3466">
            <v>2.96</v>
          </cell>
          <cell r="AA3466">
            <v>0</v>
          </cell>
          <cell r="AB3466">
            <v>0</v>
          </cell>
        </row>
        <row r="3467">
          <cell r="G3467" t="str">
            <v>X1003_1</v>
          </cell>
          <cell r="H3467" t="str">
            <v/>
          </cell>
          <cell r="I3467" t="str">
            <v>met</v>
          </cell>
          <cell r="V3467" t="str">
            <v>0</v>
          </cell>
          <cell r="Y3467" t="str">
            <v>Past</v>
          </cell>
          <cell r="Z3467">
            <v>2.96</v>
          </cell>
          <cell r="AA3467">
            <v>0</v>
          </cell>
          <cell r="AB3467">
            <v>0</v>
          </cell>
        </row>
        <row r="3468">
          <cell r="G3468" t="str">
            <v>X1004_0</v>
          </cell>
          <cell r="H3468" t="str">
            <v/>
          </cell>
          <cell r="I3468" t="str">
            <v>met</v>
          </cell>
          <cell r="V3468" t="str">
            <v>0</v>
          </cell>
          <cell r="Y3468" t="str">
            <v>Past</v>
          </cell>
          <cell r="Z3468">
            <v>3.54</v>
          </cell>
          <cell r="AA3468">
            <v>0</v>
          </cell>
          <cell r="AB3468">
            <v>0</v>
          </cell>
        </row>
        <row r="3469">
          <cell r="G3469" t="str">
            <v>X1004_1</v>
          </cell>
          <cell r="H3469" t="str">
            <v/>
          </cell>
          <cell r="I3469" t="str">
            <v>met</v>
          </cell>
          <cell r="V3469" t="str">
            <v>0</v>
          </cell>
          <cell r="Y3469" t="str">
            <v>Past</v>
          </cell>
          <cell r="Z3469">
            <v>3.54</v>
          </cell>
          <cell r="AA3469">
            <v>0</v>
          </cell>
          <cell r="AB3469">
            <v>0</v>
          </cell>
        </row>
        <row r="3470">
          <cell r="G3470" t="str">
            <v>X1005_0</v>
          </cell>
          <cell r="H3470" t="str">
            <v>like</v>
          </cell>
          <cell r="I3470" t="str">
            <v>sim</v>
          </cell>
          <cell r="V3470" t="str">
            <v>not neg pair</v>
          </cell>
          <cell r="Y3470" t="str">
            <v>Pres</v>
          </cell>
          <cell r="Z3470">
            <v>2.5</v>
          </cell>
          <cell r="AA3470" t="str">
            <v>L</v>
          </cell>
          <cell r="AB3470">
            <v>0</v>
          </cell>
        </row>
        <row r="3471">
          <cell r="G3471" t="str">
            <v>X1005_1</v>
          </cell>
          <cell r="H3471" t="str">
            <v>like</v>
          </cell>
          <cell r="I3471" t="str">
            <v>sim</v>
          </cell>
          <cell r="V3471" t="str">
            <v>not neg pair</v>
          </cell>
          <cell r="Y3471" t="str">
            <v>Pres</v>
          </cell>
          <cell r="Z3471">
            <v>2.5</v>
          </cell>
          <cell r="AA3471" t="str">
            <v>L</v>
          </cell>
          <cell r="AB3471">
            <v>0</v>
          </cell>
        </row>
        <row r="3472">
          <cell r="G3472" t="str">
            <v>X1006_0</v>
          </cell>
          <cell r="H3472" t="str">
            <v>as-as</v>
          </cell>
          <cell r="I3472" t="str">
            <v>sim</v>
          </cell>
          <cell r="V3472" t="str">
            <v>antonym</v>
          </cell>
          <cell r="Y3472" t="str">
            <v>Pres</v>
          </cell>
          <cell r="Z3472">
            <v>0</v>
          </cell>
          <cell r="AA3472">
            <v>0</v>
          </cell>
          <cell r="AB3472">
            <v>0</v>
          </cell>
        </row>
        <row r="3473">
          <cell r="G3473" t="str">
            <v>X1006_1</v>
          </cell>
          <cell r="H3473" t="str">
            <v>as-as</v>
          </cell>
          <cell r="I3473" t="str">
            <v>sim</v>
          </cell>
          <cell r="V3473" t="str">
            <v>antonym</v>
          </cell>
          <cell r="Y3473" t="str">
            <v>Pres</v>
          </cell>
          <cell r="Z3473">
            <v>0</v>
          </cell>
          <cell r="AA3473">
            <v>0</v>
          </cell>
          <cell r="AB3473">
            <v>0</v>
          </cell>
        </row>
        <row r="3474">
          <cell r="G3474" t="str">
            <v>X1007_0</v>
          </cell>
          <cell r="H3474" t="str">
            <v>as-as</v>
          </cell>
          <cell r="I3474" t="str">
            <v>sim</v>
          </cell>
          <cell r="V3474" t="str">
            <v>not</v>
          </cell>
          <cell r="Y3474" t="str">
            <v>Pres</v>
          </cell>
          <cell r="Z3474">
            <v>4.1100000000000003</v>
          </cell>
          <cell r="AA3474">
            <v>0</v>
          </cell>
          <cell r="AB3474">
            <v>0</v>
          </cell>
        </row>
        <row r="3475">
          <cell r="G3475" t="str">
            <v>X1007_1</v>
          </cell>
          <cell r="H3475" t="str">
            <v>as-as</v>
          </cell>
          <cell r="I3475" t="str">
            <v>sim</v>
          </cell>
          <cell r="V3475" t="str">
            <v>not</v>
          </cell>
          <cell r="Y3475" t="str">
            <v>Pres</v>
          </cell>
          <cell r="Z3475">
            <v>4.1100000000000003</v>
          </cell>
          <cell r="AA3475">
            <v>0</v>
          </cell>
          <cell r="AB3475">
            <v>0</v>
          </cell>
        </row>
        <row r="3476">
          <cell r="G3476" t="str">
            <v>X1008_0</v>
          </cell>
          <cell r="H3476" t="str">
            <v/>
          </cell>
          <cell r="I3476" t="str">
            <v>met</v>
          </cell>
          <cell r="V3476" t="str">
            <v>0</v>
          </cell>
          <cell r="Y3476" t="str">
            <v>Pres</v>
          </cell>
          <cell r="Z3476">
            <v>4.9000000000000004</v>
          </cell>
          <cell r="AA3476">
            <v>0</v>
          </cell>
          <cell r="AB3476">
            <v>0</v>
          </cell>
        </row>
        <row r="3477">
          <cell r="G3477" t="str">
            <v>X1008_1</v>
          </cell>
          <cell r="H3477" t="str">
            <v/>
          </cell>
          <cell r="I3477" t="str">
            <v>met</v>
          </cell>
          <cell r="V3477" t="str">
            <v>0</v>
          </cell>
          <cell r="Y3477" t="str">
            <v>Pres</v>
          </cell>
          <cell r="Z3477">
            <v>4.9000000000000004</v>
          </cell>
          <cell r="AA3477">
            <v>0</v>
          </cell>
          <cell r="AB3477">
            <v>0</v>
          </cell>
        </row>
        <row r="3478">
          <cell r="G3478" t="str">
            <v>X1009_0</v>
          </cell>
          <cell r="H3478" t="str">
            <v>as</v>
          </cell>
          <cell r="I3478" t="str">
            <v>sim</v>
          </cell>
          <cell r="V3478" t="str">
            <v>not neg pair</v>
          </cell>
          <cell r="Y3478" t="str">
            <v>Pres</v>
          </cell>
          <cell r="Z3478">
            <v>3.93</v>
          </cell>
          <cell r="AA3478">
            <v>0</v>
          </cell>
          <cell r="AB3478">
            <v>0</v>
          </cell>
        </row>
        <row r="3479">
          <cell r="G3479" t="str">
            <v>X1009_1</v>
          </cell>
          <cell r="H3479" t="str">
            <v>as</v>
          </cell>
          <cell r="I3479" t="str">
            <v>sim</v>
          </cell>
          <cell r="V3479" t="str">
            <v>not neg pair</v>
          </cell>
          <cell r="Y3479" t="str">
            <v>Pres</v>
          </cell>
          <cell r="Z3479">
            <v>3.93</v>
          </cell>
          <cell r="AA3479">
            <v>0</v>
          </cell>
          <cell r="AB3479">
            <v>0</v>
          </cell>
        </row>
        <row r="3480">
          <cell r="G3480" t="str">
            <v>X1010_0</v>
          </cell>
          <cell r="H3480" t="str">
            <v>the-of</v>
          </cell>
          <cell r="I3480" t="str">
            <v>sim</v>
          </cell>
          <cell r="V3480" t="str">
            <v>not</v>
          </cell>
          <cell r="Y3480">
            <v>0</v>
          </cell>
          <cell r="Z3480">
            <v>3.93</v>
          </cell>
          <cell r="AA3480">
            <v>0</v>
          </cell>
          <cell r="AB3480">
            <v>0</v>
          </cell>
        </row>
        <row r="3481">
          <cell r="G3481" t="str">
            <v>X1010_1</v>
          </cell>
          <cell r="H3481" t="str">
            <v>the-of</v>
          </cell>
          <cell r="I3481" t="str">
            <v>sim</v>
          </cell>
          <cell r="V3481" t="str">
            <v>not</v>
          </cell>
          <cell r="Y3481">
            <v>0</v>
          </cell>
          <cell r="Z3481">
            <v>3.93</v>
          </cell>
          <cell r="AA3481">
            <v>0</v>
          </cell>
          <cell r="AB3481">
            <v>0</v>
          </cell>
        </row>
        <row r="3482">
          <cell r="G3482" t="str">
            <v>X1011_0</v>
          </cell>
          <cell r="H3482" t="str">
            <v>as-as</v>
          </cell>
          <cell r="I3482" t="str">
            <v>sim</v>
          </cell>
          <cell r="V3482" t="str">
            <v>antonym</v>
          </cell>
          <cell r="Y3482" t="str">
            <v>Past</v>
          </cell>
          <cell r="Z3482">
            <v>2.36</v>
          </cell>
          <cell r="AA3482" t="str">
            <v>L</v>
          </cell>
          <cell r="AB3482">
            <v>0</v>
          </cell>
        </row>
        <row r="3483">
          <cell r="G3483" t="str">
            <v>X1011_1</v>
          </cell>
          <cell r="H3483" t="str">
            <v>as-as</v>
          </cell>
          <cell r="I3483" t="str">
            <v>sim</v>
          </cell>
          <cell r="V3483" t="str">
            <v>antonym</v>
          </cell>
          <cell r="Y3483" t="str">
            <v>Past</v>
          </cell>
          <cell r="Z3483">
            <v>1.96</v>
          </cell>
          <cell r="AA3483" t="str">
            <v>L</v>
          </cell>
          <cell r="AB3483">
            <v>0</v>
          </cell>
        </row>
        <row r="3484">
          <cell r="G3484" t="str">
            <v>X1012_0</v>
          </cell>
          <cell r="H3484" t="str">
            <v>as-as</v>
          </cell>
          <cell r="I3484" t="str">
            <v>sim</v>
          </cell>
          <cell r="V3484" t="str">
            <v>antonym</v>
          </cell>
          <cell r="Y3484" t="str">
            <v>Past</v>
          </cell>
          <cell r="Z3484">
            <v>4.72</v>
          </cell>
          <cell r="AA3484">
            <v>0</v>
          </cell>
          <cell r="AB3484">
            <v>0</v>
          </cell>
        </row>
        <row r="3485">
          <cell r="G3485" t="str">
            <v>X1012_1</v>
          </cell>
          <cell r="H3485" t="str">
            <v>as-as</v>
          </cell>
          <cell r="I3485" t="str">
            <v>sim</v>
          </cell>
          <cell r="V3485" t="str">
            <v>antonym</v>
          </cell>
          <cell r="Y3485" t="str">
            <v>Past</v>
          </cell>
          <cell r="Z3485">
            <v>4.72</v>
          </cell>
          <cell r="AA3485">
            <v>0</v>
          </cell>
          <cell r="AB3485">
            <v>0</v>
          </cell>
        </row>
        <row r="3486">
          <cell r="G3486" t="str">
            <v>X1013_0</v>
          </cell>
          <cell r="H3486" t="str">
            <v>as-as</v>
          </cell>
          <cell r="I3486" t="str">
            <v>sim</v>
          </cell>
          <cell r="V3486" t="str">
            <v>not neg pair</v>
          </cell>
          <cell r="Y3486" t="str">
            <v>Past</v>
          </cell>
          <cell r="Z3486">
            <v>4.25</v>
          </cell>
          <cell r="AA3486">
            <v>0</v>
          </cell>
          <cell r="AB3486">
            <v>0</v>
          </cell>
        </row>
        <row r="3487">
          <cell r="G3487" t="str">
            <v>X1013_1</v>
          </cell>
          <cell r="H3487" t="str">
            <v>as-as</v>
          </cell>
          <cell r="I3487" t="str">
            <v>sim</v>
          </cell>
          <cell r="V3487" t="str">
            <v>not neg pair</v>
          </cell>
          <cell r="Y3487" t="str">
            <v>Past</v>
          </cell>
          <cell r="Z3487">
            <v>4.25</v>
          </cell>
          <cell r="AA3487">
            <v>0</v>
          </cell>
          <cell r="AB3487">
            <v>0</v>
          </cell>
        </row>
        <row r="3488">
          <cell r="G3488" t="str">
            <v>X1014_0</v>
          </cell>
          <cell r="H3488" t="str">
            <v/>
          </cell>
          <cell r="I3488" t="str">
            <v>met</v>
          </cell>
          <cell r="V3488" t="str">
            <v>0</v>
          </cell>
          <cell r="Y3488" t="str">
            <v>Pres</v>
          </cell>
          <cell r="Z3488">
            <v>3.93</v>
          </cell>
          <cell r="AA3488">
            <v>0</v>
          </cell>
          <cell r="AB3488">
            <v>0</v>
          </cell>
        </row>
        <row r="3489">
          <cell r="G3489" t="str">
            <v>X1014_1</v>
          </cell>
          <cell r="H3489" t="str">
            <v/>
          </cell>
          <cell r="I3489" t="str">
            <v>met</v>
          </cell>
          <cell r="V3489" t="str">
            <v>0</v>
          </cell>
          <cell r="Y3489" t="str">
            <v>Pres</v>
          </cell>
          <cell r="Z3489">
            <v>3.93</v>
          </cell>
          <cell r="AA3489">
            <v>0</v>
          </cell>
          <cell r="AB3489">
            <v>0</v>
          </cell>
        </row>
        <row r="3490">
          <cell r="G3490" t="str">
            <v>X1015_0</v>
          </cell>
          <cell r="H3490" t="str">
            <v/>
          </cell>
          <cell r="I3490" t="str">
            <v>met</v>
          </cell>
          <cell r="V3490" t="str">
            <v>0</v>
          </cell>
          <cell r="Y3490" t="str">
            <v>Pres</v>
          </cell>
          <cell r="Z3490">
            <v>0</v>
          </cell>
          <cell r="AA3490">
            <v>0</v>
          </cell>
          <cell r="AB3490">
            <v>0</v>
          </cell>
        </row>
        <row r="3491">
          <cell r="G3491" t="str">
            <v>X1015_1</v>
          </cell>
          <cell r="H3491" t="str">
            <v/>
          </cell>
          <cell r="I3491" t="str">
            <v>met</v>
          </cell>
          <cell r="V3491" t="str">
            <v>0</v>
          </cell>
          <cell r="Y3491" t="str">
            <v>Pres</v>
          </cell>
          <cell r="Z3491">
            <v>4.72</v>
          </cell>
          <cell r="AA3491">
            <v>0</v>
          </cell>
          <cell r="AB3491">
            <v>0</v>
          </cell>
        </row>
        <row r="3492">
          <cell r="G3492" t="str">
            <v>X1016_0</v>
          </cell>
          <cell r="H3492" t="str">
            <v/>
          </cell>
          <cell r="I3492" t="str">
            <v>met</v>
          </cell>
          <cell r="V3492" t="str">
            <v>0</v>
          </cell>
          <cell r="Y3492" t="str">
            <v>Pres</v>
          </cell>
          <cell r="Z3492">
            <v>4.25</v>
          </cell>
          <cell r="AA3492">
            <v>0</v>
          </cell>
          <cell r="AB3492">
            <v>0</v>
          </cell>
        </row>
        <row r="3493">
          <cell r="G3493" t="str">
            <v>X1016_1</v>
          </cell>
          <cell r="H3493" t="str">
            <v/>
          </cell>
          <cell r="I3493" t="str">
            <v>met</v>
          </cell>
          <cell r="V3493" t="str">
            <v>0</v>
          </cell>
          <cell r="Y3493" t="str">
            <v>Pres</v>
          </cell>
          <cell r="Z3493">
            <v>4.25</v>
          </cell>
          <cell r="AA3493">
            <v>0</v>
          </cell>
          <cell r="AB3493">
            <v>0</v>
          </cell>
        </row>
        <row r="3494">
          <cell r="G3494" t="str">
            <v>X1017_0</v>
          </cell>
          <cell r="H3494" t="str">
            <v>like</v>
          </cell>
          <cell r="I3494" t="str">
            <v>sim</v>
          </cell>
          <cell r="V3494" t="str">
            <v>not</v>
          </cell>
          <cell r="Y3494" t="str">
            <v>Pres</v>
          </cell>
          <cell r="Z3494">
            <v>3.36</v>
          </cell>
          <cell r="AA3494">
            <v>0</v>
          </cell>
          <cell r="AB3494">
            <v>0</v>
          </cell>
        </row>
        <row r="3495">
          <cell r="G3495" t="str">
            <v>X1017_1</v>
          </cell>
          <cell r="H3495" t="str">
            <v>like</v>
          </cell>
          <cell r="I3495" t="str">
            <v>sim</v>
          </cell>
          <cell r="V3495" t="str">
            <v>not</v>
          </cell>
          <cell r="Y3495" t="str">
            <v>Pres</v>
          </cell>
          <cell r="Z3495">
            <v>3.36</v>
          </cell>
          <cell r="AA3495">
            <v>0</v>
          </cell>
          <cell r="AB3495">
            <v>0</v>
          </cell>
        </row>
        <row r="3496">
          <cell r="G3496" t="str">
            <v>X1018_0</v>
          </cell>
          <cell r="H3496" t="str">
            <v>the-of</v>
          </cell>
          <cell r="I3496" t="str">
            <v>sim</v>
          </cell>
          <cell r="V3496" t="str">
            <v>not neg pair</v>
          </cell>
          <cell r="Y3496" t="str">
            <v>Past</v>
          </cell>
          <cell r="Z3496">
            <v>4.8899999999999997</v>
          </cell>
          <cell r="AA3496">
            <v>0</v>
          </cell>
          <cell r="AB3496">
            <v>0</v>
          </cell>
        </row>
        <row r="3497">
          <cell r="G3497" t="str">
            <v>X1018_1</v>
          </cell>
          <cell r="H3497" t="str">
            <v>the-of</v>
          </cell>
          <cell r="I3497" t="str">
            <v>sim</v>
          </cell>
          <cell r="V3497" t="str">
            <v>not neg pair</v>
          </cell>
          <cell r="Y3497" t="str">
            <v>Past</v>
          </cell>
          <cell r="Z3497">
            <v>4.8899999999999997</v>
          </cell>
          <cell r="AA3497">
            <v>0</v>
          </cell>
          <cell r="AB3497">
            <v>0</v>
          </cell>
        </row>
        <row r="3498">
          <cell r="G3498" t="str">
            <v>X1019_0</v>
          </cell>
          <cell r="H3498" t="str">
            <v>the-of</v>
          </cell>
          <cell r="I3498" t="str">
            <v>sim</v>
          </cell>
          <cell r="V3498" t="str">
            <v>not neg pair</v>
          </cell>
          <cell r="Y3498" t="str">
            <v>Past</v>
          </cell>
          <cell r="Z3498">
            <v>3.36</v>
          </cell>
          <cell r="AA3498">
            <v>0</v>
          </cell>
          <cell r="AB3498">
            <v>0</v>
          </cell>
        </row>
        <row r="3499">
          <cell r="G3499" t="str">
            <v>X1019_1</v>
          </cell>
          <cell r="H3499" t="str">
            <v>the-of</v>
          </cell>
          <cell r="I3499" t="str">
            <v>sim</v>
          </cell>
          <cell r="V3499" t="str">
            <v>not neg pair</v>
          </cell>
          <cell r="Y3499" t="str">
            <v>Past</v>
          </cell>
          <cell r="Z3499">
            <v>3.36</v>
          </cell>
          <cell r="AA3499">
            <v>0</v>
          </cell>
          <cell r="AB3499">
            <v>0</v>
          </cell>
        </row>
        <row r="3500">
          <cell r="G3500" t="str">
            <v>X1020_0</v>
          </cell>
          <cell r="H3500" t="str">
            <v/>
          </cell>
          <cell r="I3500" t="str">
            <v>met</v>
          </cell>
          <cell r="V3500" t="str">
            <v>0</v>
          </cell>
          <cell r="Y3500" t="str">
            <v>Pres</v>
          </cell>
          <cell r="Z3500">
            <v>4.97</v>
          </cell>
          <cell r="AA3500" t="str">
            <v>H</v>
          </cell>
          <cell r="AB3500">
            <v>0</v>
          </cell>
        </row>
        <row r="3501">
          <cell r="G3501" t="str">
            <v>X1020_1</v>
          </cell>
          <cell r="H3501" t="str">
            <v/>
          </cell>
          <cell r="I3501" t="str">
            <v>met</v>
          </cell>
          <cell r="V3501" t="str">
            <v>0</v>
          </cell>
          <cell r="Y3501" t="str">
            <v>Pres</v>
          </cell>
          <cell r="Z3501">
            <v>4.97</v>
          </cell>
          <cell r="AA3501" t="str">
            <v>H</v>
          </cell>
          <cell r="AB3501">
            <v>0</v>
          </cell>
        </row>
        <row r="3502">
          <cell r="G3502" t="str">
            <v>X1021_0</v>
          </cell>
          <cell r="H3502" t="str">
            <v/>
          </cell>
          <cell r="I3502" t="str">
            <v>met</v>
          </cell>
          <cell r="V3502" t="str">
            <v>0</v>
          </cell>
          <cell r="Y3502" t="str">
            <v>Pres</v>
          </cell>
          <cell r="Z3502">
            <v>4.78</v>
          </cell>
          <cell r="AA3502">
            <v>0</v>
          </cell>
          <cell r="AB3502">
            <v>0</v>
          </cell>
        </row>
        <row r="3503">
          <cell r="G3503" t="str">
            <v>X1021_1</v>
          </cell>
          <cell r="H3503" t="str">
            <v/>
          </cell>
          <cell r="I3503" t="str">
            <v>met</v>
          </cell>
          <cell r="V3503" t="str">
            <v>0</v>
          </cell>
          <cell r="Y3503" t="str">
            <v>Pres</v>
          </cell>
          <cell r="Z3503">
            <v>4.78</v>
          </cell>
          <cell r="AA3503">
            <v>0</v>
          </cell>
          <cell r="AB3503">
            <v>0</v>
          </cell>
        </row>
        <row r="3504">
          <cell r="G3504" t="str">
            <v>X1022_0</v>
          </cell>
          <cell r="H3504" t="str">
            <v/>
          </cell>
          <cell r="I3504" t="str">
            <v>met</v>
          </cell>
          <cell r="V3504" t="str">
            <v>0</v>
          </cell>
          <cell r="Y3504" t="str">
            <v>Pres</v>
          </cell>
          <cell r="Z3504">
            <v>4.1100000000000003</v>
          </cell>
          <cell r="AA3504">
            <v>0</v>
          </cell>
          <cell r="AB3504">
            <v>0</v>
          </cell>
        </row>
        <row r="3505">
          <cell r="G3505" t="str">
            <v>X1022_1</v>
          </cell>
          <cell r="H3505" t="str">
            <v/>
          </cell>
          <cell r="I3505" t="str">
            <v>met</v>
          </cell>
          <cell r="V3505" t="str">
            <v>0</v>
          </cell>
          <cell r="Y3505" t="str">
            <v>Pres</v>
          </cell>
          <cell r="Z3505">
            <v>4.1100000000000003</v>
          </cell>
          <cell r="AA3505">
            <v>0</v>
          </cell>
          <cell r="AB3505">
            <v>0</v>
          </cell>
        </row>
        <row r="3506">
          <cell r="G3506" t="str">
            <v>X1023_0</v>
          </cell>
          <cell r="H3506" t="str">
            <v/>
          </cell>
          <cell r="I3506" t="str">
            <v>met</v>
          </cell>
          <cell r="V3506" t="str">
            <v>0</v>
          </cell>
          <cell r="Y3506" t="str">
            <v>Pres</v>
          </cell>
          <cell r="Z3506">
            <v>2.5</v>
          </cell>
          <cell r="AA3506" t="str">
            <v>L</v>
          </cell>
          <cell r="AB3506">
            <v>0</v>
          </cell>
        </row>
        <row r="3507">
          <cell r="G3507" t="str">
            <v>X1023_1</v>
          </cell>
          <cell r="H3507" t="str">
            <v>the-of</v>
          </cell>
          <cell r="I3507" t="str">
            <v>sim</v>
          </cell>
          <cell r="V3507" t="str">
            <v>0</v>
          </cell>
          <cell r="Y3507" t="str">
            <v>Pres</v>
          </cell>
          <cell r="Z3507">
            <v>2.5</v>
          </cell>
          <cell r="AA3507" t="str">
            <v>L</v>
          </cell>
          <cell r="AB3507">
            <v>0</v>
          </cell>
        </row>
        <row r="3508">
          <cell r="G3508" t="str">
            <v>X1024_0</v>
          </cell>
          <cell r="H3508" t="str">
            <v/>
          </cell>
          <cell r="I3508" t="str">
            <v>met</v>
          </cell>
          <cell r="V3508" t="str">
            <v>0</v>
          </cell>
          <cell r="Y3508" t="str">
            <v>Pres</v>
          </cell>
          <cell r="Z3508">
            <v>4.72</v>
          </cell>
          <cell r="AA3508">
            <v>0</v>
          </cell>
          <cell r="AB3508">
            <v>0</v>
          </cell>
        </row>
        <row r="3509">
          <cell r="G3509" t="str">
            <v>X1024_1</v>
          </cell>
          <cell r="H3509" t="str">
            <v/>
          </cell>
          <cell r="I3509" t="str">
            <v>met</v>
          </cell>
          <cell r="V3509" t="str">
            <v>0</v>
          </cell>
          <cell r="Y3509" t="str">
            <v>Pres</v>
          </cell>
          <cell r="Z3509">
            <v>4.72</v>
          </cell>
          <cell r="AA3509">
            <v>0</v>
          </cell>
          <cell r="AB3509">
            <v>0</v>
          </cell>
        </row>
        <row r="3510">
          <cell r="G3510" t="str">
            <v>X1025_0</v>
          </cell>
          <cell r="H3510" t="str">
            <v/>
          </cell>
          <cell r="I3510" t="str">
            <v>met</v>
          </cell>
          <cell r="V3510" t="str">
            <v>0</v>
          </cell>
          <cell r="Y3510" t="str">
            <v>Pres</v>
          </cell>
          <cell r="Z3510">
            <v>4.25</v>
          </cell>
          <cell r="AA3510">
            <v>0</v>
          </cell>
          <cell r="AB3510">
            <v>0</v>
          </cell>
        </row>
        <row r="3511">
          <cell r="G3511" t="str">
            <v>X1025_1</v>
          </cell>
          <cell r="H3511" t="str">
            <v/>
          </cell>
          <cell r="I3511" t="str">
            <v>met</v>
          </cell>
          <cell r="V3511" t="str">
            <v>0</v>
          </cell>
          <cell r="Y3511" t="str">
            <v>Pres</v>
          </cell>
          <cell r="Z3511">
            <v>4.25</v>
          </cell>
          <cell r="AA3511">
            <v>0</v>
          </cell>
          <cell r="AB3511">
            <v>0</v>
          </cell>
        </row>
        <row r="3512">
          <cell r="G3512" t="str">
            <v>X1026_0</v>
          </cell>
          <cell r="H3512" t="str">
            <v>the-of</v>
          </cell>
          <cell r="I3512" t="str">
            <v>sim</v>
          </cell>
          <cell r="V3512" t="str">
            <v>not neg pair</v>
          </cell>
          <cell r="Y3512" t="str">
            <v>Pres</v>
          </cell>
          <cell r="Z3512">
            <v>3.48</v>
          </cell>
          <cell r="AA3512">
            <v>0</v>
          </cell>
          <cell r="AB3512">
            <v>0</v>
          </cell>
        </row>
        <row r="3513">
          <cell r="G3513" t="str">
            <v>X1026_1</v>
          </cell>
          <cell r="H3513" t="str">
            <v>like</v>
          </cell>
          <cell r="I3513" t="str">
            <v>sim</v>
          </cell>
          <cell r="V3513" t="str">
            <v>not neg pair</v>
          </cell>
          <cell r="Y3513" t="str">
            <v>Pres</v>
          </cell>
          <cell r="Z3513">
            <v>3.48</v>
          </cell>
          <cell r="AA3513">
            <v>0</v>
          </cell>
          <cell r="AB3513">
            <v>0</v>
          </cell>
        </row>
        <row r="3514">
          <cell r="G3514" t="str">
            <v>X1027_0</v>
          </cell>
          <cell r="H3514" t="str">
            <v>as-as</v>
          </cell>
          <cell r="I3514" t="str">
            <v>sim</v>
          </cell>
          <cell r="V3514" t="str">
            <v>antonym</v>
          </cell>
          <cell r="Y3514" t="str">
            <v>Pres</v>
          </cell>
          <cell r="Z3514">
            <v>4.72</v>
          </cell>
          <cell r="AA3514">
            <v>0</v>
          </cell>
          <cell r="AB3514">
            <v>0</v>
          </cell>
        </row>
        <row r="3515">
          <cell r="G3515" t="str">
            <v>X1027_1</v>
          </cell>
          <cell r="H3515" t="str">
            <v>as-as</v>
          </cell>
          <cell r="I3515" t="str">
            <v>sim</v>
          </cell>
          <cell r="V3515" t="str">
            <v>antonym</v>
          </cell>
          <cell r="Y3515" t="str">
            <v>Pres</v>
          </cell>
          <cell r="Z3515">
            <v>4.72</v>
          </cell>
          <cell r="AA3515">
            <v>0</v>
          </cell>
          <cell r="AB3515">
            <v>0</v>
          </cell>
        </row>
        <row r="3516">
          <cell r="G3516" t="str">
            <v>X1028_0</v>
          </cell>
          <cell r="H3516" t="str">
            <v/>
          </cell>
          <cell r="I3516" t="str">
            <v>met</v>
          </cell>
          <cell r="V3516" t="str">
            <v>0</v>
          </cell>
          <cell r="Y3516" t="str">
            <v>Pres</v>
          </cell>
          <cell r="Z3516">
            <v>1.81</v>
          </cell>
          <cell r="AA3516" t="str">
            <v>L</v>
          </cell>
          <cell r="AB3516">
            <v>0</v>
          </cell>
        </row>
        <row r="3517">
          <cell r="G3517" t="str">
            <v>X1028_1</v>
          </cell>
          <cell r="H3517" t="str">
            <v/>
          </cell>
          <cell r="I3517" t="str">
            <v>met</v>
          </cell>
          <cell r="V3517" t="str">
            <v>0</v>
          </cell>
          <cell r="Y3517" t="str">
            <v>Pres</v>
          </cell>
          <cell r="Z3517">
            <v>1.81</v>
          </cell>
          <cell r="AA3517" t="str">
            <v>L</v>
          </cell>
          <cell r="AB3517">
            <v>0</v>
          </cell>
        </row>
        <row r="3518">
          <cell r="G3518" t="str">
            <v>X1029_0</v>
          </cell>
          <cell r="H3518" t="str">
            <v>as-as</v>
          </cell>
          <cell r="I3518" t="str">
            <v>sim</v>
          </cell>
          <cell r="V3518" t="str">
            <v>antonym</v>
          </cell>
          <cell r="Y3518" t="str">
            <v>Pres</v>
          </cell>
          <cell r="Z3518">
            <v>2.81</v>
          </cell>
          <cell r="AA3518">
            <v>0</v>
          </cell>
          <cell r="AB3518">
            <v>0</v>
          </cell>
        </row>
        <row r="3519">
          <cell r="G3519" t="str">
            <v>X1029_1</v>
          </cell>
          <cell r="H3519" t="str">
            <v>as-as</v>
          </cell>
          <cell r="I3519" t="str">
            <v>sim</v>
          </cell>
          <cell r="V3519" t="str">
            <v>antonym</v>
          </cell>
          <cell r="Y3519" t="str">
            <v>Pres</v>
          </cell>
          <cell r="Z3519">
            <v>2.81</v>
          </cell>
          <cell r="AA3519">
            <v>0</v>
          </cell>
          <cell r="AB3519">
            <v>0</v>
          </cell>
        </row>
        <row r="3520">
          <cell r="G3520" t="str">
            <v>X1030_0</v>
          </cell>
          <cell r="H3520" t="str">
            <v>as-as</v>
          </cell>
          <cell r="I3520" t="str">
            <v>sim</v>
          </cell>
          <cell r="V3520" t="str">
            <v>antonym</v>
          </cell>
          <cell r="Y3520" t="str">
            <v>Pres</v>
          </cell>
          <cell r="Z3520">
            <v>2.81</v>
          </cell>
          <cell r="AA3520">
            <v>0</v>
          </cell>
          <cell r="AB3520">
            <v>0</v>
          </cell>
        </row>
        <row r="3521">
          <cell r="G3521" t="str">
            <v>X1030_1</v>
          </cell>
          <cell r="H3521" t="str">
            <v>as-as</v>
          </cell>
          <cell r="I3521" t="str">
            <v>sim</v>
          </cell>
          <cell r="V3521" t="str">
            <v>antonym</v>
          </cell>
          <cell r="Y3521" t="str">
            <v>Pres</v>
          </cell>
          <cell r="Z3521">
            <v>2.81</v>
          </cell>
          <cell r="AA3521">
            <v>0</v>
          </cell>
          <cell r="AB3521">
            <v>0</v>
          </cell>
        </row>
        <row r="3522">
          <cell r="G3522" t="str">
            <v>X1031_0</v>
          </cell>
          <cell r="H3522" t="str">
            <v>as-as</v>
          </cell>
          <cell r="I3522" t="str">
            <v>sim</v>
          </cell>
          <cell r="V3522" t="str">
            <v>antonym</v>
          </cell>
          <cell r="Y3522" t="str">
            <v>Pres</v>
          </cell>
          <cell r="Z3522">
            <v>2.81</v>
          </cell>
          <cell r="AA3522">
            <v>0</v>
          </cell>
          <cell r="AB3522">
            <v>0</v>
          </cell>
        </row>
        <row r="3523">
          <cell r="G3523" t="str">
            <v>X1031_1</v>
          </cell>
          <cell r="H3523" t="str">
            <v>as-as</v>
          </cell>
          <cell r="I3523" t="str">
            <v>sim</v>
          </cell>
          <cell r="V3523" t="str">
            <v>antonym</v>
          </cell>
          <cell r="Y3523" t="str">
            <v>Pres</v>
          </cell>
          <cell r="Z3523">
            <v>2.81</v>
          </cell>
          <cell r="AA3523">
            <v>0</v>
          </cell>
          <cell r="AB3523">
            <v>0</v>
          </cell>
        </row>
        <row r="3524">
          <cell r="G3524" t="str">
            <v>X1032_0</v>
          </cell>
          <cell r="H3524" t="str">
            <v>as-as</v>
          </cell>
          <cell r="I3524" t="str">
            <v>sim</v>
          </cell>
          <cell r="V3524" t="str">
            <v>antonym</v>
          </cell>
          <cell r="Y3524" t="str">
            <v>Past</v>
          </cell>
          <cell r="Z3524">
            <v>2.8</v>
          </cell>
          <cell r="AA3524" t="str">
            <v>L</v>
          </cell>
          <cell r="AB3524">
            <v>0</v>
          </cell>
        </row>
        <row r="3525">
          <cell r="G3525" t="str">
            <v>X1032_1</v>
          </cell>
          <cell r="H3525" t="str">
            <v>as-as</v>
          </cell>
          <cell r="I3525" t="str">
            <v>sim</v>
          </cell>
          <cell r="V3525" t="str">
            <v>antonym</v>
          </cell>
          <cell r="Y3525" t="str">
            <v>Past</v>
          </cell>
          <cell r="Z3525">
            <v>2.8</v>
          </cell>
          <cell r="AA3525" t="str">
            <v>L</v>
          </cell>
          <cell r="AB3525">
            <v>0</v>
          </cell>
        </row>
        <row r="3526">
          <cell r="G3526" t="str">
            <v>X1033_0</v>
          </cell>
          <cell r="H3526" t="str">
            <v>as-as</v>
          </cell>
          <cell r="I3526" t="str">
            <v>sim</v>
          </cell>
          <cell r="V3526" t="str">
            <v>not</v>
          </cell>
          <cell r="Y3526" t="str">
            <v>Past</v>
          </cell>
          <cell r="Z3526">
            <v>3.43</v>
          </cell>
          <cell r="AA3526">
            <v>0</v>
          </cell>
          <cell r="AB3526">
            <v>0</v>
          </cell>
        </row>
        <row r="3527">
          <cell r="G3527" t="str">
            <v>X1033_1</v>
          </cell>
          <cell r="H3527" t="str">
            <v>as-as</v>
          </cell>
          <cell r="I3527" t="str">
            <v>sim</v>
          </cell>
          <cell r="V3527" t="str">
            <v>not</v>
          </cell>
          <cell r="Y3527" t="str">
            <v>Past</v>
          </cell>
          <cell r="Z3527">
            <v>3.43</v>
          </cell>
          <cell r="AA3527">
            <v>0</v>
          </cell>
          <cell r="AB3527">
            <v>0</v>
          </cell>
        </row>
        <row r="3528">
          <cell r="G3528" t="str">
            <v>X1034_0</v>
          </cell>
          <cell r="H3528" t="str">
            <v>as-as</v>
          </cell>
          <cell r="I3528" t="str">
            <v>sim</v>
          </cell>
          <cell r="V3528" t="str">
            <v>not</v>
          </cell>
          <cell r="Y3528" t="str">
            <v>Past</v>
          </cell>
          <cell r="Z3528">
            <v>4.26</v>
          </cell>
          <cell r="AA3528">
            <v>0</v>
          </cell>
          <cell r="AB3528">
            <v>0</v>
          </cell>
        </row>
        <row r="3529">
          <cell r="G3529" t="str">
            <v>X1034_1</v>
          </cell>
          <cell r="H3529" t="str">
            <v>as-as</v>
          </cell>
          <cell r="I3529" t="str">
            <v>sim</v>
          </cell>
          <cell r="V3529" t="str">
            <v>not</v>
          </cell>
          <cell r="Y3529" t="str">
            <v>Past</v>
          </cell>
          <cell r="Z3529">
            <v>4.26</v>
          </cell>
          <cell r="AA3529">
            <v>0</v>
          </cell>
          <cell r="AB3529">
            <v>0</v>
          </cell>
        </row>
        <row r="3530">
          <cell r="G3530" t="str">
            <v>X1035_0</v>
          </cell>
          <cell r="H3530" t="str">
            <v>the-of</v>
          </cell>
          <cell r="I3530" t="str">
            <v>sim</v>
          </cell>
          <cell r="V3530" t="str">
            <v>not neg pair</v>
          </cell>
          <cell r="Y3530" t="str">
            <v>Pres</v>
          </cell>
          <cell r="Z3530">
            <v>2.8</v>
          </cell>
          <cell r="AA3530" t="str">
            <v>L</v>
          </cell>
          <cell r="AB3530">
            <v>0</v>
          </cell>
        </row>
        <row r="3531">
          <cell r="G3531" t="str">
            <v>X1035_1</v>
          </cell>
          <cell r="H3531" t="str">
            <v>the-of</v>
          </cell>
          <cell r="I3531" t="str">
            <v>sim</v>
          </cell>
          <cell r="V3531" t="str">
            <v>not neg pair</v>
          </cell>
          <cell r="Y3531" t="str">
            <v>Pres</v>
          </cell>
          <cell r="Z3531">
            <v>2.8</v>
          </cell>
          <cell r="AA3531" t="str">
            <v>L</v>
          </cell>
          <cell r="AB3531">
            <v>0</v>
          </cell>
        </row>
        <row r="3532">
          <cell r="G3532" t="str">
            <v>X1036_0</v>
          </cell>
          <cell r="H3532" t="str">
            <v/>
          </cell>
          <cell r="I3532" t="str">
            <v>met</v>
          </cell>
          <cell r="V3532" t="str">
            <v>0</v>
          </cell>
          <cell r="Y3532" t="str">
            <v>Pres</v>
          </cell>
          <cell r="Z3532">
            <v>3.43</v>
          </cell>
          <cell r="AA3532">
            <v>0</v>
          </cell>
          <cell r="AB3532">
            <v>0</v>
          </cell>
        </row>
        <row r="3533">
          <cell r="G3533" t="str">
            <v>X1036_1</v>
          </cell>
          <cell r="H3533" t="str">
            <v/>
          </cell>
          <cell r="I3533" t="str">
            <v>met</v>
          </cell>
          <cell r="V3533" t="str">
            <v>0</v>
          </cell>
          <cell r="Y3533" t="str">
            <v>Pres</v>
          </cell>
          <cell r="Z3533">
            <v>3.43</v>
          </cell>
          <cell r="AA3533">
            <v>0</v>
          </cell>
          <cell r="AB3533">
            <v>0</v>
          </cell>
        </row>
        <row r="3534">
          <cell r="G3534" t="str">
            <v>X1037_0</v>
          </cell>
          <cell r="H3534" t="str">
            <v/>
          </cell>
          <cell r="I3534" t="str">
            <v>met</v>
          </cell>
          <cell r="V3534" t="str">
            <v>0</v>
          </cell>
          <cell r="Y3534" t="str">
            <v>Pres</v>
          </cell>
          <cell r="Z3534">
            <v>4.26</v>
          </cell>
          <cell r="AA3534">
            <v>0</v>
          </cell>
          <cell r="AB3534">
            <v>0</v>
          </cell>
        </row>
        <row r="3535">
          <cell r="G3535" t="str">
            <v>X1037_1</v>
          </cell>
          <cell r="H3535" t="str">
            <v/>
          </cell>
          <cell r="I3535" t="str">
            <v>met</v>
          </cell>
          <cell r="V3535" t="str">
            <v>0</v>
          </cell>
          <cell r="Y3535" t="str">
            <v>Pres</v>
          </cell>
          <cell r="Z3535">
            <v>4.26</v>
          </cell>
          <cell r="AA3535">
            <v>0</v>
          </cell>
          <cell r="AB3535">
            <v>0</v>
          </cell>
        </row>
        <row r="3536">
          <cell r="G3536" t="str">
            <v>X1038_0</v>
          </cell>
          <cell r="H3536" t="str">
            <v>like</v>
          </cell>
          <cell r="I3536" t="str">
            <v>sim</v>
          </cell>
          <cell r="V3536" t="str">
            <v>not</v>
          </cell>
          <cell r="Y3536" t="str">
            <v>Pres</v>
          </cell>
          <cell r="Z3536">
            <v>4.5599999999999996</v>
          </cell>
          <cell r="AA3536">
            <v>0</v>
          </cell>
          <cell r="AB3536">
            <v>0</v>
          </cell>
        </row>
        <row r="3537">
          <cell r="G3537" t="str">
            <v>X1038_1</v>
          </cell>
          <cell r="H3537" t="str">
            <v>like</v>
          </cell>
          <cell r="I3537" t="str">
            <v>sim</v>
          </cell>
          <cell r="V3537" t="str">
            <v>not</v>
          </cell>
          <cell r="Y3537" t="str">
            <v>Pres</v>
          </cell>
          <cell r="Z3537">
            <v>4.5599999999999996</v>
          </cell>
          <cell r="AA3537">
            <v>0</v>
          </cell>
          <cell r="AB3537">
            <v>0</v>
          </cell>
        </row>
        <row r="3538">
          <cell r="G3538" t="str">
            <v>X1039_0</v>
          </cell>
          <cell r="H3538" t="str">
            <v>like</v>
          </cell>
          <cell r="I3538" t="str">
            <v>sim</v>
          </cell>
          <cell r="V3538" t="str">
            <v>not neg pair</v>
          </cell>
          <cell r="Y3538" t="str">
            <v>Pres</v>
          </cell>
          <cell r="Z3538">
            <v>1.93</v>
          </cell>
          <cell r="AA3538" t="str">
            <v>L</v>
          </cell>
          <cell r="AB3538">
            <v>0</v>
          </cell>
        </row>
        <row r="3539">
          <cell r="G3539" t="str">
            <v>X1039_1</v>
          </cell>
          <cell r="H3539" t="str">
            <v>like</v>
          </cell>
          <cell r="I3539" t="str">
            <v>sim</v>
          </cell>
          <cell r="V3539" t="str">
            <v>not neg pair</v>
          </cell>
          <cell r="Y3539" t="str">
            <v>Pres</v>
          </cell>
          <cell r="Z3539">
            <v>1.93</v>
          </cell>
          <cell r="AA3539" t="str">
            <v>L</v>
          </cell>
          <cell r="AB3539">
            <v>0</v>
          </cell>
        </row>
        <row r="3540">
          <cell r="G3540" t="str">
            <v>X1040_0</v>
          </cell>
          <cell r="H3540" t="str">
            <v>like</v>
          </cell>
          <cell r="I3540" t="str">
            <v>sim</v>
          </cell>
          <cell r="V3540" t="str">
            <v>not neg pair</v>
          </cell>
          <cell r="Y3540" t="str">
            <v>Past</v>
          </cell>
          <cell r="Z3540">
            <v>4.97</v>
          </cell>
          <cell r="AA3540" t="str">
            <v>H</v>
          </cell>
          <cell r="AB3540">
            <v>0</v>
          </cell>
        </row>
        <row r="3541">
          <cell r="G3541" t="str">
            <v>X1040_1</v>
          </cell>
          <cell r="H3541" t="str">
            <v>like</v>
          </cell>
          <cell r="I3541" t="str">
            <v>sim</v>
          </cell>
          <cell r="V3541" t="str">
            <v>not neg pair</v>
          </cell>
          <cell r="Y3541" t="str">
            <v>Past</v>
          </cell>
          <cell r="Z3541">
            <v>4.97</v>
          </cell>
          <cell r="AA3541" t="str">
            <v>H</v>
          </cell>
          <cell r="AB3541">
            <v>0</v>
          </cell>
        </row>
        <row r="3542">
          <cell r="G3542" t="str">
            <v>X1041_0</v>
          </cell>
          <cell r="H3542" t="str">
            <v>as-as</v>
          </cell>
          <cell r="I3542" t="str">
            <v>sim</v>
          </cell>
          <cell r="V3542" t="str">
            <v>not</v>
          </cell>
          <cell r="Y3542" t="str">
            <v>Pres</v>
          </cell>
          <cell r="Z3542">
            <v>4.26</v>
          </cell>
          <cell r="AA3542">
            <v>0</v>
          </cell>
          <cell r="AB3542">
            <v>0</v>
          </cell>
        </row>
        <row r="3543">
          <cell r="G3543" t="str">
            <v>X1041_1</v>
          </cell>
          <cell r="H3543" t="str">
            <v>as-as</v>
          </cell>
          <cell r="I3543" t="str">
            <v>sim</v>
          </cell>
          <cell r="V3543" t="str">
            <v>not</v>
          </cell>
          <cell r="Y3543" t="str">
            <v>Pres</v>
          </cell>
          <cell r="Z3543">
            <v>4.26</v>
          </cell>
          <cell r="AA3543">
            <v>0</v>
          </cell>
          <cell r="AB3543">
            <v>0</v>
          </cell>
        </row>
        <row r="3544">
          <cell r="G3544" t="str">
            <v>X1042_0</v>
          </cell>
          <cell r="H3544" t="str">
            <v>like</v>
          </cell>
          <cell r="I3544" t="str">
            <v>sim</v>
          </cell>
          <cell r="V3544" t="str">
            <v>not neg pair</v>
          </cell>
          <cell r="Y3544" t="str">
            <v>Pres</v>
          </cell>
          <cell r="Z3544">
            <v>4.1100000000000003</v>
          </cell>
          <cell r="AA3544">
            <v>0</v>
          </cell>
          <cell r="AB3544">
            <v>0</v>
          </cell>
        </row>
        <row r="3545">
          <cell r="G3545" t="str">
            <v>X1042_1</v>
          </cell>
          <cell r="H3545" t="str">
            <v>like</v>
          </cell>
          <cell r="I3545" t="str">
            <v>sim</v>
          </cell>
          <cell r="V3545" t="str">
            <v>not neg pair</v>
          </cell>
          <cell r="Y3545" t="str">
            <v>Pres</v>
          </cell>
          <cell r="Z3545">
            <v>4.1100000000000003</v>
          </cell>
          <cell r="AA3545">
            <v>0</v>
          </cell>
          <cell r="AB3545">
            <v>0</v>
          </cell>
        </row>
        <row r="3546">
          <cell r="G3546" t="str">
            <v>X1043_0</v>
          </cell>
          <cell r="H3546" t="str">
            <v>like</v>
          </cell>
          <cell r="I3546" t="str">
            <v>sim</v>
          </cell>
          <cell r="V3546" t="str">
            <v>not neg pair</v>
          </cell>
          <cell r="Y3546" t="str">
            <v>Pres</v>
          </cell>
          <cell r="Z3546">
            <v>3.86</v>
          </cell>
          <cell r="AA3546">
            <v>0</v>
          </cell>
          <cell r="AB3546">
            <v>0</v>
          </cell>
        </row>
        <row r="3547">
          <cell r="G3547" t="str">
            <v>X1043_1</v>
          </cell>
          <cell r="H3547" t="str">
            <v>like</v>
          </cell>
          <cell r="I3547" t="str">
            <v>sim</v>
          </cell>
          <cell r="V3547" t="str">
            <v>not neg pair</v>
          </cell>
          <cell r="Y3547" t="str">
            <v>Pres</v>
          </cell>
          <cell r="Z3547">
            <v>3.86</v>
          </cell>
          <cell r="AA3547">
            <v>0</v>
          </cell>
          <cell r="AB3547">
            <v>0</v>
          </cell>
        </row>
        <row r="3548">
          <cell r="G3548" t="str">
            <v>X1044_0</v>
          </cell>
          <cell r="H3548" t="str">
            <v>as-as</v>
          </cell>
          <cell r="I3548" t="str">
            <v>sim</v>
          </cell>
          <cell r="V3548" t="str">
            <v>not neg pair</v>
          </cell>
          <cell r="Y3548" t="str">
            <v>Past</v>
          </cell>
          <cell r="Z3548">
            <v>2.33</v>
          </cell>
          <cell r="AA3548" t="str">
            <v>L</v>
          </cell>
          <cell r="AB3548">
            <v>0</v>
          </cell>
        </row>
        <row r="3549">
          <cell r="G3549" t="str">
            <v>X1044_1</v>
          </cell>
          <cell r="H3549" t="str">
            <v>as-as</v>
          </cell>
          <cell r="I3549" t="str">
            <v>sim</v>
          </cell>
          <cell r="V3549" t="str">
            <v>not neg pair</v>
          </cell>
          <cell r="Y3549" t="str">
            <v>Past</v>
          </cell>
          <cell r="Z3549">
            <v>2.33</v>
          </cell>
          <cell r="AA3549" t="str">
            <v>L</v>
          </cell>
          <cell r="AB3549">
            <v>0</v>
          </cell>
        </row>
        <row r="3550">
          <cell r="G3550" t="str">
            <v>X1045_0</v>
          </cell>
          <cell r="H3550" t="str">
            <v>the-of</v>
          </cell>
          <cell r="I3550" t="str">
            <v>sim</v>
          </cell>
          <cell r="V3550" t="str">
            <v>not neg pair</v>
          </cell>
          <cell r="Y3550" t="str">
            <v>Past</v>
          </cell>
          <cell r="Z3550">
            <v>3.93</v>
          </cell>
          <cell r="AA3550">
            <v>0</v>
          </cell>
          <cell r="AB3550">
            <v>0</v>
          </cell>
        </row>
        <row r="3551">
          <cell r="G3551" t="str">
            <v>X1045_1</v>
          </cell>
          <cell r="H3551" t="str">
            <v>the-of</v>
          </cell>
          <cell r="I3551" t="str">
            <v>sim</v>
          </cell>
          <cell r="V3551" t="str">
            <v>not neg pair</v>
          </cell>
          <cell r="Y3551" t="str">
            <v>Past</v>
          </cell>
          <cell r="Z3551">
            <v>3.93</v>
          </cell>
          <cell r="AA3551">
            <v>0</v>
          </cell>
          <cell r="AB3551">
            <v>0</v>
          </cell>
        </row>
        <row r="3552">
          <cell r="G3552" t="str">
            <v>X1046_0</v>
          </cell>
          <cell r="H3552" t="str">
            <v>as-as</v>
          </cell>
          <cell r="I3552" t="str">
            <v>sim</v>
          </cell>
          <cell r="V3552" t="str">
            <v>not</v>
          </cell>
          <cell r="Y3552" t="str">
            <v>Past</v>
          </cell>
          <cell r="Z3552">
            <v>4.83</v>
          </cell>
          <cell r="AA3552">
            <v>0</v>
          </cell>
          <cell r="AB3552">
            <v>0</v>
          </cell>
        </row>
        <row r="3553">
          <cell r="G3553" t="str">
            <v>X1046_1</v>
          </cell>
          <cell r="H3553" t="str">
            <v>as-as</v>
          </cell>
          <cell r="I3553" t="str">
            <v>sim</v>
          </cell>
          <cell r="V3553" t="str">
            <v>not</v>
          </cell>
          <cell r="Y3553" t="str">
            <v>Past</v>
          </cell>
          <cell r="Z3553">
            <v>4.83</v>
          </cell>
          <cell r="AA3553">
            <v>0</v>
          </cell>
          <cell r="AB3553">
            <v>0</v>
          </cell>
        </row>
        <row r="3554">
          <cell r="G3554" t="str">
            <v>X1047_0</v>
          </cell>
          <cell r="H3554" t="str">
            <v/>
          </cell>
          <cell r="I3554" t="str">
            <v>met</v>
          </cell>
          <cell r="V3554" t="str">
            <v>0</v>
          </cell>
          <cell r="Y3554" t="str">
            <v>Past</v>
          </cell>
          <cell r="Z3554">
            <v>3.93</v>
          </cell>
          <cell r="AA3554">
            <v>0</v>
          </cell>
          <cell r="AB3554">
            <v>0</v>
          </cell>
        </row>
        <row r="3555">
          <cell r="G3555" t="str">
            <v>X1047_1</v>
          </cell>
          <cell r="H3555" t="str">
            <v/>
          </cell>
          <cell r="I3555" t="str">
            <v>met</v>
          </cell>
          <cell r="V3555" t="str">
            <v>0</v>
          </cell>
          <cell r="Y3555" t="str">
            <v>Past</v>
          </cell>
          <cell r="Z3555">
            <v>3.93</v>
          </cell>
          <cell r="AA3555">
            <v>0</v>
          </cell>
          <cell r="AB3555">
            <v>0</v>
          </cell>
        </row>
        <row r="3556">
          <cell r="G3556" t="str">
            <v>X1048_0</v>
          </cell>
          <cell r="H3556" t="str">
            <v>the-of</v>
          </cell>
          <cell r="I3556" t="str">
            <v>sim</v>
          </cell>
          <cell r="V3556" t="str">
            <v>not neg pair</v>
          </cell>
          <cell r="Y3556" t="str">
            <v>Past</v>
          </cell>
          <cell r="Z3556">
            <v>4.21</v>
          </cell>
          <cell r="AA3556">
            <v>0</v>
          </cell>
          <cell r="AB3556">
            <v>0</v>
          </cell>
        </row>
        <row r="3557">
          <cell r="G3557" t="str">
            <v>X1048_1</v>
          </cell>
          <cell r="H3557" t="str">
            <v>the-of</v>
          </cell>
          <cell r="I3557" t="str">
            <v>sim</v>
          </cell>
          <cell r="V3557" t="str">
            <v>not neg pair</v>
          </cell>
          <cell r="Y3557" t="str">
            <v>Past</v>
          </cell>
          <cell r="Z3557">
            <v>4.21</v>
          </cell>
          <cell r="AA3557">
            <v>0</v>
          </cell>
          <cell r="AB3557">
            <v>0</v>
          </cell>
        </row>
        <row r="3558">
          <cell r="G3558" t="str">
            <v>X1049_0</v>
          </cell>
          <cell r="H3558" t="str">
            <v>the-of</v>
          </cell>
          <cell r="I3558" t="str">
            <v>sim</v>
          </cell>
          <cell r="V3558" t="str">
            <v>not</v>
          </cell>
          <cell r="Y3558" t="str">
            <v>Past</v>
          </cell>
          <cell r="Z3558">
            <v>4.8499999999999996</v>
          </cell>
          <cell r="AA3558">
            <v>0</v>
          </cell>
          <cell r="AB3558">
            <v>0</v>
          </cell>
        </row>
        <row r="3559">
          <cell r="G3559" t="str">
            <v>X1049_1</v>
          </cell>
          <cell r="H3559" t="str">
            <v>as</v>
          </cell>
          <cell r="I3559" t="str">
            <v>sim</v>
          </cell>
          <cell r="V3559" t="str">
            <v>not</v>
          </cell>
          <cell r="Y3559" t="str">
            <v>Past</v>
          </cell>
          <cell r="Z3559">
            <v>4.8499999999999996</v>
          </cell>
          <cell r="AA3559">
            <v>0</v>
          </cell>
          <cell r="AB3559">
            <v>0</v>
          </cell>
        </row>
        <row r="3560">
          <cell r="G3560" t="str">
            <v>X1050_0</v>
          </cell>
          <cell r="H3560" t="str">
            <v>the-of</v>
          </cell>
          <cell r="I3560" t="str">
            <v>sim</v>
          </cell>
          <cell r="V3560" t="str">
            <v>not neg pair</v>
          </cell>
          <cell r="Y3560" t="str">
            <v>Pres</v>
          </cell>
          <cell r="Z3560">
            <v>4.26</v>
          </cell>
          <cell r="AA3560">
            <v>0</v>
          </cell>
          <cell r="AB3560">
            <v>0</v>
          </cell>
        </row>
        <row r="3561">
          <cell r="G3561" t="str">
            <v>X1050_1</v>
          </cell>
          <cell r="H3561" t="str">
            <v>the-of</v>
          </cell>
          <cell r="I3561" t="str">
            <v>sim</v>
          </cell>
          <cell r="V3561" t="str">
            <v>not neg pair</v>
          </cell>
          <cell r="Y3561" t="str">
            <v>Pres</v>
          </cell>
          <cell r="Z3561">
            <v>4.26</v>
          </cell>
          <cell r="AA3561">
            <v>0</v>
          </cell>
          <cell r="AB3561">
            <v>0</v>
          </cell>
        </row>
        <row r="3562">
          <cell r="G3562" t="str">
            <v>X1051_0</v>
          </cell>
          <cell r="H3562" t="str">
            <v>the-of</v>
          </cell>
          <cell r="I3562" t="str">
            <v>sim</v>
          </cell>
          <cell r="V3562" t="str">
            <v>not neg pair</v>
          </cell>
          <cell r="Y3562" t="str">
            <v>Pres</v>
          </cell>
          <cell r="Z3562">
            <v>4.55</v>
          </cell>
          <cell r="AA3562">
            <v>0</v>
          </cell>
          <cell r="AB3562">
            <v>0</v>
          </cell>
        </row>
        <row r="3563">
          <cell r="G3563" t="str">
            <v>X1051_1</v>
          </cell>
          <cell r="H3563" t="str">
            <v>the-of</v>
          </cell>
          <cell r="I3563" t="str">
            <v>sim</v>
          </cell>
          <cell r="V3563" t="str">
            <v>not neg pair</v>
          </cell>
          <cell r="Y3563" t="str">
            <v>Pres</v>
          </cell>
          <cell r="Z3563">
            <v>4.55</v>
          </cell>
          <cell r="AA3563">
            <v>0</v>
          </cell>
          <cell r="AB3563">
            <v>0</v>
          </cell>
        </row>
        <row r="3564">
          <cell r="G3564" t="str">
            <v>X1052_0</v>
          </cell>
          <cell r="H3564" t="str">
            <v>the-of</v>
          </cell>
          <cell r="I3564" t="str">
            <v>sim</v>
          </cell>
          <cell r="V3564" t="str">
            <v>not neg pair</v>
          </cell>
          <cell r="Y3564" t="str">
            <v>Pres</v>
          </cell>
          <cell r="Z3564">
            <v>4.93</v>
          </cell>
          <cell r="AA3564" t="str">
            <v>H</v>
          </cell>
          <cell r="AB3564">
            <v>0</v>
          </cell>
        </row>
        <row r="3565">
          <cell r="G3565" t="str">
            <v>X1052_1</v>
          </cell>
          <cell r="H3565" t="str">
            <v>the-of</v>
          </cell>
          <cell r="I3565" t="str">
            <v>sim</v>
          </cell>
          <cell r="V3565" t="str">
            <v>not neg pair</v>
          </cell>
          <cell r="Y3565" t="str">
            <v>Pres</v>
          </cell>
          <cell r="Z3565">
            <v>4.93</v>
          </cell>
          <cell r="AA3565" t="str">
            <v>H</v>
          </cell>
          <cell r="AB3565">
            <v>0</v>
          </cell>
        </row>
        <row r="3566">
          <cell r="G3566" t="str">
            <v>X1053_0</v>
          </cell>
          <cell r="H3566" t="str">
            <v>as-as</v>
          </cell>
          <cell r="I3566" t="str">
            <v>sim</v>
          </cell>
          <cell r="V3566" t="str">
            <v>not</v>
          </cell>
          <cell r="Y3566" t="str">
            <v>Pres</v>
          </cell>
          <cell r="Z3566">
            <v>2.81</v>
          </cell>
          <cell r="AA3566">
            <v>0</v>
          </cell>
          <cell r="AB3566">
            <v>0</v>
          </cell>
        </row>
        <row r="3567">
          <cell r="G3567" t="str">
            <v>X1053_1</v>
          </cell>
          <cell r="H3567" t="str">
            <v>as-as</v>
          </cell>
          <cell r="I3567" t="str">
            <v>sim</v>
          </cell>
          <cell r="V3567" t="str">
            <v>not</v>
          </cell>
          <cell r="Y3567" t="str">
            <v>Pres</v>
          </cell>
          <cell r="Z3567">
            <v>2.81</v>
          </cell>
          <cell r="AA3567">
            <v>0</v>
          </cell>
          <cell r="AB3567">
            <v>0</v>
          </cell>
        </row>
        <row r="3568">
          <cell r="G3568" t="str">
            <v>X1054_0</v>
          </cell>
          <cell r="H3568" t="str">
            <v>as-as</v>
          </cell>
          <cell r="I3568" t="str">
            <v>sim</v>
          </cell>
          <cell r="V3568" t="str">
            <v>not</v>
          </cell>
          <cell r="Y3568" t="str">
            <v>Pres</v>
          </cell>
          <cell r="Z3568">
            <v>3.36</v>
          </cell>
          <cell r="AA3568">
            <v>0</v>
          </cell>
          <cell r="AB3568">
            <v>0</v>
          </cell>
        </row>
        <row r="3569">
          <cell r="G3569" t="str">
            <v>X1054_1</v>
          </cell>
          <cell r="H3569" t="str">
            <v>as-as</v>
          </cell>
          <cell r="I3569" t="str">
            <v>sim</v>
          </cell>
          <cell r="V3569" t="str">
            <v>not</v>
          </cell>
          <cell r="Y3569" t="str">
            <v>Pres</v>
          </cell>
          <cell r="Z3569">
            <v>3.36</v>
          </cell>
          <cell r="AA3569">
            <v>0</v>
          </cell>
          <cell r="AB3569">
            <v>0</v>
          </cell>
        </row>
        <row r="3570">
          <cell r="G3570" t="str">
            <v>X1055_0</v>
          </cell>
          <cell r="H3570" t="str">
            <v>as-as</v>
          </cell>
          <cell r="I3570" t="str">
            <v>sim</v>
          </cell>
          <cell r="V3570" t="str">
            <v>not</v>
          </cell>
          <cell r="Y3570" t="str">
            <v>Pres</v>
          </cell>
          <cell r="Z3570">
            <v>2.81</v>
          </cell>
          <cell r="AA3570">
            <v>0</v>
          </cell>
          <cell r="AB3570">
            <v>0</v>
          </cell>
        </row>
        <row r="3571">
          <cell r="G3571" t="str">
            <v>X1055_1</v>
          </cell>
          <cell r="H3571" t="str">
            <v>as-as</v>
          </cell>
          <cell r="I3571" t="str">
            <v>sim</v>
          </cell>
          <cell r="V3571" t="str">
            <v>not</v>
          </cell>
          <cell r="Y3571" t="str">
            <v>Pres</v>
          </cell>
          <cell r="Z3571">
            <v>2.81</v>
          </cell>
          <cell r="AA3571">
            <v>0</v>
          </cell>
          <cell r="AB3571">
            <v>0</v>
          </cell>
        </row>
        <row r="3572">
          <cell r="G3572" t="str">
            <v>X1056_0</v>
          </cell>
          <cell r="H3572" t="str">
            <v/>
          </cell>
          <cell r="I3572" t="str">
            <v>met</v>
          </cell>
          <cell r="V3572" t="str">
            <v>0</v>
          </cell>
          <cell r="Y3572" t="str">
            <v>Pres</v>
          </cell>
          <cell r="Z3572">
            <v>4.79</v>
          </cell>
          <cell r="AA3572">
            <v>0</v>
          </cell>
          <cell r="AB3572">
            <v>0</v>
          </cell>
        </row>
        <row r="3573">
          <cell r="G3573" t="str">
            <v>X1056_1</v>
          </cell>
          <cell r="H3573" t="str">
            <v/>
          </cell>
          <cell r="I3573" t="str">
            <v>met</v>
          </cell>
          <cell r="V3573" t="str">
            <v>0</v>
          </cell>
          <cell r="Y3573" t="str">
            <v>Pres</v>
          </cell>
          <cell r="Z3573">
            <v>4.79</v>
          </cell>
          <cell r="AA3573">
            <v>0</v>
          </cell>
          <cell r="AB3573">
            <v>0</v>
          </cell>
        </row>
        <row r="3574">
          <cell r="G3574" t="str">
            <v>X1057_0</v>
          </cell>
          <cell r="H3574" t="str">
            <v>the-of</v>
          </cell>
          <cell r="I3574" t="str">
            <v>sim</v>
          </cell>
          <cell r="V3574" t="str">
            <v>not neg pair</v>
          </cell>
          <cell r="Y3574" t="str">
            <v>Pres</v>
          </cell>
          <cell r="Z3574">
            <v>4.59</v>
          </cell>
          <cell r="AA3574">
            <v>0</v>
          </cell>
          <cell r="AB3574">
            <v>0</v>
          </cell>
        </row>
        <row r="3575">
          <cell r="G3575" t="str">
            <v>X1057_1</v>
          </cell>
          <cell r="H3575" t="str">
            <v>the-of</v>
          </cell>
          <cell r="I3575" t="str">
            <v>sim</v>
          </cell>
          <cell r="V3575" t="str">
            <v>not neg pair</v>
          </cell>
          <cell r="Y3575" t="str">
            <v>Pres</v>
          </cell>
          <cell r="Z3575">
            <v>4</v>
          </cell>
          <cell r="AA3575">
            <v>0</v>
          </cell>
          <cell r="AB3575">
            <v>0</v>
          </cell>
        </row>
        <row r="3576">
          <cell r="G3576" t="str">
            <v>X1058_0</v>
          </cell>
          <cell r="H3576" t="str">
            <v/>
          </cell>
          <cell r="I3576" t="str">
            <v>met</v>
          </cell>
          <cell r="V3576" t="str">
            <v>0</v>
          </cell>
          <cell r="Y3576" t="str">
            <v>Pres</v>
          </cell>
          <cell r="Z3576">
            <v>5</v>
          </cell>
          <cell r="AA3576" t="str">
            <v>H</v>
          </cell>
          <cell r="AB3576">
            <v>0</v>
          </cell>
        </row>
        <row r="3577">
          <cell r="G3577" t="str">
            <v>X1058_1</v>
          </cell>
          <cell r="H3577" t="str">
            <v/>
          </cell>
          <cell r="I3577" t="str">
            <v>met</v>
          </cell>
          <cell r="V3577" t="str">
            <v>0</v>
          </cell>
          <cell r="Y3577" t="str">
            <v>Pres</v>
          </cell>
          <cell r="Z3577">
            <v>5</v>
          </cell>
          <cell r="AA3577" t="str">
            <v>H</v>
          </cell>
          <cell r="AB3577">
            <v>0</v>
          </cell>
        </row>
        <row r="3578">
          <cell r="G3578" t="str">
            <v>X1059_0</v>
          </cell>
          <cell r="H3578" t="str">
            <v>like</v>
          </cell>
          <cell r="I3578" t="str">
            <v>sim</v>
          </cell>
          <cell r="V3578" t="str">
            <v>not</v>
          </cell>
          <cell r="Y3578" t="str">
            <v>Past</v>
          </cell>
          <cell r="Z3578">
            <v>4.71</v>
          </cell>
          <cell r="AA3578">
            <v>0</v>
          </cell>
          <cell r="AB3578">
            <v>0</v>
          </cell>
        </row>
        <row r="3579">
          <cell r="G3579" t="str">
            <v>X1059_1</v>
          </cell>
          <cell r="H3579" t="str">
            <v>like</v>
          </cell>
          <cell r="I3579" t="str">
            <v>sim</v>
          </cell>
          <cell r="V3579" t="str">
            <v>not</v>
          </cell>
          <cell r="Y3579" t="str">
            <v>Pres</v>
          </cell>
          <cell r="Z3579">
            <v>4.71</v>
          </cell>
          <cell r="AA3579">
            <v>0</v>
          </cell>
          <cell r="AB3579">
            <v>0</v>
          </cell>
        </row>
        <row r="3580">
          <cell r="G3580" t="str">
            <v>X1060_0</v>
          </cell>
          <cell r="H3580" t="str">
            <v>the-of</v>
          </cell>
          <cell r="I3580" t="str">
            <v>sim</v>
          </cell>
          <cell r="V3580" t="str">
            <v>not neg pair</v>
          </cell>
          <cell r="Y3580" t="str">
            <v>Pres</v>
          </cell>
          <cell r="Z3580">
            <v>3.96</v>
          </cell>
          <cell r="AA3580">
            <v>0</v>
          </cell>
          <cell r="AB3580">
            <v>0</v>
          </cell>
        </row>
        <row r="3581">
          <cell r="G3581" t="str">
            <v>X1060_1</v>
          </cell>
          <cell r="H3581" t="str">
            <v>the-of</v>
          </cell>
          <cell r="I3581" t="str">
            <v>sim</v>
          </cell>
          <cell r="V3581" t="str">
            <v>not neg pair</v>
          </cell>
          <cell r="Y3581" t="str">
            <v>Pres</v>
          </cell>
          <cell r="Z3581">
            <v>3.96</v>
          </cell>
          <cell r="AA3581">
            <v>0</v>
          </cell>
          <cell r="AB3581">
            <v>0</v>
          </cell>
        </row>
        <row r="3582">
          <cell r="G3582" t="str">
            <v>X1061_0</v>
          </cell>
          <cell r="H3582" t="str">
            <v>the-of</v>
          </cell>
          <cell r="I3582" t="str">
            <v>sim</v>
          </cell>
          <cell r="V3582" t="str">
            <v>not neg pair</v>
          </cell>
          <cell r="Y3582" t="str">
            <v>Pres</v>
          </cell>
          <cell r="Z3582">
            <v>3.11</v>
          </cell>
          <cell r="AA3582">
            <v>0</v>
          </cell>
          <cell r="AB3582">
            <v>0</v>
          </cell>
        </row>
        <row r="3583">
          <cell r="G3583" t="str">
            <v>X1061_1</v>
          </cell>
          <cell r="H3583" t="str">
            <v>the-of</v>
          </cell>
          <cell r="I3583" t="str">
            <v>sim</v>
          </cell>
          <cell r="V3583" t="str">
            <v>not neg pair</v>
          </cell>
          <cell r="Y3583" t="str">
            <v>Pres</v>
          </cell>
          <cell r="Z3583">
            <v>3.11</v>
          </cell>
          <cell r="AA3583">
            <v>0</v>
          </cell>
          <cell r="AB3583">
            <v>0</v>
          </cell>
        </row>
        <row r="3584">
          <cell r="G3584" t="str">
            <v>X1062_0</v>
          </cell>
          <cell r="H3584" t="str">
            <v>as-as</v>
          </cell>
          <cell r="I3584" t="str">
            <v>sim</v>
          </cell>
          <cell r="V3584" t="str">
            <v>antonym</v>
          </cell>
          <cell r="Y3584" t="str">
            <v>Pres</v>
          </cell>
          <cell r="Z3584">
            <v>3.93</v>
          </cell>
          <cell r="AA3584">
            <v>0</v>
          </cell>
          <cell r="AB3584">
            <v>0</v>
          </cell>
        </row>
        <row r="3585">
          <cell r="G3585" t="str">
            <v>X1062_1</v>
          </cell>
          <cell r="H3585" t="str">
            <v>as-as</v>
          </cell>
          <cell r="I3585" t="str">
            <v>sim</v>
          </cell>
          <cell r="V3585" t="str">
            <v>antonym</v>
          </cell>
          <cell r="Y3585" t="str">
            <v>Pres</v>
          </cell>
          <cell r="Z3585">
            <v>3.93</v>
          </cell>
          <cell r="AA3585">
            <v>0</v>
          </cell>
          <cell r="AB3585">
            <v>0</v>
          </cell>
        </row>
        <row r="3586">
          <cell r="G3586" t="str">
            <v>X1063_0</v>
          </cell>
          <cell r="H3586" t="str">
            <v>as-as</v>
          </cell>
          <cell r="I3586" t="str">
            <v>sim</v>
          </cell>
          <cell r="V3586" t="str">
            <v>not</v>
          </cell>
          <cell r="Y3586" t="str">
            <v>Pres</v>
          </cell>
          <cell r="Z3586">
            <v>4.1100000000000003</v>
          </cell>
          <cell r="AA3586">
            <v>0</v>
          </cell>
          <cell r="AB3586">
            <v>0</v>
          </cell>
        </row>
        <row r="3587">
          <cell r="G3587" t="str">
            <v>X1063_1</v>
          </cell>
          <cell r="H3587" t="str">
            <v>as-as</v>
          </cell>
          <cell r="I3587" t="str">
            <v>sim</v>
          </cell>
          <cell r="V3587" t="str">
            <v>not</v>
          </cell>
          <cell r="Y3587" t="str">
            <v>Pres</v>
          </cell>
          <cell r="Z3587">
            <v>4.1100000000000003</v>
          </cell>
          <cell r="AA3587">
            <v>0</v>
          </cell>
          <cell r="AB3587">
            <v>0</v>
          </cell>
        </row>
        <row r="3588">
          <cell r="G3588" t="str">
            <v>X1064_0</v>
          </cell>
          <cell r="H3588" t="str">
            <v>as-as</v>
          </cell>
          <cell r="I3588" t="str">
            <v>sim</v>
          </cell>
          <cell r="V3588" t="str">
            <v>not</v>
          </cell>
          <cell r="Y3588" t="str">
            <v>Pres</v>
          </cell>
          <cell r="Z3588">
            <v>4.1100000000000003</v>
          </cell>
          <cell r="AA3588">
            <v>0</v>
          </cell>
          <cell r="AB3588">
            <v>0</v>
          </cell>
        </row>
        <row r="3589">
          <cell r="G3589" t="str">
            <v>X1064_1</v>
          </cell>
          <cell r="H3589" t="str">
            <v>as-as</v>
          </cell>
          <cell r="I3589" t="str">
            <v>sim</v>
          </cell>
          <cell r="V3589" t="str">
            <v>not</v>
          </cell>
          <cell r="Y3589" t="str">
            <v>Pres</v>
          </cell>
          <cell r="Z3589">
            <v>4.1100000000000003</v>
          </cell>
          <cell r="AA3589">
            <v>0</v>
          </cell>
          <cell r="AB3589">
            <v>0</v>
          </cell>
        </row>
        <row r="3590">
          <cell r="G3590" t="str">
            <v>X1065_0</v>
          </cell>
          <cell r="H3590" t="str">
            <v>the-of</v>
          </cell>
          <cell r="I3590" t="str">
            <v>sim</v>
          </cell>
          <cell r="V3590" t="str">
            <v>not neg pair</v>
          </cell>
          <cell r="Y3590" t="str">
            <v>Pres</v>
          </cell>
          <cell r="Z3590">
            <v>3.36</v>
          </cell>
          <cell r="AA3590">
            <v>0</v>
          </cell>
          <cell r="AB3590">
            <v>0</v>
          </cell>
        </row>
        <row r="3591">
          <cell r="G3591" t="str">
            <v>X1065_1</v>
          </cell>
          <cell r="H3591" t="str">
            <v>the-of</v>
          </cell>
          <cell r="I3591" t="str">
            <v>sim</v>
          </cell>
          <cell r="V3591" t="str">
            <v>not neg pair</v>
          </cell>
          <cell r="Y3591" t="str">
            <v>Pres</v>
          </cell>
          <cell r="Z3591">
            <v>3.36</v>
          </cell>
          <cell r="AA3591">
            <v>0</v>
          </cell>
          <cell r="AB3591">
            <v>0</v>
          </cell>
        </row>
        <row r="3592">
          <cell r="G3592" t="str">
            <v>X1066_0</v>
          </cell>
          <cell r="H3592" t="str">
            <v>as-as</v>
          </cell>
          <cell r="I3592" t="str">
            <v>sim</v>
          </cell>
          <cell r="V3592" t="str">
            <v>not</v>
          </cell>
          <cell r="Y3592" t="str">
            <v>Past</v>
          </cell>
          <cell r="Z3592">
            <v>5</v>
          </cell>
          <cell r="AA3592" t="str">
            <v>H</v>
          </cell>
          <cell r="AB3592">
            <v>0</v>
          </cell>
        </row>
        <row r="3593">
          <cell r="G3593" t="str">
            <v>X1066_1</v>
          </cell>
          <cell r="H3593" t="str">
            <v>as-as</v>
          </cell>
          <cell r="I3593" t="str">
            <v>sim</v>
          </cell>
          <cell r="V3593" t="str">
            <v>not</v>
          </cell>
          <cell r="Y3593" t="str">
            <v>Past</v>
          </cell>
          <cell r="Z3593">
            <v>5</v>
          </cell>
          <cell r="AA3593" t="str">
            <v>H</v>
          </cell>
          <cell r="AB3593">
            <v>0</v>
          </cell>
        </row>
        <row r="3594">
          <cell r="G3594" t="str">
            <v>X1067_0</v>
          </cell>
          <cell r="H3594" t="str">
            <v>as</v>
          </cell>
          <cell r="I3594" t="str">
            <v>sim</v>
          </cell>
          <cell r="V3594" t="str">
            <v>not neg pair</v>
          </cell>
          <cell r="Y3594" t="str">
            <v>Past</v>
          </cell>
          <cell r="Z3594">
            <v>4.76</v>
          </cell>
          <cell r="AA3594">
            <v>0</v>
          </cell>
          <cell r="AB3594">
            <v>0</v>
          </cell>
        </row>
        <row r="3595">
          <cell r="G3595" t="str">
            <v>X1067_1</v>
          </cell>
          <cell r="H3595" t="str">
            <v>as</v>
          </cell>
          <cell r="I3595" t="str">
            <v>sim</v>
          </cell>
          <cell r="V3595" t="str">
            <v>not neg pair</v>
          </cell>
          <cell r="Y3595" t="str">
            <v>Past</v>
          </cell>
          <cell r="Z3595">
            <v>4.76</v>
          </cell>
          <cell r="AA3595">
            <v>0</v>
          </cell>
          <cell r="AB3595">
            <v>0</v>
          </cell>
        </row>
        <row r="3596">
          <cell r="G3596" t="str">
            <v>X1068_0</v>
          </cell>
          <cell r="H3596" t="str">
            <v>as-as</v>
          </cell>
          <cell r="I3596" t="str">
            <v>sim</v>
          </cell>
          <cell r="V3596" t="str">
            <v>antonym</v>
          </cell>
          <cell r="Y3596" t="str">
            <v>Past</v>
          </cell>
          <cell r="Z3596">
            <v>4.13</v>
          </cell>
          <cell r="AA3596">
            <v>0</v>
          </cell>
          <cell r="AB3596">
            <v>0</v>
          </cell>
        </row>
        <row r="3597">
          <cell r="G3597" t="str">
            <v>X1068_1</v>
          </cell>
          <cell r="H3597" t="str">
            <v>as-as</v>
          </cell>
          <cell r="I3597" t="str">
            <v>sim</v>
          </cell>
          <cell r="V3597" t="str">
            <v>antonym</v>
          </cell>
          <cell r="Y3597" t="str">
            <v>Past</v>
          </cell>
          <cell r="Z3597">
            <v>4.13</v>
          </cell>
          <cell r="AA3597">
            <v>0</v>
          </cell>
          <cell r="AB3597">
            <v>0</v>
          </cell>
        </row>
        <row r="3598">
          <cell r="G3598" t="str">
            <v>X1069_0</v>
          </cell>
          <cell r="H3598" t="str">
            <v>as-as</v>
          </cell>
          <cell r="I3598" t="str">
            <v>sim</v>
          </cell>
          <cell r="V3598" t="str">
            <v>0</v>
          </cell>
          <cell r="Y3598" t="str">
            <v>Past</v>
          </cell>
          <cell r="Z3598">
            <v>4.9000000000000004</v>
          </cell>
          <cell r="AA3598">
            <v>0</v>
          </cell>
          <cell r="AB3598">
            <v>0</v>
          </cell>
        </row>
        <row r="3599">
          <cell r="G3599" t="str">
            <v>X1069_1</v>
          </cell>
          <cell r="H3599" t="str">
            <v>as-as</v>
          </cell>
          <cell r="I3599" t="str">
            <v>sim</v>
          </cell>
          <cell r="V3599" t="str">
            <v>0</v>
          </cell>
          <cell r="Y3599" t="str">
            <v>Past</v>
          </cell>
          <cell r="Z3599">
            <v>4.9000000000000004</v>
          </cell>
          <cell r="AA3599">
            <v>0</v>
          </cell>
          <cell r="AB3599">
            <v>0</v>
          </cell>
        </row>
        <row r="3600">
          <cell r="G3600" t="str">
            <v>X1070_0</v>
          </cell>
          <cell r="H3600" t="str">
            <v>as-as</v>
          </cell>
          <cell r="I3600" t="str">
            <v>sim</v>
          </cell>
          <cell r="V3600" t="str">
            <v>not neg pair</v>
          </cell>
          <cell r="Y3600" t="str">
            <v>Past</v>
          </cell>
          <cell r="Z3600">
            <v>2.56</v>
          </cell>
          <cell r="AA3600" t="str">
            <v>L</v>
          </cell>
          <cell r="AB3600">
            <v>0</v>
          </cell>
        </row>
        <row r="3601">
          <cell r="G3601" t="str">
            <v>X1070_1</v>
          </cell>
          <cell r="H3601" t="str">
            <v>as-as</v>
          </cell>
          <cell r="I3601" t="str">
            <v>sim</v>
          </cell>
          <cell r="V3601" t="str">
            <v>not neg pair</v>
          </cell>
          <cell r="Y3601" t="str">
            <v>Past</v>
          </cell>
          <cell r="Z3601">
            <v>2.56</v>
          </cell>
          <cell r="AA3601" t="str">
            <v>L</v>
          </cell>
          <cell r="AB3601">
            <v>0</v>
          </cell>
        </row>
        <row r="3602">
          <cell r="G3602" t="str">
            <v>X1071_0</v>
          </cell>
          <cell r="H3602" t="str">
            <v/>
          </cell>
          <cell r="I3602" t="str">
            <v>met</v>
          </cell>
          <cell r="V3602" t="str">
            <v>0</v>
          </cell>
          <cell r="Y3602" t="str">
            <v>Past</v>
          </cell>
          <cell r="Z3602">
            <v>2.93</v>
          </cell>
          <cell r="AA3602">
            <v>0</v>
          </cell>
          <cell r="AB3602">
            <v>0</v>
          </cell>
        </row>
        <row r="3603">
          <cell r="G3603" t="str">
            <v>X1071_1</v>
          </cell>
          <cell r="H3603" t="str">
            <v/>
          </cell>
          <cell r="I3603" t="str">
            <v>met</v>
          </cell>
          <cell r="V3603" t="str">
            <v>0</v>
          </cell>
          <cell r="Y3603" t="str">
            <v>Past</v>
          </cell>
          <cell r="Z3603">
            <v>2.93</v>
          </cell>
          <cell r="AA3603">
            <v>0</v>
          </cell>
          <cell r="AB3603">
            <v>0</v>
          </cell>
        </row>
        <row r="3604">
          <cell r="G3604" t="str">
            <v>X1072_0</v>
          </cell>
          <cell r="H3604" t="str">
            <v/>
          </cell>
          <cell r="I3604" t="str">
            <v>met</v>
          </cell>
          <cell r="V3604" t="str">
            <v>0</v>
          </cell>
          <cell r="Y3604" t="str">
            <v>Pres</v>
          </cell>
          <cell r="Z3604">
            <v>2.57</v>
          </cell>
          <cell r="AA3604" t="str">
            <v>L</v>
          </cell>
          <cell r="AB3604">
            <v>0</v>
          </cell>
        </row>
        <row r="3605">
          <cell r="G3605" t="str">
            <v>X1072_1</v>
          </cell>
          <cell r="H3605" t="str">
            <v/>
          </cell>
          <cell r="I3605" t="str">
            <v>met</v>
          </cell>
          <cell r="V3605" t="str">
            <v>0</v>
          </cell>
          <cell r="Y3605" t="str">
            <v>Past</v>
          </cell>
          <cell r="Z3605">
            <v>2.57</v>
          </cell>
          <cell r="AA3605" t="str">
            <v>L</v>
          </cell>
          <cell r="AB3605">
            <v>0</v>
          </cell>
        </row>
        <row r="3606">
          <cell r="G3606" t="str">
            <v>X1073_0</v>
          </cell>
          <cell r="H3606" t="str">
            <v>the-of</v>
          </cell>
          <cell r="I3606" t="str">
            <v>sim</v>
          </cell>
          <cell r="V3606" t="str">
            <v>not neg pair</v>
          </cell>
          <cell r="Y3606" t="str">
            <v>Past</v>
          </cell>
          <cell r="Z3606">
            <v>3.93</v>
          </cell>
          <cell r="AA3606">
            <v>0</v>
          </cell>
          <cell r="AB3606">
            <v>0</v>
          </cell>
        </row>
        <row r="3607">
          <cell r="G3607" t="str">
            <v>X1073_1</v>
          </cell>
          <cell r="H3607" t="str">
            <v>the-of</v>
          </cell>
          <cell r="I3607" t="str">
            <v>sim</v>
          </cell>
          <cell r="V3607" t="str">
            <v>not neg pair</v>
          </cell>
          <cell r="Y3607" t="str">
            <v>Past</v>
          </cell>
          <cell r="Z3607">
            <v>3.93</v>
          </cell>
          <cell r="AA3607">
            <v>0</v>
          </cell>
          <cell r="AB3607">
            <v>0</v>
          </cell>
        </row>
        <row r="3608">
          <cell r="G3608" t="str">
            <v>X1074_0</v>
          </cell>
          <cell r="H3608" t="str">
            <v>like</v>
          </cell>
          <cell r="I3608" t="str">
            <v>sim</v>
          </cell>
          <cell r="V3608" t="str">
            <v>not neg pair</v>
          </cell>
          <cell r="Y3608" t="str">
            <v>Pres</v>
          </cell>
          <cell r="Z3608">
            <v>4.8499999999999996</v>
          </cell>
          <cell r="AA3608">
            <v>0</v>
          </cell>
          <cell r="AB3608">
            <v>0</v>
          </cell>
        </row>
        <row r="3609">
          <cell r="G3609" t="str">
            <v>X1074_1</v>
          </cell>
          <cell r="H3609" t="str">
            <v>like</v>
          </cell>
          <cell r="I3609" t="str">
            <v>sim</v>
          </cell>
          <cell r="V3609" t="str">
            <v>not neg pair</v>
          </cell>
          <cell r="Y3609" t="str">
            <v>Pres</v>
          </cell>
          <cell r="Z3609">
            <v>4.8499999999999996</v>
          </cell>
          <cell r="AA3609">
            <v>0</v>
          </cell>
          <cell r="AB3609">
            <v>0</v>
          </cell>
        </row>
        <row r="3610">
          <cell r="G3610" t="str">
            <v>X1075_0</v>
          </cell>
          <cell r="H3610" t="str">
            <v>like</v>
          </cell>
          <cell r="I3610" t="str">
            <v>sim</v>
          </cell>
          <cell r="V3610" t="str">
            <v>not</v>
          </cell>
          <cell r="Y3610" t="str">
            <v>Pres</v>
          </cell>
          <cell r="Z3610">
            <v>3.24</v>
          </cell>
          <cell r="AA3610">
            <v>0</v>
          </cell>
          <cell r="AB3610">
            <v>0</v>
          </cell>
        </row>
        <row r="3611">
          <cell r="G3611" t="str">
            <v>X1075_1</v>
          </cell>
          <cell r="H3611" t="str">
            <v>like</v>
          </cell>
          <cell r="I3611" t="str">
            <v>sim</v>
          </cell>
          <cell r="V3611" t="str">
            <v>not</v>
          </cell>
          <cell r="Y3611" t="str">
            <v>Pres</v>
          </cell>
          <cell r="Z3611">
            <v>3.24</v>
          </cell>
          <cell r="AA3611">
            <v>0</v>
          </cell>
          <cell r="AB3611">
            <v>0</v>
          </cell>
        </row>
        <row r="3612">
          <cell r="G3612" t="str">
            <v>X1076_0</v>
          </cell>
          <cell r="H3612" t="str">
            <v>like</v>
          </cell>
          <cell r="I3612" t="str">
            <v>sim</v>
          </cell>
          <cell r="V3612" t="str">
            <v>not neg pair</v>
          </cell>
          <cell r="Y3612" t="str">
            <v>Pres</v>
          </cell>
          <cell r="Z3612">
            <v>2.16</v>
          </cell>
          <cell r="AA3612" t="str">
            <v>L</v>
          </cell>
          <cell r="AB3612">
            <v>0</v>
          </cell>
        </row>
        <row r="3613">
          <cell r="G3613" t="str">
            <v>X1076_1</v>
          </cell>
          <cell r="H3613" t="str">
            <v>like</v>
          </cell>
          <cell r="I3613" t="str">
            <v>sim</v>
          </cell>
          <cell r="V3613" t="str">
            <v>not neg pair</v>
          </cell>
          <cell r="Y3613" t="str">
            <v>Pres</v>
          </cell>
          <cell r="Z3613">
            <v>2.16</v>
          </cell>
          <cell r="AA3613" t="str">
            <v>L</v>
          </cell>
          <cell r="AB3613">
            <v>0</v>
          </cell>
        </row>
        <row r="3614">
          <cell r="G3614" t="str">
            <v>X1077_0</v>
          </cell>
          <cell r="H3614" t="str">
            <v>as-as</v>
          </cell>
          <cell r="I3614" t="str">
            <v>sim</v>
          </cell>
          <cell r="V3614" t="str">
            <v>not neg pair</v>
          </cell>
          <cell r="Y3614" t="str">
            <v>Pres</v>
          </cell>
          <cell r="Z3614">
            <v>2.81</v>
          </cell>
          <cell r="AA3614">
            <v>0</v>
          </cell>
          <cell r="AB3614">
            <v>0</v>
          </cell>
        </row>
        <row r="3615">
          <cell r="G3615" t="str">
            <v>X1077_1</v>
          </cell>
          <cell r="H3615" t="str">
            <v>as-as</v>
          </cell>
          <cell r="I3615" t="str">
            <v>sim</v>
          </cell>
          <cell r="V3615" t="str">
            <v>not neg pair</v>
          </cell>
          <cell r="Y3615" t="str">
            <v>Pres</v>
          </cell>
          <cell r="Z3615">
            <v>2.81</v>
          </cell>
          <cell r="AA3615">
            <v>0</v>
          </cell>
          <cell r="AB3615">
            <v>0</v>
          </cell>
        </row>
        <row r="3616">
          <cell r="G3616" t="str">
            <v>X1078_0</v>
          </cell>
          <cell r="H3616" t="str">
            <v>as-as</v>
          </cell>
          <cell r="I3616" t="str">
            <v>sim</v>
          </cell>
          <cell r="V3616" t="str">
            <v>not</v>
          </cell>
          <cell r="Y3616" t="str">
            <v>Pres</v>
          </cell>
          <cell r="Z3616">
            <v>2.81</v>
          </cell>
          <cell r="AA3616">
            <v>0</v>
          </cell>
          <cell r="AB3616">
            <v>0</v>
          </cell>
        </row>
        <row r="3617">
          <cell r="G3617" t="str">
            <v>X1078_1</v>
          </cell>
          <cell r="H3617" t="str">
            <v>as-as</v>
          </cell>
          <cell r="I3617" t="str">
            <v>sim</v>
          </cell>
          <cell r="V3617" t="str">
            <v>not</v>
          </cell>
          <cell r="Y3617" t="str">
            <v>Pres</v>
          </cell>
          <cell r="Z3617">
            <v>2.81</v>
          </cell>
          <cell r="AA3617">
            <v>0</v>
          </cell>
          <cell r="AB3617">
            <v>0</v>
          </cell>
        </row>
        <row r="3618">
          <cell r="G3618" t="str">
            <v>X1079_0</v>
          </cell>
          <cell r="H3618" t="str">
            <v>as-as</v>
          </cell>
          <cell r="I3618" t="str">
            <v>sim</v>
          </cell>
          <cell r="V3618" t="str">
            <v>antonym</v>
          </cell>
          <cell r="Y3618" t="str">
            <v>Pres</v>
          </cell>
          <cell r="Z3618">
            <v>2.81</v>
          </cell>
          <cell r="AA3618">
            <v>0</v>
          </cell>
          <cell r="AB3618">
            <v>0</v>
          </cell>
        </row>
        <row r="3619">
          <cell r="G3619" t="str">
            <v>X1079_1</v>
          </cell>
          <cell r="H3619" t="str">
            <v>as-as</v>
          </cell>
          <cell r="I3619" t="str">
            <v>sim</v>
          </cell>
          <cell r="V3619" t="str">
            <v>antonym</v>
          </cell>
          <cell r="Y3619" t="str">
            <v>Pres</v>
          </cell>
          <cell r="Z3619">
            <v>2.81</v>
          </cell>
          <cell r="AA3619">
            <v>0</v>
          </cell>
          <cell r="AB3619">
            <v>0</v>
          </cell>
        </row>
        <row r="3620">
          <cell r="G3620" t="str">
            <v>X1080_0</v>
          </cell>
          <cell r="H3620" t="str">
            <v/>
          </cell>
          <cell r="I3620" t="str">
            <v>met</v>
          </cell>
          <cell r="V3620" t="str">
            <v>0</v>
          </cell>
          <cell r="Y3620" t="str">
            <v>Pres</v>
          </cell>
          <cell r="Z3620">
            <v>4.97</v>
          </cell>
          <cell r="AA3620" t="str">
            <v>H</v>
          </cell>
          <cell r="AB3620">
            <v>0</v>
          </cell>
        </row>
        <row r="3621">
          <cell r="G3621" t="str">
            <v>X1080_1</v>
          </cell>
          <cell r="H3621" t="str">
            <v/>
          </cell>
          <cell r="I3621" t="str">
            <v>met</v>
          </cell>
          <cell r="V3621" t="str">
            <v>0</v>
          </cell>
          <cell r="Y3621" t="str">
            <v>Pres</v>
          </cell>
          <cell r="Z3621">
            <v>4.97</v>
          </cell>
          <cell r="AA3621" t="str">
            <v>H</v>
          </cell>
          <cell r="AB3621">
            <v>0</v>
          </cell>
        </row>
        <row r="3622">
          <cell r="G3622" t="str">
            <v>X1081_0</v>
          </cell>
          <cell r="H3622" t="str">
            <v/>
          </cell>
          <cell r="I3622" t="str">
            <v>met</v>
          </cell>
          <cell r="V3622" t="str">
            <v>0</v>
          </cell>
          <cell r="Y3622" t="str">
            <v>Pres</v>
          </cell>
          <cell r="Z3622">
            <v>4.82</v>
          </cell>
          <cell r="AA3622">
            <v>0</v>
          </cell>
          <cell r="AB3622">
            <v>0</v>
          </cell>
        </row>
        <row r="3623">
          <cell r="G3623" t="str">
            <v>X1081_1</v>
          </cell>
          <cell r="H3623" t="str">
            <v/>
          </cell>
          <cell r="I3623" t="str">
            <v>met</v>
          </cell>
          <cell r="V3623" t="str">
            <v>0</v>
          </cell>
          <cell r="Y3623" t="str">
            <v>Pres</v>
          </cell>
          <cell r="Z3623">
            <v>4.82</v>
          </cell>
          <cell r="AA3623">
            <v>0</v>
          </cell>
          <cell r="AB3623">
            <v>0</v>
          </cell>
        </row>
        <row r="3624">
          <cell r="G3624" t="str">
            <v>X1082_0</v>
          </cell>
          <cell r="H3624" t="str">
            <v/>
          </cell>
          <cell r="I3624" t="str">
            <v>met</v>
          </cell>
          <cell r="V3624" t="str">
            <v>0</v>
          </cell>
          <cell r="Y3624" t="str">
            <v>Pres</v>
          </cell>
          <cell r="Z3624">
            <v>4.79</v>
          </cell>
          <cell r="AA3624">
            <v>0</v>
          </cell>
          <cell r="AB3624">
            <v>0</v>
          </cell>
        </row>
        <row r="3625">
          <cell r="G3625" t="str">
            <v>X1082_1</v>
          </cell>
          <cell r="H3625" t="str">
            <v/>
          </cell>
          <cell r="I3625" t="str">
            <v>met</v>
          </cell>
          <cell r="V3625" t="str">
            <v>0</v>
          </cell>
          <cell r="Y3625" t="str">
            <v>Pres</v>
          </cell>
          <cell r="Z3625">
            <v>4.79</v>
          </cell>
          <cell r="AA3625">
            <v>0</v>
          </cell>
          <cell r="AB3625">
            <v>0</v>
          </cell>
        </row>
        <row r="3626">
          <cell r="G3626" t="str">
            <v>X1083_0</v>
          </cell>
          <cell r="H3626" t="str">
            <v>the-of</v>
          </cell>
          <cell r="I3626" t="str">
            <v>sim</v>
          </cell>
          <cell r="V3626" t="str">
            <v>not neg pair</v>
          </cell>
          <cell r="Y3626" t="str">
            <v>Past</v>
          </cell>
          <cell r="Z3626">
            <v>3.89</v>
          </cell>
          <cell r="AA3626">
            <v>0</v>
          </cell>
          <cell r="AB3626">
            <v>0</v>
          </cell>
        </row>
        <row r="3627">
          <cell r="G3627" t="str">
            <v>X1083_1</v>
          </cell>
          <cell r="H3627" t="str">
            <v>the-of</v>
          </cell>
          <cell r="I3627" t="str">
            <v>sim</v>
          </cell>
          <cell r="V3627" t="str">
            <v>not neg pair</v>
          </cell>
          <cell r="Y3627" t="str">
            <v>Past</v>
          </cell>
          <cell r="Z3627">
            <v>3.89</v>
          </cell>
          <cell r="AA3627">
            <v>0</v>
          </cell>
          <cell r="AB3627">
            <v>0</v>
          </cell>
        </row>
        <row r="3628">
          <cell r="G3628" t="str">
            <v>X1084_0</v>
          </cell>
          <cell r="H3628" t="str">
            <v>as-as</v>
          </cell>
          <cell r="I3628" t="str">
            <v>sim</v>
          </cell>
          <cell r="V3628" t="str">
            <v>antonym</v>
          </cell>
          <cell r="Y3628" t="str">
            <v>Past</v>
          </cell>
          <cell r="Z3628">
            <v>4.79</v>
          </cell>
          <cell r="AA3628">
            <v>0</v>
          </cell>
          <cell r="AB3628">
            <v>0</v>
          </cell>
        </row>
        <row r="3629">
          <cell r="G3629" t="str">
            <v>X1084_1</v>
          </cell>
          <cell r="H3629" t="str">
            <v>as-as</v>
          </cell>
          <cell r="I3629" t="str">
            <v>sim</v>
          </cell>
          <cell r="V3629" t="str">
            <v>antonym</v>
          </cell>
          <cell r="Y3629" t="str">
            <v>Past</v>
          </cell>
          <cell r="Z3629">
            <v>4.79</v>
          </cell>
          <cell r="AA3629">
            <v>0</v>
          </cell>
          <cell r="AB3629">
            <v>0</v>
          </cell>
        </row>
        <row r="3630">
          <cell r="G3630" t="str">
            <v>X1085_0</v>
          </cell>
          <cell r="H3630" t="str">
            <v/>
          </cell>
          <cell r="I3630" t="str">
            <v>met</v>
          </cell>
          <cell r="V3630" t="str">
            <v>0</v>
          </cell>
          <cell r="Y3630" t="str">
            <v>Past</v>
          </cell>
          <cell r="Z3630">
            <v>4.55</v>
          </cell>
          <cell r="AA3630">
            <v>0</v>
          </cell>
          <cell r="AB3630">
            <v>0</v>
          </cell>
        </row>
        <row r="3631">
          <cell r="G3631" t="str">
            <v>X1085_1</v>
          </cell>
          <cell r="H3631" t="str">
            <v/>
          </cell>
          <cell r="I3631" t="str">
            <v>met</v>
          </cell>
          <cell r="V3631" t="str">
            <v>0</v>
          </cell>
          <cell r="Y3631" t="str">
            <v>Past</v>
          </cell>
          <cell r="Z3631">
            <v>4.55</v>
          </cell>
          <cell r="AA3631">
            <v>0</v>
          </cell>
          <cell r="AB3631">
            <v>0</v>
          </cell>
        </row>
        <row r="3632">
          <cell r="G3632" t="str">
            <v>X1086_0</v>
          </cell>
          <cell r="H3632" t="str">
            <v/>
          </cell>
          <cell r="I3632" t="str">
            <v>met</v>
          </cell>
          <cell r="V3632" t="str">
            <v>0</v>
          </cell>
          <cell r="Y3632" t="str">
            <v>Pres</v>
          </cell>
          <cell r="Z3632">
            <v>3.3</v>
          </cell>
          <cell r="AA3632">
            <v>0</v>
          </cell>
          <cell r="AB3632">
            <v>0</v>
          </cell>
        </row>
        <row r="3633">
          <cell r="G3633" t="str">
            <v>X1086_1</v>
          </cell>
          <cell r="H3633" t="str">
            <v/>
          </cell>
          <cell r="I3633" t="str">
            <v>met</v>
          </cell>
          <cell r="V3633" t="str">
            <v>0</v>
          </cell>
          <cell r="Y3633" t="str">
            <v>Pres</v>
          </cell>
          <cell r="Z3633">
            <v>3.3</v>
          </cell>
          <cell r="AA3633">
            <v>0</v>
          </cell>
          <cell r="AB3633">
            <v>0</v>
          </cell>
        </row>
        <row r="3634">
          <cell r="G3634" t="str">
            <v>X1087_0</v>
          </cell>
          <cell r="H3634" t="str">
            <v>the-of</v>
          </cell>
          <cell r="I3634" t="str">
            <v>sim</v>
          </cell>
          <cell r="V3634" t="str">
            <v>not neg pair</v>
          </cell>
          <cell r="Y3634" t="str">
            <v>Past</v>
          </cell>
          <cell r="Z3634">
            <v>4.6399999999999997</v>
          </cell>
          <cell r="AA3634">
            <v>0</v>
          </cell>
          <cell r="AB3634">
            <v>0</v>
          </cell>
        </row>
        <row r="3635">
          <cell r="G3635" t="str">
            <v>X1087_1</v>
          </cell>
          <cell r="H3635" t="str">
            <v>the-of</v>
          </cell>
          <cell r="I3635" t="str">
            <v>sim</v>
          </cell>
          <cell r="V3635" t="str">
            <v>not neg pair</v>
          </cell>
          <cell r="Y3635" t="str">
            <v>Past</v>
          </cell>
          <cell r="Z3635">
            <v>4.87</v>
          </cell>
          <cell r="AA3635">
            <v>0</v>
          </cell>
          <cell r="AB3635">
            <v>0</v>
          </cell>
        </row>
        <row r="3636">
          <cell r="G3636" t="str">
            <v>X1088_0</v>
          </cell>
          <cell r="H3636" t="str">
            <v>the-of</v>
          </cell>
          <cell r="I3636" t="str">
            <v>sim</v>
          </cell>
          <cell r="V3636" t="str">
            <v>not neg pair</v>
          </cell>
          <cell r="Y3636" t="str">
            <v>Past</v>
          </cell>
          <cell r="Z3636">
            <v>4.8499999999999996</v>
          </cell>
          <cell r="AA3636">
            <v>0</v>
          </cell>
          <cell r="AB3636">
            <v>0</v>
          </cell>
        </row>
        <row r="3637">
          <cell r="G3637" t="str">
            <v>X1088_1</v>
          </cell>
          <cell r="H3637" t="str">
            <v>the-of</v>
          </cell>
          <cell r="I3637" t="str">
            <v>sim</v>
          </cell>
          <cell r="V3637" t="str">
            <v>not neg pair</v>
          </cell>
          <cell r="Y3637" t="str">
            <v>Past</v>
          </cell>
          <cell r="Z3637">
            <v>4.8499999999999996</v>
          </cell>
          <cell r="AA3637">
            <v>0</v>
          </cell>
          <cell r="AB3637">
            <v>0</v>
          </cell>
        </row>
        <row r="3638">
          <cell r="G3638" t="str">
            <v>X1089_0</v>
          </cell>
          <cell r="H3638" t="str">
            <v>the-of</v>
          </cell>
          <cell r="I3638" t="str">
            <v>sim</v>
          </cell>
          <cell r="V3638" t="str">
            <v>not neg pair</v>
          </cell>
          <cell r="Y3638" t="str">
            <v>Past</v>
          </cell>
          <cell r="Z3638">
            <v>0</v>
          </cell>
          <cell r="AA3638">
            <v>0</v>
          </cell>
          <cell r="AB3638">
            <v>0</v>
          </cell>
        </row>
        <row r="3639">
          <cell r="G3639" t="str">
            <v>X1089_1</v>
          </cell>
          <cell r="H3639" t="str">
            <v>the-of</v>
          </cell>
          <cell r="I3639" t="str">
            <v>sim</v>
          </cell>
          <cell r="V3639" t="str">
            <v>not neg pair</v>
          </cell>
          <cell r="Y3639" t="str">
            <v>Past</v>
          </cell>
          <cell r="Z3639">
            <v>4.9000000000000004</v>
          </cell>
          <cell r="AA3639">
            <v>0</v>
          </cell>
          <cell r="AB3639">
            <v>0</v>
          </cell>
        </row>
        <row r="3640">
          <cell r="G3640" t="str">
            <v>X1090_0</v>
          </cell>
          <cell r="H3640" t="str">
            <v/>
          </cell>
          <cell r="I3640" t="str">
            <v>met</v>
          </cell>
          <cell r="V3640" t="str">
            <v>0</v>
          </cell>
          <cell r="Y3640" t="str">
            <v>Pres</v>
          </cell>
          <cell r="Z3640">
            <v>4.0999999999999996</v>
          </cell>
          <cell r="AA3640">
            <v>0</v>
          </cell>
          <cell r="AB3640">
            <v>0</v>
          </cell>
        </row>
        <row r="3641">
          <cell r="G3641" t="str">
            <v>X1090_1</v>
          </cell>
          <cell r="H3641" t="str">
            <v/>
          </cell>
          <cell r="I3641" t="str">
            <v>met</v>
          </cell>
          <cell r="V3641" t="str">
            <v>0</v>
          </cell>
          <cell r="Y3641" t="str">
            <v>Pres</v>
          </cell>
          <cell r="Z3641">
            <v>4.0999999999999996</v>
          </cell>
          <cell r="AA3641">
            <v>0</v>
          </cell>
          <cell r="AB3641">
            <v>0</v>
          </cell>
        </row>
        <row r="3642">
          <cell r="G3642" t="str">
            <v>X1091_0</v>
          </cell>
          <cell r="H3642" t="str">
            <v/>
          </cell>
          <cell r="I3642" t="str">
            <v>met</v>
          </cell>
          <cell r="V3642" t="str">
            <v>0</v>
          </cell>
          <cell r="Y3642" t="str">
            <v>Pres</v>
          </cell>
          <cell r="Z3642">
            <v>3.89</v>
          </cell>
          <cell r="AA3642">
            <v>0</v>
          </cell>
          <cell r="AB3642">
            <v>0</v>
          </cell>
        </row>
        <row r="3643">
          <cell r="G3643" t="str">
            <v>X1091_1</v>
          </cell>
          <cell r="H3643" t="str">
            <v/>
          </cell>
          <cell r="I3643" t="str">
            <v>met</v>
          </cell>
          <cell r="V3643" t="str">
            <v>0</v>
          </cell>
          <cell r="Y3643" t="str">
            <v>Pres</v>
          </cell>
          <cell r="Z3643">
            <v>3.89</v>
          </cell>
          <cell r="AA3643">
            <v>0</v>
          </cell>
          <cell r="AB3643">
            <v>0</v>
          </cell>
        </row>
        <row r="3644">
          <cell r="G3644" t="str">
            <v>X1092_0</v>
          </cell>
          <cell r="H3644" t="str">
            <v/>
          </cell>
          <cell r="I3644" t="str">
            <v>met</v>
          </cell>
          <cell r="V3644" t="str">
            <v>0</v>
          </cell>
          <cell r="Y3644" t="str">
            <v>Pres</v>
          </cell>
          <cell r="Z3644">
            <v>1.86</v>
          </cell>
          <cell r="AA3644" t="str">
            <v>L</v>
          </cell>
          <cell r="AB3644">
            <v>0</v>
          </cell>
        </row>
        <row r="3645">
          <cell r="G3645" t="str">
            <v>X1092_1</v>
          </cell>
          <cell r="H3645" t="str">
            <v/>
          </cell>
          <cell r="I3645" t="str">
            <v>met</v>
          </cell>
          <cell r="V3645" t="str">
            <v>0</v>
          </cell>
          <cell r="Y3645" t="str">
            <v>Pres</v>
          </cell>
          <cell r="Z3645">
            <v>1.86</v>
          </cell>
          <cell r="AA3645" t="str">
            <v>L</v>
          </cell>
          <cell r="AB3645">
            <v>0</v>
          </cell>
        </row>
        <row r="3646">
          <cell r="G3646" t="str">
            <v>X1093_0</v>
          </cell>
          <cell r="H3646" t="str">
            <v/>
          </cell>
          <cell r="I3646" t="str">
            <v>met</v>
          </cell>
          <cell r="V3646" t="str">
            <v>0</v>
          </cell>
          <cell r="Y3646" t="str">
            <v>Pres</v>
          </cell>
          <cell r="Z3646">
            <v>4.72</v>
          </cell>
          <cell r="AA3646">
            <v>0</v>
          </cell>
          <cell r="AB3646">
            <v>0</v>
          </cell>
        </row>
        <row r="3647">
          <cell r="G3647" t="str">
            <v>X1093_1</v>
          </cell>
          <cell r="H3647" t="str">
            <v/>
          </cell>
          <cell r="I3647" t="str">
            <v>met</v>
          </cell>
          <cell r="V3647" t="str">
            <v>0</v>
          </cell>
          <cell r="Y3647" t="str">
            <v>Pres</v>
          </cell>
          <cell r="Z3647">
            <v>4.72</v>
          </cell>
          <cell r="AA3647">
            <v>0</v>
          </cell>
          <cell r="AB3647">
            <v>0</v>
          </cell>
        </row>
        <row r="3648">
          <cell r="G3648" t="str">
            <v>X1094_0</v>
          </cell>
          <cell r="H3648" t="str">
            <v/>
          </cell>
          <cell r="I3648" t="str">
            <v>met</v>
          </cell>
          <cell r="V3648" t="str">
            <v>0</v>
          </cell>
          <cell r="Y3648" t="str">
            <v>Pres</v>
          </cell>
          <cell r="Z3648">
            <v>5</v>
          </cell>
          <cell r="AA3648" t="str">
            <v>H</v>
          </cell>
          <cell r="AB3648">
            <v>0</v>
          </cell>
        </row>
        <row r="3649">
          <cell r="G3649" t="str">
            <v>X1094_1</v>
          </cell>
          <cell r="H3649" t="str">
            <v/>
          </cell>
          <cell r="I3649" t="str">
            <v>met</v>
          </cell>
          <cell r="V3649" t="str">
            <v>0</v>
          </cell>
          <cell r="Y3649" t="str">
            <v>Pres</v>
          </cell>
          <cell r="Z3649">
            <v>5</v>
          </cell>
          <cell r="AA3649" t="str">
            <v>H</v>
          </cell>
          <cell r="AB3649">
            <v>0</v>
          </cell>
        </row>
        <row r="3650">
          <cell r="G3650" t="str">
            <v>X1095_0</v>
          </cell>
          <cell r="H3650" t="str">
            <v/>
          </cell>
          <cell r="I3650" t="str">
            <v>met</v>
          </cell>
          <cell r="V3650" t="str">
            <v>0</v>
          </cell>
          <cell r="Y3650" t="str">
            <v>Pres</v>
          </cell>
          <cell r="Z3650">
            <v>4.92</v>
          </cell>
          <cell r="AA3650" t="str">
            <v>H</v>
          </cell>
          <cell r="AB3650">
            <v>0</v>
          </cell>
        </row>
        <row r="3651">
          <cell r="G3651" t="str">
            <v>X1095_1</v>
          </cell>
          <cell r="H3651" t="str">
            <v/>
          </cell>
          <cell r="I3651" t="str">
            <v>met</v>
          </cell>
          <cell r="V3651" t="str">
            <v>0</v>
          </cell>
          <cell r="Y3651" t="str">
            <v>Pres</v>
          </cell>
          <cell r="Z3651">
            <v>4.92</v>
          </cell>
          <cell r="AA3651" t="str">
            <v>H</v>
          </cell>
          <cell r="AB3651">
            <v>0</v>
          </cell>
        </row>
        <row r="3652">
          <cell r="G3652" t="str">
            <v>X1096_0</v>
          </cell>
          <cell r="H3652" t="str">
            <v/>
          </cell>
          <cell r="I3652" t="str">
            <v>met</v>
          </cell>
          <cell r="V3652" t="str">
            <v>0</v>
          </cell>
          <cell r="Y3652" t="str">
            <v>Past</v>
          </cell>
          <cell r="Z3652">
            <v>4.8899999999999997</v>
          </cell>
          <cell r="AA3652">
            <v>0</v>
          </cell>
          <cell r="AB3652">
            <v>0</v>
          </cell>
        </row>
        <row r="3653">
          <cell r="G3653" t="str">
            <v>X1096_1</v>
          </cell>
          <cell r="H3653" t="str">
            <v/>
          </cell>
          <cell r="I3653" t="str">
            <v>met</v>
          </cell>
          <cell r="V3653" t="str">
            <v>0</v>
          </cell>
          <cell r="Y3653" t="str">
            <v>Past</v>
          </cell>
          <cell r="Z3653">
            <v>4.8899999999999997</v>
          </cell>
          <cell r="AA3653">
            <v>0</v>
          </cell>
          <cell r="AB3653">
            <v>0</v>
          </cell>
        </row>
        <row r="3654">
          <cell r="G3654" t="str">
            <v>X1097_0</v>
          </cell>
          <cell r="H3654" t="str">
            <v>as-as</v>
          </cell>
          <cell r="I3654" t="str">
            <v>sim</v>
          </cell>
          <cell r="V3654" t="str">
            <v>not</v>
          </cell>
          <cell r="Y3654" t="str">
            <v>Past</v>
          </cell>
          <cell r="Z3654">
            <v>3.89</v>
          </cell>
          <cell r="AA3654">
            <v>0</v>
          </cell>
          <cell r="AB3654">
            <v>0</v>
          </cell>
        </row>
        <row r="3655">
          <cell r="G3655" t="str">
            <v>X1097_1</v>
          </cell>
          <cell r="H3655" t="str">
            <v>as-as</v>
          </cell>
          <cell r="I3655" t="str">
            <v>sim</v>
          </cell>
          <cell r="V3655" t="str">
            <v>not</v>
          </cell>
          <cell r="Y3655" t="str">
            <v>Past</v>
          </cell>
          <cell r="Z3655">
            <v>3.89</v>
          </cell>
          <cell r="AA3655">
            <v>0</v>
          </cell>
          <cell r="AB3655">
            <v>0</v>
          </cell>
        </row>
        <row r="3656">
          <cell r="G3656" t="str">
            <v>X1098_0</v>
          </cell>
          <cell r="H3656" t="str">
            <v>as-as</v>
          </cell>
          <cell r="I3656" t="str">
            <v>sim</v>
          </cell>
          <cell r="V3656" t="str">
            <v>not</v>
          </cell>
          <cell r="Y3656" t="str">
            <v>Past</v>
          </cell>
          <cell r="Z3656">
            <v>3.89</v>
          </cell>
          <cell r="AA3656">
            <v>0</v>
          </cell>
          <cell r="AB3656">
            <v>0</v>
          </cell>
        </row>
        <row r="3657">
          <cell r="G3657" t="str">
            <v>X1098_1</v>
          </cell>
          <cell r="H3657" t="str">
            <v>as-as</v>
          </cell>
          <cell r="I3657" t="str">
            <v>sim</v>
          </cell>
          <cell r="V3657" t="str">
            <v>not</v>
          </cell>
          <cell r="Y3657" t="str">
            <v>Past</v>
          </cell>
          <cell r="Z3657">
            <v>3.89</v>
          </cell>
          <cell r="AA3657">
            <v>0</v>
          </cell>
          <cell r="AB3657">
            <v>0</v>
          </cell>
        </row>
        <row r="3658">
          <cell r="G3658" t="str">
            <v>X1099_0</v>
          </cell>
          <cell r="H3658" t="str">
            <v>as-as</v>
          </cell>
          <cell r="I3658" t="str">
            <v>sim</v>
          </cell>
          <cell r="V3658" t="str">
            <v>not neg pair</v>
          </cell>
          <cell r="Y3658" t="str">
            <v>Past</v>
          </cell>
          <cell r="Z3658">
            <v>3.19</v>
          </cell>
          <cell r="AA3658">
            <v>0</v>
          </cell>
          <cell r="AB3658">
            <v>0</v>
          </cell>
        </row>
        <row r="3659">
          <cell r="G3659" t="str">
            <v>X1099_1</v>
          </cell>
          <cell r="H3659" t="str">
            <v>as-as</v>
          </cell>
          <cell r="I3659" t="str">
            <v>sim</v>
          </cell>
          <cell r="V3659" t="str">
            <v>not neg pair</v>
          </cell>
          <cell r="Y3659" t="str">
            <v>Past</v>
          </cell>
          <cell r="Z3659">
            <v>3.19</v>
          </cell>
          <cell r="AA3659">
            <v>0</v>
          </cell>
          <cell r="AB3659">
            <v>0</v>
          </cell>
        </row>
        <row r="3660">
          <cell r="G3660" t="str">
            <v>X1100_0</v>
          </cell>
          <cell r="H3660" t="str">
            <v>as-as</v>
          </cell>
          <cell r="I3660" t="str">
            <v>sim</v>
          </cell>
          <cell r="V3660" t="str">
            <v>not neg pair</v>
          </cell>
          <cell r="Y3660" t="str">
            <v>Past</v>
          </cell>
          <cell r="Z3660">
            <v>4.1100000000000003</v>
          </cell>
          <cell r="AA3660">
            <v>0</v>
          </cell>
          <cell r="AB3660">
            <v>0</v>
          </cell>
        </row>
        <row r="3661">
          <cell r="G3661" t="str">
            <v>X1100_1</v>
          </cell>
          <cell r="H3661" t="str">
            <v>as-as</v>
          </cell>
          <cell r="I3661" t="str">
            <v>sim</v>
          </cell>
          <cell r="V3661" t="str">
            <v>not neg pair</v>
          </cell>
          <cell r="Y3661" t="str">
            <v>Past</v>
          </cell>
          <cell r="Z3661">
            <v>2.2200000000000002</v>
          </cell>
          <cell r="AA3661" t="str">
            <v>L</v>
          </cell>
          <cell r="AB3661">
            <v>0</v>
          </cell>
        </row>
        <row r="3662">
          <cell r="G3662" t="str">
            <v>X1101_0</v>
          </cell>
          <cell r="H3662" t="str">
            <v>as-as</v>
          </cell>
          <cell r="I3662" t="str">
            <v>sim</v>
          </cell>
          <cell r="V3662" t="str">
            <v>not neg pair</v>
          </cell>
          <cell r="Y3662" t="str">
            <v>Past</v>
          </cell>
          <cell r="Z3662">
            <v>4.5</v>
          </cell>
          <cell r="AA3662">
            <v>0</v>
          </cell>
          <cell r="AB3662">
            <v>0</v>
          </cell>
        </row>
        <row r="3663">
          <cell r="G3663" t="str">
            <v>X1101_1</v>
          </cell>
          <cell r="H3663" t="str">
            <v>as-as</v>
          </cell>
          <cell r="I3663" t="str">
            <v>sim</v>
          </cell>
          <cell r="V3663" t="str">
            <v>not neg pair</v>
          </cell>
          <cell r="Y3663" t="str">
            <v>Past</v>
          </cell>
          <cell r="Z3663">
            <v>4.5</v>
          </cell>
          <cell r="AA3663">
            <v>0</v>
          </cell>
          <cell r="AB3663">
            <v>0</v>
          </cell>
        </row>
        <row r="3664">
          <cell r="G3664" t="str">
            <v>X1102_0</v>
          </cell>
          <cell r="H3664" t="str">
            <v>the-of</v>
          </cell>
          <cell r="I3664" t="str">
            <v>sim</v>
          </cell>
          <cell r="V3664" t="str">
            <v>not neg pair</v>
          </cell>
          <cell r="Y3664" t="str">
            <v>Pres</v>
          </cell>
          <cell r="Z3664">
            <v>3.48</v>
          </cell>
          <cell r="AA3664">
            <v>0</v>
          </cell>
          <cell r="AB3664">
            <v>0</v>
          </cell>
        </row>
        <row r="3665">
          <cell r="G3665" t="str">
            <v>X1102_1</v>
          </cell>
          <cell r="H3665" t="str">
            <v>the-of</v>
          </cell>
          <cell r="I3665" t="str">
            <v>sim</v>
          </cell>
          <cell r="V3665" t="str">
            <v>not neg pair</v>
          </cell>
          <cell r="Y3665" t="str">
            <v>Pres</v>
          </cell>
          <cell r="Z3665">
            <v>3.48</v>
          </cell>
          <cell r="AA3665">
            <v>0</v>
          </cell>
          <cell r="AB3665">
            <v>0</v>
          </cell>
        </row>
        <row r="3666">
          <cell r="G3666" t="str">
            <v>X1103_0</v>
          </cell>
          <cell r="H3666" t="str">
            <v/>
          </cell>
          <cell r="I3666" t="str">
            <v>met</v>
          </cell>
          <cell r="V3666" t="str">
            <v>0</v>
          </cell>
          <cell r="Y3666" t="str">
            <v>Past</v>
          </cell>
          <cell r="Z3666">
            <v>4.46</v>
          </cell>
          <cell r="AA3666">
            <v>0</v>
          </cell>
          <cell r="AB3666">
            <v>0</v>
          </cell>
        </row>
        <row r="3667">
          <cell r="G3667" t="str">
            <v>X1103_1</v>
          </cell>
          <cell r="H3667" t="str">
            <v/>
          </cell>
          <cell r="I3667" t="str">
            <v>met</v>
          </cell>
          <cell r="V3667" t="str">
            <v>0</v>
          </cell>
          <cell r="Y3667" t="str">
            <v>Past</v>
          </cell>
          <cell r="Z3667">
            <v>4.46</v>
          </cell>
          <cell r="AA3667">
            <v>0</v>
          </cell>
          <cell r="AB3667">
            <v>0</v>
          </cell>
        </row>
        <row r="3668">
          <cell r="G3668" t="str">
            <v>X1104_0</v>
          </cell>
          <cell r="H3668" t="str">
            <v>like</v>
          </cell>
          <cell r="I3668" t="str">
            <v>sim</v>
          </cell>
          <cell r="V3668" t="str">
            <v>not neg pair</v>
          </cell>
          <cell r="Y3668" t="str">
            <v>Past</v>
          </cell>
          <cell r="Z3668">
            <v>4.8</v>
          </cell>
          <cell r="AA3668">
            <v>0</v>
          </cell>
          <cell r="AB3668">
            <v>0</v>
          </cell>
        </row>
        <row r="3669">
          <cell r="G3669" t="str">
            <v>X1104_1</v>
          </cell>
          <cell r="H3669" t="str">
            <v>like</v>
          </cell>
          <cell r="I3669" t="str">
            <v>sim</v>
          </cell>
          <cell r="V3669" t="str">
            <v>not neg pair</v>
          </cell>
          <cell r="Y3669" t="str">
            <v>Past</v>
          </cell>
          <cell r="Z3669">
            <v>4.8</v>
          </cell>
          <cell r="AA3669">
            <v>0</v>
          </cell>
          <cell r="AB3669">
            <v>0</v>
          </cell>
        </row>
        <row r="3670">
          <cell r="G3670" t="str">
            <v>X1105_0</v>
          </cell>
          <cell r="H3670" t="str">
            <v>the-of</v>
          </cell>
          <cell r="I3670" t="str">
            <v>sim</v>
          </cell>
          <cell r="V3670" t="str">
            <v>not neg pair</v>
          </cell>
          <cell r="Y3670" t="str">
            <v>Pres</v>
          </cell>
          <cell r="Z3670">
            <v>3.03</v>
          </cell>
          <cell r="AA3670">
            <v>0</v>
          </cell>
          <cell r="AB3670">
            <v>0</v>
          </cell>
        </row>
        <row r="3671">
          <cell r="G3671" t="str">
            <v>X1105_1</v>
          </cell>
          <cell r="H3671" t="str">
            <v>the-of</v>
          </cell>
          <cell r="I3671" t="str">
            <v>sim</v>
          </cell>
          <cell r="V3671" t="str">
            <v>not neg pair</v>
          </cell>
          <cell r="Y3671" t="str">
            <v>Pres</v>
          </cell>
          <cell r="Z3671">
            <v>3.03</v>
          </cell>
          <cell r="AA3671">
            <v>0</v>
          </cell>
          <cell r="AB3671">
            <v>0</v>
          </cell>
        </row>
        <row r="3672">
          <cell r="G3672" t="str">
            <v>X1106_0</v>
          </cell>
          <cell r="H3672" t="str">
            <v>as-as</v>
          </cell>
          <cell r="I3672" t="str">
            <v>sim</v>
          </cell>
          <cell r="V3672" t="str">
            <v>not</v>
          </cell>
          <cell r="Y3672" t="str">
            <v>Pres</v>
          </cell>
          <cell r="Z3672">
            <v>3.93</v>
          </cell>
          <cell r="AA3672">
            <v>0</v>
          </cell>
          <cell r="AB3672">
            <v>0</v>
          </cell>
        </row>
        <row r="3673">
          <cell r="G3673" t="str">
            <v>X1106_1</v>
          </cell>
          <cell r="H3673" t="str">
            <v>as-as</v>
          </cell>
          <cell r="I3673" t="str">
            <v>sim</v>
          </cell>
          <cell r="V3673" t="str">
            <v>not</v>
          </cell>
          <cell r="Y3673" t="str">
            <v>Pres</v>
          </cell>
          <cell r="Z3673">
            <v>3.93</v>
          </cell>
          <cell r="AA3673">
            <v>0</v>
          </cell>
          <cell r="AB3673">
            <v>0</v>
          </cell>
        </row>
        <row r="3674">
          <cell r="G3674" t="str">
            <v>X1107_0</v>
          </cell>
          <cell r="H3674" t="str">
            <v>as-as</v>
          </cell>
          <cell r="I3674" t="str">
            <v>sim</v>
          </cell>
          <cell r="V3674" t="str">
            <v>not</v>
          </cell>
          <cell r="Y3674" t="str">
            <v>Pres</v>
          </cell>
          <cell r="Z3674">
            <v>4.5</v>
          </cell>
          <cell r="AA3674">
            <v>0</v>
          </cell>
          <cell r="AB3674">
            <v>0</v>
          </cell>
        </row>
        <row r="3675">
          <cell r="G3675" t="str">
            <v>X1107_1</v>
          </cell>
          <cell r="H3675" t="str">
            <v>as-as</v>
          </cell>
          <cell r="I3675" t="str">
            <v>sim</v>
          </cell>
          <cell r="V3675" t="str">
            <v>not</v>
          </cell>
          <cell r="Y3675" t="str">
            <v>Pres</v>
          </cell>
          <cell r="Z3675">
            <v>4.5</v>
          </cell>
          <cell r="AA3675">
            <v>0</v>
          </cell>
          <cell r="AB3675">
            <v>0</v>
          </cell>
        </row>
        <row r="3676">
          <cell r="G3676" t="str">
            <v>X1108_0</v>
          </cell>
          <cell r="H3676" t="str">
            <v/>
          </cell>
          <cell r="I3676" t="str">
            <v>met</v>
          </cell>
          <cell r="V3676" t="str">
            <v>0</v>
          </cell>
          <cell r="Y3676" t="str">
            <v>Past</v>
          </cell>
          <cell r="Z3676">
            <v>4.93</v>
          </cell>
          <cell r="AA3676" t="str">
            <v>H</v>
          </cell>
          <cell r="AB3676">
            <v>0</v>
          </cell>
        </row>
        <row r="3677">
          <cell r="G3677" t="str">
            <v>X1108_1</v>
          </cell>
          <cell r="H3677" t="str">
            <v/>
          </cell>
          <cell r="I3677" t="str">
            <v>met</v>
          </cell>
          <cell r="V3677" t="str">
            <v>0</v>
          </cell>
          <cell r="Y3677" t="str">
            <v>Past</v>
          </cell>
          <cell r="Z3677">
            <v>4.93</v>
          </cell>
          <cell r="AA3677" t="str">
            <v>H</v>
          </cell>
          <cell r="AB3677">
            <v>0</v>
          </cell>
        </row>
        <row r="3678">
          <cell r="G3678" t="str">
            <v>X1109_0</v>
          </cell>
          <cell r="H3678" t="str">
            <v>as-as</v>
          </cell>
          <cell r="I3678" t="str">
            <v>sim</v>
          </cell>
          <cell r="V3678" t="str">
            <v>not neg pair</v>
          </cell>
          <cell r="Y3678" t="str">
            <v>Past</v>
          </cell>
          <cell r="Z3678">
            <v>4.6500000000000004</v>
          </cell>
          <cell r="AA3678">
            <v>0</v>
          </cell>
          <cell r="AB3678">
            <v>0</v>
          </cell>
        </row>
        <row r="3679">
          <cell r="G3679" t="str">
            <v>X1109_1</v>
          </cell>
          <cell r="H3679" t="str">
            <v>as-as</v>
          </cell>
          <cell r="I3679" t="str">
            <v>sim</v>
          </cell>
          <cell r="V3679" t="str">
            <v>not neg pair</v>
          </cell>
          <cell r="Y3679" t="str">
            <v>Past</v>
          </cell>
          <cell r="Z3679">
            <v>4.6500000000000004</v>
          </cell>
          <cell r="AA3679">
            <v>0</v>
          </cell>
          <cell r="AB3679">
            <v>0</v>
          </cell>
        </row>
        <row r="3680">
          <cell r="G3680" t="str">
            <v>X1110_0</v>
          </cell>
          <cell r="H3680" t="str">
            <v>as-as</v>
          </cell>
          <cell r="I3680" t="str">
            <v>sim</v>
          </cell>
          <cell r="V3680" t="str">
            <v>not neg pair</v>
          </cell>
          <cell r="Y3680" t="str">
            <v>Past</v>
          </cell>
          <cell r="Z3680">
            <v>3.89</v>
          </cell>
          <cell r="AA3680">
            <v>0</v>
          </cell>
          <cell r="AB3680">
            <v>0</v>
          </cell>
        </row>
        <row r="3681">
          <cell r="G3681" t="str">
            <v>X1110_1</v>
          </cell>
          <cell r="H3681" t="str">
            <v>as</v>
          </cell>
          <cell r="I3681" t="str">
            <v>sim</v>
          </cell>
          <cell r="V3681" t="str">
            <v>not neg pair</v>
          </cell>
          <cell r="Y3681" t="str">
            <v>Past</v>
          </cell>
          <cell r="Z3681">
            <v>3.89</v>
          </cell>
          <cell r="AA3681">
            <v>0</v>
          </cell>
          <cell r="AB3681">
            <v>0</v>
          </cell>
        </row>
        <row r="3682">
          <cell r="G3682" t="str">
            <v>X1111_0</v>
          </cell>
          <cell r="H3682" t="str">
            <v>as-as</v>
          </cell>
          <cell r="I3682" t="str">
            <v>sim</v>
          </cell>
          <cell r="V3682" t="str">
            <v>not neg pair</v>
          </cell>
          <cell r="Y3682" t="str">
            <v>Past</v>
          </cell>
          <cell r="Z3682">
            <v>0</v>
          </cell>
          <cell r="AA3682">
            <v>0</v>
          </cell>
          <cell r="AB3682">
            <v>0</v>
          </cell>
        </row>
        <row r="3683">
          <cell r="G3683" t="str">
            <v>X1111_1</v>
          </cell>
          <cell r="H3683" t="str">
            <v>as-as</v>
          </cell>
          <cell r="I3683" t="str">
            <v>sim</v>
          </cell>
          <cell r="V3683" t="str">
            <v>not neg pair</v>
          </cell>
          <cell r="Y3683" t="str">
            <v>Past</v>
          </cell>
          <cell r="Z3683">
            <v>4.6399999999999997</v>
          </cell>
          <cell r="AA3683">
            <v>0</v>
          </cell>
          <cell r="AB3683">
            <v>0</v>
          </cell>
        </row>
        <row r="3684">
          <cell r="G3684" t="str">
            <v>X1112_0</v>
          </cell>
          <cell r="H3684" t="str">
            <v>as-as</v>
          </cell>
          <cell r="I3684" t="str">
            <v>sim</v>
          </cell>
          <cell r="V3684" t="str">
            <v>not</v>
          </cell>
          <cell r="Y3684" t="str">
            <v>Pres</v>
          </cell>
          <cell r="Z3684">
            <v>4.1100000000000003</v>
          </cell>
          <cell r="AA3684">
            <v>0</v>
          </cell>
          <cell r="AB3684">
            <v>0</v>
          </cell>
        </row>
        <row r="3685">
          <cell r="G3685" t="str">
            <v>X1112_1</v>
          </cell>
          <cell r="H3685" t="str">
            <v>as-as</v>
          </cell>
          <cell r="I3685" t="str">
            <v>sim</v>
          </cell>
          <cell r="V3685" t="str">
            <v>not</v>
          </cell>
          <cell r="Y3685" t="str">
            <v>Pres</v>
          </cell>
          <cell r="Z3685">
            <v>4.1100000000000003</v>
          </cell>
          <cell r="AA3685">
            <v>0</v>
          </cell>
          <cell r="AB3685">
            <v>0</v>
          </cell>
        </row>
        <row r="3686">
          <cell r="G3686" t="str">
            <v>X1113_0</v>
          </cell>
          <cell r="H3686" t="str">
            <v>as-as</v>
          </cell>
          <cell r="I3686" t="str">
            <v>sim</v>
          </cell>
          <cell r="V3686" t="str">
            <v>antonym</v>
          </cell>
          <cell r="Y3686" t="str">
            <v>Past</v>
          </cell>
          <cell r="Z3686">
            <v>4.5</v>
          </cell>
          <cell r="AA3686">
            <v>0</v>
          </cell>
          <cell r="AB3686">
            <v>0</v>
          </cell>
        </row>
        <row r="3687">
          <cell r="G3687" t="str">
            <v>X1113_1</v>
          </cell>
          <cell r="H3687" t="str">
            <v>as-as</v>
          </cell>
          <cell r="I3687" t="str">
            <v>sim</v>
          </cell>
          <cell r="V3687" t="str">
            <v>antonym</v>
          </cell>
          <cell r="Y3687" t="str">
            <v>Past</v>
          </cell>
          <cell r="Z3687">
            <v>4.5</v>
          </cell>
          <cell r="AA3687">
            <v>0</v>
          </cell>
          <cell r="AB3687">
            <v>0</v>
          </cell>
        </row>
        <row r="3688">
          <cell r="G3688" t="str">
            <v>X1114_0</v>
          </cell>
          <cell r="H3688" t="str">
            <v/>
          </cell>
          <cell r="I3688" t="str">
            <v>met</v>
          </cell>
          <cell r="V3688" t="str">
            <v>0</v>
          </cell>
          <cell r="Y3688" t="str">
            <v>Pres</v>
          </cell>
          <cell r="Z3688">
            <v>4.9000000000000004</v>
          </cell>
          <cell r="AA3688">
            <v>0</v>
          </cell>
          <cell r="AB3688">
            <v>0</v>
          </cell>
        </row>
        <row r="3689">
          <cell r="G3689" t="str">
            <v>X1114_1</v>
          </cell>
          <cell r="H3689" t="str">
            <v/>
          </cell>
          <cell r="I3689" t="str">
            <v>met</v>
          </cell>
          <cell r="V3689" t="str">
            <v>0</v>
          </cell>
          <cell r="Y3689" t="str">
            <v>Pres</v>
          </cell>
          <cell r="Z3689">
            <v>4.1100000000000003</v>
          </cell>
          <cell r="AA3689">
            <v>0</v>
          </cell>
          <cell r="AB3689">
            <v>0</v>
          </cell>
        </row>
        <row r="3690">
          <cell r="G3690" t="str">
            <v>X1115_0</v>
          </cell>
          <cell r="H3690" t="str">
            <v>the-of</v>
          </cell>
          <cell r="I3690" t="str">
            <v>sim</v>
          </cell>
          <cell r="V3690" t="str">
            <v>not neg pair</v>
          </cell>
          <cell r="Y3690" t="str">
            <v>Pres</v>
          </cell>
          <cell r="Z3690">
            <v>3.36</v>
          </cell>
          <cell r="AA3690">
            <v>0</v>
          </cell>
          <cell r="AB3690">
            <v>0</v>
          </cell>
        </row>
        <row r="3691">
          <cell r="G3691" t="str">
            <v>X1115_1</v>
          </cell>
          <cell r="H3691" t="str">
            <v>the-of</v>
          </cell>
          <cell r="I3691" t="str">
            <v>sim</v>
          </cell>
          <cell r="V3691" t="str">
            <v>not neg pair</v>
          </cell>
          <cell r="Y3691" t="str">
            <v>Pres</v>
          </cell>
          <cell r="Z3691">
            <v>3.36</v>
          </cell>
          <cell r="AA3691">
            <v>0</v>
          </cell>
          <cell r="AB3691">
            <v>0</v>
          </cell>
        </row>
        <row r="3692">
          <cell r="G3692" t="str">
            <v>X1116_0</v>
          </cell>
          <cell r="H3692" t="str">
            <v/>
          </cell>
          <cell r="I3692" t="str">
            <v>met</v>
          </cell>
          <cell r="V3692" t="str">
            <v>0</v>
          </cell>
          <cell r="Y3692" t="str">
            <v>Pres</v>
          </cell>
          <cell r="Z3692">
            <v>4.1100000000000003</v>
          </cell>
          <cell r="AA3692">
            <v>0</v>
          </cell>
          <cell r="AB3692">
            <v>0</v>
          </cell>
        </row>
        <row r="3693">
          <cell r="G3693" t="str">
            <v>X1116_1</v>
          </cell>
          <cell r="H3693" t="str">
            <v>the-of</v>
          </cell>
          <cell r="I3693" t="str">
            <v>sim</v>
          </cell>
          <cell r="V3693" t="str">
            <v>0</v>
          </cell>
          <cell r="Y3693" t="str">
            <v>Pres</v>
          </cell>
          <cell r="Z3693">
            <v>2.67</v>
          </cell>
          <cell r="AA3693" t="str">
            <v>L</v>
          </cell>
          <cell r="AB3693">
            <v>0</v>
          </cell>
        </row>
        <row r="3694">
          <cell r="G3694" t="str">
            <v>X1117_0</v>
          </cell>
          <cell r="H3694" t="str">
            <v>the-of</v>
          </cell>
          <cell r="I3694" t="str">
            <v>sim</v>
          </cell>
          <cell r="V3694" t="str">
            <v>not</v>
          </cell>
          <cell r="Y3694" t="str">
            <v>Pres</v>
          </cell>
          <cell r="Z3694">
            <v>3.03</v>
          </cell>
          <cell r="AA3694">
            <v>0</v>
          </cell>
          <cell r="AB3694">
            <v>0</v>
          </cell>
        </row>
        <row r="3695">
          <cell r="G3695" t="str">
            <v>X1117_1</v>
          </cell>
          <cell r="H3695" t="str">
            <v>the-of</v>
          </cell>
          <cell r="I3695" t="str">
            <v>sim</v>
          </cell>
          <cell r="V3695" t="str">
            <v>not</v>
          </cell>
          <cell r="Y3695" t="str">
            <v>Pres</v>
          </cell>
          <cell r="Z3695">
            <v>3.03</v>
          </cell>
          <cell r="AA3695">
            <v>0</v>
          </cell>
          <cell r="AB3695">
            <v>0</v>
          </cell>
        </row>
        <row r="3696">
          <cell r="G3696" t="str">
            <v>X1118_0</v>
          </cell>
          <cell r="H3696" t="str">
            <v>like</v>
          </cell>
          <cell r="I3696" t="str">
            <v>sim</v>
          </cell>
          <cell r="V3696" t="str">
            <v>not</v>
          </cell>
          <cell r="Y3696" t="str">
            <v>Pres</v>
          </cell>
          <cell r="Z3696">
            <v>3.36</v>
          </cell>
          <cell r="AA3696">
            <v>0</v>
          </cell>
          <cell r="AB3696">
            <v>0</v>
          </cell>
        </row>
        <row r="3697">
          <cell r="G3697" t="str">
            <v>X1118_1</v>
          </cell>
          <cell r="H3697" t="str">
            <v>like</v>
          </cell>
          <cell r="I3697" t="str">
            <v>sim</v>
          </cell>
          <cell r="V3697" t="str">
            <v>not</v>
          </cell>
          <cell r="Y3697" t="str">
            <v>Pres</v>
          </cell>
          <cell r="Z3697">
            <v>2.2200000000000002</v>
          </cell>
          <cell r="AA3697" t="str">
            <v>L</v>
          </cell>
          <cell r="AB3697">
            <v>0</v>
          </cell>
        </row>
        <row r="3698">
          <cell r="G3698" t="str">
            <v>X1119_0</v>
          </cell>
          <cell r="H3698" t="str">
            <v>the-of</v>
          </cell>
          <cell r="I3698" t="str">
            <v>sim</v>
          </cell>
          <cell r="V3698" t="str">
            <v>not neg pair</v>
          </cell>
          <cell r="Y3698" t="str">
            <v>Pres</v>
          </cell>
          <cell r="Z3698">
            <v>4.5</v>
          </cell>
          <cell r="AA3698">
            <v>0</v>
          </cell>
          <cell r="AB3698">
            <v>0</v>
          </cell>
        </row>
        <row r="3699">
          <cell r="G3699" t="str">
            <v>X1119_1</v>
          </cell>
          <cell r="H3699" t="str">
            <v>the-of</v>
          </cell>
          <cell r="I3699" t="str">
            <v>sim</v>
          </cell>
          <cell r="V3699" t="str">
            <v>not neg pair</v>
          </cell>
          <cell r="Y3699" t="str">
            <v>Pres</v>
          </cell>
          <cell r="Z3699">
            <v>4.5</v>
          </cell>
          <cell r="AA3699">
            <v>0</v>
          </cell>
          <cell r="AB3699">
            <v>0</v>
          </cell>
        </row>
        <row r="3700">
          <cell r="G3700" t="str">
            <v>X1120_0</v>
          </cell>
          <cell r="H3700" t="str">
            <v/>
          </cell>
          <cell r="I3700" t="str">
            <v>met</v>
          </cell>
          <cell r="V3700" t="str">
            <v>0</v>
          </cell>
          <cell r="Y3700" t="str">
            <v>Past</v>
          </cell>
          <cell r="Z3700">
            <v>5</v>
          </cell>
          <cell r="AA3700" t="str">
            <v>H</v>
          </cell>
          <cell r="AB3700">
            <v>0</v>
          </cell>
        </row>
        <row r="3701">
          <cell r="G3701" t="str">
            <v>X1120_1</v>
          </cell>
          <cell r="H3701" t="str">
            <v/>
          </cell>
          <cell r="I3701" t="str">
            <v>met</v>
          </cell>
          <cell r="V3701" t="str">
            <v>0</v>
          </cell>
          <cell r="Y3701" t="str">
            <v>Past</v>
          </cell>
          <cell r="Z3701">
            <v>5</v>
          </cell>
          <cell r="AA3701" t="str">
            <v>H</v>
          </cell>
          <cell r="AB3701">
            <v>0</v>
          </cell>
        </row>
        <row r="3702">
          <cell r="G3702" t="str">
            <v>X1121_0</v>
          </cell>
          <cell r="H3702" t="str">
            <v>like</v>
          </cell>
          <cell r="I3702" t="str">
            <v>sim</v>
          </cell>
          <cell r="V3702" t="str">
            <v>not neg pair</v>
          </cell>
          <cell r="Y3702" t="str">
            <v>Past</v>
          </cell>
          <cell r="Z3702">
            <v>3.93</v>
          </cell>
          <cell r="AA3702">
            <v>0</v>
          </cell>
          <cell r="AB3702">
            <v>0</v>
          </cell>
        </row>
        <row r="3703">
          <cell r="G3703" t="str">
            <v>X1121_1</v>
          </cell>
          <cell r="H3703" t="str">
            <v>like</v>
          </cell>
          <cell r="I3703" t="str">
            <v>sim</v>
          </cell>
          <cell r="V3703" t="str">
            <v>not neg pair</v>
          </cell>
          <cell r="Y3703" t="str">
            <v>Past</v>
          </cell>
          <cell r="Z3703">
            <v>3.93</v>
          </cell>
          <cell r="AA3703">
            <v>0</v>
          </cell>
          <cell r="AB3703">
            <v>0</v>
          </cell>
        </row>
        <row r="3704">
          <cell r="G3704" t="str">
            <v>X1122_0</v>
          </cell>
          <cell r="H3704" t="str">
            <v>like</v>
          </cell>
          <cell r="I3704" t="str">
            <v>sim</v>
          </cell>
          <cell r="V3704" t="str">
            <v>not neg pair</v>
          </cell>
          <cell r="Y3704" t="str">
            <v>Past</v>
          </cell>
          <cell r="Z3704">
            <v>3.93</v>
          </cell>
          <cell r="AA3704">
            <v>0</v>
          </cell>
          <cell r="AB3704">
            <v>0</v>
          </cell>
        </row>
        <row r="3705">
          <cell r="G3705" t="str">
            <v>X1122_1</v>
          </cell>
          <cell r="H3705" t="str">
            <v>like</v>
          </cell>
          <cell r="I3705" t="str">
            <v>sim</v>
          </cell>
          <cell r="V3705" t="str">
            <v>not neg pair</v>
          </cell>
          <cell r="Y3705" t="str">
            <v>Past</v>
          </cell>
          <cell r="Z3705">
            <v>3.93</v>
          </cell>
          <cell r="AA3705">
            <v>0</v>
          </cell>
          <cell r="AB3705">
            <v>0</v>
          </cell>
        </row>
        <row r="3706">
          <cell r="G3706" t="str">
            <v>X1123_0</v>
          </cell>
          <cell r="H3706" t="str">
            <v>like</v>
          </cell>
          <cell r="I3706" t="str">
            <v>sim</v>
          </cell>
          <cell r="V3706" t="str">
            <v>not</v>
          </cell>
          <cell r="Y3706" t="str">
            <v>Pres</v>
          </cell>
          <cell r="Z3706">
            <v>3.93</v>
          </cell>
          <cell r="AA3706">
            <v>0</v>
          </cell>
          <cell r="AB3706">
            <v>0</v>
          </cell>
        </row>
        <row r="3707">
          <cell r="G3707" t="str">
            <v>X1123_1</v>
          </cell>
          <cell r="H3707" t="str">
            <v>like</v>
          </cell>
          <cell r="I3707" t="str">
            <v>sim</v>
          </cell>
          <cell r="V3707" t="str">
            <v>not</v>
          </cell>
          <cell r="Y3707" t="str">
            <v>Pres</v>
          </cell>
          <cell r="Z3707">
            <v>3.93</v>
          </cell>
          <cell r="AA3707">
            <v>0</v>
          </cell>
          <cell r="AB3707">
            <v>0</v>
          </cell>
        </row>
        <row r="3708">
          <cell r="G3708" t="str">
            <v>X1124_0</v>
          </cell>
          <cell r="H3708" t="str">
            <v>as-as</v>
          </cell>
          <cell r="I3708" t="str">
            <v>sim</v>
          </cell>
          <cell r="V3708" t="str">
            <v>not</v>
          </cell>
          <cell r="Y3708" t="str">
            <v>Pres</v>
          </cell>
          <cell r="Z3708">
            <v>2.81</v>
          </cell>
          <cell r="AA3708">
            <v>0</v>
          </cell>
          <cell r="AB3708">
            <v>0</v>
          </cell>
        </row>
        <row r="3709">
          <cell r="G3709" t="str">
            <v>X1124_1</v>
          </cell>
          <cell r="H3709" t="str">
            <v>as-as</v>
          </cell>
          <cell r="I3709" t="str">
            <v>sim</v>
          </cell>
          <cell r="V3709" t="str">
            <v>not</v>
          </cell>
          <cell r="Y3709" t="str">
            <v>Pres</v>
          </cell>
          <cell r="Z3709">
            <v>2.81</v>
          </cell>
          <cell r="AA3709">
            <v>0</v>
          </cell>
          <cell r="AB3709">
            <v>0</v>
          </cell>
        </row>
        <row r="3710">
          <cell r="G3710" t="str">
            <v>X1125_0</v>
          </cell>
          <cell r="H3710" t="str">
            <v>as-as</v>
          </cell>
          <cell r="I3710" t="str">
            <v>sim</v>
          </cell>
          <cell r="V3710" t="str">
            <v>antonym</v>
          </cell>
          <cell r="Y3710" t="str">
            <v>Pres</v>
          </cell>
          <cell r="Z3710">
            <v>3.93</v>
          </cell>
          <cell r="AA3710">
            <v>0</v>
          </cell>
          <cell r="AB3710">
            <v>0</v>
          </cell>
        </row>
        <row r="3711">
          <cell r="G3711" t="str">
            <v>X1125_1</v>
          </cell>
          <cell r="H3711" t="str">
            <v>as-as</v>
          </cell>
          <cell r="I3711" t="str">
            <v>sim</v>
          </cell>
          <cell r="V3711" t="str">
            <v>antonym</v>
          </cell>
          <cell r="Y3711" t="str">
            <v>Pres</v>
          </cell>
          <cell r="Z3711">
            <v>3.93</v>
          </cell>
          <cell r="AA3711">
            <v>0</v>
          </cell>
          <cell r="AB3711">
            <v>0</v>
          </cell>
        </row>
        <row r="3712">
          <cell r="G3712" t="str">
            <v>X1126_0</v>
          </cell>
          <cell r="H3712" t="str">
            <v>as-as</v>
          </cell>
          <cell r="I3712" t="str">
            <v>sim</v>
          </cell>
          <cell r="V3712" t="str">
            <v>antonym</v>
          </cell>
          <cell r="Y3712" t="str">
            <v>Pres</v>
          </cell>
          <cell r="Z3712">
            <v>2.0699999999999998</v>
          </cell>
          <cell r="AA3712" t="str">
            <v>L</v>
          </cell>
          <cell r="AB3712">
            <v>0</v>
          </cell>
        </row>
        <row r="3713">
          <cell r="G3713" t="str">
            <v>X1126_1</v>
          </cell>
          <cell r="H3713" t="str">
            <v>as-as</v>
          </cell>
          <cell r="I3713" t="str">
            <v>sim</v>
          </cell>
          <cell r="V3713" t="str">
            <v>antonym</v>
          </cell>
          <cell r="Y3713" t="str">
            <v>Pres</v>
          </cell>
          <cell r="Z3713">
            <v>2.0699999999999998</v>
          </cell>
          <cell r="AA3713" t="str">
            <v>L</v>
          </cell>
          <cell r="AB3713">
            <v>0</v>
          </cell>
        </row>
        <row r="3714">
          <cell r="G3714" t="str">
            <v>X1127_0</v>
          </cell>
          <cell r="H3714" t="str">
            <v>as-as</v>
          </cell>
          <cell r="I3714" t="str">
            <v>sim</v>
          </cell>
          <cell r="V3714" t="str">
            <v>not</v>
          </cell>
          <cell r="Y3714" t="str">
            <v>Past</v>
          </cell>
          <cell r="Z3714">
            <v>4.7</v>
          </cell>
          <cell r="AA3714">
            <v>0</v>
          </cell>
          <cell r="AB3714">
            <v>0</v>
          </cell>
        </row>
        <row r="3715">
          <cell r="G3715" t="str">
            <v>X1127_1</v>
          </cell>
          <cell r="H3715" t="str">
            <v>as-as</v>
          </cell>
          <cell r="I3715" t="str">
            <v>sim</v>
          </cell>
          <cell r="V3715" t="str">
            <v>not</v>
          </cell>
          <cell r="Y3715" t="str">
            <v>Past</v>
          </cell>
          <cell r="Z3715">
            <v>4.7</v>
          </cell>
          <cell r="AA3715">
            <v>0</v>
          </cell>
          <cell r="AB3715">
            <v>0</v>
          </cell>
        </row>
        <row r="3716">
          <cell r="G3716" t="str">
            <v>X1128_0</v>
          </cell>
          <cell r="H3716" t="str">
            <v>as-as</v>
          </cell>
          <cell r="I3716" t="str">
            <v>sim</v>
          </cell>
          <cell r="V3716" t="str">
            <v>not</v>
          </cell>
          <cell r="Y3716" t="str">
            <v>Past</v>
          </cell>
          <cell r="Z3716">
            <v>4.8499999999999996</v>
          </cell>
          <cell r="AA3716">
            <v>0</v>
          </cell>
          <cell r="AB3716">
            <v>0</v>
          </cell>
        </row>
        <row r="3717">
          <cell r="G3717" t="str">
            <v>X1128_1</v>
          </cell>
          <cell r="H3717" t="str">
            <v>as-as</v>
          </cell>
          <cell r="I3717" t="str">
            <v>sim</v>
          </cell>
          <cell r="V3717" t="str">
            <v>not</v>
          </cell>
          <cell r="Y3717" t="str">
            <v>Past</v>
          </cell>
          <cell r="Z3717">
            <v>4.8499999999999996</v>
          </cell>
          <cell r="AA3717">
            <v>0</v>
          </cell>
          <cell r="AB3717">
            <v>0</v>
          </cell>
        </row>
        <row r="3718">
          <cell r="G3718" t="str">
            <v>X1129_0</v>
          </cell>
          <cell r="H3718" t="str">
            <v/>
          </cell>
          <cell r="I3718" t="str">
            <v>met</v>
          </cell>
          <cell r="V3718" t="str">
            <v>0</v>
          </cell>
          <cell r="Y3718" t="str">
            <v>Pres</v>
          </cell>
          <cell r="Z3718">
            <v>2.0699999999999998</v>
          </cell>
          <cell r="AA3718" t="str">
            <v>L</v>
          </cell>
          <cell r="AB3718">
            <v>0</v>
          </cell>
        </row>
        <row r="3719">
          <cell r="G3719" t="str">
            <v>X1129_1</v>
          </cell>
          <cell r="H3719" t="str">
            <v/>
          </cell>
          <cell r="I3719" t="str">
            <v>met</v>
          </cell>
          <cell r="V3719" t="str">
            <v>0</v>
          </cell>
          <cell r="Y3719" t="str">
            <v>Pres</v>
          </cell>
          <cell r="Z3719">
            <v>2.0699999999999998</v>
          </cell>
          <cell r="AA3719" t="str">
            <v>L</v>
          </cell>
          <cell r="AB3719">
            <v>0</v>
          </cell>
        </row>
        <row r="3720">
          <cell r="G3720" t="str">
            <v>X1130_0</v>
          </cell>
          <cell r="H3720" t="str">
            <v/>
          </cell>
          <cell r="I3720" t="str">
            <v>met</v>
          </cell>
          <cell r="V3720" t="str">
            <v>0</v>
          </cell>
          <cell r="Y3720" t="str">
            <v>Pres</v>
          </cell>
          <cell r="Z3720">
            <v>4.6399999999999997</v>
          </cell>
          <cell r="AA3720">
            <v>0</v>
          </cell>
          <cell r="AB3720">
            <v>0</v>
          </cell>
        </row>
        <row r="3721">
          <cell r="G3721" t="str">
            <v>X1130_1</v>
          </cell>
          <cell r="H3721" t="str">
            <v/>
          </cell>
          <cell r="I3721" t="str">
            <v>met</v>
          </cell>
          <cell r="V3721" t="str">
            <v>0</v>
          </cell>
          <cell r="Y3721" t="str">
            <v>Pres</v>
          </cell>
          <cell r="Z3721">
            <v>4.6399999999999997</v>
          </cell>
          <cell r="AA3721">
            <v>0</v>
          </cell>
          <cell r="AB3721">
            <v>0</v>
          </cell>
        </row>
        <row r="3722">
          <cell r="G3722" t="str">
            <v>X1131_0</v>
          </cell>
          <cell r="H3722" t="str">
            <v>as</v>
          </cell>
          <cell r="I3722" t="str">
            <v>sim</v>
          </cell>
          <cell r="V3722" t="str">
            <v>0</v>
          </cell>
          <cell r="Y3722" t="str">
            <v>Pres</v>
          </cell>
          <cell r="Z3722">
            <v>5</v>
          </cell>
          <cell r="AA3722" t="str">
            <v>H</v>
          </cell>
          <cell r="AB3722">
            <v>0</v>
          </cell>
        </row>
        <row r="3723">
          <cell r="G3723" t="str">
            <v>X1131_1</v>
          </cell>
          <cell r="H3723" t="str">
            <v/>
          </cell>
          <cell r="I3723" t="str">
            <v>met</v>
          </cell>
          <cell r="V3723" t="str">
            <v>0</v>
          </cell>
          <cell r="Y3723" t="str">
            <v>Pres</v>
          </cell>
          <cell r="Z3723">
            <v>5</v>
          </cell>
          <cell r="AA3723" t="str">
            <v>H</v>
          </cell>
          <cell r="AB3723">
            <v>0</v>
          </cell>
        </row>
        <row r="3724">
          <cell r="G3724" t="str">
            <v>X1132_0</v>
          </cell>
          <cell r="H3724" t="str">
            <v>the-of</v>
          </cell>
          <cell r="I3724" t="str">
            <v>sim</v>
          </cell>
          <cell r="V3724" t="str">
            <v>not neg pair</v>
          </cell>
          <cell r="Y3724" t="str">
            <v>Pres</v>
          </cell>
          <cell r="Z3724">
            <v>4.8</v>
          </cell>
          <cell r="AA3724">
            <v>0</v>
          </cell>
          <cell r="AB3724">
            <v>0</v>
          </cell>
        </row>
        <row r="3725">
          <cell r="G3725" t="str">
            <v>X1132_1</v>
          </cell>
          <cell r="H3725" t="str">
            <v>the-of</v>
          </cell>
          <cell r="I3725" t="str">
            <v>sim</v>
          </cell>
          <cell r="V3725" t="str">
            <v>not neg pair</v>
          </cell>
          <cell r="Y3725" t="str">
            <v>Pres</v>
          </cell>
          <cell r="Z3725">
            <v>4.8</v>
          </cell>
          <cell r="AA3725">
            <v>0</v>
          </cell>
          <cell r="AB3725">
            <v>0</v>
          </cell>
        </row>
        <row r="3726">
          <cell r="G3726" t="str">
            <v>X1133_0</v>
          </cell>
          <cell r="H3726" t="str">
            <v>as-as</v>
          </cell>
          <cell r="I3726" t="str">
            <v>sim</v>
          </cell>
          <cell r="V3726" t="str">
            <v>not neg pair</v>
          </cell>
          <cell r="Y3726" t="str">
            <v>Pres</v>
          </cell>
          <cell r="Z3726">
            <v>3.93</v>
          </cell>
          <cell r="AA3726">
            <v>0</v>
          </cell>
          <cell r="AB3726">
            <v>0</v>
          </cell>
        </row>
        <row r="3727">
          <cell r="G3727" t="str">
            <v>X1133_1</v>
          </cell>
          <cell r="H3727" t="str">
            <v>as-as</v>
          </cell>
          <cell r="I3727" t="str">
            <v>sim</v>
          </cell>
          <cell r="V3727" t="str">
            <v>not neg pair</v>
          </cell>
          <cell r="Y3727" t="str">
            <v>Pres</v>
          </cell>
          <cell r="Z3727">
            <v>3.93</v>
          </cell>
          <cell r="AA3727">
            <v>0</v>
          </cell>
          <cell r="AB3727">
            <v>0</v>
          </cell>
        </row>
        <row r="3728">
          <cell r="G3728" t="str">
            <v>X1134_0</v>
          </cell>
          <cell r="H3728" t="str">
            <v>the-of</v>
          </cell>
          <cell r="I3728" t="str">
            <v>sim</v>
          </cell>
          <cell r="V3728" t="str">
            <v>not neg pair</v>
          </cell>
          <cell r="Y3728" t="str">
            <v>Pres</v>
          </cell>
          <cell r="Z3728">
            <v>4.8499999999999996</v>
          </cell>
          <cell r="AA3728">
            <v>0</v>
          </cell>
          <cell r="AB3728">
            <v>0</v>
          </cell>
        </row>
        <row r="3729">
          <cell r="G3729" t="str">
            <v>X1134_1</v>
          </cell>
          <cell r="H3729" t="str">
            <v>the-of</v>
          </cell>
          <cell r="I3729" t="str">
            <v>sim</v>
          </cell>
          <cell r="V3729" t="str">
            <v>not neg pair</v>
          </cell>
          <cell r="Y3729" t="str">
            <v>Pres</v>
          </cell>
          <cell r="Z3729">
            <v>4.8499999999999996</v>
          </cell>
          <cell r="AA3729">
            <v>0</v>
          </cell>
          <cell r="AB3729">
            <v>0</v>
          </cell>
        </row>
        <row r="3730">
          <cell r="G3730" t="str">
            <v>X1135_0</v>
          </cell>
          <cell r="H3730" t="str">
            <v/>
          </cell>
          <cell r="I3730" t="str">
            <v>met</v>
          </cell>
          <cell r="V3730" t="str">
            <v>0</v>
          </cell>
          <cell r="Y3730" t="str">
            <v>Past</v>
          </cell>
          <cell r="Z3730">
            <v>3.36</v>
          </cell>
          <cell r="AA3730">
            <v>0</v>
          </cell>
          <cell r="AB3730">
            <v>0</v>
          </cell>
        </row>
        <row r="3731">
          <cell r="G3731" t="str">
            <v>X1135_1</v>
          </cell>
          <cell r="H3731" t="str">
            <v/>
          </cell>
          <cell r="I3731" t="str">
            <v>met</v>
          </cell>
          <cell r="V3731" t="str">
            <v>0</v>
          </cell>
          <cell r="Y3731" t="str">
            <v>Past</v>
          </cell>
          <cell r="Z3731">
            <v>3.36</v>
          </cell>
          <cell r="AA3731">
            <v>0</v>
          </cell>
          <cell r="AB3731">
            <v>0</v>
          </cell>
        </row>
        <row r="3732">
          <cell r="G3732" t="str">
            <v>X1136_0</v>
          </cell>
          <cell r="H3732" t="str">
            <v>as-as</v>
          </cell>
          <cell r="I3732" t="str">
            <v>sim</v>
          </cell>
          <cell r="V3732" t="str">
            <v>not</v>
          </cell>
          <cell r="Y3732" t="str">
            <v>Past</v>
          </cell>
          <cell r="Z3732">
            <v>3.36</v>
          </cell>
          <cell r="AA3732">
            <v>0</v>
          </cell>
          <cell r="AB3732">
            <v>0</v>
          </cell>
        </row>
        <row r="3733">
          <cell r="G3733" t="str">
            <v>X1136_1</v>
          </cell>
          <cell r="H3733" t="str">
            <v>as-as</v>
          </cell>
          <cell r="I3733" t="str">
            <v>sim</v>
          </cell>
          <cell r="V3733" t="str">
            <v>not</v>
          </cell>
          <cell r="Y3733" t="str">
            <v>Past</v>
          </cell>
          <cell r="Z3733">
            <v>3.36</v>
          </cell>
          <cell r="AA3733">
            <v>0</v>
          </cell>
          <cell r="AB3733">
            <v>0</v>
          </cell>
        </row>
        <row r="3734">
          <cell r="G3734" t="str">
            <v>X1137_0</v>
          </cell>
          <cell r="H3734" t="str">
            <v>as-as</v>
          </cell>
          <cell r="I3734" t="str">
            <v>sim</v>
          </cell>
          <cell r="V3734" t="str">
            <v>not</v>
          </cell>
          <cell r="Y3734" t="str">
            <v>Past</v>
          </cell>
          <cell r="Z3734">
            <v>3.36</v>
          </cell>
          <cell r="AA3734">
            <v>0</v>
          </cell>
          <cell r="AB3734">
            <v>0</v>
          </cell>
        </row>
        <row r="3735">
          <cell r="G3735" t="str">
            <v>X1137_1</v>
          </cell>
          <cell r="H3735" t="str">
            <v>as-as</v>
          </cell>
          <cell r="I3735" t="str">
            <v>sim</v>
          </cell>
          <cell r="V3735" t="str">
            <v>not</v>
          </cell>
          <cell r="Y3735" t="str">
            <v>Past</v>
          </cell>
          <cell r="Z3735">
            <v>3.36</v>
          </cell>
          <cell r="AA3735">
            <v>0</v>
          </cell>
          <cell r="AB3735">
            <v>0</v>
          </cell>
        </row>
        <row r="3736">
          <cell r="G3736" t="str">
            <v>X1138_0</v>
          </cell>
          <cell r="H3736" t="str">
            <v>as-as</v>
          </cell>
          <cell r="I3736" t="str">
            <v>sim</v>
          </cell>
          <cell r="V3736" t="str">
            <v>antonym</v>
          </cell>
          <cell r="Y3736" t="str">
            <v>Past</v>
          </cell>
          <cell r="Z3736">
            <v>3.36</v>
          </cell>
          <cell r="AA3736">
            <v>0</v>
          </cell>
          <cell r="AB3736">
            <v>0</v>
          </cell>
        </row>
        <row r="3737">
          <cell r="G3737" t="str">
            <v>X1138_1</v>
          </cell>
          <cell r="H3737" t="str">
            <v>as-as</v>
          </cell>
          <cell r="I3737" t="str">
            <v>sim</v>
          </cell>
          <cell r="V3737" t="str">
            <v>antonym</v>
          </cell>
          <cell r="Y3737" t="str">
            <v>Past</v>
          </cell>
          <cell r="Z3737">
            <v>3.36</v>
          </cell>
          <cell r="AA3737">
            <v>0</v>
          </cell>
          <cell r="AB3737">
            <v>0</v>
          </cell>
        </row>
        <row r="3738">
          <cell r="G3738" t="str">
            <v>X1139_0</v>
          </cell>
          <cell r="H3738" t="str">
            <v>the-of</v>
          </cell>
          <cell r="I3738" t="str">
            <v>sim</v>
          </cell>
          <cell r="V3738" t="str">
            <v>not</v>
          </cell>
          <cell r="Y3738" t="str">
            <v>Pres</v>
          </cell>
          <cell r="Z3738">
            <v>4.8600000000000003</v>
          </cell>
          <cell r="AA3738">
            <v>0</v>
          </cell>
          <cell r="AB3738">
            <v>0</v>
          </cell>
        </row>
        <row r="3739">
          <cell r="G3739" t="str">
            <v>X1139_1</v>
          </cell>
          <cell r="H3739" t="str">
            <v>the-of</v>
          </cell>
          <cell r="I3739" t="str">
            <v>sim</v>
          </cell>
          <cell r="V3739" t="str">
            <v>not</v>
          </cell>
          <cell r="Y3739" t="str">
            <v>Pres</v>
          </cell>
          <cell r="Z3739">
            <v>4.8600000000000003</v>
          </cell>
          <cell r="AA3739">
            <v>0</v>
          </cell>
          <cell r="AB3739">
            <v>0</v>
          </cell>
        </row>
        <row r="3740">
          <cell r="G3740" t="str">
            <v>X1140_0</v>
          </cell>
          <cell r="H3740" t="str">
            <v>the-of</v>
          </cell>
          <cell r="I3740" t="str">
            <v>sim</v>
          </cell>
          <cell r="V3740" t="str">
            <v>not neg pair</v>
          </cell>
          <cell r="Y3740" t="str">
            <v>Past</v>
          </cell>
          <cell r="Z3740">
            <v>5</v>
          </cell>
          <cell r="AA3740" t="str">
            <v>H</v>
          </cell>
          <cell r="AB3740">
            <v>0</v>
          </cell>
        </row>
        <row r="3741">
          <cell r="G3741" t="str">
            <v>X1140_1</v>
          </cell>
          <cell r="H3741" t="str">
            <v>the-of</v>
          </cell>
          <cell r="I3741" t="str">
            <v>sim</v>
          </cell>
          <cell r="V3741" t="str">
            <v>not neg pair</v>
          </cell>
          <cell r="Y3741" t="str">
            <v>Past</v>
          </cell>
          <cell r="Z3741">
            <v>5</v>
          </cell>
          <cell r="AA3741" t="str">
            <v>H</v>
          </cell>
          <cell r="AB3741">
            <v>0</v>
          </cell>
        </row>
        <row r="3742">
          <cell r="G3742" t="str">
            <v>X1141_0</v>
          </cell>
          <cell r="H3742" t="str">
            <v>as-as</v>
          </cell>
          <cell r="I3742" t="str">
            <v>sim</v>
          </cell>
          <cell r="V3742" t="str">
            <v>not neg pair</v>
          </cell>
          <cell r="Y3742" t="str">
            <v>Past</v>
          </cell>
          <cell r="Z3742">
            <v>2.81</v>
          </cell>
          <cell r="AA3742">
            <v>0</v>
          </cell>
          <cell r="AB3742">
            <v>0</v>
          </cell>
        </row>
        <row r="3743">
          <cell r="G3743" t="str">
            <v>X1141_1</v>
          </cell>
          <cell r="H3743" t="str">
            <v>as-as</v>
          </cell>
          <cell r="I3743" t="str">
            <v>sim</v>
          </cell>
          <cell r="V3743" t="str">
            <v>not neg pair</v>
          </cell>
          <cell r="Y3743" t="str">
            <v>Pres</v>
          </cell>
          <cell r="Z3743">
            <v>2.81</v>
          </cell>
          <cell r="AA3743">
            <v>0</v>
          </cell>
          <cell r="AB3743">
            <v>0</v>
          </cell>
        </row>
        <row r="3744">
          <cell r="G3744" t="str">
            <v>X1142_0</v>
          </cell>
          <cell r="H3744" t="str">
            <v/>
          </cell>
          <cell r="I3744" t="str">
            <v>met</v>
          </cell>
          <cell r="V3744" t="str">
            <v>0</v>
          </cell>
          <cell r="Y3744" t="str">
            <v>Past</v>
          </cell>
          <cell r="Z3744">
            <v>2.81</v>
          </cell>
          <cell r="AA3744">
            <v>0</v>
          </cell>
          <cell r="AB3744">
            <v>0</v>
          </cell>
        </row>
        <row r="3745">
          <cell r="G3745" t="str">
            <v>X1142_1</v>
          </cell>
          <cell r="H3745" t="str">
            <v/>
          </cell>
          <cell r="I3745" t="str">
            <v>met</v>
          </cell>
          <cell r="V3745" t="str">
            <v>0</v>
          </cell>
          <cell r="Y3745" t="str">
            <v>Past</v>
          </cell>
          <cell r="Z3745">
            <v>2.81</v>
          </cell>
          <cell r="AA3745">
            <v>0</v>
          </cell>
          <cell r="AB3745">
            <v>0</v>
          </cell>
        </row>
        <row r="3746">
          <cell r="G3746" t="str">
            <v>X1143_0</v>
          </cell>
          <cell r="H3746" t="str">
            <v>as-as</v>
          </cell>
          <cell r="I3746" t="str">
            <v>sim</v>
          </cell>
          <cell r="V3746" t="str">
            <v>antonym</v>
          </cell>
          <cell r="Y3746" t="str">
            <v>Past</v>
          </cell>
          <cell r="Z3746">
            <v>2.81</v>
          </cell>
          <cell r="AA3746">
            <v>0</v>
          </cell>
          <cell r="AB3746">
            <v>0</v>
          </cell>
        </row>
        <row r="3747">
          <cell r="G3747" t="str">
            <v>X1143_1</v>
          </cell>
          <cell r="H3747" t="str">
            <v>as-as</v>
          </cell>
          <cell r="I3747" t="str">
            <v>sim</v>
          </cell>
          <cell r="V3747" t="str">
            <v>antonym</v>
          </cell>
          <cell r="Y3747" t="str">
            <v>Past</v>
          </cell>
          <cell r="Z3747">
            <v>2.81</v>
          </cell>
          <cell r="AA3747">
            <v>0</v>
          </cell>
          <cell r="AB3747">
            <v>0</v>
          </cell>
        </row>
        <row r="3748">
          <cell r="G3748" t="str">
            <v>X1144_0</v>
          </cell>
          <cell r="H3748" t="str">
            <v>as-as</v>
          </cell>
          <cell r="I3748" t="str">
            <v>sim</v>
          </cell>
          <cell r="V3748" t="str">
            <v>not</v>
          </cell>
          <cell r="Y3748" t="str">
            <v>Pres</v>
          </cell>
          <cell r="Z3748">
            <v>4.6100000000000003</v>
          </cell>
          <cell r="AA3748">
            <v>0</v>
          </cell>
          <cell r="AB3748">
            <v>0</v>
          </cell>
        </row>
        <row r="3749">
          <cell r="G3749" t="str">
            <v>X1144_1</v>
          </cell>
          <cell r="H3749" t="str">
            <v>as-as</v>
          </cell>
          <cell r="I3749" t="str">
            <v>sim</v>
          </cell>
          <cell r="V3749" t="str">
            <v>not</v>
          </cell>
          <cell r="Y3749" t="str">
            <v>Pres</v>
          </cell>
          <cell r="Z3749">
            <v>4.6100000000000003</v>
          </cell>
          <cell r="AA3749">
            <v>0</v>
          </cell>
          <cell r="AB3749">
            <v>0</v>
          </cell>
        </row>
        <row r="3750">
          <cell r="G3750" t="str">
            <v>X1145_0</v>
          </cell>
          <cell r="H3750" t="str">
            <v>as-as</v>
          </cell>
          <cell r="I3750" t="str">
            <v>sim</v>
          </cell>
          <cell r="V3750" t="str">
            <v>not</v>
          </cell>
          <cell r="Y3750" t="str">
            <v>Past</v>
          </cell>
          <cell r="Z3750">
            <v>4.57</v>
          </cell>
          <cell r="AA3750">
            <v>0</v>
          </cell>
          <cell r="AB3750">
            <v>0</v>
          </cell>
        </row>
        <row r="3751">
          <cell r="G3751" t="str">
            <v>X1145_1</v>
          </cell>
          <cell r="H3751" t="str">
            <v>as-as</v>
          </cell>
          <cell r="I3751" t="str">
            <v>sim</v>
          </cell>
          <cell r="V3751" t="str">
            <v>not</v>
          </cell>
          <cell r="Y3751" t="str">
            <v>Past</v>
          </cell>
          <cell r="Z3751">
            <v>4.57</v>
          </cell>
          <cell r="AA3751">
            <v>0</v>
          </cell>
          <cell r="AB3751">
            <v>0</v>
          </cell>
        </row>
        <row r="3752">
          <cell r="G3752" t="str">
            <v>X1146_0</v>
          </cell>
          <cell r="H3752" t="str">
            <v>as-as</v>
          </cell>
          <cell r="I3752" t="str">
            <v>sim</v>
          </cell>
          <cell r="V3752" t="str">
            <v>not</v>
          </cell>
          <cell r="Y3752" t="str">
            <v>Past</v>
          </cell>
          <cell r="Z3752">
            <v>3.93</v>
          </cell>
          <cell r="AA3752">
            <v>0</v>
          </cell>
          <cell r="AB3752">
            <v>0</v>
          </cell>
        </row>
        <row r="3753">
          <cell r="G3753" t="str">
            <v>X1146_1</v>
          </cell>
          <cell r="H3753" t="str">
            <v>as-as</v>
          </cell>
          <cell r="I3753" t="str">
            <v>sim</v>
          </cell>
          <cell r="V3753" t="str">
            <v>not</v>
          </cell>
          <cell r="Y3753" t="str">
            <v>Past</v>
          </cell>
          <cell r="Z3753">
            <v>3.93</v>
          </cell>
          <cell r="AA3753">
            <v>0</v>
          </cell>
          <cell r="AB3753">
            <v>0</v>
          </cell>
        </row>
        <row r="3754">
          <cell r="G3754" t="str">
            <v>X1147_0</v>
          </cell>
          <cell r="H3754" t="str">
            <v>as-as</v>
          </cell>
          <cell r="I3754" t="str">
            <v>sim</v>
          </cell>
          <cell r="V3754" t="str">
            <v>not</v>
          </cell>
          <cell r="Y3754" t="str">
            <v>Past</v>
          </cell>
          <cell r="Z3754">
            <v>3.93</v>
          </cell>
          <cell r="AA3754">
            <v>0</v>
          </cell>
          <cell r="AB3754">
            <v>0</v>
          </cell>
        </row>
        <row r="3755">
          <cell r="G3755" t="str">
            <v>X1147_1</v>
          </cell>
          <cell r="H3755" t="str">
            <v>as-as</v>
          </cell>
          <cell r="I3755" t="str">
            <v>sim</v>
          </cell>
          <cell r="V3755" t="str">
            <v>not</v>
          </cell>
          <cell r="Y3755" t="str">
            <v>Past</v>
          </cell>
          <cell r="Z3755">
            <v>3.93</v>
          </cell>
          <cell r="AA3755">
            <v>0</v>
          </cell>
          <cell r="AB3755">
            <v>0</v>
          </cell>
        </row>
        <row r="3756">
          <cell r="G3756" t="str">
            <v>X1148_0</v>
          </cell>
          <cell r="H3756" t="str">
            <v>the-of</v>
          </cell>
          <cell r="I3756" t="str">
            <v>sim</v>
          </cell>
          <cell r="V3756" t="str">
            <v>not neg pair</v>
          </cell>
          <cell r="Y3756" t="str">
            <v>Past</v>
          </cell>
          <cell r="Z3756">
            <v>4.46</v>
          </cell>
          <cell r="AA3756">
            <v>0</v>
          </cell>
          <cell r="AB3756">
            <v>0</v>
          </cell>
        </row>
        <row r="3757">
          <cell r="G3757" t="str">
            <v>X1148_1</v>
          </cell>
          <cell r="H3757" t="str">
            <v>the-of</v>
          </cell>
          <cell r="I3757" t="str">
            <v>sim</v>
          </cell>
          <cell r="V3757" t="str">
            <v>not neg pair</v>
          </cell>
          <cell r="Y3757" t="str">
            <v>Past</v>
          </cell>
          <cell r="Z3757">
            <v>4.46</v>
          </cell>
          <cell r="AA3757">
            <v>0</v>
          </cell>
          <cell r="AB3757">
            <v>0</v>
          </cell>
        </row>
        <row r="3758">
          <cell r="G3758" t="str">
            <v>X1149_0</v>
          </cell>
          <cell r="H3758" t="str">
            <v>the-of</v>
          </cell>
          <cell r="I3758" t="str">
            <v>sim</v>
          </cell>
          <cell r="V3758" t="str">
            <v>not neg pair</v>
          </cell>
          <cell r="Y3758" t="str">
            <v>Past</v>
          </cell>
          <cell r="Z3758">
            <v>4.75</v>
          </cell>
          <cell r="AA3758">
            <v>0</v>
          </cell>
          <cell r="AB3758">
            <v>0</v>
          </cell>
        </row>
        <row r="3759">
          <cell r="G3759" t="str">
            <v>X1149_1</v>
          </cell>
          <cell r="H3759" t="str">
            <v>the-of</v>
          </cell>
          <cell r="I3759" t="str">
            <v>sim</v>
          </cell>
          <cell r="V3759" t="str">
            <v>not neg pair</v>
          </cell>
          <cell r="Y3759" t="str">
            <v>Past</v>
          </cell>
          <cell r="Z3759">
            <v>4.75</v>
          </cell>
          <cell r="AA3759">
            <v>0</v>
          </cell>
          <cell r="AB3759">
            <v>0</v>
          </cell>
        </row>
        <row r="3760">
          <cell r="G3760" t="str">
            <v>X1150_0</v>
          </cell>
          <cell r="H3760" t="str">
            <v>as-as</v>
          </cell>
          <cell r="I3760" t="str">
            <v>sim</v>
          </cell>
          <cell r="V3760" t="str">
            <v>antonym</v>
          </cell>
          <cell r="Y3760" t="str">
            <v>Past</v>
          </cell>
          <cell r="Z3760">
            <v>4.78</v>
          </cell>
          <cell r="AA3760">
            <v>0</v>
          </cell>
          <cell r="AB3760">
            <v>0</v>
          </cell>
        </row>
        <row r="3761">
          <cell r="G3761" t="str">
            <v>X1150_1</v>
          </cell>
          <cell r="H3761" t="str">
            <v>as-as</v>
          </cell>
          <cell r="I3761" t="str">
            <v>sim</v>
          </cell>
          <cell r="V3761" t="str">
            <v>antonym</v>
          </cell>
          <cell r="Y3761" t="str">
            <v>Past</v>
          </cell>
          <cell r="Z3761">
            <v>4.78</v>
          </cell>
          <cell r="AA3761">
            <v>0</v>
          </cell>
          <cell r="AB3761">
            <v>0</v>
          </cell>
        </row>
        <row r="3762">
          <cell r="G3762" t="str">
            <v>X1151_0</v>
          </cell>
          <cell r="H3762" t="str">
            <v>the-of</v>
          </cell>
          <cell r="I3762" t="str">
            <v>sim</v>
          </cell>
          <cell r="V3762" t="str">
            <v>not neg pair</v>
          </cell>
          <cell r="Y3762" t="str">
            <v>Pres</v>
          </cell>
          <cell r="Z3762">
            <v>4.9000000000000004</v>
          </cell>
          <cell r="AA3762">
            <v>0</v>
          </cell>
          <cell r="AB3762">
            <v>0</v>
          </cell>
        </row>
        <row r="3763">
          <cell r="G3763" t="str">
            <v>X1151_1</v>
          </cell>
          <cell r="H3763" t="str">
            <v>the-of</v>
          </cell>
          <cell r="I3763" t="str">
            <v>sim</v>
          </cell>
          <cell r="V3763" t="str">
            <v>not neg pair</v>
          </cell>
          <cell r="Y3763" t="str">
            <v>Pres</v>
          </cell>
          <cell r="Z3763">
            <v>4.9000000000000004</v>
          </cell>
          <cell r="AA3763">
            <v>0</v>
          </cell>
          <cell r="AB3763">
            <v>0</v>
          </cell>
        </row>
        <row r="3764">
          <cell r="G3764" t="str">
            <v>X1152_0</v>
          </cell>
          <cell r="H3764" t="str">
            <v>the-of</v>
          </cell>
          <cell r="I3764" t="str">
            <v>sim</v>
          </cell>
          <cell r="V3764" t="str">
            <v>not neg pair</v>
          </cell>
          <cell r="Y3764" t="str">
            <v>Pres</v>
          </cell>
          <cell r="Z3764">
            <v>5</v>
          </cell>
          <cell r="AA3764" t="str">
            <v>H</v>
          </cell>
          <cell r="AB3764">
            <v>0</v>
          </cell>
        </row>
        <row r="3765">
          <cell r="G3765" t="str">
            <v>X1152_1</v>
          </cell>
          <cell r="H3765" t="str">
            <v>the-of</v>
          </cell>
          <cell r="I3765" t="str">
            <v>sim</v>
          </cell>
          <cell r="V3765" t="str">
            <v>not neg pair</v>
          </cell>
          <cell r="Y3765" t="str">
            <v>Pres</v>
          </cell>
          <cell r="Z3765">
            <v>5</v>
          </cell>
          <cell r="AA3765" t="str">
            <v>H</v>
          </cell>
          <cell r="AB3765">
            <v>0</v>
          </cell>
        </row>
        <row r="3766">
          <cell r="G3766" t="str">
            <v>X1153_0</v>
          </cell>
          <cell r="H3766" t="str">
            <v>the-of</v>
          </cell>
          <cell r="I3766" t="str">
            <v>sim</v>
          </cell>
          <cell r="V3766" t="str">
            <v>not neg pair</v>
          </cell>
          <cell r="Y3766" t="str">
            <v>Pres</v>
          </cell>
          <cell r="Z3766">
            <v>3</v>
          </cell>
          <cell r="AA3766">
            <v>0</v>
          </cell>
          <cell r="AB3766">
            <v>0</v>
          </cell>
        </row>
        <row r="3767">
          <cell r="G3767" t="str">
            <v>X1153_1</v>
          </cell>
          <cell r="H3767" t="str">
            <v>the-of</v>
          </cell>
          <cell r="I3767" t="str">
            <v>sim</v>
          </cell>
          <cell r="V3767" t="str">
            <v>not neg pair</v>
          </cell>
          <cell r="Y3767" t="str">
            <v>Pres</v>
          </cell>
          <cell r="Z3767">
            <v>3</v>
          </cell>
          <cell r="AA3767">
            <v>0</v>
          </cell>
          <cell r="AB3767">
            <v>0</v>
          </cell>
        </row>
        <row r="3768">
          <cell r="G3768" t="str">
            <v>X1154_0</v>
          </cell>
          <cell r="H3768" t="str">
            <v>as</v>
          </cell>
          <cell r="I3768" t="str">
            <v>sim</v>
          </cell>
          <cell r="V3768" t="str">
            <v>not</v>
          </cell>
          <cell r="Y3768" t="str">
            <v>Pres</v>
          </cell>
          <cell r="Z3768">
            <v>3.36</v>
          </cell>
          <cell r="AA3768">
            <v>0</v>
          </cell>
          <cell r="AB3768">
            <v>0</v>
          </cell>
        </row>
        <row r="3769">
          <cell r="G3769" t="str">
            <v>X1154_1</v>
          </cell>
          <cell r="H3769" t="str">
            <v>as</v>
          </cell>
          <cell r="I3769" t="str">
            <v>sim</v>
          </cell>
          <cell r="V3769" t="str">
            <v>not</v>
          </cell>
          <cell r="Y3769" t="str">
            <v>Pres</v>
          </cell>
          <cell r="Z3769">
            <v>3.36</v>
          </cell>
          <cell r="AA3769">
            <v>0</v>
          </cell>
          <cell r="AB3769">
            <v>0</v>
          </cell>
        </row>
        <row r="3770">
          <cell r="G3770" t="str">
            <v>X1155_0</v>
          </cell>
          <cell r="H3770" t="str">
            <v>as-as</v>
          </cell>
          <cell r="I3770" t="str">
            <v>sim</v>
          </cell>
          <cell r="V3770" t="str">
            <v>not</v>
          </cell>
          <cell r="Y3770" t="str">
            <v>Pres</v>
          </cell>
          <cell r="Z3770">
            <v>3.93</v>
          </cell>
          <cell r="AA3770">
            <v>0</v>
          </cell>
          <cell r="AB3770">
            <v>0</v>
          </cell>
        </row>
        <row r="3771">
          <cell r="G3771" t="str">
            <v>X1155_1</v>
          </cell>
          <cell r="H3771" t="str">
            <v>as-as</v>
          </cell>
          <cell r="I3771" t="str">
            <v>sim</v>
          </cell>
          <cell r="V3771" t="str">
            <v>not</v>
          </cell>
          <cell r="Y3771" t="str">
            <v>Pres</v>
          </cell>
          <cell r="Z3771">
            <v>3.93</v>
          </cell>
          <cell r="AA3771">
            <v>0</v>
          </cell>
          <cell r="AB3771">
            <v>0</v>
          </cell>
        </row>
        <row r="3772">
          <cell r="G3772" t="str">
            <v>X1156_0</v>
          </cell>
          <cell r="H3772" t="str">
            <v>like</v>
          </cell>
          <cell r="I3772" t="str">
            <v>sim</v>
          </cell>
          <cell r="V3772" t="str">
            <v>not neg pair</v>
          </cell>
          <cell r="Y3772" t="str">
            <v>Pres</v>
          </cell>
          <cell r="Z3772">
            <v>4.46</v>
          </cell>
          <cell r="AA3772">
            <v>0</v>
          </cell>
          <cell r="AB3772">
            <v>0</v>
          </cell>
        </row>
        <row r="3773">
          <cell r="G3773" t="str">
            <v>X1156_1</v>
          </cell>
          <cell r="H3773" t="str">
            <v>like</v>
          </cell>
          <cell r="I3773" t="str">
            <v>sim</v>
          </cell>
          <cell r="V3773" t="str">
            <v>not neg pair</v>
          </cell>
          <cell r="Y3773" t="str">
            <v>Pres</v>
          </cell>
          <cell r="Z3773">
            <v>4.46</v>
          </cell>
          <cell r="AA3773">
            <v>0</v>
          </cell>
          <cell r="AB3773">
            <v>0</v>
          </cell>
        </row>
        <row r="3774">
          <cell r="G3774" t="str">
            <v>X1157_0</v>
          </cell>
          <cell r="H3774" t="str">
            <v>as-as</v>
          </cell>
          <cell r="I3774" t="str">
            <v>sim</v>
          </cell>
          <cell r="V3774" t="str">
            <v>antonym</v>
          </cell>
          <cell r="Y3774" t="str">
            <v>Past</v>
          </cell>
          <cell r="Z3774">
            <v>4.72</v>
          </cell>
          <cell r="AA3774">
            <v>0</v>
          </cell>
          <cell r="AB3774">
            <v>0</v>
          </cell>
        </row>
        <row r="3775">
          <cell r="G3775" t="str">
            <v>X1157_1</v>
          </cell>
          <cell r="H3775" t="str">
            <v>as-as</v>
          </cell>
          <cell r="I3775" t="str">
            <v>sim</v>
          </cell>
          <cell r="V3775" t="str">
            <v>antonym</v>
          </cell>
          <cell r="Y3775" t="str">
            <v>Past</v>
          </cell>
          <cell r="Z3775">
            <v>4.72</v>
          </cell>
          <cell r="AA3775">
            <v>0</v>
          </cell>
          <cell r="AB3775">
            <v>0</v>
          </cell>
        </row>
        <row r="3776">
          <cell r="G3776" t="str">
            <v>X1158_0</v>
          </cell>
          <cell r="H3776" t="str">
            <v>as-as</v>
          </cell>
          <cell r="I3776" t="str">
            <v>sim</v>
          </cell>
          <cell r="V3776" t="str">
            <v>antonym</v>
          </cell>
          <cell r="Y3776" t="str">
            <v>Past</v>
          </cell>
          <cell r="Z3776">
            <v>4.97</v>
          </cell>
          <cell r="AA3776" t="str">
            <v>H</v>
          </cell>
          <cell r="AB3776">
            <v>0</v>
          </cell>
        </row>
        <row r="3777">
          <cell r="G3777" t="str">
            <v>X1158_1</v>
          </cell>
          <cell r="H3777" t="str">
            <v>as-as</v>
          </cell>
          <cell r="I3777" t="str">
            <v>sim</v>
          </cell>
          <cell r="V3777" t="str">
            <v>antonym</v>
          </cell>
          <cell r="Y3777" t="str">
            <v>Past</v>
          </cell>
          <cell r="Z3777">
            <v>4.97</v>
          </cell>
          <cell r="AA3777" t="str">
            <v>H</v>
          </cell>
          <cell r="AB3777">
            <v>0</v>
          </cell>
        </row>
        <row r="3778">
          <cell r="G3778" t="str">
            <v>X1159_0</v>
          </cell>
          <cell r="H3778" t="str">
            <v>as-as</v>
          </cell>
          <cell r="I3778" t="str">
            <v>sim</v>
          </cell>
          <cell r="V3778" t="str">
            <v>antonym</v>
          </cell>
          <cell r="Y3778" t="str">
            <v>Past</v>
          </cell>
          <cell r="Z3778">
            <v>4.96</v>
          </cell>
          <cell r="AA3778" t="str">
            <v>H</v>
          </cell>
          <cell r="AB3778">
            <v>0</v>
          </cell>
        </row>
        <row r="3779">
          <cell r="G3779" t="str">
            <v>X1159_1</v>
          </cell>
          <cell r="H3779" t="str">
            <v>as-as</v>
          </cell>
          <cell r="I3779" t="str">
            <v>sim</v>
          </cell>
          <cell r="V3779" t="str">
            <v>antonym</v>
          </cell>
          <cell r="Y3779" t="str">
            <v>Past</v>
          </cell>
          <cell r="Z3779">
            <v>4.96</v>
          </cell>
          <cell r="AA3779" t="str">
            <v>H</v>
          </cell>
          <cell r="AB3779">
            <v>0</v>
          </cell>
        </row>
        <row r="3780">
          <cell r="G3780" t="str">
            <v>X1160_0</v>
          </cell>
          <cell r="H3780" t="str">
            <v/>
          </cell>
          <cell r="I3780" t="str">
            <v>met</v>
          </cell>
          <cell r="V3780" t="str">
            <v>0</v>
          </cell>
          <cell r="Y3780" t="str">
            <v>Pres</v>
          </cell>
          <cell r="Z3780">
            <v>4.82</v>
          </cell>
          <cell r="AA3780">
            <v>0</v>
          </cell>
          <cell r="AB3780">
            <v>0</v>
          </cell>
        </row>
        <row r="3781">
          <cell r="G3781" t="str">
            <v>X1160_1</v>
          </cell>
          <cell r="H3781" t="str">
            <v/>
          </cell>
          <cell r="I3781" t="str">
            <v>met</v>
          </cell>
          <cell r="V3781" t="str">
            <v>0</v>
          </cell>
          <cell r="Y3781" t="str">
            <v>Pres</v>
          </cell>
          <cell r="Z3781">
            <v>4.82</v>
          </cell>
          <cell r="AA3781">
            <v>0</v>
          </cell>
          <cell r="AB3781">
            <v>0</v>
          </cell>
        </row>
        <row r="3782">
          <cell r="G3782" t="str">
            <v>X1161_0</v>
          </cell>
          <cell r="H3782" t="str">
            <v>the-of</v>
          </cell>
          <cell r="I3782" t="str">
            <v>sim</v>
          </cell>
          <cell r="V3782" t="str">
            <v>not neg pair</v>
          </cell>
          <cell r="Y3782" t="str">
            <v>Pres</v>
          </cell>
          <cell r="Z3782">
            <v>3.36</v>
          </cell>
          <cell r="AA3782">
            <v>0</v>
          </cell>
          <cell r="AB3782">
            <v>0</v>
          </cell>
        </row>
        <row r="3783">
          <cell r="G3783" t="str">
            <v>X1161_1</v>
          </cell>
          <cell r="H3783" t="str">
            <v>the-of</v>
          </cell>
          <cell r="I3783" t="str">
            <v>sim</v>
          </cell>
          <cell r="V3783" t="str">
            <v>not neg pair</v>
          </cell>
          <cell r="Y3783" t="str">
            <v>Pres</v>
          </cell>
          <cell r="Z3783">
            <v>3.36</v>
          </cell>
          <cell r="AA3783">
            <v>0</v>
          </cell>
          <cell r="AB3783">
            <v>0</v>
          </cell>
        </row>
        <row r="3784">
          <cell r="G3784" t="str">
            <v>X1162_0</v>
          </cell>
          <cell r="H3784" t="str">
            <v/>
          </cell>
          <cell r="I3784" t="str">
            <v>met</v>
          </cell>
          <cell r="V3784" t="str">
            <v>0</v>
          </cell>
          <cell r="Y3784" t="str">
            <v>Past</v>
          </cell>
          <cell r="Z3784">
            <v>3.68</v>
          </cell>
          <cell r="AA3784">
            <v>0</v>
          </cell>
          <cell r="AB3784">
            <v>0</v>
          </cell>
        </row>
        <row r="3785">
          <cell r="G3785" t="str">
            <v>X1162_1</v>
          </cell>
          <cell r="H3785" t="str">
            <v/>
          </cell>
          <cell r="I3785" t="str">
            <v>met</v>
          </cell>
          <cell r="V3785" t="str">
            <v>0</v>
          </cell>
          <cell r="Y3785" t="str">
            <v>Past</v>
          </cell>
          <cell r="Z3785">
            <v>3.68</v>
          </cell>
          <cell r="AA3785">
            <v>0</v>
          </cell>
          <cell r="AB3785">
            <v>0</v>
          </cell>
        </row>
        <row r="3786">
          <cell r="G3786" t="str">
            <v>X1163_0</v>
          </cell>
          <cell r="H3786" t="str">
            <v/>
          </cell>
          <cell r="I3786" t="str">
            <v>met</v>
          </cell>
          <cell r="V3786" t="str">
            <v>0</v>
          </cell>
          <cell r="Y3786" t="str">
            <v>Past</v>
          </cell>
          <cell r="Z3786">
            <v>3.56</v>
          </cell>
          <cell r="AA3786">
            <v>0</v>
          </cell>
          <cell r="AB3786">
            <v>0</v>
          </cell>
        </row>
        <row r="3787">
          <cell r="G3787" t="str">
            <v>X1163_1</v>
          </cell>
          <cell r="H3787" t="str">
            <v>as</v>
          </cell>
          <cell r="I3787" t="str">
            <v>sim</v>
          </cell>
          <cell r="V3787" t="str">
            <v>0</v>
          </cell>
          <cell r="Y3787" t="str">
            <v>Pres</v>
          </cell>
          <cell r="Z3787">
            <v>3.56</v>
          </cell>
          <cell r="AA3787">
            <v>0</v>
          </cell>
          <cell r="AB3787">
            <v>0</v>
          </cell>
        </row>
        <row r="3788">
          <cell r="G3788" t="str">
            <v>X1164_0</v>
          </cell>
          <cell r="H3788" t="str">
            <v>as</v>
          </cell>
          <cell r="I3788" t="str">
            <v>sim</v>
          </cell>
          <cell r="V3788" t="str">
            <v>not neg pair</v>
          </cell>
          <cell r="Y3788" t="str">
            <v>Past</v>
          </cell>
          <cell r="Z3788">
            <v>3.22</v>
          </cell>
          <cell r="AA3788">
            <v>0</v>
          </cell>
          <cell r="AB3788">
            <v>0</v>
          </cell>
        </row>
        <row r="3789">
          <cell r="G3789" t="str">
            <v>X1164_1</v>
          </cell>
          <cell r="H3789" t="str">
            <v>as-as</v>
          </cell>
          <cell r="I3789" t="str">
            <v>sim</v>
          </cell>
          <cell r="V3789" t="str">
            <v>not neg pair</v>
          </cell>
          <cell r="Y3789" t="str">
            <v>Past</v>
          </cell>
          <cell r="Z3789">
            <v>3.22</v>
          </cell>
          <cell r="AA3789">
            <v>0</v>
          </cell>
          <cell r="AB3789">
            <v>0</v>
          </cell>
        </row>
        <row r="3790">
          <cell r="G3790" t="str">
            <v>X1165_0</v>
          </cell>
          <cell r="H3790" t="str">
            <v>the-of</v>
          </cell>
          <cell r="I3790" t="str">
            <v>sim</v>
          </cell>
          <cell r="V3790" t="str">
            <v>not neg pair</v>
          </cell>
          <cell r="Y3790" t="str">
            <v>Past</v>
          </cell>
          <cell r="Z3790">
            <v>4.93</v>
          </cell>
          <cell r="AA3790" t="str">
            <v>H</v>
          </cell>
          <cell r="AB3790">
            <v>0</v>
          </cell>
        </row>
        <row r="3791">
          <cell r="G3791" t="str">
            <v>X1165_1</v>
          </cell>
          <cell r="H3791" t="str">
            <v>as</v>
          </cell>
          <cell r="I3791" t="str">
            <v>sim</v>
          </cell>
          <cell r="V3791" t="str">
            <v>not neg pair</v>
          </cell>
          <cell r="Y3791" t="str">
            <v>Past</v>
          </cell>
          <cell r="Z3791">
            <v>4.93</v>
          </cell>
          <cell r="AA3791" t="str">
            <v>H</v>
          </cell>
          <cell r="AB3791">
            <v>0</v>
          </cell>
        </row>
        <row r="3792">
          <cell r="G3792" t="str">
            <v>X1166_0</v>
          </cell>
          <cell r="H3792" t="str">
            <v/>
          </cell>
          <cell r="I3792" t="str">
            <v>met</v>
          </cell>
          <cell r="V3792" t="str">
            <v>0</v>
          </cell>
          <cell r="Y3792" t="str">
            <v>Past</v>
          </cell>
          <cell r="Z3792">
            <v>3.75</v>
          </cell>
          <cell r="AA3792">
            <v>0</v>
          </cell>
          <cell r="AB3792">
            <v>0</v>
          </cell>
        </row>
        <row r="3793">
          <cell r="G3793" t="str">
            <v>X1166_1</v>
          </cell>
          <cell r="H3793" t="str">
            <v/>
          </cell>
          <cell r="I3793" t="str">
            <v>met</v>
          </cell>
          <cell r="V3793" t="str">
            <v>0</v>
          </cell>
          <cell r="Y3793" t="str">
            <v>Past</v>
          </cell>
          <cell r="Z3793">
            <v>3.75</v>
          </cell>
          <cell r="AA3793">
            <v>0</v>
          </cell>
          <cell r="AB3793">
            <v>0</v>
          </cell>
        </row>
        <row r="3794">
          <cell r="G3794" t="str">
            <v>X1167_0</v>
          </cell>
          <cell r="H3794" t="str">
            <v/>
          </cell>
          <cell r="I3794" t="str">
            <v>met</v>
          </cell>
          <cell r="V3794" t="str">
            <v>0</v>
          </cell>
          <cell r="Y3794" t="str">
            <v>Past</v>
          </cell>
          <cell r="Z3794">
            <v>4.92</v>
          </cell>
          <cell r="AA3794" t="str">
            <v>H</v>
          </cell>
          <cell r="AB3794">
            <v>0</v>
          </cell>
        </row>
        <row r="3795">
          <cell r="G3795" t="str">
            <v>X1167_1</v>
          </cell>
          <cell r="H3795" t="str">
            <v/>
          </cell>
          <cell r="I3795" t="str">
            <v>met</v>
          </cell>
          <cell r="V3795" t="str">
            <v>0</v>
          </cell>
          <cell r="Y3795" t="str">
            <v>Past</v>
          </cell>
          <cell r="Z3795">
            <v>4.92</v>
          </cell>
          <cell r="AA3795" t="str">
            <v>H</v>
          </cell>
          <cell r="AB3795">
            <v>0</v>
          </cell>
        </row>
        <row r="3796">
          <cell r="G3796" t="str">
            <v>X1168_0</v>
          </cell>
          <cell r="H3796" t="str">
            <v/>
          </cell>
          <cell r="I3796" t="str">
            <v>met</v>
          </cell>
          <cell r="V3796" t="str">
            <v>0</v>
          </cell>
          <cell r="Y3796" t="str">
            <v>Past</v>
          </cell>
          <cell r="Z3796">
            <v>4.46</v>
          </cell>
          <cell r="AA3796">
            <v>0</v>
          </cell>
          <cell r="AB3796">
            <v>0</v>
          </cell>
        </row>
        <row r="3797">
          <cell r="G3797" t="str">
            <v>X1168_1</v>
          </cell>
          <cell r="H3797" t="str">
            <v/>
          </cell>
          <cell r="I3797" t="str">
            <v>met</v>
          </cell>
          <cell r="V3797" t="str">
            <v>0</v>
          </cell>
          <cell r="Y3797" t="str">
            <v>Past</v>
          </cell>
          <cell r="Z3797">
            <v>4.46</v>
          </cell>
          <cell r="AA3797">
            <v>0</v>
          </cell>
          <cell r="AB3797">
            <v>0</v>
          </cell>
        </row>
        <row r="3798">
          <cell r="G3798" t="str">
            <v>X1169_0</v>
          </cell>
          <cell r="H3798" t="str">
            <v>the-of</v>
          </cell>
          <cell r="I3798" t="str">
            <v>sim</v>
          </cell>
          <cell r="V3798" t="str">
            <v>not neg pair</v>
          </cell>
          <cell r="Y3798" t="str">
            <v>Past</v>
          </cell>
          <cell r="Z3798">
            <v>4.3099999999999996</v>
          </cell>
          <cell r="AA3798">
            <v>0</v>
          </cell>
          <cell r="AB3798">
            <v>0</v>
          </cell>
        </row>
        <row r="3799">
          <cell r="G3799" t="str">
            <v>X1169_1</v>
          </cell>
          <cell r="H3799" t="str">
            <v>the-of</v>
          </cell>
          <cell r="I3799" t="str">
            <v>sim</v>
          </cell>
          <cell r="V3799" t="str">
            <v>not neg pair</v>
          </cell>
          <cell r="Y3799" t="str">
            <v>Past</v>
          </cell>
          <cell r="Z3799">
            <v>4.3099999999999996</v>
          </cell>
          <cell r="AA3799">
            <v>0</v>
          </cell>
          <cell r="AB3799">
            <v>0</v>
          </cell>
        </row>
        <row r="3800">
          <cell r="G3800" t="str">
            <v>X1170_0</v>
          </cell>
          <cell r="H3800" t="str">
            <v>like</v>
          </cell>
          <cell r="I3800" t="str">
            <v>sim</v>
          </cell>
          <cell r="V3800" t="str">
            <v>not neg pair</v>
          </cell>
          <cell r="Y3800" t="str">
            <v>Pres</v>
          </cell>
          <cell r="Z3800">
            <v>4.78</v>
          </cell>
          <cell r="AA3800">
            <v>0</v>
          </cell>
          <cell r="AB3800">
            <v>0</v>
          </cell>
        </row>
        <row r="3801">
          <cell r="G3801" t="str">
            <v>X1170_1</v>
          </cell>
          <cell r="H3801" t="str">
            <v>like</v>
          </cell>
          <cell r="I3801" t="str">
            <v>sim</v>
          </cell>
          <cell r="V3801" t="str">
            <v>not neg pair</v>
          </cell>
          <cell r="Y3801" t="str">
            <v>Pres</v>
          </cell>
          <cell r="Z3801">
            <v>4.78</v>
          </cell>
          <cell r="AA3801">
            <v>0</v>
          </cell>
          <cell r="AB3801">
            <v>0</v>
          </cell>
        </row>
        <row r="3802">
          <cell r="G3802" t="str">
            <v>X1171_0</v>
          </cell>
          <cell r="H3802" t="str">
            <v>the-of</v>
          </cell>
          <cell r="I3802" t="str">
            <v>sim</v>
          </cell>
          <cell r="V3802" t="str">
            <v>not</v>
          </cell>
          <cell r="Y3802">
            <v>0</v>
          </cell>
          <cell r="Z3802">
            <v>2.5099999999999998</v>
          </cell>
          <cell r="AA3802" t="str">
            <v>L</v>
          </cell>
          <cell r="AB3802">
            <v>0</v>
          </cell>
        </row>
        <row r="3803">
          <cell r="G3803" t="str">
            <v>X1171_1</v>
          </cell>
          <cell r="H3803" t="str">
            <v>the-of</v>
          </cell>
          <cell r="I3803" t="str">
            <v>sim</v>
          </cell>
          <cell r="V3803" t="str">
            <v>not</v>
          </cell>
          <cell r="Y3803" t="str">
            <v>Pres</v>
          </cell>
          <cell r="Z3803">
            <v>2.5099999999999998</v>
          </cell>
          <cell r="AA3803" t="str">
            <v>L</v>
          </cell>
          <cell r="AB3803">
            <v>0</v>
          </cell>
        </row>
        <row r="3804">
          <cell r="G3804" t="str">
            <v>X1172_0</v>
          </cell>
          <cell r="H3804" t="str">
            <v/>
          </cell>
          <cell r="I3804" t="str">
            <v>met</v>
          </cell>
          <cell r="V3804" t="str">
            <v>0</v>
          </cell>
          <cell r="Y3804" t="str">
            <v>Past</v>
          </cell>
          <cell r="Z3804">
            <v>3.85</v>
          </cell>
          <cell r="AA3804">
            <v>0</v>
          </cell>
          <cell r="AB3804">
            <v>0</v>
          </cell>
        </row>
        <row r="3805">
          <cell r="G3805" t="str">
            <v>X1172_1</v>
          </cell>
          <cell r="H3805" t="str">
            <v/>
          </cell>
          <cell r="I3805" t="str">
            <v>met</v>
          </cell>
          <cell r="V3805" t="str">
            <v>0</v>
          </cell>
          <cell r="Y3805" t="str">
            <v>Past</v>
          </cell>
          <cell r="Z3805">
            <v>3.85</v>
          </cell>
          <cell r="AA3805">
            <v>0</v>
          </cell>
          <cell r="AB3805">
            <v>0</v>
          </cell>
        </row>
        <row r="3806">
          <cell r="G3806" t="str">
            <v>X1173_0</v>
          </cell>
          <cell r="H3806" t="str">
            <v/>
          </cell>
          <cell r="I3806" t="str">
            <v>met</v>
          </cell>
          <cell r="V3806" t="str">
            <v>0</v>
          </cell>
          <cell r="Y3806" t="str">
            <v>Pres</v>
          </cell>
          <cell r="Z3806">
            <v>0</v>
          </cell>
          <cell r="AA3806">
            <v>0</v>
          </cell>
          <cell r="AB3806">
            <v>0</v>
          </cell>
        </row>
        <row r="3807">
          <cell r="G3807" t="str">
            <v>X1173_1</v>
          </cell>
          <cell r="H3807" t="str">
            <v/>
          </cell>
          <cell r="I3807" t="str">
            <v>met</v>
          </cell>
          <cell r="V3807" t="str">
            <v>0</v>
          </cell>
          <cell r="Y3807" t="str">
            <v>Pres</v>
          </cell>
          <cell r="Z3807">
            <v>0</v>
          </cell>
          <cell r="AA3807">
            <v>0</v>
          </cell>
          <cell r="AB3807">
            <v>0</v>
          </cell>
        </row>
        <row r="3808">
          <cell r="G3808" t="str">
            <v>X1174_0</v>
          </cell>
          <cell r="H3808" t="str">
            <v/>
          </cell>
          <cell r="I3808" t="str">
            <v>met</v>
          </cell>
          <cell r="V3808" t="str">
            <v>0</v>
          </cell>
          <cell r="Y3808" t="str">
            <v>Pres</v>
          </cell>
          <cell r="Z3808">
            <v>4.8899999999999997</v>
          </cell>
          <cell r="AA3808">
            <v>0</v>
          </cell>
          <cell r="AB3808">
            <v>0</v>
          </cell>
        </row>
        <row r="3809">
          <cell r="G3809" t="str">
            <v>X1174_1</v>
          </cell>
          <cell r="H3809" t="str">
            <v/>
          </cell>
          <cell r="I3809" t="str">
            <v>met</v>
          </cell>
          <cell r="V3809" t="str">
            <v>0</v>
          </cell>
          <cell r="Y3809" t="str">
            <v>Pres</v>
          </cell>
          <cell r="Z3809">
            <v>4.8899999999999997</v>
          </cell>
          <cell r="AA3809">
            <v>0</v>
          </cell>
          <cell r="AB3809">
            <v>0</v>
          </cell>
        </row>
        <row r="3810">
          <cell r="G3810" t="str">
            <v>X1175_0</v>
          </cell>
          <cell r="H3810" t="str">
            <v>like</v>
          </cell>
          <cell r="I3810" t="str">
            <v>sim</v>
          </cell>
          <cell r="V3810" t="str">
            <v>not neg pair</v>
          </cell>
          <cell r="Y3810" t="str">
            <v>Pres</v>
          </cell>
          <cell r="Z3810">
            <v>1.93</v>
          </cell>
          <cell r="AA3810" t="str">
            <v>L</v>
          </cell>
          <cell r="AB3810">
            <v>0</v>
          </cell>
        </row>
        <row r="3811">
          <cell r="G3811" t="str">
            <v>X1175_1</v>
          </cell>
          <cell r="H3811" t="str">
            <v>like</v>
          </cell>
          <cell r="I3811" t="str">
            <v>sim</v>
          </cell>
          <cell r="V3811" t="str">
            <v>not neg pair</v>
          </cell>
          <cell r="Y3811" t="str">
            <v>Pres</v>
          </cell>
          <cell r="Z3811">
            <v>1.93</v>
          </cell>
          <cell r="AA3811" t="str">
            <v>L</v>
          </cell>
          <cell r="AB3811">
            <v>0</v>
          </cell>
        </row>
        <row r="3812">
          <cell r="G3812" t="str">
            <v>X1176_0</v>
          </cell>
          <cell r="H3812" t="str">
            <v>as-as</v>
          </cell>
          <cell r="I3812" t="str">
            <v>sim</v>
          </cell>
          <cell r="V3812" t="str">
            <v>not</v>
          </cell>
          <cell r="Y3812" t="str">
            <v>Pres</v>
          </cell>
          <cell r="Z3812">
            <v>1.61</v>
          </cell>
          <cell r="AA3812" t="str">
            <v>L</v>
          </cell>
          <cell r="AB3812">
            <v>0</v>
          </cell>
        </row>
        <row r="3813">
          <cell r="G3813" t="str">
            <v>X1176_1</v>
          </cell>
          <cell r="H3813" t="str">
            <v>as-as</v>
          </cell>
          <cell r="I3813" t="str">
            <v>sim</v>
          </cell>
          <cell r="V3813" t="str">
            <v>not</v>
          </cell>
          <cell r="Y3813" t="str">
            <v>Pres</v>
          </cell>
          <cell r="Z3813">
            <v>1.61</v>
          </cell>
          <cell r="AA3813" t="str">
            <v>L</v>
          </cell>
          <cell r="AB3813">
            <v>0</v>
          </cell>
        </row>
        <row r="3814">
          <cell r="G3814" t="str">
            <v>X1177_0</v>
          </cell>
          <cell r="H3814" t="str">
            <v>as-as</v>
          </cell>
          <cell r="I3814" t="str">
            <v>sim</v>
          </cell>
          <cell r="V3814" t="str">
            <v>antonym</v>
          </cell>
          <cell r="Y3814" t="str">
            <v>Pres</v>
          </cell>
          <cell r="Z3814">
            <v>3.93</v>
          </cell>
          <cell r="AA3814">
            <v>0</v>
          </cell>
          <cell r="AB3814">
            <v>0</v>
          </cell>
        </row>
        <row r="3815">
          <cell r="G3815" t="str">
            <v>X1177_1</v>
          </cell>
          <cell r="H3815" t="str">
            <v>as-as</v>
          </cell>
          <cell r="I3815" t="str">
            <v>sim</v>
          </cell>
          <cell r="V3815" t="str">
            <v>antonym</v>
          </cell>
          <cell r="Y3815" t="str">
            <v>Pres</v>
          </cell>
          <cell r="Z3815">
            <v>3.93</v>
          </cell>
          <cell r="AA3815">
            <v>0</v>
          </cell>
          <cell r="AB3815">
            <v>0</v>
          </cell>
        </row>
        <row r="3816">
          <cell r="G3816" t="str">
            <v>X1178_0</v>
          </cell>
          <cell r="H3816" t="str">
            <v/>
          </cell>
          <cell r="I3816" t="str">
            <v>met</v>
          </cell>
          <cell r="V3816" t="str">
            <v>0</v>
          </cell>
          <cell r="Y3816" t="str">
            <v>Pres</v>
          </cell>
          <cell r="Z3816">
            <v>3.03</v>
          </cell>
          <cell r="AA3816">
            <v>0</v>
          </cell>
          <cell r="AB3816">
            <v>0</v>
          </cell>
        </row>
        <row r="3817">
          <cell r="G3817" t="str">
            <v>X1178_1</v>
          </cell>
          <cell r="H3817" t="str">
            <v/>
          </cell>
          <cell r="I3817" t="str">
            <v>met</v>
          </cell>
          <cell r="V3817" t="str">
            <v>0</v>
          </cell>
          <cell r="Y3817" t="str">
            <v>Pres</v>
          </cell>
          <cell r="Z3817">
            <v>3.03</v>
          </cell>
          <cell r="AA3817">
            <v>0</v>
          </cell>
          <cell r="AB3817">
            <v>0</v>
          </cell>
        </row>
        <row r="3818">
          <cell r="G3818" t="str">
            <v>X1179_0</v>
          </cell>
          <cell r="H3818" t="str">
            <v>the-of</v>
          </cell>
          <cell r="I3818" t="str">
            <v>sim</v>
          </cell>
          <cell r="V3818" t="str">
            <v>not neg pair</v>
          </cell>
          <cell r="Y3818" t="str">
            <v>Pres</v>
          </cell>
          <cell r="Z3818">
            <v>4.33</v>
          </cell>
          <cell r="AA3818">
            <v>0</v>
          </cell>
          <cell r="AB3818">
            <v>0</v>
          </cell>
        </row>
        <row r="3819">
          <cell r="G3819" t="str">
            <v>X1179_1</v>
          </cell>
          <cell r="H3819" t="str">
            <v>the-of</v>
          </cell>
          <cell r="I3819" t="str">
            <v>sim</v>
          </cell>
          <cell r="V3819" t="str">
            <v>not neg pair</v>
          </cell>
          <cell r="Y3819" t="str">
            <v>Pres</v>
          </cell>
          <cell r="Z3819">
            <v>4.33</v>
          </cell>
          <cell r="AA3819">
            <v>0</v>
          </cell>
          <cell r="AB3819">
            <v>0</v>
          </cell>
        </row>
        <row r="3820">
          <cell r="G3820" t="str">
            <v>X1180_0</v>
          </cell>
          <cell r="H3820" t="str">
            <v/>
          </cell>
          <cell r="I3820" t="str">
            <v>met</v>
          </cell>
          <cell r="V3820" t="str">
            <v>0</v>
          </cell>
          <cell r="Y3820" t="str">
            <v>Pres</v>
          </cell>
          <cell r="Z3820">
            <v>4.97</v>
          </cell>
          <cell r="AA3820" t="str">
            <v>H</v>
          </cell>
          <cell r="AB3820">
            <v>0</v>
          </cell>
        </row>
        <row r="3821">
          <cell r="G3821" t="str">
            <v>X1180_1</v>
          </cell>
          <cell r="H3821" t="str">
            <v/>
          </cell>
          <cell r="I3821" t="str">
            <v>met</v>
          </cell>
          <cell r="V3821" t="str">
            <v>0</v>
          </cell>
          <cell r="Y3821" t="str">
            <v>Pres</v>
          </cell>
          <cell r="Z3821">
            <v>4.97</v>
          </cell>
          <cell r="AA3821" t="str">
            <v>H</v>
          </cell>
          <cell r="AB3821">
            <v>0</v>
          </cell>
        </row>
        <row r="3822">
          <cell r="G3822" t="str">
            <v>X1181_0</v>
          </cell>
          <cell r="H3822" t="str">
            <v>like</v>
          </cell>
          <cell r="I3822" t="str">
            <v>sim</v>
          </cell>
          <cell r="V3822" t="str">
            <v>not</v>
          </cell>
          <cell r="Y3822" t="str">
            <v>Past</v>
          </cell>
          <cell r="Z3822">
            <v>3.93</v>
          </cell>
          <cell r="AA3822">
            <v>0</v>
          </cell>
          <cell r="AB3822">
            <v>0</v>
          </cell>
        </row>
        <row r="3823">
          <cell r="G3823" t="str">
            <v>X1181_1</v>
          </cell>
          <cell r="H3823" t="str">
            <v>like</v>
          </cell>
          <cell r="I3823" t="str">
            <v>sim</v>
          </cell>
          <cell r="V3823" t="str">
            <v>not</v>
          </cell>
          <cell r="Y3823" t="str">
            <v>Past</v>
          </cell>
          <cell r="Z3823">
            <v>3.93</v>
          </cell>
          <cell r="AA3823">
            <v>0</v>
          </cell>
          <cell r="AB3823">
            <v>0</v>
          </cell>
        </row>
        <row r="3824">
          <cell r="G3824" t="str">
            <v>X1182_0</v>
          </cell>
          <cell r="H3824" t="str">
            <v>as-as</v>
          </cell>
          <cell r="I3824" t="str">
            <v>sim</v>
          </cell>
          <cell r="V3824" t="str">
            <v>not</v>
          </cell>
          <cell r="Y3824" t="str">
            <v>Past</v>
          </cell>
          <cell r="Z3824">
            <v>3.93</v>
          </cell>
          <cell r="AA3824">
            <v>0</v>
          </cell>
          <cell r="AB3824">
            <v>0</v>
          </cell>
        </row>
        <row r="3825">
          <cell r="G3825" t="str">
            <v>X1182_1</v>
          </cell>
          <cell r="H3825" t="str">
            <v>as-as</v>
          </cell>
          <cell r="I3825" t="str">
            <v>sim</v>
          </cell>
          <cell r="V3825" t="str">
            <v>not</v>
          </cell>
          <cell r="Y3825" t="str">
            <v>Past</v>
          </cell>
          <cell r="Z3825">
            <v>3.93</v>
          </cell>
          <cell r="AA3825">
            <v>0</v>
          </cell>
          <cell r="AB3825">
            <v>0</v>
          </cell>
        </row>
        <row r="3826">
          <cell r="G3826" t="str">
            <v>X1183_0</v>
          </cell>
          <cell r="H3826" t="str">
            <v>like</v>
          </cell>
          <cell r="I3826" t="str">
            <v>sim</v>
          </cell>
          <cell r="V3826" t="str">
            <v>not</v>
          </cell>
          <cell r="Y3826" t="str">
            <v>Past</v>
          </cell>
          <cell r="Z3826">
            <v>2.81</v>
          </cell>
          <cell r="AA3826">
            <v>0</v>
          </cell>
          <cell r="AB3826">
            <v>0</v>
          </cell>
        </row>
        <row r="3827">
          <cell r="G3827" t="str">
            <v>X1183_1</v>
          </cell>
          <cell r="H3827" t="str">
            <v>like</v>
          </cell>
          <cell r="I3827" t="str">
            <v>sim</v>
          </cell>
          <cell r="V3827" t="str">
            <v>not</v>
          </cell>
          <cell r="Y3827" t="str">
            <v>Past</v>
          </cell>
          <cell r="Z3827">
            <v>2.81</v>
          </cell>
          <cell r="AA3827">
            <v>0</v>
          </cell>
          <cell r="AB3827">
            <v>0</v>
          </cell>
        </row>
        <row r="3828">
          <cell r="G3828" t="str">
            <v>X1184_0</v>
          </cell>
          <cell r="H3828" t="str">
            <v>as-as</v>
          </cell>
          <cell r="I3828" t="str">
            <v>sim</v>
          </cell>
          <cell r="V3828" t="str">
            <v>not</v>
          </cell>
          <cell r="Y3828" t="str">
            <v>Pres</v>
          </cell>
          <cell r="Z3828">
            <v>2.5099999999999998</v>
          </cell>
          <cell r="AA3828" t="str">
            <v>L</v>
          </cell>
          <cell r="AB3828">
            <v>0</v>
          </cell>
        </row>
        <row r="3829">
          <cell r="G3829" t="str">
            <v>X1184_1</v>
          </cell>
          <cell r="H3829" t="str">
            <v>as-as</v>
          </cell>
          <cell r="I3829" t="str">
            <v>sim</v>
          </cell>
          <cell r="V3829" t="str">
            <v>not</v>
          </cell>
          <cell r="Y3829" t="str">
            <v>Pres</v>
          </cell>
          <cell r="Z3829">
            <v>2.5099999999999998</v>
          </cell>
          <cell r="AA3829" t="str">
            <v>L</v>
          </cell>
          <cell r="AB3829">
            <v>0</v>
          </cell>
        </row>
        <row r="3830">
          <cell r="G3830" t="str">
            <v>X1185_0</v>
          </cell>
          <cell r="H3830" t="str">
            <v>as-as</v>
          </cell>
          <cell r="I3830" t="str">
            <v>sim</v>
          </cell>
          <cell r="V3830" t="str">
            <v>antonym</v>
          </cell>
          <cell r="Y3830" t="str">
            <v>Pres</v>
          </cell>
          <cell r="Z3830">
            <v>2.69</v>
          </cell>
          <cell r="AA3830" t="str">
            <v>L</v>
          </cell>
          <cell r="AB3830">
            <v>0</v>
          </cell>
        </row>
        <row r="3831">
          <cell r="G3831" t="str">
            <v>X1185_1</v>
          </cell>
          <cell r="H3831" t="str">
            <v>as-as</v>
          </cell>
          <cell r="I3831" t="str">
            <v>sim</v>
          </cell>
          <cell r="V3831" t="str">
            <v>antonym</v>
          </cell>
          <cell r="Y3831" t="str">
            <v>Past</v>
          </cell>
          <cell r="Z3831">
            <v>2.69</v>
          </cell>
          <cell r="AA3831" t="str">
            <v>L</v>
          </cell>
          <cell r="AB3831">
            <v>0</v>
          </cell>
        </row>
        <row r="3832">
          <cell r="G3832" t="str">
            <v>X1186_0</v>
          </cell>
          <cell r="H3832" t="str">
            <v>as-as</v>
          </cell>
          <cell r="I3832" t="str">
            <v>sim</v>
          </cell>
          <cell r="V3832" t="str">
            <v>not</v>
          </cell>
          <cell r="Y3832" t="str">
            <v>Pres</v>
          </cell>
          <cell r="Z3832">
            <v>4.8499999999999996</v>
          </cell>
          <cell r="AA3832">
            <v>0</v>
          </cell>
          <cell r="AB3832">
            <v>0</v>
          </cell>
        </row>
        <row r="3833">
          <cell r="G3833" t="str">
            <v>X1186_1</v>
          </cell>
          <cell r="H3833" t="str">
            <v>as-as</v>
          </cell>
          <cell r="I3833" t="str">
            <v>sim</v>
          </cell>
          <cell r="V3833" t="str">
            <v>not</v>
          </cell>
          <cell r="Y3833" t="str">
            <v>Pres</v>
          </cell>
          <cell r="Z3833">
            <v>4.8499999999999996</v>
          </cell>
          <cell r="AA3833">
            <v>0</v>
          </cell>
          <cell r="AB3833">
            <v>0</v>
          </cell>
        </row>
        <row r="3834">
          <cell r="G3834" t="str">
            <v>X1187_0</v>
          </cell>
          <cell r="H3834" t="str">
            <v>as</v>
          </cell>
          <cell r="I3834" t="str">
            <v>sim</v>
          </cell>
          <cell r="V3834" t="str">
            <v>not neg pair</v>
          </cell>
          <cell r="Y3834" t="str">
            <v>Past</v>
          </cell>
          <cell r="Z3834">
            <v>4.78</v>
          </cell>
          <cell r="AA3834">
            <v>0</v>
          </cell>
          <cell r="AB3834">
            <v>0</v>
          </cell>
        </row>
        <row r="3835">
          <cell r="G3835" t="str">
            <v>X1187_1</v>
          </cell>
          <cell r="H3835" t="str">
            <v>as</v>
          </cell>
          <cell r="I3835" t="str">
            <v>sim</v>
          </cell>
          <cell r="V3835" t="str">
            <v>not neg pair</v>
          </cell>
          <cell r="Y3835" t="str">
            <v>Past</v>
          </cell>
          <cell r="Z3835">
            <v>4.78</v>
          </cell>
          <cell r="AA3835">
            <v>0</v>
          </cell>
          <cell r="AB3835">
            <v>0</v>
          </cell>
        </row>
        <row r="3836">
          <cell r="G3836" t="str">
            <v>X1188_0</v>
          </cell>
          <cell r="H3836" t="str">
            <v/>
          </cell>
          <cell r="I3836" t="str">
            <v>met</v>
          </cell>
          <cell r="V3836" t="str">
            <v>0</v>
          </cell>
          <cell r="Y3836" t="str">
            <v>Pres</v>
          </cell>
          <cell r="Z3836">
            <v>4.7</v>
          </cell>
          <cell r="AA3836">
            <v>0</v>
          </cell>
          <cell r="AB3836">
            <v>0</v>
          </cell>
        </row>
        <row r="3837">
          <cell r="G3837" t="str">
            <v>X1188_1</v>
          </cell>
          <cell r="H3837" t="str">
            <v/>
          </cell>
          <cell r="I3837" t="str">
            <v>met</v>
          </cell>
          <cell r="V3837" t="str">
            <v>0</v>
          </cell>
          <cell r="Y3837" t="str">
            <v>Pres</v>
          </cell>
          <cell r="Z3837">
            <v>4.7</v>
          </cell>
          <cell r="AA3837">
            <v>0</v>
          </cell>
          <cell r="AB3837">
            <v>0</v>
          </cell>
        </row>
        <row r="3838">
          <cell r="G3838" t="str">
            <v>X1189_0</v>
          </cell>
          <cell r="H3838" t="str">
            <v>the-of</v>
          </cell>
          <cell r="I3838" t="str">
            <v>sim</v>
          </cell>
          <cell r="V3838" t="str">
            <v>not neg pair</v>
          </cell>
          <cell r="Y3838" t="str">
            <v>Pres</v>
          </cell>
          <cell r="Z3838">
            <v>4.13</v>
          </cell>
          <cell r="AA3838">
            <v>0</v>
          </cell>
          <cell r="AB3838">
            <v>0</v>
          </cell>
        </row>
        <row r="3839">
          <cell r="G3839" t="str">
            <v>X1189_1</v>
          </cell>
          <cell r="H3839" t="str">
            <v>as</v>
          </cell>
          <cell r="I3839" t="str">
            <v>sim</v>
          </cell>
          <cell r="V3839" t="str">
            <v>not neg pair</v>
          </cell>
          <cell r="Y3839" t="str">
            <v>Pres</v>
          </cell>
          <cell r="Z3839">
            <v>4.13</v>
          </cell>
          <cell r="AA3839">
            <v>0</v>
          </cell>
          <cell r="AB3839">
            <v>0</v>
          </cell>
        </row>
        <row r="3840">
          <cell r="G3840" t="str">
            <v>X1190_0</v>
          </cell>
          <cell r="H3840" t="str">
            <v>like</v>
          </cell>
          <cell r="I3840" t="str">
            <v>sim</v>
          </cell>
          <cell r="V3840" t="str">
            <v>not neg pair</v>
          </cell>
          <cell r="Y3840" t="str">
            <v>Pres</v>
          </cell>
          <cell r="Z3840">
            <v>4.3600000000000003</v>
          </cell>
          <cell r="AA3840">
            <v>0</v>
          </cell>
          <cell r="AB3840">
            <v>0</v>
          </cell>
        </row>
        <row r="3841">
          <cell r="G3841" t="str">
            <v>X1190_1</v>
          </cell>
          <cell r="H3841" t="str">
            <v>like</v>
          </cell>
          <cell r="I3841" t="str">
            <v>sim</v>
          </cell>
          <cell r="V3841" t="str">
            <v>not neg pair</v>
          </cell>
          <cell r="Y3841" t="str">
            <v>Pres</v>
          </cell>
          <cell r="Z3841">
            <v>4.3600000000000003</v>
          </cell>
          <cell r="AA3841">
            <v>0</v>
          </cell>
          <cell r="AB3841">
            <v>0</v>
          </cell>
        </row>
        <row r="3842">
          <cell r="G3842" t="str">
            <v>X1191_0</v>
          </cell>
          <cell r="H3842" t="str">
            <v>like</v>
          </cell>
          <cell r="I3842" t="str">
            <v>sim</v>
          </cell>
          <cell r="V3842" t="str">
            <v>not neg pair</v>
          </cell>
          <cell r="Y3842" t="str">
            <v>Pres</v>
          </cell>
          <cell r="Z3842">
            <v>4.3099999999999996</v>
          </cell>
          <cell r="AA3842">
            <v>0</v>
          </cell>
          <cell r="AB3842">
            <v>0</v>
          </cell>
        </row>
        <row r="3843">
          <cell r="G3843" t="str">
            <v>X1191_1</v>
          </cell>
          <cell r="H3843" t="str">
            <v>like</v>
          </cell>
          <cell r="I3843" t="str">
            <v>sim</v>
          </cell>
          <cell r="V3843" t="str">
            <v>not neg pair</v>
          </cell>
          <cell r="Y3843" t="str">
            <v>Pres</v>
          </cell>
          <cell r="Z3843">
            <v>4.3099999999999996</v>
          </cell>
          <cell r="AA3843">
            <v>0</v>
          </cell>
          <cell r="AB3843">
            <v>0</v>
          </cell>
        </row>
        <row r="3844">
          <cell r="G3844" t="str">
            <v>X1192_0</v>
          </cell>
          <cell r="H3844" t="str">
            <v>like</v>
          </cell>
          <cell r="I3844" t="str">
            <v>sim</v>
          </cell>
          <cell r="V3844" t="str">
            <v>not neg pair</v>
          </cell>
          <cell r="Y3844" t="str">
            <v>Pres</v>
          </cell>
          <cell r="Z3844">
            <v>5</v>
          </cell>
          <cell r="AA3844" t="str">
            <v>H</v>
          </cell>
          <cell r="AB3844">
            <v>0</v>
          </cell>
        </row>
        <row r="3845">
          <cell r="G3845" t="str">
            <v>X1192_1</v>
          </cell>
          <cell r="H3845" t="str">
            <v>like</v>
          </cell>
          <cell r="I3845" t="str">
            <v>sim</v>
          </cell>
          <cell r="V3845" t="str">
            <v>not neg pair</v>
          </cell>
          <cell r="Y3845" t="str">
            <v>Pres</v>
          </cell>
          <cell r="Z3845">
            <v>5</v>
          </cell>
          <cell r="AA3845" t="str">
            <v>H</v>
          </cell>
          <cell r="AB3845">
            <v>0</v>
          </cell>
        </row>
        <row r="3846">
          <cell r="G3846" t="str">
            <v>X1193_0</v>
          </cell>
          <cell r="H3846" t="str">
            <v>the-of</v>
          </cell>
          <cell r="I3846" t="str">
            <v>sim</v>
          </cell>
          <cell r="V3846" t="str">
            <v>not neg pair</v>
          </cell>
          <cell r="Y3846" t="str">
            <v>Pres</v>
          </cell>
          <cell r="Z3846">
            <v>4.33</v>
          </cell>
          <cell r="AA3846">
            <v>0</v>
          </cell>
          <cell r="AB3846">
            <v>0</v>
          </cell>
        </row>
        <row r="3847">
          <cell r="G3847" t="str">
            <v>X1193_1</v>
          </cell>
          <cell r="H3847" t="str">
            <v>the-of</v>
          </cell>
          <cell r="I3847" t="str">
            <v>sim</v>
          </cell>
          <cell r="V3847" t="str">
            <v>not neg pair</v>
          </cell>
          <cell r="Y3847" t="str">
            <v>Pres</v>
          </cell>
          <cell r="Z3847">
            <v>4.33</v>
          </cell>
          <cell r="AA3847">
            <v>0</v>
          </cell>
          <cell r="AB3847">
            <v>0</v>
          </cell>
        </row>
        <row r="3848">
          <cell r="G3848" t="str">
            <v>X1194_0</v>
          </cell>
          <cell r="H3848" t="str">
            <v>as-as</v>
          </cell>
          <cell r="I3848" t="str">
            <v>sim</v>
          </cell>
          <cell r="V3848" t="str">
            <v>not neg pair</v>
          </cell>
          <cell r="Y3848" t="str">
            <v>Past</v>
          </cell>
          <cell r="Z3848">
            <v>4.93</v>
          </cell>
          <cell r="AA3848" t="str">
            <v>H</v>
          </cell>
          <cell r="AB3848">
            <v>0</v>
          </cell>
        </row>
        <row r="3849">
          <cell r="G3849" t="str">
            <v>X1194_1</v>
          </cell>
          <cell r="H3849" t="str">
            <v>as-as</v>
          </cell>
          <cell r="I3849" t="str">
            <v>sim</v>
          </cell>
          <cell r="V3849" t="str">
            <v>not neg pair</v>
          </cell>
          <cell r="Y3849" t="str">
            <v>Past</v>
          </cell>
          <cell r="Z3849">
            <v>4.93</v>
          </cell>
          <cell r="AA3849" t="str">
            <v>H</v>
          </cell>
          <cell r="AB3849">
            <v>0</v>
          </cell>
        </row>
        <row r="3850">
          <cell r="G3850" t="str">
            <v>X1195_0</v>
          </cell>
          <cell r="H3850" t="str">
            <v>the-of</v>
          </cell>
          <cell r="I3850" t="str">
            <v>sim</v>
          </cell>
          <cell r="V3850" t="str">
            <v>not neg pair</v>
          </cell>
          <cell r="Y3850" t="str">
            <v>Pres</v>
          </cell>
          <cell r="Z3850">
            <v>4.9000000000000004</v>
          </cell>
          <cell r="AA3850">
            <v>0</v>
          </cell>
          <cell r="AB3850">
            <v>0</v>
          </cell>
        </row>
        <row r="3851">
          <cell r="G3851" t="str">
            <v>X1195_1</v>
          </cell>
          <cell r="H3851" t="str">
            <v>the-of</v>
          </cell>
          <cell r="I3851" t="str">
            <v>sim</v>
          </cell>
          <cell r="V3851" t="str">
            <v>not neg pair</v>
          </cell>
          <cell r="Y3851" t="str">
            <v>Pres</v>
          </cell>
          <cell r="Z3851">
            <v>4.9000000000000004</v>
          </cell>
          <cell r="AA3851">
            <v>0</v>
          </cell>
          <cell r="AB3851">
            <v>0</v>
          </cell>
        </row>
        <row r="3852">
          <cell r="G3852" t="str">
            <v>X1196_0</v>
          </cell>
          <cell r="H3852" t="str">
            <v>as-as</v>
          </cell>
          <cell r="I3852" t="str">
            <v>sim</v>
          </cell>
          <cell r="V3852" t="str">
            <v>not</v>
          </cell>
          <cell r="Y3852" t="str">
            <v>Past</v>
          </cell>
          <cell r="Z3852">
            <v>3.97</v>
          </cell>
          <cell r="AA3852">
            <v>0</v>
          </cell>
          <cell r="AB3852">
            <v>0</v>
          </cell>
        </row>
        <row r="3853">
          <cell r="G3853" t="str">
            <v>X1196_1</v>
          </cell>
          <cell r="H3853" t="str">
            <v>as-as</v>
          </cell>
          <cell r="I3853" t="str">
            <v>sim</v>
          </cell>
          <cell r="V3853" t="str">
            <v>not</v>
          </cell>
          <cell r="Y3853" t="str">
            <v>Past</v>
          </cell>
          <cell r="Z3853">
            <v>3.97</v>
          </cell>
          <cell r="AA3853">
            <v>0</v>
          </cell>
          <cell r="AB3853">
            <v>0</v>
          </cell>
        </row>
        <row r="3854">
          <cell r="G3854" t="str">
            <v>X1197_0</v>
          </cell>
          <cell r="H3854" t="str">
            <v>as</v>
          </cell>
          <cell r="I3854" t="str">
            <v>sim</v>
          </cell>
          <cell r="V3854" t="str">
            <v>not neg pair</v>
          </cell>
          <cell r="Y3854" t="str">
            <v>Past</v>
          </cell>
          <cell r="Z3854">
            <v>4.93</v>
          </cell>
          <cell r="AA3854" t="str">
            <v>H</v>
          </cell>
          <cell r="AB3854">
            <v>0</v>
          </cell>
        </row>
        <row r="3855">
          <cell r="G3855" t="str">
            <v>X1197_1</v>
          </cell>
          <cell r="H3855" t="str">
            <v>as</v>
          </cell>
          <cell r="I3855" t="str">
            <v>sim</v>
          </cell>
          <cell r="V3855" t="str">
            <v>not neg pair</v>
          </cell>
          <cell r="Y3855" t="str">
            <v>Past</v>
          </cell>
          <cell r="Z3855">
            <v>4.93</v>
          </cell>
          <cell r="AA3855" t="str">
            <v>H</v>
          </cell>
          <cell r="AB3855">
            <v>0</v>
          </cell>
        </row>
        <row r="3856">
          <cell r="G3856" t="str">
            <v>X1198_0</v>
          </cell>
          <cell r="H3856" t="str">
            <v>as</v>
          </cell>
          <cell r="I3856" t="str">
            <v>sim</v>
          </cell>
          <cell r="V3856" t="str">
            <v>not</v>
          </cell>
          <cell r="Y3856" t="str">
            <v>Past</v>
          </cell>
          <cell r="Z3856">
            <v>4.79</v>
          </cell>
          <cell r="AA3856">
            <v>0</v>
          </cell>
          <cell r="AB3856">
            <v>0</v>
          </cell>
        </row>
        <row r="3857">
          <cell r="G3857" t="str">
            <v>X1198_1</v>
          </cell>
          <cell r="H3857" t="str">
            <v>as</v>
          </cell>
          <cell r="I3857" t="str">
            <v>sim</v>
          </cell>
          <cell r="V3857" t="str">
            <v>not</v>
          </cell>
          <cell r="Y3857" t="str">
            <v>Past</v>
          </cell>
          <cell r="Z3857">
            <v>4.79</v>
          </cell>
          <cell r="AA3857">
            <v>0</v>
          </cell>
          <cell r="AB3857">
            <v>0</v>
          </cell>
        </row>
        <row r="3858">
          <cell r="G3858" t="str">
            <v>X1199_0</v>
          </cell>
          <cell r="H3858" t="str">
            <v>the-of</v>
          </cell>
          <cell r="I3858" t="str">
            <v>sim</v>
          </cell>
          <cell r="V3858" t="str">
            <v>not neg pair</v>
          </cell>
          <cell r="Y3858" t="str">
            <v>Pres</v>
          </cell>
          <cell r="Z3858">
            <v>5</v>
          </cell>
          <cell r="AA3858" t="str">
            <v>H</v>
          </cell>
          <cell r="AB3858">
            <v>0</v>
          </cell>
        </row>
        <row r="3859">
          <cell r="G3859" t="str">
            <v>X1199_1</v>
          </cell>
          <cell r="H3859" t="str">
            <v>the-of</v>
          </cell>
          <cell r="I3859" t="str">
            <v>sim</v>
          </cell>
          <cell r="V3859" t="str">
            <v>not neg pair</v>
          </cell>
          <cell r="Y3859" t="str">
            <v>Pres</v>
          </cell>
          <cell r="Z3859">
            <v>5</v>
          </cell>
          <cell r="AA3859" t="str">
            <v>H</v>
          </cell>
          <cell r="AB3859">
            <v>0</v>
          </cell>
        </row>
        <row r="3860">
          <cell r="G3860" t="str">
            <v>X1200_0</v>
          </cell>
          <cell r="H3860" t="str">
            <v>the-of</v>
          </cell>
          <cell r="I3860" t="str">
            <v>sim</v>
          </cell>
          <cell r="V3860" t="str">
            <v>not neg pair</v>
          </cell>
          <cell r="Y3860" t="str">
            <v>Pres</v>
          </cell>
          <cell r="Z3860">
            <v>4.78</v>
          </cell>
          <cell r="AA3860">
            <v>0</v>
          </cell>
          <cell r="AB3860">
            <v>0</v>
          </cell>
        </row>
        <row r="3861">
          <cell r="G3861" t="str">
            <v>X1200_1</v>
          </cell>
          <cell r="H3861" t="str">
            <v>the-of</v>
          </cell>
          <cell r="I3861" t="str">
            <v>sim</v>
          </cell>
          <cell r="V3861" t="str">
            <v>not neg pair</v>
          </cell>
          <cell r="Y3861" t="str">
            <v>Pres</v>
          </cell>
          <cell r="Z3861">
            <v>4.78</v>
          </cell>
          <cell r="AA3861">
            <v>0</v>
          </cell>
          <cell r="AB3861">
            <v>0</v>
          </cell>
        </row>
        <row r="3862">
          <cell r="G3862" t="str">
            <v>X1201_0</v>
          </cell>
          <cell r="H3862" t="str">
            <v>the-of</v>
          </cell>
          <cell r="I3862" t="str">
            <v>sim</v>
          </cell>
          <cell r="V3862" t="str">
            <v>not neg pair</v>
          </cell>
          <cell r="Y3862" t="str">
            <v>Pres</v>
          </cell>
          <cell r="Z3862">
            <v>4.8899999999999997</v>
          </cell>
          <cell r="AA3862">
            <v>0</v>
          </cell>
          <cell r="AB3862">
            <v>0</v>
          </cell>
        </row>
        <row r="3863">
          <cell r="G3863" t="str">
            <v>X1201_1</v>
          </cell>
          <cell r="H3863" t="str">
            <v>the-of</v>
          </cell>
          <cell r="I3863" t="str">
            <v>sim</v>
          </cell>
          <cell r="V3863" t="str">
            <v>not neg pair</v>
          </cell>
          <cell r="Y3863" t="str">
            <v>Pres</v>
          </cell>
          <cell r="Z3863">
            <v>4.8899999999999997</v>
          </cell>
          <cell r="AA3863">
            <v>0</v>
          </cell>
          <cell r="AB3863">
            <v>0</v>
          </cell>
        </row>
        <row r="3864">
          <cell r="G3864" t="str">
            <v>X1202_0</v>
          </cell>
          <cell r="H3864" t="str">
            <v>as-as</v>
          </cell>
          <cell r="I3864" t="str">
            <v>sim</v>
          </cell>
          <cell r="V3864" t="str">
            <v>antonym</v>
          </cell>
          <cell r="Y3864" t="str">
            <v>Past</v>
          </cell>
          <cell r="Z3864">
            <v>4.75</v>
          </cell>
          <cell r="AA3864">
            <v>0</v>
          </cell>
          <cell r="AB3864">
            <v>0</v>
          </cell>
        </row>
        <row r="3865">
          <cell r="G3865" t="str">
            <v>X1202_1</v>
          </cell>
          <cell r="H3865" t="str">
            <v>as-as</v>
          </cell>
          <cell r="I3865" t="str">
            <v>sim</v>
          </cell>
          <cell r="V3865" t="str">
            <v>antonym</v>
          </cell>
          <cell r="Y3865" t="str">
            <v>Past</v>
          </cell>
          <cell r="Z3865">
            <v>4.75</v>
          </cell>
          <cell r="AA3865">
            <v>0</v>
          </cell>
          <cell r="AB3865">
            <v>0</v>
          </cell>
        </row>
        <row r="3866">
          <cell r="G3866" t="str">
            <v>X1203_0</v>
          </cell>
          <cell r="H3866" t="str">
            <v>as-as</v>
          </cell>
          <cell r="I3866" t="str">
            <v>sim</v>
          </cell>
          <cell r="V3866" t="str">
            <v>antonym</v>
          </cell>
          <cell r="Y3866" t="str">
            <v>Past</v>
          </cell>
          <cell r="Z3866">
            <v>4.97</v>
          </cell>
          <cell r="AA3866" t="str">
            <v>H</v>
          </cell>
          <cell r="AB3866">
            <v>0</v>
          </cell>
        </row>
        <row r="3867">
          <cell r="G3867" t="str">
            <v>X1203_1</v>
          </cell>
          <cell r="H3867" t="str">
            <v>as-as</v>
          </cell>
          <cell r="I3867" t="str">
            <v>sim</v>
          </cell>
          <cell r="V3867" t="str">
            <v>antonym</v>
          </cell>
          <cell r="Y3867" t="str">
            <v>Past</v>
          </cell>
          <cell r="Z3867">
            <v>4.97</v>
          </cell>
          <cell r="AA3867" t="str">
            <v>H</v>
          </cell>
          <cell r="AB3867">
            <v>0</v>
          </cell>
        </row>
        <row r="3868">
          <cell r="G3868" t="str">
            <v>X1204_0</v>
          </cell>
          <cell r="H3868" t="str">
            <v>as-as</v>
          </cell>
          <cell r="I3868" t="str">
            <v>sim</v>
          </cell>
          <cell r="V3868" t="str">
            <v>antonym</v>
          </cell>
          <cell r="Y3868" t="str">
            <v>Past</v>
          </cell>
          <cell r="Z3868">
            <v>4.8499999999999996</v>
          </cell>
          <cell r="AA3868">
            <v>0</v>
          </cell>
          <cell r="AB3868">
            <v>0</v>
          </cell>
        </row>
        <row r="3869">
          <cell r="G3869" t="str">
            <v>X1204_1</v>
          </cell>
          <cell r="H3869" t="str">
            <v>as-as</v>
          </cell>
          <cell r="I3869" t="str">
            <v>sim</v>
          </cell>
          <cell r="V3869" t="str">
            <v>antonym</v>
          </cell>
          <cell r="Y3869" t="str">
            <v>Past</v>
          </cell>
          <cell r="Z3869">
            <v>4.8499999999999996</v>
          </cell>
          <cell r="AA3869">
            <v>0</v>
          </cell>
          <cell r="AB3869">
            <v>0</v>
          </cell>
        </row>
        <row r="3870">
          <cell r="G3870" t="str">
            <v>X1205_0</v>
          </cell>
          <cell r="H3870" t="str">
            <v/>
          </cell>
          <cell r="I3870" t="str">
            <v>met</v>
          </cell>
          <cell r="V3870" t="str">
            <v>0</v>
          </cell>
          <cell r="Y3870" t="str">
            <v>Past</v>
          </cell>
          <cell r="Z3870">
            <v>4.59</v>
          </cell>
          <cell r="AA3870">
            <v>0</v>
          </cell>
          <cell r="AB3870">
            <v>0</v>
          </cell>
        </row>
        <row r="3871">
          <cell r="G3871" t="str">
            <v>X1205_1</v>
          </cell>
          <cell r="H3871" t="str">
            <v/>
          </cell>
          <cell r="I3871" t="str">
            <v>met</v>
          </cell>
          <cell r="V3871" t="str">
            <v>0</v>
          </cell>
          <cell r="Y3871" t="str">
            <v>Past</v>
          </cell>
          <cell r="Z3871">
            <v>4.59</v>
          </cell>
          <cell r="AA3871">
            <v>0</v>
          </cell>
          <cell r="AB3871">
            <v>0</v>
          </cell>
        </row>
        <row r="3872">
          <cell r="G3872" t="str">
            <v>X1206_0</v>
          </cell>
          <cell r="H3872" t="str">
            <v/>
          </cell>
          <cell r="I3872" t="str">
            <v>met</v>
          </cell>
          <cell r="V3872" t="str">
            <v>0</v>
          </cell>
          <cell r="Y3872" t="str">
            <v>Past</v>
          </cell>
          <cell r="Z3872">
            <v>4.5</v>
          </cell>
          <cell r="AA3872">
            <v>0</v>
          </cell>
          <cell r="AB3872">
            <v>0</v>
          </cell>
        </row>
        <row r="3873">
          <cell r="G3873" t="str">
            <v>X1206_1</v>
          </cell>
          <cell r="H3873" t="str">
            <v/>
          </cell>
          <cell r="I3873" t="str">
            <v>met</v>
          </cell>
          <cell r="V3873" t="str">
            <v>0</v>
          </cell>
          <cell r="Y3873" t="str">
            <v>Past</v>
          </cell>
          <cell r="Z3873">
            <v>4.5</v>
          </cell>
          <cell r="AA3873">
            <v>0</v>
          </cell>
          <cell r="AB3873">
            <v>0</v>
          </cell>
        </row>
        <row r="3874">
          <cell r="G3874" t="str">
            <v>X1207_0</v>
          </cell>
          <cell r="H3874" t="str">
            <v/>
          </cell>
          <cell r="I3874" t="str">
            <v>met</v>
          </cell>
          <cell r="V3874" t="str">
            <v>0</v>
          </cell>
          <cell r="Y3874" t="str">
            <v>Pres</v>
          </cell>
          <cell r="Z3874">
            <v>4.82</v>
          </cell>
          <cell r="AA3874">
            <v>0</v>
          </cell>
          <cell r="AB3874">
            <v>0</v>
          </cell>
        </row>
        <row r="3875">
          <cell r="G3875" t="str">
            <v>X1207_1</v>
          </cell>
          <cell r="H3875" t="str">
            <v/>
          </cell>
          <cell r="I3875" t="str">
            <v>met</v>
          </cell>
          <cell r="V3875" t="str">
            <v>0</v>
          </cell>
          <cell r="Y3875" t="str">
            <v>Pres</v>
          </cell>
          <cell r="Z3875">
            <v>4.82</v>
          </cell>
          <cell r="AA3875">
            <v>0</v>
          </cell>
          <cell r="AB3875">
            <v>0</v>
          </cell>
        </row>
        <row r="3876">
          <cell r="G3876" t="str">
            <v>X1208_0</v>
          </cell>
          <cell r="H3876" t="str">
            <v/>
          </cell>
          <cell r="I3876" t="str">
            <v>met</v>
          </cell>
          <cell r="V3876" t="str">
            <v>0</v>
          </cell>
          <cell r="Y3876" t="str">
            <v>Pres</v>
          </cell>
          <cell r="Z3876">
            <v>2.2999999999999998</v>
          </cell>
          <cell r="AA3876" t="str">
            <v>L</v>
          </cell>
          <cell r="AB3876">
            <v>0</v>
          </cell>
        </row>
        <row r="3877">
          <cell r="G3877" t="str">
            <v>X1208_1</v>
          </cell>
          <cell r="H3877" t="str">
            <v/>
          </cell>
          <cell r="I3877" t="str">
            <v>met</v>
          </cell>
          <cell r="V3877" t="str">
            <v>0</v>
          </cell>
          <cell r="Y3877" t="str">
            <v>Pres</v>
          </cell>
          <cell r="Z3877">
            <v>4.46</v>
          </cell>
          <cell r="AA3877">
            <v>0</v>
          </cell>
          <cell r="AB3877">
            <v>0</v>
          </cell>
        </row>
        <row r="3878">
          <cell r="G3878" t="str">
            <v>X1209_0</v>
          </cell>
          <cell r="H3878" t="str">
            <v/>
          </cell>
          <cell r="I3878" t="str">
            <v>met</v>
          </cell>
          <cell r="V3878" t="str">
            <v>0</v>
          </cell>
          <cell r="Y3878" t="str">
            <v>Pres</v>
          </cell>
          <cell r="Z3878">
            <v>4.29</v>
          </cell>
          <cell r="AA3878">
            <v>0</v>
          </cell>
          <cell r="AB3878">
            <v>0</v>
          </cell>
        </row>
        <row r="3879">
          <cell r="G3879" t="str">
            <v>X1209_1</v>
          </cell>
          <cell r="H3879" t="str">
            <v/>
          </cell>
          <cell r="I3879" t="str">
            <v>met</v>
          </cell>
          <cell r="V3879" t="str">
            <v>0</v>
          </cell>
          <cell r="Y3879" t="str">
            <v>Pres</v>
          </cell>
          <cell r="Z3879">
            <v>4.29</v>
          </cell>
          <cell r="AA3879">
            <v>0</v>
          </cell>
          <cell r="AB3879">
            <v>0</v>
          </cell>
        </row>
        <row r="3880">
          <cell r="G3880" t="str">
            <v>X1210_0</v>
          </cell>
          <cell r="H3880" t="str">
            <v>as-as</v>
          </cell>
          <cell r="I3880" t="str">
            <v>sim</v>
          </cell>
          <cell r="V3880" t="str">
            <v>antonym</v>
          </cell>
          <cell r="Y3880" t="str">
            <v>Pres</v>
          </cell>
          <cell r="Z3880">
            <v>4.12</v>
          </cell>
          <cell r="AA3880">
            <v>0</v>
          </cell>
          <cell r="AB3880">
            <v>0</v>
          </cell>
        </row>
        <row r="3881">
          <cell r="G3881" t="str">
            <v>X1210_1</v>
          </cell>
          <cell r="H3881" t="str">
            <v>as-as</v>
          </cell>
          <cell r="I3881" t="str">
            <v>sim</v>
          </cell>
          <cell r="V3881" t="str">
            <v>antonym</v>
          </cell>
          <cell r="Y3881" t="str">
            <v>Pres</v>
          </cell>
          <cell r="Z3881">
            <v>4.12</v>
          </cell>
          <cell r="AA3881">
            <v>0</v>
          </cell>
          <cell r="AB3881">
            <v>0</v>
          </cell>
        </row>
        <row r="3882">
          <cell r="G3882" t="str">
            <v>X1211_0</v>
          </cell>
          <cell r="H3882" t="str">
            <v>like</v>
          </cell>
          <cell r="I3882" t="str">
            <v>sim</v>
          </cell>
          <cell r="V3882" t="str">
            <v>not neg pair</v>
          </cell>
          <cell r="Y3882" t="str">
            <v>Past</v>
          </cell>
          <cell r="Z3882">
            <v>2.5</v>
          </cell>
          <cell r="AA3882" t="str">
            <v>L</v>
          </cell>
          <cell r="AB3882">
            <v>0</v>
          </cell>
        </row>
        <row r="3883">
          <cell r="G3883" t="str">
            <v>X1211_1</v>
          </cell>
          <cell r="H3883" t="str">
            <v>like</v>
          </cell>
          <cell r="I3883" t="str">
            <v>sim</v>
          </cell>
          <cell r="V3883" t="str">
            <v>not neg pair</v>
          </cell>
          <cell r="Y3883" t="str">
            <v>Past</v>
          </cell>
          <cell r="Z3883">
            <v>2.5</v>
          </cell>
          <cell r="AA3883" t="str">
            <v>L</v>
          </cell>
          <cell r="AB3883">
            <v>0</v>
          </cell>
        </row>
        <row r="3884">
          <cell r="G3884" t="str">
            <v>X1212_0</v>
          </cell>
          <cell r="H3884" t="str">
            <v>like</v>
          </cell>
          <cell r="I3884" t="str">
            <v>sim</v>
          </cell>
          <cell r="V3884" t="str">
            <v>not neg pair</v>
          </cell>
          <cell r="Y3884" t="str">
            <v>Past</v>
          </cell>
          <cell r="Z3884">
            <v>4.5199999999999996</v>
          </cell>
          <cell r="AA3884">
            <v>0</v>
          </cell>
          <cell r="AB3884">
            <v>0</v>
          </cell>
        </row>
        <row r="3885">
          <cell r="G3885" t="str">
            <v>X1212_1</v>
          </cell>
          <cell r="H3885" t="str">
            <v>like</v>
          </cell>
          <cell r="I3885" t="str">
            <v>sim</v>
          </cell>
          <cell r="V3885" t="str">
            <v>not neg pair</v>
          </cell>
          <cell r="Y3885" t="str">
            <v>Past</v>
          </cell>
          <cell r="Z3885">
            <v>4.5199999999999996</v>
          </cell>
          <cell r="AA3885">
            <v>0</v>
          </cell>
          <cell r="AB3885">
            <v>0</v>
          </cell>
        </row>
        <row r="3886">
          <cell r="G3886" t="str">
            <v>X1213_0</v>
          </cell>
          <cell r="H3886" t="str">
            <v>like</v>
          </cell>
          <cell r="I3886" t="str">
            <v>sim</v>
          </cell>
          <cell r="V3886" t="str">
            <v>not neg pair</v>
          </cell>
          <cell r="Y3886" t="str">
            <v>Past</v>
          </cell>
          <cell r="Z3886">
            <v>4.96</v>
          </cell>
          <cell r="AA3886" t="str">
            <v>H</v>
          </cell>
          <cell r="AB3886">
            <v>0</v>
          </cell>
        </row>
        <row r="3887">
          <cell r="G3887" t="str">
            <v>X1213_1</v>
          </cell>
          <cell r="H3887" t="str">
            <v>like</v>
          </cell>
          <cell r="I3887" t="str">
            <v>sim</v>
          </cell>
          <cell r="V3887" t="str">
            <v>not neg pair</v>
          </cell>
          <cell r="Y3887" t="str">
            <v>Past</v>
          </cell>
          <cell r="Z3887">
            <v>4.96</v>
          </cell>
          <cell r="AA3887" t="str">
            <v>H</v>
          </cell>
          <cell r="AB3887">
            <v>0</v>
          </cell>
        </row>
        <row r="3888">
          <cell r="G3888" t="str">
            <v>X1214_0</v>
          </cell>
          <cell r="H3888" t="str">
            <v>as-as</v>
          </cell>
          <cell r="I3888" t="str">
            <v>sim</v>
          </cell>
          <cell r="V3888" t="str">
            <v>antonym</v>
          </cell>
          <cell r="Y3888" t="str">
            <v>Past</v>
          </cell>
          <cell r="Z3888">
            <v>5</v>
          </cell>
          <cell r="AA3888" t="str">
            <v>H</v>
          </cell>
          <cell r="AB3888">
            <v>0</v>
          </cell>
        </row>
        <row r="3889">
          <cell r="G3889" t="str">
            <v>X1214_1</v>
          </cell>
          <cell r="H3889" t="str">
            <v>as-as</v>
          </cell>
          <cell r="I3889" t="str">
            <v>sim</v>
          </cell>
          <cell r="V3889" t="str">
            <v>antonym</v>
          </cell>
          <cell r="Y3889" t="str">
            <v>Past</v>
          </cell>
          <cell r="Z3889">
            <v>5</v>
          </cell>
          <cell r="AA3889" t="str">
            <v>H</v>
          </cell>
          <cell r="AB3889">
            <v>0</v>
          </cell>
        </row>
        <row r="3890">
          <cell r="G3890" t="str">
            <v>X1215_0</v>
          </cell>
          <cell r="H3890" t="str">
            <v>as-as</v>
          </cell>
          <cell r="I3890" t="str">
            <v>sim</v>
          </cell>
          <cell r="V3890" t="str">
            <v>not neg pair</v>
          </cell>
          <cell r="Y3890" t="str">
            <v>Past</v>
          </cell>
          <cell r="Z3890">
            <v>4.5</v>
          </cell>
          <cell r="AA3890">
            <v>0</v>
          </cell>
          <cell r="AB3890">
            <v>0</v>
          </cell>
        </row>
        <row r="3891">
          <cell r="G3891" t="str">
            <v>X1215_1</v>
          </cell>
          <cell r="H3891" t="str">
            <v>as-as</v>
          </cell>
          <cell r="I3891" t="str">
            <v>sim</v>
          </cell>
          <cell r="V3891" t="str">
            <v>not neg pair</v>
          </cell>
          <cell r="Y3891" t="str">
            <v>Past</v>
          </cell>
          <cell r="Z3891">
            <v>4.5</v>
          </cell>
          <cell r="AA3891">
            <v>0</v>
          </cell>
          <cell r="AB3891">
            <v>0</v>
          </cell>
        </row>
        <row r="3892">
          <cell r="G3892" t="str">
            <v>X1216_0</v>
          </cell>
          <cell r="H3892" t="str">
            <v>as-as</v>
          </cell>
          <cell r="I3892" t="str">
            <v>sim</v>
          </cell>
          <cell r="V3892" t="str">
            <v>antonym</v>
          </cell>
          <cell r="Y3892" t="str">
            <v>Past</v>
          </cell>
          <cell r="Z3892">
            <v>4.8600000000000003</v>
          </cell>
          <cell r="AA3892">
            <v>0</v>
          </cell>
          <cell r="AB3892">
            <v>0</v>
          </cell>
        </row>
        <row r="3893">
          <cell r="G3893" t="str">
            <v>X1216_1</v>
          </cell>
          <cell r="H3893" t="str">
            <v>as-as</v>
          </cell>
          <cell r="I3893" t="str">
            <v>sim</v>
          </cell>
          <cell r="V3893" t="str">
            <v>antonym</v>
          </cell>
          <cell r="Y3893" t="str">
            <v>Past</v>
          </cell>
          <cell r="Z3893">
            <v>4.8600000000000003</v>
          </cell>
          <cell r="AA3893">
            <v>0</v>
          </cell>
          <cell r="AB3893">
            <v>0</v>
          </cell>
        </row>
        <row r="3894">
          <cell r="G3894" t="str">
            <v>X1217_0</v>
          </cell>
          <cell r="H3894" t="str">
            <v>as-as</v>
          </cell>
          <cell r="I3894" t="str">
            <v>sim</v>
          </cell>
          <cell r="V3894" t="str">
            <v>not neg pair</v>
          </cell>
          <cell r="Y3894" t="str">
            <v>Past</v>
          </cell>
          <cell r="Z3894">
            <v>0</v>
          </cell>
          <cell r="AA3894">
            <v>0</v>
          </cell>
          <cell r="AB3894">
            <v>0</v>
          </cell>
        </row>
        <row r="3895">
          <cell r="G3895" t="str">
            <v>X1217_1</v>
          </cell>
          <cell r="H3895" t="str">
            <v>as-as</v>
          </cell>
          <cell r="I3895" t="str">
            <v>sim</v>
          </cell>
          <cell r="V3895" t="str">
            <v>not neg pair</v>
          </cell>
          <cell r="Y3895" t="str">
            <v>Past</v>
          </cell>
          <cell r="Z3895">
            <v>1.46</v>
          </cell>
          <cell r="AA3895" t="str">
            <v>L</v>
          </cell>
          <cell r="AB3895">
            <v>0</v>
          </cell>
        </row>
        <row r="3896">
          <cell r="G3896" t="str">
            <v>X1218_0</v>
          </cell>
          <cell r="H3896" t="str">
            <v>like</v>
          </cell>
          <cell r="I3896" t="str">
            <v>sim</v>
          </cell>
          <cell r="V3896" t="str">
            <v>not neg pair</v>
          </cell>
          <cell r="Y3896" t="str">
            <v>Past</v>
          </cell>
          <cell r="Z3896">
            <v>3.9</v>
          </cell>
          <cell r="AA3896">
            <v>0</v>
          </cell>
          <cell r="AB3896">
            <v>0</v>
          </cell>
        </row>
        <row r="3897">
          <cell r="G3897" t="str">
            <v>X1218_1</v>
          </cell>
          <cell r="H3897" t="str">
            <v>like</v>
          </cell>
          <cell r="I3897" t="str">
            <v>sim</v>
          </cell>
          <cell r="V3897" t="str">
            <v>not neg pair</v>
          </cell>
          <cell r="Y3897" t="str">
            <v>Past</v>
          </cell>
          <cell r="Z3897">
            <v>3.9</v>
          </cell>
          <cell r="AA3897">
            <v>0</v>
          </cell>
          <cell r="AB3897">
            <v>0</v>
          </cell>
        </row>
        <row r="3898">
          <cell r="G3898" t="str">
            <v>X1219_0</v>
          </cell>
          <cell r="H3898" t="str">
            <v>as-as</v>
          </cell>
          <cell r="I3898" t="str">
            <v>sim</v>
          </cell>
          <cell r="V3898" t="str">
            <v>not neg pair</v>
          </cell>
          <cell r="Y3898" t="str">
            <v>Past</v>
          </cell>
          <cell r="Z3898">
            <v>3.78</v>
          </cell>
          <cell r="AA3898">
            <v>0</v>
          </cell>
          <cell r="AB3898">
            <v>0</v>
          </cell>
        </row>
        <row r="3899">
          <cell r="G3899" t="str">
            <v>X1219_1</v>
          </cell>
          <cell r="H3899" t="str">
            <v>as-as</v>
          </cell>
          <cell r="I3899" t="str">
            <v>sim</v>
          </cell>
          <cell r="V3899" t="str">
            <v>not neg pair</v>
          </cell>
          <cell r="Y3899" t="str">
            <v>Past</v>
          </cell>
          <cell r="Z3899">
            <v>3.78</v>
          </cell>
          <cell r="AA3899">
            <v>0</v>
          </cell>
          <cell r="AB3899">
            <v>0</v>
          </cell>
        </row>
        <row r="3900">
          <cell r="G3900" t="str">
            <v>X1220_0</v>
          </cell>
          <cell r="H3900" t="str">
            <v>as-as</v>
          </cell>
          <cell r="I3900" t="str">
            <v>sim</v>
          </cell>
          <cell r="V3900" t="str">
            <v>antonym</v>
          </cell>
          <cell r="Y3900" t="str">
            <v>Past</v>
          </cell>
          <cell r="Z3900">
            <v>0</v>
          </cell>
          <cell r="AA3900">
            <v>0</v>
          </cell>
          <cell r="AB3900">
            <v>0</v>
          </cell>
        </row>
        <row r="3901">
          <cell r="G3901" t="str">
            <v>X1220_1</v>
          </cell>
          <cell r="H3901" t="str">
            <v>as-as</v>
          </cell>
          <cell r="I3901" t="str">
            <v>sim</v>
          </cell>
          <cell r="V3901" t="str">
            <v>antonym</v>
          </cell>
          <cell r="Y3901" t="str">
            <v>Past</v>
          </cell>
          <cell r="Z3901">
            <v>0</v>
          </cell>
          <cell r="AA3901">
            <v>0</v>
          </cell>
          <cell r="AB3901">
            <v>0</v>
          </cell>
        </row>
        <row r="3902">
          <cell r="G3902" t="str">
            <v>X1221_0</v>
          </cell>
          <cell r="H3902" t="str">
            <v>as-as</v>
          </cell>
          <cell r="I3902" t="str">
            <v>sim</v>
          </cell>
          <cell r="V3902" t="str">
            <v>not neg pair</v>
          </cell>
          <cell r="Y3902" t="str">
            <v>Past</v>
          </cell>
          <cell r="Z3902">
            <v>0</v>
          </cell>
          <cell r="AA3902">
            <v>0</v>
          </cell>
          <cell r="AB3902">
            <v>0</v>
          </cell>
        </row>
        <row r="3903">
          <cell r="G3903" t="str">
            <v>X1221_1</v>
          </cell>
          <cell r="H3903" t="str">
            <v>as-as</v>
          </cell>
          <cell r="I3903" t="str">
            <v>sim</v>
          </cell>
          <cell r="V3903" t="str">
            <v>not neg pair</v>
          </cell>
          <cell r="Y3903" t="str">
            <v>Past</v>
          </cell>
          <cell r="Z3903">
            <v>4.5599999999999996</v>
          </cell>
          <cell r="AA3903">
            <v>0</v>
          </cell>
          <cell r="AB3903">
            <v>0</v>
          </cell>
        </row>
        <row r="3904">
          <cell r="G3904" t="str">
            <v>X1222_0</v>
          </cell>
          <cell r="H3904" t="str">
            <v>as-as</v>
          </cell>
          <cell r="I3904" t="str">
            <v>sim</v>
          </cell>
          <cell r="V3904" t="str">
            <v>not</v>
          </cell>
          <cell r="Y3904" t="str">
            <v>Pres</v>
          </cell>
          <cell r="Z3904">
            <v>3.39</v>
          </cell>
          <cell r="AA3904">
            <v>0</v>
          </cell>
          <cell r="AB3904">
            <v>0</v>
          </cell>
        </row>
        <row r="3905">
          <cell r="G3905" t="str">
            <v>X1222_1</v>
          </cell>
          <cell r="H3905" t="str">
            <v>as-as</v>
          </cell>
          <cell r="I3905" t="str">
            <v>sim</v>
          </cell>
          <cell r="V3905" t="str">
            <v>not</v>
          </cell>
          <cell r="Y3905" t="str">
            <v>Past</v>
          </cell>
          <cell r="Z3905">
            <v>3.39</v>
          </cell>
          <cell r="AA3905">
            <v>0</v>
          </cell>
          <cell r="AB3905">
            <v>0</v>
          </cell>
        </row>
        <row r="3906">
          <cell r="G3906" t="str">
            <v>X1223_0</v>
          </cell>
          <cell r="H3906" t="str">
            <v>as-as</v>
          </cell>
          <cell r="I3906" t="str">
            <v>sim</v>
          </cell>
          <cell r="V3906" t="str">
            <v>not</v>
          </cell>
          <cell r="Y3906" t="str">
            <v>Pres</v>
          </cell>
          <cell r="Z3906">
            <v>0</v>
          </cell>
          <cell r="AA3906">
            <v>0</v>
          </cell>
          <cell r="AB3906">
            <v>0</v>
          </cell>
        </row>
        <row r="3907">
          <cell r="G3907" t="str">
            <v>X1223_1</v>
          </cell>
          <cell r="H3907" t="str">
            <v>as-as</v>
          </cell>
          <cell r="I3907" t="str">
            <v>sim</v>
          </cell>
          <cell r="V3907" t="str">
            <v>not</v>
          </cell>
          <cell r="Y3907" t="str">
            <v>Pres</v>
          </cell>
          <cell r="Z3907">
            <v>0</v>
          </cell>
          <cell r="AA3907">
            <v>0</v>
          </cell>
          <cell r="AB3907">
            <v>0</v>
          </cell>
        </row>
        <row r="3908">
          <cell r="G3908" t="str">
            <v>X1224_0</v>
          </cell>
          <cell r="H3908" t="str">
            <v>as-as</v>
          </cell>
          <cell r="I3908" t="str">
            <v>sim</v>
          </cell>
          <cell r="V3908" t="str">
            <v>not neg pair</v>
          </cell>
          <cell r="Y3908" t="str">
            <v>Past</v>
          </cell>
          <cell r="Z3908">
            <v>4.8899999999999997</v>
          </cell>
          <cell r="AA3908">
            <v>0</v>
          </cell>
          <cell r="AB3908">
            <v>0</v>
          </cell>
        </row>
        <row r="3909">
          <cell r="G3909" t="str">
            <v>X1224_1</v>
          </cell>
          <cell r="H3909" t="str">
            <v>as-as</v>
          </cell>
          <cell r="I3909" t="str">
            <v>sim</v>
          </cell>
          <cell r="V3909" t="str">
            <v>not neg pair</v>
          </cell>
          <cell r="Y3909" t="str">
            <v>Past</v>
          </cell>
          <cell r="Z3909">
            <v>4.8899999999999997</v>
          </cell>
          <cell r="AA3909">
            <v>0</v>
          </cell>
          <cell r="AB3909">
            <v>0</v>
          </cell>
        </row>
        <row r="3910">
          <cell r="G3910" t="str">
            <v>X1225_0</v>
          </cell>
          <cell r="H3910" t="str">
            <v>as-as</v>
          </cell>
          <cell r="I3910" t="str">
            <v>sim</v>
          </cell>
          <cell r="V3910" t="str">
            <v>antonym</v>
          </cell>
          <cell r="Y3910" t="str">
            <v>Past</v>
          </cell>
          <cell r="Z3910">
            <v>4.59</v>
          </cell>
          <cell r="AA3910">
            <v>0</v>
          </cell>
          <cell r="AB3910">
            <v>0</v>
          </cell>
        </row>
        <row r="3911">
          <cell r="G3911" t="str">
            <v>X1225_1</v>
          </cell>
          <cell r="H3911" t="str">
            <v>as-as</v>
          </cell>
          <cell r="I3911" t="str">
            <v>sim</v>
          </cell>
          <cell r="V3911" t="str">
            <v>antonym</v>
          </cell>
          <cell r="Y3911" t="str">
            <v>Past</v>
          </cell>
          <cell r="Z3911">
            <v>4.59</v>
          </cell>
          <cell r="AA3911">
            <v>0</v>
          </cell>
          <cell r="AB3911">
            <v>0</v>
          </cell>
        </row>
        <row r="3912">
          <cell r="G3912" t="str">
            <v>X1226_0</v>
          </cell>
          <cell r="H3912" t="str">
            <v>the-of</v>
          </cell>
          <cell r="I3912" t="str">
            <v>sim</v>
          </cell>
          <cell r="V3912" t="str">
            <v>not</v>
          </cell>
          <cell r="Y3912" t="str">
            <v>Past</v>
          </cell>
          <cell r="Z3912">
            <v>4.8099999999999996</v>
          </cell>
          <cell r="AA3912">
            <v>0</v>
          </cell>
          <cell r="AB3912">
            <v>0</v>
          </cell>
        </row>
        <row r="3913">
          <cell r="G3913" t="str">
            <v>X1226_1</v>
          </cell>
          <cell r="H3913" t="str">
            <v>the-of</v>
          </cell>
          <cell r="I3913" t="str">
            <v>sim</v>
          </cell>
          <cell r="V3913" t="str">
            <v>not</v>
          </cell>
          <cell r="Y3913" t="str">
            <v>Past</v>
          </cell>
          <cell r="Z3913">
            <v>4.8099999999999996</v>
          </cell>
          <cell r="AA3913">
            <v>0</v>
          </cell>
          <cell r="AB3913">
            <v>0</v>
          </cell>
        </row>
        <row r="3914">
          <cell r="G3914" t="str">
            <v>X1227_0</v>
          </cell>
          <cell r="H3914" t="str">
            <v>the-of</v>
          </cell>
          <cell r="I3914" t="str">
            <v>sim</v>
          </cell>
          <cell r="V3914" t="str">
            <v>not</v>
          </cell>
          <cell r="Y3914" t="str">
            <v>Past</v>
          </cell>
          <cell r="Z3914">
            <v>4.68</v>
          </cell>
          <cell r="AA3914">
            <v>0</v>
          </cell>
          <cell r="AB3914">
            <v>0</v>
          </cell>
        </row>
        <row r="3915">
          <cell r="G3915" t="str">
            <v>X1227_1</v>
          </cell>
          <cell r="H3915" t="str">
            <v>the-of</v>
          </cell>
          <cell r="I3915" t="str">
            <v>sim</v>
          </cell>
          <cell r="V3915" t="str">
            <v>not</v>
          </cell>
          <cell r="Y3915" t="str">
            <v>Past</v>
          </cell>
          <cell r="Z3915">
            <v>4.68</v>
          </cell>
          <cell r="AA3915">
            <v>0</v>
          </cell>
          <cell r="AB3915">
            <v>0</v>
          </cell>
        </row>
        <row r="3916">
          <cell r="G3916" t="str">
            <v>X1228_0</v>
          </cell>
          <cell r="H3916" t="str">
            <v>as-as</v>
          </cell>
          <cell r="I3916" t="str">
            <v>sim</v>
          </cell>
          <cell r="V3916" t="str">
            <v>not</v>
          </cell>
          <cell r="Y3916" t="str">
            <v>Past</v>
          </cell>
          <cell r="Z3916">
            <v>4.76</v>
          </cell>
          <cell r="AA3916">
            <v>0</v>
          </cell>
          <cell r="AB3916">
            <v>0</v>
          </cell>
        </row>
        <row r="3917">
          <cell r="G3917" t="str">
            <v>X1228_1</v>
          </cell>
          <cell r="H3917" t="str">
            <v>as-as</v>
          </cell>
          <cell r="I3917" t="str">
            <v>sim</v>
          </cell>
          <cell r="V3917" t="str">
            <v>not</v>
          </cell>
          <cell r="Y3917" t="str">
            <v>Past</v>
          </cell>
          <cell r="Z3917">
            <v>4.76</v>
          </cell>
          <cell r="AA3917">
            <v>0</v>
          </cell>
          <cell r="AB3917">
            <v>0</v>
          </cell>
        </row>
        <row r="3918">
          <cell r="G3918" t="str">
            <v>X1229_0</v>
          </cell>
          <cell r="H3918" t="str">
            <v>like</v>
          </cell>
          <cell r="I3918" t="str">
            <v>sim</v>
          </cell>
          <cell r="V3918" t="str">
            <v>not</v>
          </cell>
          <cell r="Y3918" t="str">
            <v>Past</v>
          </cell>
          <cell r="Z3918">
            <v>3.93</v>
          </cell>
          <cell r="AA3918">
            <v>0</v>
          </cell>
          <cell r="AB3918">
            <v>0</v>
          </cell>
        </row>
        <row r="3919">
          <cell r="G3919" t="str">
            <v>X1229_1</v>
          </cell>
          <cell r="H3919" t="str">
            <v>like</v>
          </cell>
          <cell r="I3919" t="str">
            <v>sim</v>
          </cell>
          <cell r="V3919" t="str">
            <v>not</v>
          </cell>
          <cell r="Y3919" t="str">
            <v>Past</v>
          </cell>
          <cell r="Z3919">
            <v>3.93</v>
          </cell>
          <cell r="AA3919">
            <v>0</v>
          </cell>
          <cell r="AB3919">
            <v>0</v>
          </cell>
        </row>
        <row r="3920">
          <cell r="G3920" t="str">
            <v>X1230_0</v>
          </cell>
          <cell r="H3920" t="str">
            <v>like</v>
          </cell>
          <cell r="I3920" t="str">
            <v>sim</v>
          </cell>
          <cell r="V3920" t="str">
            <v>not neg pair</v>
          </cell>
          <cell r="Y3920" t="str">
            <v>Past</v>
          </cell>
          <cell r="Z3920">
            <v>3.93</v>
          </cell>
          <cell r="AA3920">
            <v>0</v>
          </cell>
          <cell r="AB3920">
            <v>0</v>
          </cell>
        </row>
        <row r="3921">
          <cell r="G3921" t="str">
            <v>X1230_1</v>
          </cell>
          <cell r="H3921" t="str">
            <v>like</v>
          </cell>
          <cell r="I3921" t="str">
            <v>sim</v>
          </cell>
          <cell r="V3921" t="str">
            <v>not neg pair</v>
          </cell>
          <cell r="Y3921" t="str">
            <v>Past</v>
          </cell>
          <cell r="Z3921">
            <v>3.93</v>
          </cell>
          <cell r="AA3921">
            <v>0</v>
          </cell>
          <cell r="AB3921">
            <v>0</v>
          </cell>
        </row>
        <row r="3922">
          <cell r="G3922" t="str">
            <v>X1231_0</v>
          </cell>
          <cell r="H3922" t="str">
            <v>like</v>
          </cell>
          <cell r="I3922" t="str">
            <v>sim</v>
          </cell>
          <cell r="V3922" t="str">
            <v>not</v>
          </cell>
          <cell r="Y3922" t="str">
            <v>Past</v>
          </cell>
          <cell r="Z3922">
            <v>3.93</v>
          </cell>
          <cell r="AA3922">
            <v>0</v>
          </cell>
          <cell r="AB3922">
            <v>0</v>
          </cell>
        </row>
        <row r="3923">
          <cell r="G3923" t="str">
            <v>X1231_1</v>
          </cell>
          <cell r="H3923" t="str">
            <v>like</v>
          </cell>
          <cell r="I3923" t="str">
            <v>sim</v>
          </cell>
          <cell r="V3923" t="str">
            <v>not</v>
          </cell>
          <cell r="Y3923" t="str">
            <v>Past</v>
          </cell>
          <cell r="Z3923">
            <v>3.93</v>
          </cell>
          <cell r="AA3923">
            <v>0</v>
          </cell>
          <cell r="AB3923">
            <v>0</v>
          </cell>
        </row>
        <row r="3924">
          <cell r="G3924" t="str">
            <v>X1232_0</v>
          </cell>
          <cell r="H3924" t="str">
            <v/>
          </cell>
          <cell r="I3924" t="str">
            <v>met</v>
          </cell>
          <cell r="V3924" t="str">
            <v>0</v>
          </cell>
          <cell r="Y3924" t="str">
            <v>Pres</v>
          </cell>
          <cell r="Z3924">
            <v>2.59</v>
          </cell>
          <cell r="AA3924" t="str">
            <v>L</v>
          </cell>
          <cell r="AB3924">
            <v>0</v>
          </cell>
        </row>
        <row r="3925">
          <cell r="G3925" t="str">
            <v>X1232_1</v>
          </cell>
          <cell r="H3925" t="str">
            <v>like</v>
          </cell>
          <cell r="I3925" t="str">
            <v>sim</v>
          </cell>
          <cell r="V3925" t="str">
            <v>0</v>
          </cell>
          <cell r="Y3925" t="str">
            <v>Past</v>
          </cell>
          <cell r="Z3925">
            <v>2.59</v>
          </cell>
          <cell r="AA3925" t="str">
            <v>L</v>
          </cell>
          <cell r="AB3925">
            <v>0</v>
          </cell>
        </row>
        <row r="3926">
          <cell r="G3926" t="str">
            <v>X1233_0</v>
          </cell>
          <cell r="H3926" t="str">
            <v>like</v>
          </cell>
          <cell r="I3926" t="str">
            <v>sim</v>
          </cell>
          <cell r="V3926" t="str">
            <v>not neg pair</v>
          </cell>
          <cell r="Y3926" t="str">
            <v>Pres</v>
          </cell>
          <cell r="Z3926">
            <v>2.97</v>
          </cell>
          <cell r="AA3926">
            <v>0</v>
          </cell>
          <cell r="AB3926">
            <v>0</v>
          </cell>
        </row>
        <row r="3927">
          <cell r="G3927" t="str">
            <v>X1233_1</v>
          </cell>
          <cell r="H3927" t="str">
            <v>like</v>
          </cell>
          <cell r="I3927" t="str">
            <v>sim</v>
          </cell>
          <cell r="V3927" t="str">
            <v>not neg pair</v>
          </cell>
          <cell r="Y3927" t="str">
            <v>Pres</v>
          </cell>
          <cell r="Z3927">
            <v>2.97</v>
          </cell>
          <cell r="AA3927">
            <v>0</v>
          </cell>
          <cell r="AB3927">
            <v>0</v>
          </cell>
        </row>
        <row r="3928">
          <cell r="G3928" t="str">
            <v>X1234_0</v>
          </cell>
          <cell r="H3928" t="str">
            <v>like</v>
          </cell>
          <cell r="I3928" t="str">
            <v>sim</v>
          </cell>
          <cell r="V3928" t="str">
            <v>not</v>
          </cell>
          <cell r="Y3928" t="str">
            <v>Pres</v>
          </cell>
          <cell r="Z3928">
            <v>3.08</v>
          </cell>
          <cell r="AA3928">
            <v>0</v>
          </cell>
          <cell r="AB3928">
            <v>0</v>
          </cell>
        </row>
        <row r="3929">
          <cell r="G3929" t="str">
            <v>X1234_1</v>
          </cell>
          <cell r="H3929" t="str">
            <v>like</v>
          </cell>
          <cell r="I3929" t="str">
            <v>sim</v>
          </cell>
          <cell r="V3929" t="str">
            <v>not</v>
          </cell>
          <cell r="Y3929" t="str">
            <v>Pres</v>
          </cell>
          <cell r="Z3929">
            <v>3.08</v>
          </cell>
          <cell r="AA3929">
            <v>0</v>
          </cell>
          <cell r="AB3929">
            <v>0</v>
          </cell>
        </row>
        <row r="3930">
          <cell r="G3930" t="str">
            <v>X1235_0</v>
          </cell>
          <cell r="H3930" t="str">
            <v>like</v>
          </cell>
          <cell r="I3930" t="str">
            <v>sim</v>
          </cell>
          <cell r="V3930" t="str">
            <v>not neg pair</v>
          </cell>
          <cell r="Y3930" t="str">
            <v>Pres</v>
          </cell>
          <cell r="Z3930">
            <v>3.86</v>
          </cell>
          <cell r="AA3930">
            <v>0</v>
          </cell>
          <cell r="AB3930">
            <v>0</v>
          </cell>
        </row>
        <row r="3931">
          <cell r="G3931" t="str">
            <v>X1235_1</v>
          </cell>
          <cell r="H3931" t="str">
            <v>like</v>
          </cell>
          <cell r="I3931" t="str">
            <v>sim</v>
          </cell>
          <cell r="V3931" t="str">
            <v>not neg pair</v>
          </cell>
          <cell r="Y3931" t="str">
            <v>Pres</v>
          </cell>
          <cell r="Z3931">
            <v>3.86</v>
          </cell>
          <cell r="AA3931">
            <v>0</v>
          </cell>
          <cell r="AB3931">
            <v>0</v>
          </cell>
        </row>
        <row r="3932">
          <cell r="G3932" t="str">
            <v>X1236_0</v>
          </cell>
          <cell r="H3932" t="str">
            <v>as</v>
          </cell>
          <cell r="I3932" t="str">
            <v>sim</v>
          </cell>
          <cell r="V3932" t="str">
            <v>not neg pair</v>
          </cell>
          <cell r="Y3932" t="str">
            <v>Past</v>
          </cell>
          <cell r="Z3932">
            <v>4.1100000000000003</v>
          </cell>
          <cell r="AA3932">
            <v>0</v>
          </cell>
          <cell r="AB3932">
            <v>0</v>
          </cell>
        </row>
        <row r="3933">
          <cell r="G3933" t="str">
            <v>X1236_1</v>
          </cell>
          <cell r="H3933" t="str">
            <v>as</v>
          </cell>
          <cell r="I3933" t="str">
            <v>sim</v>
          </cell>
          <cell r="V3933" t="str">
            <v>not neg pair</v>
          </cell>
          <cell r="Y3933" t="str">
            <v>Past</v>
          </cell>
          <cell r="Z3933">
            <v>4.1100000000000003</v>
          </cell>
          <cell r="AA3933">
            <v>0</v>
          </cell>
          <cell r="AB3933">
            <v>0</v>
          </cell>
        </row>
        <row r="3934">
          <cell r="G3934" t="str">
            <v>X1237_0</v>
          </cell>
          <cell r="H3934" t="str">
            <v>as-as</v>
          </cell>
          <cell r="I3934" t="str">
            <v>sim</v>
          </cell>
          <cell r="V3934" t="str">
            <v>not</v>
          </cell>
          <cell r="Y3934" t="str">
            <v>Pres</v>
          </cell>
          <cell r="Z3934">
            <v>3.07</v>
          </cell>
          <cell r="AA3934">
            <v>0</v>
          </cell>
          <cell r="AB3934">
            <v>0</v>
          </cell>
        </row>
        <row r="3935">
          <cell r="G3935" t="str">
            <v>X1237_1</v>
          </cell>
          <cell r="H3935" t="str">
            <v>as-as</v>
          </cell>
          <cell r="I3935" t="str">
            <v>sim</v>
          </cell>
          <cell r="V3935" t="str">
            <v>not</v>
          </cell>
          <cell r="Y3935" t="str">
            <v>Pres</v>
          </cell>
          <cell r="Z3935">
            <v>4.25</v>
          </cell>
          <cell r="AA3935">
            <v>0</v>
          </cell>
          <cell r="AB3935">
            <v>0</v>
          </cell>
        </row>
        <row r="3936">
          <cell r="G3936" t="str">
            <v>X1238_0</v>
          </cell>
          <cell r="H3936" t="str">
            <v>like</v>
          </cell>
          <cell r="I3936" t="str">
            <v>sim</v>
          </cell>
          <cell r="V3936" t="str">
            <v>not neg pair</v>
          </cell>
          <cell r="Y3936" t="str">
            <v>Pres</v>
          </cell>
          <cell r="Z3936">
            <v>2.93</v>
          </cell>
          <cell r="AA3936">
            <v>0</v>
          </cell>
          <cell r="AB3936">
            <v>0</v>
          </cell>
        </row>
        <row r="3937">
          <cell r="G3937" t="str">
            <v>X1238_1</v>
          </cell>
          <cell r="H3937" t="str">
            <v>like</v>
          </cell>
          <cell r="I3937" t="str">
            <v>sim</v>
          </cell>
          <cell r="V3937" t="str">
            <v>not neg pair</v>
          </cell>
          <cell r="Y3937" t="str">
            <v>Pres</v>
          </cell>
          <cell r="Z3937">
            <v>2.93</v>
          </cell>
          <cell r="AA3937">
            <v>0</v>
          </cell>
          <cell r="AB3937">
            <v>0</v>
          </cell>
        </row>
        <row r="3938">
          <cell r="G3938" t="str">
            <v>X1239_0</v>
          </cell>
          <cell r="H3938" t="str">
            <v>as-as</v>
          </cell>
          <cell r="I3938" t="str">
            <v>sim</v>
          </cell>
          <cell r="V3938" t="str">
            <v>not neg pair</v>
          </cell>
          <cell r="Y3938" t="str">
            <v>Past</v>
          </cell>
          <cell r="Z3938">
            <v>3.06</v>
          </cell>
          <cell r="AA3938">
            <v>0</v>
          </cell>
          <cell r="AB3938">
            <v>0</v>
          </cell>
        </row>
        <row r="3939">
          <cell r="G3939" t="str">
            <v>X1239_1</v>
          </cell>
          <cell r="H3939" t="str">
            <v>as-as</v>
          </cell>
          <cell r="I3939" t="str">
            <v>sim</v>
          </cell>
          <cell r="V3939" t="str">
            <v>not neg pair</v>
          </cell>
          <cell r="Y3939" t="str">
            <v>Past</v>
          </cell>
          <cell r="Z3939">
            <v>3.06</v>
          </cell>
          <cell r="AA3939">
            <v>0</v>
          </cell>
          <cell r="AB3939">
            <v>0</v>
          </cell>
        </row>
        <row r="3940">
          <cell r="G3940" t="str">
            <v>X1240_0</v>
          </cell>
          <cell r="H3940" t="str">
            <v>the-of</v>
          </cell>
          <cell r="I3940" t="str">
            <v>sim</v>
          </cell>
          <cell r="V3940" t="str">
            <v>not</v>
          </cell>
          <cell r="Y3940" t="str">
            <v>Past</v>
          </cell>
          <cell r="Z3940">
            <v>1.69</v>
          </cell>
          <cell r="AA3940" t="str">
            <v>L</v>
          </cell>
          <cell r="AB3940">
            <v>0</v>
          </cell>
        </row>
        <row r="3941">
          <cell r="G3941" t="str">
            <v>X1240_1</v>
          </cell>
          <cell r="H3941" t="str">
            <v>the-of</v>
          </cell>
          <cell r="I3941" t="str">
            <v>sim</v>
          </cell>
          <cell r="V3941" t="str">
            <v>not</v>
          </cell>
          <cell r="Y3941" t="str">
            <v>Pres</v>
          </cell>
          <cell r="Z3941">
            <v>2.27</v>
          </cell>
          <cell r="AA3941" t="str">
            <v>L</v>
          </cell>
          <cell r="AB3941">
            <v>0</v>
          </cell>
        </row>
        <row r="3942">
          <cell r="G3942" t="str">
            <v>X1241_0</v>
          </cell>
          <cell r="H3942" t="str">
            <v/>
          </cell>
          <cell r="I3942" t="str">
            <v>met</v>
          </cell>
          <cell r="V3942" t="str">
            <v>0</v>
          </cell>
          <cell r="Y3942" t="str">
            <v>Pres</v>
          </cell>
          <cell r="Z3942">
            <v>5</v>
          </cell>
          <cell r="AA3942" t="str">
            <v>H</v>
          </cell>
          <cell r="AB3942">
            <v>0</v>
          </cell>
        </row>
        <row r="3943">
          <cell r="G3943" t="str">
            <v>X1241_1</v>
          </cell>
          <cell r="H3943" t="str">
            <v/>
          </cell>
          <cell r="I3943" t="str">
            <v>met</v>
          </cell>
          <cell r="V3943" t="str">
            <v>0</v>
          </cell>
          <cell r="Y3943" t="str">
            <v>Pres</v>
          </cell>
          <cell r="Z3943">
            <v>5</v>
          </cell>
          <cell r="AA3943" t="str">
            <v>H</v>
          </cell>
          <cell r="AB3943">
            <v>0</v>
          </cell>
        </row>
        <row r="3944">
          <cell r="G3944" t="str">
            <v>X1242_0</v>
          </cell>
          <cell r="H3944" t="str">
            <v/>
          </cell>
          <cell r="I3944" t="str">
            <v>met</v>
          </cell>
          <cell r="V3944" t="str">
            <v>0</v>
          </cell>
          <cell r="Y3944" t="str">
            <v>Pres</v>
          </cell>
          <cell r="Z3944">
            <v>3.56</v>
          </cell>
          <cell r="AA3944">
            <v>0</v>
          </cell>
          <cell r="AB3944">
            <v>0</v>
          </cell>
        </row>
        <row r="3945">
          <cell r="G3945" t="str">
            <v>X1242_1</v>
          </cell>
          <cell r="H3945" t="str">
            <v/>
          </cell>
          <cell r="I3945" t="str">
            <v>met</v>
          </cell>
          <cell r="V3945" t="str">
            <v>0</v>
          </cell>
          <cell r="Y3945" t="str">
            <v>Pres</v>
          </cell>
          <cell r="Z3945">
            <v>3.56</v>
          </cell>
          <cell r="AA3945">
            <v>0</v>
          </cell>
          <cell r="AB3945">
            <v>0</v>
          </cell>
        </row>
        <row r="3946">
          <cell r="G3946" t="str">
            <v>X1243_0</v>
          </cell>
          <cell r="H3946" t="str">
            <v/>
          </cell>
          <cell r="I3946" t="str">
            <v>met</v>
          </cell>
          <cell r="V3946" t="str">
            <v>0</v>
          </cell>
          <cell r="Y3946" t="str">
            <v>Past</v>
          </cell>
          <cell r="Z3946">
            <v>4.8499999999999996</v>
          </cell>
          <cell r="AA3946">
            <v>0</v>
          </cell>
          <cell r="AB3946">
            <v>0</v>
          </cell>
        </row>
        <row r="3947">
          <cell r="G3947" t="str">
            <v>X1243_1</v>
          </cell>
          <cell r="H3947" t="str">
            <v/>
          </cell>
          <cell r="I3947" t="str">
            <v>met</v>
          </cell>
          <cell r="V3947" t="str">
            <v>0</v>
          </cell>
          <cell r="Y3947" t="str">
            <v>Pres</v>
          </cell>
          <cell r="Z3947">
            <v>4.8499999999999996</v>
          </cell>
          <cell r="AA3947">
            <v>0</v>
          </cell>
          <cell r="AB3947">
            <v>0</v>
          </cell>
        </row>
        <row r="3948">
          <cell r="G3948" t="str">
            <v>X1244_0</v>
          </cell>
          <cell r="H3948" t="str">
            <v/>
          </cell>
          <cell r="I3948" t="str">
            <v>met</v>
          </cell>
          <cell r="V3948" t="str">
            <v>0</v>
          </cell>
          <cell r="Y3948" t="str">
            <v>Pres</v>
          </cell>
          <cell r="Z3948">
            <v>3.36</v>
          </cell>
          <cell r="AA3948">
            <v>0</v>
          </cell>
          <cell r="AB3948">
            <v>0</v>
          </cell>
        </row>
        <row r="3949">
          <cell r="G3949" t="str">
            <v>X1244_1</v>
          </cell>
          <cell r="H3949" t="str">
            <v/>
          </cell>
          <cell r="I3949" t="str">
            <v>met</v>
          </cell>
          <cell r="V3949" t="str">
            <v>0</v>
          </cell>
          <cell r="Y3949" t="str">
            <v>Pres</v>
          </cell>
          <cell r="Z3949">
            <v>3.36</v>
          </cell>
          <cell r="AA3949">
            <v>0</v>
          </cell>
          <cell r="AB3949">
            <v>0</v>
          </cell>
        </row>
        <row r="3950">
          <cell r="G3950" t="str">
            <v>X1245_0</v>
          </cell>
          <cell r="H3950" t="str">
            <v>as-as</v>
          </cell>
          <cell r="I3950" t="str">
            <v>sim</v>
          </cell>
          <cell r="V3950" t="str">
            <v>not neg pair</v>
          </cell>
          <cell r="Y3950" t="str">
            <v>Past</v>
          </cell>
          <cell r="Z3950">
            <v>4.59</v>
          </cell>
          <cell r="AA3950">
            <v>0</v>
          </cell>
          <cell r="AB3950">
            <v>0</v>
          </cell>
        </row>
        <row r="3951">
          <cell r="G3951" t="str">
            <v>X1245_1</v>
          </cell>
          <cell r="H3951" t="str">
            <v>as-as</v>
          </cell>
          <cell r="I3951" t="str">
            <v>sim</v>
          </cell>
          <cell r="V3951" t="str">
            <v>not neg pair</v>
          </cell>
          <cell r="Y3951" t="str">
            <v>Past</v>
          </cell>
          <cell r="Z3951">
            <v>4.59</v>
          </cell>
          <cell r="AA3951">
            <v>0</v>
          </cell>
          <cell r="AB3951">
            <v>0</v>
          </cell>
        </row>
        <row r="3952">
          <cell r="G3952" t="str">
            <v>X1246_0</v>
          </cell>
          <cell r="H3952" t="str">
            <v/>
          </cell>
          <cell r="I3952" t="str">
            <v>met</v>
          </cell>
          <cell r="V3952" t="str">
            <v>0</v>
          </cell>
          <cell r="Y3952" t="str">
            <v>Past</v>
          </cell>
          <cell r="Z3952">
            <v>4.97</v>
          </cell>
          <cell r="AA3952" t="str">
            <v>H</v>
          </cell>
          <cell r="AB3952">
            <v>0</v>
          </cell>
        </row>
        <row r="3953">
          <cell r="G3953" t="str">
            <v>X1246_1</v>
          </cell>
          <cell r="H3953" t="str">
            <v/>
          </cell>
          <cell r="I3953" t="str">
            <v>met</v>
          </cell>
          <cell r="V3953" t="str">
            <v>0</v>
          </cell>
          <cell r="Y3953" t="str">
            <v>Past</v>
          </cell>
          <cell r="Z3953">
            <v>4.97</v>
          </cell>
          <cell r="AA3953" t="str">
            <v>H</v>
          </cell>
          <cell r="AB3953">
            <v>0</v>
          </cell>
        </row>
        <row r="3954">
          <cell r="G3954" t="str">
            <v>X1247_0</v>
          </cell>
          <cell r="H3954" t="str">
            <v>as</v>
          </cell>
          <cell r="I3954" t="str">
            <v>sim</v>
          </cell>
          <cell r="V3954" t="str">
            <v>not</v>
          </cell>
          <cell r="Y3954" t="str">
            <v>Pres</v>
          </cell>
          <cell r="Z3954">
            <v>3.93</v>
          </cell>
          <cell r="AA3954">
            <v>0</v>
          </cell>
          <cell r="AB3954">
            <v>0</v>
          </cell>
        </row>
        <row r="3955">
          <cell r="G3955" t="str">
            <v>X1247_1</v>
          </cell>
          <cell r="H3955" t="str">
            <v>as</v>
          </cell>
          <cell r="I3955" t="str">
            <v>sim</v>
          </cell>
          <cell r="V3955" t="str">
            <v>not</v>
          </cell>
          <cell r="Y3955" t="str">
            <v>Pres</v>
          </cell>
          <cell r="Z3955">
            <v>3.93</v>
          </cell>
          <cell r="AA3955">
            <v>0</v>
          </cell>
          <cell r="AB3955">
            <v>0</v>
          </cell>
        </row>
        <row r="3956">
          <cell r="G3956" t="str">
            <v>X1248_0</v>
          </cell>
          <cell r="H3956" t="str">
            <v>as-as</v>
          </cell>
          <cell r="I3956" t="str">
            <v>sim</v>
          </cell>
          <cell r="V3956" t="str">
            <v>antonym</v>
          </cell>
          <cell r="Y3956" t="str">
            <v>Pres</v>
          </cell>
          <cell r="Z3956">
            <v>3.93</v>
          </cell>
          <cell r="AA3956">
            <v>0</v>
          </cell>
          <cell r="AB3956">
            <v>0</v>
          </cell>
        </row>
        <row r="3957">
          <cell r="G3957" t="str">
            <v>X1248_1</v>
          </cell>
          <cell r="H3957" t="str">
            <v>as-as</v>
          </cell>
          <cell r="I3957" t="str">
            <v>sim</v>
          </cell>
          <cell r="V3957" t="str">
            <v>antonym</v>
          </cell>
          <cell r="Y3957" t="str">
            <v>Pres</v>
          </cell>
          <cell r="Z3957">
            <v>3.93</v>
          </cell>
          <cell r="AA3957">
            <v>0</v>
          </cell>
          <cell r="AB3957">
            <v>0</v>
          </cell>
        </row>
        <row r="3958">
          <cell r="G3958" t="str">
            <v>X1249_0</v>
          </cell>
          <cell r="H3958" t="str">
            <v>as-as</v>
          </cell>
          <cell r="I3958" t="str">
            <v>sim</v>
          </cell>
          <cell r="V3958" t="str">
            <v>not neg pair</v>
          </cell>
          <cell r="Y3958" t="str">
            <v>Past</v>
          </cell>
          <cell r="Z3958">
            <v>3.24</v>
          </cell>
          <cell r="AA3958">
            <v>0</v>
          </cell>
          <cell r="AB3958">
            <v>0</v>
          </cell>
        </row>
        <row r="3959">
          <cell r="G3959" t="str">
            <v>X1249_1</v>
          </cell>
          <cell r="H3959" t="str">
            <v>as-as</v>
          </cell>
          <cell r="I3959" t="str">
            <v>sim</v>
          </cell>
          <cell r="V3959" t="str">
            <v>not neg pair</v>
          </cell>
          <cell r="Y3959" t="str">
            <v>Past</v>
          </cell>
          <cell r="Z3959">
            <v>3.24</v>
          </cell>
          <cell r="AA3959">
            <v>0</v>
          </cell>
          <cell r="AB3959">
            <v>0</v>
          </cell>
        </row>
        <row r="3960">
          <cell r="G3960" t="str">
            <v>X1250_0</v>
          </cell>
          <cell r="H3960" t="str">
            <v/>
          </cell>
          <cell r="I3960" t="str">
            <v>met</v>
          </cell>
          <cell r="V3960" t="str">
            <v>0</v>
          </cell>
          <cell r="Y3960" t="str">
            <v>Pres</v>
          </cell>
          <cell r="Z3960">
            <v>4.7699999999999996</v>
          </cell>
          <cell r="AA3960">
            <v>0</v>
          </cell>
          <cell r="AB3960">
            <v>0</v>
          </cell>
        </row>
        <row r="3961">
          <cell r="G3961" t="str">
            <v>X1250_1</v>
          </cell>
          <cell r="H3961" t="str">
            <v/>
          </cell>
          <cell r="I3961" t="str">
            <v>met</v>
          </cell>
          <cell r="V3961" t="str">
            <v>0</v>
          </cell>
          <cell r="Y3961" t="str">
            <v>Past</v>
          </cell>
          <cell r="Z3961">
            <v>4.7699999999999996</v>
          </cell>
          <cell r="AA3961">
            <v>0</v>
          </cell>
          <cell r="AB3961">
            <v>0</v>
          </cell>
        </row>
        <row r="3962">
          <cell r="G3962" t="str">
            <v>X1251_0</v>
          </cell>
          <cell r="H3962" t="str">
            <v/>
          </cell>
          <cell r="I3962" t="str">
            <v>met</v>
          </cell>
          <cell r="V3962" t="str">
            <v>0</v>
          </cell>
          <cell r="Y3962" t="str">
            <v>Pres</v>
          </cell>
          <cell r="Z3962">
            <v>4.59</v>
          </cell>
          <cell r="AA3962">
            <v>0</v>
          </cell>
          <cell r="AB3962">
            <v>0</v>
          </cell>
        </row>
        <row r="3963">
          <cell r="G3963" t="str">
            <v>X1251_1</v>
          </cell>
          <cell r="H3963" t="str">
            <v>as</v>
          </cell>
          <cell r="I3963" t="str">
            <v>sim</v>
          </cell>
          <cell r="V3963" t="str">
            <v>0</v>
          </cell>
          <cell r="Y3963" t="str">
            <v>Pres</v>
          </cell>
          <cell r="Z3963">
            <v>4.59</v>
          </cell>
          <cell r="AA3963">
            <v>0</v>
          </cell>
          <cell r="AB3963">
            <v>0</v>
          </cell>
        </row>
        <row r="3964">
          <cell r="G3964" t="str">
            <v>X1252_0</v>
          </cell>
          <cell r="H3964" t="str">
            <v/>
          </cell>
          <cell r="I3964" t="str">
            <v>met</v>
          </cell>
          <cell r="V3964" t="str">
            <v>0</v>
          </cell>
          <cell r="Y3964" t="str">
            <v>Pres</v>
          </cell>
          <cell r="Z3964">
            <v>4.33</v>
          </cell>
          <cell r="AA3964">
            <v>0</v>
          </cell>
          <cell r="AB3964">
            <v>0</v>
          </cell>
        </row>
        <row r="3965">
          <cell r="G3965" t="str">
            <v>X1252_1</v>
          </cell>
          <cell r="H3965" t="str">
            <v>like</v>
          </cell>
          <cell r="I3965" t="str">
            <v>sim</v>
          </cell>
          <cell r="V3965" t="str">
            <v>0</v>
          </cell>
          <cell r="Y3965" t="str">
            <v>Pres</v>
          </cell>
          <cell r="Z3965">
            <v>4.33</v>
          </cell>
          <cell r="AA3965">
            <v>0</v>
          </cell>
          <cell r="AB3965">
            <v>0</v>
          </cell>
        </row>
        <row r="3966">
          <cell r="G3966" t="str">
            <v>X1253_0</v>
          </cell>
          <cell r="H3966" t="str">
            <v/>
          </cell>
          <cell r="I3966" t="str">
            <v>met</v>
          </cell>
          <cell r="V3966" t="str">
            <v>0</v>
          </cell>
          <cell r="Y3966" t="str">
            <v>Pres</v>
          </cell>
          <cell r="Z3966">
            <v>2.0699999999999998</v>
          </cell>
          <cell r="AA3966" t="str">
            <v>L</v>
          </cell>
          <cell r="AB3966">
            <v>0</v>
          </cell>
        </row>
        <row r="3967">
          <cell r="G3967" t="str">
            <v>X1253_1</v>
          </cell>
          <cell r="H3967" t="str">
            <v/>
          </cell>
          <cell r="I3967" t="str">
            <v>met</v>
          </cell>
          <cell r="V3967" t="str">
            <v>0</v>
          </cell>
          <cell r="Y3967" t="str">
            <v>Pres</v>
          </cell>
          <cell r="Z3967">
            <v>2.0699999999999998</v>
          </cell>
          <cell r="AA3967" t="str">
            <v>L</v>
          </cell>
          <cell r="AB3967">
            <v>0</v>
          </cell>
        </row>
        <row r="3968">
          <cell r="G3968" t="str">
            <v>X1254_0</v>
          </cell>
          <cell r="H3968" t="str">
            <v>as-as</v>
          </cell>
          <cell r="I3968" t="str">
            <v>sim</v>
          </cell>
          <cell r="V3968" t="str">
            <v>not neg pair</v>
          </cell>
          <cell r="Y3968" t="str">
            <v>Past</v>
          </cell>
          <cell r="Z3968">
            <v>4.62</v>
          </cell>
          <cell r="AA3968">
            <v>0</v>
          </cell>
          <cell r="AB3968">
            <v>0</v>
          </cell>
        </row>
        <row r="3969">
          <cell r="G3969" t="str">
            <v>X1254_1</v>
          </cell>
          <cell r="H3969" t="str">
            <v>as-as</v>
          </cell>
          <cell r="I3969" t="str">
            <v>sim</v>
          </cell>
          <cell r="V3969" t="str">
            <v>not neg pair</v>
          </cell>
          <cell r="Y3969" t="str">
            <v>Past</v>
          </cell>
          <cell r="Z3969">
            <v>4.62</v>
          </cell>
          <cell r="AA3969">
            <v>0</v>
          </cell>
          <cell r="AB3969">
            <v>0</v>
          </cell>
        </row>
        <row r="3970">
          <cell r="G3970" t="str">
            <v>X1255_0</v>
          </cell>
          <cell r="H3970" t="str">
            <v>as-as</v>
          </cell>
          <cell r="I3970" t="str">
            <v>sim</v>
          </cell>
          <cell r="V3970" t="str">
            <v>antonym</v>
          </cell>
          <cell r="Y3970" t="str">
            <v>Past</v>
          </cell>
          <cell r="Z3970">
            <v>5</v>
          </cell>
          <cell r="AA3970" t="str">
            <v>H</v>
          </cell>
          <cell r="AB3970">
            <v>0</v>
          </cell>
        </row>
        <row r="3971">
          <cell r="G3971" t="str">
            <v>X1255_1</v>
          </cell>
          <cell r="H3971" t="str">
            <v>as-as</v>
          </cell>
          <cell r="I3971" t="str">
            <v>sim</v>
          </cell>
          <cell r="V3971" t="str">
            <v>antonym</v>
          </cell>
          <cell r="Y3971" t="str">
            <v>Past</v>
          </cell>
          <cell r="Z3971">
            <v>0</v>
          </cell>
          <cell r="AA3971">
            <v>0</v>
          </cell>
          <cell r="AB3971">
            <v>0</v>
          </cell>
        </row>
        <row r="3972">
          <cell r="G3972" t="str">
            <v>X1256_0</v>
          </cell>
          <cell r="H3972" t="str">
            <v>as-as</v>
          </cell>
          <cell r="I3972" t="str">
            <v>sim</v>
          </cell>
          <cell r="V3972" t="str">
            <v>not</v>
          </cell>
          <cell r="Y3972" t="str">
            <v>Past</v>
          </cell>
          <cell r="Z3972">
            <v>4.79</v>
          </cell>
          <cell r="AA3972">
            <v>0</v>
          </cell>
          <cell r="AB3972">
            <v>0</v>
          </cell>
        </row>
        <row r="3973">
          <cell r="G3973" t="str">
            <v>X1256_1</v>
          </cell>
          <cell r="H3973" t="str">
            <v>as-as</v>
          </cell>
          <cell r="I3973" t="str">
            <v>sim</v>
          </cell>
          <cell r="V3973" t="str">
            <v>not</v>
          </cell>
          <cell r="Y3973" t="str">
            <v>Past</v>
          </cell>
          <cell r="Z3973">
            <v>4.59</v>
          </cell>
          <cell r="AA3973">
            <v>0</v>
          </cell>
          <cell r="AB3973">
            <v>0</v>
          </cell>
        </row>
        <row r="3974">
          <cell r="G3974" t="str">
            <v>X1257_0</v>
          </cell>
          <cell r="H3974" t="str">
            <v>the-of</v>
          </cell>
          <cell r="I3974" t="str">
            <v>sim</v>
          </cell>
          <cell r="V3974" t="str">
            <v>not</v>
          </cell>
          <cell r="Y3974" t="str">
            <v>Pres</v>
          </cell>
          <cell r="Z3974">
            <v>4.67</v>
          </cell>
          <cell r="AA3974">
            <v>0</v>
          </cell>
          <cell r="AB3974">
            <v>0</v>
          </cell>
        </row>
        <row r="3975">
          <cell r="G3975" t="str">
            <v>X1257_1</v>
          </cell>
          <cell r="H3975" t="str">
            <v>the-of</v>
          </cell>
          <cell r="I3975" t="str">
            <v>sim</v>
          </cell>
          <cell r="V3975" t="str">
            <v>not</v>
          </cell>
          <cell r="Y3975" t="str">
            <v>Pres</v>
          </cell>
          <cell r="Z3975">
            <v>4.67</v>
          </cell>
          <cell r="AA3975">
            <v>0</v>
          </cell>
          <cell r="AB3975">
            <v>0</v>
          </cell>
        </row>
        <row r="3976">
          <cell r="G3976" t="str">
            <v>X1258_0</v>
          </cell>
          <cell r="H3976" t="str">
            <v/>
          </cell>
          <cell r="I3976" t="str">
            <v>met</v>
          </cell>
          <cell r="V3976" t="str">
            <v>0</v>
          </cell>
          <cell r="Y3976" t="str">
            <v>Pres</v>
          </cell>
          <cell r="Z3976">
            <v>4.41</v>
          </cell>
          <cell r="AA3976">
            <v>0</v>
          </cell>
          <cell r="AB3976">
            <v>0</v>
          </cell>
        </row>
        <row r="3977">
          <cell r="G3977" t="str">
            <v>X1258_1</v>
          </cell>
          <cell r="H3977" t="str">
            <v/>
          </cell>
          <cell r="I3977" t="str">
            <v>met</v>
          </cell>
          <cell r="V3977" t="str">
            <v>0</v>
          </cell>
          <cell r="Y3977" t="str">
            <v>Pres</v>
          </cell>
          <cell r="Z3977">
            <v>4.88</v>
          </cell>
          <cell r="AA3977">
            <v>0</v>
          </cell>
          <cell r="AB3977">
            <v>0</v>
          </cell>
        </row>
        <row r="3978">
          <cell r="G3978" t="str">
            <v>X1259_0</v>
          </cell>
          <cell r="H3978" t="str">
            <v/>
          </cell>
          <cell r="I3978" t="str">
            <v>met</v>
          </cell>
          <cell r="V3978" t="str">
            <v>0</v>
          </cell>
          <cell r="Y3978">
            <v>0</v>
          </cell>
          <cell r="Z3978">
            <v>3.3</v>
          </cell>
          <cell r="AA3978">
            <v>0</v>
          </cell>
          <cell r="AB3978">
            <v>0</v>
          </cell>
        </row>
        <row r="3979">
          <cell r="G3979" t="str">
            <v>X1259_1</v>
          </cell>
          <cell r="H3979" t="str">
            <v/>
          </cell>
          <cell r="I3979" t="str">
            <v>met</v>
          </cell>
          <cell r="V3979" t="str">
            <v>0</v>
          </cell>
          <cell r="Y3979">
            <v>0</v>
          </cell>
          <cell r="Z3979">
            <v>3.3</v>
          </cell>
          <cell r="AA3979">
            <v>0</v>
          </cell>
          <cell r="AB3979">
            <v>0</v>
          </cell>
        </row>
        <row r="3980">
          <cell r="G3980" t="str">
            <v>X1260_0</v>
          </cell>
          <cell r="H3980" t="str">
            <v>as-as</v>
          </cell>
          <cell r="I3980" t="str">
            <v>sim</v>
          </cell>
          <cell r="V3980" t="str">
            <v>not</v>
          </cell>
          <cell r="Y3980" t="str">
            <v>Past</v>
          </cell>
          <cell r="Z3980">
            <v>0</v>
          </cell>
          <cell r="AA3980">
            <v>0</v>
          </cell>
          <cell r="AB3980">
            <v>0</v>
          </cell>
        </row>
        <row r="3981">
          <cell r="G3981" t="str">
            <v>X1260_1</v>
          </cell>
          <cell r="H3981" t="str">
            <v>as-as</v>
          </cell>
          <cell r="I3981" t="str">
            <v>sim</v>
          </cell>
          <cell r="V3981" t="str">
            <v>not</v>
          </cell>
          <cell r="Y3981" t="str">
            <v>Past</v>
          </cell>
          <cell r="Z3981">
            <v>0</v>
          </cell>
          <cell r="AA3981">
            <v>0</v>
          </cell>
          <cell r="AB3981">
            <v>0</v>
          </cell>
        </row>
        <row r="3982">
          <cell r="G3982" t="str">
            <v>X1261_0</v>
          </cell>
          <cell r="H3982" t="str">
            <v>as-as</v>
          </cell>
          <cell r="I3982" t="str">
            <v>sim</v>
          </cell>
          <cell r="V3982" t="str">
            <v>not</v>
          </cell>
          <cell r="Y3982" t="str">
            <v>Past</v>
          </cell>
          <cell r="Z3982">
            <v>4.67</v>
          </cell>
          <cell r="AA3982">
            <v>0</v>
          </cell>
          <cell r="AB3982">
            <v>0</v>
          </cell>
        </row>
        <row r="3983">
          <cell r="G3983" t="str">
            <v>X1261_1</v>
          </cell>
          <cell r="H3983" t="str">
            <v>as-as</v>
          </cell>
          <cell r="I3983" t="str">
            <v>sim</v>
          </cell>
          <cell r="V3983" t="str">
            <v>not</v>
          </cell>
          <cell r="Y3983" t="str">
            <v>Past</v>
          </cell>
          <cell r="Z3983">
            <v>4.67</v>
          </cell>
          <cell r="AA3983">
            <v>0</v>
          </cell>
          <cell r="AB3983">
            <v>0</v>
          </cell>
        </row>
        <row r="3984">
          <cell r="G3984" t="str">
            <v>X1262_0</v>
          </cell>
          <cell r="H3984" t="str">
            <v>as-as</v>
          </cell>
          <cell r="I3984" t="str">
            <v>sim</v>
          </cell>
          <cell r="V3984" t="str">
            <v>not</v>
          </cell>
          <cell r="Y3984" t="str">
            <v>Past</v>
          </cell>
          <cell r="Z3984">
            <v>4.1100000000000003</v>
          </cell>
          <cell r="AA3984">
            <v>0</v>
          </cell>
          <cell r="AB3984">
            <v>0</v>
          </cell>
        </row>
        <row r="3985">
          <cell r="G3985" t="str">
            <v>X1262_1</v>
          </cell>
          <cell r="H3985" t="str">
            <v>as-as</v>
          </cell>
          <cell r="I3985" t="str">
            <v>sim</v>
          </cell>
          <cell r="V3985" t="str">
            <v>not</v>
          </cell>
          <cell r="Y3985" t="str">
            <v>Past</v>
          </cell>
          <cell r="Z3985">
            <v>4.1100000000000003</v>
          </cell>
          <cell r="AA3985">
            <v>0</v>
          </cell>
          <cell r="AB3985">
            <v>0</v>
          </cell>
        </row>
        <row r="3986">
          <cell r="G3986" t="str">
            <v>X1263_0</v>
          </cell>
          <cell r="H3986" t="str">
            <v>as-as</v>
          </cell>
          <cell r="I3986" t="str">
            <v>sim</v>
          </cell>
          <cell r="V3986" t="str">
            <v>not neg pair</v>
          </cell>
          <cell r="Y3986" t="str">
            <v>Past</v>
          </cell>
          <cell r="Z3986">
            <v>2.81</v>
          </cell>
          <cell r="AA3986">
            <v>0</v>
          </cell>
          <cell r="AB3986">
            <v>0</v>
          </cell>
        </row>
        <row r="3987">
          <cell r="G3987" t="str">
            <v>X1263_1</v>
          </cell>
          <cell r="H3987" t="str">
            <v>as-as</v>
          </cell>
          <cell r="I3987" t="str">
            <v>sim</v>
          </cell>
          <cell r="V3987" t="str">
            <v>not neg pair</v>
          </cell>
          <cell r="Y3987" t="str">
            <v>Past</v>
          </cell>
          <cell r="Z3987">
            <v>2.81</v>
          </cell>
          <cell r="AA3987">
            <v>0</v>
          </cell>
          <cell r="AB3987">
            <v>0</v>
          </cell>
        </row>
        <row r="3988">
          <cell r="G3988" t="str">
            <v>X1264_0</v>
          </cell>
          <cell r="H3988" t="str">
            <v>as-as</v>
          </cell>
          <cell r="I3988" t="str">
            <v>sim</v>
          </cell>
          <cell r="V3988" t="str">
            <v>not neg pair</v>
          </cell>
          <cell r="Y3988" t="str">
            <v>Past</v>
          </cell>
          <cell r="Z3988">
            <v>2.81</v>
          </cell>
          <cell r="AA3988">
            <v>0</v>
          </cell>
          <cell r="AB3988">
            <v>0</v>
          </cell>
        </row>
        <row r="3989">
          <cell r="G3989" t="str">
            <v>X1264_1</v>
          </cell>
          <cell r="H3989" t="str">
            <v>as-as</v>
          </cell>
          <cell r="I3989" t="str">
            <v>sim</v>
          </cell>
          <cell r="V3989" t="str">
            <v>not neg pair</v>
          </cell>
          <cell r="Y3989" t="str">
            <v>Past</v>
          </cell>
          <cell r="Z3989">
            <v>2.81</v>
          </cell>
          <cell r="AA3989">
            <v>0</v>
          </cell>
          <cell r="AB3989">
            <v>0</v>
          </cell>
        </row>
        <row r="3990">
          <cell r="G3990" t="str">
            <v>X1265_0</v>
          </cell>
          <cell r="H3990" t="str">
            <v>as-as</v>
          </cell>
          <cell r="I3990" t="str">
            <v>sim</v>
          </cell>
          <cell r="V3990" t="str">
            <v>not neg pair</v>
          </cell>
          <cell r="Y3990" t="str">
            <v>Past</v>
          </cell>
          <cell r="Z3990">
            <v>2.81</v>
          </cell>
          <cell r="AA3990">
            <v>0</v>
          </cell>
          <cell r="AB3990">
            <v>0</v>
          </cell>
        </row>
        <row r="3991">
          <cell r="G3991" t="str">
            <v>X1265_1</v>
          </cell>
          <cell r="H3991" t="str">
            <v>as-as</v>
          </cell>
          <cell r="I3991" t="str">
            <v>sim</v>
          </cell>
          <cell r="V3991" t="str">
            <v>not neg pair</v>
          </cell>
          <cell r="Y3991" t="str">
            <v>Past</v>
          </cell>
          <cell r="Z3991">
            <v>2.81</v>
          </cell>
          <cell r="AA3991">
            <v>0</v>
          </cell>
          <cell r="AB3991">
            <v>0</v>
          </cell>
        </row>
        <row r="3992">
          <cell r="G3992" t="str">
            <v>X1266_0</v>
          </cell>
          <cell r="H3992" t="str">
            <v>as-as</v>
          </cell>
          <cell r="I3992" t="str">
            <v>sim</v>
          </cell>
          <cell r="V3992" t="str">
            <v>antonym</v>
          </cell>
          <cell r="Y3992" t="str">
            <v>Pres</v>
          </cell>
          <cell r="Z3992">
            <v>4.8899999999999997</v>
          </cell>
          <cell r="AA3992">
            <v>0</v>
          </cell>
          <cell r="AB3992">
            <v>0</v>
          </cell>
        </row>
        <row r="3993">
          <cell r="G3993" t="str">
            <v>X1266_1</v>
          </cell>
          <cell r="H3993" t="str">
            <v>as-as</v>
          </cell>
          <cell r="I3993" t="str">
            <v>sim</v>
          </cell>
          <cell r="V3993" t="str">
            <v>antonym</v>
          </cell>
          <cell r="Y3993" t="str">
            <v>Pres</v>
          </cell>
          <cell r="Z3993">
            <v>4.8899999999999997</v>
          </cell>
          <cell r="AA3993">
            <v>0</v>
          </cell>
          <cell r="AB3993">
            <v>0</v>
          </cell>
        </row>
        <row r="3994">
          <cell r="G3994" t="str">
            <v>X1267_0</v>
          </cell>
          <cell r="H3994" t="str">
            <v>as</v>
          </cell>
          <cell r="I3994" t="str">
            <v>sim</v>
          </cell>
          <cell r="V3994" t="str">
            <v>not neg pair</v>
          </cell>
          <cell r="Y3994" t="str">
            <v>Pres</v>
          </cell>
          <cell r="Z3994">
            <v>4.59</v>
          </cell>
          <cell r="AA3994">
            <v>0</v>
          </cell>
          <cell r="AB3994">
            <v>0</v>
          </cell>
        </row>
        <row r="3995">
          <cell r="G3995" t="str">
            <v>X1267_1</v>
          </cell>
          <cell r="H3995" t="str">
            <v>as</v>
          </cell>
          <cell r="I3995" t="str">
            <v>sim</v>
          </cell>
          <cell r="V3995" t="str">
            <v>not neg pair</v>
          </cell>
          <cell r="Y3995" t="str">
            <v>Pres</v>
          </cell>
          <cell r="Z3995">
            <v>4.59</v>
          </cell>
          <cell r="AA3995">
            <v>0</v>
          </cell>
          <cell r="AB3995">
            <v>0</v>
          </cell>
        </row>
        <row r="3996">
          <cell r="G3996" t="str">
            <v>X1268_0</v>
          </cell>
          <cell r="H3996" t="str">
            <v>the-of</v>
          </cell>
          <cell r="I3996" t="str">
            <v>sim</v>
          </cell>
          <cell r="V3996" t="str">
            <v>not neg pair</v>
          </cell>
          <cell r="Y3996" t="str">
            <v>Pres</v>
          </cell>
          <cell r="Z3996">
            <v>4.8899999999999997</v>
          </cell>
          <cell r="AA3996">
            <v>0</v>
          </cell>
          <cell r="AB3996">
            <v>0</v>
          </cell>
        </row>
        <row r="3997">
          <cell r="G3997" t="str">
            <v>X1268_1</v>
          </cell>
          <cell r="H3997" t="str">
            <v>the-of</v>
          </cell>
          <cell r="I3997" t="str">
            <v>sim</v>
          </cell>
          <cell r="V3997" t="str">
            <v>not neg pair</v>
          </cell>
          <cell r="Y3997" t="str">
            <v>Pres</v>
          </cell>
          <cell r="Z3997">
            <v>4.8899999999999997</v>
          </cell>
          <cell r="AA3997">
            <v>0</v>
          </cell>
          <cell r="AB3997">
            <v>0</v>
          </cell>
        </row>
        <row r="3998">
          <cell r="G3998" t="str">
            <v>X1269_0</v>
          </cell>
          <cell r="H3998" t="str">
            <v>the-of</v>
          </cell>
          <cell r="I3998" t="str">
            <v>sim</v>
          </cell>
          <cell r="V3998" t="str">
            <v>not neg pair</v>
          </cell>
          <cell r="Y3998" t="str">
            <v>Pres</v>
          </cell>
          <cell r="Z3998">
            <v>3.93</v>
          </cell>
          <cell r="AA3998">
            <v>0</v>
          </cell>
          <cell r="AB3998">
            <v>0</v>
          </cell>
        </row>
        <row r="3999">
          <cell r="G3999" t="str">
            <v>X1269_1</v>
          </cell>
          <cell r="H3999" t="str">
            <v>the-of</v>
          </cell>
          <cell r="I3999" t="str">
            <v>sim</v>
          </cell>
          <cell r="V3999" t="str">
            <v>not neg pair</v>
          </cell>
          <cell r="Y3999" t="str">
            <v>Pres</v>
          </cell>
          <cell r="Z3999">
            <v>3.93</v>
          </cell>
          <cell r="AA3999">
            <v>0</v>
          </cell>
          <cell r="AB3999">
            <v>0</v>
          </cell>
        </row>
        <row r="4000">
          <cell r="G4000" t="str">
            <v>X1270_0</v>
          </cell>
          <cell r="H4000" t="str">
            <v>as-as</v>
          </cell>
          <cell r="I4000" t="str">
            <v>sim</v>
          </cell>
          <cell r="V4000" t="str">
            <v>not</v>
          </cell>
          <cell r="Y4000" t="str">
            <v>Pres</v>
          </cell>
          <cell r="Z4000">
            <v>3.93</v>
          </cell>
          <cell r="AA4000">
            <v>0</v>
          </cell>
          <cell r="AB4000">
            <v>0</v>
          </cell>
        </row>
        <row r="4001">
          <cell r="G4001" t="str">
            <v>X1270_1</v>
          </cell>
          <cell r="H4001" t="str">
            <v>as-as</v>
          </cell>
          <cell r="I4001" t="str">
            <v>sim</v>
          </cell>
          <cell r="V4001" t="str">
            <v>not</v>
          </cell>
          <cell r="Y4001" t="str">
            <v>Pres</v>
          </cell>
          <cell r="Z4001">
            <v>3.93</v>
          </cell>
          <cell r="AA4001">
            <v>0</v>
          </cell>
          <cell r="AB4001">
            <v>0</v>
          </cell>
        </row>
        <row r="4002">
          <cell r="G4002" t="str">
            <v>X1271_0</v>
          </cell>
          <cell r="H4002" t="str">
            <v>as-as</v>
          </cell>
          <cell r="I4002" t="str">
            <v>sim</v>
          </cell>
          <cell r="V4002" t="str">
            <v>not</v>
          </cell>
          <cell r="Y4002" t="str">
            <v>Pres</v>
          </cell>
          <cell r="Z4002">
            <v>2.81</v>
          </cell>
          <cell r="AA4002">
            <v>0</v>
          </cell>
          <cell r="AB4002">
            <v>0</v>
          </cell>
        </row>
        <row r="4003">
          <cell r="G4003" t="str">
            <v>X1271_1</v>
          </cell>
          <cell r="H4003" t="str">
            <v>as-as</v>
          </cell>
          <cell r="I4003" t="str">
            <v>sim</v>
          </cell>
          <cell r="V4003" t="str">
            <v>not</v>
          </cell>
          <cell r="Y4003" t="str">
            <v>Pres</v>
          </cell>
          <cell r="Z4003">
            <v>2.81</v>
          </cell>
          <cell r="AA4003">
            <v>0</v>
          </cell>
          <cell r="AB4003">
            <v>0</v>
          </cell>
        </row>
        <row r="4004">
          <cell r="G4004" t="str">
            <v>X1272_0</v>
          </cell>
          <cell r="H4004" t="str">
            <v>like</v>
          </cell>
          <cell r="I4004" t="str">
            <v>sim</v>
          </cell>
          <cell r="V4004" t="str">
            <v>not neg pair</v>
          </cell>
          <cell r="Y4004" t="str">
            <v>Past</v>
          </cell>
          <cell r="Z4004">
            <v>3.28</v>
          </cell>
          <cell r="AA4004">
            <v>0</v>
          </cell>
          <cell r="AB4004">
            <v>0</v>
          </cell>
        </row>
        <row r="4005">
          <cell r="G4005" t="str">
            <v>X1272_1</v>
          </cell>
          <cell r="H4005" t="str">
            <v>like</v>
          </cell>
          <cell r="I4005" t="str">
            <v>sim</v>
          </cell>
          <cell r="V4005" t="str">
            <v>not neg pair</v>
          </cell>
          <cell r="Y4005" t="str">
            <v>Past</v>
          </cell>
          <cell r="Z4005">
            <v>3.28</v>
          </cell>
          <cell r="AA4005">
            <v>0</v>
          </cell>
          <cell r="AB4005">
            <v>0</v>
          </cell>
        </row>
        <row r="4006">
          <cell r="G4006" t="str">
            <v>X1273_0</v>
          </cell>
          <cell r="H4006" t="str">
            <v>as</v>
          </cell>
          <cell r="I4006" t="str">
            <v>sim</v>
          </cell>
          <cell r="V4006" t="str">
            <v>0</v>
          </cell>
          <cell r="Y4006" t="str">
            <v>Pres</v>
          </cell>
          <cell r="Z4006">
            <v>4.58</v>
          </cell>
          <cell r="AA4006">
            <v>0</v>
          </cell>
          <cell r="AB4006">
            <v>0</v>
          </cell>
        </row>
        <row r="4007">
          <cell r="G4007" t="str">
            <v>X1273_1</v>
          </cell>
          <cell r="H4007" t="str">
            <v/>
          </cell>
          <cell r="I4007" t="str">
            <v>met</v>
          </cell>
          <cell r="V4007" t="str">
            <v>0</v>
          </cell>
          <cell r="Y4007" t="str">
            <v>Pres</v>
          </cell>
          <cell r="Z4007">
            <v>4.58</v>
          </cell>
          <cell r="AA4007">
            <v>0</v>
          </cell>
          <cell r="AB4007">
            <v>0</v>
          </cell>
        </row>
        <row r="4008">
          <cell r="G4008" t="str">
            <v>X1274_0</v>
          </cell>
          <cell r="H4008" t="str">
            <v/>
          </cell>
          <cell r="I4008" t="str">
            <v>met</v>
          </cell>
          <cell r="V4008" t="str">
            <v>0</v>
          </cell>
          <cell r="Y4008" t="str">
            <v>Pres</v>
          </cell>
          <cell r="Z4008">
            <v>4.97</v>
          </cell>
          <cell r="AA4008" t="str">
            <v>H</v>
          </cell>
          <cell r="AB4008">
            <v>0</v>
          </cell>
        </row>
        <row r="4009">
          <cell r="G4009" t="str">
            <v>X1274_1</v>
          </cell>
          <cell r="H4009" t="str">
            <v>like</v>
          </cell>
          <cell r="I4009" t="str">
            <v>sim</v>
          </cell>
          <cell r="V4009" t="str">
            <v>0</v>
          </cell>
          <cell r="Y4009" t="str">
            <v>Pres</v>
          </cell>
          <cell r="Z4009">
            <v>4.97</v>
          </cell>
          <cell r="AA4009" t="str">
            <v>H</v>
          </cell>
          <cell r="AB4009">
            <v>0</v>
          </cell>
        </row>
        <row r="4010">
          <cell r="G4010" t="str">
            <v>X1275_0</v>
          </cell>
          <cell r="H4010" t="str">
            <v>the-of</v>
          </cell>
          <cell r="I4010" t="str">
            <v>sim</v>
          </cell>
          <cell r="V4010" t="str">
            <v>not neg pair</v>
          </cell>
          <cell r="Y4010" t="str">
            <v>Pres</v>
          </cell>
          <cell r="Z4010">
            <v>3.28</v>
          </cell>
          <cell r="AA4010">
            <v>0</v>
          </cell>
          <cell r="AB4010">
            <v>0</v>
          </cell>
        </row>
        <row r="4011">
          <cell r="G4011" t="str">
            <v>X1275_1</v>
          </cell>
          <cell r="H4011" t="str">
            <v>the-of</v>
          </cell>
          <cell r="I4011" t="str">
            <v>sim</v>
          </cell>
          <cell r="V4011" t="str">
            <v>not neg pair</v>
          </cell>
          <cell r="Y4011" t="str">
            <v>Pres</v>
          </cell>
          <cell r="Z4011">
            <v>3.28</v>
          </cell>
          <cell r="AA4011">
            <v>0</v>
          </cell>
          <cell r="AB4011">
            <v>0</v>
          </cell>
        </row>
        <row r="4012">
          <cell r="G4012" t="str">
            <v>X1276_0</v>
          </cell>
          <cell r="H4012" t="str">
            <v>the-of</v>
          </cell>
          <cell r="I4012" t="str">
            <v>sim</v>
          </cell>
          <cell r="V4012" t="str">
            <v>not neg pair</v>
          </cell>
          <cell r="Y4012" t="str">
            <v>Pres</v>
          </cell>
          <cell r="Z4012">
            <v>5</v>
          </cell>
          <cell r="AA4012" t="str">
            <v>H</v>
          </cell>
          <cell r="AB4012">
            <v>0</v>
          </cell>
        </row>
        <row r="4013">
          <cell r="G4013" t="str">
            <v>X1276_1</v>
          </cell>
          <cell r="H4013" t="str">
            <v>the-of</v>
          </cell>
          <cell r="I4013" t="str">
            <v>sim</v>
          </cell>
          <cell r="V4013" t="str">
            <v>not neg pair</v>
          </cell>
          <cell r="Y4013" t="str">
            <v>Pres</v>
          </cell>
          <cell r="Z4013">
            <v>5</v>
          </cell>
          <cell r="AA4013" t="str">
            <v>H</v>
          </cell>
          <cell r="AB4013">
            <v>0</v>
          </cell>
        </row>
        <row r="4014">
          <cell r="G4014" t="str">
            <v>X1277_0</v>
          </cell>
          <cell r="H4014" t="str">
            <v>the-of</v>
          </cell>
          <cell r="I4014" t="str">
            <v>sim</v>
          </cell>
          <cell r="V4014" t="str">
            <v>not neg pair</v>
          </cell>
          <cell r="Y4014" t="str">
            <v>Pres</v>
          </cell>
          <cell r="Z4014">
            <v>4.76</v>
          </cell>
          <cell r="AA4014">
            <v>0</v>
          </cell>
          <cell r="AB4014">
            <v>0</v>
          </cell>
        </row>
        <row r="4015">
          <cell r="G4015" t="str">
            <v>X1277_1</v>
          </cell>
          <cell r="H4015" t="str">
            <v>the-of</v>
          </cell>
          <cell r="I4015" t="str">
            <v>sim</v>
          </cell>
          <cell r="V4015" t="str">
            <v>not neg pair</v>
          </cell>
          <cell r="Y4015" t="str">
            <v>Pres</v>
          </cell>
          <cell r="Z4015">
            <v>4.76</v>
          </cell>
          <cell r="AA4015">
            <v>0</v>
          </cell>
          <cell r="AB4015">
            <v>0</v>
          </cell>
        </row>
        <row r="4016">
          <cell r="G4016" t="str">
            <v>X1278_0</v>
          </cell>
          <cell r="H4016" t="str">
            <v>as-as</v>
          </cell>
          <cell r="I4016" t="str">
            <v>sim</v>
          </cell>
          <cell r="V4016" t="str">
            <v>not</v>
          </cell>
          <cell r="Y4016" t="str">
            <v>Past</v>
          </cell>
          <cell r="Z4016">
            <v>1.54</v>
          </cell>
          <cell r="AA4016" t="str">
            <v>L</v>
          </cell>
          <cell r="AB4016">
            <v>0</v>
          </cell>
        </row>
        <row r="4017">
          <cell r="G4017" t="str">
            <v>X1278_1</v>
          </cell>
          <cell r="H4017" t="str">
            <v>as-as</v>
          </cell>
          <cell r="I4017" t="str">
            <v>sim</v>
          </cell>
          <cell r="V4017" t="str">
            <v>not</v>
          </cell>
          <cell r="Y4017" t="str">
            <v>Past</v>
          </cell>
          <cell r="Z4017">
            <v>1.54</v>
          </cell>
          <cell r="AA4017" t="str">
            <v>L</v>
          </cell>
          <cell r="AB4017">
            <v>0</v>
          </cell>
        </row>
        <row r="4018">
          <cell r="G4018" t="str">
            <v>X1279_0</v>
          </cell>
          <cell r="H4018" t="str">
            <v>as-as</v>
          </cell>
          <cell r="I4018" t="str">
            <v>sim</v>
          </cell>
          <cell r="V4018" t="str">
            <v>not neg pair</v>
          </cell>
          <cell r="Y4018" t="str">
            <v>Pres</v>
          </cell>
          <cell r="Z4018">
            <v>1.54</v>
          </cell>
          <cell r="AA4018" t="str">
            <v>L</v>
          </cell>
          <cell r="AB4018">
            <v>0</v>
          </cell>
        </row>
        <row r="4019">
          <cell r="G4019" t="str">
            <v>X1279_1</v>
          </cell>
          <cell r="H4019" t="str">
            <v>as-as</v>
          </cell>
          <cell r="I4019" t="str">
            <v>sim</v>
          </cell>
          <cell r="V4019" t="str">
            <v>not neg pair</v>
          </cell>
          <cell r="Y4019" t="str">
            <v>Pres</v>
          </cell>
          <cell r="Z4019">
            <v>1.54</v>
          </cell>
          <cell r="AA4019" t="str">
            <v>L</v>
          </cell>
          <cell r="AB4019">
            <v>0</v>
          </cell>
        </row>
        <row r="4020">
          <cell r="G4020" t="str">
            <v>X1280_0</v>
          </cell>
          <cell r="H4020" t="str">
            <v>as-as</v>
          </cell>
          <cell r="I4020" t="str">
            <v>sim</v>
          </cell>
          <cell r="V4020" t="str">
            <v>antonym</v>
          </cell>
          <cell r="Y4020" t="str">
            <v>Pres</v>
          </cell>
          <cell r="Z4020">
            <v>4.5199999999999996</v>
          </cell>
          <cell r="AA4020">
            <v>0</v>
          </cell>
          <cell r="AB4020">
            <v>0</v>
          </cell>
        </row>
        <row r="4021">
          <cell r="G4021" t="str">
            <v>X1280_1</v>
          </cell>
          <cell r="H4021" t="str">
            <v>as-as</v>
          </cell>
          <cell r="I4021" t="str">
            <v>sim</v>
          </cell>
          <cell r="V4021" t="str">
            <v>antonym</v>
          </cell>
          <cell r="Y4021" t="str">
            <v>Pres</v>
          </cell>
          <cell r="Z4021">
            <v>4.5199999999999996</v>
          </cell>
          <cell r="AA4021">
            <v>0</v>
          </cell>
          <cell r="AB4021">
            <v>0</v>
          </cell>
        </row>
        <row r="4022">
          <cell r="G4022" t="str">
            <v>X1281_0</v>
          </cell>
          <cell r="H4022" t="str">
            <v>the-of</v>
          </cell>
          <cell r="I4022" t="str">
            <v>sim</v>
          </cell>
          <cell r="V4022" t="str">
            <v>not neg pair</v>
          </cell>
          <cell r="Y4022" t="str">
            <v>Pres</v>
          </cell>
          <cell r="Z4022">
            <v>4.46</v>
          </cell>
          <cell r="AA4022">
            <v>0</v>
          </cell>
          <cell r="AB4022">
            <v>0</v>
          </cell>
        </row>
        <row r="4023">
          <cell r="G4023" t="str">
            <v>X1281_1</v>
          </cell>
          <cell r="H4023" t="str">
            <v>the-of</v>
          </cell>
          <cell r="I4023" t="str">
            <v>sim</v>
          </cell>
          <cell r="V4023" t="str">
            <v>not neg pair</v>
          </cell>
          <cell r="Y4023" t="str">
            <v>Pres</v>
          </cell>
          <cell r="Z4023">
            <v>4.46</v>
          </cell>
          <cell r="AA4023">
            <v>0</v>
          </cell>
          <cell r="AB4023">
            <v>0</v>
          </cell>
        </row>
        <row r="4024">
          <cell r="G4024" t="str">
            <v>X1282_0</v>
          </cell>
          <cell r="H4024" t="str">
            <v>as-as</v>
          </cell>
          <cell r="I4024" t="str">
            <v>sim</v>
          </cell>
          <cell r="V4024" t="str">
            <v>antonym</v>
          </cell>
          <cell r="Y4024" t="str">
            <v>Pres</v>
          </cell>
          <cell r="Z4024">
            <v>3.37</v>
          </cell>
          <cell r="AA4024">
            <v>0</v>
          </cell>
          <cell r="AB4024">
            <v>0</v>
          </cell>
        </row>
        <row r="4025">
          <cell r="G4025" t="str">
            <v>X1282_1</v>
          </cell>
          <cell r="H4025" t="str">
            <v>as-as</v>
          </cell>
          <cell r="I4025" t="str">
            <v>sim</v>
          </cell>
          <cell r="V4025" t="str">
            <v>antonym</v>
          </cell>
          <cell r="Y4025" t="str">
            <v>Pres</v>
          </cell>
          <cell r="Z4025">
            <v>3.37</v>
          </cell>
          <cell r="AA4025">
            <v>0</v>
          </cell>
          <cell r="AB4025">
            <v>0</v>
          </cell>
        </row>
        <row r="4026">
          <cell r="G4026" t="str">
            <v>X1283_0</v>
          </cell>
          <cell r="H4026" t="str">
            <v>as-as</v>
          </cell>
          <cell r="I4026" t="str">
            <v>sim</v>
          </cell>
          <cell r="V4026" t="str">
            <v>antonym</v>
          </cell>
          <cell r="Y4026" t="str">
            <v>Pres</v>
          </cell>
          <cell r="Z4026">
            <v>2.2200000000000002</v>
          </cell>
          <cell r="AA4026" t="str">
            <v>L</v>
          </cell>
          <cell r="AB4026">
            <v>0</v>
          </cell>
        </row>
        <row r="4027">
          <cell r="G4027" t="str">
            <v>X1283_1</v>
          </cell>
          <cell r="H4027" t="str">
            <v>as-as</v>
          </cell>
          <cell r="I4027" t="str">
            <v>sim</v>
          </cell>
          <cell r="V4027" t="str">
            <v>antonym</v>
          </cell>
          <cell r="Y4027" t="str">
            <v>Pres</v>
          </cell>
          <cell r="Z4027">
            <v>2.2200000000000002</v>
          </cell>
          <cell r="AA4027" t="str">
            <v>L</v>
          </cell>
          <cell r="AB4027">
            <v>0</v>
          </cell>
        </row>
        <row r="4028">
          <cell r="G4028" t="str">
            <v>X1284_0</v>
          </cell>
          <cell r="H4028" t="str">
            <v>as-as</v>
          </cell>
          <cell r="I4028" t="str">
            <v>sim</v>
          </cell>
          <cell r="V4028" t="str">
            <v>not neg pair</v>
          </cell>
          <cell r="Y4028" t="str">
            <v>Past</v>
          </cell>
          <cell r="Z4028">
            <v>3.28</v>
          </cell>
          <cell r="AA4028">
            <v>0</v>
          </cell>
          <cell r="AB4028">
            <v>0</v>
          </cell>
        </row>
        <row r="4029">
          <cell r="G4029" t="str">
            <v>X1284_1</v>
          </cell>
          <cell r="H4029" t="str">
            <v>as-as</v>
          </cell>
          <cell r="I4029" t="str">
            <v>sim</v>
          </cell>
          <cell r="V4029" t="str">
            <v>not neg pair</v>
          </cell>
          <cell r="Y4029" t="str">
            <v>Past</v>
          </cell>
          <cell r="Z4029">
            <v>3.28</v>
          </cell>
          <cell r="AA4029">
            <v>0</v>
          </cell>
          <cell r="AB4029">
            <v>0</v>
          </cell>
        </row>
        <row r="4030">
          <cell r="G4030" t="str">
            <v>X1285_0</v>
          </cell>
          <cell r="H4030" t="str">
            <v/>
          </cell>
          <cell r="I4030" t="str">
            <v>met</v>
          </cell>
          <cell r="V4030" t="str">
            <v>0</v>
          </cell>
          <cell r="Y4030" t="str">
            <v>Past</v>
          </cell>
          <cell r="Z4030">
            <v>4.93</v>
          </cell>
          <cell r="AA4030" t="str">
            <v>H</v>
          </cell>
          <cell r="AB4030">
            <v>0</v>
          </cell>
        </row>
        <row r="4031">
          <cell r="G4031" t="str">
            <v>X1285_1</v>
          </cell>
          <cell r="H4031" t="str">
            <v/>
          </cell>
          <cell r="I4031" t="str">
            <v>met</v>
          </cell>
          <cell r="V4031" t="str">
            <v>0</v>
          </cell>
          <cell r="Y4031" t="str">
            <v>Past</v>
          </cell>
          <cell r="Z4031">
            <v>4.93</v>
          </cell>
          <cell r="AA4031" t="str">
            <v>H</v>
          </cell>
          <cell r="AB4031">
            <v>0</v>
          </cell>
        </row>
        <row r="4032">
          <cell r="G4032" t="str">
            <v>X1286_0</v>
          </cell>
          <cell r="H4032" t="str">
            <v>like</v>
          </cell>
          <cell r="I4032" t="str">
            <v>sim</v>
          </cell>
          <cell r="V4032" t="str">
            <v>not neg pair</v>
          </cell>
          <cell r="Y4032" t="str">
            <v>Past</v>
          </cell>
          <cell r="Z4032">
            <v>3.36</v>
          </cell>
          <cell r="AA4032">
            <v>0</v>
          </cell>
          <cell r="AB4032">
            <v>0</v>
          </cell>
        </row>
        <row r="4033">
          <cell r="G4033" t="str">
            <v>X1286_1</v>
          </cell>
          <cell r="H4033" t="str">
            <v>like</v>
          </cell>
          <cell r="I4033" t="str">
            <v>sim</v>
          </cell>
          <cell r="V4033" t="str">
            <v>not neg pair</v>
          </cell>
          <cell r="Y4033" t="str">
            <v>Past</v>
          </cell>
          <cell r="Z4033">
            <v>3.36</v>
          </cell>
          <cell r="AA4033">
            <v>0</v>
          </cell>
          <cell r="AB4033">
            <v>0</v>
          </cell>
        </row>
        <row r="4034">
          <cell r="G4034" t="str">
            <v>X1287_0</v>
          </cell>
          <cell r="H4034" t="str">
            <v>as-as</v>
          </cell>
          <cell r="I4034" t="str">
            <v>sim</v>
          </cell>
          <cell r="V4034" t="str">
            <v>not</v>
          </cell>
          <cell r="Y4034" t="str">
            <v>Past</v>
          </cell>
          <cell r="Z4034">
            <v>4.3499999999999996</v>
          </cell>
          <cell r="AA4034">
            <v>0</v>
          </cell>
          <cell r="AB4034">
            <v>0</v>
          </cell>
        </row>
        <row r="4035">
          <cell r="G4035" t="str">
            <v>X1287_1</v>
          </cell>
          <cell r="H4035" t="str">
            <v>as-as</v>
          </cell>
          <cell r="I4035" t="str">
            <v>sim</v>
          </cell>
          <cell r="V4035" t="str">
            <v>not</v>
          </cell>
          <cell r="Y4035" t="str">
            <v>Past</v>
          </cell>
          <cell r="Z4035">
            <v>4.3499999999999996</v>
          </cell>
          <cell r="AA4035">
            <v>0</v>
          </cell>
          <cell r="AB4035">
            <v>0</v>
          </cell>
        </row>
        <row r="4036">
          <cell r="G4036" t="str">
            <v>X1288_0</v>
          </cell>
          <cell r="H4036" t="str">
            <v>as-as</v>
          </cell>
          <cell r="I4036" t="str">
            <v>sim</v>
          </cell>
          <cell r="V4036" t="str">
            <v>not</v>
          </cell>
          <cell r="Y4036" t="str">
            <v>Past</v>
          </cell>
          <cell r="Z4036">
            <v>5</v>
          </cell>
          <cell r="AA4036" t="str">
            <v>H</v>
          </cell>
          <cell r="AB4036">
            <v>0</v>
          </cell>
        </row>
        <row r="4037">
          <cell r="G4037" t="str">
            <v>X1288_1</v>
          </cell>
          <cell r="H4037" t="str">
            <v>as-as</v>
          </cell>
          <cell r="I4037" t="str">
            <v>sim</v>
          </cell>
          <cell r="V4037" t="str">
            <v>not</v>
          </cell>
          <cell r="Y4037" t="str">
            <v>Past</v>
          </cell>
          <cell r="Z4037">
            <v>5</v>
          </cell>
          <cell r="AA4037" t="str">
            <v>H</v>
          </cell>
          <cell r="AB4037">
            <v>0</v>
          </cell>
        </row>
        <row r="4038">
          <cell r="G4038" t="str">
            <v>X1289_0</v>
          </cell>
          <cell r="H4038" t="str">
            <v>as-as</v>
          </cell>
          <cell r="I4038" t="str">
            <v>sim</v>
          </cell>
          <cell r="V4038" t="str">
            <v>not</v>
          </cell>
          <cell r="Y4038" t="str">
            <v>Past</v>
          </cell>
          <cell r="Z4038">
            <v>4.93</v>
          </cell>
          <cell r="AA4038" t="str">
            <v>H</v>
          </cell>
          <cell r="AB4038">
            <v>0</v>
          </cell>
        </row>
        <row r="4039">
          <cell r="G4039" t="str">
            <v>X1289_1</v>
          </cell>
          <cell r="H4039" t="str">
            <v>as-as</v>
          </cell>
          <cell r="I4039" t="str">
            <v>sim</v>
          </cell>
          <cell r="V4039" t="str">
            <v>not</v>
          </cell>
          <cell r="Y4039" t="str">
            <v>Past</v>
          </cell>
          <cell r="Z4039">
            <v>4.93</v>
          </cell>
          <cell r="AA4039" t="str">
            <v>H</v>
          </cell>
          <cell r="AB4039">
            <v>0</v>
          </cell>
        </row>
        <row r="4040">
          <cell r="G4040" t="str">
            <v>X1290_0</v>
          </cell>
          <cell r="H4040" t="str">
            <v>the-of</v>
          </cell>
          <cell r="I4040" t="str">
            <v>sim</v>
          </cell>
          <cell r="V4040" t="str">
            <v>not neg pair</v>
          </cell>
          <cell r="Y4040" t="str">
            <v>Pres</v>
          </cell>
          <cell r="Z4040">
            <v>4.8899999999999997</v>
          </cell>
          <cell r="AA4040">
            <v>0</v>
          </cell>
          <cell r="AB4040">
            <v>0</v>
          </cell>
        </row>
        <row r="4041">
          <cell r="G4041" t="str">
            <v>X1290_1</v>
          </cell>
          <cell r="H4041" t="str">
            <v>the-of</v>
          </cell>
          <cell r="I4041" t="str">
            <v>sim</v>
          </cell>
          <cell r="V4041" t="str">
            <v>not neg pair</v>
          </cell>
          <cell r="Y4041" t="str">
            <v>Pres</v>
          </cell>
          <cell r="Z4041">
            <v>4.8899999999999997</v>
          </cell>
          <cell r="AA4041">
            <v>0</v>
          </cell>
          <cell r="AB4041">
            <v>0</v>
          </cell>
        </row>
        <row r="4042">
          <cell r="G4042" t="str">
            <v>X1291_0</v>
          </cell>
          <cell r="H4042" t="str">
            <v>the-of</v>
          </cell>
          <cell r="I4042" t="str">
            <v>sim</v>
          </cell>
          <cell r="V4042" t="str">
            <v>not neg pair</v>
          </cell>
          <cell r="Y4042" t="str">
            <v>Pres</v>
          </cell>
          <cell r="Z4042">
            <v>4.75</v>
          </cell>
          <cell r="AA4042">
            <v>0</v>
          </cell>
          <cell r="AB4042">
            <v>0</v>
          </cell>
        </row>
        <row r="4043">
          <cell r="G4043" t="str">
            <v>X1291_1</v>
          </cell>
          <cell r="H4043" t="str">
            <v>the-of</v>
          </cell>
          <cell r="I4043" t="str">
            <v>sim</v>
          </cell>
          <cell r="V4043" t="str">
            <v>not neg pair</v>
          </cell>
          <cell r="Y4043" t="str">
            <v>Pres</v>
          </cell>
          <cell r="Z4043">
            <v>4.75</v>
          </cell>
          <cell r="AA4043">
            <v>0</v>
          </cell>
          <cell r="AB4043">
            <v>0</v>
          </cell>
        </row>
        <row r="4044">
          <cell r="G4044" t="str">
            <v>X1292_0</v>
          </cell>
          <cell r="H4044" t="str">
            <v>the-of</v>
          </cell>
          <cell r="I4044" t="str">
            <v>sim</v>
          </cell>
          <cell r="V4044" t="str">
            <v>not neg pair</v>
          </cell>
          <cell r="Y4044" t="str">
            <v>Pres</v>
          </cell>
          <cell r="Z4044">
            <v>5</v>
          </cell>
          <cell r="AA4044" t="str">
            <v>H</v>
          </cell>
          <cell r="AB4044">
            <v>0</v>
          </cell>
        </row>
        <row r="4045">
          <cell r="G4045" t="str">
            <v>X1292_1</v>
          </cell>
          <cell r="H4045" t="str">
            <v>the-of</v>
          </cell>
          <cell r="I4045" t="str">
            <v>sim</v>
          </cell>
          <cell r="V4045" t="str">
            <v>not neg pair</v>
          </cell>
          <cell r="Y4045" t="str">
            <v>Pres</v>
          </cell>
          <cell r="Z4045">
            <v>5</v>
          </cell>
          <cell r="AA4045" t="str">
            <v>H</v>
          </cell>
          <cell r="AB4045">
            <v>0</v>
          </cell>
        </row>
        <row r="4046">
          <cell r="G4046" t="str">
            <v>X1293_0</v>
          </cell>
          <cell r="H4046" t="str">
            <v>the-of</v>
          </cell>
          <cell r="I4046" t="str">
            <v>sim</v>
          </cell>
          <cell r="V4046" t="str">
            <v>not neg pair</v>
          </cell>
          <cell r="Y4046" t="str">
            <v>Pres</v>
          </cell>
          <cell r="Z4046">
            <v>4.96</v>
          </cell>
          <cell r="AA4046" t="str">
            <v>H</v>
          </cell>
          <cell r="AB4046">
            <v>0</v>
          </cell>
        </row>
        <row r="4047">
          <cell r="G4047" t="str">
            <v>X1293_1</v>
          </cell>
          <cell r="H4047" t="str">
            <v>the-of</v>
          </cell>
          <cell r="I4047" t="str">
            <v>sim</v>
          </cell>
          <cell r="V4047" t="str">
            <v>not neg pair</v>
          </cell>
          <cell r="Y4047" t="str">
            <v>Pres</v>
          </cell>
          <cell r="Z4047">
            <v>4.96</v>
          </cell>
          <cell r="AA4047" t="str">
            <v>H</v>
          </cell>
          <cell r="AB4047">
            <v>0</v>
          </cell>
        </row>
        <row r="4048">
          <cell r="G4048" t="str">
            <v>X1294_0</v>
          </cell>
          <cell r="H4048" t="str">
            <v>as-as</v>
          </cell>
          <cell r="I4048" t="str">
            <v>sim</v>
          </cell>
          <cell r="V4048" t="str">
            <v>antonym</v>
          </cell>
          <cell r="Y4048" t="str">
            <v>Past</v>
          </cell>
          <cell r="Z4048">
            <v>4.3099999999999996</v>
          </cell>
          <cell r="AA4048">
            <v>0</v>
          </cell>
          <cell r="AB4048">
            <v>0</v>
          </cell>
        </row>
        <row r="4049">
          <cell r="G4049" t="str">
            <v>X1294_1</v>
          </cell>
          <cell r="H4049" t="str">
            <v>as-as</v>
          </cell>
          <cell r="I4049" t="str">
            <v>sim</v>
          </cell>
          <cell r="V4049" t="str">
            <v>antonym</v>
          </cell>
          <cell r="Y4049" t="str">
            <v>Past</v>
          </cell>
          <cell r="Z4049">
            <v>4.3099999999999996</v>
          </cell>
          <cell r="AA4049">
            <v>0</v>
          </cell>
          <cell r="AB4049">
            <v>0</v>
          </cell>
        </row>
        <row r="4050">
          <cell r="G4050" t="str">
            <v>X1295_0</v>
          </cell>
          <cell r="H4050" t="str">
            <v>as-as</v>
          </cell>
          <cell r="I4050" t="str">
            <v>sim</v>
          </cell>
          <cell r="V4050" t="str">
            <v>antonym</v>
          </cell>
          <cell r="Y4050" t="str">
            <v>Pres</v>
          </cell>
          <cell r="Z4050">
            <v>4.9000000000000004</v>
          </cell>
          <cell r="AA4050">
            <v>0</v>
          </cell>
          <cell r="AB4050">
            <v>0</v>
          </cell>
        </row>
        <row r="4051">
          <cell r="G4051" t="str">
            <v>X1295_1</v>
          </cell>
          <cell r="H4051" t="str">
            <v>as-as</v>
          </cell>
          <cell r="I4051" t="str">
            <v>sim</v>
          </cell>
          <cell r="V4051" t="str">
            <v>antonym</v>
          </cell>
          <cell r="Y4051" t="str">
            <v>Pres</v>
          </cell>
          <cell r="Z4051">
            <v>4.9000000000000004</v>
          </cell>
          <cell r="AA4051">
            <v>0</v>
          </cell>
          <cell r="AB4051">
            <v>0</v>
          </cell>
        </row>
        <row r="4052">
          <cell r="G4052" t="str">
            <v>X1296_0</v>
          </cell>
          <cell r="H4052" t="str">
            <v>as-as</v>
          </cell>
          <cell r="I4052" t="str">
            <v>sim</v>
          </cell>
          <cell r="V4052" t="str">
            <v>antonym</v>
          </cell>
          <cell r="Y4052" t="str">
            <v>Past</v>
          </cell>
          <cell r="Z4052">
            <v>4.9400000000000004</v>
          </cell>
          <cell r="AA4052" t="str">
            <v>H</v>
          </cell>
          <cell r="AB4052">
            <v>0</v>
          </cell>
        </row>
        <row r="4053">
          <cell r="G4053" t="str">
            <v>X1296_1</v>
          </cell>
          <cell r="H4053" t="str">
            <v>as-as</v>
          </cell>
          <cell r="I4053" t="str">
            <v>sim</v>
          </cell>
          <cell r="V4053" t="str">
            <v>antonym</v>
          </cell>
          <cell r="Y4053" t="str">
            <v>Past</v>
          </cell>
          <cell r="Z4053">
            <v>4.9400000000000004</v>
          </cell>
          <cell r="AA4053" t="str">
            <v>H</v>
          </cell>
          <cell r="AB4053">
            <v>0</v>
          </cell>
        </row>
        <row r="4054">
          <cell r="G4054" t="str">
            <v>X1297_0</v>
          </cell>
          <cell r="H4054" t="str">
            <v/>
          </cell>
          <cell r="I4054" t="str">
            <v>met</v>
          </cell>
          <cell r="V4054" t="str">
            <v>0</v>
          </cell>
          <cell r="Y4054" t="str">
            <v>Past</v>
          </cell>
          <cell r="Z4054">
            <v>3.71</v>
          </cell>
          <cell r="AA4054">
            <v>0</v>
          </cell>
          <cell r="AB4054">
            <v>0</v>
          </cell>
        </row>
        <row r="4055">
          <cell r="G4055" t="str">
            <v>X1297_1</v>
          </cell>
          <cell r="H4055" t="str">
            <v>like</v>
          </cell>
          <cell r="I4055" t="str">
            <v>sim</v>
          </cell>
          <cell r="V4055" t="str">
            <v>0</v>
          </cell>
          <cell r="Y4055" t="str">
            <v>Past</v>
          </cell>
          <cell r="Z4055">
            <v>3.71</v>
          </cell>
          <cell r="AA4055">
            <v>0</v>
          </cell>
          <cell r="AB4055">
            <v>0</v>
          </cell>
        </row>
        <row r="4056">
          <cell r="G4056" t="str">
            <v>X1298_0</v>
          </cell>
          <cell r="H4056" t="str">
            <v>as-as</v>
          </cell>
          <cell r="I4056" t="str">
            <v>sim</v>
          </cell>
          <cell r="V4056" t="str">
            <v>antonym</v>
          </cell>
          <cell r="Y4056" t="str">
            <v>Past</v>
          </cell>
          <cell r="Z4056">
            <v>3.86</v>
          </cell>
          <cell r="AA4056">
            <v>0</v>
          </cell>
          <cell r="AB4056">
            <v>0</v>
          </cell>
        </row>
        <row r="4057">
          <cell r="G4057" t="str">
            <v>X1298_1</v>
          </cell>
          <cell r="H4057" t="str">
            <v>as-as</v>
          </cell>
          <cell r="I4057" t="str">
            <v>sim</v>
          </cell>
          <cell r="V4057" t="str">
            <v>antonym</v>
          </cell>
          <cell r="Y4057" t="str">
            <v>Past</v>
          </cell>
          <cell r="Z4057">
            <v>3.86</v>
          </cell>
          <cell r="AA4057">
            <v>0</v>
          </cell>
          <cell r="AB4057">
            <v>0</v>
          </cell>
        </row>
        <row r="4058">
          <cell r="G4058" t="str">
            <v>X1299_0</v>
          </cell>
          <cell r="H4058" t="str">
            <v>as-as</v>
          </cell>
          <cell r="I4058" t="str">
            <v>sim</v>
          </cell>
          <cell r="V4058" t="str">
            <v>not</v>
          </cell>
          <cell r="Y4058" t="str">
            <v>Past</v>
          </cell>
          <cell r="Z4058">
            <v>4.92</v>
          </cell>
          <cell r="AA4058" t="str">
            <v>H</v>
          </cell>
          <cell r="AB4058">
            <v>0</v>
          </cell>
        </row>
        <row r="4059">
          <cell r="G4059" t="str">
            <v>X1299_1</v>
          </cell>
          <cell r="H4059" t="str">
            <v>as-as</v>
          </cell>
          <cell r="I4059" t="str">
            <v>sim</v>
          </cell>
          <cell r="V4059" t="str">
            <v>not</v>
          </cell>
          <cell r="Y4059" t="str">
            <v>Past</v>
          </cell>
          <cell r="Z4059">
            <v>4.92</v>
          </cell>
          <cell r="AA4059" t="str">
            <v>H</v>
          </cell>
          <cell r="AB4059">
            <v>0</v>
          </cell>
        </row>
        <row r="4060">
          <cell r="G4060" t="str">
            <v>X1300_0</v>
          </cell>
          <cell r="H4060" t="str">
            <v>as-as</v>
          </cell>
          <cell r="I4060" t="str">
            <v>sim</v>
          </cell>
          <cell r="V4060" t="str">
            <v>antonym</v>
          </cell>
          <cell r="Y4060" t="str">
            <v>Pres</v>
          </cell>
          <cell r="Z4060">
            <v>3.93</v>
          </cell>
          <cell r="AA4060">
            <v>0</v>
          </cell>
          <cell r="AB4060">
            <v>0</v>
          </cell>
        </row>
        <row r="4061">
          <cell r="G4061" t="str">
            <v>X1300_1</v>
          </cell>
          <cell r="H4061" t="str">
            <v>as-as</v>
          </cell>
          <cell r="I4061" t="str">
            <v>sim</v>
          </cell>
          <cell r="V4061" t="str">
            <v>antonym</v>
          </cell>
          <cell r="Y4061" t="str">
            <v>Pres</v>
          </cell>
          <cell r="Z4061">
            <v>3.93</v>
          </cell>
          <cell r="AA4061">
            <v>0</v>
          </cell>
          <cell r="AB4061">
            <v>0</v>
          </cell>
        </row>
        <row r="4062">
          <cell r="G4062" t="str">
            <v>X1301_0</v>
          </cell>
          <cell r="H4062" t="str">
            <v>as-as</v>
          </cell>
          <cell r="I4062" t="str">
            <v>sim</v>
          </cell>
          <cell r="V4062" t="str">
            <v>not</v>
          </cell>
          <cell r="Y4062" t="str">
            <v>Past</v>
          </cell>
          <cell r="Z4062">
            <v>3.86</v>
          </cell>
          <cell r="AA4062">
            <v>0</v>
          </cell>
          <cell r="AB4062">
            <v>0</v>
          </cell>
        </row>
        <row r="4063">
          <cell r="G4063" t="str">
            <v>X1301_1</v>
          </cell>
          <cell r="H4063" t="str">
            <v>as-as</v>
          </cell>
          <cell r="I4063" t="str">
            <v>sim</v>
          </cell>
          <cell r="V4063" t="str">
            <v>not</v>
          </cell>
          <cell r="Y4063" t="str">
            <v>Past</v>
          </cell>
          <cell r="Z4063">
            <v>3.86</v>
          </cell>
          <cell r="AA4063">
            <v>0</v>
          </cell>
          <cell r="AB4063">
            <v>0</v>
          </cell>
        </row>
        <row r="4064">
          <cell r="G4064" t="str">
            <v>X1302_0</v>
          </cell>
          <cell r="H4064" t="str">
            <v>like</v>
          </cell>
          <cell r="I4064" t="str">
            <v>sim</v>
          </cell>
          <cell r="V4064" t="str">
            <v>not neg pair</v>
          </cell>
          <cell r="Y4064" t="str">
            <v>Past</v>
          </cell>
          <cell r="Z4064">
            <v>2.89</v>
          </cell>
          <cell r="AA4064">
            <v>0</v>
          </cell>
          <cell r="AB4064">
            <v>0</v>
          </cell>
        </row>
        <row r="4065">
          <cell r="G4065" t="str">
            <v>X1302_1</v>
          </cell>
          <cell r="H4065" t="str">
            <v>like</v>
          </cell>
          <cell r="I4065" t="str">
            <v>sim</v>
          </cell>
          <cell r="V4065" t="str">
            <v>not neg pair</v>
          </cell>
          <cell r="Y4065" t="str">
            <v>Past</v>
          </cell>
          <cell r="Z4065">
            <v>2.89</v>
          </cell>
          <cell r="AA4065">
            <v>0</v>
          </cell>
          <cell r="AB4065">
            <v>0</v>
          </cell>
        </row>
        <row r="4066">
          <cell r="G4066" t="str">
            <v>X1303_0</v>
          </cell>
          <cell r="H4066" t="str">
            <v>as-as</v>
          </cell>
          <cell r="I4066" t="str">
            <v>sim</v>
          </cell>
          <cell r="V4066" t="str">
            <v>antonym</v>
          </cell>
          <cell r="Y4066" t="str">
            <v>Past</v>
          </cell>
          <cell r="Z4066">
            <v>2.48</v>
          </cell>
          <cell r="AA4066" t="str">
            <v>L</v>
          </cell>
          <cell r="AB4066">
            <v>0</v>
          </cell>
        </row>
        <row r="4067">
          <cell r="G4067" t="str">
            <v>X1303_1</v>
          </cell>
          <cell r="H4067" t="str">
            <v>as-as</v>
          </cell>
          <cell r="I4067" t="str">
            <v>sim</v>
          </cell>
          <cell r="V4067" t="str">
            <v>antonym</v>
          </cell>
          <cell r="Y4067" t="str">
            <v>Past</v>
          </cell>
          <cell r="Z4067">
            <v>2.48</v>
          </cell>
          <cell r="AA4067" t="str">
            <v>L</v>
          </cell>
          <cell r="AB4067">
            <v>0</v>
          </cell>
        </row>
        <row r="4068">
          <cell r="G4068" t="str">
            <v>X1304_0</v>
          </cell>
          <cell r="H4068" t="str">
            <v>the-of</v>
          </cell>
          <cell r="I4068" t="str">
            <v>sim</v>
          </cell>
          <cell r="V4068" t="str">
            <v>not</v>
          </cell>
          <cell r="Y4068" t="str">
            <v>Past</v>
          </cell>
          <cell r="Z4068">
            <v>3.86</v>
          </cell>
          <cell r="AA4068">
            <v>0</v>
          </cell>
          <cell r="AB4068">
            <v>0</v>
          </cell>
        </row>
        <row r="4069">
          <cell r="G4069" t="str">
            <v>X1304_1</v>
          </cell>
          <cell r="H4069" t="str">
            <v>the-of</v>
          </cell>
          <cell r="I4069" t="str">
            <v>sim</v>
          </cell>
          <cell r="V4069" t="str">
            <v>not</v>
          </cell>
          <cell r="Y4069" t="str">
            <v>Past</v>
          </cell>
          <cell r="Z4069">
            <v>3.86</v>
          </cell>
          <cell r="AA4069">
            <v>0</v>
          </cell>
          <cell r="AB4069">
            <v>0</v>
          </cell>
        </row>
        <row r="4070">
          <cell r="G4070" t="str">
            <v>X1305_0</v>
          </cell>
          <cell r="H4070" t="str">
            <v>as-as</v>
          </cell>
          <cell r="I4070" t="str">
            <v>sim</v>
          </cell>
          <cell r="V4070" t="str">
            <v>antonym</v>
          </cell>
          <cell r="Y4070" t="str">
            <v>Past</v>
          </cell>
          <cell r="Z4070">
            <v>4.93</v>
          </cell>
          <cell r="AA4070" t="str">
            <v>H</v>
          </cell>
          <cell r="AB4070">
            <v>0</v>
          </cell>
        </row>
        <row r="4071">
          <cell r="G4071" t="str">
            <v>X1305_1</v>
          </cell>
          <cell r="H4071" t="str">
            <v>as-as</v>
          </cell>
          <cell r="I4071" t="str">
            <v>sim</v>
          </cell>
          <cell r="V4071" t="str">
            <v>antonym</v>
          </cell>
          <cell r="Y4071" t="str">
            <v>Past</v>
          </cell>
          <cell r="Z4071">
            <v>4.93</v>
          </cell>
          <cell r="AA4071" t="str">
            <v>H</v>
          </cell>
          <cell r="AB4071">
            <v>0</v>
          </cell>
        </row>
        <row r="4072">
          <cell r="G4072" t="str">
            <v>X1306_0</v>
          </cell>
          <cell r="H4072" t="str">
            <v>as-as</v>
          </cell>
          <cell r="I4072" t="str">
            <v>sim</v>
          </cell>
          <cell r="V4072" t="str">
            <v>antonym</v>
          </cell>
          <cell r="Y4072" t="str">
            <v>Pres</v>
          </cell>
          <cell r="Z4072">
            <v>4.5</v>
          </cell>
          <cell r="AA4072">
            <v>0</v>
          </cell>
          <cell r="AB4072">
            <v>0</v>
          </cell>
        </row>
        <row r="4073">
          <cell r="G4073" t="str">
            <v>X1306_1</v>
          </cell>
          <cell r="H4073" t="str">
            <v>as-as</v>
          </cell>
          <cell r="I4073" t="str">
            <v>sim</v>
          </cell>
          <cell r="V4073" t="str">
            <v>antonym</v>
          </cell>
          <cell r="Y4073" t="str">
            <v>Pres</v>
          </cell>
          <cell r="Z4073">
            <v>4.5</v>
          </cell>
          <cell r="AA4073">
            <v>0</v>
          </cell>
          <cell r="AB4073">
            <v>0</v>
          </cell>
        </row>
        <row r="4074">
          <cell r="G4074" t="str">
            <v>X1307_0</v>
          </cell>
          <cell r="H4074" t="str">
            <v>as-as</v>
          </cell>
          <cell r="I4074" t="str">
            <v>sim</v>
          </cell>
          <cell r="V4074" t="str">
            <v>not neg pair</v>
          </cell>
          <cell r="Y4074" t="str">
            <v>Pres</v>
          </cell>
          <cell r="Z4074">
            <v>3.97</v>
          </cell>
          <cell r="AA4074">
            <v>0</v>
          </cell>
          <cell r="AB4074">
            <v>0</v>
          </cell>
        </row>
        <row r="4075">
          <cell r="G4075" t="str">
            <v>X1307_1</v>
          </cell>
          <cell r="H4075" t="str">
            <v>as-as</v>
          </cell>
          <cell r="I4075" t="str">
            <v>sim</v>
          </cell>
          <cell r="V4075" t="str">
            <v>not neg pair</v>
          </cell>
          <cell r="Y4075" t="str">
            <v>Pres</v>
          </cell>
          <cell r="Z4075">
            <v>3.97</v>
          </cell>
          <cell r="AA4075">
            <v>0</v>
          </cell>
          <cell r="AB4075">
            <v>0</v>
          </cell>
        </row>
        <row r="4076">
          <cell r="G4076" t="str">
            <v>X1308_0</v>
          </cell>
          <cell r="H4076" t="str">
            <v>as-as</v>
          </cell>
          <cell r="I4076" t="str">
            <v>sim</v>
          </cell>
          <cell r="V4076" t="str">
            <v>not neg pair</v>
          </cell>
          <cell r="Y4076" t="str">
            <v>Pres</v>
          </cell>
          <cell r="Z4076">
            <v>4.96</v>
          </cell>
          <cell r="AA4076" t="str">
            <v>H</v>
          </cell>
          <cell r="AB4076">
            <v>0</v>
          </cell>
        </row>
        <row r="4077">
          <cell r="G4077" t="str">
            <v>X1308_1</v>
          </cell>
          <cell r="H4077" t="str">
            <v>as-as</v>
          </cell>
          <cell r="I4077" t="str">
            <v>sim</v>
          </cell>
          <cell r="V4077" t="str">
            <v>not neg pair</v>
          </cell>
          <cell r="Y4077" t="str">
            <v>Pres</v>
          </cell>
          <cell r="Z4077">
            <v>4.96</v>
          </cell>
          <cell r="AA4077" t="str">
            <v>H</v>
          </cell>
          <cell r="AB4077">
            <v>0</v>
          </cell>
        </row>
        <row r="4078">
          <cell r="G4078" t="str">
            <v>X1309_0</v>
          </cell>
          <cell r="H4078" t="str">
            <v>the-of</v>
          </cell>
          <cell r="I4078" t="str">
            <v>sim</v>
          </cell>
          <cell r="V4078" t="str">
            <v>not</v>
          </cell>
          <cell r="Y4078" t="str">
            <v>Pres</v>
          </cell>
          <cell r="Z4078">
            <v>3.36</v>
          </cell>
          <cell r="AA4078">
            <v>0</v>
          </cell>
          <cell r="AB4078">
            <v>0</v>
          </cell>
        </row>
        <row r="4079">
          <cell r="G4079" t="str">
            <v>X1309_1</v>
          </cell>
          <cell r="H4079" t="str">
            <v>the-of</v>
          </cell>
          <cell r="I4079" t="str">
            <v>sim</v>
          </cell>
          <cell r="V4079" t="str">
            <v>not</v>
          </cell>
          <cell r="Y4079" t="str">
            <v>Pres</v>
          </cell>
          <cell r="Z4079">
            <v>3.36</v>
          </cell>
          <cell r="AA4079">
            <v>0</v>
          </cell>
          <cell r="AB4079">
            <v>0</v>
          </cell>
        </row>
        <row r="4080">
          <cell r="G4080" t="str">
            <v>X1310_0</v>
          </cell>
          <cell r="H4080" t="str">
            <v>the-of</v>
          </cell>
          <cell r="I4080" t="str">
            <v>sim</v>
          </cell>
          <cell r="V4080" t="str">
            <v>not neg pair</v>
          </cell>
          <cell r="Y4080" t="str">
            <v>Pres</v>
          </cell>
          <cell r="Z4080">
            <v>4.8600000000000003</v>
          </cell>
          <cell r="AA4080">
            <v>0</v>
          </cell>
          <cell r="AB4080">
            <v>0</v>
          </cell>
        </row>
        <row r="4081">
          <cell r="G4081" t="str">
            <v>X1310_1</v>
          </cell>
          <cell r="H4081" t="str">
            <v>the-of</v>
          </cell>
          <cell r="I4081" t="str">
            <v>sim</v>
          </cell>
          <cell r="V4081" t="str">
            <v>not neg pair</v>
          </cell>
          <cell r="Y4081" t="str">
            <v>Pres</v>
          </cell>
          <cell r="Z4081">
            <v>4.8600000000000003</v>
          </cell>
          <cell r="AA4081">
            <v>0</v>
          </cell>
          <cell r="AB4081">
            <v>0</v>
          </cell>
        </row>
        <row r="4082">
          <cell r="G4082" t="str">
            <v>X1311_0</v>
          </cell>
          <cell r="H4082" t="str">
            <v>as-as</v>
          </cell>
          <cell r="I4082" t="str">
            <v>sim</v>
          </cell>
          <cell r="V4082" t="str">
            <v>antonym</v>
          </cell>
          <cell r="Y4082" t="str">
            <v>Pres</v>
          </cell>
          <cell r="Z4082">
            <v>4.93</v>
          </cell>
          <cell r="AA4082" t="str">
            <v>H</v>
          </cell>
          <cell r="AB4082">
            <v>0</v>
          </cell>
        </row>
        <row r="4083">
          <cell r="G4083" t="str">
            <v>X1311_1</v>
          </cell>
          <cell r="H4083" t="str">
            <v>as-as</v>
          </cell>
          <cell r="I4083" t="str">
            <v>sim</v>
          </cell>
          <cell r="V4083" t="str">
            <v>antonym</v>
          </cell>
          <cell r="Y4083" t="str">
            <v>Pres</v>
          </cell>
          <cell r="Z4083">
            <v>4.93</v>
          </cell>
          <cell r="AA4083" t="str">
            <v>H</v>
          </cell>
          <cell r="AB4083">
            <v>0</v>
          </cell>
        </row>
        <row r="4084">
          <cell r="G4084" t="str">
            <v>X1312_0</v>
          </cell>
          <cell r="H4084" t="str">
            <v>as-as</v>
          </cell>
          <cell r="I4084" t="str">
            <v>sim</v>
          </cell>
          <cell r="V4084" t="str">
            <v>antonym</v>
          </cell>
          <cell r="Y4084" t="str">
            <v>Past</v>
          </cell>
          <cell r="Z4084">
            <v>4.75</v>
          </cell>
          <cell r="AA4084">
            <v>0</v>
          </cell>
          <cell r="AB4084">
            <v>0</v>
          </cell>
        </row>
        <row r="4085">
          <cell r="G4085" t="str">
            <v>X1312_1</v>
          </cell>
          <cell r="H4085" t="str">
            <v>as-as</v>
          </cell>
          <cell r="I4085" t="str">
            <v>sim</v>
          </cell>
          <cell r="V4085" t="str">
            <v>antonym</v>
          </cell>
          <cell r="Y4085" t="str">
            <v>Past</v>
          </cell>
          <cell r="Z4085">
            <v>4.75</v>
          </cell>
          <cell r="AA4085">
            <v>0</v>
          </cell>
          <cell r="AB4085">
            <v>0</v>
          </cell>
        </row>
        <row r="4086">
          <cell r="G4086" t="str">
            <v>X1313_0</v>
          </cell>
          <cell r="H4086" t="str">
            <v>as-as</v>
          </cell>
          <cell r="I4086" t="str">
            <v>sim</v>
          </cell>
          <cell r="V4086" t="str">
            <v>not neg pair</v>
          </cell>
          <cell r="Y4086" t="str">
            <v>Past</v>
          </cell>
          <cell r="Z4086">
            <v>4.59</v>
          </cell>
          <cell r="AA4086">
            <v>0</v>
          </cell>
          <cell r="AB4086">
            <v>0</v>
          </cell>
        </row>
        <row r="4087">
          <cell r="G4087" t="str">
            <v>X1313_1</v>
          </cell>
          <cell r="H4087" t="str">
            <v>as-as</v>
          </cell>
          <cell r="I4087" t="str">
            <v>sim</v>
          </cell>
          <cell r="V4087" t="str">
            <v>not neg pair</v>
          </cell>
          <cell r="Y4087" t="str">
            <v>Past</v>
          </cell>
          <cell r="Z4087">
            <v>4.59</v>
          </cell>
          <cell r="AA4087">
            <v>0</v>
          </cell>
          <cell r="AB4087">
            <v>0</v>
          </cell>
        </row>
        <row r="4088">
          <cell r="G4088" t="str">
            <v>X1314_0</v>
          </cell>
          <cell r="H4088" t="str">
            <v>the-of</v>
          </cell>
          <cell r="I4088" t="str">
            <v>sim</v>
          </cell>
          <cell r="V4088" t="str">
            <v>not neg pair</v>
          </cell>
          <cell r="Y4088" t="str">
            <v>Past</v>
          </cell>
          <cell r="Z4088">
            <v>3.36</v>
          </cell>
          <cell r="AA4088">
            <v>0</v>
          </cell>
          <cell r="AB4088">
            <v>0</v>
          </cell>
        </row>
        <row r="4089">
          <cell r="G4089" t="str">
            <v>X1314_1</v>
          </cell>
          <cell r="H4089" t="str">
            <v>the-of</v>
          </cell>
          <cell r="I4089" t="str">
            <v>sim</v>
          </cell>
          <cell r="V4089" t="str">
            <v>not neg pair</v>
          </cell>
          <cell r="Y4089" t="str">
            <v>Past</v>
          </cell>
          <cell r="Z4089">
            <v>3.36</v>
          </cell>
          <cell r="AA4089">
            <v>0</v>
          </cell>
          <cell r="AB4089">
            <v>0</v>
          </cell>
        </row>
        <row r="4090">
          <cell r="G4090" t="str">
            <v>X1315_0</v>
          </cell>
          <cell r="H4090" t="str">
            <v>as-as</v>
          </cell>
          <cell r="I4090" t="str">
            <v>sim</v>
          </cell>
          <cell r="V4090" t="str">
            <v>not</v>
          </cell>
          <cell r="Y4090" t="str">
            <v>Past</v>
          </cell>
          <cell r="Z4090">
            <v>4.08</v>
          </cell>
          <cell r="AA4090">
            <v>0</v>
          </cell>
          <cell r="AB4090">
            <v>0</v>
          </cell>
        </row>
        <row r="4091">
          <cell r="G4091" t="str">
            <v>X1315_1</v>
          </cell>
          <cell r="H4091" t="str">
            <v>as-as</v>
          </cell>
          <cell r="I4091" t="str">
            <v>sim</v>
          </cell>
          <cell r="V4091" t="str">
            <v>not</v>
          </cell>
          <cell r="Y4091" t="str">
            <v>Past</v>
          </cell>
          <cell r="Z4091">
            <v>4.08</v>
          </cell>
          <cell r="AA4091">
            <v>0</v>
          </cell>
          <cell r="AB4091">
            <v>0</v>
          </cell>
        </row>
        <row r="4092">
          <cell r="G4092" t="str">
            <v>X1316_0</v>
          </cell>
          <cell r="H4092" t="str">
            <v>as-as</v>
          </cell>
          <cell r="I4092" t="str">
            <v>sim</v>
          </cell>
          <cell r="V4092" t="str">
            <v>not</v>
          </cell>
          <cell r="Y4092" t="str">
            <v>Past</v>
          </cell>
          <cell r="Z4092">
            <v>2.57</v>
          </cell>
          <cell r="AA4092" t="str">
            <v>L</v>
          </cell>
          <cell r="AB4092">
            <v>0</v>
          </cell>
        </row>
        <row r="4093">
          <cell r="G4093" t="str">
            <v>X1316_1</v>
          </cell>
          <cell r="H4093" t="str">
            <v>as-as</v>
          </cell>
          <cell r="I4093" t="str">
            <v>sim</v>
          </cell>
          <cell r="V4093" t="str">
            <v>not</v>
          </cell>
          <cell r="Y4093" t="str">
            <v>Past</v>
          </cell>
          <cell r="Z4093">
            <v>2.57</v>
          </cell>
          <cell r="AA4093" t="str">
            <v>L</v>
          </cell>
          <cell r="AB4093">
            <v>0</v>
          </cell>
        </row>
        <row r="4094">
          <cell r="G4094" t="str">
            <v>X1317_0</v>
          </cell>
          <cell r="H4094" t="str">
            <v>as-as</v>
          </cell>
          <cell r="I4094" t="str">
            <v>sim</v>
          </cell>
          <cell r="V4094" t="str">
            <v>not</v>
          </cell>
          <cell r="Y4094" t="str">
            <v>Past</v>
          </cell>
          <cell r="Z4094">
            <v>4.75</v>
          </cell>
          <cell r="AA4094">
            <v>0</v>
          </cell>
          <cell r="AB4094">
            <v>0</v>
          </cell>
        </row>
        <row r="4095">
          <cell r="G4095" t="str">
            <v>X1317_1</v>
          </cell>
          <cell r="H4095" t="str">
            <v>as-as</v>
          </cell>
          <cell r="I4095" t="str">
            <v>sim</v>
          </cell>
          <cell r="V4095" t="str">
            <v>not</v>
          </cell>
          <cell r="Y4095" t="str">
            <v>Past</v>
          </cell>
          <cell r="Z4095">
            <v>4.75</v>
          </cell>
          <cell r="AA4095">
            <v>0</v>
          </cell>
          <cell r="AB4095">
            <v>0</v>
          </cell>
        </row>
        <row r="4096">
          <cell r="G4096" t="str">
            <v>X1318_0</v>
          </cell>
          <cell r="H4096" t="str">
            <v>as</v>
          </cell>
          <cell r="I4096" t="str">
            <v>sim</v>
          </cell>
          <cell r="V4096" t="str">
            <v>not</v>
          </cell>
          <cell r="Y4096" t="str">
            <v>Past</v>
          </cell>
          <cell r="Z4096">
            <v>4.59</v>
          </cell>
          <cell r="AA4096">
            <v>0</v>
          </cell>
          <cell r="AB4096">
            <v>0</v>
          </cell>
        </row>
        <row r="4097">
          <cell r="G4097" t="str">
            <v>X1318_1</v>
          </cell>
          <cell r="H4097" t="str">
            <v>as</v>
          </cell>
          <cell r="I4097" t="str">
            <v>sim</v>
          </cell>
          <cell r="V4097" t="str">
            <v>not</v>
          </cell>
          <cell r="Y4097" t="str">
            <v>Past</v>
          </cell>
          <cell r="Z4097">
            <v>4.59</v>
          </cell>
          <cell r="AA4097">
            <v>0</v>
          </cell>
          <cell r="AB4097">
            <v>0</v>
          </cell>
        </row>
        <row r="4098">
          <cell r="G4098" t="str">
            <v>X1319_0</v>
          </cell>
          <cell r="H4098" t="str">
            <v>as-as</v>
          </cell>
          <cell r="I4098" t="str">
            <v>sim</v>
          </cell>
          <cell r="V4098" t="str">
            <v>antonym</v>
          </cell>
          <cell r="Y4098" t="str">
            <v>Past</v>
          </cell>
          <cell r="Z4098">
            <v>2.19</v>
          </cell>
          <cell r="AA4098" t="str">
            <v>L</v>
          </cell>
          <cell r="AB4098">
            <v>0</v>
          </cell>
        </row>
        <row r="4099">
          <cell r="G4099" t="str">
            <v>X1319_1</v>
          </cell>
          <cell r="H4099" t="str">
            <v>as-as</v>
          </cell>
          <cell r="I4099" t="str">
            <v>sim</v>
          </cell>
          <cell r="V4099" t="str">
            <v>antonym</v>
          </cell>
          <cell r="Y4099" t="str">
            <v>Past</v>
          </cell>
          <cell r="Z4099">
            <v>2.19</v>
          </cell>
          <cell r="AA4099" t="str">
            <v>L</v>
          </cell>
          <cell r="AB4099">
            <v>0</v>
          </cell>
        </row>
        <row r="4100">
          <cell r="G4100" t="str">
            <v>X1320_0</v>
          </cell>
          <cell r="H4100" t="str">
            <v>as-as</v>
          </cell>
          <cell r="I4100" t="str">
            <v>sim</v>
          </cell>
          <cell r="V4100" t="str">
            <v>not neg pair</v>
          </cell>
          <cell r="Y4100" t="str">
            <v>Past</v>
          </cell>
          <cell r="Z4100">
            <v>2.74</v>
          </cell>
          <cell r="AA4100" t="str">
            <v>L</v>
          </cell>
          <cell r="AB4100">
            <v>0</v>
          </cell>
        </row>
        <row r="4101">
          <cell r="G4101" t="str">
            <v>X1320_1</v>
          </cell>
          <cell r="H4101" t="str">
            <v>as-as</v>
          </cell>
          <cell r="I4101" t="str">
            <v>sim</v>
          </cell>
          <cell r="V4101" t="str">
            <v>not neg pair</v>
          </cell>
          <cell r="Y4101" t="str">
            <v>Past</v>
          </cell>
          <cell r="Z4101">
            <v>2.74</v>
          </cell>
          <cell r="AA4101" t="str">
            <v>L</v>
          </cell>
          <cell r="AB4101">
            <v>0</v>
          </cell>
        </row>
        <row r="4102">
          <cell r="G4102" t="str">
            <v>X1321_0</v>
          </cell>
          <cell r="H4102" t="str">
            <v>the-of</v>
          </cell>
          <cell r="I4102" t="str">
            <v>sim</v>
          </cell>
          <cell r="V4102" t="str">
            <v>not</v>
          </cell>
          <cell r="Y4102" t="str">
            <v>Past</v>
          </cell>
          <cell r="Z4102">
            <v>3.36</v>
          </cell>
          <cell r="AA4102">
            <v>0</v>
          </cell>
          <cell r="AB4102">
            <v>0</v>
          </cell>
        </row>
        <row r="4103">
          <cell r="G4103" t="str">
            <v>X1321_1</v>
          </cell>
          <cell r="H4103" t="str">
            <v>the-of</v>
          </cell>
          <cell r="I4103" t="str">
            <v>sim</v>
          </cell>
          <cell r="V4103" t="str">
            <v>not</v>
          </cell>
          <cell r="Y4103" t="str">
            <v>Past</v>
          </cell>
          <cell r="Z4103">
            <v>3.36</v>
          </cell>
          <cell r="AA4103">
            <v>0</v>
          </cell>
          <cell r="AB4103">
            <v>0</v>
          </cell>
        </row>
        <row r="4104">
          <cell r="G4104" t="str">
            <v>X1322_0</v>
          </cell>
          <cell r="H4104" t="str">
            <v>as-as</v>
          </cell>
          <cell r="I4104" t="str">
            <v>sim</v>
          </cell>
          <cell r="V4104" t="str">
            <v>antonym</v>
          </cell>
          <cell r="Y4104" t="str">
            <v>Past</v>
          </cell>
          <cell r="Z4104">
            <v>4.21</v>
          </cell>
          <cell r="AA4104">
            <v>0</v>
          </cell>
          <cell r="AB4104">
            <v>0</v>
          </cell>
        </row>
        <row r="4105">
          <cell r="G4105" t="str">
            <v>X1322_1</v>
          </cell>
          <cell r="H4105" t="str">
            <v>as-as</v>
          </cell>
          <cell r="I4105" t="str">
            <v>sim</v>
          </cell>
          <cell r="V4105" t="str">
            <v>antonym</v>
          </cell>
          <cell r="Y4105" t="str">
            <v>Past</v>
          </cell>
          <cell r="Z4105">
            <v>4.21</v>
          </cell>
          <cell r="AA4105">
            <v>0</v>
          </cell>
          <cell r="AB4105">
            <v>0</v>
          </cell>
        </row>
        <row r="4106">
          <cell r="G4106" t="str">
            <v>X1323_0</v>
          </cell>
          <cell r="H4106" t="str">
            <v>as-as</v>
          </cell>
          <cell r="I4106" t="str">
            <v>sim</v>
          </cell>
          <cell r="V4106" t="str">
            <v>not neg pair</v>
          </cell>
          <cell r="Y4106" t="str">
            <v>Past</v>
          </cell>
          <cell r="Z4106">
            <v>4.79</v>
          </cell>
          <cell r="AA4106">
            <v>0</v>
          </cell>
          <cell r="AB4106">
            <v>0</v>
          </cell>
        </row>
        <row r="4107">
          <cell r="G4107" t="str">
            <v>X1323_1</v>
          </cell>
          <cell r="H4107" t="str">
            <v>as-as</v>
          </cell>
          <cell r="I4107" t="str">
            <v>sim</v>
          </cell>
          <cell r="V4107" t="str">
            <v>not neg pair</v>
          </cell>
          <cell r="Y4107" t="str">
            <v>Past</v>
          </cell>
          <cell r="Z4107">
            <v>4.79</v>
          </cell>
          <cell r="AA4107">
            <v>0</v>
          </cell>
          <cell r="AB4107">
            <v>0</v>
          </cell>
        </row>
        <row r="4108">
          <cell r="G4108" t="str">
            <v>X1324_0</v>
          </cell>
          <cell r="H4108" t="str">
            <v>as-as</v>
          </cell>
          <cell r="I4108" t="str">
            <v>sim</v>
          </cell>
          <cell r="V4108" t="str">
            <v>not</v>
          </cell>
          <cell r="Y4108">
            <v>0</v>
          </cell>
          <cell r="Z4108">
            <v>3.48</v>
          </cell>
          <cell r="AA4108">
            <v>0</v>
          </cell>
          <cell r="AB4108">
            <v>0</v>
          </cell>
        </row>
        <row r="4109">
          <cell r="G4109" t="str">
            <v>X1324_1</v>
          </cell>
          <cell r="H4109" t="str">
            <v>as-as</v>
          </cell>
          <cell r="I4109" t="str">
            <v>sim</v>
          </cell>
          <cell r="V4109" t="str">
            <v>not</v>
          </cell>
          <cell r="Y4109">
            <v>0</v>
          </cell>
          <cell r="Z4109">
            <v>3.48</v>
          </cell>
          <cell r="AA4109">
            <v>0</v>
          </cell>
          <cell r="AB4109">
            <v>0</v>
          </cell>
        </row>
        <row r="4110">
          <cell r="G4110" t="str">
            <v>X1325_0</v>
          </cell>
          <cell r="H4110" t="str">
            <v>as-as</v>
          </cell>
          <cell r="I4110" t="str">
            <v>sim</v>
          </cell>
          <cell r="V4110" t="str">
            <v>antonym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</row>
        <row r="4111">
          <cell r="G4111" t="str">
            <v>X1325_1</v>
          </cell>
          <cell r="H4111" t="str">
            <v>as-as</v>
          </cell>
          <cell r="I4111" t="str">
            <v>sim</v>
          </cell>
          <cell r="V4111" t="str">
            <v>antonym</v>
          </cell>
          <cell r="Y4111">
            <v>0</v>
          </cell>
          <cell r="Z4111">
            <v>4.75</v>
          </cell>
          <cell r="AA4111">
            <v>0</v>
          </cell>
          <cell r="AB4111">
            <v>0</v>
          </cell>
        </row>
        <row r="4112">
          <cell r="G4112" t="str">
            <v>X1326_0</v>
          </cell>
          <cell r="H4112" t="str">
            <v/>
          </cell>
          <cell r="I4112" t="str">
            <v>met</v>
          </cell>
          <cell r="V4112" t="str">
            <v>0</v>
          </cell>
          <cell r="Y4112" t="str">
            <v>Pres</v>
          </cell>
          <cell r="Z4112">
            <v>4.8600000000000003</v>
          </cell>
          <cell r="AA4112">
            <v>0</v>
          </cell>
          <cell r="AB4112">
            <v>0</v>
          </cell>
        </row>
        <row r="4113">
          <cell r="G4113" t="str">
            <v>X1326_1</v>
          </cell>
          <cell r="H4113" t="str">
            <v/>
          </cell>
          <cell r="I4113" t="str">
            <v>met</v>
          </cell>
          <cell r="V4113" t="str">
            <v>0</v>
          </cell>
          <cell r="Y4113" t="str">
            <v>Pres</v>
          </cell>
          <cell r="Z4113">
            <v>4.8600000000000003</v>
          </cell>
          <cell r="AA4113">
            <v>0</v>
          </cell>
          <cell r="AB4113">
            <v>0</v>
          </cell>
        </row>
        <row r="4114">
          <cell r="G4114" t="str">
            <v>X1327_0</v>
          </cell>
          <cell r="H4114" t="str">
            <v/>
          </cell>
          <cell r="I4114" t="str">
            <v>met</v>
          </cell>
          <cell r="V4114" t="str">
            <v>0</v>
          </cell>
          <cell r="Y4114" t="str">
            <v>Pres</v>
          </cell>
          <cell r="Z4114">
            <v>4.78</v>
          </cell>
          <cell r="AA4114">
            <v>0</v>
          </cell>
          <cell r="AB4114">
            <v>0</v>
          </cell>
        </row>
        <row r="4115">
          <cell r="G4115" t="str">
            <v>X1327_1</v>
          </cell>
          <cell r="H4115" t="str">
            <v/>
          </cell>
          <cell r="I4115" t="str">
            <v>met</v>
          </cell>
          <cell r="V4115" t="str">
            <v>0</v>
          </cell>
          <cell r="Y4115" t="str">
            <v>Pres</v>
          </cell>
          <cell r="Z4115">
            <v>4.78</v>
          </cell>
          <cell r="AA4115">
            <v>0</v>
          </cell>
          <cell r="AB4115">
            <v>0</v>
          </cell>
        </row>
        <row r="4116">
          <cell r="G4116" t="str">
            <v>X1328_0</v>
          </cell>
          <cell r="H4116" t="str">
            <v>as-as</v>
          </cell>
          <cell r="I4116" t="str">
            <v>sim</v>
          </cell>
          <cell r="V4116" t="str">
            <v>not neg pair</v>
          </cell>
          <cell r="Y4116" t="str">
            <v>Past</v>
          </cell>
          <cell r="Z4116">
            <v>4.5</v>
          </cell>
          <cell r="AA4116">
            <v>0</v>
          </cell>
          <cell r="AB4116">
            <v>0</v>
          </cell>
        </row>
        <row r="4117">
          <cell r="G4117" t="str">
            <v>X1328_1</v>
          </cell>
          <cell r="H4117" t="str">
            <v>as-as</v>
          </cell>
          <cell r="I4117" t="str">
            <v>sim</v>
          </cell>
          <cell r="V4117" t="str">
            <v>not neg pair</v>
          </cell>
          <cell r="Y4117" t="str">
            <v>Past</v>
          </cell>
          <cell r="Z4117">
            <v>4.5</v>
          </cell>
          <cell r="AA4117">
            <v>0</v>
          </cell>
          <cell r="AB4117">
            <v>0</v>
          </cell>
        </row>
        <row r="4118">
          <cell r="G4118" t="str">
            <v>X1329_0</v>
          </cell>
          <cell r="H4118" t="str">
            <v>as-as</v>
          </cell>
          <cell r="I4118" t="str">
            <v>sim</v>
          </cell>
          <cell r="V4118" t="str">
            <v>not</v>
          </cell>
          <cell r="Y4118" t="str">
            <v>Past</v>
          </cell>
          <cell r="Z4118">
            <v>3.89</v>
          </cell>
          <cell r="AA4118">
            <v>0</v>
          </cell>
          <cell r="AB4118">
            <v>0</v>
          </cell>
        </row>
        <row r="4119">
          <cell r="G4119" t="str">
            <v>X1329_1</v>
          </cell>
          <cell r="H4119" t="str">
            <v>as-as</v>
          </cell>
          <cell r="I4119" t="str">
            <v>sim</v>
          </cell>
          <cell r="V4119" t="str">
            <v>not</v>
          </cell>
          <cell r="Y4119" t="str">
            <v>Past</v>
          </cell>
          <cell r="Z4119">
            <v>3.89</v>
          </cell>
          <cell r="AA4119">
            <v>0</v>
          </cell>
          <cell r="AB4119">
            <v>0</v>
          </cell>
        </row>
        <row r="4120">
          <cell r="G4120" t="str">
            <v>X1330_0</v>
          </cell>
          <cell r="H4120" t="str">
            <v>as-as</v>
          </cell>
          <cell r="I4120" t="str">
            <v>sim</v>
          </cell>
          <cell r="V4120" t="str">
            <v>not</v>
          </cell>
          <cell r="Y4120" t="str">
            <v>Past</v>
          </cell>
          <cell r="Z4120">
            <v>4.6900000000000004</v>
          </cell>
          <cell r="AA4120">
            <v>0</v>
          </cell>
          <cell r="AB4120">
            <v>0</v>
          </cell>
        </row>
        <row r="4121">
          <cell r="G4121" t="str">
            <v>X1330_1</v>
          </cell>
          <cell r="H4121" t="str">
            <v>as-as</v>
          </cell>
          <cell r="I4121" t="str">
            <v>sim</v>
          </cell>
          <cell r="V4121" t="str">
            <v>not</v>
          </cell>
          <cell r="Y4121" t="str">
            <v>Past</v>
          </cell>
          <cell r="Z4121">
            <v>4.6900000000000004</v>
          </cell>
          <cell r="AA4121">
            <v>0</v>
          </cell>
          <cell r="AB4121">
            <v>0</v>
          </cell>
        </row>
        <row r="4122">
          <cell r="G4122" t="str">
            <v>X1331_0</v>
          </cell>
          <cell r="H4122" t="str">
            <v/>
          </cell>
          <cell r="I4122" t="str">
            <v>met</v>
          </cell>
          <cell r="V4122" t="str">
            <v>0</v>
          </cell>
          <cell r="Y4122" t="str">
            <v>Past</v>
          </cell>
          <cell r="Z4122">
            <v>0</v>
          </cell>
          <cell r="AA4122">
            <v>0</v>
          </cell>
          <cell r="AB4122">
            <v>0</v>
          </cell>
        </row>
        <row r="4123">
          <cell r="G4123" t="str">
            <v>X1331_1</v>
          </cell>
          <cell r="H4123" t="str">
            <v/>
          </cell>
          <cell r="I4123" t="str">
            <v>met</v>
          </cell>
          <cell r="V4123" t="str">
            <v>0</v>
          </cell>
          <cell r="Y4123" t="str">
            <v>Pres</v>
          </cell>
          <cell r="Z4123">
            <v>3.36</v>
          </cell>
          <cell r="AA4123">
            <v>0</v>
          </cell>
          <cell r="AB4123">
            <v>0</v>
          </cell>
        </row>
        <row r="4124">
          <cell r="G4124" t="str">
            <v>X1332_0</v>
          </cell>
          <cell r="H4124" t="str">
            <v/>
          </cell>
          <cell r="I4124" t="str">
            <v>met</v>
          </cell>
          <cell r="V4124" t="str">
            <v>0</v>
          </cell>
          <cell r="Y4124" t="str">
            <v>Pres</v>
          </cell>
          <cell r="Z4124">
            <v>3.93</v>
          </cell>
          <cell r="AA4124">
            <v>0</v>
          </cell>
          <cell r="AB4124">
            <v>0</v>
          </cell>
        </row>
        <row r="4125">
          <cell r="G4125" t="str">
            <v>X1332_1</v>
          </cell>
          <cell r="H4125" t="str">
            <v/>
          </cell>
          <cell r="I4125" t="str">
            <v>met</v>
          </cell>
          <cell r="V4125" t="str">
            <v>0</v>
          </cell>
          <cell r="Y4125" t="str">
            <v>Pres</v>
          </cell>
          <cell r="Z4125">
            <v>3.93</v>
          </cell>
          <cell r="AA4125">
            <v>0</v>
          </cell>
          <cell r="AB4125">
            <v>0</v>
          </cell>
        </row>
        <row r="4126">
          <cell r="G4126" t="str">
            <v>X1333_0</v>
          </cell>
          <cell r="H4126" t="str">
            <v/>
          </cell>
          <cell r="I4126" t="str">
            <v>met</v>
          </cell>
          <cell r="V4126" t="str">
            <v>0</v>
          </cell>
          <cell r="Y4126" t="str">
            <v>Past</v>
          </cell>
          <cell r="Z4126">
            <v>4.8899999999999997</v>
          </cell>
          <cell r="AA4126">
            <v>0</v>
          </cell>
          <cell r="AB4126">
            <v>0</v>
          </cell>
        </row>
        <row r="4127">
          <cell r="G4127" t="str">
            <v>X1333_1</v>
          </cell>
          <cell r="H4127" t="str">
            <v/>
          </cell>
          <cell r="I4127" t="str">
            <v>met</v>
          </cell>
          <cell r="V4127" t="str">
            <v>0</v>
          </cell>
          <cell r="Y4127" t="str">
            <v>Pres</v>
          </cell>
          <cell r="Z4127">
            <v>4.8899999999999997</v>
          </cell>
          <cell r="AA4127">
            <v>0</v>
          </cell>
          <cell r="AB4127">
            <v>0</v>
          </cell>
        </row>
        <row r="4128">
          <cell r="G4128" t="str">
            <v>X1334_0</v>
          </cell>
          <cell r="H4128" t="str">
            <v>as-as</v>
          </cell>
          <cell r="I4128" t="str">
            <v>sim</v>
          </cell>
          <cell r="V4128" t="str">
            <v>antonym</v>
          </cell>
          <cell r="Y4128" t="str">
            <v>Past</v>
          </cell>
          <cell r="Z4128">
            <v>4.8099999999999996</v>
          </cell>
          <cell r="AA4128">
            <v>0</v>
          </cell>
          <cell r="AB4128">
            <v>0</v>
          </cell>
        </row>
        <row r="4129">
          <cell r="G4129" t="str">
            <v>X1334_1</v>
          </cell>
          <cell r="H4129" t="str">
            <v>as-as</v>
          </cell>
          <cell r="I4129" t="str">
            <v>sim</v>
          </cell>
          <cell r="V4129" t="str">
            <v>antonym</v>
          </cell>
          <cell r="Y4129" t="str">
            <v>Past</v>
          </cell>
          <cell r="Z4129">
            <v>4.8099999999999996</v>
          </cell>
          <cell r="AA4129">
            <v>0</v>
          </cell>
          <cell r="AB4129">
            <v>0</v>
          </cell>
        </row>
        <row r="4130">
          <cell r="G4130" t="str">
            <v>X1335_0</v>
          </cell>
          <cell r="H4130" t="str">
            <v>the-of</v>
          </cell>
          <cell r="I4130" t="str">
            <v>sim</v>
          </cell>
          <cell r="V4130" t="str">
            <v>not</v>
          </cell>
          <cell r="Y4130" t="str">
            <v>Past</v>
          </cell>
          <cell r="Z4130">
            <v>3.14</v>
          </cell>
          <cell r="AA4130">
            <v>0</v>
          </cell>
          <cell r="AB4130">
            <v>0</v>
          </cell>
        </row>
        <row r="4131">
          <cell r="G4131" t="str">
            <v>X1335_1</v>
          </cell>
          <cell r="H4131" t="str">
            <v>the-of</v>
          </cell>
          <cell r="I4131" t="str">
            <v>sim</v>
          </cell>
          <cell r="V4131" t="str">
            <v>not</v>
          </cell>
          <cell r="Y4131" t="str">
            <v>Past</v>
          </cell>
          <cell r="Z4131">
            <v>3.14</v>
          </cell>
          <cell r="AA4131">
            <v>0</v>
          </cell>
          <cell r="AB4131">
            <v>0</v>
          </cell>
        </row>
        <row r="4132">
          <cell r="G4132" t="str">
            <v>X1336_0</v>
          </cell>
          <cell r="H4132" t="str">
            <v>the-of</v>
          </cell>
          <cell r="I4132" t="str">
            <v>sim</v>
          </cell>
          <cell r="V4132" t="str">
            <v>not</v>
          </cell>
          <cell r="Y4132" t="str">
            <v>Past</v>
          </cell>
          <cell r="Z4132">
            <v>3.93</v>
          </cell>
          <cell r="AA4132">
            <v>0</v>
          </cell>
          <cell r="AB4132">
            <v>0</v>
          </cell>
        </row>
        <row r="4133">
          <cell r="G4133" t="str">
            <v>X1336_1</v>
          </cell>
          <cell r="H4133" t="str">
            <v>the-of</v>
          </cell>
          <cell r="I4133" t="str">
            <v>sim</v>
          </cell>
          <cell r="V4133" t="str">
            <v>not</v>
          </cell>
          <cell r="Y4133" t="str">
            <v>Past</v>
          </cell>
          <cell r="Z4133">
            <v>3.93</v>
          </cell>
          <cell r="AA4133">
            <v>0</v>
          </cell>
          <cell r="AB4133">
            <v>0</v>
          </cell>
        </row>
        <row r="4134">
          <cell r="G4134" t="str">
            <v>X1337_0</v>
          </cell>
          <cell r="H4134" t="str">
            <v/>
          </cell>
          <cell r="I4134" t="str">
            <v>met</v>
          </cell>
          <cell r="V4134" t="str">
            <v>0</v>
          </cell>
          <cell r="Y4134" t="str">
            <v>Past</v>
          </cell>
          <cell r="Z4134">
            <v>4.96</v>
          </cell>
          <cell r="AA4134" t="str">
            <v>H</v>
          </cell>
          <cell r="AB4134">
            <v>0</v>
          </cell>
        </row>
        <row r="4135">
          <cell r="G4135" t="str">
            <v>X1337_1</v>
          </cell>
          <cell r="H4135" t="str">
            <v/>
          </cell>
          <cell r="I4135" t="str">
            <v>met</v>
          </cell>
          <cell r="V4135" t="str">
            <v>0</v>
          </cell>
          <cell r="Y4135" t="str">
            <v>Past</v>
          </cell>
          <cell r="Z4135">
            <v>4.96</v>
          </cell>
          <cell r="AA4135" t="str">
            <v>H</v>
          </cell>
          <cell r="AB4135">
            <v>0</v>
          </cell>
        </row>
        <row r="4136">
          <cell r="G4136" t="str">
            <v>X1338_0</v>
          </cell>
          <cell r="H4136" t="str">
            <v/>
          </cell>
          <cell r="I4136" t="str">
            <v>met</v>
          </cell>
          <cell r="V4136" t="str">
            <v>0</v>
          </cell>
          <cell r="Y4136" t="str">
            <v>Past</v>
          </cell>
          <cell r="Z4136">
            <v>0</v>
          </cell>
          <cell r="AA4136">
            <v>0</v>
          </cell>
          <cell r="AB4136">
            <v>0</v>
          </cell>
        </row>
        <row r="4137">
          <cell r="G4137" t="str">
            <v>X1338_1</v>
          </cell>
          <cell r="H4137" t="str">
            <v/>
          </cell>
          <cell r="I4137" t="str">
            <v>met</v>
          </cell>
          <cell r="V4137" t="str">
            <v>0</v>
          </cell>
          <cell r="Y4137" t="str">
            <v>Past</v>
          </cell>
          <cell r="Z4137">
            <v>0</v>
          </cell>
          <cell r="AA4137">
            <v>0</v>
          </cell>
          <cell r="AB4137">
            <v>0</v>
          </cell>
        </row>
        <row r="4138">
          <cell r="G4138" t="str">
            <v>X1339_0</v>
          </cell>
          <cell r="H4138" t="str">
            <v>the-of</v>
          </cell>
          <cell r="I4138" t="str">
            <v>sim</v>
          </cell>
          <cell r="V4138" t="str">
            <v>not neg pair</v>
          </cell>
          <cell r="Y4138" t="str">
            <v>Past</v>
          </cell>
          <cell r="Z4138">
            <v>4.6900000000000004</v>
          </cell>
          <cell r="AA4138">
            <v>0</v>
          </cell>
          <cell r="AB4138">
            <v>0</v>
          </cell>
        </row>
        <row r="4139">
          <cell r="G4139" t="str">
            <v>X1339_1</v>
          </cell>
          <cell r="H4139" t="str">
            <v>the-of</v>
          </cell>
          <cell r="I4139" t="str">
            <v>sim</v>
          </cell>
          <cell r="V4139" t="str">
            <v>not neg pair</v>
          </cell>
          <cell r="Y4139" t="str">
            <v>Past</v>
          </cell>
          <cell r="Z4139">
            <v>4.6900000000000004</v>
          </cell>
          <cell r="AA4139">
            <v>0</v>
          </cell>
          <cell r="AB4139">
            <v>0</v>
          </cell>
        </row>
        <row r="4140">
          <cell r="G4140" t="str">
            <v>X1340_0</v>
          </cell>
          <cell r="H4140" t="str">
            <v>like</v>
          </cell>
          <cell r="I4140" t="str">
            <v>sim</v>
          </cell>
          <cell r="V4140" t="str">
            <v>not</v>
          </cell>
          <cell r="Y4140" t="str">
            <v>Past</v>
          </cell>
          <cell r="Z4140">
            <v>3.93</v>
          </cell>
          <cell r="AA4140">
            <v>0</v>
          </cell>
          <cell r="AB4140">
            <v>0</v>
          </cell>
        </row>
        <row r="4141">
          <cell r="G4141" t="str">
            <v>X1340_1</v>
          </cell>
          <cell r="H4141" t="str">
            <v>like</v>
          </cell>
          <cell r="I4141" t="str">
            <v>sim</v>
          </cell>
          <cell r="V4141" t="str">
            <v>not</v>
          </cell>
          <cell r="Y4141" t="str">
            <v>Past</v>
          </cell>
          <cell r="Z4141">
            <v>3.93</v>
          </cell>
          <cell r="AA4141">
            <v>0</v>
          </cell>
          <cell r="AB4141">
            <v>0</v>
          </cell>
        </row>
        <row r="4142">
          <cell r="G4142" t="str">
            <v>X1341_0</v>
          </cell>
          <cell r="H4142" t="str">
            <v>as-as</v>
          </cell>
          <cell r="I4142" t="str">
            <v>sim</v>
          </cell>
          <cell r="V4142" t="str">
            <v>not</v>
          </cell>
          <cell r="Y4142" t="str">
            <v>Past</v>
          </cell>
          <cell r="Z4142">
            <v>3.93</v>
          </cell>
          <cell r="AA4142">
            <v>0</v>
          </cell>
          <cell r="AB4142">
            <v>0</v>
          </cell>
        </row>
        <row r="4143">
          <cell r="G4143" t="str">
            <v>X1341_1</v>
          </cell>
          <cell r="H4143" t="str">
            <v>as-as</v>
          </cell>
          <cell r="I4143" t="str">
            <v>sim</v>
          </cell>
          <cell r="V4143" t="str">
            <v>not</v>
          </cell>
          <cell r="Y4143" t="str">
            <v>Past</v>
          </cell>
          <cell r="Z4143">
            <v>3.93</v>
          </cell>
          <cell r="AA4143">
            <v>0</v>
          </cell>
          <cell r="AB4143">
            <v>0</v>
          </cell>
        </row>
        <row r="4144">
          <cell r="G4144" t="str">
            <v>X1342_0</v>
          </cell>
          <cell r="H4144" t="str">
            <v>as-as</v>
          </cell>
          <cell r="I4144" t="str">
            <v>sim</v>
          </cell>
          <cell r="V4144" t="str">
            <v>not neg pair</v>
          </cell>
          <cell r="Y4144" t="str">
            <v>Past</v>
          </cell>
          <cell r="Z4144">
            <v>4.8499999999999996</v>
          </cell>
          <cell r="AA4144">
            <v>0</v>
          </cell>
          <cell r="AB4144">
            <v>0</v>
          </cell>
        </row>
        <row r="4145">
          <cell r="G4145" t="str">
            <v>X1342_1</v>
          </cell>
          <cell r="H4145" t="str">
            <v>as-as</v>
          </cell>
          <cell r="I4145" t="str">
            <v>sim</v>
          </cell>
          <cell r="V4145" t="str">
            <v>not neg pair</v>
          </cell>
          <cell r="Y4145" t="str">
            <v>Past</v>
          </cell>
          <cell r="Z4145">
            <v>4.8499999999999996</v>
          </cell>
          <cell r="AA4145">
            <v>0</v>
          </cell>
          <cell r="AB4145">
            <v>0</v>
          </cell>
        </row>
        <row r="4146">
          <cell r="G4146" t="str">
            <v>X1343_0</v>
          </cell>
          <cell r="H4146" t="str">
            <v>as-as</v>
          </cell>
          <cell r="I4146" t="str">
            <v>sim</v>
          </cell>
          <cell r="V4146" t="str">
            <v>not neg pair</v>
          </cell>
          <cell r="Y4146" t="str">
            <v>Past</v>
          </cell>
          <cell r="Z4146">
            <v>4.8499999999999996</v>
          </cell>
          <cell r="AA4146">
            <v>0</v>
          </cell>
          <cell r="AB4146">
            <v>0</v>
          </cell>
        </row>
        <row r="4147">
          <cell r="G4147" t="str">
            <v>X1343_1</v>
          </cell>
          <cell r="H4147" t="str">
            <v>as-as</v>
          </cell>
          <cell r="I4147" t="str">
            <v>sim</v>
          </cell>
          <cell r="V4147" t="str">
            <v>not neg pair</v>
          </cell>
          <cell r="Y4147" t="str">
            <v>Past</v>
          </cell>
          <cell r="Z4147">
            <v>4.8499999999999996</v>
          </cell>
          <cell r="AA4147">
            <v>0</v>
          </cell>
          <cell r="AB4147">
            <v>0</v>
          </cell>
        </row>
        <row r="4148">
          <cell r="G4148" t="str">
            <v>X1344_0</v>
          </cell>
          <cell r="H4148" t="str">
            <v>as-as</v>
          </cell>
          <cell r="I4148" t="str">
            <v>sim</v>
          </cell>
          <cell r="V4148" t="str">
            <v>antonym</v>
          </cell>
          <cell r="Y4148" t="str">
            <v>Pres</v>
          </cell>
          <cell r="Z4148">
            <v>4.93</v>
          </cell>
          <cell r="AA4148" t="str">
            <v>H</v>
          </cell>
          <cell r="AB4148">
            <v>0</v>
          </cell>
        </row>
        <row r="4149">
          <cell r="G4149" t="str">
            <v>X1344_1</v>
          </cell>
          <cell r="H4149" t="str">
            <v>as-as</v>
          </cell>
          <cell r="I4149" t="str">
            <v>sim</v>
          </cell>
          <cell r="V4149" t="str">
            <v>antonym</v>
          </cell>
          <cell r="Y4149" t="str">
            <v>Pres</v>
          </cell>
          <cell r="Z4149">
            <v>4.93</v>
          </cell>
          <cell r="AA4149" t="str">
            <v>H</v>
          </cell>
          <cell r="AB4149">
            <v>0</v>
          </cell>
        </row>
        <row r="4150">
          <cell r="G4150" t="str">
            <v>X1345_0</v>
          </cell>
          <cell r="H4150" t="str">
            <v>the-of</v>
          </cell>
          <cell r="I4150" t="str">
            <v>sim</v>
          </cell>
          <cell r="V4150" t="str">
            <v>not</v>
          </cell>
          <cell r="Y4150" t="str">
            <v>Pres</v>
          </cell>
          <cell r="Z4150">
            <v>3.93</v>
          </cell>
          <cell r="AA4150">
            <v>0</v>
          </cell>
          <cell r="AB4150">
            <v>0</v>
          </cell>
        </row>
        <row r="4151">
          <cell r="G4151" t="str">
            <v>X1345_1</v>
          </cell>
          <cell r="H4151" t="str">
            <v>the-of</v>
          </cell>
          <cell r="I4151" t="str">
            <v>sim</v>
          </cell>
          <cell r="V4151" t="str">
            <v>not</v>
          </cell>
          <cell r="Y4151" t="str">
            <v>Pres</v>
          </cell>
          <cell r="Z4151">
            <v>3.93</v>
          </cell>
          <cell r="AA4151">
            <v>0</v>
          </cell>
          <cell r="AB4151">
            <v>0</v>
          </cell>
        </row>
        <row r="4152">
          <cell r="G4152" t="str">
            <v>X1346_0</v>
          </cell>
          <cell r="H4152" t="str">
            <v>as-as</v>
          </cell>
          <cell r="I4152" t="str">
            <v>sim</v>
          </cell>
          <cell r="V4152" t="str">
            <v>not neg pair</v>
          </cell>
          <cell r="Y4152" t="str">
            <v>Past</v>
          </cell>
          <cell r="Z4152">
            <v>4.03</v>
          </cell>
          <cell r="AA4152">
            <v>0</v>
          </cell>
          <cell r="AB4152">
            <v>0</v>
          </cell>
        </row>
        <row r="4153">
          <cell r="G4153" t="str">
            <v>X1346_1</v>
          </cell>
          <cell r="H4153" t="str">
            <v>as-as</v>
          </cell>
          <cell r="I4153" t="str">
            <v>sim</v>
          </cell>
          <cell r="V4153" t="str">
            <v>not neg pair</v>
          </cell>
          <cell r="Y4153" t="str">
            <v>Past</v>
          </cell>
          <cell r="Z4153">
            <v>4.03</v>
          </cell>
          <cell r="AA4153">
            <v>0</v>
          </cell>
          <cell r="AB4153">
            <v>0</v>
          </cell>
        </row>
        <row r="4154">
          <cell r="G4154" t="str">
            <v>X1347_0</v>
          </cell>
          <cell r="H4154" t="str">
            <v>the-of</v>
          </cell>
          <cell r="I4154" t="str">
            <v>sim</v>
          </cell>
          <cell r="V4154" t="str">
            <v>not neg pair</v>
          </cell>
          <cell r="Y4154" t="str">
            <v>Pres</v>
          </cell>
          <cell r="Z4154">
            <v>3.93</v>
          </cell>
          <cell r="AA4154">
            <v>0</v>
          </cell>
          <cell r="AB4154">
            <v>0</v>
          </cell>
        </row>
        <row r="4155">
          <cell r="G4155" t="str">
            <v>X1347_1</v>
          </cell>
          <cell r="H4155" t="str">
            <v>the-of</v>
          </cell>
          <cell r="I4155" t="str">
            <v>sim</v>
          </cell>
          <cell r="V4155" t="str">
            <v>not neg pair</v>
          </cell>
          <cell r="Y4155" t="str">
            <v>Pres</v>
          </cell>
          <cell r="Z4155">
            <v>3.93</v>
          </cell>
          <cell r="AA4155">
            <v>0</v>
          </cell>
          <cell r="AB4155">
            <v>0</v>
          </cell>
        </row>
        <row r="4156">
          <cell r="G4156" t="str">
            <v>X1348_0</v>
          </cell>
          <cell r="H4156" t="str">
            <v>as-as</v>
          </cell>
          <cell r="I4156" t="str">
            <v>sim</v>
          </cell>
          <cell r="V4156" t="str">
            <v>not neg pair</v>
          </cell>
          <cell r="Y4156" t="str">
            <v>Pres</v>
          </cell>
          <cell r="Z4156">
            <v>2.8</v>
          </cell>
          <cell r="AA4156" t="str">
            <v>L</v>
          </cell>
          <cell r="AB4156">
            <v>0</v>
          </cell>
        </row>
        <row r="4157">
          <cell r="G4157" t="str">
            <v>X1348_1</v>
          </cell>
          <cell r="H4157" t="str">
            <v>as-as</v>
          </cell>
          <cell r="I4157" t="str">
            <v>sim</v>
          </cell>
          <cell r="V4157" t="str">
            <v>not neg pair</v>
          </cell>
          <cell r="Y4157" t="str">
            <v>Pres</v>
          </cell>
          <cell r="Z4157">
            <v>2.8</v>
          </cell>
          <cell r="AA4157" t="str">
            <v>L</v>
          </cell>
          <cell r="AB4157">
            <v>0</v>
          </cell>
        </row>
        <row r="4158">
          <cell r="G4158" t="str">
            <v>X1349_0</v>
          </cell>
          <cell r="H4158" t="str">
            <v>as-as</v>
          </cell>
          <cell r="I4158" t="str">
            <v>sim</v>
          </cell>
          <cell r="V4158" t="str">
            <v>not neg pair</v>
          </cell>
          <cell r="Y4158" t="str">
            <v>Past</v>
          </cell>
          <cell r="Z4158">
            <v>3.08</v>
          </cell>
          <cell r="AA4158">
            <v>0</v>
          </cell>
          <cell r="AB4158">
            <v>0</v>
          </cell>
        </row>
        <row r="4159">
          <cell r="G4159" t="str">
            <v>X1349_1</v>
          </cell>
          <cell r="H4159" t="str">
            <v>as-as</v>
          </cell>
          <cell r="I4159" t="str">
            <v>sim</v>
          </cell>
          <cell r="V4159" t="str">
            <v>not neg pair</v>
          </cell>
          <cell r="Y4159" t="str">
            <v>Past</v>
          </cell>
          <cell r="Z4159">
            <v>3.08</v>
          </cell>
          <cell r="AA4159">
            <v>0</v>
          </cell>
          <cell r="AB4159">
            <v>0</v>
          </cell>
        </row>
        <row r="4160">
          <cell r="G4160" t="str">
            <v>X1350_0</v>
          </cell>
          <cell r="H4160" t="str">
            <v>as-as</v>
          </cell>
          <cell r="I4160" t="str">
            <v>sim</v>
          </cell>
          <cell r="V4160" t="str">
            <v>antonym</v>
          </cell>
          <cell r="Y4160" t="str">
            <v>Pres</v>
          </cell>
          <cell r="Z4160">
            <v>2.81</v>
          </cell>
          <cell r="AA4160">
            <v>0</v>
          </cell>
          <cell r="AB4160">
            <v>0</v>
          </cell>
        </row>
        <row r="4161">
          <cell r="G4161" t="str">
            <v>X1350_1</v>
          </cell>
          <cell r="H4161" t="str">
            <v>as-as</v>
          </cell>
          <cell r="I4161" t="str">
            <v>sim</v>
          </cell>
          <cell r="V4161" t="str">
            <v>antonym</v>
          </cell>
          <cell r="Y4161" t="str">
            <v>Pres</v>
          </cell>
          <cell r="Z4161">
            <v>2.81</v>
          </cell>
          <cell r="AA4161">
            <v>0</v>
          </cell>
          <cell r="AB4161">
            <v>0</v>
          </cell>
        </row>
        <row r="4162">
          <cell r="G4162" t="str">
            <v>X1351_0</v>
          </cell>
          <cell r="H4162" t="str">
            <v>as-as</v>
          </cell>
          <cell r="I4162" t="str">
            <v>sim</v>
          </cell>
          <cell r="V4162" t="str">
            <v>not</v>
          </cell>
          <cell r="Y4162" t="str">
            <v>Pres</v>
          </cell>
          <cell r="Z4162">
            <v>2.81</v>
          </cell>
          <cell r="AA4162">
            <v>0</v>
          </cell>
          <cell r="AB4162">
            <v>0</v>
          </cell>
        </row>
        <row r="4163">
          <cell r="G4163" t="str">
            <v>X1351_1</v>
          </cell>
          <cell r="H4163" t="str">
            <v>as-as</v>
          </cell>
          <cell r="I4163" t="str">
            <v>sim</v>
          </cell>
          <cell r="V4163" t="str">
            <v>not</v>
          </cell>
          <cell r="Y4163" t="str">
            <v>Pres</v>
          </cell>
          <cell r="Z4163">
            <v>2.81</v>
          </cell>
          <cell r="AA4163">
            <v>0</v>
          </cell>
          <cell r="AB4163">
            <v>0</v>
          </cell>
        </row>
        <row r="4164">
          <cell r="G4164" t="str">
            <v>X1352_0</v>
          </cell>
          <cell r="H4164" t="str">
            <v>as-as</v>
          </cell>
          <cell r="I4164" t="str">
            <v>sim</v>
          </cell>
          <cell r="V4164" t="str">
            <v>not neg pair</v>
          </cell>
          <cell r="Y4164" t="str">
            <v>Pres</v>
          </cell>
          <cell r="Z4164">
            <v>2.93</v>
          </cell>
          <cell r="AA4164">
            <v>0</v>
          </cell>
          <cell r="AB4164">
            <v>0</v>
          </cell>
        </row>
        <row r="4165">
          <cell r="G4165" t="str">
            <v>X1352_1</v>
          </cell>
          <cell r="H4165" t="str">
            <v>as-as</v>
          </cell>
          <cell r="I4165" t="str">
            <v>sim</v>
          </cell>
          <cell r="V4165" t="str">
            <v>not neg pair</v>
          </cell>
          <cell r="Y4165" t="str">
            <v>Pres</v>
          </cell>
          <cell r="Z4165">
            <v>2.93</v>
          </cell>
          <cell r="AA4165">
            <v>0</v>
          </cell>
          <cell r="AB4165">
            <v>0</v>
          </cell>
        </row>
        <row r="4166">
          <cell r="G4166" t="str">
            <v>X1353_0</v>
          </cell>
          <cell r="H4166" t="str">
            <v>as-as</v>
          </cell>
          <cell r="I4166" t="str">
            <v>sim</v>
          </cell>
          <cell r="V4166" t="str">
            <v>not</v>
          </cell>
          <cell r="Y4166" t="str">
            <v>Pres</v>
          </cell>
          <cell r="Z4166">
            <v>3.54</v>
          </cell>
          <cell r="AA4166">
            <v>0</v>
          </cell>
          <cell r="AB4166">
            <v>0</v>
          </cell>
        </row>
        <row r="4167">
          <cell r="G4167" t="str">
            <v>X1353_1</v>
          </cell>
          <cell r="H4167" t="str">
            <v>as-as</v>
          </cell>
          <cell r="I4167" t="str">
            <v>sim</v>
          </cell>
          <cell r="V4167" t="str">
            <v>not</v>
          </cell>
          <cell r="Y4167" t="str">
            <v>Pres</v>
          </cell>
          <cell r="Z4167">
            <v>3.54</v>
          </cell>
          <cell r="AA4167">
            <v>0</v>
          </cell>
          <cell r="AB4167">
            <v>0</v>
          </cell>
        </row>
        <row r="4168">
          <cell r="G4168" t="str">
            <v>X1354_0</v>
          </cell>
          <cell r="H4168" t="str">
            <v>the-of</v>
          </cell>
          <cell r="I4168" t="str">
            <v>sim</v>
          </cell>
          <cell r="V4168" t="str">
            <v>not</v>
          </cell>
          <cell r="Y4168" t="str">
            <v>Pres</v>
          </cell>
          <cell r="Z4168">
            <v>4.75</v>
          </cell>
          <cell r="AA4168">
            <v>0</v>
          </cell>
          <cell r="AB4168">
            <v>0</v>
          </cell>
        </row>
        <row r="4169">
          <cell r="G4169" t="str">
            <v>X1354_1</v>
          </cell>
          <cell r="H4169" t="str">
            <v>the-of</v>
          </cell>
          <cell r="I4169" t="str">
            <v>sim</v>
          </cell>
          <cell r="V4169" t="str">
            <v>not</v>
          </cell>
          <cell r="Y4169" t="str">
            <v>Pres</v>
          </cell>
          <cell r="Z4169">
            <v>4.75</v>
          </cell>
          <cell r="AA4169">
            <v>0</v>
          </cell>
          <cell r="AB4169">
            <v>0</v>
          </cell>
        </row>
        <row r="4170">
          <cell r="G4170" t="str">
            <v>X1355_0</v>
          </cell>
          <cell r="H4170" t="str">
            <v>the-of</v>
          </cell>
          <cell r="I4170" t="str">
            <v>sim</v>
          </cell>
          <cell r="V4170" t="str">
            <v>not</v>
          </cell>
          <cell r="Y4170" t="str">
            <v>Past</v>
          </cell>
          <cell r="Z4170">
            <v>4.4000000000000004</v>
          </cell>
          <cell r="AA4170">
            <v>0</v>
          </cell>
          <cell r="AB4170">
            <v>0</v>
          </cell>
        </row>
        <row r="4171">
          <cell r="G4171" t="str">
            <v>X1355_1</v>
          </cell>
          <cell r="H4171" t="str">
            <v>the-of</v>
          </cell>
          <cell r="I4171" t="str">
            <v>sim</v>
          </cell>
          <cell r="V4171" t="str">
            <v>not</v>
          </cell>
          <cell r="Y4171" t="str">
            <v>Past</v>
          </cell>
          <cell r="Z4171">
            <v>4.4000000000000004</v>
          </cell>
          <cell r="AA4171">
            <v>0</v>
          </cell>
          <cell r="AB4171">
            <v>0</v>
          </cell>
        </row>
        <row r="4172">
          <cell r="G4172" t="str">
            <v>X1356_0</v>
          </cell>
          <cell r="H4172" t="str">
            <v>as-as</v>
          </cell>
          <cell r="I4172" t="str">
            <v>sim</v>
          </cell>
          <cell r="V4172" t="str">
            <v>not</v>
          </cell>
          <cell r="Y4172" t="str">
            <v>Past</v>
          </cell>
          <cell r="Z4172">
            <v>2.93</v>
          </cell>
          <cell r="AA4172">
            <v>0</v>
          </cell>
          <cell r="AB4172">
            <v>0</v>
          </cell>
        </row>
        <row r="4173">
          <cell r="G4173" t="str">
            <v>X1356_1</v>
          </cell>
          <cell r="H4173" t="str">
            <v>as-as</v>
          </cell>
          <cell r="I4173" t="str">
            <v>sim</v>
          </cell>
          <cell r="V4173" t="str">
            <v>not</v>
          </cell>
          <cell r="Y4173" t="str">
            <v>Past</v>
          </cell>
          <cell r="Z4173">
            <v>2.93</v>
          </cell>
          <cell r="AA4173">
            <v>0</v>
          </cell>
          <cell r="AB4173">
            <v>0</v>
          </cell>
        </row>
        <row r="4174">
          <cell r="G4174" t="str">
            <v>X1357_0</v>
          </cell>
          <cell r="H4174" t="str">
            <v>like</v>
          </cell>
          <cell r="I4174" t="str">
            <v>sim</v>
          </cell>
          <cell r="V4174" t="str">
            <v>not neg pair</v>
          </cell>
          <cell r="Y4174" t="str">
            <v>Past</v>
          </cell>
          <cell r="Z4174">
            <v>5</v>
          </cell>
          <cell r="AA4174" t="str">
            <v>H</v>
          </cell>
          <cell r="AB4174">
            <v>0</v>
          </cell>
        </row>
        <row r="4175">
          <cell r="G4175" t="str">
            <v>X1357_1</v>
          </cell>
          <cell r="H4175" t="str">
            <v>like</v>
          </cell>
          <cell r="I4175" t="str">
            <v>sim</v>
          </cell>
          <cell r="V4175" t="str">
            <v>not neg pair</v>
          </cell>
          <cell r="Y4175" t="str">
            <v>Past</v>
          </cell>
          <cell r="Z4175">
            <v>5</v>
          </cell>
          <cell r="AA4175" t="str">
            <v>H</v>
          </cell>
          <cell r="AB4175">
            <v>0</v>
          </cell>
        </row>
        <row r="4176">
          <cell r="G4176" t="str">
            <v>X1358_0</v>
          </cell>
          <cell r="H4176" t="str">
            <v>as-as</v>
          </cell>
          <cell r="I4176" t="str">
            <v>sim</v>
          </cell>
          <cell r="V4176" t="str">
            <v>not</v>
          </cell>
          <cell r="Y4176" t="str">
            <v>Past</v>
          </cell>
          <cell r="Z4176">
            <v>3.36</v>
          </cell>
          <cell r="AA4176">
            <v>0</v>
          </cell>
          <cell r="AB4176">
            <v>0</v>
          </cell>
        </row>
        <row r="4177">
          <cell r="G4177" t="str">
            <v>X1358_1</v>
          </cell>
          <cell r="H4177" t="str">
            <v>as-as</v>
          </cell>
          <cell r="I4177" t="str">
            <v>sim</v>
          </cell>
          <cell r="V4177" t="str">
            <v>not</v>
          </cell>
          <cell r="Y4177" t="str">
            <v>Past</v>
          </cell>
          <cell r="Z4177">
            <v>3.36</v>
          </cell>
          <cell r="AA4177">
            <v>0</v>
          </cell>
          <cell r="AB4177">
            <v>0</v>
          </cell>
        </row>
        <row r="4178">
          <cell r="G4178" t="str">
            <v>X1359_0</v>
          </cell>
          <cell r="H4178" t="str">
            <v/>
          </cell>
          <cell r="I4178" t="str">
            <v>met</v>
          </cell>
          <cell r="V4178" t="str">
            <v>0</v>
          </cell>
          <cell r="Y4178" t="str">
            <v>Past</v>
          </cell>
          <cell r="Z4178">
            <v>3.93</v>
          </cell>
          <cell r="AA4178">
            <v>0</v>
          </cell>
          <cell r="AB4178">
            <v>0</v>
          </cell>
        </row>
        <row r="4179">
          <cell r="G4179" t="str">
            <v>X1359_1</v>
          </cell>
          <cell r="H4179" t="str">
            <v/>
          </cell>
          <cell r="I4179" t="str">
            <v>met</v>
          </cell>
          <cell r="V4179" t="str">
            <v>0</v>
          </cell>
          <cell r="Y4179" t="str">
            <v>Past</v>
          </cell>
          <cell r="Z4179">
            <v>3.93</v>
          </cell>
          <cell r="AA4179">
            <v>0</v>
          </cell>
          <cell r="AB4179">
            <v>0</v>
          </cell>
        </row>
        <row r="4180">
          <cell r="G4180" t="str">
            <v>X1360_0</v>
          </cell>
          <cell r="H4180" t="str">
            <v/>
          </cell>
          <cell r="I4180" t="str">
            <v>met</v>
          </cell>
          <cell r="V4180" t="str">
            <v>0</v>
          </cell>
          <cell r="Y4180" t="str">
            <v>Past</v>
          </cell>
          <cell r="Z4180">
            <v>4.75</v>
          </cell>
          <cell r="AA4180">
            <v>0</v>
          </cell>
          <cell r="AB4180">
            <v>0</v>
          </cell>
        </row>
        <row r="4181">
          <cell r="G4181" t="str">
            <v>X1360_1</v>
          </cell>
          <cell r="H4181" t="str">
            <v/>
          </cell>
          <cell r="I4181" t="str">
            <v>met</v>
          </cell>
          <cell r="V4181" t="str">
            <v>0</v>
          </cell>
          <cell r="Y4181" t="str">
            <v>Past</v>
          </cell>
          <cell r="Z4181">
            <v>4.75</v>
          </cell>
          <cell r="AA4181">
            <v>0</v>
          </cell>
          <cell r="AB4181">
            <v>0</v>
          </cell>
        </row>
        <row r="4182">
          <cell r="G4182" t="str">
            <v>X1361_0</v>
          </cell>
          <cell r="H4182" t="str">
            <v>like</v>
          </cell>
          <cell r="I4182" t="str">
            <v>sim</v>
          </cell>
          <cell r="V4182" t="str">
            <v>not neg pair</v>
          </cell>
          <cell r="Y4182" t="str">
            <v>Past</v>
          </cell>
          <cell r="Z4182">
            <v>5</v>
          </cell>
          <cell r="AA4182" t="str">
            <v>H</v>
          </cell>
          <cell r="AB4182">
            <v>0</v>
          </cell>
        </row>
        <row r="4183">
          <cell r="G4183" t="str">
            <v>X1361_1</v>
          </cell>
          <cell r="H4183" t="str">
            <v>like</v>
          </cell>
          <cell r="I4183" t="str">
            <v>sim</v>
          </cell>
          <cell r="V4183" t="str">
            <v>not neg pair</v>
          </cell>
          <cell r="Y4183" t="str">
            <v>Past</v>
          </cell>
          <cell r="Z4183">
            <v>5</v>
          </cell>
          <cell r="AA4183" t="str">
            <v>H</v>
          </cell>
          <cell r="AB4183">
            <v>0</v>
          </cell>
        </row>
        <row r="4184">
          <cell r="G4184" t="str">
            <v>X1362_0</v>
          </cell>
          <cell r="H4184" t="str">
            <v/>
          </cell>
          <cell r="I4184" t="str">
            <v>met</v>
          </cell>
          <cell r="V4184" t="str">
            <v>0</v>
          </cell>
          <cell r="Y4184" t="str">
            <v>Past</v>
          </cell>
          <cell r="Z4184">
            <v>0</v>
          </cell>
          <cell r="AA4184">
            <v>0</v>
          </cell>
          <cell r="AB4184">
            <v>0</v>
          </cell>
        </row>
        <row r="4185">
          <cell r="G4185" t="str">
            <v>X1362_1</v>
          </cell>
          <cell r="H4185" t="str">
            <v/>
          </cell>
          <cell r="I4185" t="str">
            <v>met</v>
          </cell>
          <cell r="V4185" t="str">
            <v>0</v>
          </cell>
          <cell r="Y4185" t="str">
            <v>Past</v>
          </cell>
          <cell r="Z4185">
            <v>0</v>
          </cell>
          <cell r="AA4185">
            <v>0</v>
          </cell>
          <cell r="AB4185">
            <v>0</v>
          </cell>
        </row>
        <row r="4186">
          <cell r="G4186" t="str">
            <v>X1363_0</v>
          </cell>
          <cell r="H4186" t="str">
            <v>like</v>
          </cell>
          <cell r="I4186" t="str">
            <v>sim</v>
          </cell>
          <cell r="V4186" t="str">
            <v>not neg pair</v>
          </cell>
          <cell r="Y4186" t="str">
            <v>Pres</v>
          </cell>
          <cell r="Z4186">
            <v>2.69</v>
          </cell>
          <cell r="AA4186" t="str">
            <v>L</v>
          </cell>
          <cell r="AB4186">
            <v>0</v>
          </cell>
        </row>
        <row r="4187">
          <cell r="G4187" t="str">
            <v>X1363_1</v>
          </cell>
          <cell r="H4187" t="str">
            <v>like</v>
          </cell>
          <cell r="I4187" t="str">
            <v>sim</v>
          </cell>
          <cell r="V4187" t="str">
            <v>not neg pair</v>
          </cell>
          <cell r="Y4187" t="str">
            <v>Pres</v>
          </cell>
          <cell r="Z4187">
            <v>2.69</v>
          </cell>
          <cell r="AA4187" t="str">
            <v>L</v>
          </cell>
          <cell r="AB4187">
            <v>0</v>
          </cell>
        </row>
        <row r="4188">
          <cell r="G4188" t="str">
            <v>X1364_0</v>
          </cell>
          <cell r="H4188" t="str">
            <v>the-of</v>
          </cell>
          <cell r="I4188" t="str">
            <v>sim</v>
          </cell>
          <cell r="V4188" t="str">
            <v>not</v>
          </cell>
          <cell r="Y4188" t="str">
            <v>Pres</v>
          </cell>
          <cell r="Z4188">
            <v>5</v>
          </cell>
          <cell r="AA4188" t="str">
            <v>H</v>
          </cell>
          <cell r="AB4188">
            <v>0</v>
          </cell>
        </row>
        <row r="4189">
          <cell r="G4189" t="str">
            <v>X1364_1</v>
          </cell>
          <cell r="H4189" t="str">
            <v>the-of</v>
          </cell>
          <cell r="I4189" t="str">
            <v>sim</v>
          </cell>
          <cell r="V4189" t="str">
            <v>not</v>
          </cell>
          <cell r="Y4189" t="str">
            <v>Pres</v>
          </cell>
          <cell r="Z4189">
            <v>5</v>
          </cell>
          <cell r="AA4189" t="str">
            <v>H</v>
          </cell>
          <cell r="AB4189">
            <v>0</v>
          </cell>
        </row>
        <row r="4190">
          <cell r="G4190" t="str">
            <v>X1365_0</v>
          </cell>
          <cell r="H4190" t="str">
            <v/>
          </cell>
          <cell r="I4190" t="str">
            <v>met</v>
          </cell>
          <cell r="V4190" t="str">
            <v>0</v>
          </cell>
          <cell r="Y4190" t="str">
            <v>Pres</v>
          </cell>
          <cell r="Z4190">
            <v>4.13</v>
          </cell>
          <cell r="AA4190">
            <v>0</v>
          </cell>
          <cell r="AB4190">
            <v>0</v>
          </cell>
        </row>
        <row r="4191">
          <cell r="G4191" t="str">
            <v>X1365_1</v>
          </cell>
          <cell r="H4191" t="str">
            <v/>
          </cell>
          <cell r="I4191" t="str">
            <v>met</v>
          </cell>
          <cell r="V4191" t="str">
            <v>0</v>
          </cell>
          <cell r="Y4191">
            <v>0</v>
          </cell>
          <cell r="Z4191">
            <v>4.13</v>
          </cell>
          <cell r="AA4191">
            <v>0</v>
          </cell>
          <cell r="AB4191">
            <v>0</v>
          </cell>
        </row>
        <row r="4192">
          <cell r="G4192" t="str">
            <v>X1366_0</v>
          </cell>
          <cell r="H4192" t="str">
            <v>the-of</v>
          </cell>
          <cell r="I4192" t="str">
            <v>sim</v>
          </cell>
          <cell r="V4192" t="str">
            <v>not neg pair</v>
          </cell>
          <cell r="Y4192" t="str">
            <v>Pres</v>
          </cell>
          <cell r="Z4192">
            <v>4.59</v>
          </cell>
          <cell r="AA4192">
            <v>0</v>
          </cell>
          <cell r="AB4192">
            <v>0</v>
          </cell>
        </row>
        <row r="4193">
          <cell r="G4193" t="str">
            <v>X1366_1</v>
          </cell>
          <cell r="H4193" t="str">
            <v>the-of</v>
          </cell>
          <cell r="I4193" t="str">
            <v>sim</v>
          </cell>
          <cell r="V4193" t="str">
            <v>not neg pair</v>
          </cell>
          <cell r="Y4193" t="str">
            <v>Past</v>
          </cell>
          <cell r="Z4193">
            <v>4.59</v>
          </cell>
          <cell r="AA4193">
            <v>0</v>
          </cell>
          <cell r="AB4193">
            <v>0</v>
          </cell>
        </row>
        <row r="4194">
          <cell r="G4194" t="str">
            <v>X1367_0</v>
          </cell>
          <cell r="H4194" t="str">
            <v>like</v>
          </cell>
          <cell r="I4194" t="str">
            <v>sim</v>
          </cell>
          <cell r="V4194" t="str">
            <v>not neg pair</v>
          </cell>
          <cell r="Y4194" t="str">
            <v>Pres</v>
          </cell>
          <cell r="Z4194">
            <v>4.82</v>
          </cell>
          <cell r="AA4194">
            <v>0</v>
          </cell>
          <cell r="AB4194">
            <v>0</v>
          </cell>
        </row>
        <row r="4195">
          <cell r="G4195" t="str">
            <v>X1367_1</v>
          </cell>
          <cell r="H4195" t="str">
            <v>like</v>
          </cell>
          <cell r="I4195" t="str">
            <v>sim</v>
          </cell>
          <cell r="V4195" t="str">
            <v>not neg pair</v>
          </cell>
          <cell r="Y4195" t="str">
            <v>Pres</v>
          </cell>
          <cell r="Z4195">
            <v>4.82</v>
          </cell>
          <cell r="AA4195">
            <v>0</v>
          </cell>
          <cell r="AB4195">
            <v>0</v>
          </cell>
        </row>
        <row r="4196">
          <cell r="G4196" t="str">
            <v>X1368_0</v>
          </cell>
          <cell r="H4196" t="str">
            <v>like</v>
          </cell>
          <cell r="I4196" t="str">
            <v>sim</v>
          </cell>
          <cell r="V4196" t="str">
            <v>not</v>
          </cell>
          <cell r="Y4196" t="str">
            <v>Pres</v>
          </cell>
          <cell r="Z4196">
            <v>2.14</v>
          </cell>
          <cell r="AA4196" t="str">
            <v>L</v>
          </cell>
          <cell r="AB4196">
            <v>0</v>
          </cell>
        </row>
        <row r="4197">
          <cell r="G4197" t="str">
            <v>X1368_1</v>
          </cell>
          <cell r="H4197" t="str">
            <v>like</v>
          </cell>
          <cell r="I4197" t="str">
            <v>sim</v>
          </cell>
          <cell r="V4197" t="str">
            <v>not</v>
          </cell>
          <cell r="Y4197" t="str">
            <v>Pres</v>
          </cell>
          <cell r="Z4197">
            <v>2.14</v>
          </cell>
          <cell r="AA4197" t="str">
            <v>L</v>
          </cell>
          <cell r="AB4197">
            <v>0</v>
          </cell>
        </row>
        <row r="4198">
          <cell r="G4198" t="str">
            <v>X1369_0</v>
          </cell>
          <cell r="H4198" t="str">
            <v>like</v>
          </cell>
          <cell r="I4198" t="str">
            <v>sim</v>
          </cell>
          <cell r="V4198" t="str">
            <v>not neg pair</v>
          </cell>
          <cell r="Y4198" t="str">
            <v>Pres</v>
          </cell>
          <cell r="Z4198">
            <v>1.69</v>
          </cell>
          <cell r="AA4198" t="str">
            <v>L</v>
          </cell>
          <cell r="AB4198">
            <v>0</v>
          </cell>
        </row>
        <row r="4199">
          <cell r="G4199" t="str">
            <v>X1369_1</v>
          </cell>
          <cell r="H4199" t="str">
            <v>like</v>
          </cell>
          <cell r="I4199" t="str">
            <v>sim</v>
          </cell>
          <cell r="V4199" t="str">
            <v>not neg pair</v>
          </cell>
          <cell r="Y4199" t="str">
            <v>Pres</v>
          </cell>
          <cell r="Z4199">
            <v>1.69</v>
          </cell>
          <cell r="AA4199" t="str">
            <v>L</v>
          </cell>
          <cell r="AB4199">
            <v>0</v>
          </cell>
        </row>
        <row r="4200">
          <cell r="G4200" t="str">
            <v>X1370_0</v>
          </cell>
          <cell r="H4200" t="str">
            <v>as-as</v>
          </cell>
          <cell r="I4200" t="str">
            <v>sim</v>
          </cell>
          <cell r="V4200" t="str">
            <v>not neg pair</v>
          </cell>
          <cell r="Y4200" t="str">
            <v>Past</v>
          </cell>
          <cell r="Z4200">
            <v>2.81</v>
          </cell>
          <cell r="AA4200">
            <v>0</v>
          </cell>
          <cell r="AB4200">
            <v>0</v>
          </cell>
        </row>
        <row r="4201">
          <cell r="G4201" t="str">
            <v>X1370_1</v>
          </cell>
          <cell r="H4201" t="str">
            <v>as-as</v>
          </cell>
          <cell r="I4201" t="str">
            <v>sim</v>
          </cell>
          <cell r="V4201" t="str">
            <v>not neg pair</v>
          </cell>
          <cell r="Y4201" t="str">
            <v>Past</v>
          </cell>
          <cell r="Z4201">
            <v>2.81</v>
          </cell>
          <cell r="AA4201">
            <v>0</v>
          </cell>
          <cell r="AB4201">
            <v>0</v>
          </cell>
        </row>
        <row r="4202">
          <cell r="G4202" t="str">
            <v>X1371_0</v>
          </cell>
          <cell r="H4202" t="str">
            <v>as-as</v>
          </cell>
          <cell r="I4202" t="str">
            <v>sim</v>
          </cell>
          <cell r="V4202" t="str">
            <v>antonym</v>
          </cell>
          <cell r="Y4202" t="str">
            <v>Past</v>
          </cell>
          <cell r="Z4202">
            <v>2.81</v>
          </cell>
          <cell r="AA4202">
            <v>0</v>
          </cell>
          <cell r="AB4202">
            <v>0</v>
          </cell>
        </row>
        <row r="4203">
          <cell r="G4203" t="str">
            <v>X1371_1</v>
          </cell>
          <cell r="H4203" t="str">
            <v>as-as</v>
          </cell>
          <cell r="I4203" t="str">
            <v>sim</v>
          </cell>
          <cell r="V4203" t="str">
            <v>antonym</v>
          </cell>
          <cell r="Y4203" t="str">
            <v>Past</v>
          </cell>
          <cell r="Z4203">
            <v>2.81</v>
          </cell>
          <cell r="AA4203">
            <v>0</v>
          </cell>
          <cell r="AB4203">
            <v>0</v>
          </cell>
        </row>
        <row r="4204">
          <cell r="G4204" t="str">
            <v>X1372_0</v>
          </cell>
          <cell r="H4204" t="str">
            <v>as-as</v>
          </cell>
          <cell r="I4204" t="str">
            <v>sim</v>
          </cell>
          <cell r="V4204" t="str">
            <v>not neg pair</v>
          </cell>
          <cell r="Y4204" t="str">
            <v>Past</v>
          </cell>
          <cell r="Z4204">
            <v>2.81</v>
          </cell>
          <cell r="AA4204">
            <v>0</v>
          </cell>
          <cell r="AB4204">
            <v>0</v>
          </cell>
        </row>
        <row r="4205">
          <cell r="G4205" t="str">
            <v>X1372_1</v>
          </cell>
          <cell r="H4205" t="str">
            <v>as-as</v>
          </cell>
          <cell r="I4205" t="str">
            <v>sim</v>
          </cell>
          <cell r="V4205" t="str">
            <v>not neg pair</v>
          </cell>
          <cell r="Y4205" t="str">
            <v>Past</v>
          </cell>
          <cell r="Z4205">
            <v>2.81</v>
          </cell>
          <cell r="AA4205">
            <v>0</v>
          </cell>
          <cell r="AB4205">
            <v>0</v>
          </cell>
        </row>
        <row r="4206">
          <cell r="G4206" t="str">
            <v>X1373_0</v>
          </cell>
          <cell r="H4206" t="str">
            <v>as-as</v>
          </cell>
          <cell r="I4206" t="str">
            <v>sim</v>
          </cell>
          <cell r="V4206" t="str">
            <v>not</v>
          </cell>
          <cell r="Y4206" t="str">
            <v>Pres</v>
          </cell>
          <cell r="Z4206">
            <v>4.1100000000000003</v>
          </cell>
          <cell r="AA4206">
            <v>0</v>
          </cell>
          <cell r="AB4206">
            <v>0</v>
          </cell>
        </row>
        <row r="4207">
          <cell r="G4207" t="str">
            <v>X1373_1</v>
          </cell>
          <cell r="H4207" t="str">
            <v>as-as</v>
          </cell>
          <cell r="I4207" t="str">
            <v>sim</v>
          </cell>
          <cell r="V4207" t="str">
            <v>not</v>
          </cell>
          <cell r="Y4207" t="str">
            <v>Pres</v>
          </cell>
          <cell r="Z4207">
            <v>4.1100000000000003</v>
          </cell>
          <cell r="AA4207">
            <v>0</v>
          </cell>
          <cell r="AB4207">
            <v>0</v>
          </cell>
        </row>
        <row r="4208">
          <cell r="G4208" t="str">
            <v>X1374_0</v>
          </cell>
          <cell r="H4208" t="str">
            <v>as-as</v>
          </cell>
          <cell r="I4208" t="str">
            <v>sim</v>
          </cell>
          <cell r="V4208" t="str">
            <v>not</v>
          </cell>
          <cell r="Y4208" t="str">
            <v>Pres</v>
          </cell>
          <cell r="Z4208">
            <v>3.44</v>
          </cell>
          <cell r="AA4208">
            <v>0</v>
          </cell>
          <cell r="AB4208">
            <v>0</v>
          </cell>
        </row>
        <row r="4209">
          <cell r="G4209" t="str">
            <v>X1374_1</v>
          </cell>
          <cell r="H4209" t="str">
            <v>as-as</v>
          </cell>
          <cell r="I4209" t="str">
            <v>sim</v>
          </cell>
          <cell r="V4209" t="str">
            <v>not</v>
          </cell>
          <cell r="Y4209" t="str">
            <v>Past</v>
          </cell>
          <cell r="Z4209">
            <v>3.44</v>
          </cell>
          <cell r="AA4209">
            <v>0</v>
          </cell>
          <cell r="AB4209">
            <v>0</v>
          </cell>
        </row>
        <row r="4210">
          <cell r="G4210" t="str">
            <v>X1375_0</v>
          </cell>
          <cell r="H4210" t="str">
            <v>as-as</v>
          </cell>
          <cell r="I4210" t="str">
            <v>sim</v>
          </cell>
          <cell r="V4210" t="str">
            <v>antonym</v>
          </cell>
          <cell r="Y4210" t="str">
            <v>Past</v>
          </cell>
          <cell r="Z4210">
            <v>3.13</v>
          </cell>
          <cell r="AA4210">
            <v>0</v>
          </cell>
          <cell r="AB4210">
            <v>0</v>
          </cell>
        </row>
        <row r="4211">
          <cell r="G4211" t="str">
            <v>X1375_1</v>
          </cell>
          <cell r="H4211" t="str">
            <v>as-as</v>
          </cell>
          <cell r="I4211" t="str">
            <v>sim</v>
          </cell>
          <cell r="V4211" t="str">
            <v>antonym</v>
          </cell>
          <cell r="Y4211" t="str">
            <v>Pres</v>
          </cell>
          <cell r="Z4211">
            <v>3.13</v>
          </cell>
          <cell r="AA4211">
            <v>0</v>
          </cell>
          <cell r="AB4211">
            <v>0</v>
          </cell>
        </row>
        <row r="4212">
          <cell r="G4212" t="str">
            <v>X1376_0</v>
          </cell>
          <cell r="H4212" t="str">
            <v/>
          </cell>
          <cell r="I4212" t="str">
            <v>met</v>
          </cell>
          <cell r="V4212" t="str">
            <v>0</v>
          </cell>
          <cell r="Y4212" t="str">
            <v>Pres</v>
          </cell>
          <cell r="Z4212">
            <v>3.36</v>
          </cell>
          <cell r="AA4212">
            <v>0</v>
          </cell>
          <cell r="AB4212">
            <v>0</v>
          </cell>
        </row>
        <row r="4213">
          <cell r="G4213" t="str">
            <v>X1376_1</v>
          </cell>
          <cell r="H4213" t="str">
            <v/>
          </cell>
          <cell r="I4213" t="str">
            <v>met</v>
          </cell>
          <cell r="V4213" t="str">
            <v>0</v>
          </cell>
          <cell r="Y4213" t="str">
            <v>Pres</v>
          </cell>
          <cell r="Z4213">
            <v>3.36</v>
          </cell>
          <cell r="AA4213">
            <v>0</v>
          </cell>
          <cell r="AB4213">
            <v>0</v>
          </cell>
        </row>
        <row r="4214">
          <cell r="G4214" t="str">
            <v>X1377_0</v>
          </cell>
          <cell r="H4214" t="str">
            <v>the-of</v>
          </cell>
          <cell r="I4214" t="str">
            <v>sim</v>
          </cell>
          <cell r="V4214" t="str">
            <v>not neg pair</v>
          </cell>
          <cell r="Y4214" t="str">
            <v>Pres</v>
          </cell>
          <cell r="Z4214">
            <v>4.9000000000000004</v>
          </cell>
          <cell r="AA4214">
            <v>0</v>
          </cell>
          <cell r="AB4214">
            <v>0</v>
          </cell>
        </row>
        <row r="4215">
          <cell r="G4215" t="str">
            <v>X1377_1</v>
          </cell>
          <cell r="H4215" t="str">
            <v>the-of</v>
          </cell>
          <cell r="I4215" t="str">
            <v>sim</v>
          </cell>
          <cell r="V4215" t="str">
            <v>not neg pair</v>
          </cell>
          <cell r="Y4215" t="str">
            <v>Pres</v>
          </cell>
          <cell r="Z4215">
            <v>4.9000000000000004</v>
          </cell>
          <cell r="AA4215">
            <v>0</v>
          </cell>
          <cell r="AB4215">
            <v>0</v>
          </cell>
        </row>
        <row r="4216">
          <cell r="G4216" t="str">
            <v>X1378_0</v>
          </cell>
          <cell r="H4216" t="str">
            <v>the-of</v>
          </cell>
          <cell r="I4216" t="str">
            <v>sim</v>
          </cell>
          <cell r="V4216" t="str">
            <v>not neg pair</v>
          </cell>
          <cell r="Y4216" t="str">
            <v>Pres</v>
          </cell>
          <cell r="Z4216">
            <v>4.59</v>
          </cell>
          <cell r="AA4216">
            <v>0</v>
          </cell>
          <cell r="AB4216">
            <v>0</v>
          </cell>
        </row>
        <row r="4217">
          <cell r="G4217" t="str">
            <v>X1378_1</v>
          </cell>
          <cell r="H4217" t="str">
            <v>the-of</v>
          </cell>
          <cell r="I4217" t="str">
            <v>sim</v>
          </cell>
          <cell r="V4217" t="str">
            <v>not neg pair</v>
          </cell>
          <cell r="Y4217" t="str">
            <v>Pres</v>
          </cell>
          <cell r="Z4217">
            <v>4.59</v>
          </cell>
          <cell r="AA4217">
            <v>0</v>
          </cell>
          <cell r="AB4217">
            <v>0</v>
          </cell>
        </row>
        <row r="4218">
          <cell r="G4218" t="str">
            <v>X1379_0</v>
          </cell>
          <cell r="H4218" t="str">
            <v>as-as</v>
          </cell>
          <cell r="I4218" t="str">
            <v>sim</v>
          </cell>
          <cell r="V4218" t="str">
            <v>not</v>
          </cell>
          <cell r="Y4218" t="str">
            <v>Pres</v>
          </cell>
          <cell r="Z4218">
            <v>4.8600000000000003</v>
          </cell>
          <cell r="AA4218">
            <v>0</v>
          </cell>
          <cell r="AB4218">
            <v>0</v>
          </cell>
        </row>
        <row r="4219">
          <cell r="G4219" t="str">
            <v>X1379_1</v>
          </cell>
          <cell r="H4219" t="str">
            <v>as-as</v>
          </cell>
          <cell r="I4219" t="str">
            <v>sim</v>
          </cell>
          <cell r="V4219" t="str">
            <v>not</v>
          </cell>
          <cell r="Y4219" t="str">
            <v>Pres</v>
          </cell>
          <cell r="Z4219">
            <v>4.8600000000000003</v>
          </cell>
          <cell r="AA4219">
            <v>0</v>
          </cell>
          <cell r="AB4219">
            <v>0</v>
          </cell>
        </row>
        <row r="4220">
          <cell r="G4220" t="str">
            <v>X1380_0</v>
          </cell>
          <cell r="H4220" t="str">
            <v>as-as</v>
          </cell>
          <cell r="I4220" t="str">
            <v>sim</v>
          </cell>
          <cell r="V4220" t="str">
            <v>antonym</v>
          </cell>
          <cell r="Y4220" t="str">
            <v>Pres</v>
          </cell>
          <cell r="Z4220">
            <v>4.76</v>
          </cell>
          <cell r="AA4220">
            <v>0</v>
          </cell>
          <cell r="AB4220">
            <v>0</v>
          </cell>
        </row>
        <row r="4221">
          <cell r="G4221" t="str">
            <v>X1380_1</v>
          </cell>
          <cell r="H4221" t="str">
            <v>as-as</v>
          </cell>
          <cell r="I4221" t="str">
            <v>sim</v>
          </cell>
          <cell r="V4221" t="str">
            <v>antonym</v>
          </cell>
          <cell r="Y4221" t="str">
            <v>Pres</v>
          </cell>
          <cell r="Z4221">
            <v>4.76</v>
          </cell>
          <cell r="AA4221">
            <v>0</v>
          </cell>
          <cell r="AB4221">
            <v>0</v>
          </cell>
        </row>
        <row r="4222">
          <cell r="G4222" t="str">
            <v>X1381_0</v>
          </cell>
          <cell r="H4222" t="str">
            <v>as-as</v>
          </cell>
          <cell r="I4222" t="str">
            <v>sim</v>
          </cell>
          <cell r="V4222" t="str">
            <v>antonym</v>
          </cell>
          <cell r="Y4222" t="str">
            <v>Pres</v>
          </cell>
          <cell r="Z4222">
            <v>4.75</v>
          </cell>
          <cell r="AA4222">
            <v>0</v>
          </cell>
          <cell r="AB4222">
            <v>0</v>
          </cell>
        </row>
        <row r="4223">
          <cell r="G4223" t="str">
            <v>X1381_1</v>
          </cell>
          <cell r="H4223" t="str">
            <v>as-as</v>
          </cell>
          <cell r="I4223" t="str">
            <v>sim</v>
          </cell>
          <cell r="V4223" t="str">
            <v>antonym</v>
          </cell>
          <cell r="Y4223" t="str">
            <v>Pres</v>
          </cell>
          <cell r="Z4223">
            <v>5</v>
          </cell>
          <cell r="AA4223" t="str">
            <v>H</v>
          </cell>
          <cell r="AB4223">
            <v>0</v>
          </cell>
        </row>
        <row r="4224">
          <cell r="G4224" t="str">
            <v>X1382_0</v>
          </cell>
          <cell r="H4224" t="str">
            <v>as-as</v>
          </cell>
          <cell r="I4224" t="str">
            <v>sim</v>
          </cell>
          <cell r="V4224" t="str">
            <v>antonym</v>
          </cell>
          <cell r="Y4224" t="str">
            <v>Pres</v>
          </cell>
          <cell r="Z4224">
            <v>4.97</v>
          </cell>
          <cell r="AA4224" t="str">
            <v>H</v>
          </cell>
          <cell r="AB4224">
            <v>0</v>
          </cell>
        </row>
        <row r="4225">
          <cell r="G4225" t="str">
            <v>X1382_1</v>
          </cell>
          <cell r="H4225" t="str">
            <v>as-as</v>
          </cell>
          <cell r="I4225" t="str">
            <v>sim</v>
          </cell>
          <cell r="V4225" t="str">
            <v>antonym</v>
          </cell>
          <cell r="Y4225" t="str">
            <v>Pres</v>
          </cell>
          <cell r="Z4225">
            <v>4.97</v>
          </cell>
          <cell r="AA4225" t="str">
            <v>H</v>
          </cell>
          <cell r="AB4225">
            <v>0</v>
          </cell>
        </row>
        <row r="4226">
          <cell r="G4226" t="str">
            <v>X1383_0</v>
          </cell>
          <cell r="H4226" t="str">
            <v>as-as</v>
          </cell>
          <cell r="I4226" t="str">
            <v>sim</v>
          </cell>
          <cell r="V4226" t="str">
            <v>not neg pair</v>
          </cell>
          <cell r="Y4226" t="str">
            <v>Pres</v>
          </cell>
          <cell r="Z4226">
            <v>0</v>
          </cell>
          <cell r="AA4226">
            <v>0</v>
          </cell>
          <cell r="AB4226">
            <v>0</v>
          </cell>
        </row>
        <row r="4227">
          <cell r="G4227" t="str">
            <v>X1383_1</v>
          </cell>
          <cell r="H4227" t="str">
            <v>as-as</v>
          </cell>
          <cell r="I4227" t="str">
            <v>sim</v>
          </cell>
          <cell r="V4227" t="str">
            <v>not neg pair</v>
          </cell>
          <cell r="Y4227" t="str">
            <v>Pres</v>
          </cell>
          <cell r="Z4227">
            <v>0</v>
          </cell>
          <cell r="AA4227">
            <v>0</v>
          </cell>
          <cell r="AB4227">
            <v>0</v>
          </cell>
        </row>
        <row r="4228">
          <cell r="G4228" t="str">
            <v>X1384_0</v>
          </cell>
          <cell r="H4228" t="str">
            <v>as-as</v>
          </cell>
          <cell r="I4228" t="str">
            <v>sim</v>
          </cell>
          <cell r="V4228" t="str">
            <v>antonym</v>
          </cell>
          <cell r="Y4228" t="str">
            <v>Pres</v>
          </cell>
          <cell r="Z4228">
            <v>4.59</v>
          </cell>
          <cell r="AA4228">
            <v>0</v>
          </cell>
          <cell r="AB4228">
            <v>0</v>
          </cell>
        </row>
        <row r="4229">
          <cell r="G4229" t="str">
            <v>X1384_1</v>
          </cell>
          <cell r="H4229" t="str">
            <v>as-as</v>
          </cell>
          <cell r="I4229" t="str">
            <v>sim</v>
          </cell>
          <cell r="V4229" t="str">
            <v>antonym</v>
          </cell>
          <cell r="Y4229" t="str">
            <v>Pres</v>
          </cell>
          <cell r="Z4229">
            <v>4.59</v>
          </cell>
          <cell r="AA4229">
            <v>0</v>
          </cell>
          <cell r="AB4229">
            <v>0</v>
          </cell>
        </row>
        <row r="4230">
          <cell r="G4230" t="str">
            <v>X1385_0</v>
          </cell>
          <cell r="H4230" t="str">
            <v>like</v>
          </cell>
          <cell r="I4230" t="str">
            <v>sim</v>
          </cell>
          <cell r="V4230" t="str">
            <v>not neg pair</v>
          </cell>
          <cell r="Y4230" t="str">
            <v>Pres</v>
          </cell>
          <cell r="Z4230">
            <v>4.96</v>
          </cell>
          <cell r="AA4230" t="str">
            <v>H</v>
          </cell>
          <cell r="AB4230">
            <v>0</v>
          </cell>
        </row>
        <row r="4231">
          <cell r="G4231" t="str">
            <v>X1385_1</v>
          </cell>
          <cell r="H4231" t="str">
            <v>like</v>
          </cell>
          <cell r="I4231" t="str">
            <v>sim</v>
          </cell>
          <cell r="V4231" t="str">
            <v>not neg pair</v>
          </cell>
          <cell r="Y4231" t="str">
            <v>Pres</v>
          </cell>
          <cell r="Z4231">
            <v>4.96</v>
          </cell>
          <cell r="AA4231" t="str">
            <v>H</v>
          </cell>
          <cell r="AB4231">
            <v>0</v>
          </cell>
        </row>
        <row r="4232">
          <cell r="G4232" t="str">
            <v>X1386_0</v>
          </cell>
          <cell r="H4232" t="str">
            <v/>
          </cell>
          <cell r="I4232" t="str">
            <v>met</v>
          </cell>
          <cell r="V4232" t="str">
            <v>0</v>
          </cell>
          <cell r="Y4232" t="str">
            <v>Pres</v>
          </cell>
          <cell r="Z4232">
            <v>4.8899999999999997</v>
          </cell>
          <cell r="AA4232">
            <v>0</v>
          </cell>
          <cell r="AB4232">
            <v>0</v>
          </cell>
        </row>
        <row r="4233">
          <cell r="G4233" t="str">
            <v>X1386_1</v>
          </cell>
          <cell r="H4233" t="str">
            <v/>
          </cell>
          <cell r="I4233" t="str">
            <v>met</v>
          </cell>
          <cell r="V4233" t="str">
            <v>0</v>
          </cell>
          <cell r="Y4233" t="str">
            <v>Pres</v>
          </cell>
          <cell r="Z4233">
            <v>4.8899999999999997</v>
          </cell>
          <cell r="AA4233">
            <v>0</v>
          </cell>
          <cell r="AB4233">
            <v>0</v>
          </cell>
        </row>
        <row r="4234">
          <cell r="G4234" t="str">
            <v>X1387_0</v>
          </cell>
          <cell r="H4234" t="str">
            <v/>
          </cell>
          <cell r="I4234" t="str">
            <v>met</v>
          </cell>
          <cell r="V4234" t="str">
            <v>0</v>
          </cell>
          <cell r="Y4234" t="str">
            <v>Pres</v>
          </cell>
          <cell r="Z4234">
            <v>4.96</v>
          </cell>
          <cell r="AA4234" t="str">
            <v>H</v>
          </cell>
          <cell r="AB4234">
            <v>0</v>
          </cell>
        </row>
        <row r="4235">
          <cell r="G4235" t="str">
            <v>X1387_1</v>
          </cell>
          <cell r="H4235" t="str">
            <v/>
          </cell>
          <cell r="I4235" t="str">
            <v>met</v>
          </cell>
          <cell r="V4235" t="str">
            <v>0</v>
          </cell>
          <cell r="Y4235" t="str">
            <v>Pres</v>
          </cell>
          <cell r="Z4235">
            <v>4.96</v>
          </cell>
          <cell r="AA4235" t="str">
            <v>H</v>
          </cell>
          <cell r="AB4235">
            <v>0</v>
          </cell>
        </row>
        <row r="4236">
          <cell r="G4236" t="str">
            <v>X1388_0</v>
          </cell>
          <cell r="H4236" t="str">
            <v>like</v>
          </cell>
          <cell r="I4236" t="str">
            <v>sim</v>
          </cell>
          <cell r="V4236" t="str">
            <v>not</v>
          </cell>
          <cell r="Y4236" t="str">
            <v>Pres</v>
          </cell>
          <cell r="Z4236">
            <v>2.14</v>
          </cell>
          <cell r="AA4236" t="str">
            <v>L</v>
          </cell>
          <cell r="AB4236">
            <v>0</v>
          </cell>
        </row>
        <row r="4237">
          <cell r="G4237" t="str">
            <v>X1388_1</v>
          </cell>
          <cell r="H4237" t="str">
            <v>like</v>
          </cell>
          <cell r="I4237" t="str">
            <v>sim</v>
          </cell>
          <cell r="V4237" t="str">
            <v>not</v>
          </cell>
          <cell r="Y4237" t="str">
            <v>Pres</v>
          </cell>
          <cell r="Z4237">
            <v>2.14</v>
          </cell>
          <cell r="AA4237" t="str">
            <v>L</v>
          </cell>
          <cell r="AB4237">
            <v>0</v>
          </cell>
        </row>
        <row r="4238">
          <cell r="G4238" t="str">
            <v>X1389_0</v>
          </cell>
          <cell r="H4238" t="str">
            <v>the-of</v>
          </cell>
          <cell r="I4238" t="str">
            <v>sim</v>
          </cell>
          <cell r="V4238" t="str">
            <v>not neg pair</v>
          </cell>
          <cell r="Y4238" t="str">
            <v>Pres</v>
          </cell>
          <cell r="Z4238">
            <v>1.41</v>
          </cell>
          <cell r="AA4238" t="str">
            <v>L</v>
          </cell>
          <cell r="AB4238">
            <v>0</v>
          </cell>
        </row>
        <row r="4239">
          <cell r="G4239" t="str">
            <v>X1389_1</v>
          </cell>
          <cell r="H4239" t="str">
            <v>the-of</v>
          </cell>
          <cell r="I4239" t="str">
            <v>sim</v>
          </cell>
          <cell r="V4239" t="str">
            <v>not neg pair</v>
          </cell>
          <cell r="Y4239" t="str">
            <v>Pres</v>
          </cell>
          <cell r="Z4239">
            <v>1.41</v>
          </cell>
          <cell r="AA4239" t="str">
            <v>L</v>
          </cell>
          <cell r="AB4239">
            <v>0</v>
          </cell>
        </row>
        <row r="4240">
          <cell r="G4240" t="str">
            <v>X1390_0</v>
          </cell>
          <cell r="H4240" t="str">
            <v/>
          </cell>
          <cell r="I4240" t="str">
            <v>met</v>
          </cell>
          <cell r="V4240" t="str">
            <v>0</v>
          </cell>
          <cell r="Y4240" t="str">
            <v>Pres</v>
          </cell>
          <cell r="Z4240">
            <v>2.61</v>
          </cell>
          <cell r="AA4240" t="str">
            <v>L</v>
          </cell>
          <cell r="AB4240">
            <v>0</v>
          </cell>
        </row>
        <row r="4241">
          <cell r="G4241" t="str">
            <v>X1390_1</v>
          </cell>
          <cell r="H4241" t="str">
            <v/>
          </cell>
          <cell r="I4241" t="str">
            <v>met</v>
          </cell>
          <cell r="V4241" t="str">
            <v>0</v>
          </cell>
          <cell r="Y4241" t="str">
            <v>Pres</v>
          </cell>
          <cell r="Z4241">
            <v>2.61</v>
          </cell>
          <cell r="AA4241" t="str">
            <v>L</v>
          </cell>
          <cell r="AB4241">
            <v>0</v>
          </cell>
        </row>
        <row r="4242">
          <cell r="G4242" t="str">
            <v>X1391_0</v>
          </cell>
          <cell r="H4242" t="str">
            <v>as-as</v>
          </cell>
          <cell r="I4242" t="str">
            <v>sim</v>
          </cell>
          <cell r="V4242" t="str">
            <v>not neg pair</v>
          </cell>
          <cell r="Y4242" t="str">
            <v>Pres</v>
          </cell>
          <cell r="Z4242">
            <v>2.76</v>
          </cell>
          <cell r="AA4242" t="str">
            <v>L</v>
          </cell>
          <cell r="AB4242">
            <v>0</v>
          </cell>
        </row>
        <row r="4243">
          <cell r="G4243" t="str">
            <v>X1391_1</v>
          </cell>
          <cell r="H4243" t="str">
            <v>as-as</v>
          </cell>
          <cell r="I4243" t="str">
            <v>sim</v>
          </cell>
          <cell r="V4243" t="str">
            <v>not neg pair</v>
          </cell>
          <cell r="Y4243" t="str">
            <v>Pres</v>
          </cell>
          <cell r="Z4243">
            <v>2.76</v>
          </cell>
          <cell r="AA4243" t="str">
            <v>L</v>
          </cell>
          <cell r="AB4243">
            <v>0</v>
          </cell>
        </row>
        <row r="4244">
          <cell r="G4244" t="str">
            <v>X1392_0</v>
          </cell>
          <cell r="H4244" t="str">
            <v>as</v>
          </cell>
          <cell r="I4244" t="str">
            <v>sim</v>
          </cell>
          <cell r="V4244" t="str">
            <v>0</v>
          </cell>
          <cell r="Y4244" t="str">
            <v>Past</v>
          </cell>
          <cell r="Z4244">
            <v>2.5</v>
          </cell>
          <cell r="AA4244" t="str">
            <v>L</v>
          </cell>
          <cell r="AB4244">
            <v>0</v>
          </cell>
        </row>
        <row r="4245">
          <cell r="G4245" t="str">
            <v>X1392_1</v>
          </cell>
          <cell r="H4245" t="str">
            <v/>
          </cell>
          <cell r="I4245" t="str">
            <v>met</v>
          </cell>
          <cell r="V4245" t="str">
            <v>0</v>
          </cell>
          <cell r="Y4245" t="str">
            <v>Pres</v>
          </cell>
          <cell r="Z4245">
            <v>2.5</v>
          </cell>
          <cell r="AA4245" t="str">
            <v>L</v>
          </cell>
          <cell r="AB4245">
            <v>0</v>
          </cell>
        </row>
        <row r="4246">
          <cell r="G4246" t="str">
            <v>X1393_0</v>
          </cell>
          <cell r="H4246" t="str">
            <v>as</v>
          </cell>
          <cell r="I4246" t="str">
            <v>sim</v>
          </cell>
          <cell r="V4246" t="str">
            <v>not neg pair</v>
          </cell>
          <cell r="Y4246" t="str">
            <v>Past</v>
          </cell>
          <cell r="Z4246">
            <v>4.8600000000000003</v>
          </cell>
          <cell r="AA4246">
            <v>0</v>
          </cell>
          <cell r="AB4246">
            <v>0</v>
          </cell>
        </row>
        <row r="4247">
          <cell r="G4247" t="str">
            <v>X1393_1</v>
          </cell>
          <cell r="H4247" t="str">
            <v>as</v>
          </cell>
          <cell r="I4247" t="str">
            <v>sim</v>
          </cell>
          <cell r="V4247" t="str">
            <v>not neg pair</v>
          </cell>
          <cell r="Y4247" t="str">
            <v>Past</v>
          </cell>
          <cell r="Z4247">
            <v>4.8600000000000003</v>
          </cell>
          <cell r="AA4247">
            <v>0</v>
          </cell>
          <cell r="AB4247">
            <v>0</v>
          </cell>
        </row>
        <row r="4248">
          <cell r="G4248" t="str">
            <v>X1394_0</v>
          </cell>
          <cell r="H4248" t="str">
            <v/>
          </cell>
          <cell r="I4248" t="str">
            <v>met</v>
          </cell>
          <cell r="V4248" t="str">
            <v>0</v>
          </cell>
          <cell r="Y4248" t="str">
            <v>Past</v>
          </cell>
          <cell r="Z4248">
            <v>4.34</v>
          </cell>
          <cell r="AA4248">
            <v>0</v>
          </cell>
          <cell r="AB4248">
            <v>0</v>
          </cell>
        </row>
        <row r="4249">
          <cell r="G4249" t="str">
            <v>X1394_1</v>
          </cell>
          <cell r="H4249" t="str">
            <v/>
          </cell>
          <cell r="I4249" t="str">
            <v>met</v>
          </cell>
          <cell r="V4249" t="str">
            <v>0</v>
          </cell>
          <cell r="Y4249" t="str">
            <v>Past</v>
          </cell>
          <cell r="Z4249">
            <v>4.34</v>
          </cell>
          <cell r="AA4249">
            <v>0</v>
          </cell>
          <cell r="AB4249">
            <v>0</v>
          </cell>
        </row>
        <row r="4250">
          <cell r="G4250" t="str">
            <v>X1395_0</v>
          </cell>
          <cell r="H4250" t="str">
            <v>like</v>
          </cell>
          <cell r="I4250" t="str">
            <v>sim</v>
          </cell>
          <cell r="V4250" t="str">
            <v>not</v>
          </cell>
          <cell r="Y4250" t="str">
            <v>Past</v>
          </cell>
          <cell r="Z4250">
            <v>3.93</v>
          </cell>
          <cell r="AA4250">
            <v>0</v>
          </cell>
          <cell r="AB4250">
            <v>0</v>
          </cell>
        </row>
        <row r="4251">
          <cell r="G4251" t="str">
            <v>X1395_1</v>
          </cell>
          <cell r="H4251" t="str">
            <v>like</v>
          </cell>
          <cell r="I4251" t="str">
            <v>sim</v>
          </cell>
          <cell r="V4251" t="str">
            <v>not</v>
          </cell>
          <cell r="Y4251" t="str">
            <v>Past</v>
          </cell>
          <cell r="Z4251">
            <v>3.93</v>
          </cell>
          <cell r="AA4251">
            <v>0</v>
          </cell>
          <cell r="AB4251">
            <v>0</v>
          </cell>
        </row>
        <row r="4252">
          <cell r="G4252" t="str">
            <v>X1396_0</v>
          </cell>
          <cell r="H4252" t="str">
            <v>as-as</v>
          </cell>
          <cell r="I4252" t="str">
            <v>sim</v>
          </cell>
          <cell r="V4252" t="str">
            <v>not neg pair</v>
          </cell>
          <cell r="Y4252" t="str">
            <v>Past</v>
          </cell>
          <cell r="Z4252">
            <v>3.93</v>
          </cell>
          <cell r="AA4252">
            <v>0</v>
          </cell>
          <cell r="AB4252">
            <v>0</v>
          </cell>
        </row>
        <row r="4253">
          <cell r="G4253" t="str">
            <v>X1396_1</v>
          </cell>
          <cell r="H4253" t="str">
            <v>as-as</v>
          </cell>
          <cell r="I4253" t="str">
            <v>sim</v>
          </cell>
          <cell r="V4253" t="str">
            <v>not neg pair</v>
          </cell>
          <cell r="Y4253" t="str">
            <v>Past</v>
          </cell>
          <cell r="Z4253">
            <v>3.93</v>
          </cell>
          <cell r="AA4253">
            <v>0</v>
          </cell>
          <cell r="AB4253">
            <v>0</v>
          </cell>
        </row>
        <row r="4254">
          <cell r="G4254" t="str">
            <v>X1397_0</v>
          </cell>
          <cell r="H4254" t="str">
            <v>as-as</v>
          </cell>
          <cell r="I4254" t="str">
            <v>sim</v>
          </cell>
          <cell r="V4254" t="str">
            <v>not neg pair</v>
          </cell>
          <cell r="Y4254" t="str">
            <v>Past</v>
          </cell>
          <cell r="Z4254">
            <v>3.93</v>
          </cell>
          <cell r="AA4254">
            <v>0</v>
          </cell>
          <cell r="AB4254">
            <v>0</v>
          </cell>
        </row>
        <row r="4255">
          <cell r="G4255" t="str">
            <v>X1397_1</v>
          </cell>
          <cell r="H4255" t="str">
            <v>as-as</v>
          </cell>
          <cell r="I4255" t="str">
            <v>sim</v>
          </cell>
          <cell r="V4255" t="str">
            <v>not neg pair</v>
          </cell>
          <cell r="Y4255" t="str">
            <v>Past</v>
          </cell>
          <cell r="Z4255">
            <v>3.93</v>
          </cell>
          <cell r="AA4255">
            <v>0</v>
          </cell>
          <cell r="AB4255">
            <v>0</v>
          </cell>
        </row>
        <row r="4256">
          <cell r="G4256" t="str">
            <v>X1398_0</v>
          </cell>
          <cell r="H4256" t="str">
            <v>the-of</v>
          </cell>
          <cell r="I4256" t="str">
            <v>sim</v>
          </cell>
          <cell r="V4256" t="str">
            <v>not neg pair</v>
          </cell>
          <cell r="Y4256" t="str">
            <v>Past</v>
          </cell>
          <cell r="Z4256">
            <v>3.93</v>
          </cell>
          <cell r="AA4256">
            <v>0</v>
          </cell>
          <cell r="AB4256">
            <v>0</v>
          </cell>
        </row>
        <row r="4257">
          <cell r="G4257" t="str">
            <v>X1398_1</v>
          </cell>
          <cell r="H4257" t="str">
            <v>the-of</v>
          </cell>
          <cell r="I4257" t="str">
            <v>sim</v>
          </cell>
          <cell r="V4257" t="str">
            <v>not neg pair</v>
          </cell>
          <cell r="Y4257" t="str">
            <v>Past</v>
          </cell>
          <cell r="Z4257">
            <v>3.93</v>
          </cell>
          <cell r="AA4257">
            <v>0</v>
          </cell>
          <cell r="AB4257">
            <v>0</v>
          </cell>
        </row>
        <row r="4258">
          <cell r="G4258" t="str">
            <v>X1399_0</v>
          </cell>
          <cell r="H4258" t="str">
            <v/>
          </cell>
          <cell r="I4258" t="str">
            <v>met</v>
          </cell>
          <cell r="V4258" t="str">
            <v>0</v>
          </cell>
          <cell r="Y4258" t="str">
            <v>Pres</v>
          </cell>
          <cell r="Z4258">
            <v>3.93</v>
          </cell>
          <cell r="AA4258">
            <v>0</v>
          </cell>
          <cell r="AB4258">
            <v>0</v>
          </cell>
        </row>
        <row r="4259">
          <cell r="G4259" t="str">
            <v>X1399_1</v>
          </cell>
          <cell r="H4259" t="str">
            <v/>
          </cell>
          <cell r="I4259" t="str">
            <v>met</v>
          </cell>
          <cell r="V4259" t="str">
            <v>0</v>
          </cell>
          <cell r="Y4259" t="str">
            <v>Pres</v>
          </cell>
          <cell r="Z4259">
            <v>3.93</v>
          </cell>
          <cell r="AA4259">
            <v>0</v>
          </cell>
          <cell r="AB4259">
            <v>0</v>
          </cell>
        </row>
        <row r="4260">
          <cell r="G4260" t="str">
            <v>X1400_0</v>
          </cell>
          <cell r="H4260" t="str">
            <v>the-of</v>
          </cell>
          <cell r="I4260" t="str">
            <v>sim</v>
          </cell>
          <cell r="V4260" t="str">
            <v>not neg pair</v>
          </cell>
          <cell r="Y4260" t="str">
            <v>Pres</v>
          </cell>
          <cell r="Z4260">
            <v>4.17</v>
          </cell>
          <cell r="AA4260">
            <v>0</v>
          </cell>
          <cell r="AB4260">
            <v>0</v>
          </cell>
        </row>
        <row r="4261">
          <cell r="G4261" t="str">
            <v>X1400_1</v>
          </cell>
          <cell r="H4261" t="str">
            <v>the-of</v>
          </cell>
          <cell r="I4261" t="str">
            <v>sim</v>
          </cell>
          <cell r="V4261" t="str">
            <v>not neg pair</v>
          </cell>
          <cell r="Y4261" t="str">
            <v>Pres</v>
          </cell>
          <cell r="Z4261">
            <v>4.17</v>
          </cell>
          <cell r="AA4261">
            <v>0</v>
          </cell>
          <cell r="AB4261">
            <v>0</v>
          </cell>
        </row>
        <row r="4262">
          <cell r="G4262" t="str">
            <v>X1401_0</v>
          </cell>
          <cell r="H4262" t="str">
            <v>the-of</v>
          </cell>
          <cell r="I4262" t="str">
            <v>sim</v>
          </cell>
          <cell r="V4262" t="str">
            <v>not neg pair</v>
          </cell>
          <cell r="Y4262" t="str">
            <v>Pres</v>
          </cell>
          <cell r="Z4262">
            <v>4.8499999999999996</v>
          </cell>
          <cell r="AA4262">
            <v>0</v>
          </cell>
          <cell r="AB4262">
            <v>0</v>
          </cell>
        </row>
        <row r="4263">
          <cell r="G4263" t="str">
            <v>X1401_1</v>
          </cell>
          <cell r="H4263" t="str">
            <v>the-of</v>
          </cell>
          <cell r="I4263" t="str">
            <v>sim</v>
          </cell>
          <cell r="V4263" t="str">
            <v>not neg pair</v>
          </cell>
          <cell r="Y4263" t="str">
            <v>Pres</v>
          </cell>
          <cell r="Z4263">
            <v>4.8499999999999996</v>
          </cell>
          <cell r="AA4263">
            <v>0</v>
          </cell>
          <cell r="AB4263">
            <v>0</v>
          </cell>
        </row>
        <row r="4264">
          <cell r="G4264" t="str">
            <v>X1402_0</v>
          </cell>
          <cell r="H4264" t="str">
            <v>the-of</v>
          </cell>
          <cell r="I4264" t="str">
            <v>sim</v>
          </cell>
          <cell r="V4264" t="str">
            <v>not</v>
          </cell>
          <cell r="Y4264" t="str">
            <v>Pres</v>
          </cell>
          <cell r="Z4264">
            <v>4.83</v>
          </cell>
          <cell r="AA4264">
            <v>0</v>
          </cell>
          <cell r="AB4264">
            <v>0</v>
          </cell>
        </row>
        <row r="4265">
          <cell r="G4265" t="str">
            <v>X1402_1</v>
          </cell>
          <cell r="H4265" t="str">
            <v>the-of</v>
          </cell>
          <cell r="I4265" t="str">
            <v>sim</v>
          </cell>
          <cell r="V4265" t="str">
            <v>not</v>
          </cell>
          <cell r="Y4265" t="str">
            <v>Pres</v>
          </cell>
          <cell r="Z4265">
            <v>4.83</v>
          </cell>
          <cell r="AA4265">
            <v>0</v>
          </cell>
          <cell r="AB4265">
            <v>0</v>
          </cell>
        </row>
        <row r="4266">
          <cell r="G4266" t="str">
            <v>X1403_0</v>
          </cell>
          <cell r="H4266" t="str">
            <v/>
          </cell>
          <cell r="I4266" t="str">
            <v>met</v>
          </cell>
          <cell r="V4266" t="str">
            <v>0</v>
          </cell>
          <cell r="Y4266" t="str">
            <v>Pres</v>
          </cell>
          <cell r="Z4266">
            <v>4.79</v>
          </cell>
          <cell r="AA4266">
            <v>0</v>
          </cell>
          <cell r="AB4266">
            <v>0</v>
          </cell>
        </row>
        <row r="4267">
          <cell r="G4267" t="str">
            <v>X1403_1</v>
          </cell>
          <cell r="H4267" t="str">
            <v/>
          </cell>
          <cell r="I4267" t="str">
            <v>met</v>
          </cell>
          <cell r="V4267" t="str">
            <v>0</v>
          </cell>
          <cell r="Y4267" t="str">
            <v>Pres</v>
          </cell>
          <cell r="Z4267">
            <v>4.79</v>
          </cell>
          <cell r="AA4267">
            <v>0</v>
          </cell>
          <cell r="AB4267">
            <v>0</v>
          </cell>
        </row>
        <row r="4268">
          <cell r="G4268" t="str">
            <v>X1404_0</v>
          </cell>
          <cell r="H4268" t="str">
            <v>as-as</v>
          </cell>
          <cell r="I4268" t="str">
            <v>sim</v>
          </cell>
          <cell r="V4268" t="str">
            <v>antonym</v>
          </cell>
          <cell r="Y4268" t="str">
            <v>Past</v>
          </cell>
          <cell r="Z4268">
            <v>4.46</v>
          </cell>
          <cell r="AA4268">
            <v>0</v>
          </cell>
          <cell r="AB4268">
            <v>0</v>
          </cell>
        </row>
        <row r="4269">
          <cell r="G4269" t="str">
            <v>X1404_1</v>
          </cell>
          <cell r="H4269" t="str">
            <v>as-as</v>
          </cell>
          <cell r="I4269" t="str">
            <v>sim</v>
          </cell>
          <cell r="V4269" t="str">
            <v>antonym</v>
          </cell>
          <cell r="Y4269" t="str">
            <v>Past</v>
          </cell>
          <cell r="Z4269">
            <v>4.46</v>
          </cell>
          <cell r="AA4269">
            <v>0</v>
          </cell>
          <cell r="AB4269">
            <v>0</v>
          </cell>
        </row>
        <row r="4270">
          <cell r="G4270" t="str">
            <v>X1405_0</v>
          </cell>
          <cell r="H4270" t="str">
            <v>as-as</v>
          </cell>
          <cell r="I4270" t="str">
            <v>sim</v>
          </cell>
          <cell r="V4270" t="str">
            <v>antonym</v>
          </cell>
          <cell r="Y4270" t="str">
            <v>Pres</v>
          </cell>
          <cell r="Z4270">
            <v>4.91</v>
          </cell>
          <cell r="AA4270" t="str">
            <v>H</v>
          </cell>
          <cell r="AB4270">
            <v>0</v>
          </cell>
        </row>
        <row r="4271">
          <cell r="G4271" t="str">
            <v>X1405_1</v>
          </cell>
          <cell r="H4271" t="str">
            <v>as-as</v>
          </cell>
          <cell r="I4271" t="str">
            <v>sim</v>
          </cell>
          <cell r="V4271" t="str">
            <v>antonym</v>
          </cell>
          <cell r="Y4271" t="str">
            <v>Pres</v>
          </cell>
          <cell r="Z4271">
            <v>4.91</v>
          </cell>
          <cell r="AA4271" t="str">
            <v>H</v>
          </cell>
          <cell r="AB4271">
            <v>0</v>
          </cell>
        </row>
        <row r="4272">
          <cell r="G4272" t="str">
            <v>X1406_0</v>
          </cell>
          <cell r="H4272" t="str">
            <v>like</v>
          </cell>
          <cell r="I4272" t="str">
            <v>sim</v>
          </cell>
          <cell r="V4272" t="str">
            <v>not</v>
          </cell>
          <cell r="Y4272" t="str">
            <v>Pres</v>
          </cell>
          <cell r="Z4272">
            <v>2.89</v>
          </cell>
          <cell r="AA4272">
            <v>0</v>
          </cell>
          <cell r="AB4272">
            <v>0</v>
          </cell>
        </row>
        <row r="4273">
          <cell r="G4273" t="str">
            <v>X1406_1</v>
          </cell>
          <cell r="H4273" t="str">
            <v>like</v>
          </cell>
          <cell r="I4273" t="str">
            <v>sim</v>
          </cell>
          <cell r="V4273" t="str">
            <v>not</v>
          </cell>
          <cell r="Y4273" t="str">
            <v>Pres</v>
          </cell>
          <cell r="Z4273">
            <v>2.89</v>
          </cell>
          <cell r="AA4273">
            <v>0</v>
          </cell>
          <cell r="AB4273">
            <v>0</v>
          </cell>
        </row>
        <row r="4274">
          <cell r="G4274" t="str">
            <v>X1407_0</v>
          </cell>
          <cell r="H4274" t="str">
            <v>like</v>
          </cell>
          <cell r="I4274" t="str">
            <v>sim</v>
          </cell>
          <cell r="V4274" t="str">
            <v>not</v>
          </cell>
          <cell r="Y4274" t="str">
            <v>Pres</v>
          </cell>
          <cell r="Z4274">
            <v>4.87</v>
          </cell>
          <cell r="AA4274">
            <v>0</v>
          </cell>
          <cell r="AB4274">
            <v>0</v>
          </cell>
        </row>
        <row r="4275">
          <cell r="G4275" t="str">
            <v>X1407_1</v>
          </cell>
          <cell r="H4275" t="str">
            <v>like</v>
          </cell>
          <cell r="I4275" t="str">
            <v>sim</v>
          </cell>
          <cell r="V4275" t="str">
            <v>not</v>
          </cell>
          <cell r="Y4275" t="str">
            <v>Pres</v>
          </cell>
          <cell r="Z4275">
            <v>4.87</v>
          </cell>
          <cell r="AA4275">
            <v>0</v>
          </cell>
          <cell r="AB4275">
            <v>0</v>
          </cell>
        </row>
        <row r="4276">
          <cell r="G4276" t="str">
            <v>X1408_0</v>
          </cell>
          <cell r="H4276" t="str">
            <v>as-as</v>
          </cell>
          <cell r="I4276" t="str">
            <v>sim</v>
          </cell>
          <cell r="V4276" t="str">
            <v>not neg pair</v>
          </cell>
          <cell r="Y4276" t="str">
            <v>Past</v>
          </cell>
          <cell r="Z4276">
            <v>4.5199999999999996</v>
          </cell>
          <cell r="AA4276">
            <v>0</v>
          </cell>
          <cell r="AB4276">
            <v>0</v>
          </cell>
        </row>
        <row r="4277">
          <cell r="G4277" t="str">
            <v>X1408_1</v>
          </cell>
          <cell r="H4277" t="str">
            <v>as-as</v>
          </cell>
          <cell r="I4277" t="str">
            <v>sim</v>
          </cell>
          <cell r="V4277" t="str">
            <v>not neg pair</v>
          </cell>
          <cell r="Y4277" t="str">
            <v>Pres</v>
          </cell>
          <cell r="Z4277">
            <v>4.5199999999999996</v>
          </cell>
          <cell r="AA4277">
            <v>0</v>
          </cell>
          <cell r="AB4277">
            <v>0</v>
          </cell>
        </row>
        <row r="4278">
          <cell r="G4278" t="str">
            <v>X1409_0</v>
          </cell>
          <cell r="H4278" t="str">
            <v>as-as</v>
          </cell>
          <cell r="I4278" t="str">
            <v>sim</v>
          </cell>
          <cell r="V4278" t="str">
            <v>not neg pair</v>
          </cell>
          <cell r="Y4278" t="str">
            <v>Past</v>
          </cell>
          <cell r="Z4278">
            <v>2.81</v>
          </cell>
          <cell r="AA4278">
            <v>0</v>
          </cell>
          <cell r="AB4278">
            <v>0</v>
          </cell>
        </row>
        <row r="4279">
          <cell r="G4279" t="str">
            <v>X1409_1</v>
          </cell>
          <cell r="H4279" t="str">
            <v>as-as</v>
          </cell>
          <cell r="I4279" t="str">
            <v>sim</v>
          </cell>
          <cell r="V4279" t="str">
            <v>not neg pair</v>
          </cell>
          <cell r="Y4279" t="str">
            <v>Past</v>
          </cell>
          <cell r="Z4279">
            <v>2.81</v>
          </cell>
          <cell r="AA4279">
            <v>0</v>
          </cell>
          <cell r="AB4279">
            <v>0</v>
          </cell>
        </row>
        <row r="4280">
          <cell r="G4280" t="str">
            <v>X1410_0</v>
          </cell>
          <cell r="H4280" t="str">
            <v>as-as</v>
          </cell>
          <cell r="I4280" t="str">
            <v>sim</v>
          </cell>
          <cell r="V4280" t="str">
            <v>not neg pair</v>
          </cell>
          <cell r="Y4280" t="str">
            <v>Past</v>
          </cell>
          <cell r="Z4280">
            <v>2.93</v>
          </cell>
          <cell r="AA4280">
            <v>0</v>
          </cell>
          <cell r="AB4280">
            <v>0</v>
          </cell>
        </row>
        <row r="4281">
          <cell r="G4281" t="str">
            <v>X1410_1</v>
          </cell>
          <cell r="H4281" t="str">
            <v>as-as</v>
          </cell>
          <cell r="I4281" t="str">
            <v>sim</v>
          </cell>
          <cell r="V4281" t="str">
            <v>not neg pair</v>
          </cell>
          <cell r="Y4281" t="str">
            <v>Past</v>
          </cell>
          <cell r="Z4281">
            <v>2.93</v>
          </cell>
          <cell r="AA4281">
            <v>0</v>
          </cell>
          <cell r="AB4281">
            <v>0</v>
          </cell>
        </row>
        <row r="4282">
          <cell r="G4282" t="str">
            <v>X1411_0</v>
          </cell>
          <cell r="H4282" t="str">
            <v>like</v>
          </cell>
          <cell r="I4282" t="str">
            <v>sim</v>
          </cell>
          <cell r="V4282" t="str">
            <v>not neg pair</v>
          </cell>
          <cell r="Y4282" t="str">
            <v>Past</v>
          </cell>
          <cell r="Z4282">
            <v>3.93</v>
          </cell>
          <cell r="AA4282">
            <v>0</v>
          </cell>
          <cell r="AB4282">
            <v>0</v>
          </cell>
        </row>
        <row r="4283">
          <cell r="G4283" t="str">
            <v>X1411_1</v>
          </cell>
          <cell r="H4283" t="str">
            <v>like</v>
          </cell>
          <cell r="I4283" t="str">
            <v>sim</v>
          </cell>
          <cell r="V4283" t="str">
            <v>not neg pair</v>
          </cell>
          <cell r="Y4283" t="str">
            <v>Past</v>
          </cell>
          <cell r="Z4283">
            <v>3.93</v>
          </cell>
          <cell r="AA4283">
            <v>0</v>
          </cell>
          <cell r="AB4283">
            <v>0</v>
          </cell>
        </row>
        <row r="4284">
          <cell r="G4284" t="str">
            <v>X1412_0</v>
          </cell>
          <cell r="H4284" t="str">
            <v>as-as</v>
          </cell>
          <cell r="I4284" t="str">
            <v>sim</v>
          </cell>
          <cell r="V4284" t="str">
            <v>not neg pair</v>
          </cell>
          <cell r="Y4284" t="str">
            <v>Past</v>
          </cell>
          <cell r="Z4284">
            <v>4.75</v>
          </cell>
          <cell r="AA4284">
            <v>0</v>
          </cell>
          <cell r="AB4284">
            <v>0</v>
          </cell>
        </row>
        <row r="4285">
          <cell r="G4285" t="str">
            <v>X1412_1</v>
          </cell>
          <cell r="H4285" t="str">
            <v>as</v>
          </cell>
          <cell r="I4285" t="str">
            <v>sim</v>
          </cell>
          <cell r="V4285" t="str">
            <v>not neg pair</v>
          </cell>
          <cell r="Y4285" t="str">
            <v>Past</v>
          </cell>
          <cell r="Z4285">
            <v>4.75</v>
          </cell>
          <cell r="AA4285">
            <v>0</v>
          </cell>
          <cell r="AB4285">
            <v>0</v>
          </cell>
        </row>
        <row r="4286">
          <cell r="G4286" t="str">
            <v>X1413_0</v>
          </cell>
          <cell r="H4286" t="str">
            <v>as-as</v>
          </cell>
          <cell r="I4286" t="str">
            <v>sim</v>
          </cell>
          <cell r="V4286" t="str">
            <v>not neg pair</v>
          </cell>
          <cell r="Y4286" t="str">
            <v>Past</v>
          </cell>
          <cell r="Z4286">
            <v>5</v>
          </cell>
          <cell r="AA4286" t="str">
            <v>H</v>
          </cell>
          <cell r="AB4286">
            <v>0</v>
          </cell>
        </row>
        <row r="4287">
          <cell r="G4287" t="str">
            <v>X1413_1</v>
          </cell>
          <cell r="H4287" t="str">
            <v>as</v>
          </cell>
          <cell r="I4287" t="str">
            <v>sim</v>
          </cell>
          <cell r="V4287" t="str">
            <v>not neg pair</v>
          </cell>
          <cell r="Y4287" t="str">
            <v>Past</v>
          </cell>
          <cell r="Z4287">
            <v>5</v>
          </cell>
          <cell r="AA4287" t="str">
            <v>H</v>
          </cell>
          <cell r="AB4287">
            <v>0</v>
          </cell>
        </row>
        <row r="4288">
          <cell r="G4288" t="str">
            <v>X1414_0</v>
          </cell>
          <cell r="H4288" t="str">
            <v>the-of</v>
          </cell>
          <cell r="I4288" t="str">
            <v>sim</v>
          </cell>
          <cell r="V4288" t="str">
            <v>not neg pair</v>
          </cell>
          <cell r="Y4288" t="str">
            <v>Past</v>
          </cell>
          <cell r="Z4288">
            <v>4.62</v>
          </cell>
          <cell r="AA4288">
            <v>0</v>
          </cell>
          <cell r="AB4288">
            <v>0</v>
          </cell>
        </row>
        <row r="4289">
          <cell r="G4289" t="str">
            <v>X1414_1</v>
          </cell>
          <cell r="H4289" t="str">
            <v>the-of</v>
          </cell>
          <cell r="I4289" t="str">
            <v>sim</v>
          </cell>
          <cell r="V4289" t="str">
            <v>not neg pair</v>
          </cell>
          <cell r="Y4289" t="str">
            <v>Past</v>
          </cell>
          <cell r="Z4289">
            <v>4.62</v>
          </cell>
          <cell r="AA4289">
            <v>0</v>
          </cell>
          <cell r="AB4289">
            <v>0</v>
          </cell>
        </row>
        <row r="4290">
          <cell r="G4290" t="str">
            <v>X1415_0</v>
          </cell>
          <cell r="H4290" t="str">
            <v>as-as</v>
          </cell>
          <cell r="I4290" t="str">
            <v>sim</v>
          </cell>
          <cell r="V4290" t="str">
            <v>not neg pair</v>
          </cell>
          <cell r="Y4290" t="str">
            <v>Past</v>
          </cell>
          <cell r="Z4290">
            <v>4.8899999999999997</v>
          </cell>
          <cell r="AA4290">
            <v>0</v>
          </cell>
          <cell r="AB4290">
            <v>0</v>
          </cell>
        </row>
        <row r="4291">
          <cell r="G4291" t="str">
            <v>X1415_1</v>
          </cell>
          <cell r="H4291" t="str">
            <v>as-as</v>
          </cell>
          <cell r="I4291" t="str">
            <v>sim</v>
          </cell>
          <cell r="V4291" t="str">
            <v>not neg pair</v>
          </cell>
          <cell r="Y4291" t="str">
            <v>Past</v>
          </cell>
          <cell r="Z4291">
            <v>4.8899999999999997</v>
          </cell>
          <cell r="AA4291">
            <v>0</v>
          </cell>
          <cell r="AB4291">
            <v>0</v>
          </cell>
        </row>
        <row r="4292">
          <cell r="G4292" t="str">
            <v>X1416_0</v>
          </cell>
          <cell r="H4292" t="str">
            <v>as-as</v>
          </cell>
          <cell r="I4292" t="str">
            <v>sim</v>
          </cell>
          <cell r="V4292" t="str">
            <v>antonym</v>
          </cell>
          <cell r="Y4292" t="str">
            <v>Past</v>
          </cell>
          <cell r="Z4292">
            <v>4.93</v>
          </cell>
          <cell r="AA4292" t="str">
            <v>H</v>
          </cell>
          <cell r="AB4292">
            <v>0</v>
          </cell>
        </row>
        <row r="4293">
          <cell r="G4293" t="str">
            <v>X1416_1</v>
          </cell>
          <cell r="H4293" t="str">
            <v>as-as</v>
          </cell>
          <cell r="I4293" t="str">
            <v>sim</v>
          </cell>
          <cell r="V4293" t="str">
            <v>antonym</v>
          </cell>
          <cell r="Y4293" t="str">
            <v>Past</v>
          </cell>
          <cell r="Z4293">
            <v>4.93</v>
          </cell>
          <cell r="AA4293" t="str">
            <v>H</v>
          </cell>
          <cell r="AB4293">
            <v>0</v>
          </cell>
        </row>
        <row r="4294">
          <cell r="G4294" t="str">
            <v>X1417_0</v>
          </cell>
          <cell r="H4294" t="str">
            <v>the-of</v>
          </cell>
          <cell r="I4294" t="str">
            <v>sim</v>
          </cell>
          <cell r="V4294" t="str">
            <v>not</v>
          </cell>
          <cell r="Y4294" t="str">
            <v>Past</v>
          </cell>
          <cell r="Z4294">
            <v>4.5999999999999996</v>
          </cell>
          <cell r="AA4294">
            <v>0</v>
          </cell>
          <cell r="AB4294">
            <v>0</v>
          </cell>
        </row>
        <row r="4295">
          <cell r="G4295" t="str">
            <v>X1417_1</v>
          </cell>
          <cell r="H4295" t="str">
            <v>the-of</v>
          </cell>
          <cell r="I4295" t="str">
            <v>sim</v>
          </cell>
          <cell r="V4295" t="str">
            <v>not</v>
          </cell>
          <cell r="Y4295" t="str">
            <v>Past</v>
          </cell>
          <cell r="Z4295">
            <v>4.5999999999999996</v>
          </cell>
          <cell r="AA4295">
            <v>0</v>
          </cell>
          <cell r="AB4295">
            <v>0</v>
          </cell>
        </row>
        <row r="4296">
          <cell r="G4296" t="str">
            <v>X1418_0</v>
          </cell>
          <cell r="H4296" t="str">
            <v>the-of</v>
          </cell>
          <cell r="I4296" t="str">
            <v>sim</v>
          </cell>
          <cell r="V4296" t="str">
            <v>not neg pair</v>
          </cell>
          <cell r="Y4296" t="str">
            <v>Past</v>
          </cell>
          <cell r="Z4296">
            <v>4.76</v>
          </cell>
          <cell r="AA4296">
            <v>0</v>
          </cell>
          <cell r="AB4296">
            <v>0</v>
          </cell>
        </row>
        <row r="4297">
          <cell r="G4297" t="str">
            <v>X1418_1</v>
          </cell>
          <cell r="H4297" t="str">
            <v>the-of</v>
          </cell>
          <cell r="I4297" t="str">
            <v>sim</v>
          </cell>
          <cell r="V4297" t="str">
            <v>not neg pair</v>
          </cell>
          <cell r="Y4297" t="str">
            <v>Past</v>
          </cell>
          <cell r="Z4297">
            <v>4.76</v>
          </cell>
          <cell r="AA4297">
            <v>0</v>
          </cell>
          <cell r="AB4297">
            <v>0</v>
          </cell>
        </row>
        <row r="4298">
          <cell r="G4298" t="str">
            <v>X1419_0</v>
          </cell>
          <cell r="H4298" t="str">
            <v>like</v>
          </cell>
          <cell r="I4298" t="str">
            <v>sim</v>
          </cell>
          <cell r="V4298" t="str">
            <v>not neg pair</v>
          </cell>
          <cell r="Y4298" t="str">
            <v>Past</v>
          </cell>
          <cell r="Z4298">
            <v>4.9400000000000004</v>
          </cell>
          <cell r="AA4298" t="str">
            <v>H</v>
          </cell>
          <cell r="AB4298">
            <v>0</v>
          </cell>
        </row>
        <row r="4299">
          <cell r="G4299" t="str">
            <v>X1419_1</v>
          </cell>
          <cell r="H4299" t="str">
            <v>like</v>
          </cell>
          <cell r="I4299" t="str">
            <v>sim</v>
          </cell>
          <cell r="V4299" t="str">
            <v>not neg pair</v>
          </cell>
          <cell r="Y4299" t="str">
            <v>Past</v>
          </cell>
          <cell r="Z4299">
            <v>4.9400000000000004</v>
          </cell>
          <cell r="AA4299" t="str">
            <v>H</v>
          </cell>
          <cell r="AB4299">
            <v>0</v>
          </cell>
        </row>
        <row r="4300">
          <cell r="G4300" t="str">
            <v>X1420_0</v>
          </cell>
          <cell r="H4300" t="str">
            <v>like</v>
          </cell>
          <cell r="I4300" t="str">
            <v>sim</v>
          </cell>
          <cell r="V4300" t="str">
            <v>not neg pair</v>
          </cell>
          <cell r="Y4300" t="str">
            <v>Past</v>
          </cell>
          <cell r="Z4300">
            <v>3.93</v>
          </cell>
          <cell r="AA4300">
            <v>0</v>
          </cell>
          <cell r="AB4300">
            <v>0</v>
          </cell>
        </row>
        <row r="4301">
          <cell r="G4301" t="str">
            <v>X1420_1</v>
          </cell>
          <cell r="H4301" t="str">
            <v>like</v>
          </cell>
          <cell r="I4301" t="str">
            <v>sim</v>
          </cell>
          <cell r="V4301" t="str">
            <v>not neg pair</v>
          </cell>
          <cell r="Y4301" t="str">
            <v>Past</v>
          </cell>
          <cell r="Z4301">
            <v>3.93</v>
          </cell>
          <cell r="AA4301">
            <v>0</v>
          </cell>
          <cell r="AB4301">
            <v>0</v>
          </cell>
        </row>
        <row r="4302">
          <cell r="G4302" t="str">
            <v>X1421_0</v>
          </cell>
          <cell r="H4302" t="str">
            <v>like</v>
          </cell>
          <cell r="I4302" t="str">
            <v>sim</v>
          </cell>
          <cell r="V4302" t="str">
            <v>not neg pair</v>
          </cell>
          <cell r="Y4302" t="str">
            <v>Past</v>
          </cell>
          <cell r="Z4302">
            <v>4.78</v>
          </cell>
          <cell r="AA4302">
            <v>0</v>
          </cell>
          <cell r="AB4302">
            <v>0</v>
          </cell>
        </row>
        <row r="4303">
          <cell r="G4303" t="str">
            <v>X1421_1</v>
          </cell>
          <cell r="H4303" t="str">
            <v>like</v>
          </cell>
          <cell r="I4303" t="str">
            <v>sim</v>
          </cell>
          <cell r="V4303" t="str">
            <v>not neg pair</v>
          </cell>
          <cell r="Y4303" t="str">
            <v>Past</v>
          </cell>
          <cell r="Z4303">
            <v>4.78</v>
          </cell>
          <cell r="AA4303">
            <v>0</v>
          </cell>
          <cell r="AB4303">
            <v>0</v>
          </cell>
        </row>
        <row r="4304">
          <cell r="G4304" t="str">
            <v>X1422_0</v>
          </cell>
          <cell r="H4304" t="str">
            <v>like</v>
          </cell>
          <cell r="I4304" t="str">
            <v>sim</v>
          </cell>
          <cell r="V4304" t="str">
            <v>not neg pair</v>
          </cell>
          <cell r="Y4304" t="str">
            <v>Past</v>
          </cell>
          <cell r="Z4304">
            <v>2.7</v>
          </cell>
          <cell r="AA4304" t="str">
            <v>L</v>
          </cell>
          <cell r="AB4304">
            <v>0</v>
          </cell>
        </row>
        <row r="4305">
          <cell r="G4305" t="str">
            <v>X1422_1</v>
          </cell>
          <cell r="H4305" t="str">
            <v>like</v>
          </cell>
          <cell r="I4305" t="str">
            <v>sim</v>
          </cell>
          <cell r="V4305" t="str">
            <v>not neg pair</v>
          </cell>
          <cell r="Y4305" t="str">
            <v>Past</v>
          </cell>
          <cell r="Z4305">
            <v>2.7</v>
          </cell>
          <cell r="AA4305" t="str">
            <v>L</v>
          </cell>
          <cell r="AB4305">
            <v>0</v>
          </cell>
        </row>
        <row r="4306">
          <cell r="G4306" t="str">
            <v>X1423_0</v>
          </cell>
          <cell r="H4306" t="str">
            <v>as</v>
          </cell>
          <cell r="I4306" t="str">
            <v>sim</v>
          </cell>
          <cell r="V4306" t="str">
            <v>not</v>
          </cell>
          <cell r="Y4306" t="str">
            <v>Past</v>
          </cell>
          <cell r="Z4306">
            <v>4.91</v>
          </cell>
          <cell r="AA4306" t="str">
            <v>H</v>
          </cell>
          <cell r="AB4306">
            <v>0</v>
          </cell>
        </row>
        <row r="4307">
          <cell r="G4307" t="str">
            <v>X1423_1</v>
          </cell>
          <cell r="H4307" t="str">
            <v>as</v>
          </cell>
          <cell r="I4307" t="str">
            <v>sim</v>
          </cell>
          <cell r="V4307" t="str">
            <v>not</v>
          </cell>
          <cell r="Y4307" t="str">
            <v>Past</v>
          </cell>
          <cell r="Z4307">
            <v>4.91</v>
          </cell>
          <cell r="AA4307" t="str">
            <v>H</v>
          </cell>
          <cell r="AB4307">
            <v>0</v>
          </cell>
        </row>
        <row r="4308">
          <cell r="G4308" t="str">
            <v>X1424_0</v>
          </cell>
          <cell r="H4308" t="str">
            <v>the-of</v>
          </cell>
          <cell r="I4308" t="str">
            <v>sim</v>
          </cell>
          <cell r="V4308" t="str">
            <v>not neg pair</v>
          </cell>
          <cell r="Y4308" t="str">
            <v>Past</v>
          </cell>
          <cell r="Z4308">
            <v>4.9000000000000004</v>
          </cell>
          <cell r="AA4308">
            <v>0</v>
          </cell>
          <cell r="AB4308">
            <v>0</v>
          </cell>
        </row>
        <row r="4309">
          <cell r="G4309" t="str">
            <v>X1424_1</v>
          </cell>
          <cell r="H4309" t="str">
            <v>the-of</v>
          </cell>
          <cell r="I4309" t="str">
            <v>sim</v>
          </cell>
          <cell r="V4309" t="str">
            <v>not neg pair</v>
          </cell>
          <cell r="Y4309" t="str">
            <v>Past</v>
          </cell>
          <cell r="Z4309">
            <v>4.9000000000000004</v>
          </cell>
          <cell r="AA4309">
            <v>0</v>
          </cell>
          <cell r="AB4309">
            <v>0</v>
          </cell>
        </row>
        <row r="4310">
          <cell r="G4310" t="str">
            <v>X1425_0</v>
          </cell>
          <cell r="H4310" t="str">
            <v>the-of</v>
          </cell>
          <cell r="I4310" t="str">
            <v>sim</v>
          </cell>
          <cell r="V4310" t="str">
            <v>not</v>
          </cell>
          <cell r="Y4310" t="str">
            <v>Past</v>
          </cell>
          <cell r="Z4310">
            <v>4.8499999999999996</v>
          </cell>
          <cell r="AA4310">
            <v>0</v>
          </cell>
          <cell r="AB4310">
            <v>0</v>
          </cell>
        </row>
        <row r="4311">
          <cell r="G4311" t="str">
            <v>X1425_1</v>
          </cell>
          <cell r="H4311" t="str">
            <v>the-of</v>
          </cell>
          <cell r="I4311" t="str">
            <v>sim</v>
          </cell>
          <cell r="V4311" t="str">
            <v>not</v>
          </cell>
          <cell r="Y4311" t="str">
            <v>Past</v>
          </cell>
          <cell r="Z4311">
            <v>4.8499999999999996</v>
          </cell>
          <cell r="AA4311">
            <v>0</v>
          </cell>
          <cell r="AB4311">
            <v>0</v>
          </cell>
        </row>
        <row r="4312">
          <cell r="G4312" t="str">
            <v>X1426_0</v>
          </cell>
          <cell r="H4312" t="str">
            <v/>
          </cell>
          <cell r="I4312" t="str">
            <v>met</v>
          </cell>
          <cell r="V4312" t="str">
            <v>0</v>
          </cell>
          <cell r="Y4312">
            <v>0</v>
          </cell>
          <cell r="Z4312">
            <v>4.3</v>
          </cell>
          <cell r="AA4312">
            <v>0</v>
          </cell>
          <cell r="AB4312">
            <v>0</v>
          </cell>
        </row>
        <row r="4313">
          <cell r="G4313" t="str">
            <v>X1426_1</v>
          </cell>
          <cell r="H4313" t="str">
            <v/>
          </cell>
          <cell r="I4313" t="str">
            <v>met</v>
          </cell>
          <cell r="V4313" t="str">
            <v>0</v>
          </cell>
          <cell r="Y4313">
            <v>0</v>
          </cell>
          <cell r="Z4313">
            <v>4.3</v>
          </cell>
          <cell r="AA4313">
            <v>0</v>
          </cell>
          <cell r="AB4313">
            <v>0</v>
          </cell>
        </row>
        <row r="4314">
          <cell r="G4314" t="str">
            <v>X1427_0</v>
          </cell>
          <cell r="H4314" t="str">
            <v/>
          </cell>
          <cell r="I4314" t="str">
            <v>met</v>
          </cell>
          <cell r="V4314" t="str">
            <v>0</v>
          </cell>
          <cell r="Y4314" t="str">
            <v>Past</v>
          </cell>
          <cell r="Z4314">
            <v>4.62</v>
          </cell>
          <cell r="AA4314">
            <v>0</v>
          </cell>
          <cell r="AB4314">
            <v>0</v>
          </cell>
        </row>
        <row r="4315">
          <cell r="G4315" t="str">
            <v>X1427_1</v>
          </cell>
          <cell r="H4315" t="str">
            <v/>
          </cell>
          <cell r="I4315" t="str">
            <v>met</v>
          </cell>
          <cell r="V4315" t="str">
            <v>0</v>
          </cell>
          <cell r="Y4315" t="str">
            <v>Past</v>
          </cell>
          <cell r="Z4315">
            <v>4.62</v>
          </cell>
          <cell r="AA4315">
            <v>0</v>
          </cell>
          <cell r="AB4315">
            <v>0</v>
          </cell>
        </row>
        <row r="4316">
          <cell r="G4316" t="str">
            <v>X1428_0</v>
          </cell>
          <cell r="H4316" t="str">
            <v/>
          </cell>
          <cell r="I4316" t="str">
            <v>met</v>
          </cell>
          <cell r="V4316" t="str">
            <v>0</v>
          </cell>
          <cell r="Y4316" t="str">
            <v>Pres</v>
          </cell>
          <cell r="Z4316">
            <v>3.93</v>
          </cell>
          <cell r="AA4316">
            <v>0</v>
          </cell>
          <cell r="AB4316">
            <v>0</v>
          </cell>
        </row>
        <row r="4317">
          <cell r="G4317" t="str">
            <v>X1428_1</v>
          </cell>
          <cell r="H4317" t="str">
            <v/>
          </cell>
          <cell r="I4317" t="str">
            <v>met</v>
          </cell>
          <cell r="V4317" t="str">
            <v>0</v>
          </cell>
          <cell r="Y4317" t="str">
            <v>Pres</v>
          </cell>
          <cell r="Z4317">
            <v>3.93</v>
          </cell>
          <cell r="AA4317">
            <v>0</v>
          </cell>
          <cell r="AB4317">
            <v>0</v>
          </cell>
        </row>
        <row r="4318">
          <cell r="G4318" t="str">
            <v>X1429_0</v>
          </cell>
          <cell r="H4318" t="str">
            <v/>
          </cell>
          <cell r="I4318" t="str">
            <v>met</v>
          </cell>
          <cell r="V4318" t="str">
            <v>0</v>
          </cell>
          <cell r="Y4318" t="str">
            <v>Pres</v>
          </cell>
          <cell r="Z4318">
            <v>4.82</v>
          </cell>
          <cell r="AA4318">
            <v>0</v>
          </cell>
          <cell r="AB4318">
            <v>0</v>
          </cell>
        </row>
        <row r="4319">
          <cell r="G4319" t="str">
            <v>X1429_1</v>
          </cell>
          <cell r="H4319" t="str">
            <v/>
          </cell>
          <cell r="I4319" t="str">
            <v>met</v>
          </cell>
          <cell r="V4319" t="str">
            <v>0</v>
          </cell>
          <cell r="Y4319" t="str">
            <v>Pres</v>
          </cell>
          <cell r="Z4319">
            <v>4.82</v>
          </cell>
          <cell r="AA4319">
            <v>0</v>
          </cell>
          <cell r="AB4319">
            <v>0</v>
          </cell>
        </row>
        <row r="4320">
          <cell r="G4320" t="str">
            <v>X1430_0</v>
          </cell>
          <cell r="H4320" t="str">
            <v/>
          </cell>
          <cell r="I4320" t="str">
            <v>met</v>
          </cell>
          <cell r="V4320" t="str">
            <v>0</v>
          </cell>
          <cell r="Y4320" t="str">
            <v>Pres</v>
          </cell>
          <cell r="Z4320">
            <v>3.93</v>
          </cell>
          <cell r="AA4320">
            <v>0</v>
          </cell>
          <cell r="AB4320">
            <v>0</v>
          </cell>
        </row>
        <row r="4321">
          <cell r="G4321" t="str">
            <v>X1430_1</v>
          </cell>
          <cell r="H4321" t="str">
            <v/>
          </cell>
          <cell r="I4321" t="str">
            <v>met</v>
          </cell>
          <cell r="V4321" t="str">
            <v>0</v>
          </cell>
          <cell r="Y4321" t="str">
            <v>Pres</v>
          </cell>
          <cell r="Z4321">
            <v>4.8899999999999997</v>
          </cell>
          <cell r="AA4321">
            <v>0</v>
          </cell>
          <cell r="AB4321">
            <v>0</v>
          </cell>
        </row>
        <row r="4322">
          <cell r="G4322" t="str">
            <v>X1431_0</v>
          </cell>
          <cell r="H4322" t="str">
            <v>as-as</v>
          </cell>
          <cell r="I4322" t="str">
            <v>sim</v>
          </cell>
          <cell r="V4322" t="str">
            <v>not neg pair</v>
          </cell>
          <cell r="Y4322" t="str">
            <v>Past</v>
          </cell>
          <cell r="Z4322">
            <v>4.46</v>
          </cell>
          <cell r="AA4322">
            <v>0</v>
          </cell>
          <cell r="AB4322">
            <v>0</v>
          </cell>
        </row>
        <row r="4323">
          <cell r="G4323" t="str">
            <v>X1431_1</v>
          </cell>
          <cell r="H4323" t="str">
            <v>as-as</v>
          </cell>
          <cell r="I4323" t="str">
            <v>sim</v>
          </cell>
          <cell r="V4323" t="str">
            <v>not neg pair</v>
          </cell>
          <cell r="Y4323" t="str">
            <v>Past</v>
          </cell>
          <cell r="Z4323">
            <v>4.46</v>
          </cell>
          <cell r="AA4323">
            <v>0</v>
          </cell>
          <cell r="AB4323">
            <v>0</v>
          </cell>
        </row>
        <row r="4324">
          <cell r="G4324" t="str">
            <v>X1432_0</v>
          </cell>
          <cell r="H4324" t="str">
            <v>as-as</v>
          </cell>
          <cell r="I4324" t="str">
            <v>sim</v>
          </cell>
          <cell r="V4324" t="str">
            <v>not neg pair</v>
          </cell>
          <cell r="Y4324" t="str">
            <v>Pres</v>
          </cell>
          <cell r="Z4324">
            <v>2.81</v>
          </cell>
          <cell r="AA4324">
            <v>0</v>
          </cell>
          <cell r="AB4324">
            <v>0</v>
          </cell>
        </row>
        <row r="4325">
          <cell r="G4325" t="str">
            <v>X1432_1</v>
          </cell>
          <cell r="H4325" t="str">
            <v>as-as</v>
          </cell>
          <cell r="I4325" t="str">
            <v>sim</v>
          </cell>
          <cell r="V4325" t="str">
            <v>not neg pair</v>
          </cell>
          <cell r="Y4325" t="str">
            <v>Pres</v>
          </cell>
          <cell r="Z4325">
            <v>2.81</v>
          </cell>
          <cell r="AA4325">
            <v>0</v>
          </cell>
          <cell r="AB4325">
            <v>0</v>
          </cell>
        </row>
        <row r="4326">
          <cell r="G4326" t="str">
            <v>X1433_0</v>
          </cell>
          <cell r="H4326" t="str">
            <v>as-as</v>
          </cell>
          <cell r="I4326" t="str">
            <v>sim</v>
          </cell>
          <cell r="V4326" t="str">
            <v>antonym</v>
          </cell>
          <cell r="Y4326" t="str">
            <v>Pres</v>
          </cell>
          <cell r="Z4326">
            <v>2.81</v>
          </cell>
          <cell r="AA4326">
            <v>0</v>
          </cell>
          <cell r="AB4326">
            <v>0</v>
          </cell>
        </row>
        <row r="4327">
          <cell r="G4327" t="str">
            <v>X1433_1</v>
          </cell>
          <cell r="H4327" t="str">
            <v>as-as</v>
          </cell>
          <cell r="I4327" t="str">
            <v>sim</v>
          </cell>
          <cell r="V4327" t="str">
            <v>antonym</v>
          </cell>
          <cell r="Y4327" t="str">
            <v>Pres</v>
          </cell>
          <cell r="Z4327">
            <v>2.81</v>
          </cell>
          <cell r="AA4327">
            <v>0</v>
          </cell>
          <cell r="AB4327">
            <v>0</v>
          </cell>
        </row>
        <row r="4328">
          <cell r="G4328" t="str">
            <v>X1434_0</v>
          </cell>
          <cell r="H4328" t="str">
            <v>like</v>
          </cell>
          <cell r="I4328" t="str">
            <v>sim</v>
          </cell>
          <cell r="V4328" t="str">
            <v>not neg pair</v>
          </cell>
          <cell r="Y4328" t="str">
            <v>Past</v>
          </cell>
          <cell r="Z4328">
            <v>5</v>
          </cell>
          <cell r="AA4328" t="str">
            <v>H</v>
          </cell>
          <cell r="AB4328">
            <v>0</v>
          </cell>
        </row>
        <row r="4329">
          <cell r="G4329" t="str">
            <v>X1434_1</v>
          </cell>
          <cell r="H4329" t="str">
            <v>like</v>
          </cell>
          <cell r="I4329" t="str">
            <v>sim</v>
          </cell>
          <cell r="V4329" t="str">
            <v>not neg pair</v>
          </cell>
          <cell r="Y4329" t="str">
            <v>Past</v>
          </cell>
          <cell r="Z4329">
            <v>5</v>
          </cell>
          <cell r="AA4329" t="str">
            <v>H</v>
          </cell>
          <cell r="AB4329">
            <v>0</v>
          </cell>
        </row>
        <row r="4330">
          <cell r="G4330" t="str">
            <v>X1435_0</v>
          </cell>
          <cell r="H4330" t="str">
            <v>like</v>
          </cell>
          <cell r="I4330" t="str">
            <v>sim</v>
          </cell>
          <cell r="V4330" t="str">
            <v>not neg pair</v>
          </cell>
          <cell r="Y4330" t="str">
            <v>Past</v>
          </cell>
          <cell r="Z4330">
            <v>4.46</v>
          </cell>
          <cell r="AA4330">
            <v>0</v>
          </cell>
          <cell r="AB4330">
            <v>0</v>
          </cell>
        </row>
        <row r="4331">
          <cell r="G4331" t="str">
            <v>X1435_1</v>
          </cell>
          <cell r="H4331" t="str">
            <v>like</v>
          </cell>
          <cell r="I4331" t="str">
            <v>sim</v>
          </cell>
          <cell r="V4331" t="str">
            <v>not neg pair</v>
          </cell>
          <cell r="Y4331" t="str">
            <v>Past</v>
          </cell>
          <cell r="Z4331">
            <v>4.46</v>
          </cell>
          <cell r="AA4331">
            <v>0</v>
          </cell>
          <cell r="AB4331">
            <v>0</v>
          </cell>
        </row>
        <row r="4332">
          <cell r="G4332" t="str">
            <v>X1436_0</v>
          </cell>
          <cell r="H4332" t="str">
            <v>the-of</v>
          </cell>
          <cell r="I4332" t="str">
            <v>sim</v>
          </cell>
          <cell r="V4332" t="str">
            <v>not neg pair</v>
          </cell>
          <cell r="Y4332" t="str">
            <v>Past</v>
          </cell>
          <cell r="Z4332">
            <v>4.93</v>
          </cell>
          <cell r="AA4332" t="str">
            <v>H</v>
          </cell>
          <cell r="AB4332">
            <v>0</v>
          </cell>
        </row>
        <row r="4333">
          <cell r="G4333" t="str">
            <v>X1436_1</v>
          </cell>
          <cell r="H4333" t="str">
            <v>the-of</v>
          </cell>
          <cell r="I4333" t="str">
            <v>sim</v>
          </cell>
          <cell r="V4333" t="str">
            <v>not neg pair</v>
          </cell>
          <cell r="Y4333" t="str">
            <v>Past</v>
          </cell>
          <cell r="Z4333">
            <v>4.93</v>
          </cell>
          <cell r="AA4333" t="str">
            <v>H</v>
          </cell>
          <cell r="AB4333">
            <v>0</v>
          </cell>
        </row>
        <row r="4334">
          <cell r="G4334" t="str">
            <v>X1437_0</v>
          </cell>
          <cell r="H4334" t="str">
            <v>as-as</v>
          </cell>
          <cell r="I4334" t="str">
            <v>sim</v>
          </cell>
          <cell r="V4334" t="str">
            <v>not</v>
          </cell>
          <cell r="Y4334" t="str">
            <v>Pres</v>
          </cell>
          <cell r="Z4334">
            <v>2.14</v>
          </cell>
          <cell r="AA4334" t="str">
            <v>L</v>
          </cell>
          <cell r="AB4334">
            <v>0</v>
          </cell>
        </row>
        <row r="4335">
          <cell r="G4335" t="str">
            <v>X1437_1</v>
          </cell>
          <cell r="H4335" t="str">
            <v>as-as</v>
          </cell>
          <cell r="I4335" t="str">
            <v>sim</v>
          </cell>
          <cell r="V4335" t="str">
            <v>not</v>
          </cell>
          <cell r="Y4335" t="str">
            <v>Pres</v>
          </cell>
          <cell r="Z4335">
            <v>2.14</v>
          </cell>
          <cell r="AA4335" t="str">
            <v>L</v>
          </cell>
          <cell r="AB4335">
            <v>0</v>
          </cell>
        </row>
        <row r="4336">
          <cell r="G4336" t="str">
            <v>X1438_0</v>
          </cell>
          <cell r="H4336" t="str">
            <v>as-as</v>
          </cell>
          <cell r="I4336" t="str">
            <v>sim</v>
          </cell>
          <cell r="V4336" t="str">
            <v>0</v>
          </cell>
          <cell r="Y4336" t="str">
            <v>Pres</v>
          </cell>
          <cell r="Z4336">
            <v>3.93</v>
          </cell>
          <cell r="AA4336">
            <v>0</v>
          </cell>
          <cell r="AB4336">
            <v>0</v>
          </cell>
        </row>
        <row r="4337">
          <cell r="G4337" t="str">
            <v>X1438_1</v>
          </cell>
          <cell r="H4337" t="str">
            <v>as-as</v>
          </cell>
          <cell r="I4337" t="str">
            <v>sim</v>
          </cell>
          <cell r="V4337" t="str">
            <v>0</v>
          </cell>
          <cell r="Y4337" t="str">
            <v>Pres</v>
          </cell>
          <cell r="Z4337">
            <v>3.93</v>
          </cell>
          <cell r="AA4337">
            <v>0</v>
          </cell>
          <cell r="AB4337">
            <v>0</v>
          </cell>
        </row>
        <row r="4338">
          <cell r="G4338" t="str">
            <v>X1439_0</v>
          </cell>
          <cell r="H4338" t="str">
            <v>like</v>
          </cell>
          <cell r="I4338" t="str">
            <v>sim</v>
          </cell>
          <cell r="V4338" t="str">
            <v>not neg pair</v>
          </cell>
          <cell r="Y4338" t="str">
            <v>Past</v>
          </cell>
          <cell r="Z4338">
            <v>4.2699999999999996</v>
          </cell>
          <cell r="AA4338">
            <v>0</v>
          </cell>
          <cell r="AB4338">
            <v>0</v>
          </cell>
        </row>
        <row r="4339">
          <cell r="G4339" t="str">
            <v>X1439_1</v>
          </cell>
          <cell r="H4339" t="str">
            <v>like</v>
          </cell>
          <cell r="I4339" t="str">
            <v>sim</v>
          </cell>
          <cell r="V4339" t="str">
            <v>not neg pair</v>
          </cell>
          <cell r="Y4339" t="str">
            <v>Past</v>
          </cell>
          <cell r="Z4339">
            <v>4.2699999999999996</v>
          </cell>
          <cell r="AA4339">
            <v>0</v>
          </cell>
          <cell r="AB4339">
            <v>0</v>
          </cell>
        </row>
        <row r="4340">
          <cell r="G4340" t="str">
            <v>X1440_0</v>
          </cell>
          <cell r="H4340" t="str">
            <v>like</v>
          </cell>
          <cell r="I4340" t="str">
            <v>sim</v>
          </cell>
          <cell r="V4340" t="str">
            <v>not neg pair</v>
          </cell>
          <cell r="Y4340" t="str">
            <v>Past</v>
          </cell>
          <cell r="Z4340">
            <v>4.32</v>
          </cell>
          <cell r="AA4340">
            <v>0</v>
          </cell>
          <cell r="AB4340">
            <v>0</v>
          </cell>
        </row>
        <row r="4341">
          <cell r="G4341" t="str">
            <v>X1440_1</v>
          </cell>
          <cell r="H4341" t="str">
            <v>like</v>
          </cell>
          <cell r="I4341" t="str">
            <v>sim</v>
          </cell>
          <cell r="V4341" t="str">
            <v>not neg pair</v>
          </cell>
          <cell r="Y4341" t="str">
            <v>Past</v>
          </cell>
          <cell r="Z4341">
            <v>4.6100000000000003</v>
          </cell>
          <cell r="AA4341">
            <v>0</v>
          </cell>
          <cell r="AB4341">
            <v>0</v>
          </cell>
        </row>
        <row r="4342">
          <cell r="G4342" t="str">
            <v>X1441_0</v>
          </cell>
          <cell r="H4342" t="str">
            <v>as-as</v>
          </cell>
          <cell r="I4342" t="str">
            <v>sim</v>
          </cell>
          <cell r="V4342" t="str">
            <v>not neg pair</v>
          </cell>
          <cell r="Y4342" t="str">
            <v>Past</v>
          </cell>
          <cell r="Z4342">
            <v>3.28</v>
          </cell>
          <cell r="AA4342">
            <v>0</v>
          </cell>
          <cell r="AB4342">
            <v>0</v>
          </cell>
        </row>
        <row r="4343">
          <cell r="G4343" t="str">
            <v>X1441_1</v>
          </cell>
          <cell r="H4343" t="str">
            <v>as-as</v>
          </cell>
          <cell r="I4343" t="str">
            <v>sim</v>
          </cell>
          <cell r="V4343" t="str">
            <v>not neg pair</v>
          </cell>
          <cell r="Y4343" t="str">
            <v>Past</v>
          </cell>
          <cell r="Z4343">
            <v>3.28</v>
          </cell>
          <cell r="AA4343">
            <v>0</v>
          </cell>
          <cell r="AB4343">
            <v>0</v>
          </cell>
        </row>
        <row r="4344">
          <cell r="G4344" t="str">
            <v>X1442_0</v>
          </cell>
          <cell r="H4344" t="str">
            <v/>
          </cell>
          <cell r="I4344" t="str">
            <v>met</v>
          </cell>
          <cell r="V4344" t="str">
            <v>0</v>
          </cell>
          <cell r="Y4344" t="str">
            <v>Past</v>
          </cell>
          <cell r="Z4344">
            <v>1.61</v>
          </cell>
          <cell r="AA4344" t="str">
            <v>L</v>
          </cell>
          <cell r="AB4344">
            <v>0</v>
          </cell>
        </row>
        <row r="4345">
          <cell r="G4345" t="str">
            <v>X1442_1</v>
          </cell>
          <cell r="H4345" t="str">
            <v/>
          </cell>
          <cell r="I4345" t="str">
            <v>met</v>
          </cell>
          <cell r="V4345" t="str">
            <v>0</v>
          </cell>
          <cell r="Y4345" t="str">
            <v>Past</v>
          </cell>
          <cell r="Z4345">
            <v>1.61</v>
          </cell>
          <cell r="AA4345" t="str">
            <v>L</v>
          </cell>
          <cell r="AB4345">
            <v>0</v>
          </cell>
        </row>
        <row r="4346">
          <cell r="G4346" t="str">
            <v>X1443_0</v>
          </cell>
          <cell r="H4346" t="str">
            <v/>
          </cell>
          <cell r="I4346" t="str">
            <v>met</v>
          </cell>
          <cell r="V4346" t="str">
            <v>0</v>
          </cell>
          <cell r="Y4346" t="str">
            <v>Past</v>
          </cell>
          <cell r="Z4346">
            <v>3.36</v>
          </cell>
          <cell r="AA4346">
            <v>0</v>
          </cell>
          <cell r="AB4346">
            <v>0</v>
          </cell>
        </row>
        <row r="4347">
          <cell r="G4347" t="str">
            <v>X1443_1</v>
          </cell>
          <cell r="H4347" t="str">
            <v/>
          </cell>
          <cell r="I4347" t="str">
            <v>met</v>
          </cell>
          <cell r="V4347" t="str">
            <v>0</v>
          </cell>
          <cell r="Y4347" t="str">
            <v>Past</v>
          </cell>
          <cell r="Z4347">
            <v>3.36</v>
          </cell>
          <cell r="AA4347">
            <v>0</v>
          </cell>
          <cell r="AB4347">
            <v>0</v>
          </cell>
        </row>
        <row r="4348">
          <cell r="G4348" t="str">
            <v>X1444_0</v>
          </cell>
          <cell r="H4348" t="str">
            <v/>
          </cell>
          <cell r="I4348" t="str">
            <v>met</v>
          </cell>
          <cell r="V4348" t="str">
            <v>0</v>
          </cell>
          <cell r="Y4348" t="str">
            <v>Past</v>
          </cell>
          <cell r="Z4348">
            <v>3</v>
          </cell>
          <cell r="AA4348">
            <v>0</v>
          </cell>
          <cell r="AB4348">
            <v>0</v>
          </cell>
        </row>
        <row r="4349">
          <cell r="G4349" t="str">
            <v>X1444_1</v>
          </cell>
          <cell r="H4349" t="str">
            <v/>
          </cell>
          <cell r="I4349" t="str">
            <v>met</v>
          </cell>
          <cell r="V4349" t="str">
            <v>0</v>
          </cell>
          <cell r="Y4349" t="str">
            <v>Past</v>
          </cell>
          <cell r="Z4349">
            <v>3</v>
          </cell>
          <cell r="AA4349">
            <v>0</v>
          </cell>
          <cell r="AB4349">
            <v>0</v>
          </cell>
        </row>
        <row r="4350">
          <cell r="G4350" t="str">
            <v>X1445_0</v>
          </cell>
          <cell r="H4350" t="str">
            <v>as-as</v>
          </cell>
          <cell r="I4350" t="str">
            <v>sim</v>
          </cell>
          <cell r="V4350" t="str">
            <v>antonym</v>
          </cell>
          <cell r="Y4350" t="str">
            <v>Past</v>
          </cell>
          <cell r="Z4350">
            <v>4.12</v>
          </cell>
          <cell r="AA4350">
            <v>0</v>
          </cell>
          <cell r="AB4350">
            <v>0</v>
          </cell>
        </row>
        <row r="4351">
          <cell r="G4351" t="str">
            <v>X1445_1</v>
          </cell>
          <cell r="H4351" t="str">
            <v>as-as</v>
          </cell>
          <cell r="I4351" t="str">
            <v>sim</v>
          </cell>
          <cell r="V4351" t="str">
            <v>antonym</v>
          </cell>
          <cell r="Y4351" t="str">
            <v>Past</v>
          </cell>
          <cell r="Z4351">
            <v>4.12</v>
          </cell>
          <cell r="AA4351">
            <v>0</v>
          </cell>
          <cell r="AB4351">
            <v>0</v>
          </cell>
        </row>
        <row r="4352">
          <cell r="G4352" t="str">
            <v>X1446_0</v>
          </cell>
          <cell r="H4352" t="str">
            <v>like</v>
          </cell>
          <cell r="I4352" t="str">
            <v>sim</v>
          </cell>
          <cell r="V4352" t="str">
            <v>not</v>
          </cell>
          <cell r="Y4352" t="str">
            <v>Past</v>
          </cell>
          <cell r="Z4352">
            <v>3.93</v>
          </cell>
          <cell r="AA4352">
            <v>0</v>
          </cell>
          <cell r="AB4352">
            <v>0</v>
          </cell>
        </row>
        <row r="4353">
          <cell r="G4353" t="str">
            <v>X1446_1</v>
          </cell>
          <cell r="H4353" t="str">
            <v>like</v>
          </cell>
          <cell r="I4353" t="str">
            <v>sim</v>
          </cell>
          <cell r="V4353" t="str">
            <v>not</v>
          </cell>
          <cell r="Y4353" t="str">
            <v>Past</v>
          </cell>
          <cell r="Z4353">
            <v>3.93</v>
          </cell>
          <cell r="AA4353">
            <v>0</v>
          </cell>
          <cell r="AB4353">
            <v>0</v>
          </cell>
        </row>
        <row r="4354">
          <cell r="G4354" t="str">
            <v>X1447_0</v>
          </cell>
          <cell r="H4354" t="str">
            <v>like</v>
          </cell>
          <cell r="I4354" t="str">
            <v>sim</v>
          </cell>
          <cell r="V4354" t="str">
            <v>not</v>
          </cell>
          <cell r="Y4354" t="str">
            <v>Past</v>
          </cell>
          <cell r="Z4354">
            <v>3.93</v>
          </cell>
          <cell r="AA4354">
            <v>0</v>
          </cell>
          <cell r="AB4354">
            <v>0</v>
          </cell>
        </row>
        <row r="4355">
          <cell r="G4355" t="str">
            <v>X1447_1</v>
          </cell>
          <cell r="H4355" t="str">
            <v>like</v>
          </cell>
          <cell r="I4355" t="str">
            <v>sim</v>
          </cell>
          <cell r="V4355" t="str">
            <v>not</v>
          </cell>
          <cell r="Y4355" t="str">
            <v>Past</v>
          </cell>
          <cell r="Z4355">
            <v>3.93</v>
          </cell>
          <cell r="AA4355">
            <v>0</v>
          </cell>
          <cell r="AB4355">
            <v>0</v>
          </cell>
        </row>
        <row r="4356">
          <cell r="G4356" t="str">
            <v>X1448_0</v>
          </cell>
          <cell r="H4356" t="str">
            <v>like</v>
          </cell>
          <cell r="I4356" t="str">
            <v>sim</v>
          </cell>
          <cell r="V4356" t="str">
            <v>not neg pair</v>
          </cell>
          <cell r="Y4356" t="str">
            <v>Past</v>
          </cell>
          <cell r="Z4356">
            <v>3.93</v>
          </cell>
          <cell r="AA4356">
            <v>0</v>
          </cell>
          <cell r="AB4356">
            <v>0</v>
          </cell>
        </row>
        <row r="4357">
          <cell r="G4357" t="str">
            <v>X1448_1</v>
          </cell>
          <cell r="H4357" t="str">
            <v>like</v>
          </cell>
          <cell r="I4357" t="str">
            <v>sim</v>
          </cell>
          <cell r="V4357" t="str">
            <v>not neg pair</v>
          </cell>
          <cell r="Y4357" t="str">
            <v>Past</v>
          </cell>
          <cell r="Z4357">
            <v>3.93</v>
          </cell>
          <cell r="AA4357">
            <v>0</v>
          </cell>
          <cell r="AB4357">
            <v>0</v>
          </cell>
        </row>
        <row r="4358">
          <cell r="G4358" t="str">
            <v>X1449_0</v>
          </cell>
          <cell r="H4358" t="str">
            <v>like</v>
          </cell>
          <cell r="I4358" t="str">
            <v>sim</v>
          </cell>
          <cell r="V4358" t="str">
            <v>not neg pair</v>
          </cell>
          <cell r="Y4358" t="str">
            <v>Pres</v>
          </cell>
          <cell r="Z4358">
            <v>5</v>
          </cell>
          <cell r="AA4358" t="str">
            <v>H</v>
          </cell>
          <cell r="AB4358">
            <v>0</v>
          </cell>
        </row>
        <row r="4359">
          <cell r="G4359" t="str">
            <v>X1449_1</v>
          </cell>
          <cell r="H4359" t="str">
            <v>like</v>
          </cell>
          <cell r="I4359" t="str">
            <v>sim</v>
          </cell>
          <cell r="V4359" t="str">
            <v>not neg pair</v>
          </cell>
          <cell r="Y4359" t="str">
            <v>Past</v>
          </cell>
          <cell r="Z4359">
            <v>3.48</v>
          </cell>
          <cell r="AA4359">
            <v>0</v>
          </cell>
          <cell r="AB4359">
            <v>0</v>
          </cell>
        </row>
        <row r="4360">
          <cell r="G4360" t="str">
            <v>X1450_0</v>
          </cell>
          <cell r="H4360" t="str">
            <v>like</v>
          </cell>
          <cell r="I4360" t="str">
            <v>sim</v>
          </cell>
          <cell r="V4360" t="str">
            <v>not neg pair</v>
          </cell>
          <cell r="Y4360" t="str">
            <v>Pres</v>
          </cell>
          <cell r="Z4360">
            <v>4.13</v>
          </cell>
          <cell r="AA4360">
            <v>0</v>
          </cell>
          <cell r="AB4360">
            <v>0</v>
          </cell>
        </row>
        <row r="4361">
          <cell r="G4361" t="str">
            <v>X1450_1</v>
          </cell>
          <cell r="H4361" t="str">
            <v>like</v>
          </cell>
          <cell r="I4361" t="str">
            <v>sim</v>
          </cell>
          <cell r="V4361" t="str">
            <v>not neg pair</v>
          </cell>
          <cell r="Y4361" t="str">
            <v>Pres</v>
          </cell>
          <cell r="Z4361">
            <v>4.13</v>
          </cell>
          <cell r="AA4361">
            <v>0</v>
          </cell>
          <cell r="AB4361">
            <v>0</v>
          </cell>
        </row>
        <row r="4362">
          <cell r="G4362" t="str">
            <v>X1451_0</v>
          </cell>
          <cell r="H4362" t="str">
            <v>as-as</v>
          </cell>
          <cell r="I4362" t="str">
            <v>sim</v>
          </cell>
          <cell r="V4362" t="str">
            <v>not</v>
          </cell>
          <cell r="Y4362" t="str">
            <v>Past</v>
          </cell>
          <cell r="Z4362">
            <v>3.36</v>
          </cell>
          <cell r="AA4362">
            <v>0</v>
          </cell>
          <cell r="AB4362">
            <v>0</v>
          </cell>
        </row>
        <row r="4363">
          <cell r="G4363" t="str">
            <v>X1451_1</v>
          </cell>
          <cell r="H4363" t="str">
            <v>as-as</v>
          </cell>
          <cell r="I4363" t="str">
            <v>sim</v>
          </cell>
          <cell r="V4363" t="str">
            <v>not</v>
          </cell>
          <cell r="Y4363" t="str">
            <v>Pres</v>
          </cell>
          <cell r="Z4363">
            <v>3.36</v>
          </cell>
          <cell r="AA4363">
            <v>0</v>
          </cell>
          <cell r="AB4363">
            <v>0</v>
          </cell>
        </row>
        <row r="4364">
          <cell r="G4364" t="str">
            <v>X1452_0</v>
          </cell>
          <cell r="H4364" t="str">
            <v>as-as</v>
          </cell>
          <cell r="I4364" t="str">
            <v>sim</v>
          </cell>
          <cell r="V4364" t="str">
            <v>not</v>
          </cell>
          <cell r="Y4364" t="str">
            <v>Past</v>
          </cell>
          <cell r="Z4364">
            <v>2.81</v>
          </cell>
          <cell r="AA4364">
            <v>0</v>
          </cell>
          <cell r="AB4364">
            <v>0</v>
          </cell>
        </row>
        <row r="4365">
          <cell r="G4365" t="str">
            <v>X1452_1</v>
          </cell>
          <cell r="H4365" t="str">
            <v>as-as</v>
          </cell>
          <cell r="I4365" t="str">
            <v>sim</v>
          </cell>
          <cell r="V4365" t="str">
            <v>not</v>
          </cell>
          <cell r="Y4365" t="str">
            <v>Past</v>
          </cell>
          <cell r="Z4365">
            <v>2.81</v>
          </cell>
          <cell r="AA4365">
            <v>0</v>
          </cell>
          <cell r="AB4365">
            <v>0</v>
          </cell>
        </row>
        <row r="4366">
          <cell r="G4366" t="str">
            <v>X1453_0</v>
          </cell>
          <cell r="H4366" t="str">
            <v>like</v>
          </cell>
          <cell r="I4366" t="str">
            <v>sim</v>
          </cell>
          <cell r="V4366" t="str">
            <v>not</v>
          </cell>
          <cell r="Y4366" t="str">
            <v>Past</v>
          </cell>
          <cell r="Z4366">
            <v>2.81</v>
          </cell>
          <cell r="AA4366">
            <v>0</v>
          </cell>
          <cell r="AB4366">
            <v>0</v>
          </cell>
        </row>
        <row r="4367">
          <cell r="G4367" t="str">
            <v>X1453_1</v>
          </cell>
          <cell r="H4367" t="str">
            <v>like</v>
          </cell>
          <cell r="I4367" t="str">
            <v>sim</v>
          </cell>
          <cell r="V4367" t="str">
            <v>not</v>
          </cell>
          <cell r="Y4367" t="str">
            <v>Past</v>
          </cell>
          <cell r="Z4367">
            <v>2.81</v>
          </cell>
          <cell r="AA4367">
            <v>0</v>
          </cell>
          <cell r="AB4367">
            <v>0</v>
          </cell>
        </row>
        <row r="4368">
          <cell r="G4368" t="str">
            <v>X1454_0</v>
          </cell>
          <cell r="H4368" t="str">
            <v>like</v>
          </cell>
          <cell r="I4368" t="str">
            <v>sim</v>
          </cell>
          <cell r="V4368" t="str">
            <v>not</v>
          </cell>
          <cell r="Y4368" t="str">
            <v>Past</v>
          </cell>
          <cell r="Z4368">
            <v>2.81</v>
          </cell>
          <cell r="AA4368">
            <v>0</v>
          </cell>
          <cell r="AB4368">
            <v>0</v>
          </cell>
        </row>
        <row r="4369">
          <cell r="G4369" t="str">
            <v>X1454_1</v>
          </cell>
          <cell r="H4369" t="str">
            <v>like</v>
          </cell>
          <cell r="I4369" t="str">
            <v>sim</v>
          </cell>
          <cell r="V4369" t="str">
            <v>not</v>
          </cell>
          <cell r="Y4369" t="str">
            <v>Past</v>
          </cell>
          <cell r="Z4369">
            <v>2.81</v>
          </cell>
          <cell r="AA4369">
            <v>0</v>
          </cell>
          <cell r="AB4369">
            <v>0</v>
          </cell>
        </row>
        <row r="4370">
          <cell r="G4370" t="str">
            <v>X1455_0</v>
          </cell>
          <cell r="H4370" t="str">
            <v>like</v>
          </cell>
          <cell r="I4370" t="str">
            <v>sim</v>
          </cell>
          <cell r="V4370" t="str">
            <v>not neg pair</v>
          </cell>
          <cell r="Y4370" t="str">
            <v>Past</v>
          </cell>
          <cell r="Z4370">
            <v>3.36</v>
          </cell>
          <cell r="AA4370">
            <v>0</v>
          </cell>
          <cell r="AB4370">
            <v>0</v>
          </cell>
        </row>
        <row r="4371">
          <cell r="G4371" t="str">
            <v>X1455_1</v>
          </cell>
          <cell r="H4371" t="str">
            <v>like</v>
          </cell>
          <cell r="I4371" t="str">
            <v>sim</v>
          </cell>
          <cell r="V4371" t="str">
            <v>not neg pair</v>
          </cell>
          <cell r="Y4371" t="str">
            <v>Past</v>
          </cell>
          <cell r="Z4371">
            <v>3.36</v>
          </cell>
          <cell r="AA4371">
            <v>0</v>
          </cell>
          <cell r="AB4371">
            <v>0</v>
          </cell>
        </row>
        <row r="4372">
          <cell r="G4372" t="str">
            <v>X1456_0</v>
          </cell>
          <cell r="H4372" t="str">
            <v>as-as</v>
          </cell>
          <cell r="I4372" t="str">
            <v>sim</v>
          </cell>
          <cell r="V4372" t="str">
            <v>antonym</v>
          </cell>
          <cell r="Y4372" t="str">
            <v>Past</v>
          </cell>
          <cell r="Z4372">
            <v>1.93</v>
          </cell>
          <cell r="AA4372" t="str">
            <v>L</v>
          </cell>
          <cell r="AB4372">
            <v>0</v>
          </cell>
        </row>
        <row r="4373">
          <cell r="G4373" t="str">
            <v>X1456_1</v>
          </cell>
          <cell r="H4373" t="str">
            <v>as-as</v>
          </cell>
          <cell r="I4373" t="str">
            <v>sim</v>
          </cell>
          <cell r="V4373" t="str">
            <v>antonym</v>
          </cell>
          <cell r="Y4373" t="str">
            <v>Past</v>
          </cell>
          <cell r="Z4373">
            <v>4.46</v>
          </cell>
          <cell r="AA4373">
            <v>0</v>
          </cell>
          <cell r="AB4373">
            <v>0</v>
          </cell>
        </row>
        <row r="4374">
          <cell r="G4374" t="str">
            <v>X1457_0</v>
          </cell>
          <cell r="H4374" t="str">
            <v>like</v>
          </cell>
          <cell r="I4374" t="str">
            <v>sim</v>
          </cell>
          <cell r="V4374" t="str">
            <v>not neg pair</v>
          </cell>
          <cell r="Y4374" t="str">
            <v>Past</v>
          </cell>
          <cell r="Z4374">
            <v>2.81</v>
          </cell>
          <cell r="AA4374">
            <v>0</v>
          </cell>
          <cell r="AB4374">
            <v>0</v>
          </cell>
        </row>
        <row r="4375">
          <cell r="G4375" t="str">
            <v>X1457_1</v>
          </cell>
          <cell r="H4375" t="str">
            <v>like</v>
          </cell>
          <cell r="I4375" t="str">
            <v>sim</v>
          </cell>
          <cell r="V4375" t="str">
            <v>not neg pair</v>
          </cell>
          <cell r="Y4375" t="str">
            <v>Past</v>
          </cell>
          <cell r="Z4375">
            <v>4.46</v>
          </cell>
          <cell r="AA4375">
            <v>0</v>
          </cell>
          <cell r="AB4375">
            <v>0</v>
          </cell>
        </row>
        <row r="4376">
          <cell r="G4376" t="str">
            <v>X1458_0</v>
          </cell>
          <cell r="H4376" t="str">
            <v/>
          </cell>
          <cell r="I4376" t="str">
            <v>met</v>
          </cell>
          <cell r="V4376" t="str">
            <v>0</v>
          </cell>
          <cell r="Y4376" t="str">
            <v>Past</v>
          </cell>
          <cell r="Z4376">
            <v>2.81</v>
          </cell>
          <cell r="AA4376">
            <v>0</v>
          </cell>
          <cell r="AB4376">
            <v>0</v>
          </cell>
        </row>
        <row r="4377">
          <cell r="G4377" t="str">
            <v>X1458_1</v>
          </cell>
          <cell r="H4377" t="str">
            <v/>
          </cell>
          <cell r="I4377" t="str">
            <v>met</v>
          </cell>
          <cell r="V4377" t="str">
            <v>0</v>
          </cell>
          <cell r="Y4377" t="str">
            <v>Past</v>
          </cell>
          <cell r="Z4377">
            <v>2.81</v>
          </cell>
          <cell r="AA4377">
            <v>0</v>
          </cell>
          <cell r="AB4377">
            <v>0</v>
          </cell>
        </row>
        <row r="4378">
          <cell r="G4378" t="str">
            <v>X1459_0</v>
          </cell>
          <cell r="H4378" t="str">
            <v>as-as</v>
          </cell>
          <cell r="I4378" t="str">
            <v>sim</v>
          </cell>
          <cell r="V4378" t="str">
            <v>antonym</v>
          </cell>
          <cell r="Y4378" t="str">
            <v>Past</v>
          </cell>
          <cell r="Z4378">
            <v>2.81</v>
          </cell>
          <cell r="AA4378">
            <v>0</v>
          </cell>
          <cell r="AB4378">
            <v>0</v>
          </cell>
        </row>
        <row r="4379">
          <cell r="G4379" t="str">
            <v>X1459_1</v>
          </cell>
          <cell r="H4379" t="str">
            <v>as-as</v>
          </cell>
          <cell r="I4379" t="str">
            <v>sim</v>
          </cell>
          <cell r="V4379" t="str">
            <v>antonym</v>
          </cell>
          <cell r="Y4379" t="str">
            <v>Past</v>
          </cell>
          <cell r="Z4379">
            <v>2.81</v>
          </cell>
          <cell r="AA4379">
            <v>0</v>
          </cell>
          <cell r="AB4379">
            <v>0</v>
          </cell>
        </row>
        <row r="4380">
          <cell r="G4380" t="str">
            <v>X1460_0</v>
          </cell>
          <cell r="H4380" t="str">
            <v>the-of</v>
          </cell>
          <cell r="I4380" t="str">
            <v>sim</v>
          </cell>
          <cell r="V4380" t="str">
            <v>not neg pair</v>
          </cell>
          <cell r="Y4380" t="str">
            <v>Past</v>
          </cell>
          <cell r="Z4380">
            <v>5</v>
          </cell>
          <cell r="AA4380" t="str">
            <v>H</v>
          </cell>
          <cell r="AB4380">
            <v>0</v>
          </cell>
        </row>
        <row r="4381">
          <cell r="G4381" t="str">
            <v>X1460_1</v>
          </cell>
          <cell r="H4381" t="str">
            <v>the-of</v>
          </cell>
          <cell r="I4381" t="str">
            <v>sim</v>
          </cell>
          <cell r="V4381" t="str">
            <v>not neg pair</v>
          </cell>
          <cell r="Y4381" t="str">
            <v>Pres</v>
          </cell>
          <cell r="Z4381">
            <v>5</v>
          </cell>
          <cell r="AA4381" t="str">
            <v>H</v>
          </cell>
          <cell r="AB4381">
            <v>0</v>
          </cell>
        </row>
        <row r="4382">
          <cell r="G4382" t="str">
            <v>X1461_0</v>
          </cell>
          <cell r="H4382" t="str">
            <v>the-of</v>
          </cell>
          <cell r="I4382" t="str">
            <v>sim</v>
          </cell>
          <cell r="V4382" t="str">
            <v>not</v>
          </cell>
          <cell r="Y4382" t="str">
            <v>Pres</v>
          </cell>
          <cell r="Z4382">
            <v>4.57</v>
          </cell>
          <cell r="AA4382">
            <v>0</v>
          </cell>
          <cell r="AB4382">
            <v>0</v>
          </cell>
        </row>
        <row r="4383">
          <cell r="G4383" t="str">
            <v>X1461_1</v>
          </cell>
          <cell r="H4383" t="str">
            <v>the-of</v>
          </cell>
          <cell r="I4383" t="str">
            <v>sim</v>
          </cell>
          <cell r="V4383" t="str">
            <v>not</v>
          </cell>
          <cell r="Y4383" t="str">
            <v>Pres</v>
          </cell>
          <cell r="Z4383">
            <v>4.57</v>
          </cell>
          <cell r="AA4383">
            <v>0</v>
          </cell>
          <cell r="AB4383">
            <v>0</v>
          </cell>
        </row>
        <row r="4384">
          <cell r="G4384" t="str">
            <v>X1462_0</v>
          </cell>
          <cell r="H4384" t="str">
            <v>like</v>
          </cell>
          <cell r="I4384" t="str">
            <v>sim</v>
          </cell>
          <cell r="V4384" t="str">
            <v>not</v>
          </cell>
          <cell r="Y4384" t="str">
            <v>Pres</v>
          </cell>
          <cell r="Z4384">
            <v>4.3099999999999996</v>
          </cell>
          <cell r="AA4384">
            <v>0</v>
          </cell>
          <cell r="AB4384">
            <v>0</v>
          </cell>
        </row>
        <row r="4385">
          <cell r="G4385" t="str">
            <v>X1462_1</v>
          </cell>
          <cell r="H4385" t="str">
            <v>like</v>
          </cell>
          <cell r="I4385" t="str">
            <v>sim</v>
          </cell>
          <cell r="V4385" t="str">
            <v>not</v>
          </cell>
          <cell r="Y4385" t="str">
            <v>Pres</v>
          </cell>
          <cell r="Z4385">
            <v>4.3099999999999996</v>
          </cell>
          <cell r="AA4385">
            <v>0</v>
          </cell>
          <cell r="AB4385">
            <v>0</v>
          </cell>
        </row>
        <row r="4386">
          <cell r="G4386" t="str">
            <v>X1463_0</v>
          </cell>
          <cell r="H4386" t="str">
            <v>the-of</v>
          </cell>
          <cell r="I4386" t="str">
            <v>sim</v>
          </cell>
          <cell r="V4386" t="str">
            <v>not neg pair</v>
          </cell>
          <cell r="Y4386" t="str">
            <v>Past</v>
          </cell>
          <cell r="Z4386">
            <v>4.28</v>
          </cell>
          <cell r="AA4386">
            <v>0</v>
          </cell>
          <cell r="AB4386">
            <v>0</v>
          </cell>
        </row>
        <row r="4387">
          <cell r="G4387" t="str">
            <v>X1463_1</v>
          </cell>
          <cell r="H4387" t="str">
            <v>the-of</v>
          </cell>
          <cell r="I4387" t="str">
            <v>sim</v>
          </cell>
          <cell r="V4387" t="str">
            <v>not neg pair</v>
          </cell>
          <cell r="Y4387" t="str">
            <v>Past</v>
          </cell>
          <cell r="Z4387">
            <v>4.28</v>
          </cell>
          <cell r="AA4387">
            <v>0</v>
          </cell>
          <cell r="AB4387">
            <v>0</v>
          </cell>
        </row>
        <row r="4388">
          <cell r="G4388" t="str">
            <v>X1464_0</v>
          </cell>
          <cell r="H4388" t="str">
            <v>the-of</v>
          </cell>
          <cell r="I4388" t="str">
            <v>sim</v>
          </cell>
          <cell r="V4388" t="str">
            <v>not</v>
          </cell>
          <cell r="Y4388" t="str">
            <v>Past</v>
          </cell>
          <cell r="Z4388">
            <v>5</v>
          </cell>
          <cell r="AA4388" t="str">
            <v>H</v>
          </cell>
          <cell r="AB4388">
            <v>0</v>
          </cell>
        </row>
        <row r="4389">
          <cell r="G4389" t="str">
            <v>X1464_1</v>
          </cell>
          <cell r="H4389" t="str">
            <v>the-of</v>
          </cell>
          <cell r="I4389" t="str">
            <v>sim</v>
          </cell>
          <cell r="V4389" t="str">
            <v>not</v>
          </cell>
          <cell r="Y4389" t="str">
            <v>Past</v>
          </cell>
          <cell r="Z4389">
            <v>5</v>
          </cell>
          <cell r="AA4389" t="str">
            <v>H</v>
          </cell>
          <cell r="AB4389">
            <v>0</v>
          </cell>
        </row>
        <row r="4390">
          <cell r="G4390" t="str">
            <v>X1465_0</v>
          </cell>
          <cell r="H4390" t="str">
            <v>the-of</v>
          </cell>
          <cell r="I4390" t="str">
            <v>sim</v>
          </cell>
          <cell r="V4390" t="str">
            <v>not neg pair</v>
          </cell>
          <cell r="Y4390" t="str">
            <v>Past</v>
          </cell>
          <cell r="Z4390">
            <v>3.93</v>
          </cell>
          <cell r="AA4390">
            <v>0</v>
          </cell>
          <cell r="AB4390">
            <v>0</v>
          </cell>
        </row>
        <row r="4391">
          <cell r="G4391" t="str">
            <v>X1465_1</v>
          </cell>
          <cell r="H4391" t="str">
            <v>the-of</v>
          </cell>
          <cell r="I4391" t="str">
            <v>sim</v>
          </cell>
          <cell r="V4391" t="str">
            <v>not neg pair</v>
          </cell>
          <cell r="Y4391" t="str">
            <v>Past</v>
          </cell>
          <cell r="Z4391">
            <v>3.93</v>
          </cell>
          <cell r="AA4391">
            <v>0</v>
          </cell>
          <cell r="AB4391">
            <v>0</v>
          </cell>
        </row>
        <row r="4392">
          <cell r="G4392" t="str">
            <v>X1466_0</v>
          </cell>
          <cell r="H4392" t="str">
            <v/>
          </cell>
          <cell r="I4392" t="str">
            <v>met</v>
          </cell>
          <cell r="V4392" t="str">
            <v>0</v>
          </cell>
          <cell r="Y4392">
            <v>0</v>
          </cell>
          <cell r="Z4392">
            <v>3.07</v>
          </cell>
          <cell r="AA4392">
            <v>0</v>
          </cell>
          <cell r="AB4392">
            <v>0</v>
          </cell>
        </row>
        <row r="4393">
          <cell r="G4393" t="str">
            <v>X1466_1</v>
          </cell>
          <cell r="H4393" t="str">
            <v/>
          </cell>
          <cell r="I4393" t="str">
            <v>met</v>
          </cell>
          <cell r="V4393" t="str">
            <v>0</v>
          </cell>
          <cell r="Y4393">
            <v>0</v>
          </cell>
          <cell r="Z4393">
            <v>3.07</v>
          </cell>
          <cell r="AA4393">
            <v>0</v>
          </cell>
          <cell r="AB4393">
            <v>0</v>
          </cell>
        </row>
        <row r="4394">
          <cell r="G4394" t="str">
            <v>X1467_0</v>
          </cell>
          <cell r="H4394" t="str">
            <v/>
          </cell>
          <cell r="I4394" t="str">
            <v>met</v>
          </cell>
          <cell r="V4394" t="str">
            <v>0</v>
          </cell>
          <cell r="Y4394" t="str">
            <v>Pres</v>
          </cell>
          <cell r="Z4394">
            <v>4.71</v>
          </cell>
          <cell r="AA4394">
            <v>0</v>
          </cell>
          <cell r="AB4394">
            <v>0</v>
          </cell>
        </row>
        <row r="4395">
          <cell r="G4395" t="str">
            <v>X1467_1</v>
          </cell>
          <cell r="H4395" t="str">
            <v/>
          </cell>
          <cell r="I4395" t="str">
            <v>met</v>
          </cell>
          <cell r="V4395" t="str">
            <v>0</v>
          </cell>
          <cell r="Y4395" t="str">
            <v>Past</v>
          </cell>
          <cell r="Z4395">
            <v>4.71</v>
          </cell>
          <cell r="AA4395">
            <v>0</v>
          </cell>
          <cell r="AB4395">
            <v>0</v>
          </cell>
        </row>
        <row r="4396">
          <cell r="G4396" t="str">
            <v>X1468_0</v>
          </cell>
          <cell r="H4396" t="str">
            <v>the-of</v>
          </cell>
          <cell r="I4396" t="str">
            <v>sim</v>
          </cell>
          <cell r="V4396" t="str">
            <v>not neg pair</v>
          </cell>
          <cell r="Y4396" t="str">
            <v>Pres</v>
          </cell>
          <cell r="Z4396">
            <v>4.9000000000000004</v>
          </cell>
          <cell r="AA4396">
            <v>0</v>
          </cell>
          <cell r="AB4396">
            <v>0</v>
          </cell>
        </row>
        <row r="4397">
          <cell r="G4397" t="str">
            <v>X1468_1</v>
          </cell>
          <cell r="H4397" t="str">
            <v>the-of</v>
          </cell>
          <cell r="I4397" t="str">
            <v>sim</v>
          </cell>
          <cell r="V4397" t="str">
            <v>not neg pair</v>
          </cell>
          <cell r="Y4397" t="str">
            <v>Pres</v>
          </cell>
          <cell r="Z4397">
            <v>4.9000000000000004</v>
          </cell>
          <cell r="AA4397">
            <v>0</v>
          </cell>
          <cell r="AB4397">
            <v>0</v>
          </cell>
        </row>
        <row r="4398">
          <cell r="G4398" t="str">
            <v>X1469_0</v>
          </cell>
          <cell r="H4398" t="str">
            <v>as-as</v>
          </cell>
          <cell r="I4398" t="str">
            <v>sim</v>
          </cell>
          <cell r="V4398" t="str">
            <v>not neg pair</v>
          </cell>
          <cell r="Y4398" t="str">
            <v>Past</v>
          </cell>
          <cell r="Z4398">
            <v>4.8099999999999996</v>
          </cell>
          <cell r="AA4398">
            <v>0</v>
          </cell>
          <cell r="AB4398">
            <v>0</v>
          </cell>
        </row>
        <row r="4399">
          <cell r="G4399" t="str">
            <v>X1469_1</v>
          </cell>
          <cell r="H4399" t="str">
            <v>as-as</v>
          </cell>
          <cell r="I4399" t="str">
            <v>sim</v>
          </cell>
          <cell r="V4399" t="str">
            <v>not neg pair</v>
          </cell>
          <cell r="Y4399" t="str">
            <v>Past</v>
          </cell>
          <cell r="Z4399">
            <v>4.8099999999999996</v>
          </cell>
          <cell r="AA4399">
            <v>0</v>
          </cell>
          <cell r="AB4399">
            <v>0</v>
          </cell>
        </row>
        <row r="4400">
          <cell r="G4400" t="str">
            <v>X1470_0</v>
          </cell>
          <cell r="H4400" t="str">
            <v>as-as</v>
          </cell>
          <cell r="I4400" t="str">
            <v>sim</v>
          </cell>
          <cell r="V4400" t="str">
            <v>not neg pair</v>
          </cell>
          <cell r="Y4400" t="str">
            <v>Pres</v>
          </cell>
          <cell r="Z4400">
            <v>3.85</v>
          </cell>
          <cell r="AA4400">
            <v>0</v>
          </cell>
          <cell r="AB4400">
            <v>0</v>
          </cell>
        </row>
        <row r="4401">
          <cell r="G4401" t="str">
            <v>X1470_1</v>
          </cell>
          <cell r="H4401" t="str">
            <v>as-as</v>
          </cell>
          <cell r="I4401" t="str">
            <v>sim</v>
          </cell>
          <cell r="V4401" t="str">
            <v>not neg pair</v>
          </cell>
          <cell r="Y4401" t="str">
            <v>Past</v>
          </cell>
          <cell r="Z4401">
            <v>3.85</v>
          </cell>
          <cell r="AA4401">
            <v>0</v>
          </cell>
          <cell r="AB4401">
            <v>0</v>
          </cell>
        </row>
        <row r="4402">
          <cell r="G4402" t="str">
            <v>X1471_0</v>
          </cell>
          <cell r="H4402" t="str">
            <v>the-of</v>
          </cell>
          <cell r="I4402" t="str">
            <v>sim</v>
          </cell>
          <cell r="V4402" t="str">
            <v>not neg pair</v>
          </cell>
          <cell r="Y4402" t="str">
            <v>Pres</v>
          </cell>
          <cell r="Z4402">
            <v>4.58</v>
          </cell>
          <cell r="AA4402">
            <v>0</v>
          </cell>
          <cell r="AB4402">
            <v>0</v>
          </cell>
        </row>
        <row r="4403">
          <cell r="G4403" t="str">
            <v>X1471_1</v>
          </cell>
          <cell r="H4403" t="str">
            <v>the-of</v>
          </cell>
          <cell r="I4403" t="str">
            <v>sim</v>
          </cell>
          <cell r="V4403" t="str">
            <v>not neg pair</v>
          </cell>
          <cell r="Y4403" t="str">
            <v>Past</v>
          </cell>
          <cell r="Z4403">
            <v>4.58</v>
          </cell>
          <cell r="AA4403">
            <v>0</v>
          </cell>
          <cell r="AB4403">
            <v>0</v>
          </cell>
        </row>
        <row r="4404">
          <cell r="G4404" t="str">
            <v>X1472_0</v>
          </cell>
          <cell r="H4404" t="str">
            <v/>
          </cell>
          <cell r="I4404" t="str">
            <v>met</v>
          </cell>
          <cell r="V4404" t="str">
            <v>0</v>
          </cell>
          <cell r="Y4404" t="str">
            <v>Past</v>
          </cell>
          <cell r="Z4404">
            <v>3.62</v>
          </cell>
          <cell r="AA4404">
            <v>0</v>
          </cell>
          <cell r="AB4404">
            <v>0</v>
          </cell>
        </row>
        <row r="4405">
          <cell r="G4405" t="str">
            <v>X1472_1</v>
          </cell>
          <cell r="H4405" t="str">
            <v/>
          </cell>
          <cell r="I4405" t="str">
            <v>met</v>
          </cell>
          <cell r="V4405" t="str">
            <v>0</v>
          </cell>
          <cell r="Y4405" t="str">
            <v>Past</v>
          </cell>
          <cell r="Z4405">
            <v>3.62</v>
          </cell>
          <cell r="AA4405">
            <v>0</v>
          </cell>
          <cell r="AB4405">
            <v>0</v>
          </cell>
        </row>
        <row r="4406">
          <cell r="G4406" t="str">
            <v>X1473_0</v>
          </cell>
          <cell r="H4406" t="str">
            <v>the-of</v>
          </cell>
          <cell r="I4406" t="str">
            <v>sim</v>
          </cell>
          <cell r="V4406" t="str">
            <v>not</v>
          </cell>
          <cell r="Y4406" t="str">
            <v>Pres</v>
          </cell>
          <cell r="Z4406">
            <v>4.8</v>
          </cell>
          <cell r="AA4406">
            <v>0</v>
          </cell>
          <cell r="AB4406">
            <v>0</v>
          </cell>
        </row>
        <row r="4407">
          <cell r="G4407" t="str">
            <v>X1473_1</v>
          </cell>
          <cell r="H4407" t="str">
            <v>the-of</v>
          </cell>
          <cell r="I4407" t="str">
            <v>sim</v>
          </cell>
          <cell r="V4407" t="str">
            <v>not</v>
          </cell>
          <cell r="Y4407" t="str">
            <v>Pres</v>
          </cell>
          <cell r="Z4407">
            <v>4.8</v>
          </cell>
          <cell r="AA4407">
            <v>0</v>
          </cell>
          <cell r="AB4407">
            <v>0</v>
          </cell>
        </row>
        <row r="4408">
          <cell r="G4408" t="str">
            <v>X1474_0</v>
          </cell>
          <cell r="H4408" t="str">
            <v>the-of</v>
          </cell>
          <cell r="I4408" t="str">
            <v>sim</v>
          </cell>
          <cell r="V4408" t="str">
            <v>not neg pair</v>
          </cell>
          <cell r="Y4408" t="str">
            <v>Pres</v>
          </cell>
          <cell r="Z4408">
            <v>4.79</v>
          </cell>
          <cell r="AA4408">
            <v>0</v>
          </cell>
          <cell r="AB4408">
            <v>0</v>
          </cell>
        </row>
        <row r="4409">
          <cell r="G4409" t="str">
            <v>X1474_1</v>
          </cell>
          <cell r="H4409" t="str">
            <v>the-of</v>
          </cell>
          <cell r="I4409" t="str">
            <v>sim</v>
          </cell>
          <cell r="V4409" t="str">
            <v>not neg pair</v>
          </cell>
          <cell r="Y4409" t="str">
            <v>Pres</v>
          </cell>
          <cell r="Z4409">
            <v>4.79</v>
          </cell>
          <cell r="AA4409">
            <v>0</v>
          </cell>
          <cell r="AB4409">
            <v>0</v>
          </cell>
        </row>
        <row r="4410">
          <cell r="G4410" t="str">
            <v>X1475_0</v>
          </cell>
          <cell r="H4410" t="str">
            <v>the-of</v>
          </cell>
          <cell r="I4410" t="str">
            <v>sim</v>
          </cell>
          <cell r="V4410" t="str">
            <v>not neg pair</v>
          </cell>
          <cell r="Y4410" t="str">
            <v>Pres</v>
          </cell>
          <cell r="Z4410">
            <v>4.6900000000000004</v>
          </cell>
          <cell r="AA4410">
            <v>0</v>
          </cell>
          <cell r="AB4410">
            <v>0</v>
          </cell>
        </row>
        <row r="4411">
          <cell r="G4411" t="str">
            <v>X1475_1</v>
          </cell>
          <cell r="H4411" t="str">
            <v>the-of</v>
          </cell>
          <cell r="I4411" t="str">
            <v>sim</v>
          </cell>
          <cell r="V4411" t="str">
            <v>not neg pair</v>
          </cell>
          <cell r="Y4411" t="str">
            <v>Pres</v>
          </cell>
          <cell r="Z4411">
            <v>4.6900000000000004</v>
          </cell>
          <cell r="AA4411">
            <v>0</v>
          </cell>
          <cell r="AB4411">
            <v>0</v>
          </cell>
        </row>
        <row r="4412">
          <cell r="G4412" t="str">
            <v>X1476_0</v>
          </cell>
          <cell r="H4412" t="str">
            <v/>
          </cell>
          <cell r="I4412" t="str">
            <v>met</v>
          </cell>
          <cell r="V4412" t="str">
            <v>0</v>
          </cell>
          <cell r="Y4412" t="str">
            <v>Past</v>
          </cell>
          <cell r="Z4412">
            <v>1.9</v>
          </cell>
          <cell r="AA4412" t="str">
            <v>L</v>
          </cell>
          <cell r="AB4412">
            <v>0</v>
          </cell>
        </row>
        <row r="4413">
          <cell r="G4413" t="str">
            <v>X1476_1</v>
          </cell>
          <cell r="H4413" t="str">
            <v/>
          </cell>
          <cell r="I4413" t="str">
            <v>met</v>
          </cell>
          <cell r="V4413" t="str">
            <v>0</v>
          </cell>
          <cell r="Y4413" t="str">
            <v>Past</v>
          </cell>
          <cell r="Z4413">
            <v>1.9</v>
          </cell>
          <cell r="AA4413" t="str">
            <v>L</v>
          </cell>
          <cell r="AB4413">
            <v>0</v>
          </cell>
        </row>
        <row r="4414">
          <cell r="G4414" t="str">
            <v>X1477_0</v>
          </cell>
          <cell r="H4414" t="str">
            <v/>
          </cell>
          <cell r="I4414" t="str">
            <v>met</v>
          </cell>
          <cell r="V4414" t="str">
            <v>0</v>
          </cell>
          <cell r="Y4414" t="str">
            <v>Past</v>
          </cell>
          <cell r="Z4414">
            <v>2.88</v>
          </cell>
          <cell r="AA4414">
            <v>0</v>
          </cell>
          <cell r="AB4414">
            <v>0</v>
          </cell>
        </row>
        <row r="4415">
          <cell r="G4415" t="str">
            <v>X1477_1</v>
          </cell>
          <cell r="H4415" t="str">
            <v/>
          </cell>
          <cell r="I4415" t="str">
            <v>met</v>
          </cell>
          <cell r="V4415" t="str">
            <v>0</v>
          </cell>
          <cell r="Y4415" t="str">
            <v>Past</v>
          </cell>
          <cell r="Z4415">
            <v>2.88</v>
          </cell>
          <cell r="AA4415">
            <v>0</v>
          </cell>
          <cell r="AB4415">
            <v>0</v>
          </cell>
        </row>
        <row r="4416">
          <cell r="G4416" t="str">
            <v>X1478_0</v>
          </cell>
          <cell r="H4416" t="str">
            <v/>
          </cell>
          <cell r="I4416" t="str">
            <v>met</v>
          </cell>
          <cell r="V4416" t="str">
            <v>0</v>
          </cell>
          <cell r="Y4416" t="str">
            <v>Past</v>
          </cell>
          <cell r="Z4416">
            <v>2.33</v>
          </cell>
          <cell r="AA4416" t="str">
            <v>L</v>
          </cell>
          <cell r="AB4416">
            <v>0</v>
          </cell>
        </row>
        <row r="4417">
          <cell r="G4417" t="str">
            <v>X1478_1</v>
          </cell>
          <cell r="H4417" t="str">
            <v/>
          </cell>
          <cell r="I4417" t="str">
            <v>met</v>
          </cell>
          <cell r="V4417" t="str">
            <v>0</v>
          </cell>
          <cell r="Y4417" t="str">
            <v>Past</v>
          </cell>
          <cell r="Z4417">
            <v>2.33</v>
          </cell>
          <cell r="AA4417" t="str">
            <v>L</v>
          </cell>
          <cell r="AB4417">
            <v>0</v>
          </cell>
        </row>
        <row r="4418">
          <cell r="G4418" t="str">
            <v>X1479_0</v>
          </cell>
          <cell r="H4418" t="str">
            <v>the-of</v>
          </cell>
          <cell r="I4418" t="str">
            <v>sim</v>
          </cell>
          <cell r="V4418" t="str">
            <v>not neg pair</v>
          </cell>
          <cell r="Y4418" t="str">
            <v>Pres</v>
          </cell>
          <cell r="Z4418">
            <v>3.31</v>
          </cell>
          <cell r="AA4418">
            <v>0</v>
          </cell>
          <cell r="AB4418">
            <v>0</v>
          </cell>
        </row>
        <row r="4419">
          <cell r="G4419" t="str">
            <v>X1479_1</v>
          </cell>
          <cell r="H4419" t="str">
            <v>the-of</v>
          </cell>
          <cell r="I4419" t="str">
            <v>sim</v>
          </cell>
          <cell r="V4419" t="str">
            <v>not neg pair</v>
          </cell>
          <cell r="Y4419" t="str">
            <v>Pres</v>
          </cell>
          <cell r="Z4419">
            <v>3.31</v>
          </cell>
          <cell r="AA4419">
            <v>0</v>
          </cell>
          <cell r="AB4419">
            <v>0</v>
          </cell>
        </row>
        <row r="4420">
          <cell r="G4420" t="str">
            <v>X1480_0</v>
          </cell>
          <cell r="H4420" t="str">
            <v>like</v>
          </cell>
          <cell r="I4420" t="str">
            <v>sim</v>
          </cell>
          <cell r="V4420" t="str">
            <v>not</v>
          </cell>
          <cell r="Y4420" t="str">
            <v>Pres</v>
          </cell>
          <cell r="Z4420">
            <v>4.82</v>
          </cell>
          <cell r="AA4420">
            <v>0</v>
          </cell>
          <cell r="AB4420">
            <v>0</v>
          </cell>
        </row>
        <row r="4421">
          <cell r="G4421" t="str">
            <v>X1480_1</v>
          </cell>
          <cell r="H4421" t="str">
            <v>like</v>
          </cell>
          <cell r="I4421" t="str">
            <v>sim</v>
          </cell>
          <cell r="V4421" t="str">
            <v>not</v>
          </cell>
          <cell r="Y4421" t="str">
            <v>Pres</v>
          </cell>
          <cell r="Z4421">
            <v>4.82</v>
          </cell>
          <cell r="AA4421">
            <v>0</v>
          </cell>
          <cell r="AB4421">
            <v>0</v>
          </cell>
        </row>
        <row r="4422">
          <cell r="G4422" t="str">
            <v>X1481_0</v>
          </cell>
          <cell r="H4422" t="str">
            <v>like</v>
          </cell>
          <cell r="I4422" t="str">
            <v>sim</v>
          </cell>
          <cell r="V4422" t="str">
            <v>not</v>
          </cell>
          <cell r="Y4422" t="str">
            <v>Pres</v>
          </cell>
          <cell r="Z4422">
            <v>2.33</v>
          </cell>
          <cell r="AA4422" t="str">
            <v>L</v>
          </cell>
          <cell r="AB4422">
            <v>0</v>
          </cell>
        </row>
        <row r="4423">
          <cell r="G4423" t="str">
            <v>X1481_1</v>
          </cell>
          <cell r="H4423" t="str">
            <v>like</v>
          </cell>
          <cell r="I4423" t="str">
            <v>sim</v>
          </cell>
          <cell r="V4423" t="str">
            <v>not</v>
          </cell>
          <cell r="Y4423" t="str">
            <v>Pres</v>
          </cell>
          <cell r="Z4423">
            <v>2.33</v>
          </cell>
          <cell r="AA4423" t="str">
            <v>L</v>
          </cell>
          <cell r="AB4423">
            <v>0</v>
          </cell>
        </row>
        <row r="4424">
          <cell r="G4424" t="str">
            <v>X1482_0</v>
          </cell>
          <cell r="H4424" t="str">
            <v>the-of</v>
          </cell>
          <cell r="I4424" t="str">
            <v>sim</v>
          </cell>
          <cell r="V4424" t="str">
            <v>not neg pair</v>
          </cell>
          <cell r="Y4424" t="str">
            <v>Pres</v>
          </cell>
          <cell r="Z4424">
            <v>0</v>
          </cell>
          <cell r="AA4424">
            <v>0</v>
          </cell>
          <cell r="AB4424">
            <v>0</v>
          </cell>
        </row>
        <row r="4425">
          <cell r="G4425" t="str">
            <v>X1482_1</v>
          </cell>
          <cell r="H4425" t="str">
            <v>the-of</v>
          </cell>
          <cell r="I4425" t="str">
            <v>sim</v>
          </cell>
          <cell r="V4425" t="str">
            <v>not neg pair</v>
          </cell>
          <cell r="Y4425" t="str">
            <v>Pres</v>
          </cell>
          <cell r="Z4425">
            <v>0</v>
          </cell>
          <cell r="AA4425">
            <v>0</v>
          </cell>
          <cell r="AB4425">
            <v>0</v>
          </cell>
        </row>
        <row r="4426">
          <cell r="G4426" t="str">
            <v>X1483_0</v>
          </cell>
          <cell r="H4426" t="str">
            <v>the-of</v>
          </cell>
          <cell r="I4426" t="str">
            <v>sim</v>
          </cell>
          <cell r="V4426" t="str">
            <v>not neg pair</v>
          </cell>
          <cell r="Y4426" t="str">
            <v>Past</v>
          </cell>
          <cell r="Z4426">
            <v>4.13</v>
          </cell>
          <cell r="AA4426">
            <v>0</v>
          </cell>
          <cell r="AB4426">
            <v>0</v>
          </cell>
        </row>
        <row r="4427">
          <cell r="G4427" t="str">
            <v>X1483_1</v>
          </cell>
          <cell r="H4427" t="str">
            <v>the-of</v>
          </cell>
          <cell r="I4427" t="str">
            <v>sim</v>
          </cell>
          <cell r="V4427" t="str">
            <v>not neg pair</v>
          </cell>
          <cell r="Y4427" t="str">
            <v>Past</v>
          </cell>
          <cell r="Z4427">
            <v>4.13</v>
          </cell>
          <cell r="AA4427">
            <v>0</v>
          </cell>
          <cell r="AB4427">
            <v>0</v>
          </cell>
        </row>
        <row r="4428">
          <cell r="G4428" t="str">
            <v>X1484_0</v>
          </cell>
          <cell r="H4428" t="str">
            <v/>
          </cell>
          <cell r="I4428" t="str">
            <v>met</v>
          </cell>
          <cell r="V4428" t="str">
            <v>0</v>
          </cell>
          <cell r="Y4428" t="str">
            <v>Past</v>
          </cell>
          <cell r="Z4428">
            <v>1.33</v>
          </cell>
          <cell r="AA4428" t="str">
            <v>L</v>
          </cell>
          <cell r="AB4428">
            <v>0</v>
          </cell>
        </row>
        <row r="4429">
          <cell r="G4429" t="str">
            <v>X1484_1</v>
          </cell>
          <cell r="H4429" t="str">
            <v/>
          </cell>
          <cell r="I4429" t="str">
            <v>met</v>
          </cell>
          <cell r="V4429" t="str">
            <v>0</v>
          </cell>
          <cell r="Y4429" t="str">
            <v>Past</v>
          </cell>
          <cell r="Z4429">
            <v>1.33</v>
          </cell>
          <cell r="AA4429" t="str">
            <v>L</v>
          </cell>
          <cell r="AB4429">
            <v>0</v>
          </cell>
        </row>
        <row r="4430">
          <cell r="G4430" t="str">
            <v>X1485_0</v>
          </cell>
          <cell r="H4430" t="str">
            <v>as</v>
          </cell>
          <cell r="I4430" t="str">
            <v>sim</v>
          </cell>
          <cell r="V4430" t="str">
            <v>not neg pair</v>
          </cell>
          <cell r="Y4430" t="str">
            <v>Past</v>
          </cell>
          <cell r="Z4430">
            <v>3.36</v>
          </cell>
          <cell r="AA4430">
            <v>0</v>
          </cell>
          <cell r="AB4430">
            <v>0</v>
          </cell>
        </row>
        <row r="4431">
          <cell r="G4431" t="str">
            <v>X1485_1</v>
          </cell>
          <cell r="H4431" t="str">
            <v>as</v>
          </cell>
          <cell r="I4431" t="str">
            <v>sim</v>
          </cell>
          <cell r="V4431" t="str">
            <v>not neg pair</v>
          </cell>
          <cell r="Y4431" t="str">
            <v>Past</v>
          </cell>
          <cell r="Z4431">
            <v>3.36</v>
          </cell>
          <cell r="AA4431">
            <v>0</v>
          </cell>
          <cell r="AB4431">
            <v>0</v>
          </cell>
        </row>
        <row r="4432">
          <cell r="G4432" t="str">
            <v>X1486_0</v>
          </cell>
          <cell r="H4432" t="str">
            <v>as</v>
          </cell>
          <cell r="I4432" t="str">
            <v>sim</v>
          </cell>
          <cell r="V4432" t="str">
            <v>not</v>
          </cell>
          <cell r="Y4432" t="str">
            <v>Past</v>
          </cell>
          <cell r="Z4432">
            <v>2.9</v>
          </cell>
          <cell r="AA4432">
            <v>0</v>
          </cell>
          <cell r="AB4432">
            <v>0</v>
          </cell>
        </row>
        <row r="4433">
          <cell r="G4433" t="str">
            <v>X1486_1</v>
          </cell>
          <cell r="H4433" t="str">
            <v>as-as</v>
          </cell>
          <cell r="I4433" t="str">
            <v>sim</v>
          </cell>
          <cell r="V4433" t="str">
            <v>not</v>
          </cell>
          <cell r="Y4433" t="str">
            <v>Past</v>
          </cell>
          <cell r="Z4433">
            <v>2.9</v>
          </cell>
          <cell r="AA4433">
            <v>0</v>
          </cell>
          <cell r="AB4433">
            <v>0</v>
          </cell>
        </row>
        <row r="4434">
          <cell r="G4434" t="str">
            <v>X1487_0</v>
          </cell>
          <cell r="H4434" t="str">
            <v>as-as</v>
          </cell>
          <cell r="I4434" t="str">
            <v>sim</v>
          </cell>
          <cell r="V4434" t="str">
            <v>not neg pair</v>
          </cell>
          <cell r="Y4434" t="str">
            <v>Past</v>
          </cell>
          <cell r="Z4434">
            <v>4.7</v>
          </cell>
          <cell r="AA4434">
            <v>0</v>
          </cell>
          <cell r="AB4434">
            <v>0</v>
          </cell>
        </row>
        <row r="4435">
          <cell r="G4435" t="str">
            <v>X1487_1</v>
          </cell>
          <cell r="H4435" t="str">
            <v>as-as</v>
          </cell>
          <cell r="I4435" t="str">
            <v>sim</v>
          </cell>
          <cell r="V4435" t="str">
            <v>not neg pair</v>
          </cell>
          <cell r="Y4435" t="str">
            <v>Past</v>
          </cell>
          <cell r="Z4435">
            <v>4.7</v>
          </cell>
          <cell r="AA4435">
            <v>0</v>
          </cell>
          <cell r="AB4435">
            <v>0</v>
          </cell>
        </row>
        <row r="4436">
          <cell r="G4436" t="str">
            <v>X1488_0</v>
          </cell>
          <cell r="H4436" t="str">
            <v>the-of</v>
          </cell>
          <cell r="I4436" t="str">
            <v>sim</v>
          </cell>
          <cell r="V4436" t="str">
            <v>not neg pair</v>
          </cell>
          <cell r="Y4436" t="str">
            <v>Past</v>
          </cell>
          <cell r="Z4436">
            <v>4.24</v>
          </cell>
          <cell r="AA4436">
            <v>0</v>
          </cell>
          <cell r="AB4436">
            <v>0</v>
          </cell>
        </row>
        <row r="4437">
          <cell r="G4437" t="str">
            <v>X1488_1</v>
          </cell>
          <cell r="H4437" t="str">
            <v>the-of</v>
          </cell>
          <cell r="I4437" t="str">
            <v>sim</v>
          </cell>
          <cell r="V4437" t="str">
            <v>not neg pair</v>
          </cell>
          <cell r="Y4437" t="str">
            <v>Past</v>
          </cell>
          <cell r="Z4437">
            <v>4.24</v>
          </cell>
          <cell r="AA4437">
            <v>0</v>
          </cell>
          <cell r="AB4437">
            <v>0</v>
          </cell>
        </row>
        <row r="4438">
          <cell r="G4438" t="str">
            <v>X1489_0</v>
          </cell>
          <cell r="H4438" t="str">
            <v>the-of</v>
          </cell>
          <cell r="I4438" t="str">
            <v>sim</v>
          </cell>
          <cell r="V4438" t="str">
            <v>0</v>
          </cell>
          <cell r="Y4438" t="str">
            <v>Past</v>
          </cell>
          <cell r="Z4438">
            <v>2.5499999999999998</v>
          </cell>
          <cell r="AA4438" t="str">
            <v>L</v>
          </cell>
          <cell r="AB4438">
            <v>0</v>
          </cell>
        </row>
        <row r="4439">
          <cell r="G4439" t="str">
            <v>X1489_1</v>
          </cell>
          <cell r="H4439" t="str">
            <v/>
          </cell>
          <cell r="I4439" t="str">
            <v>met</v>
          </cell>
          <cell r="V4439" t="str">
            <v>0</v>
          </cell>
          <cell r="Y4439" t="str">
            <v>Past</v>
          </cell>
          <cell r="Z4439">
            <v>2.5499999999999998</v>
          </cell>
          <cell r="AA4439" t="str">
            <v>L</v>
          </cell>
          <cell r="AB4439">
            <v>0</v>
          </cell>
        </row>
        <row r="4440">
          <cell r="G4440" t="str">
            <v>X1490_0</v>
          </cell>
          <cell r="H4440" t="str">
            <v/>
          </cell>
          <cell r="I4440" t="str">
            <v>met</v>
          </cell>
          <cell r="V4440" t="str">
            <v>0</v>
          </cell>
          <cell r="Y4440" t="str">
            <v>Pres</v>
          </cell>
          <cell r="Z4440">
            <v>2.5099999999999998</v>
          </cell>
          <cell r="AA4440" t="str">
            <v>L</v>
          </cell>
          <cell r="AB4440">
            <v>0</v>
          </cell>
        </row>
        <row r="4441">
          <cell r="G4441" t="str">
            <v>X1490_1</v>
          </cell>
          <cell r="H4441" t="str">
            <v>the-of</v>
          </cell>
          <cell r="I4441" t="str">
            <v>sim</v>
          </cell>
          <cell r="V4441" t="str">
            <v>0</v>
          </cell>
          <cell r="Y4441" t="str">
            <v>Pres</v>
          </cell>
          <cell r="Z4441">
            <v>2.5099999999999998</v>
          </cell>
          <cell r="AA4441" t="str">
            <v>L</v>
          </cell>
          <cell r="AB4441">
            <v>0</v>
          </cell>
        </row>
        <row r="4442">
          <cell r="G4442" t="str">
            <v>X1491_0</v>
          </cell>
          <cell r="H4442" t="str">
            <v>the-of</v>
          </cell>
          <cell r="I4442" t="str">
            <v>sim</v>
          </cell>
          <cell r="V4442" t="str">
            <v>not neg pair</v>
          </cell>
          <cell r="Y4442" t="str">
            <v>Past</v>
          </cell>
          <cell r="Z4442">
            <v>3.21</v>
          </cell>
          <cell r="AA4442">
            <v>0</v>
          </cell>
          <cell r="AB4442">
            <v>0</v>
          </cell>
        </row>
        <row r="4443">
          <cell r="G4443" t="str">
            <v>X1491_1</v>
          </cell>
          <cell r="H4443" t="str">
            <v>the-of</v>
          </cell>
          <cell r="I4443" t="str">
            <v>sim</v>
          </cell>
          <cell r="V4443" t="str">
            <v>not neg pair</v>
          </cell>
          <cell r="Y4443" t="str">
            <v>Past</v>
          </cell>
          <cell r="Z4443">
            <v>3.21</v>
          </cell>
          <cell r="AA4443">
            <v>0</v>
          </cell>
          <cell r="AB4443">
            <v>0</v>
          </cell>
        </row>
        <row r="4444">
          <cell r="G4444" t="str">
            <v>X1492_0</v>
          </cell>
          <cell r="H4444" t="str">
            <v>as</v>
          </cell>
          <cell r="I4444" t="str">
            <v>sim</v>
          </cell>
          <cell r="V4444" t="str">
            <v>not</v>
          </cell>
          <cell r="Y4444" t="str">
            <v>Pres</v>
          </cell>
          <cell r="Z4444">
            <v>4.79</v>
          </cell>
          <cell r="AA4444">
            <v>0</v>
          </cell>
          <cell r="AB4444">
            <v>0</v>
          </cell>
        </row>
        <row r="4445">
          <cell r="G4445" t="str">
            <v>X1492_1</v>
          </cell>
          <cell r="H4445" t="str">
            <v>as</v>
          </cell>
          <cell r="I4445" t="str">
            <v>sim</v>
          </cell>
          <cell r="V4445" t="str">
            <v>not</v>
          </cell>
          <cell r="Y4445" t="str">
            <v>Pres</v>
          </cell>
          <cell r="Z4445">
            <v>4.79</v>
          </cell>
          <cell r="AA4445">
            <v>0</v>
          </cell>
          <cell r="AB4445">
            <v>0</v>
          </cell>
        </row>
        <row r="4446">
          <cell r="G4446" t="str">
            <v>X1493_0</v>
          </cell>
          <cell r="H4446" t="str">
            <v>as-as</v>
          </cell>
          <cell r="I4446" t="str">
            <v>sim</v>
          </cell>
          <cell r="V4446" t="str">
            <v>antonym</v>
          </cell>
          <cell r="Y4446" t="str">
            <v>Pres</v>
          </cell>
          <cell r="Z4446">
            <v>2.69</v>
          </cell>
          <cell r="AA4446" t="str">
            <v>L</v>
          </cell>
          <cell r="AB4446">
            <v>0</v>
          </cell>
        </row>
        <row r="4447">
          <cell r="G4447" t="str">
            <v>X1493_1</v>
          </cell>
          <cell r="H4447" t="str">
            <v>as-as</v>
          </cell>
          <cell r="I4447" t="str">
            <v>sim</v>
          </cell>
          <cell r="V4447" t="str">
            <v>antonym</v>
          </cell>
          <cell r="Y4447" t="str">
            <v>Pres</v>
          </cell>
          <cell r="Z4447">
            <v>2.69</v>
          </cell>
          <cell r="AA4447" t="str">
            <v>L</v>
          </cell>
          <cell r="AB4447">
            <v>0</v>
          </cell>
        </row>
        <row r="4448">
          <cell r="G4448" t="str">
            <v>X1494_0</v>
          </cell>
          <cell r="H4448" t="str">
            <v>as-as</v>
          </cell>
          <cell r="I4448" t="str">
            <v>sim</v>
          </cell>
          <cell r="V4448" t="str">
            <v>not neg pair</v>
          </cell>
          <cell r="Y4448" t="str">
            <v>Pres</v>
          </cell>
          <cell r="Z4448">
            <v>3.75</v>
          </cell>
          <cell r="AA4448">
            <v>0</v>
          </cell>
          <cell r="AB4448">
            <v>0</v>
          </cell>
        </row>
        <row r="4449">
          <cell r="G4449" t="str">
            <v>X1494_1</v>
          </cell>
          <cell r="H4449" t="str">
            <v>as-as</v>
          </cell>
          <cell r="I4449" t="str">
            <v>sim</v>
          </cell>
          <cell r="V4449" t="str">
            <v>not neg pair</v>
          </cell>
          <cell r="Y4449" t="str">
            <v>Pres</v>
          </cell>
          <cell r="Z4449">
            <v>3.75</v>
          </cell>
          <cell r="AA4449">
            <v>0</v>
          </cell>
          <cell r="AB4449">
            <v>0</v>
          </cell>
        </row>
        <row r="4450">
          <cell r="G4450" t="str">
            <v>X1495_0</v>
          </cell>
          <cell r="H4450" t="str">
            <v>as</v>
          </cell>
          <cell r="I4450" t="str">
            <v>sim</v>
          </cell>
          <cell r="V4450" t="str">
            <v>not</v>
          </cell>
          <cell r="Y4450" t="str">
            <v>Pres</v>
          </cell>
          <cell r="Z4450">
            <v>4.2699999999999996</v>
          </cell>
          <cell r="AA4450">
            <v>0</v>
          </cell>
          <cell r="AB4450">
            <v>0</v>
          </cell>
        </row>
        <row r="4451">
          <cell r="G4451" t="str">
            <v>X1495_1</v>
          </cell>
          <cell r="H4451" t="str">
            <v>as</v>
          </cell>
          <cell r="I4451" t="str">
            <v>sim</v>
          </cell>
          <cell r="V4451" t="str">
            <v>not</v>
          </cell>
          <cell r="Y4451" t="str">
            <v>Pres</v>
          </cell>
          <cell r="Z4451">
            <v>4.2699999999999996</v>
          </cell>
          <cell r="AA4451">
            <v>0</v>
          </cell>
          <cell r="AB4451">
            <v>0</v>
          </cell>
        </row>
        <row r="4452">
          <cell r="G4452" t="str">
            <v>X1496_0</v>
          </cell>
          <cell r="H4452" t="str">
            <v>as-as</v>
          </cell>
          <cell r="I4452" t="str">
            <v>sim</v>
          </cell>
          <cell r="V4452" t="str">
            <v>antonym</v>
          </cell>
          <cell r="Y4452" t="str">
            <v>Pres</v>
          </cell>
          <cell r="Z4452">
            <v>4.79</v>
          </cell>
          <cell r="AA4452">
            <v>0</v>
          </cell>
          <cell r="AB4452">
            <v>0</v>
          </cell>
        </row>
        <row r="4453">
          <cell r="G4453" t="str">
            <v>X1496_1</v>
          </cell>
          <cell r="H4453" t="str">
            <v>as-as</v>
          </cell>
          <cell r="I4453" t="str">
            <v>sim</v>
          </cell>
          <cell r="V4453" t="str">
            <v>antonym</v>
          </cell>
          <cell r="Y4453" t="str">
            <v>Pres</v>
          </cell>
          <cell r="Z4453">
            <v>4.79</v>
          </cell>
          <cell r="AA4453">
            <v>0</v>
          </cell>
          <cell r="AB4453">
            <v>0</v>
          </cell>
        </row>
        <row r="4454">
          <cell r="G4454" t="str">
            <v>X1497_0</v>
          </cell>
          <cell r="H4454" t="str">
            <v>as-as</v>
          </cell>
          <cell r="I4454" t="str">
            <v>sim</v>
          </cell>
          <cell r="V4454" t="str">
            <v>antonym</v>
          </cell>
          <cell r="Y4454" t="str">
            <v>Past</v>
          </cell>
          <cell r="Z4454">
            <v>5</v>
          </cell>
          <cell r="AA4454" t="str">
            <v>H</v>
          </cell>
          <cell r="AB4454">
            <v>0</v>
          </cell>
        </row>
        <row r="4455">
          <cell r="G4455" t="str">
            <v>X1497_1</v>
          </cell>
          <cell r="H4455" t="str">
            <v>as-as</v>
          </cell>
          <cell r="I4455" t="str">
            <v>sim</v>
          </cell>
          <cell r="V4455" t="str">
            <v>antonym</v>
          </cell>
          <cell r="Y4455" t="str">
            <v>Past</v>
          </cell>
          <cell r="Z4455">
            <v>5</v>
          </cell>
          <cell r="AA4455" t="str">
            <v>H</v>
          </cell>
          <cell r="AB4455">
            <v>0</v>
          </cell>
        </row>
        <row r="4456">
          <cell r="G4456" t="str">
            <v>X1498_0</v>
          </cell>
          <cell r="H4456" t="str">
            <v>the-of</v>
          </cell>
          <cell r="I4456" t="str">
            <v>sim</v>
          </cell>
          <cell r="V4456" t="str">
            <v>not neg pair</v>
          </cell>
          <cell r="Y4456" t="str">
            <v>Past</v>
          </cell>
          <cell r="Z4456">
            <v>4.82</v>
          </cell>
          <cell r="AA4456">
            <v>0</v>
          </cell>
          <cell r="AB4456">
            <v>0</v>
          </cell>
        </row>
        <row r="4457">
          <cell r="G4457" t="str">
            <v>X1498_1</v>
          </cell>
          <cell r="H4457" t="str">
            <v>the-of</v>
          </cell>
          <cell r="I4457" t="str">
            <v>sim</v>
          </cell>
          <cell r="V4457" t="str">
            <v>not neg pair</v>
          </cell>
          <cell r="Y4457" t="str">
            <v>Past</v>
          </cell>
          <cell r="Z4457">
            <v>4.82</v>
          </cell>
          <cell r="AA4457">
            <v>0</v>
          </cell>
          <cell r="AB4457">
            <v>0</v>
          </cell>
        </row>
        <row r="4458">
          <cell r="G4458" t="str">
            <v>X1499_0</v>
          </cell>
          <cell r="H4458" t="str">
            <v>as</v>
          </cell>
          <cell r="I4458" t="str">
            <v>sim</v>
          </cell>
          <cell r="V4458" t="str">
            <v>not neg pair</v>
          </cell>
          <cell r="Y4458" t="str">
            <v>Past</v>
          </cell>
          <cell r="Z4458">
            <v>3.9</v>
          </cell>
          <cell r="AA4458">
            <v>0</v>
          </cell>
          <cell r="AB4458">
            <v>0</v>
          </cell>
        </row>
        <row r="4459">
          <cell r="G4459" t="str">
            <v>X1499_1</v>
          </cell>
          <cell r="H4459" t="str">
            <v>as</v>
          </cell>
          <cell r="I4459" t="str">
            <v>sim</v>
          </cell>
          <cell r="V4459" t="str">
            <v>not neg pair</v>
          </cell>
          <cell r="Y4459" t="str">
            <v>Past</v>
          </cell>
          <cell r="Z4459">
            <v>3.9</v>
          </cell>
          <cell r="AA4459">
            <v>0</v>
          </cell>
          <cell r="AB4459">
            <v>0</v>
          </cell>
        </row>
        <row r="4460">
          <cell r="G4460" t="str">
            <v>X1500_0</v>
          </cell>
          <cell r="H4460" t="str">
            <v>as</v>
          </cell>
          <cell r="I4460" t="str">
            <v>sim</v>
          </cell>
          <cell r="V4460" t="str">
            <v>not neg pair</v>
          </cell>
          <cell r="Y4460" t="str">
            <v>Past</v>
          </cell>
          <cell r="Z4460">
            <v>3.21</v>
          </cell>
          <cell r="AA4460">
            <v>0</v>
          </cell>
          <cell r="AB4460">
            <v>0</v>
          </cell>
        </row>
        <row r="4461">
          <cell r="G4461" t="str">
            <v>X1500_1</v>
          </cell>
          <cell r="H4461" t="str">
            <v>as</v>
          </cell>
          <cell r="I4461" t="str">
            <v>sim</v>
          </cell>
          <cell r="V4461" t="str">
            <v>not neg pair</v>
          </cell>
          <cell r="Y4461" t="str">
            <v>Past</v>
          </cell>
          <cell r="Z4461">
            <v>3.21</v>
          </cell>
          <cell r="AA4461">
            <v>0</v>
          </cell>
          <cell r="AB4461">
            <v>0</v>
          </cell>
        </row>
        <row r="4462">
          <cell r="G4462" t="str">
            <v>X1501_0</v>
          </cell>
          <cell r="H4462" t="str">
            <v>like</v>
          </cell>
          <cell r="I4462" t="str">
            <v>sim</v>
          </cell>
          <cell r="V4462" t="str">
            <v>not</v>
          </cell>
          <cell r="Y4462" t="str">
            <v>Past</v>
          </cell>
          <cell r="Z4462">
            <v>3.36</v>
          </cell>
          <cell r="AA4462">
            <v>0</v>
          </cell>
          <cell r="AB4462">
            <v>0</v>
          </cell>
        </row>
        <row r="4463">
          <cell r="G4463" t="str">
            <v>X1501_1</v>
          </cell>
          <cell r="H4463" t="str">
            <v>like</v>
          </cell>
          <cell r="I4463" t="str">
            <v>sim</v>
          </cell>
          <cell r="V4463" t="str">
            <v>not</v>
          </cell>
          <cell r="Y4463" t="str">
            <v>Past</v>
          </cell>
          <cell r="Z4463">
            <v>3.36</v>
          </cell>
          <cell r="AA4463">
            <v>0</v>
          </cell>
          <cell r="AB4463">
            <v>0</v>
          </cell>
        </row>
        <row r="4464">
          <cell r="G4464" t="str">
            <v>X1502_0</v>
          </cell>
          <cell r="H4464" t="str">
            <v>as-as</v>
          </cell>
          <cell r="I4464" t="str">
            <v>sim</v>
          </cell>
          <cell r="V4464" t="str">
            <v>not</v>
          </cell>
          <cell r="Y4464" t="str">
            <v>Past</v>
          </cell>
          <cell r="Z4464">
            <v>3.36</v>
          </cell>
          <cell r="AA4464">
            <v>0</v>
          </cell>
          <cell r="AB4464">
            <v>0</v>
          </cell>
        </row>
        <row r="4465">
          <cell r="G4465" t="str">
            <v>X1502_1</v>
          </cell>
          <cell r="H4465" t="str">
            <v>as-as</v>
          </cell>
          <cell r="I4465" t="str">
            <v>sim</v>
          </cell>
          <cell r="V4465" t="str">
            <v>not</v>
          </cell>
          <cell r="Y4465" t="str">
            <v>Past</v>
          </cell>
          <cell r="Z4465">
            <v>3.36</v>
          </cell>
          <cell r="AA4465">
            <v>0</v>
          </cell>
          <cell r="AB4465">
            <v>0</v>
          </cell>
        </row>
        <row r="4466">
          <cell r="G4466" t="str">
            <v>X1503_0</v>
          </cell>
          <cell r="H4466" t="str">
            <v>like</v>
          </cell>
          <cell r="I4466" t="str">
            <v>sim</v>
          </cell>
          <cell r="V4466" t="str">
            <v>not</v>
          </cell>
          <cell r="Y4466" t="str">
            <v>Past</v>
          </cell>
          <cell r="Z4466">
            <v>2.81</v>
          </cell>
          <cell r="AA4466">
            <v>0</v>
          </cell>
          <cell r="AB4466">
            <v>0</v>
          </cell>
        </row>
        <row r="4467">
          <cell r="G4467" t="str">
            <v>X1503_1</v>
          </cell>
          <cell r="H4467" t="str">
            <v>like</v>
          </cell>
          <cell r="I4467" t="str">
            <v>sim</v>
          </cell>
          <cell r="V4467" t="str">
            <v>not</v>
          </cell>
          <cell r="Y4467" t="str">
            <v>Past</v>
          </cell>
          <cell r="Z4467">
            <v>2.81</v>
          </cell>
          <cell r="AA4467">
            <v>0</v>
          </cell>
          <cell r="AB4467">
            <v>0</v>
          </cell>
        </row>
        <row r="4468">
          <cell r="G4468" t="str">
            <v>X1504_0</v>
          </cell>
          <cell r="H4468" t="str">
            <v>as-as</v>
          </cell>
          <cell r="I4468" t="str">
            <v>sim</v>
          </cell>
          <cell r="V4468" t="str">
            <v>not</v>
          </cell>
          <cell r="Y4468" t="str">
            <v>Past</v>
          </cell>
          <cell r="Z4468">
            <v>4.9000000000000004</v>
          </cell>
          <cell r="AA4468">
            <v>0</v>
          </cell>
          <cell r="AB4468">
            <v>0</v>
          </cell>
        </row>
        <row r="4469">
          <cell r="G4469" t="str">
            <v>X1504_1</v>
          </cell>
          <cell r="H4469" t="str">
            <v>as-as</v>
          </cell>
          <cell r="I4469" t="str">
            <v>sim</v>
          </cell>
          <cell r="V4469" t="str">
            <v>not</v>
          </cell>
          <cell r="Y4469" t="str">
            <v>Past</v>
          </cell>
          <cell r="Z4469">
            <v>4.9000000000000004</v>
          </cell>
          <cell r="AA4469">
            <v>0</v>
          </cell>
          <cell r="AB4469">
            <v>0</v>
          </cell>
        </row>
        <row r="4470">
          <cell r="G4470" t="str">
            <v>X1505_0</v>
          </cell>
          <cell r="H4470" t="str">
            <v>as-as</v>
          </cell>
          <cell r="I4470" t="str">
            <v>sim</v>
          </cell>
          <cell r="V4470" t="str">
            <v>not</v>
          </cell>
          <cell r="Y4470" t="str">
            <v>Past</v>
          </cell>
          <cell r="Z4470">
            <v>3.82</v>
          </cell>
          <cell r="AA4470">
            <v>0</v>
          </cell>
          <cell r="AB4470">
            <v>0</v>
          </cell>
        </row>
        <row r="4471">
          <cell r="G4471" t="str">
            <v>X1505_1</v>
          </cell>
          <cell r="H4471" t="str">
            <v>as-as</v>
          </cell>
          <cell r="I4471" t="str">
            <v>sim</v>
          </cell>
          <cell r="V4471" t="str">
            <v>not</v>
          </cell>
          <cell r="Y4471" t="str">
            <v>Past</v>
          </cell>
          <cell r="Z4471">
            <v>3.82</v>
          </cell>
          <cell r="AA4471">
            <v>0</v>
          </cell>
          <cell r="AB4471">
            <v>0</v>
          </cell>
        </row>
        <row r="4472">
          <cell r="G4472" t="str">
            <v>X1506_0</v>
          </cell>
          <cell r="H4472" t="str">
            <v>the-of</v>
          </cell>
          <cell r="I4472" t="str">
            <v>sim</v>
          </cell>
          <cell r="V4472" t="str">
            <v>not neg pair</v>
          </cell>
          <cell r="Y4472" t="str">
            <v>Pres</v>
          </cell>
          <cell r="Z4472">
            <v>4.93</v>
          </cell>
          <cell r="AA4472" t="str">
            <v>H</v>
          </cell>
          <cell r="AB4472">
            <v>0</v>
          </cell>
        </row>
        <row r="4473">
          <cell r="G4473" t="str">
            <v>X1506_1</v>
          </cell>
          <cell r="H4473" t="str">
            <v>the-of</v>
          </cell>
          <cell r="I4473" t="str">
            <v>sim</v>
          </cell>
          <cell r="V4473" t="str">
            <v>not neg pair</v>
          </cell>
          <cell r="Y4473" t="str">
            <v>Pres</v>
          </cell>
          <cell r="Z4473">
            <v>4.93</v>
          </cell>
          <cell r="AA4473" t="str">
            <v>H</v>
          </cell>
          <cell r="AB4473">
            <v>0</v>
          </cell>
        </row>
        <row r="4474">
          <cell r="G4474" t="str">
            <v>X1507_0</v>
          </cell>
          <cell r="H4474" t="str">
            <v>the-of</v>
          </cell>
          <cell r="I4474" t="str">
            <v>sim</v>
          </cell>
          <cell r="V4474" t="str">
            <v>not neg pair</v>
          </cell>
          <cell r="Y4474" t="str">
            <v>Past</v>
          </cell>
          <cell r="Z4474">
            <v>3.85</v>
          </cell>
          <cell r="AA4474">
            <v>0</v>
          </cell>
          <cell r="AB4474">
            <v>0</v>
          </cell>
        </row>
        <row r="4475">
          <cell r="G4475" t="str">
            <v>X1507_1</v>
          </cell>
          <cell r="H4475" t="str">
            <v>the-of</v>
          </cell>
          <cell r="I4475" t="str">
            <v>sim</v>
          </cell>
          <cell r="V4475" t="str">
            <v>not neg pair</v>
          </cell>
          <cell r="Y4475" t="str">
            <v>Past</v>
          </cell>
          <cell r="Z4475">
            <v>3.85</v>
          </cell>
          <cell r="AA4475">
            <v>0</v>
          </cell>
          <cell r="AB4475">
            <v>0</v>
          </cell>
        </row>
        <row r="4476">
          <cell r="G4476" t="str">
            <v>X1508_0</v>
          </cell>
          <cell r="H4476" t="str">
            <v/>
          </cell>
          <cell r="I4476" t="str">
            <v>met</v>
          </cell>
          <cell r="V4476" t="str">
            <v>0</v>
          </cell>
          <cell r="Y4476" t="str">
            <v>Past</v>
          </cell>
          <cell r="Z4476">
            <v>4.82</v>
          </cell>
          <cell r="AA4476">
            <v>0</v>
          </cell>
          <cell r="AB4476">
            <v>0</v>
          </cell>
        </row>
        <row r="4477">
          <cell r="G4477" t="str">
            <v>X1508_1</v>
          </cell>
          <cell r="H4477" t="str">
            <v>the-of</v>
          </cell>
          <cell r="I4477" t="str">
            <v>sim</v>
          </cell>
          <cell r="V4477" t="str">
            <v>0</v>
          </cell>
          <cell r="Y4477" t="str">
            <v>Past</v>
          </cell>
          <cell r="Z4477">
            <v>4.82</v>
          </cell>
          <cell r="AA4477">
            <v>0</v>
          </cell>
          <cell r="AB4477">
            <v>0</v>
          </cell>
        </row>
        <row r="4478">
          <cell r="G4478" t="str">
            <v>X1509_0</v>
          </cell>
          <cell r="H4478" t="str">
            <v>as-as</v>
          </cell>
          <cell r="I4478" t="str">
            <v>sim</v>
          </cell>
          <cell r="V4478" t="str">
            <v>not neg pair</v>
          </cell>
          <cell r="Y4478" t="str">
            <v>Pres</v>
          </cell>
          <cell r="Z4478">
            <v>3.3</v>
          </cell>
          <cell r="AA4478">
            <v>0</v>
          </cell>
          <cell r="AB4478">
            <v>0</v>
          </cell>
        </row>
        <row r="4479">
          <cell r="G4479" t="str">
            <v>X1509_1</v>
          </cell>
          <cell r="H4479" t="str">
            <v>as-as</v>
          </cell>
          <cell r="I4479" t="str">
            <v>sim</v>
          </cell>
          <cell r="V4479" t="str">
            <v>not neg pair</v>
          </cell>
          <cell r="Y4479" t="str">
            <v>Pres</v>
          </cell>
          <cell r="Z4479">
            <v>3.3</v>
          </cell>
          <cell r="AA4479">
            <v>0</v>
          </cell>
          <cell r="AB4479">
            <v>0</v>
          </cell>
        </row>
        <row r="4480">
          <cell r="G4480" t="str">
            <v>X1510_0</v>
          </cell>
          <cell r="H4480" t="str">
            <v>the-of</v>
          </cell>
          <cell r="I4480" t="str">
            <v>sim</v>
          </cell>
          <cell r="V4480" t="str">
            <v>not neg pair</v>
          </cell>
          <cell r="Y4480" t="str">
            <v>Pres</v>
          </cell>
          <cell r="Z4480">
            <v>4.72</v>
          </cell>
          <cell r="AA4480">
            <v>0</v>
          </cell>
          <cell r="AB4480">
            <v>0</v>
          </cell>
        </row>
        <row r="4481">
          <cell r="G4481" t="str">
            <v>X1510_1</v>
          </cell>
          <cell r="H4481" t="str">
            <v>the-of</v>
          </cell>
          <cell r="I4481" t="str">
            <v>sim</v>
          </cell>
          <cell r="V4481" t="str">
            <v>not neg pair</v>
          </cell>
          <cell r="Y4481" t="str">
            <v>Pres</v>
          </cell>
          <cell r="Z4481">
            <v>4.72</v>
          </cell>
          <cell r="AA4481">
            <v>0</v>
          </cell>
          <cell r="AB4481">
            <v>0</v>
          </cell>
        </row>
        <row r="4482">
          <cell r="G4482" t="str">
            <v>X1511_0</v>
          </cell>
          <cell r="H4482" t="str">
            <v>the-of</v>
          </cell>
          <cell r="I4482" t="str">
            <v>sim</v>
          </cell>
          <cell r="V4482" t="str">
            <v>not neg pair</v>
          </cell>
          <cell r="Y4482" t="str">
            <v>Pres</v>
          </cell>
          <cell r="Z4482">
            <v>4.79</v>
          </cell>
          <cell r="AA4482">
            <v>0</v>
          </cell>
          <cell r="AB4482">
            <v>0</v>
          </cell>
        </row>
        <row r="4483">
          <cell r="G4483" t="str">
            <v>X1511_1</v>
          </cell>
          <cell r="H4483" t="str">
            <v>the-of</v>
          </cell>
          <cell r="I4483" t="str">
            <v>sim</v>
          </cell>
          <cell r="V4483" t="str">
            <v>not neg pair</v>
          </cell>
          <cell r="Y4483" t="str">
            <v>Pres</v>
          </cell>
          <cell r="Z4483">
            <v>4.79</v>
          </cell>
          <cell r="AA4483">
            <v>0</v>
          </cell>
          <cell r="AB4483">
            <v>0</v>
          </cell>
        </row>
        <row r="4484">
          <cell r="G4484" t="str">
            <v>X1512_0</v>
          </cell>
          <cell r="H4484" t="str">
            <v>as-as</v>
          </cell>
          <cell r="I4484" t="str">
            <v>sim</v>
          </cell>
          <cell r="V4484" t="str">
            <v>antonym</v>
          </cell>
          <cell r="Y4484" t="str">
            <v>Past</v>
          </cell>
          <cell r="Z4484">
            <v>4.62</v>
          </cell>
          <cell r="AA4484">
            <v>0</v>
          </cell>
          <cell r="AB4484">
            <v>0</v>
          </cell>
        </row>
        <row r="4485">
          <cell r="G4485" t="str">
            <v>X1512_1</v>
          </cell>
          <cell r="H4485" t="str">
            <v>as-as</v>
          </cell>
          <cell r="I4485" t="str">
            <v>sim</v>
          </cell>
          <cell r="V4485" t="str">
            <v>antonym</v>
          </cell>
          <cell r="Y4485" t="str">
            <v>Past</v>
          </cell>
          <cell r="Z4485">
            <v>4.62</v>
          </cell>
          <cell r="AA4485">
            <v>0</v>
          </cell>
          <cell r="AB4485">
            <v>0</v>
          </cell>
        </row>
        <row r="4486">
          <cell r="G4486" t="str">
            <v>X1513_0</v>
          </cell>
          <cell r="H4486" t="str">
            <v>as-as</v>
          </cell>
          <cell r="I4486" t="str">
            <v>sim</v>
          </cell>
          <cell r="V4486" t="str">
            <v>not</v>
          </cell>
          <cell r="Y4486" t="str">
            <v>Past</v>
          </cell>
          <cell r="Z4486">
            <v>3.7</v>
          </cell>
          <cell r="AA4486">
            <v>0</v>
          </cell>
          <cell r="AB4486">
            <v>0</v>
          </cell>
        </row>
        <row r="4487">
          <cell r="G4487" t="str">
            <v>X1513_1</v>
          </cell>
          <cell r="H4487" t="str">
            <v>as-as</v>
          </cell>
          <cell r="I4487" t="str">
            <v>sim</v>
          </cell>
          <cell r="V4487" t="str">
            <v>not</v>
          </cell>
          <cell r="Y4487" t="str">
            <v>Past</v>
          </cell>
          <cell r="Z4487">
            <v>3.7</v>
          </cell>
          <cell r="AA4487">
            <v>0</v>
          </cell>
          <cell r="AB4487">
            <v>0</v>
          </cell>
        </row>
        <row r="4488">
          <cell r="G4488" t="str">
            <v>X1514_0</v>
          </cell>
          <cell r="H4488" t="str">
            <v/>
          </cell>
          <cell r="I4488" t="str">
            <v>met</v>
          </cell>
          <cell r="V4488" t="str">
            <v>0</v>
          </cell>
          <cell r="Y4488" t="str">
            <v>Past</v>
          </cell>
          <cell r="Z4488">
            <v>3.14</v>
          </cell>
          <cell r="AA4488">
            <v>0</v>
          </cell>
          <cell r="AB4488">
            <v>0</v>
          </cell>
        </row>
        <row r="4489">
          <cell r="G4489" t="str">
            <v>X1514_1</v>
          </cell>
          <cell r="H4489" t="str">
            <v/>
          </cell>
          <cell r="I4489" t="str">
            <v>met</v>
          </cell>
          <cell r="V4489" t="str">
            <v>0</v>
          </cell>
          <cell r="Y4489" t="str">
            <v>Past</v>
          </cell>
          <cell r="Z4489">
            <v>3.14</v>
          </cell>
          <cell r="AA4489">
            <v>0</v>
          </cell>
          <cell r="AB4489">
            <v>0</v>
          </cell>
        </row>
        <row r="4490">
          <cell r="G4490" t="str">
            <v>X1515_0</v>
          </cell>
          <cell r="H4490" t="str">
            <v>as-as</v>
          </cell>
          <cell r="I4490" t="str">
            <v>sim</v>
          </cell>
          <cell r="V4490" t="str">
            <v>not neg pair</v>
          </cell>
          <cell r="Y4490" t="str">
            <v>Pres</v>
          </cell>
          <cell r="Z4490">
            <v>2.81</v>
          </cell>
          <cell r="AA4490">
            <v>0</v>
          </cell>
          <cell r="AB4490">
            <v>0</v>
          </cell>
        </row>
        <row r="4491">
          <cell r="G4491" t="str">
            <v>X1515_1</v>
          </cell>
          <cell r="H4491" t="str">
            <v>as-as</v>
          </cell>
          <cell r="I4491" t="str">
            <v>sim</v>
          </cell>
          <cell r="V4491" t="str">
            <v>not neg pair</v>
          </cell>
          <cell r="Y4491" t="str">
            <v>Past</v>
          </cell>
          <cell r="Z4491">
            <v>2.81</v>
          </cell>
          <cell r="AA4491">
            <v>0</v>
          </cell>
          <cell r="AB4491">
            <v>0</v>
          </cell>
        </row>
        <row r="4492">
          <cell r="G4492" t="str">
            <v>X1516_0</v>
          </cell>
          <cell r="H4492" t="str">
            <v>as-as</v>
          </cell>
          <cell r="I4492" t="str">
            <v>sim</v>
          </cell>
          <cell r="V4492" t="str">
            <v>not neg pair</v>
          </cell>
          <cell r="Y4492" t="str">
            <v>Past</v>
          </cell>
          <cell r="Z4492">
            <v>4.62</v>
          </cell>
          <cell r="AA4492">
            <v>0</v>
          </cell>
          <cell r="AB4492">
            <v>0</v>
          </cell>
        </row>
        <row r="4493">
          <cell r="G4493" t="str">
            <v>X1516_1</v>
          </cell>
          <cell r="H4493" t="str">
            <v>as-as</v>
          </cell>
          <cell r="I4493" t="str">
            <v>sim</v>
          </cell>
          <cell r="V4493" t="str">
            <v>not neg pair</v>
          </cell>
          <cell r="Y4493" t="str">
            <v>Past</v>
          </cell>
          <cell r="Z4493">
            <v>4.62</v>
          </cell>
          <cell r="AA4493">
            <v>0</v>
          </cell>
          <cell r="AB4493">
            <v>0</v>
          </cell>
        </row>
        <row r="4494">
          <cell r="G4494" t="str">
            <v>X1517_0</v>
          </cell>
          <cell r="H4494" t="str">
            <v>as-as</v>
          </cell>
          <cell r="I4494" t="str">
            <v>sim</v>
          </cell>
          <cell r="V4494" t="str">
            <v>not neg pair</v>
          </cell>
          <cell r="Y4494" t="str">
            <v>Past</v>
          </cell>
          <cell r="Z4494">
            <v>2.81</v>
          </cell>
          <cell r="AA4494">
            <v>0</v>
          </cell>
          <cell r="AB4494">
            <v>0</v>
          </cell>
        </row>
        <row r="4495">
          <cell r="G4495" t="str">
            <v>X1517_1</v>
          </cell>
          <cell r="H4495" t="str">
            <v>as-as</v>
          </cell>
          <cell r="I4495" t="str">
            <v>sim</v>
          </cell>
          <cell r="V4495" t="str">
            <v>not neg pair</v>
          </cell>
          <cell r="Y4495" t="str">
            <v>Past</v>
          </cell>
          <cell r="Z4495">
            <v>2.81</v>
          </cell>
          <cell r="AA4495">
            <v>0</v>
          </cell>
          <cell r="AB4495">
            <v>0</v>
          </cell>
        </row>
        <row r="4496">
          <cell r="G4496" t="str">
            <v>X1518_0</v>
          </cell>
          <cell r="H4496" t="str">
            <v>as-as</v>
          </cell>
          <cell r="I4496" t="str">
            <v>sim</v>
          </cell>
          <cell r="V4496" t="str">
            <v>antonym</v>
          </cell>
          <cell r="Y4496" t="str">
            <v>Past</v>
          </cell>
          <cell r="Z4496">
            <v>4.9000000000000004</v>
          </cell>
          <cell r="AA4496">
            <v>0</v>
          </cell>
          <cell r="AB4496">
            <v>0</v>
          </cell>
        </row>
        <row r="4497">
          <cell r="G4497" t="str">
            <v>X1518_1</v>
          </cell>
          <cell r="H4497" t="str">
            <v>as-as</v>
          </cell>
          <cell r="I4497" t="str">
            <v>sim</v>
          </cell>
          <cell r="V4497" t="str">
            <v>antonym</v>
          </cell>
          <cell r="Y4497" t="str">
            <v>Past</v>
          </cell>
          <cell r="Z4497">
            <v>4.9000000000000004</v>
          </cell>
          <cell r="AA4497">
            <v>0</v>
          </cell>
          <cell r="AB4497">
            <v>0</v>
          </cell>
        </row>
        <row r="4498">
          <cell r="G4498" t="str">
            <v>X1519_0</v>
          </cell>
          <cell r="H4498" t="str">
            <v>the-of</v>
          </cell>
          <cell r="I4498" t="str">
            <v>sim</v>
          </cell>
          <cell r="V4498" t="str">
            <v>not</v>
          </cell>
          <cell r="Y4498" t="str">
            <v>Past</v>
          </cell>
          <cell r="Z4498">
            <v>2.86</v>
          </cell>
          <cell r="AA4498">
            <v>0</v>
          </cell>
          <cell r="AB4498">
            <v>0</v>
          </cell>
        </row>
        <row r="4499">
          <cell r="G4499" t="str">
            <v>X1519_1</v>
          </cell>
          <cell r="H4499" t="str">
            <v>the-of</v>
          </cell>
          <cell r="I4499" t="str">
            <v>sim</v>
          </cell>
          <cell r="V4499" t="str">
            <v>not</v>
          </cell>
          <cell r="Y4499" t="str">
            <v>Past</v>
          </cell>
          <cell r="Z4499">
            <v>2.86</v>
          </cell>
          <cell r="AA4499">
            <v>0</v>
          </cell>
          <cell r="AB4499">
            <v>0</v>
          </cell>
        </row>
        <row r="4500">
          <cell r="G4500" t="str">
            <v>X1520_0</v>
          </cell>
          <cell r="H4500" t="str">
            <v>the-of</v>
          </cell>
          <cell r="I4500" t="str">
            <v>sim</v>
          </cell>
          <cell r="V4500" t="str">
            <v>not</v>
          </cell>
          <cell r="Y4500" t="str">
            <v>Past</v>
          </cell>
          <cell r="Z4500">
            <v>4.88</v>
          </cell>
          <cell r="AA4500">
            <v>0</v>
          </cell>
          <cell r="AB4500">
            <v>0</v>
          </cell>
        </row>
        <row r="4501">
          <cell r="G4501" t="str">
            <v>X1520_1</v>
          </cell>
          <cell r="H4501" t="str">
            <v>the-of</v>
          </cell>
          <cell r="I4501" t="str">
            <v>sim</v>
          </cell>
          <cell r="V4501" t="str">
            <v>not</v>
          </cell>
          <cell r="Y4501" t="str">
            <v>Past</v>
          </cell>
          <cell r="Z4501">
            <v>4.88</v>
          </cell>
          <cell r="AA4501">
            <v>0</v>
          </cell>
          <cell r="AB4501">
            <v>0</v>
          </cell>
        </row>
        <row r="4502">
          <cell r="G4502" t="str">
            <v>X1521_0</v>
          </cell>
          <cell r="H4502" t="str">
            <v>like</v>
          </cell>
          <cell r="I4502" t="str">
            <v>sim</v>
          </cell>
          <cell r="V4502" t="str">
            <v>not</v>
          </cell>
          <cell r="Y4502">
            <v>0</v>
          </cell>
          <cell r="Z4502">
            <v>4.1100000000000003</v>
          </cell>
          <cell r="AA4502">
            <v>0</v>
          </cell>
          <cell r="AB4502">
            <v>0</v>
          </cell>
        </row>
        <row r="4503">
          <cell r="G4503" t="str">
            <v>X1521_1</v>
          </cell>
          <cell r="H4503" t="str">
            <v>like</v>
          </cell>
          <cell r="I4503" t="str">
            <v>sim</v>
          </cell>
          <cell r="V4503" t="str">
            <v>not</v>
          </cell>
          <cell r="Y4503">
            <v>0</v>
          </cell>
          <cell r="Z4503">
            <v>4.1100000000000003</v>
          </cell>
          <cell r="AA4503">
            <v>0</v>
          </cell>
          <cell r="AB4503">
            <v>0</v>
          </cell>
        </row>
        <row r="4504">
          <cell r="G4504" t="str">
            <v>X1522_0</v>
          </cell>
          <cell r="H4504" t="str">
            <v>as-as</v>
          </cell>
          <cell r="I4504" t="str">
            <v>sim</v>
          </cell>
          <cell r="V4504" t="str">
            <v>not neg pair</v>
          </cell>
          <cell r="Y4504" t="str">
            <v>Past</v>
          </cell>
          <cell r="Z4504">
            <v>3.64</v>
          </cell>
          <cell r="AA4504">
            <v>0</v>
          </cell>
          <cell r="AB4504">
            <v>0</v>
          </cell>
        </row>
        <row r="4505">
          <cell r="G4505" t="str">
            <v>X1522_1</v>
          </cell>
          <cell r="H4505" t="str">
            <v>as-as</v>
          </cell>
          <cell r="I4505" t="str">
            <v>sim</v>
          </cell>
          <cell r="V4505" t="str">
            <v>not neg pair</v>
          </cell>
          <cell r="Y4505" t="str">
            <v>Past</v>
          </cell>
          <cell r="Z4505">
            <v>3.62</v>
          </cell>
          <cell r="AA4505">
            <v>0</v>
          </cell>
          <cell r="AB4505">
            <v>0</v>
          </cell>
        </row>
        <row r="4506">
          <cell r="G4506" t="str">
            <v>X1523_0</v>
          </cell>
          <cell r="H4506" t="str">
            <v>like</v>
          </cell>
          <cell r="I4506" t="str">
            <v>sim</v>
          </cell>
          <cell r="V4506" t="str">
            <v>not neg pair</v>
          </cell>
          <cell r="Y4506" t="str">
            <v>Past</v>
          </cell>
          <cell r="Z4506">
            <v>4.96</v>
          </cell>
          <cell r="AA4506" t="str">
            <v>H</v>
          </cell>
          <cell r="AB4506">
            <v>0</v>
          </cell>
        </row>
        <row r="4507">
          <cell r="G4507" t="str">
            <v>X1523_1</v>
          </cell>
          <cell r="H4507" t="str">
            <v>like</v>
          </cell>
          <cell r="I4507" t="str">
            <v>sim</v>
          </cell>
          <cell r="V4507" t="str">
            <v>not neg pair</v>
          </cell>
          <cell r="Y4507" t="str">
            <v>Past</v>
          </cell>
          <cell r="Z4507">
            <v>4.96</v>
          </cell>
          <cell r="AA4507" t="str">
            <v>H</v>
          </cell>
          <cell r="AB4507">
            <v>0</v>
          </cell>
        </row>
        <row r="4508">
          <cell r="G4508" t="str">
            <v>X1524_0</v>
          </cell>
          <cell r="H4508" t="str">
            <v/>
          </cell>
          <cell r="I4508" t="str">
            <v>met</v>
          </cell>
          <cell r="V4508" t="str">
            <v>0</v>
          </cell>
          <cell r="Y4508" t="str">
            <v>Past</v>
          </cell>
          <cell r="Z4508">
            <v>2.34</v>
          </cell>
          <cell r="AA4508" t="str">
            <v>L</v>
          </cell>
          <cell r="AB4508">
            <v>0</v>
          </cell>
        </row>
        <row r="4509">
          <cell r="G4509" t="str">
            <v>X1524_1</v>
          </cell>
          <cell r="H4509" t="str">
            <v/>
          </cell>
          <cell r="I4509" t="str">
            <v>met</v>
          </cell>
          <cell r="V4509" t="str">
            <v>0</v>
          </cell>
          <cell r="Y4509">
            <v>0</v>
          </cell>
          <cell r="Z4509">
            <v>2.34</v>
          </cell>
          <cell r="AA4509" t="str">
            <v>L</v>
          </cell>
          <cell r="AB4509">
            <v>0</v>
          </cell>
        </row>
        <row r="4510">
          <cell r="G4510" t="str">
            <v>X1525_0</v>
          </cell>
          <cell r="H4510" t="str">
            <v/>
          </cell>
          <cell r="I4510" t="str">
            <v>met</v>
          </cell>
          <cell r="V4510" t="str">
            <v>0</v>
          </cell>
          <cell r="Y4510">
            <v>0</v>
          </cell>
          <cell r="Z4510">
            <v>2.2999999999999998</v>
          </cell>
          <cell r="AA4510" t="str">
            <v>L</v>
          </cell>
          <cell r="AB4510">
            <v>0</v>
          </cell>
        </row>
        <row r="4511">
          <cell r="G4511" t="str">
            <v>X1525_1</v>
          </cell>
          <cell r="H4511" t="str">
            <v/>
          </cell>
          <cell r="I4511" t="str">
            <v>met</v>
          </cell>
          <cell r="V4511" t="str">
            <v>0</v>
          </cell>
          <cell r="Y4511" t="str">
            <v>Pres</v>
          </cell>
          <cell r="Z4511">
            <v>2.2999999999999998</v>
          </cell>
          <cell r="AA4511" t="str">
            <v>L</v>
          </cell>
          <cell r="AB4511">
            <v>0</v>
          </cell>
        </row>
        <row r="4512">
          <cell r="G4512" t="str">
            <v>X1526_0</v>
          </cell>
          <cell r="H4512" t="str">
            <v>as-as</v>
          </cell>
          <cell r="I4512" t="str">
            <v>sim</v>
          </cell>
          <cell r="V4512" t="str">
            <v>not neg pair</v>
          </cell>
          <cell r="Y4512" t="str">
            <v>Past</v>
          </cell>
          <cell r="Z4512">
            <v>5</v>
          </cell>
          <cell r="AA4512" t="str">
            <v>H</v>
          </cell>
          <cell r="AB4512">
            <v>0</v>
          </cell>
        </row>
        <row r="4513">
          <cell r="G4513" t="str">
            <v>X1526_1</v>
          </cell>
          <cell r="H4513" t="str">
            <v>as-as</v>
          </cell>
          <cell r="I4513" t="str">
            <v>sim</v>
          </cell>
          <cell r="V4513" t="str">
            <v>not neg pair</v>
          </cell>
          <cell r="Y4513" t="str">
            <v>Past</v>
          </cell>
          <cell r="Z4513">
            <v>5</v>
          </cell>
          <cell r="AA4513" t="str">
            <v>H</v>
          </cell>
          <cell r="AB4513">
            <v>0</v>
          </cell>
        </row>
        <row r="4514">
          <cell r="G4514" t="str">
            <v>X1527_0</v>
          </cell>
          <cell r="H4514" t="str">
            <v>as-as</v>
          </cell>
          <cell r="I4514" t="str">
            <v>sim</v>
          </cell>
          <cell r="V4514" t="str">
            <v>not neg pair</v>
          </cell>
          <cell r="Y4514" t="str">
            <v>Past</v>
          </cell>
          <cell r="Z4514">
            <v>0</v>
          </cell>
          <cell r="AA4514">
            <v>0</v>
          </cell>
          <cell r="AB4514">
            <v>0</v>
          </cell>
        </row>
        <row r="4515">
          <cell r="G4515" t="str">
            <v>X1527_1</v>
          </cell>
          <cell r="H4515" t="str">
            <v>as-as</v>
          </cell>
          <cell r="I4515" t="str">
            <v>sim</v>
          </cell>
          <cell r="V4515" t="str">
            <v>not neg pair</v>
          </cell>
          <cell r="Y4515" t="str">
            <v>Past</v>
          </cell>
          <cell r="Z4515">
            <v>4.45</v>
          </cell>
          <cell r="AA4515">
            <v>0</v>
          </cell>
          <cell r="AB4515">
            <v>0</v>
          </cell>
        </row>
        <row r="4516">
          <cell r="G4516" t="str">
            <v>X1528_0</v>
          </cell>
          <cell r="H4516" t="str">
            <v>like</v>
          </cell>
          <cell r="I4516" t="str">
            <v>sim</v>
          </cell>
          <cell r="V4516" t="str">
            <v>not neg pair</v>
          </cell>
          <cell r="Y4516" t="str">
            <v>Pres</v>
          </cell>
          <cell r="Z4516">
            <v>4.5599999999999996</v>
          </cell>
          <cell r="AA4516">
            <v>0</v>
          </cell>
          <cell r="AB4516">
            <v>0</v>
          </cell>
        </row>
        <row r="4517">
          <cell r="G4517" t="str">
            <v>X1528_1</v>
          </cell>
          <cell r="H4517" t="str">
            <v>like</v>
          </cell>
          <cell r="I4517" t="str">
            <v>sim</v>
          </cell>
          <cell r="V4517" t="str">
            <v>not neg pair</v>
          </cell>
          <cell r="Y4517" t="str">
            <v>Pres</v>
          </cell>
          <cell r="Z4517">
            <v>4.5599999999999996</v>
          </cell>
          <cell r="AA4517">
            <v>0</v>
          </cell>
          <cell r="AB4517">
            <v>0</v>
          </cell>
        </row>
        <row r="4518">
          <cell r="G4518" t="str">
            <v>X1529_0</v>
          </cell>
          <cell r="H4518" t="str">
            <v>as-as</v>
          </cell>
          <cell r="I4518" t="str">
            <v>sim</v>
          </cell>
          <cell r="V4518" t="str">
            <v>antonym</v>
          </cell>
          <cell r="Y4518" t="str">
            <v>Pres</v>
          </cell>
          <cell r="Z4518">
            <v>3.36</v>
          </cell>
          <cell r="AA4518">
            <v>0</v>
          </cell>
          <cell r="AB4518">
            <v>0</v>
          </cell>
        </row>
        <row r="4519">
          <cell r="G4519" t="str">
            <v>X1529_1</v>
          </cell>
          <cell r="H4519" t="str">
            <v>as-as</v>
          </cell>
          <cell r="I4519" t="str">
            <v>sim</v>
          </cell>
          <cell r="V4519" t="str">
            <v>antonym</v>
          </cell>
          <cell r="Y4519" t="str">
            <v>Pres</v>
          </cell>
          <cell r="Z4519">
            <v>3.36</v>
          </cell>
          <cell r="AA4519">
            <v>0</v>
          </cell>
          <cell r="AB4519">
            <v>0</v>
          </cell>
        </row>
        <row r="4520">
          <cell r="G4520" t="str">
            <v>X1530_0</v>
          </cell>
          <cell r="H4520" t="str">
            <v>like</v>
          </cell>
          <cell r="I4520" t="str">
            <v>sim</v>
          </cell>
          <cell r="V4520" t="str">
            <v>not neg pair</v>
          </cell>
          <cell r="Y4520" t="str">
            <v>Pres</v>
          </cell>
          <cell r="Z4520">
            <v>3.36</v>
          </cell>
          <cell r="AA4520">
            <v>0</v>
          </cell>
          <cell r="AB4520">
            <v>0</v>
          </cell>
        </row>
        <row r="4521">
          <cell r="G4521" t="str">
            <v>X1530_1</v>
          </cell>
          <cell r="H4521" t="str">
            <v>like</v>
          </cell>
          <cell r="I4521" t="str">
            <v>sim</v>
          </cell>
          <cell r="V4521" t="str">
            <v>not neg pair</v>
          </cell>
          <cell r="Y4521" t="str">
            <v>Pres</v>
          </cell>
          <cell r="Z4521">
            <v>3.36</v>
          </cell>
          <cell r="AA4521">
            <v>0</v>
          </cell>
          <cell r="AB4521">
            <v>0</v>
          </cell>
        </row>
        <row r="4522">
          <cell r="G4522" t="str">
            <v>X1531_0</v>
          </cell>
          <cell r="H4522" t="str">
            <v>as-as</v>
          </cell>
          <cell r="I4522" t="str">
            <v>sim</v>
          </cell>
          <cell r="V4522" t="str">
            <v>antonym</v>
          </cell>
          <cell r="Y4522" t="str">
            <v>Pres</v>
          </cell>
          <cell r="Z4522">
            <v>1.54</v>
          </cell>
          <cell r="AA4522" t="str">
            <v>L</v>
          </cell>
          <cell r="AB4522">
            <v>0</v>
          </cell>
        </row>
        <row r="4523">
          <cell r="G4523" t="str">
            <v>X1531_1</v>
          </cell>
          <cell r="H4523" t="str">
            <v>as-as</v>
          </cell>
          <cell r="I4523" t="str">
            <v>sim</v>
          </cell>
          <cell r="V4523" t="str">
            <v>antonym</v>
          </cell>
          <cell r="Y4523" t="str">
            <v>Pres</v>
          </cell>
          <cell r="Z4523">
            <v>1.54</v>
          </cell>
          <cell r="AA4523" t="str">
            <v>L</v>
          </cell>
          <cell r="AB4523">
            <v>0</v>
          </cell>
        </row>
        <row r="4524">
          <cell r="G4524" t="str">
            <v>X1532_0</v>
          </cell>
          <cell r="H4524" t="str">
            <v>as-as</v>
          </cell>
          <cell r="I4524" t="str">
            <v>sim</v>
          </cell>
          <cell r="V4524" t="str">
            <v>not</v>
          </cell>
          <cell r="Y4524" t="str">
            <v>Pres</v>
          </cell>
          <cell r="Z4524">
            <v>4.83</v>
          </cell>
          <cell r="AA4524">
            <v>0</v>
          </cell>
          <cell r="AB4524">
            <v>0</v>
          </cell>
        </row>
        <row r="4525">
          <cell r="G4525" t="str">
            <v>X1532_1</v>
          </cell>
          <cell r="H4525" t="str">
            <v>as-as</v>
          </cell>
          <cell r="I4525" t="str">
            <v>sim</v>
          </cell>
          <cell r="V4525" t="str">
            <v>not</v>
          </cell>
          <cell r="Y4525" t="str">
            <v>Pres</v>
          </cell>
          <cell r="Z4525">
            <v>4.83</v>
          </cell>
          <cell r="AA4525">
            <v>0</v>
          </cell>
          <cell r="AB4525">
            <v>0</v>
          </cell>
        </row>
        <row r="4526">
          <cell r="G4526" t="str">
            <v>X1533_0</v>
          </cell>
          <cell r="H4526" t="str">
            <v>as-as</v>
          </cell>
          <cell r="I4526" t="str">
            <v>sim</v>
          </cell>
          <cell r="V4526" t="str">
            <v>not neg pair</v>
          </cell>
          <cell r="Y4526" t="str">
            <v>Pres</v>
          </cell>
          <cell r="Z4526">
            <v>4.8899999999999997</v>
          </cell>
          <cell r="AA4526">
            <v>0</v>
          </cell>
          <cell r="AB4526">
            <v>0</v>
          </cell>
        </row>
        <row r="4527">
          <cell r="G4527" t="str">
            <v>X1533_1</v>
          </cell>
          <cell r="H4527" t="str">
            <v>as-as</v>
          </cell>
          <cell r="I4527" t="str">
            <v>sim</v>
          </cell>
          <cell r="V4527" t="str">
            <v>not neg pair</v>
          </cell>
          <cell r="Y4527" t="str">
            <v>Pres</v>
          </cell>
          <cell r="Z4527">
            <v>4.8899999999999997</v>
          </cell>
          <cell r="AA4527">
            <v>0</v>
          </cell>
          <cell r="AB4527">
            <v>0</v>
          </cell>
        </row>
        <row r="4528">
          <cell r="G4528" t="str">
            <v>X1534_0</v>
          </cell>
          <cell r="H4528" t="str">
            <v>as-as</v>
          </cell>
          <cell r="I4528" t="str">
            <v>sim</v>
          </cell>
          <cell r="V4528" t="str">
            <v>not</v>
          </cell>
          <cell r="Y4528" t="str">
            <v>Past</v>
          </cell>
          <cell r="Z4528">
            <v>4.7699999999999996</v>
          </cell>
          <cell r="AA4528">
            <v>0</v>
          </cell>
          <cell r="AB4528">
            <v>0</v>
          </cell>
        </row>
        <row r="4529">
          <cell r="G4529" t="str">
            <v>X1534_1</v>
          </cell>
          <cell r="H4529" t="str">
            <v>as-as</v>
          </cell>
          <cell r="I4529" t="str">
            <v>sim</v>
          </cell>
          <cell r="V4529" t="str">
            <v>not</v>
          </cell>
          <cell r="Y4529" t="str">
            <v>Past</v>
          </cell>
          <cell r="Z4529">
            <v>4.7699999999999996</v>
          </cell>
          <cell r="AA4529">
            <v>0</v>
          </cell>
          <cell r="AB4529">
            <v>0</v>
          </cell>
        </row>
        <row r="4530">
          <cell r="G4530" t="str">
            <v>X1535_0</v>
          </cell>
          <cell r="H4530" t="str">
            <v>as-as</v>
          </cell>
          <cell r="I4530" t="str">
            <v>sim</v>
          </cell>
          <cell r="V4530" t="str">
            <v>not</v>
          </cell>
          <cell r="Y4530" t="str">
            <v>Past</v>
          </cell>
          <cell r="Z4530">
            <v>3.36</v>
          </cell>
          <cell r="AA4530">
            <v>0</v>
          </cell>
          <cell r="AB4530">
            <v>0</v>
          </cell>
        </row>
        <row r="4531">
          <cell r="G4531" t="str">
            <v>X1535_1</v>
          </cell>
          <cell r="H4531" t="str">
            <v>as-as</v>
          </cell>
          <cell r="I4531" t="str">
            <v>sim</v>
          </cell>
          <cell r="V4531" t="str">
            <v>not</v>
          </cell>
          <cell r="Y4531" t="str">
            <v>Past</v>
          </cell>
          <cell r="Z4531">
            <v>3.36</v>
          </cell>
          <cell r="AA4531">
            <v>0</v>
          </cell>
          <cell r="AB4531">
            <v>0</v>
          </cell>
        </row>
        <row r="4532">
          <cell r="G4532" t="str">
            <v>X1536_0</v>
          </cell>
          <cell r="H4532" t="str">
            <v>the-of</v>
          </cell>
          <cell r="I4532" t="str">
            <v>sim</v>
          </cell>
          <cell r="V4532" t="str">
            <v>not neg pair</v>
          </cell>
          <cell r="Y4532" t="str">
            <v>Pres</v>
          </cell>
          <cell r="Z4532">
            <v>2.61</v>
          </cell>
          <cell r="AA4532" t="str">
            <v>L</v>
          </cell>
          <cell r="AB4532">
            <v>0</v>
          </cell>
        </row>
        <row r="4533">
          <cell r="G4533" t="str">
            <v>X1536_1</v>
          </cell>
          <cell r="H4533" t="str">
            <v>the-of</v>
          </cell>
          <cell r="I4533" t="str">
            <v>sim</v>
          </cell>
          <cell r="V4533" t="str">
            <v>not neg pair</v>
          </cell>
          <cell r="Y4533" t="str">
            <v>Pres</v>
          </cell>
          <cell r="Z4533">
            <v>4.1100000000000003</v>
          </cell>
          <cell r="AA4533">
            <v>0</v>
          </cell>
          <cell r="AB4533">
            <v>0</v>
          </cell>
        </row>
        <row r="4534">
          <cell r="G4534" t="str">
            <v>X1537_0</v>
          </cell>
          <cell r="H4534" t="str">
            <v>like</v>
          </cell>
          <cell r="I4534" t="str">
            <v>sim</v>
          </cell>
          <cell r="V4534" t="str">
            <v>not neg pair</v>
          </cell>
          <cell r="Y4534" t="str">
            <v>Pres</v>
          </cell>
          <cell r="Z4534">
            <v>4.72</v>
          </cell>
          <cell r="AA4534">
            <v>0</v>
          </cell>
          <cell r="AB4534">
            <v>0</v>
          </cell>
        </row>
        <row r="4535">
          <cell r="G4535" t="str">
            <v>X1537_1</v>
          </cell>
          <cell r="H4535" t="str">
            <v>like</v>
          </cell>
          <cell r="I4535" t="str">
            <v>sim</v>
          </cell>
          <cell r="V4535" t="str">
            <v>not neg pair</v>
          </cell>
          <cell r="Y4535" t="str">
            <v>Pres</v>
          </cell>
          <cell r="Z4535">
            <v>4.72</v>
          </cell>
          <cell r="AA4535">
            <v>0</v>
          </cell>
          <cell r="AB4535">
            <v>0</v>
          </cell>
        </row>
        <row r="4536">
          <cell r="G4536" t="str">
            <v>X1538_0</v>
          </cell>
          <cell r="H4536" t="str">
            <v>like</v>
          </cell>
          <cell r="I4536" t="str">
            <v>sim</v>
          </cell>
          <cell r="V4536" t="str">
            <v>not neg pair</v>
          </cell>
          <cell r="Y4536" t="str">
            <v>Pres</v>
          </cell>
          <cell r="Z4536">
            <v>4.7300000000000004</v>
          </cell>
          <cell r="AA4536">
            <v>0</v>
          </cell>
          <cell r="AB4536">
            <v>0</v>
          </cell>
        </row>
        <row r="4537">
          <cell r="G4537" t="str">
            <v>X1538_1</v>
          </cell>
          <cell r="H4537" t="str">
            <v>like</v>
          </cell>
          <cell r="I4537" t="str">
            <v>sim</v>
          </cell>
          <cell r="V4537" t="str">
            <v>not neg pair</v>
          </cell>
          <cell r="Y4537" t="str">
            <v>Pres</v>
          </cell>
          <cell r="Z4537">
            <v>4.7300000000000004</v>
          </cell>
          <cell r="AA4537">
            <v>0</v>
          </cell>
          <cell r="AB4537">
            <v>0</v>
          </cell>
        </row>
        <row r="4538">
          <cell r="G4538" t="str">
            <v>X1539_0</v>
          </cell>
          <cell r="H4538" t="str">
            <v>as-as</v>
          </cell>
          <cell r="I4538" t="str">
            <v>sim</v>
          </cell>
          <cell r="V4538" t="str">
            <v>not neg pair</v>
          </cell>
          <cell r="Y4538" t="str">
            <v>Pres</v>
          </cell>
          <cell r="Z4538">
            <v>0</v>
          </cell>
          <cell r="AA4538">
            <v>0</v>
          </cell>
          <cell r="AB4538">
            <v>0</v>
          </cell>
        </row>
        <row r="4539">
          <cell r="G4539" t="str">
            <v>X1539_1</v>
          </cell>
          <cell r="H4539" t="str">
            <v>as-as</v>
          </cell>
          <cell r="I4539" t="str">
            <v>sim</v>
          </cell>
          <cell r="V4539" t="str">
            <v>not neg pair</v>
          </cell>
          <cell r="Y4539" t="str">
            <v>Pres</v>
          </cell>
          <cell r="Z4539">
            <v>0</v>
          </cell>
          <cell r="AA4539">
            <v>0</v>
          </cell>
          <cell r="AB4539">
            <v>0</v>
          </cell>
        </row>
        <row r="4540">
          <cell r="G4540" t="str">
            <v>X1540_0</v>
          </cell>
          <cell r="H4540" t="str">
            <v>as-as</v>
          </cell>
          <cell r="I4540" t="str">
            <v>sim</v>
          </cell>
          <cell r="V4540" t="str">
            <v>antonym</v>
          </cell>
          <cell r="Y4540" t="str">
            <v>Past</v>
          </cell>
          <cell r="Z4540">
            <v>2.93</v>
          </cell>
          <cell r="AA4540">
            <v>0</v>
          </cell>
          <cell r="AB4540">
            <v>0</v>
          </cell>
        </row>
        <row r="4541">
          <cell r="G4541" t="str">
            <v>X1540_1</v>
          </cell>
          <cell r="H4541" t="str">
            <v>as-as</v>
          </cell>
          <cell r="I4541" t="str">
            <v>sim</v>
          </cell>
          <cell r="V4541" t="str">
            <v>antonym</v>
          </cell>
          <cell r="Y4541" t="str">
            <v>Past</v>
          </cell>
          <cell r="Z4541">
            <v>2.93</v>
          </cell>
          <cell r="AA4541">
            <v>0</v>
          </cell>
          <cell r="AB4541">
            <v>0</v>
          </cell>
        </row>
        <row r="4542">
          <cell r="G4542" t="str">
            <v>X1541_0</v>
          </cell>
          <cell r="H4542" t="str">
            <v>like</v>
          </cell>
          <cell r="I4542" t="str">
            <v>sim</v>
          </cell>
          <cell r="V4542" t="str">
            <v>not neg pair</v>
          </cell>
          <cell r="Y4542" t="str">
            <v>Pres</v>
          </cell>
          <cell r="Z4542">
            <v>4.46</v>
          </cell>
          <cell r="AA4542">
            <v>0</v>
          </cell>
          <cell r="AB4542">
            <v>0</v>
          </cell>
        </row>
        <row r="4543">
          <cell r="G4543" t="str">
            <v>X1541_1</v>
          </cell>
          <cell r="H4543" t="str">
            <v>like</v>
          </cell>
          <cell r="I4543" t="str">
            <v>sim</v>
          </cell>
          <cell r="V4543" t="str">
            <v>not neg pair</v>
          </cell>
          <cell r="Y4543" t="str">
            <v>Pres</v>
          </cell>
          <cell r="Z4543">
            <v>4.46</v>
          </cell>
          <cell r="AA4543">
            <v>0</v>
          </cell>
          <cell r="AB4543">
            <v>0</v>
          </cell>
        </row>
        <row r="4544">
          <cell r="G4544" t="str">
            <v>X1542_0</v>
          </cell>
          <cell r="H4544" t="str">
            <v>as-as</v>
          </cell>
          <cell r="I4544" t="str">
            <v>sim</v>
          </cell>
          <cell r="V4544" t="str">
            <v>antonym</v>
          </cell>
          <cell r="Y4544" t="str">
            <v>Past</v>
          </cell>
          <cell r="Z4544">
            <v>4.59</v>
          </cell>
          <cell r="AA4544">
            <v>0</v>
          </cell>
          <cell r="AB4544">
            <v>0</v>
          </cell>
        </row>
        <row r="4545">
          <cell r="G4545" t="str">
            <v>X1542_1</v>
          </cell>
          <cell r="H4545" t="str">
            <v>as-as</v>
          </cell>
          <cell r="I4545" t="str">
            <v>sim</v>
          </cell>
          <cell r="V4545" t="str">
            <v>antonym</v>
          </cell>
          <cell r="Y4545" t="str">
            <v>Past</v>
          </cell>
          <cell r="Z4545">
            <v>4.59</v>
          </cell>
          <cell r="AA4545">
            <v>0</v>
          </cell>
          <cell r="AB4545">
            <v>0</v>
          </cell>
        </row>
        <row r="4546">
          <cell r="G4546" t="str">
            <v>X1543_0</v>
          </cell>
          <cell r="H4546" t="str">
            <v>as-as</v>
          </cell>
          <cell r="I4546" t="str">
            <v>sim</v>
          </cell>
          <cell r="V4546" t="str">
            <v>antonym</v>
          </cell>
          <cell r="Y4546" t="str">
            <v>Past</v>
          </cell>
          <cell r="Z4546">
            <v>5</v>
          </cell>
          <cell r="AA4546" t="str">
            <v>H</v>
          </cell>
          <cell r="AB4546">
            <v>0</v>
          </cell>
        </row>
        <row r="4547">
          <cell r="G4547" t="str">
            <v>X1543_1</v>
          </cell>
          <cell r="H4547" t="str">
            <v>as-as</v>
          </cell>
          <cell r="I4547" t="str">
            <v>sim</v>
          </cell>
          <cell r="V4547" t="str">
            <v>antonym</v>
          </cell>
          <cell r="Y4547" t="str">
            <v>Past</v>
          </cell>
          <cell r="Z4547">
            <v>5</v>
          </cell>
          <cell r="AA4547" t="str">
            <v>H</v>
          </cell>
          <cell r="AB4547">
            <v>0</v>
          </cell>
        </row>
        <row r="4548">
          <cell r="G4548" t="str">
            <v>X1544_0</v>
          </cell>
          <cell r="H4548" t="str">
            <v>as-as</v>
          </cell>
          <cell r="I4548" t="str">
            <v>sim</v>
          </cell>
          <cell r="V4548" t="str">
            <v>antonym</v>
          </cell>
          <cell r="Y4548" t="str">
            <v>Past</v>
          </cell>
          <cell r="Z4548">
            <v>4.5</v>
          </cell>
          <cell r="AA4548">
            <v>0</v>
          </cell>
          <cell r="AB4548">
            <v>0</v>
          </cell>
        </row>
        <row r="4549">
          <cell r="G4549" t="str">
            <v>X1544_1</v>
          </cell>
          <cell r="H4549" t="str">
            <v>as-as</v>
          </cell>
          <cell r="I4549" t="str">
            <v>sim</v>
          </cell>
          <cell r="V4549" t="str">
            <v>antonym</v>
          </cell>
          <cell r="Y4549" t="str">
            <v>Past</v>
          </cell>
          <cell r="Z4549">
            <v>4.5</v>
          </cell>
          <cell r="AA4549">
            <v>0</v>
          </cell>
          <cell r="AB4549">
            <v>0</v>
          </cell>
        </row>
        <row r="4550">
          <cell r="G4550" t="str">
            <v>X1545_0</v>
          </cell>
          <cell r="H4550" t="str">
            <v>like</v>
          </cell>
          <cell r="I4550" t="str">
            <v>sim</v>
          </cell>
          <cell r="V4550" t="str">
            <v>not</v>
          </cell>
          <cell r="Y4550" t="str">
            <v>Past</v>
          </cell>
          <cell r="Z4550">
            <v>4.8499999999999996</v>
          </cell>
          <cell r="AA4550">
            <v>0</v>
          </cell>
          <cell r="AB4550">
            <v>0</v>
          </cell>
        </row>
        <row r="4551">
          <cell r="G4551" t="str">
            <v>X1545_1</v>
          </cell>
          <cell r="H4551" t="str">
            <v>like</v>
          </cell>
          <cell r="I4551" t="str">
            <v>sim</v>
          </cell>
          <cell r="V4551" t="str">
            <v>not</v>
          </cell>
          <cell r="Y4551" t="str">
            <v>Past</v>
          </cell>
          <cell r="Z4551">
            <v>4.8499999999999996</v>
          </cell>
          <cell r="AA4551">
            <v>0</v>
          </cell>
          <cell r="AB4551">
            <v>0</v>
          </cell>
        </row>
        <row r="4552">
          <cell r="G4552" t="str">
            <v>X1546_0</v>
          </cell>
          <cell r="H4552" t="str">
            <v/>
          </cell>
          <cell r="I4552" t="str">
            <v>met</v>
          </cell>
          <cell r="V4552" t="str">
            <v>0</v>
          </cell>
          <cell r="Y4552" t="str">
            <v>Past</v>
          </cell>
          <cell r="Z4552">
            <v>3.93</v>
          </cell>
          <cell r="AA4552">
            <v>0</v>
          </cell>
          <cell r="AB4552">
            <v>0</v>
          </cell>
        </row>
        <row r="4553">
          <cell r="G4553" t="str">
            <v>X1546_1</v>
          </cell>
          <cell r="H4553" t="str">
            <v/>
          </cell>
          <cell r="I4553" t="str">
            <v>met</v>
          </cell>
          <cell r="V4553" t="str">
            <v>0</v>
          </cell>
          <cell r="Y4553" t="str">
            <v>Past</v>
          </cell>
          <cell r="Z4553">
            <v>3.93</v>
          </cell>
          <cell r="AA4553">
            <v>0</v>
          </cell>
          <cell r="AB4553">
            <v>0</v>
          </cell>
        </row>
        <row r="4554">
          <cell r="G4554" t="str">
            <v>X1547_0</v>
          </cell>
          <cell r="H4554" t="str">
            <v>like</v>
          </cell>
          <cell r="I4554" t="str">
            <v>sim</v>
          </cell>
          <cell r="V4554" t="str">
            <v>not</v>
          </cell>
          <cell r="Y4554" t="str">
            <v>Past</v>
          </cell>
          <cell r="Z4554">
            <v>2.81</v>
          </cell>
          <cell r="AA4554">
            <v>0</v>
          </cell>
          <cell r="AB4554">
            <v>0</v>
          </cell>
        </row>
        <row r="4555">
          <cell r="G4555" t="str">
            <v>X1547_1</v>
          </cell>
          <cell r="H4555" t="str">
            <v>like</v>
          </cell>
          <cell r="I4555" t="str">
            <v>sim</v>
          </cell>
          <cell r="V4555" t="str">
            <v>not</v>
          </cell>
          <cell r="Y4555" t="str">
            <v>Past</v>
          </cell>
          <cell r="Z4555">
            <v>2.81</v>
          </cell>
          <cell r="AA4555">
            <v>0</v>
          </cell>
          <cell r="AB4555">
            <v>0</v>
          </cell>
        </row>
        <row r="4556">
          <cell r="G4556" t="str">
            <v>X1548_0</v>
          </cell>
          <cell r="H4556" t="str">
            <v>as-as</v>
          </cell>
          <cell r="I4556" t="str">
            <v>sim</v>
          </cell>
          <cell r="V4556" t="str">
            <v>antonym</v>
          </cell>
          <cell r="Y4556" t="str">
            <v>Past</v>
          </cell>
          <cell r="Z4556">
            <v>4.8499999999999996</v>
          </cell>
          <cell r="AA4556">
            <v>0</v>
          </cell>
          <cell r="AB4556">
            <v>0</v>
          </cell>
        </row>
        <row r="4557">
          <cell r="G4557" t="str">
            <v>X1548_1</v>
          </cell>
          <cell r="H4557" t="str">
            <v>as-as</v>
          </cell>
          <cell r="I4557" t="str">
            <v>sim</v>
          </cell>
          <cell r="V4557" t="str">
            <v>antonym</v>
          </cell>
          <cell r="Y4557" t="str">
            <v>Past</v>
          </cell>
          <cell r="Z4557">
            <v>4.8499999999999996</v>
          </cell>
          <cell r="AA4557">
            <v>0</v>
          </cell>
          <cell r="AB4557">
            <v>0</v>
          </cell>
        </row>
        <row r="4558">
          <cell r="G4558" t="str">
            <v>X1549_0</v>
          </cell>
          <cell r="H4558" t="str">
            <v/>
          </cell>
          <cell r="I4558" t="str">
            <v>met</v>
          </cell>
          <cell r="V4558" t="str">
            <v>0</v>
          </cell>
          <cell r="Y4558" t="str">
            <v>Past</v>
          </cell>
          <cell r="Z4558">
            <v>1.75</v>
          </cell>
          <cell r="AA4558" t="str">
            <v>L</v>
          </cell>
          <cell r="AB4558">
            <v>0</v>
          </cell>
        </row>
        <row r="4559">
          <cell r="G4559" t="str">
            <v>X1549_1</v>
          </cell>
          <cell r="H4559" t="str">
            <v/>
          </cell>
          <cell r="I4559" t="str">
            <v>met</v>
          </cell>
          <cell r="V4559" t="str">
            <v>0</v>
          </cell>
          <cell r="Y4559" t="str">
            <v>Past</v>
          </cell>
          <cell r="Z4559">
            <v>1.75</v>
          </cell>
          <cell r="AA4559" t="str">
            <v>L</v>
          </cell>
          <cell r="AB4559">
            <v>0</v>
          </cell>
        </row>
        <row r="4560">
          <cell r="G4560" t="str">
            <v>X1550_0</v>
          </cell>
          <cell r="H4560" t="str">
            <v>the-of</v>
          </cell>
          <cell r="I4560" t="str">
            <v>sim</v>
          </cell>
          <cell r="V4560" t="str">
            <v>not neg pair</v>
          </cell>
          <cell r="Y4560" t="str">
            <v>Past</v>
          </cell>
          <cell r="Z4560">
            <v>2.41</v>
          </cell>
          <cell r="AA4560" t="str">
            <v>L</v>
          </cell>
          <cell r="AB4560">
            <v>0</v>
          </cell>
        </row>
        <row r="4561">
          <cell r="G4561" t="str">
            <v>X1550_1</v>
          </cell>
          <cell r="H4561" t="str">
            <v>the-of</v>
          </cell>
          <cell r="I4561" t="str">
            <v>sim</v>
          </cell>
          <cell r="V4561" t="str">
            <v>not neg pair</v>
          </cell>
          <cell r="Y4561" t="str">
            <v>Past</v>
          </cell>
          <cell r="Z4561">
            <v>2.41</v>
          </cell>
          <cell r="AA4561" t="str">
            <v>L</v>
          </cell>
          <cell r="AB4561">
            <v>0</v>
          </cell>
        </row>
        <row r="4562">
          <cell r="G4562" t="str">
            <v>X1551_0</v>
          </cell>
          <cell r="H4562" t="str">
            <v>as</v>
          </cell>
          <cell r="I4562" t="str">
            <v>sim</v>
          </cell>
          <cell r="V4562" t="str">
            <v>not neg pair</v>
          </cell>
          <cell r="Y4562" t="str">
            <v>Pres</v>
          </cell>
          <cell r="Z4562">
            <v>4.75</v>
          </cell>
          <cell r="AA4562">
            <v>0</v>
          </cell>
          <cell r="AB4562">
            <v>0</v>
          </cell>
        </row>
        <row r="4563">
          <cell r="G4563" t="str">
            <v>X1551_1</v>
          </cell>
          <cell r="H4563" t="str">
            <v>as</v>
          </cell>
          <cell r="I4563" t="str">
            <v>sim</v>
          </cell>
          <cell r="V4563" t="str">
            <v>not neg pair</v>
          </cell>
          <cell r="Y4563" t="str">
            <v>Pres</v>
          </cell>
          <cell r="Z4563">
            <v>4.75</v>
          </cell>
          <cell r="AA4563">
            <v>0</v>
          </cell>
          <cell r="AB4563">
            <v>0</v>
          </cell>
        </row>
        <row r="4564">
          <cell r="G4564" t="str">
            <v>X1552_0</v>
          </cell>
          <cell r="H4564" t="str">
            <v>like</v>
          </cell>
          <cell r="I4564" t="str">
            <v>sim</v>
          </cell>
          <cell r="V4564" t="str">
            <v>not</v>
          </cell>
          <cell r="Y4564" t="str">
            <v>Pres</v>
          </cell>
          <cell r="Z4564">
            <v>3.79</v>
          </cell>
          <cell r="AA4564">
            <v>0</v>
          </cell>
          <cell r="AB4564">
            <v>0</v>
          </cell>
        </row>
        <row r="4565">
          <cell r="G4565" t="str">
            <v>X1552_1</v>
          </cell>
          <cell r="H4565" t="str">
            <v>like</v>
          </cell>
          <cell r="I4565" t="str">
            <v>sim</v>
          </cell>
          <cell r="V4565" t="str">
            <v>not</v>
          </cell>
          <cell r="Y4565" t="str">
            <v>Pres</v>
          </cell>
          <cell r="Z4565">
            <v>3.79</v>
          </cell>
          <cell r="AA4565">
            <v>0</v>
          </cell>
          <cell r="AB4565">
            <v>0</v>
          </cell>
        </row>
        <row r="4566">
          <cell r="G4566" t="str">
            <v>X1553_0</v>
          </cell>
          <cell r="H4566" t="str">
            <v>like</v>
          </cell>
          <cell r="I4566" t="str">
            <v>sim</v>
          </cell>
          <cell r="V4566" t="str">
            <v>not</v>
          </cell>
          <cell r="Y4566" t="str">
            <v>Pres</v>
          </cell>
          <cell r="Z4566">
            <v>4.8600000000000003</v>
          </cell>
          <cell r="AA4566">
            <v>0</v>
          </cell>
          <cell r="AB4566">
            <v>0</v>
          </cell>
        </row>
        <row r="4567">
          <cell r="G4567" t="str">
            <v>X1553_1</v>
          </cell>
          <cell r="H4567" t="str">
            <v>like</v>
          </cell>
          <cell r="I4567" t="str">
            <v>sim</v>
          </cell>
          <cell r="V4567" t="str">
            <v>not</v>
          </cell>
          <cell r="Y4567" t="str">
            <v>Pres</v>
          </cell>
          <cell r="Z4567">
            <v>0</v>
          </cell>
          <cell r="AA4567">
            <v>0</v>
          </cell>
          <cell r="AB4567">
            <v>0</v>
          </cell>
        </row>
        <row r="4568">
          <cell r="G4568" t="str">
            <v>X1554_0</v>
          </cell>
          <cell r="H4568" t="str">
            <v>as-as</v>
          </cell>
          <cell r="I4568" t="str">
            <v>sim</v>
          </cell>
          <cell r="V4568" t="str">
            <v>antonym</v>
          </cell>
          <cell r="Y4568" t="str">
            <v>Past</v>
          </cell>
          <cell r="Z4568">
            <v>3.63</v>
          </cell>
          <cell r="AA4568">
            <v>0</v>
          </cell>
          <cell r="AB4568">
            <v>0</v>
          </cell>
        </row>
        <row r="4569">
          <cell r="G4569" t="str">
            <v>X1554_1</v>
          </cell>
          <cell r="H4569" t="str">
            <v>as-as</v>
          </cell>
          <cell r="I4569" t="str">
            <v>sim</v>
          </cell>
          <cell r="V4569" t="str">
            <v>antonym</v>
          </cell>
          <cell r="Y4569" t="str">
            <v>Past</v>
          </cell>
          <cell r="Z4569">
            <v>1.43</v>
          </cell>
          <cell r="AA4569" t="str">
            <v>L</v>
          </cell>
          <cell r="AB4569">
            <v>0</v>
          </cell>
        </row>
        <row r="4570">
          <cell r="G4570" t="str">
            <v>X1555_0</v>
          </cell>
          <cell r="H4570" t="str">
            <v>as-as</v>
          </cell>
          <cell r="I4570" t="str">
            <v>sim</v>
          </cell>
          <cell r="V4570" t="str">
            <v>not</v>
          </cell>
          <cell r="Y4570" t="str">
            <v>Past</v>
          </cell>
          <cell r="Z4570">
            <v>2.93</v>
          </cell>
          <cell r="AA4570">
            <v>0</v>
          </cell>
          <cell r="AB4570">
            <v>0</v>
          </cell>
        </row>
        <row r="4571">
          <cell r="G4571" t="str">
            <v>X1555_1</v>
          </cell>
          <cell r="H4571" t="str">
            <v>as-as</v>
          </cell>
          <cell r="I4571" t="str">
            <v>sim</v>
          </cell>
          <cell r="V4571" t="str">
            <v>not</v>
          </cell>
          <cell r="Y4571" t="str">
            <v>Past</v>
          </cell>
          <cell r="Z4571">
            <v>2.93</v>
          </cell>
          <cell r="AA4571">
            <v>0</v>
          </cell>
          <cell r="AB4571">
            <v>0</v>
          </cell>
        </row>
        <row r="4572">
          <cell r="G4572" t="str">
            <v>X1556_0</v>
          </cell>
          <cell r="H4572" t="str">
            <v>as-as</v>
          </cell>
          <cell r="I4572" t="str">
            <v>sim</v>
          </cell>
          <cell r="V4572" t="str">
            <v>not</v>
          </cell>
          <cell r="Y4572" t="str">
            <v>Past</v>
          </cell>
          <cell r="Z4572">
            <v>2.93</v>
          </cell>
          <cell r="AA4572">
            <v>0</v>
          </cell>
          <cell r="AB4572">
            <v>0</v>
          </cell>
        </row>
        <row r="4573">
          <cell r="G4573" t="str">
            <v>X1556_1</v>
          </cell>
          <cell r="H4573" t="str">
            <v>as-as</v>
          </cell>
          <cell r="I4573" t="str">
            <v>sim</v>
          </cell>
          <cell r="V4573" t="str">
            <v>not</v>
          </cell>
          <cell r="Y4573" t="str">
            <v>Past</v>
          </cell>
          <cell r="Z4573">
            <v>2.93</v>
          </cell>
          <cell r="AA4573">
            <v>0</v>
          </cell>
          <cell r="AB4573">
            <v>0</v>
          </cell>
        </row>
        <row r="4574">
          <cell r="G4574" t="str">
            <v>X1557_0</v>
          </cell>
          <cell r="H4574" t="str">
            <v>the-of</v>
          </cell>
          <cell r="I4574" t="str">
            <v>sim</v>
          </cell>
          <cell r="V4574" t="str">
            <v>not neg pair</v>
          </cell>
          <cell r="Y4574" t="str">
            <v>Pres</v>
          </cell>
          <cell r="Z4574">
            <v>4.8600000000000003</v>
          </cell>
          <cell r="AA4574">
            <v>0</v>
          </cell>
          <cell r="AB4574">
            <v>0</v>
          </cell>
        </row>
        <row r="4575">
          <cell r="G4575" t="str">
            <v>X1557_1</v>
          </cell>
          <cell r="H4575" t="str">
            <v>the-of</v>
          </cell>
          <cell r="I4575" t="str">
            <v>sim</v>
          </cell>
          <cell r="V4575" t="str">
            <v>not neg pair</v>
          </cell>
          <cell r="Y4575" t="str">
            <v>Pres</v>
          </cell>
          <cell r="Z4575">
            <v>4.8600000000000003</v>
          </cell>
          <cell r="AA4575">
            <v>0</v>
          </cell>
          <cell r="AB4575">
            <v>0</v>
          </cell>
        </row>
        <row r="4576">
          <cell r="G4576" t="str">
            <v>X1558_0</v>
          </cell>
          <cell r="H4576" t="str">
            <v>the-of</v>
          </cell>
          <cell r="I4576" t="str">
            <v>sim</v>
          </cell>
          <cell r="V4576" t="str">
            <v>0</v>
          </cell>
          <cell r="Y4576" t="str">
            <v>Pres</v>
          </cell>
          <cell r="Z4576">
            <v>3.63</v>
          </cell>
          <cell r="AA4576">
            <v>0</v>
          </cell>
          <cell r="AB4576">
            <v>0</v>
          </cell>
        </row>
        <row r="4577">
          <cell r="G4577" t="str">
            <v>X1558_1</v>
          </cell>
          <cell r="H4577" t="str">
            <v/>
          </cell>
          <cell r="I4577" t="str">
            <v>met</v>
          </cell>
          <cell r="V4577" t="str">
            <v>0</v>
          </cell>
          <cell r="Y4577" t="str">
            <v>Pres</v>
          </cell>
          <cell r="Z4577">
            <v>3.63</v>
          </cell>
          <cell r="AA4577">
            <v>0</v>
          </cell>
          <cell r="AB4577">
            <v>0</v>
          </cell>
        </row>
        <row r="4578">
          <cell r="G4578" t="str">
            <v>X1559_0</v>
          </cell>
          <cell r="H4578" t="str">
            <v>the-of</v>
          </cell>
          <cell r="I4578" t="str">
            <v>sim</v>
          </cell>
          <cell r="V4578" t="str">
            <v>not neg pair</v>
          </cell>
          <cell r="Y4578" t="str">
            <v>Past</v>
          </cell>
          <cell r="Z4578">
            <v>3.36</v>
          </cell>
          <cell r="AA4578">
            <v>0</v>
          </cell>
          <cell r="AB4578">
            <v>0</v>
          </cell>
        </row>
        <row r="4579">
          <cell r="G4579" t="str">
            <v>X1559_1</v>
          </cell>
          <cell r="H4579" t="str">
            <v>the-of</v>
          </cell>
          <cell r="I4579" t="str">
            <v>sim</v>
          </cell>
          <cell r="V4579" t="str">
            <v>not neg pair</v>
          </cell>
          <cell r="Y4579" t="str">
            <v>Pres</v>
          </cell>
          <cell r="Z4579">
            <v>3.36</v>
          </cell>
          <cell r="AA4579">
            <v>0</v>
          </cell>
          <cell r="AB4579">
            <v>0</v>
          </cell>
        </row>
        <row r="4580">
          <cell r="G4580" t="str">
            <v>X1560_0</v>
          </cell>
          <cell r="H4580" t="str">
            <v/>
          </cell>
          <cell r="I4580" t="str">
            <v>met</v>
          </cell>
          <cell r="V4580" t="str">
            <v>0</v>
          </cell>
          <cell r="Y4580" t="str">
            <v>Pres</v>
          </cell>
          <cell r="Z4580">
            <v>3.07</v>
          </cell>
          <cell r="AA4580">
            <v>0</v>
          </cell>
          <cell r="AB4580">
            <v>0</v>
          </cell>
        </row>
        <row r="4581">
          <cell r="G4581" t="str">
            <v>X1560_1</v>
          </cell>
          <cell r="H4581" t="str">
            <v/>
          </cell>
          <cell r="I4581" t="str">
            <v>met</v>
          </cell>
          <cell r="V4581" t="str">
            <v>0</v>
          </cell>
          <cell r="Y4581" t="str">
            <v>Pres</v>
          </cell>
          <cell r="Z4581">
            <v>3.07</v>
          </cell>
          <cell r="AA4581">
            <v>0</v>
          </cell>
          <cell r="AB4581">
            <v>0</v>
          </cell>
        </row>
        <row r="4582">
          <cell r="G4582" t="str">
            <v>X1561_0</v>
          </cell>
          <cell r="H4582" t="str">
            <v>the-of</v>
          </cell>
          <cell r="I4582" t="str">
            <v>sim</v>
          </cell>
          <cell r="V4582" t="str">
            <v>not neg pair</v>
          </cell>
          <cell r="Y4582" t="str">
            <v>Pres</v>
          </cell>
          <cell r="Z4582">
            <v>4.92</v>
          </cell>
          <cell r="AA4582" t="str">
            <v>H</v>
          </cell>
          <cell r="AB4582">
            <v>0</v>
          </cell>
        </row>
        <row r="4583">
          <cell r="G4583" t="str">
            <v>X1561_1</v>
          </cell>
          <cell r="H4583" t="str">
            <v>the-of</v>
          </cell>
          <cell r="I4583" t="str">
            <v>sim</v>
          </cell>
          <cell r="V4583" t="str">
            <v>not neg pair</v>
          </cell>
          <cell r="Y4583" t="str">
            <v>Pres</v>
          </cell>
          <cell r="Z4583">
            <v>4.92</v>
          </cell>
          <cell r="AA4583" t="str">
            <v>H</v>
          </cell>
          <cell r="AB4583">
            <v>0</v>
          </cell>
        </row>
        <row r="4584">
          <cell r="G4584" t="str">
            <v>X1562_0</v>
          </cell>
          <cell r="H4584" t="str">
            <v>the-of</v>
          </cell>
          <cell r="I4584" t="str">
            <v>sim</v>
          </cell>
          <cell r="V4584" t="str">
            <v>not neg pair</v>
          </cell>
          <cell r="Y4584" t="str">
            <v>Pres</v>
          </cell>
          <cell r="Z4584">
            <v>4.8499999999999996</v>
          </cell>
          <cell r="AA4584">
            <v>0</v>
          </cell>
          <cell r="AB4584">
            <v>0</v>
          </cell>
        </row>
        <row r="4585">
          <cell r="G4585" t="str">
            <v>X1562_1</v>
          </cell>
          <cell r="H4585" t="str">
            <v>the-of</v>
          </cell>
          <cell r="I4585" t="str">
            <v>sim</v>
          </cell>
          <cell r="V4585" t="str">
            <v>not neg pair</v>
          </cell>
          <cell r="Y4585" t="str">
            <v>Pres</v>
          </cell>
          <cell r="Z4585">
            <v>4.8499999999999996</v>
          </cell>
          <cell r="AA4585">
            <v>0</v>
          </cell>
          <cell r="AB4585">
            <v>0</v>
          </cell>
        </row>
        <row r="4586">
          <cell r="G4586" t="str">
            <v>X1563_0</v>
          </cell>
          <cell r="H4586" t="str">
            <v>as-as</v>
          </cell>
          <cell r="I4586" t="str">
            <v>sim</v>
          </cell>
          <cell r="V4586" t="str">
            <v>not neg pair</v>
          </cell>
          <cell r="Y4586" t="str">
            <v>Pres</v>
          </cell>
          <cell r="Z4586">
            <v>4.1100000000000003</v>
          </cell>
          <cell r="AA4586">
            <v>0</v>
          </cell>
          <cell r="AB4586">
            <v>0</v>
          </cell>
        </row>
        <row r="4587">
          <cell r="G4587" t="str">
            <v>X1563_1</v>
          </cell>
          <cell r="H4587" t="str">
            <v>as-as</v>
          </cell>
          <cell r="I4587" t="str">
            <v>sim</v>
          </cell>
          <cell r="V4587" t="str">
            <v>not neg pair</v>
          </cell>
          <cell r="Y4587" t="str">
            <v>Pres</v>
          </cell>
          <cell r="Z4587">
            <v>2.39</v>
          </cell>
          <cell r="AA4587" t="str">
            <v>L</v>
          </cell>
          <cell r="AB4587">
            <v>0</v>
          </cell>
        </row>
        <row r="4588">
          <cell r="G4588" t="str">
            <v>X1564_0</v>
          </cell>
          <cell r="H4588" t="str">
            <v>as-as</v>
          </cell>
          <cell r="I4588" t="str">
            <v>sim</v>
          </cell>
          <cell r="V4588" t="str">
            <v>antonym</v>
          </cell>
          <cell r="Y4588" t="str">
            <v>Past</v>
          </cell>
          <cell r="Z4588">
            <v>4.76</v>
          </cell>
          <cell r="AA4588">
            <v>0</v>
          </cell>
          <cell r="AB4588">
            <v>0</v>
          </cell>
        </row>
        <row r="4589">
          <cell r="G4589" t="str">
            <v>X1564_1</v>
          </cell>
          <cell r="H4589" t="str">
            <v>as-as</v>
          </cell>
          <cell r="I4589" t="str">
            <v>sim</v>
          </cell>
          <cell r="V4589" t="str">
            <v>antonym</v>
          </cell>
          <cell r="Y4589" t="str">
            <v>Past</v>
          </cell>
          <cell r="Z4589">
            <v>4.76</v>
          </cell>
          <cell r="AA4589">
            <v>0</v>
          </cell>
          <cell r="AB4589">
            <v>0</v>
          </cell>
        </row>
        <row r="4590">
          <cell r="G4590" t="str">
            <v>X1565_0</v>
          </cell>
          <cell r="H4590" t="str">
            <v>like</v>
          </cell>
          <cell r="I4590" t="str">
            <v>sim</v>
          </cell>
          <cell r="V4590" t="str">
            <v>not neg pair</v>
          </cell>
          <cell r="Y4590" t="str">
            <v>Past</v>
          </cell>
          <cell r="Z4590">
            <v>3.93</v>
          </cell>
          <cell r="AA4590">
            <v>0</v>
          </cell>
          <cell r="AB4590">
            <v>0</v>
          </cell>
        </row>
        <row r="4591">
          <cell r="G4591" t="str">
            <v>X1565_1</v>
          </cell>
          <cell r="H4591" t="str">
            <v>like</v>
          </cell>
          <cell r="I4591" t="str">
            <v>sim</v>
          </cell>
          <cell r="V4591" t="str">
            <v>not neg pair</v>
          </cell>
          <cell r="Y4591" t="str">
            <v>Past</v>
          </cell>
          <cell r="Z4591">
            <v>3.93</v>
          </cell>
          <cell r="AA4591">
            <v>0</v>
          </cell>
          <cell r="AB4591">
            <v>0</v>
          </cell>
        </row>
        <row r="4592">
          <cell r="G4592" t="str">
            <v>X1566_0</v>
          </cell>
          <cell r="H4592" t="str">
            <v>like</v>
          </cell>
          <cell r="I4592" t="str">
            <v>sim</v>
          </cell>
          <cell r="V4592" t="str">
            <v>not</v>
          </cell>
          <cell r="Y4592" t="str">
            <v>Past</v>
          </cell>
          <cell r="Z4592">
            <v>2.81</v>
          </cell>
          <cell r="AA4592">
            <v>0</v>
          </cell>
          <cell r="AB4592">
            <v>0</v>
          </cell>
        </row>
        <row r="4593">
          <cell r="G4593" t="str">
            <v>X1566_1</v>
          </cell>
          <cell r="H4593" t="str">
            <v>like</v>
          </cell>
          <cell r="I4593" t="str">
            <v>sim</v>
          </cell>
          <cell r="V4593" t="str">
            <v>not</v>
          </cell>
          <cell r="Y4593" t="str">
            <v>Past</v>
          </cell>
          <cell r="Z4593">
            <v>2.81</v>
          </cell>
          <cell r="AA4593">
            <v>0</v>
          </cell>
          <cell r="AB4593">
            <v>0</v>
          </cell>
        </row>
        <row r="4594">
          <cell r="G4594" t="str">
            <v>X1567_0</v>
          </cell>
          <cell r="H4594" t="str">
            <v>like</v>
          </cell>
          <cell r="I4594" t="str">
            <v>sim</v>
          </cell>
          <cell r="V4594" t="str">
            <v>not neg pair</v>
          </cell>
          <cell r="Y4594" t="str">
            <v>Past</v>
          </cell>
          <cell r="Z4594">
            <v>4.79</v>
          </cell>
          <cell r="AA4594">
            <v>0</v>
          </cell>
          <cell r="AB4594">
            <v>0</v>
          </cell>
        </row>
        <row r="4595">
          <cell r="G4595" t="str">
            <v>X1567_1</v>
          </cell>
          <cell r="H4595" t="str">
            <v>like</v>
          </cell>
          <cell r="I4595" t="str">
            <v>sim</v>
          </cell>
          <cell r="V4595" t="str">
            <v>not neg pair</v>
          </cell>
          <cell r="Y4595" t="str">
            <v>Past</v>
          </cell>
          <cell r="Z4595">
            <v>4.79</v>
          </cell>
          <cell r="AA4595">
            <v>0</v>
          </cell>
          <cell r="AB4595">
            <v>0</v>
          </cell>
        </row>
        <row r="4596">
          <cell r="G4596" t="str">
            <v>X1568_0</v>
          </cell>
          <cell r="H4596" t="str">
            <v>like</v>
          </cell>
          <cell r="I4596" t="str">
            <v>sim</v>
          </cell>
          <cell r="V4596" t="str">
            <v>not</v>
          </cell>
          <cell r="Y4596" t="str">
            <v>Past</v>
          </cell>
          <cell r="Z4596">
            <v>3.93</v>
          </cell>
          <cell r="AA4596">
            <v>0</v>
          </cell>
          <cell r="AB4596">
            <v>0</v>
          </cell>
        </row>
        <row r="4597">
          <cell r="G4597" t="str">
            <v>X1568_1</v>
          </cell>
          <cell r="H4597" t="str">
            <v>like</v>
          </cell>
          <cell r="I4597" t="str">
            <v>sim</v>
          </cell>
          <cell r="V4597" t="str">
            <v>not</v>
          </cell>
          <cell r="Y4597" t="str">
            <v>Past</v>
          </cell>
          <cell r="Z4597">
            <v>3.93</v>
          </cell>
          <cell r="AA4597">
            <v>0</v>
          </cell>
          <cell r="AB4597">
            <v>0</v>
          </cell>
        </row>
        <row r="4598">
          <cell r="G4598" t="str">
            <v>X1569_0</v>
          </cell>
          <cell r="H4598" t="str">
            <v>as-as</v>
          </cell>
          <cell r="I4598" t="str">
            <v>sim</v>
          </cell>
          <cell r="V4598" t="str">
            <v>antonym</v>
          </cell>
          <cell r="Y4598" t="str">
            <v>Past</v>
          </cell>
          <cell r="Z4598">
            <v>3.4</v>
          </cell>
          <cell r="AA4598">
            <v>0</v>
          </cell>
          <cell r="AB4598">
            <v>0</v>
          </cell>
        </row>
        <row r="4599">
          <cell r="G4599" t="str">
            <v>X1569_1</v>
          </cell>
          <cell r="H4599" t="str">
            <v>as-as</v>
          </cell>
          <cell r="I4599" t="str">
            <v>sim</v>
          </cell>
          <cell r="V4599" t="str">
            <v>antonym</v>
          </cell>
          <cell r="Y4599" t="str">
            <v>Past</v>
          </cell>
          <cell r="Z4599">
            <v>3.4</v>
          </cell>
          <cell r="AA4599">
            <v>0</v>
          </cell>
          <cell r="AB4599">
            <v>0</v>
          </cell>
        </row>
        <row r="4600">
          <cell r="G4600" t="str">
            <v>X1570_0</v>
          </cell>
          <cell r="H4600" t="str">
            <v>as-as</v>
          </cell>
          <cell r="I4600" t="str">
            <v>sim</v>
          </cell>
          <cell r="V4600" t="str">
            <v>antonym</v>
          </cell>
          <cell r="Y4600" t="str">
            <v>Past</v>
          </cell>
          <cell r="Z4600">
            <v>1.61</v>
          </cell>
          <cell r="AA4600" t="str">
            <v>L</v>
          </cell>
          <cell r="AB4600">
            <v>0</v>
          </cell>
        </row>
        <row r="4601">
          <cell r="G4601" t="str">
            <v>X1570_1</v>
          </cell>
          <cell r="H4601" t="str">
            <v>as-as</v>
          </cell>
          <cell r="I4601" t="str">
            <v>sim</v>
          </cell>
          <cell r="V4601" t="str">
            <v>antonym</v>
          </cell>
          <cell r="Y4601" t="str">
            <v>Past</v>
          </cell>
          <cell r="Z4601">
            <v>1.61</v>
          </cell>
          <cell r="AA4601" t="str">
            <v>L</v>
          </cell>
          <cell r="AB4601">
            <v>0</v>
          </cell>
        </row>
        <row r="4602">
          <cell r="G4602" t="str">
            <v>X1571_0</v>
          </cell>
          <cell r="H4602" t="str">
            <v>the-of</v>
          </cell>
          <cell r="I4602" t="str">
            <v>sim</v>
          </cell>
          <cell r="V4602" t="str">
            <v>not neg pair</v>
          </cell>
          <cell r="Y4602" t="str">
            <v>Past</v>
          </cell>
          <cell r="Z4602">
            <v>5</v>
          </cell>
          <cell r="AA4602" t="str">
            <v>H</v>
          </cell>
          <cell r="AB4602">
            <v>0</v>
          </cell>
        </row>
        <row r="4603">
          <cell r="G4603" t="str">
            <v>X1571_1</v>
          </cell>
          <cell r="H4603" t="str">
            <v>the-of</v>
          </cell>
          <cell r="I4603" t="str">
            <v>sim</v>
          </cell>
          <cell r="V4603" t="str">
            <v>not neg pair</v>
          </cell>
          <cell r="Y4603" t="str">
            <v>Past</v>
          </cell>
          <cell r="Z4603">
            <v>5</v>
          </cell>
          <cell r="AA4603" t="str">
            <v>H</v>
          </cell>
          <cell r="AB4603">
            <v>0</v>
          </cell>
        </row>
        <row r="4604">
          <cell r="G4604" t="str">
            <v>X1572_0</v>
          </cell>
          <cell r="H4604" t="str">
            <v>as-as</v>
          </cell>
          <cell r="I4604" t="str">
            <v>sim</v>
          </cell>
          <cell r="V4604" t="str">
            <v>not neg pair</v>
          </cell>
          <cell r="Y4604" t="str">
            <v>Past</v>
          </cell>
          <cell r="Z4604">
            <v>2.81</v>
          </cell>
          <cell r="AA4604">
            <v>0</v>
          </cell>
          <cell r="AB4604">
            <v>0</v>
          </cell>
        </row>
        <row r="4605">
          <cell r="G4605" t="str">
            <v>X1572_1</v>
          </cell>
          <cell r="H4605" t="str">
            <v>as-as</v>
          </cell>
          <cell r="I4605" t="str">
            <v>sim</v>
          </cell>
          <cell r="V4605" t="str">
            <v>not neg pair</v>
          </cell>
          <cell r="Y4605" t="str">
            <v>Past</v>
          </cell>
          <cell r="Z4605">
            <v>2.81</v>
          </cell>
          <cell r="AA4605">
            <v>0</v>
          </cell>
          <cell r="AB4605">
            <v>0</v>
          </cell>
        </row>
        <row r="4606">
          <cell r="G4606" t="str">
            <v>X1573_0</v>
          </cell>
          <cell r="H4606" t="str">
            <v>as-as</v>
          </cell>
          <cell r="I4606" t="str">
            <v>sim</v>
          </cell>
          <cell r="V4606" t="str">
            <v>not neg pair</v>
          </cell>
          <cell r="Y4606" t="str">
            <v>Past</v>
          </cell>
          <cell r="Z4606">
            <v>2.81</v>
          </cell>
          <cell r="AA4606">
            <v>0</v>
          </cell>
          <cell r="AB4606">
            <v>0</v>
          </cell>
        </row>
        <row r="4607">
          <cell r="G4607" t="str">
            <v>X1573_1</v>
          </cell>
          <cell r="H4607" t="str">
            <v>as-as</v>
          </cell>
          <cell r="I4607" t="str">
            <v>sim</v>
          </cell>
          <cell r="V4607" t="str">
            <v>not neg pair</v>
          </cell>
          <cell r="Y4607" t="str">
            <v>Past</v>
          </cell>
          <cell r="Z4607">
            <v>2.81</v>
          </cell>
          <cell r="AA4607">
            <v>0</v>
          </cell>
          <cell r="AB4607">
            <v>0</v>
          </cell>
        </row>
        <row r="4608">
          <cell r="G4608" t="str">
            <v>X1574_0</v>
          </cell>
          <cell r="H4608" t="str">
            <v>the-of</v>
          </cell>
          <cell r="I4608" t="str">
            <v>sim</v>
          </cell>
          <cell r="V4608" t="str">
            <v>not neg pair</v>
          </cell>
          <cell r="Y4608" t="str">
            <v>Pres</v>
          </cell>
          <cell r="Z4608">
            <v>4.75</v>
          </cell>
          <cell r="AA4608">
            <v>0</v>
          </cell>
          <cell r="AB4608">
            <v>0</v>
          </cell>
        </row>
        <row r="4609">
          <cell r="G4609" t="str">
            <v>X1574_1</v>
          </cell>
          <cell r="H4609" t="str">
            <v>the-of</v>
          </cell>
          <cell r="I4609" t="str">
            <v>sim</v>
          </cell>
          <cell r="V4609" t="str">
            <v>not neg pair</v>
          </cell>
          <cell r="Y4609" t="str">
            <v>Pres</v>
          </cell>
          <cell r="Z4609">
            <v>4.75</v>
          </cell>
          <cell r="AA4609">
            <v>0</v>
          </cell>
          <cell r="AB4609">
            <v>0</v>
          </cell>
        </row>
        <row r="4610">
          <cell r="G4610" t="str">
            <v>X1575_0</v>
          </cell>
          <cell r="H4610" t="str">
            <v>as-as</v>
          </cell>
          <cell r="I4610" t="str">
            <v>sim</v>
          </cell>
          <cell r="V4610" t="str">
            <v>not neg pair</v>
          </cell>
          <cell r="Y4610" t="str">
            <v>Pres</v>
          </cell>
          <cell r="Z4610">
            <v>3.93</v>
          </cell>
          <cell r="AA4610">
            <v>0</v>
          </cell>
          <cell r="AB4610">
            <v>0</v>
          </cell>
        </row>
        <row r="4611">
          <cell r="G4611" t="str">
            <v>X1575_1</v>
          </cell>
          <cell r="H4611" t="str">
            <v>as-as</v>
          </cell>
          <cell r="I4611" t="str">
            <v>sim</v>
          </cell>
          <cell r="V4611" t="str">
            <v>not neg pair</v>
          </cell>
          <cell r="Y4611" t="str">
            <v>Pres</v>
          </cell>
          <cell r="Z4611">
            <v>3.93</v>
          </cell>
          <cell r="AA4611">
            <v>0</v>
          </cell>
          <cell r="AB4611">
            <v>0</v>
          </cell>
        </row>
        <row r="4612">
          <cell r="G4612" t="str">
            <v>X1576_0</v>
          </cell>
          <cell r="H4612" t="str">
            <v>as-as</v>
          </cell>
          <cell r="I4612" t="str">
            <v>sim</v>
          </cell>
          <cell r="V4612" t="str">
            <v>antonym</v>
          </cell>
          <cell r="Y4612" t="str">
            <v>Pres</v>
          </cell>
          <cell r="Z4612">
            <v>4.6399999999999997</v>
          </cell>
          <cell r="AA4612">
            <v>0</v>
          </cell>
          <cell r="AB4612">
            <v>0</v>
          </cell>
        </row>
        <row r="4613">
          <cell r="G4613" t="str">
            <v>X1576_1</v>
          </cell>
          <cell r="H4613" t="str">
            <v>as-as</v>
          </cell>
          <cell r="I4613" t="str">
            <v>sim</v>
          </cell>
          <cell r="V4613" t="str">
            <v>antonym</v>
          </cell>
          <cell r="Y4613" t="str">
            <v>Pres</v>
          </cell>
          <cell r="Z4613">
            <v>4.6399999999999997</v>
          </cell>
          <cell r="AA4613">
            <v>0</v>
          </cell>
          <cell r="AB4613">
            <v>0</v>
          </cell>
        </row>
        <row r="4614">
          <cell r="G4614" t="str">
            <v>X1577_0</v>
          </cell>
          <cell r="H4614" t="str">
            <v>as-as</v>
          </cell>
          <cell r="I4614" t="str">
            <v>sim</v>
          </cell>
          <cell r="V4614" t="str">
            <v>not neg pair</v>
          </cell>
          <cell r="Y4614" t="str">
            <v>Past</v>
          </cell>
          <cell r="Z4614">
            <v>4.9000000000000004</v>
          </cell>
          <cell r="AA4614">
            <v>0</v>
          </cell>
          <cell r="AB4614">
            <v>0</v>
          </cell>
        </row>
        <row r="4615">
          <cell r="G4615" t="str">
            <v>X1577_1</v>
          </cell>
          <cell r="H4615" t="str">
            <v>as-as</v>
          </cell>
          <cell r="I4615" t="str">
            <v>sim</v>
          </cell>
          <cell r="V4615" t="str">
            <v>not neg pair</v>
          </cell>
          <cell r="Y4615" t="str">
            <v>Past</v>
          </cell>
          <cell r="Z4615">
            <v>4.9000000000000004</v>
          </cell>
          <cell r="AA4615">
            <v>0</v>
          </cell>
          <cell r="AB4615">
            <v>0</v>
          </cell>
        </row>
        <row r="4616">
          <cell r="G4616" t="str">
            <v>X1578_0</v>
          </cell>
          <cell r="H4616" t="str">
            <v>as-as</v>
          </cell>
          <cell r="I4616" t="str">
            <v>sim</v>
          </cell>
          <cell r="V4616" t="str">
            <v>antonym</v>
          </cell>
          <cell r="Y4616" t="str">
            <v>Past</v>
          </cell>
          <cell r="Z4616">
            <v>4.6900000000000004</v>
          </cell>
          <cell r="AA4616">
            <v>0</v>
          </cell>
          <cell r="AB4616">
            <v>0</v>
          </cell>
        </row>
        <row r="4617">
          <cell r="G4617" t="str">
            <v>X1578_1</v>
          </cell>
          <cell r="H4617" t="str">
            <v>as-as</v>
          </cell>
          <cell r="I4617" t="str">
            <v>sim</v>
          </cell>
          <cell r="V4617" t="str">
            <v>antonym</v>
          </cell>
          <cell r="Y4617" t="str">
            <v>Pres</v>
          </cell>
          <cell r="Z4617">
            <v>4.6900000000000004</v>
          </cell>
          <cell r="AA4617">
            <v>0</v>
          </cell>
          <cell r="AB4617">
            <v>0</v>
          </cell>
        </row>
        <row r="4618">
          <cell r="G4618" t="str">
            <v>X1579_0</v>
          </cell>
          <cell r="H4618" t="str">
            <v>the-of</v>
          </cell>
          <cell r="I4618" t="str">
            <v>sim</v>
          </cell>
          <cell r="V4618" t="str">
            <v>not neg pair</v>
          </cell>
          <cell r="Y4618" t="str">
            <v>Pres</v>
          </cell>
          <cell r="Z4618">
            <v>3.36</v>
          </cell>
          <cell r="AA4618">
            <v>0</v>
          </cell>
          <cell r="AB4618">
            <v>0</v>
          </cell>
        </row>
        <row r="4619">
          <cell r="G4619" t="str">
            <v>X1579_1</v>
          </cell>
          <cell r="H4619" t="str">
            <v>the-of</v>
          </cell>
          <cell r="I4619" t="str">
            <v>sim</v>
          </cell>
          <cell r="V4619" t="str">
            <v>not neg pair</v>
          </cell>
          <cell r="Y4619" t="str">
            <v>Pres</v>
          </cell>
          <cell r="Z4619">
            <v>3.36</v>
          </cell>
          <cell r="AA4619">
            <v>0</v>
          </cell>
          <cell r="AB4619">
            <v>0</v>
          </cell>
        </row>
        <row r="4620">
          <cell r="G4620" t="str">
            <v>X1580_0</v>
          </cell>
          <cell r="H4620" t="str">
            <v>as</v>
          </cell>
          <cell r="I4620" t="str">
            <v>sim</v>
          </cell>
          <cell r="V4620" t="str">
            <v>not neg pair</v>
          </cell>
          <cell r="Y4620" t="str">
            <v>Pres</v>
          </cell>
          <cell r="Z4620">
            <v>3.93</v>
          </cell>
          <cell r="AA4620">
            <v>0</v>
          </cell>
          <cell r="AB4620">
            <v>0</v>
          </cell>
        </row>
        <row r="4621">
          <cell r="G4621" t="str">
            <v>X1580_1</v>
          </cell>
          <cell r="H4621" t="str">
            <v>as</v>
          </cell>
          <cell r="I4621" t="str">
            <v>sim</v>
          </cell>
          <cell r="V4621" t="str">
            <v>not neg pair</v>
          </cell>
          <cell r="Y4621" t="str">
            <v>Pres</v>
          </cell>
          <cell r="Z4621">
            <v>3.93</v>
          </cell>
          <cell r="AA4621">
            <v>0</v>
          </cell>
          <cell r="AB4621">
            <v>0</v>
          </cell>
        </row>
        <row r="4622">
          <cell r="G4622" t="str">
            <v>X1581_0</v>
          </cell>
          <cell r="H4622" t="str">
            <v/>
          </cell>
          <cell r="I4622" t="str">
            <v>met</v>
          </cell>
          <cell r="V4622" t="str">
            <v>0</v>
          </cell>
          <cell r="Y4622" t="str">
            <v>Past</v>
          </cell>
          <cell r="Z4622">
            <v>4.45</v>
          </cell>
          <cell r="AA4622">
            <v>0</v>
          </cell>
          <cell r="AB4622">
            <v>0</v>
          </cell>
        </row>
        <row r="4623">
          <cell r="G4623" t="str">
            <v>X1581_1</v>
          </cell>
          <cell r="H4623" t="str">
            <v/>
          </cell>
          <cell r="I4623" t="str">
            <v>met</v>
          </cell>
          <cell r="V4623" t="str">
            <v>0</v>
          </cell>
          <cell r="Y4623" t="str">
            <v>Past</v>
          </cell>
          <cell r="Z4623">
            <v>4.45</v>
          </cell>
          <cell r="AA4623">
            <v>0</v>
          </cell>
          <cell r="AB4623">
            <v>0</v>
          </cell>
        </row>
        <row r="4624">
          <cell r="G4624" t="str">
            <v>X1582_0</v>
          </cell>
          <cell r="H4624" t="str">
            <v>the-of</v>
          </cell>
          <cell r="I4624" t="str">
            <v>sim</v>
          </cell>
          <cell r="V4624" t="str">
            <v>not neg pair</v>
          </cell>
          <cell r="Y4624" t="str">
            <v>Pres</v>
          </cell>
          <cell r="Z4624">
            <v>4.84</v>
          </cell>
          <cell r="AA4624">
            <v>0</v>
          </cell>
          <cell r="AB4624">
            <v>0</v>
          </cell>
        </row>
        <row r="4625">
          <cell r="G4625" t="str">
            <v>X1582_1</v>
          </cell>
          <cell r="H4625" t="str">
            <v>the-of</v>
          </cell>
          <cell r="I4625" t="str">
            <v>sim</v>
          </cell>
          <cell r="V4625" t="str">
            <v>not neg pair</v>
          </cell>
          <cell r="Y4625" t="str">
            <v>Pres</v>
          </cell>
          <cell r="Z4625">
            <v>4.84</v>
          </cell>
          <cell r="AA4625">
            <v>0</v>
          </cell>
          <cell r="AB4625">
            <v>0</v>
          </cell>
        </row>
        <row r="4626">
          <cell r="G4626" t="str">
            <v>X1583_0</v>
          </cell>
          <cell r="H4626" t="str">
            <v/>
          </cell>
          <cell r="I4626" t="str">
            <v>met</v>
          </cell>
          <cell r="V4626" t="str">
            <v>0</v>
          </cell>
          <cell r="Y4626" t="str">
            <v>Pres</v>
          </cell>
          <cell r="Z4626">
            <v>3.71</v>
          </cell>
          <cell r="AA4626">
            <v>0</v>
          </cell>
          <cell r="AB4626">
            <v>0</v>
          </cell>
        </row>
        <row r="4627">
          <cell r="G4627" t="str">
            <v>X1583_1</v>
          </cell>
          <cell r="H4627" t="str">
            <v/>
          </cell>
          <cell r="I4627" t="str">
            <v>met</v>
          </cell>
          <cell r="V4627" t="str">
            <v>0</v>
          </cell>
          <cell r="Y4627" t="str">
            <v>Pres</v>
          </cell>
          <cell r="Z4627">
            <v>3.71</v>
          </cell>
          <cell r="AA4627">
            <v>0</v>
          </cell>
          <cell r="AB4627">
            <v>0</v>
          </cell>
        </row>
        <row r="4628">
          <cell r="G4628" t="str">
            <v>X1584_0</v>
          </cell>
          <cell r="H4628" t="str">
            <v>the-of</v>
          </cell>
          <cell r="I4628" t="str">
            <v>sim</v>
          </cell>
          <cell r="V4628" t="str">
            <v>not neg pair</v>
          </cell>
          <cell r="Y4628" t="str">
            <v>Pres</v>
          </cell>
          <cell r="Z4628">
            <v>4.84</v>
          </cell>
          <cell r="AA4628">
            <v>0</v>
          </cell>
          <cell r="AB4628">
            <v>0</v>
          </cell>
        </row>
        <row r="4629">
          <cell r="G4629" t="str">
            <v>X1584_1</v>
          </cell>
          <cell r="H4629" t="str">
            <v>the-of</v>
          </cell>
          <cell r="I4629" t="str">
            <v>sim</v>
          </cell>
          <cell r="V4629" t="str">
            <v>not neg pair</v>
          </cell>
          <cell r="Y4629" t="str">
            <v>Pres</v>
          </cell>
          <cell r="Z4629">
            <v>4.84</v>
          </cell>
          <cell r="AA4629">
            <v>0</v>
          </cell>
          <cell r="AB4629">
            <v>0</v>
          </cell>
        </row>
        <row r="4630">
          <cell r="G4630" t="str">
            <v>X1585_0</v>
          </cell>
          <cell r="H4630" t="str">
            <v>the-of</v>
          </cell>
          <cell r="I4630" t="str">
            <v>sim</v>
          </cell>
          <cell r="V4630" t="str">
            <v>not neg pair</v>
          </cell>
          <cell r="Y4630" t="str">
            <v>Pres</v>
          </cell>
          <cell r="Z4630">
            <v>4.5199999999999996</v>
          </cell>
          <cell r="AA4630">
            <v>0</v>
          </cell>
          <cell r="AB4630">
            <v>0</v>
          </cell>
        </row>
        <row r="4631">
          <cell r="G4631" t="str">
            <v>X1585_1</v>
          </cell>
          <cell r="H4631" t="str">
            <v>the-of</v>
          </cell>
          <cell r="I4631" t="str">
            <v>sim</v>
          </cell>
          <cell r="V4631" t="str">
            <v>not neg pair</v>
          </cell>
          <cell r="Y4631" t="str">
            <v>Pres</v>
          </cell>
          <cell r="Z4631">
            <v>4.5199999999999996</v>
          </cell>
          <cell r="AA4631">
            <v>0</v>
          </cell>
          <cell r="AB4631">
            <v>0</v>
          </cell>
        </row>
        <row r="4632">
          <cell r="G4632" t="str">
            <v>X1586_0</v>
          </cell>
          <cell r="H4632" t="str">
            <v>the-of</v>
          </cell>
          <cell r="I4632" t="str">
            <v>sim</v>
          </cell>
          <cell r="V4632" t="str">
            <v>not neg pair</v>
          </cell>
          <cell r="Y4632" t="str">
            <v>Pres</v>
          </cell>
          <cell r="Z4632">
            <v>3.71</v>
          </cell>
          <cell r="AA4632">
            <v>0</v>
          </cell>
          <cell r="AB4632">
            <v>0</v>
          </cell>
        </row>
        <row r="4633">
          <cell r="G4633" t="str">
            <v>X1586_1</v>
          </cell>
          <cell r="H4633" t="str">
            <v>the-of</v>
          </cell>
          <cell r="I4633" t="str">
            <v>sim</v>
          </cell>
          <cell r="V4633" t="str">
            <v>not neg pair</v>
          </cell>
          <cell r="Y4633" t="str">
            <v>Pres</v>
          </cell>
          <cell r="Z4633">
            <v>3.71</v>
          </cell>
          <cell r="AA4633">
            <v>0</v>
          </cell>
          <cell r="AB4633">
            <v>0</v>
          </cell>
        </row>
        <row r="4634">
          <cell r="G4634" t="str">
            <v>X1587_0</v>
          </cell>
          <cell r="H4634" t="str">
            <v/>
          </cell>
          <cell r="I4634" t="str">
            <v>met</v>
          </cell>
          <cell r="V4634" t="str">
            <v>0</v>
          </cell>
          <cell r="Y4634" t="str">
            <v>Pres</v>
          </cell>
          <cell r="Z4634">
            <v>3.07</v>
          </cell>
          <cell r="AA4634">
            <v>0</v>
          </cell>
          <cell r="AB4634">
            <v>0</v>
          </cell>
        </row>
        <row r="4635">
          <cell r="G4635" t="str">
            <v>X1587_1</v>
          </cell>
          <cell r="H4635" t="str">
            <v/>
          </cell>
          <cell r="I4635" t="str">
            <v>met</v>
          </cell>
          <cell r="V4635" t="str">
            <v>0</v>
          </cell>
          <cell r="Y4635" t="str">
            <v>Pres</v>
          </cell>
          <cell r="Z4635">
            <v>3.07</v>
          </cell>
          <cell r="AA4635">
            <v>0</v>
          </cell>
          <cell r="AB4635">
            <v>0</v>
          </cell>
        </row>
        <row r="4636">
          <cell r="G4636" t="str">
            <v>X1588_0</v>
          </cell>
          <cell r="H4636" t="str">
            <v/>
          </cell>
          <cell r="I4636" t="str">
            <v>met</v>
          </cell>
          <cell r="V4636" t="str">
            <v>0</v>
          </cell>
          <cell r="Y4636" t="str">
            <v>Pres</v>
          </cell>
          <cell r="Z4636">
            <v>4.8</v>
          </cell>
          <cell r="AA4636">
            <v>0</v>
          </cell>
          <cell r="AB4636">
            <v>0</v>
          </cell>
        </row>
        <row r="4637">
          <cell r="G4637" t="str">
            <v>X1588_1</v>
          </cell>
          <cell r="H4637" t="str">
            <v/>
          </cell>
          <cell r="I4637" t="str">
            <v>met</v>
          </cell>
          <cell r="V4637" t="str">
            <v>0</v>
          </cell>
          <cell r="Y4637">
            <v>0</v>
          </cell>
          <cell r="Z4637">
            <v>4.1399999999999997</v>
          </cell>
          <cell r="AA4637">
            <v>0</v>
          </cell>
          <cell r="AB4637">
            <v>0</v>
          </cell>
        </row>
        <row r="4638">
          <cell r="G4638" t="str">
            <v>X1589_0</v>
          </cell>
          <cell r="H4638" t="str">
            <v/>
          </cell>
          <cell r="I4638" t="str">
            <v>met</v>
          </cell>
          <cell r="V4638" t="str">
            <v>0</v>
          </cell>
          <cell r="Y4638" t="str">
            <v>Pres</v>
          </cell>
          <cell r="Z4638">
            <v>4.92</v>
          </cell>
          <cell r="AA4638" t="str">
            <v>H</v>
          </cell>
          <cell r="AB4638">
            <v>0</v>
          </cell>
        </row>
        <row r="4639">
          <cell r="G4639" t="str">
            <v>X1589_1</v>
          </cell>
          <cell r="H4639" t="str">
            <v/>
          </cell>
          <cell r="I4639" t="str">
            <v>met</v>
          </cell>
          <cell r="V4639" t="str">
            <v>0</v>
          </cell>
          <cell r="Y4639" t="str">
            <v>Pres</v>
          </cell>
          <cell r="Z4639">
            <v>4.82</v>
          </cell>
          <cell r="AA4639">
            <v>0</v>
          </cell>
          <cell r="AB4639">
            <v>0</v>
          </cell>
        </row>
        <row r="4640">
          <cell r="G4640" t="str">
            <v>X1590_0</v>
          </cell>
          <cell r="H4640" t="str">
            <v>the-of</v>
          </cell>
          <cell r="I4640" t="str">
            <v>sim</v>
          </cell>
          <cell r="V4640" t="str">
            <v>not neg pair</v>
          </cell>
          <cell r="Y4640" t="str">
            <v>Past</v>
          </cell>
          <cell r="Z4640">
            <v>4.84</v>
          </cell>
          <cell r="AA4640">
            <v>0</v>
          </cell>
          <cell r="AB4640">
            <v>0</v>
          </cell>
        </row>
        <row r="4641">
          <cell r="G4641" t="str">
            <v>X1590_1</v>
          </cell>
          <cell r="H4641" t="str">
            <v>the-of</v>
          </cell>
          <cell r="I4641" t="str">
            <v>sim</v>
          </cell>
          <cell r="V4641" t="str">
            <v>not neg pair</v>
          </cell>
          <cell r="Y4641" t="str">
            <v>Past</v>
          </cell>
          <cell r="Z4641">
            <v>4.84</v>
          </cell>
          <cell r="AA4641">
            <v>0</v>
          </cell>
          <cell r="AB4641">
            <v>0</v>
          </cell>
        </row>
        <row r="4642">
          <cell r="G4642" t="str">
            <v>X1591_0</v>
          </cell>
          <cell r="H4642" t="str">
            <v/>
          </cell>
          <cell r="I4642" t="str">
            <v>met</v>
          </cell>
          <cell r="V4642" t="str">
            <v>0</v>
          </cell>
          <cell r="Y4642" t="str">
            <v>Past</v>
          </cell>
          <cell r="Z4642">
            <v>4.46</v>
          </cell>
          <cell r="AA4642">
            <v>0</v>
          </cell>
          <cell r="AB4642">
            <v>0</v>
          </cell>
        </row>
        <row r="4643">
          <cell r="G4643" t="str">
            <v>X1591_1</v>
          </cell>
          <cell r="H4643" t="str">
            <v/>
          </cell>
          <cell r="I4643" t="str">
            <v>met</v>
          </cell>
          <cell r="V4643" t="str">
            <v>0</v>
          </cell>
          <cell r="Y4643" t="str">
            <v>Pres</v>
          </cell>
          <cell r="Z4643">
            <v>4.46</v>
          </cell>
          <cell r="AA4643">
            <v>0</v>
          </cell>
          <cell r="AB4643">
            <v>0</v>
          </cell>
        </row>
        <row r="4644">
          <cell r="G4644" t="str">
            <v>X1592_0</v>
          </cell>
          <cell r="H4644" t="str">
            <v>like</v>
          </cell>
          <cell r="I4644" t="str">
            <v>sim</v>
          </cell>
          <cell r="V4644" t="str">
            <v>not neg pair</v>
          </cell>
          <cell r="Y4644" t="str">
            <v>Past</v>
          </cell>
          <cell r="Z4644">
            <v>3.7</v>
          </cell>
          <cell r="AA4644">
            <v>0</v>
          </cell>
          <cell r="AB4644">
            <v>0</v>
          </cell>
        </row>
        <row r="4645">
          <cell r="G4645" t="str">
            <v>X1592_1</v>
          </cell>
          <cell r="H4645" t="str">
            <v>like</v>
          </cell>
          <cell r="I4645" t="str">
            <v>sim</v>
          </cell>
          <cell r="V4645" t="str">
            <v>not neg pair</v>
          </cell>
          <cell r="Y4645" t="str">
            <v>Past</v>
          </cell>
          <cell r="Z4645">
            <v>3.7</v>
          </cell>
          <cell r="AA4645">
            <v>0</v>
          </cell>
          <cell r="AB4645">
            <v>0</v>
          </cell>
        </row>
        <row r="4646">
          <cell r="G4646" t="str">
            <v>X1593_0</v>
          </cell>
          <cell r="H4646" t="str">
            <v>the-of</v>
          </cell>
          <cell r="I4646" t="str">
            <v>sim</v>
          </cell>
          <cell r="V4646" t="str">
            <v>not</v>
          </cell>
          <cell r="Y4646" t="str">
            <v>Pres</v>
          </cell>
          <cell r="Z4646">
            <v>4.79</v>
          </cell>
          <cell r="AA4646">
            <v>0</v>
          </cell>
          <cell r="AB4646">
            <v>0</v>
          </cell>
        </row>
        <row r="4647">
          <cell r="G4647" t="str">
            <v>X1593_1</v>
          </cell>
          <cell r="H4647" t="str">
            <v>the-of</v>
          </cell>
          <cell r="I4647" t="str">
            <v>sim</v>
          </cell>
          <cell r="V4647" t="str">
            <v>not</v>
          </cell>
          <cell r="Y4647" t="str">
            <v>Pres</v>
          </cell>
          <cell r="Z4647">
            <v>4.79</v>
          </cell>
          <cell r="AA4647">
            <v>0</v>
          </cell>
          <cell r="AB4647">
            <v>0</v>
          </cell>
        </row>
        <row r="4648">
          <cell r="G4648" t="str">
            <v>X1594_0</v>
          </cell>
          <cell r="H4648" t="str">
            <v>the-of</v>
          </cell>
          <cell r="I4648" t="str">
            <v>sim</v>
          </cell>
          <cell r="V4648" t="str">
            <v>not neg pair</v>
          </cell>
          <cell r="Y4648" t="str">
            <v>Pres</v>
          </cell>
          <cell r="Z4648">
            <v>2.59</v>
          </cell>
          <cell r="AA4648" t="str">
            <v>L</v>
          </cell>
          <cell r="AB4648">
            <v>0</v>
          </cell>
        </row>
        <row r="4649">
          <cell r="G4649" t="str">
            <v>X1594_1</v>
          </cell>
          <cell r="H4649" t="str">
            <v>the-of</v>
          </cell>
          <cell r="I4649" t="str">
            <v>sim</v>
          </cell>
          <cell r="V4649" t="str">
            <v>not neg pair</v>
          </cell>
          <cell r="Y4649" t="str">
            <v>Pres</v>
          </cell>
          <cell r="Z4649">
            <v>2.59</v>
          </cell>
          <cell r="AA4649" t="str">
            <v>L</v>
          </cell>
          <cell r="AB4649">
            <v>0</v>
          </cell>
        </row>
        <row r="4650">
          <cell r="G4650" t="str">
            <v>X1595_0</v>
          </cell>
          <cell r="H4650" t="str">
            <v>the-of</v>
          </cell>
          <cell r="I4650" t="str">
            <v>sim</v>
          </cell>
          <cell r="V4650" t="str">
            <v>not</v>
          </cell>
          <cell r="Y4650" t="str">
            <v>Pres</v>
          </cell>
          <cell r="Z4650">
            <v>2.9</v>
          </cell>
          <cell r="AA4650">
            <v>0</v>
          </cell>
          <cell r="AB4650">
            <v>0</v>
          </cell>
        </row>
        <row r="4651">
          <cell r="G4651" t="str">
            <v>X1595_1</v>
          </cell>
          <cell r="H4651" t="str">
            <v>the-of</v>
          </cell>
          <cell r="I4651" t="str">
            <v>sim</v>
          </cell>
          <cell r="V4651" t="str">
            <v>not</v>
          </cell>
          <cell r="Y4651" t="str">
            <v>Pres</v>
          </cell>
          <cell r="Z4651">
            <v>2.9</v>
          </cell>
          <cell r="AA4651">
            <v>0</v>
          </cell>
          <cell r="AB4651">
            <v>0</v>
          </cell>
        </row>
        <row r="4652">
          <cell r="G4652" t="str">
            <v>X1596_0</v>
          </cell>
          <cell r="H4652" t="str">
            <v>as-as</v>
          </cell>
          <cell r="I4652" t="str">
            <v>sim</v>
          </cell>
          <cell r="V4652" t="str">
            <v>not</v>
          </cell>
          <cell r="Y4652" t="str">
            <v>Past</v>
          </cell>
          <cell r="Z4652">
            <v>4.1100000000000003</v>
          </cell>
          <cell r="AA4652">
            <v>0</v>
          </cell>
          <cell r="AB4652">
            <v>0</v>
          </cell>
        </row>
        <row r="4653">
          <cell r="G4653" t="str">
            <v>X1596_1</v>
          </cell>
          <cell r="H4653" t="str">
            <v>as-as</v>
          </cell>
          <cell r="I4653" t="str">
            <v>sim</v>
          </cell>
          <cell r="V4653" t="str">
            <v>not</v>
          </cell>
          <cell r="Y4653" t="str">
            <v>Past</v>
          </cell>
          <cell r="Z4653">
            <v>4.1100000000000003</v>
          </cell>
          <cell r="AA4653">
            <v>0</v>
          </cell>
          <cell r="AB4653">
            <v>0</v>
          </cell>
        </row>
        <row r="4654">
          <cell r="G4654" t="str">
            <v>X1597_0</v>
          </cell>
          <cell r="H4654" t="str">
            <v>as-as</v>
          </cell>
          <cell r="I4654" t="str">
            <v>sim</v>
          </cell>
          <cell r="V4654" t="str">
            <v>not</v>
          </cell>
          <cell r="Y4654" t="str">
            <v>Past</v>
          </cell>
          <cell r="Z4654">
            <v>0</v>
          </cell>
          <cell r="AA4654">
            <v>0</v>
          </cell>
          <cell r="AB4654">
            <v>0</v>
          </cell>
        </row>
        <row r="4655">
          <cell r="G4655" t="str">
            <v>X1597_1</v>
          </cell>
          <cell r="H4655" t="str">
            <v>as-as</v>
          </cell>
          <cell r="I4655" t="str">
            <v>sim</v>
          </cell>
          <cell r="V4655" t="str">
            <v>not</v>
          </cell>
          <cell r="Y4655" t="str">
            <v>Pres</v>
          </cell>
          <cell r="Z4655">
            <v>2.9</v>
          </cell>
          <cell r="AA4655">
            <v>0</v>
          </cell>
          <cell r="AB4655">
            <v>0</v>
          </cell>
        </row>
        <row r="4656">
          <cell r="G4656" t="str">
            <v>X1598_0</v>
          </cell>
          <cell r="H4656" t="str">
            <v>as-as</v>
          </cell>
          <cell r="I4656" t="str">
            <v>sim</v>
          </cell>
          <cell r="V4656" t="str">
            <v>not</v>
          </cell>
          <cell r="Y4656" t="str">
            <v>Past</v>
          </cell>
          <cell r="Z4656">
            <v>3.07</v>
          </cell>
          <cell r="AA4656">
            <v>0</v>
          </cell>
          <cell r="AB4656">
            <v>0</v>
          </cell>
        </row>
        <row r="4657">
          <cell r="G4657" t="str">
            <v>X1598_1</v>
          </cell>
          <cell r="H4657" t="str">
            <v>as-as</v>
          </cell>
          <cell r="I4657" t="str">
            <v>sim</v>
          </cell>
          <cell r="V4657" t="str">
            <v>not</v>
          </cell>
          <cell r="Y4657" t="str">
            <v>Past</v>
          </cell>
          <cell r="Z4657">
            <v>3.07</v>
          </cell>
          <cell r="AA4657">
            <v>0</v>
          </cell>
          <cell r="AB4657">
            <v>0</v>
          </cell>
        </row>
        <row r="4658">
          <cell r="G4658" t="str">
            <v>X1599_0</v>
          </cell>
          <cell r="H4658" t="str">
            <v>as-as</v>
          </cell>
          <cell r="I4658" t="str">
            <v>sim</v>
          </cell>
          <cell r="V4658" t="str">
            <v>antonym</v>
          </cell>
          <cell r="Y4658" t="str">
            <v>Pres</v>
          </cell>
          <cell r="Z4658">
            <v>4.88</v>
          </cell>
          <cell r="AA4658">
            <v>0</v>
          </cell>
          <cell r="AB4658">
            <v>0</v>
          </cell>
        </row>
        <row r="4659">
          <cell r="G4659" t="str">
            <v>X1599_1</v>
          </cell>
          <cell r="H4659" t="str">
            <v>as-as</v>
          </cell>
          <cell r="I4659" t="str">
            <v>sim</v>
          </cell>
          <cell r="V4659" t="str">
            <v>antonym</v>
          </cell>
          <cell r="Y4659" t="str">
            <v>Pres</v>
          </cell>
          <cell r="Z4659">
            <v>4.88</v>
          </cell>
          <cell r="AA4659">
            <v>0</v>
          </cell>
          <cell r="AB4659">
            <v>0</v>
          </cell>
        </row>
        <row r="4660">
          <cell r="G4660" t="str">
            <v>X1600_0</v>
          </cell>
          <cell r="H4660" t="str">
            <v>as-as</v>
          </cell>
          <cell r="I4660" t="str">
            <v>sim</v>
          </cell>
          <cell r="V4660" t="str">
            <v>antonym</v>
          </cell>
          <cell r="Y4660" t="str">
            <v>Past</v>
          </cell>
          <cell r="Z4660">
            <v>4.96</v>
          </cell>
          <cell r="AA4660" t="str">
            <v>H</v>
          </cell>
          <cell r="AB4660">
            <v>0</v>
          </cell>
        </row>
        <row r="4661">
          <cell r="G4661" t="str">
            <v>X1600_1</v>
          </cell>
          <cell r="H4661" t="str">
            <v>as-as</v>
          </cell>
          <cell r="I4661" t="str">
            <v>sim</v>
          </cell>
          <cell r="V4661" t="str">
            <v>antonym</v>
          </cell>
          <cell r="Y4661" t="str">
            <v>Past</v>
          </cell>
          <cell r="Z4661">
            <v>4.96</v>
          </cell>
          <cell r="AA4661" t="str">
            <v>H</v>
          </cell>
          <cell r="AB4661">
            <v>0</v>
          </cell>
        </row>
        <row r="4662">
          <cell r="G4662" t="str">
            <v>X1601_0</v>
          </cell>
          <cell r="H4662" t="str">
            <v>as-as</v>
          </cell>
          <cell r="I4662" t="str">
            <v>sim</v>
          </cell>
          <cell r="V4662" t="str">
            <v>not</v>
          </cell>
          <cell r="Y4662" t="str">
            <v>Past</v>
          </cell>
          <cell r="Z4662">
            <v>3.36</v>
          </cell>
          <cell r="AA4662">
            <v>0</v>
          </cell>
          <cell r="AB4662">
            <v>0</v>
          </cell>
        </row>
        <row r="4663">
          <cell r="G4663" t="str">
            <v>X1601_1</v>
          </cell>
          <cell r="H4663" t="str">
            <v>as-as</v>
          </cell>
          <cell r="I4663" t="str">
            <v>sim</v>
          </cell>
          <cell r="V4663" t="str">
            <v>not</v>
          </cell>
          <cell r="Y4663" t="str">
            <v>Past</v>
          </cell>
          <cell r="Z4663">
            <v>3.36</v>
          </cell>
          <cell r="AA4663">
            <v>0</v>
          </cell>
          <cell r="AB4663">
            <v>0</v>
          </cell>
        </row>
        <row r="4664">
          <cell r="G4664" t="str">
            <v>X1602_0</v>
          </cell>
          <cell r="H4664" t="str">
            <v>the-of</v>
          </cell>
          <cell r="I4664" t="str">
            <v>sim</v>
          </cell>
          <cell r="V4664" t="str">
            <v>not neg pair</v>
          </cell>
          <cell r="Y4664" t="str">
            <v>Past</v>
          </cell>
          <cell r="Z4664">
            <v>3.36</v>
          </cell>
          <cell r="AA4664">
            <v>0</v>
          </cell>
          <cell r="AB4664">
            <v>0</v>
          </cell>
        </row>
        <row r="4665">
          <cell r="G4665" t="str">
            <v>X1602_1</v>
          </cell>
          <cell r="H4665" t="str">
            <v>the-of</v>
          </cell>
          <cell r="I4665" t="str">
            <v>sim</v>
          </cell>
          <cell r="V4665" t="str">
            <v>not neg pair</v>
          </cell>
          <cell r="Y4665" t="str">
            <v>Past</v>
          </cell>
          <cell r="Z4665">
            <v>3.36</v>
          </cell>
          <cell r="AA4665">
            <v>0</v>
          </cell>
          <cell r="AB4665">
            <v>0</v>
          </cell>
        </row>
        <row r="4666">
          <cell r="G4666" t="str">
            <v>X1603_0</v>
          </cell>
          <cell r="H4666" t="str">
            <v>as-as</v>
          </cell>
          <cell r="I4666" t="str">
            <v>sim</v>
          </cell>
          <cell r="V4666" t="str">
            <v>not</v>
          </cell>
          <cell r="Y4666" t="str">
            <v>Past</v>
          </cell>
          <cell r="Z4666">
            <v>3.36</v>
          </cell>
          <cell r="AA4666">
            <v>0</v>
          </cell>
          <cell r="AB4666">
            <v>0</v>
          </cell>
        </row>
        <row r="4667">
          <cell r="G4667" t="str">
            <v>X1603_1</v>
          </cell>
          <cell r="H4667" t="str">
            <v>as-as</v>
          </cell>
          <cell r="I4667" t="str">
            <v>sim</v>
          </cell>
          <cell r="V4667" t="str">
            <v>not</v>
          </cell>
          <cell r="Y4667" t="str">
            <v>Pres</v>
          </cell>
          <cell r="Z4667">
            <v>3.36</v>
          </cell>
          <cell r="AA4667">
            <v>0</v>
          </cell>
          <cell r="AB4667">
            <v>0</v>
          </cell>
        </row>
        <row r="4668">
          <cell r="G4668" t="str">
            <v>X1604_0</v>
          </cell>
          <cell r="H4668" t="str">
            <v>the-of</v>
          </cell>
          <cell r="I4668" t="str">
            <v>sim</v>
          </cell>
          <cell r="V4668" t="str">
            <v>not</v>
          </cell>
          <cell r="Y4668" t="str">
            <v>Past</v>
          </cell>
          <cell r="Z4668">
            <v>3.93</v>
          </cell>
          <cell r="AA4668">
            <v>0</v>
          </cell>
          <cell r="AB4668">
            <v>0</v>
          </cell>
        </row>
        <row r="4669">
          <cell r="G4669" t="str">
            <v>X1604_1</v>
          </cell>
          <cell r="H4669" t="str">
            <v>the-of</v>
          </cell>
          <cell r="I4669" t="str">
            <v>sim</v>
          </cell>
          <cell r="V4669" t="str">
            <v>not</v>
          </cell>
          <cell r="Y4669" t="str">
            <v>Past</v>
          </cell>
          <cell r="Z4669">
            <v>3.93</v>
          </cell>
          <cell r="AA4669">
            <v>0</v>
          </cell>
          <cell r="AB4669">
            <v>0</v>
          </cell>
        </row>
        <row r="4670">
          <cell r="G4670" t="str">
            <v>X1605_0</v>
          </cell>
          <cell r="H4670" t="str">
            <v>as-as</v>
          </cell>
          <cell r="I4670" t="str">
            <v>sim</v>
          </cell>
          <cell r="V4670" t="str">
            <v>not</v>
          </cell>
          <cell r="Y4670" t="str">
            <v>Past</v>
          </cell>
          <cell r="Z4670">
            <v>4.6100000000000003</v>
          </cell>
          <cell r="AA4670">
            <v>0</v>
          </cell>
          <cell r="AB4670">
            <v>0</v>
          </cell>
        </row>
        <row r="4671">
          <cell r="G4671" t="str">
            <v>X1605_1</v>
          </cell>
          <cell r="H4671" t="str">
            <v>as-as</v>
          </cell>
          <cell r="I4671" t="str">
            <v>sim</v>
          </cell>
          <cell r="V4671" t="str">
            <v>not</v>
          </cell>
          <cell r="Y4671" t="str">
            <v>Past</v>
          </cell>
          <cell r="Z4671">
            <v>4.6100000000000003</v>
          </cell>
          <cell r="AA4671">
            <v>0</v>
          </cell>
          <cell r="AB4671">
            <v>0</v>
          </cell>
        </row>
        <row r="4672">
          <cell r="G4672" t="str">
            <v>X1606_0</v>
          </cell>
          <cell r="H4672" t="str">
            <v>as-as</v>
          </cell>
          <cell r="I4672" t="str">
            <v>sim</v>
          </cell>
          <cell r="V4672" t="str">
            <v>not</v>
          </cell>
          <cell r="Y4672" t="str">
            <v>Past</v>
          </cell>
          <cell r="Z4672">
            <v>2.9</v>
          </cell>
          <cell r="AA4672">
            <v>0</v>
          </cell>
          <cell r="AB4672">
            <v>0</v>
          </cell>
        </row>
        <row r="4673">
          <cell r="G4673" t="str">
            <v>X1606_1</v>
          </cell>
          <cell r="H4673" t="str">
            <v>as-as</v>
          </cell>
          <cell r="I4673" t="str">
            <v>sim</v>
          </cell>
          <cell r="V4673" t="str">
            <v>not</v>
          </cell>
          <cell r="Y4673" t="str">
            <v>Past</v>
          </cell>
          <cell r="Z4673">
            <v>2.9</v>
          </cell>
          <cell r="AA4673">
            <v>0</v>
          </cell>
          <cell r="AB4673">
            <v>0</v>
          </cell>
        </row>
        <row r="4674">
          <cell r="G4674" t="str">
            <v>X1607_0</v>
          </cell>
          <cell r="H4674" t="str">
            <v>like</v>
          </cell>
          <cell r="I4674" t="str">
            <v>sim</v>
          </cell>
          <cell r="V4674" t="str">
            <v>not neg pair</v>
          </cell>
          <cell r="Y4674" t="str">
            <v>Past</v>
          </cell>
          <cell r="Z4674">
            <v>4.58</v>
          </cell>
          <cell r="AA4674">
            <v>0</v>
          </cell>
          <cell r="AB4674">
            <v>0</v>
          </cell>
        </row>
        <row r="4675">
          <cell r="G4675" t="str">
            <v>X1607_1</v>
          </cell>
          <cell r="H4675" t="str">
            <v>like</v>
          </cell>
          <cell r="I4675" t="str">
            <v>sim</v>
          </cell>
          <cell r="V4675" t="str">
            <v>not neg pair</v>
          </cell>
          <cell r="Y4675" t="str">
            <v>Past</v>
          </cell>
          <cell r="Z4675">
            <v>4.58</v>
          </cell>
          <cell r="AA4675">
            <v>0</v>
          </cell>
          <cell r="AB4675">
            <v>0</v>
          </cell>
        </row>
        <row r="4676">
          <cell r="G4676" t="str">
            <v>X1608_0</v>
          </cell>
          <cell r="H4676" t="str">
            <v>like</v>
          </cell>
          <cell r="I4676" t="str">
            <v>sim</v>
          </cell>
          <cell r="V4676" t="str">
            <v>not</v>
          </cell>
          <cell r="Y4676" t="str">
            <v>Past</v>
          </cell>
          <cell r="Z4676">
            <v>3.93</v>
          </cell>
          <cell r="AA4676">
            <v>0</v>
          </cell>
          <cell r="AB4676">
            <v>0</v>
          </cell>
        </row>
        <row r="4677">
          <cell r="G4677" t="str">
            <v>X1608_1</v>
          </cell>
          <cell r="H4677" t="str">
            <v>like</v>
          </cell>
          <cell r="I4677" t="str">
            <v>sim</v>
          </cell>
          <cell r="V4677" t="str">
            <v>not</v>
          </cell>
          <cell r="Y4677" t="str">
            <v>Past</v>
          </cell>
          <cell r="Z4677">
            <v>3.93</v>
          </cell>
          <cell r="AA4677">
            <v>0</v>
          </cell>
          <cell r="AB4677">
            <v>0</v>
          </cell>
        </row>
        <row r="4678">
          <cell r="G4678" t="str">
            <v>X1609_0</v>
          </cell>
          <cell r="H4678" t="str">
            <v>like</v>
          </cell>
          <cell r="I4678" t="str">
            <v>sim</v>
          </cell>
          <cell r="V4678" t="str">
            <v>not</v>
          </cell>
          <cell r="Y4678" t="str">
            <v>Past</v>
          </cell>
          <cell r="Z4678">
            <v>4.46</v>
          </cell>
          <cell r="AA4678">
            <v>0</v>
          </cell>
          <cell r="AB4678">
            <v>0</v>
          </cell>
        </row>
        <row r="4679">
          <cell r="G4679" t="str">
            <v>X1609_1</v>
          </cell>
          <cell r="H4679" t="str">
            <v>like</v>
          </cell>
          <cell r="I4679" t="str">
            <v>sim</v>
          </cell>
          <cell r="V4679" t="str">
            <v>not</v>
          </cell>
          <cell r="Y4679" t="str">
            <v>Past</v>
          </cell>
          <cell r="Z4679">
            <v>4.46</v>
          </cell>
          <cell r="AA4679">
            <v>0</v>
          </cell>
          <cell r="AB4679">
            <v>0</v>
          </cell>
        </row>
        <row r="4680">
          <cell r="G4680" t="str">
            <v>X1610_0</v>
          </cell>
          <cell r="H4680" t="str">
            <v/>
          </cell>
          <cell r="I4680" t="str">
            <v>met</v>
          </cell>
          <cell r="V4680" t="str">
            <v>0</v>
          </cell>
          <cell r="Y4680" t="str">
            <v>Past</v>
          </cell>
          <cell r="Z4680">
            <v>3.93</v>
          </cell>
          <cell r="AA4680">
            <v>0</v>
          </cell>
          <cell r="AB4680">
            <v>0</v>
          </cell>
        </row>
        <row r="4681">
          <cell r="G4681" t="str">
            <v>X1610_1</v>
          </cell>
          <cell r="H4681" t="str">
            <v/>
          </cell>
          <cell r="I4681" t="str">
            <v>met</v>
          </cell>
          <cell r="V4681" t="str">
            <v>0</v>
          </cell>
          <cell r="Y4681" t="str">
            <v>Past</v>
          </cell>
          <cell r="Z4681">
            <v>3.93</v>
          </cell>
          <cell r="AA4681">
            <v>0</v>
          </cell>
          <cell r="AB4681">
            <v>0</v>
          </cell>
        </row>
        <row r="4682">
          <cell r="G4682" t="str">
            <v>X1611_0</v>
          </cell>
          <cell r="H4682" t="str">
            <v>the-of</v>
          </cell>
          <cell r="I4682" t="str">
            <v>sim</v>
          </cell>
          <cell r="V4682" t="str">
            <v>not</v>
          </cell>
          <cell r="Y4682" t="str">
            <v>Past</v>
          </cell>
          <cell r="Z4682">
            <v>3.93</v>
          </cell>
          <cell r="AA4682">
            <v>0</v>
          </cell>
          <cell r="AB4682">
            <v>0</v>
          </cell>
        </row>
        <row r="4683">
          <cell r="G4683" t="str">
            <v>X1611_1</v>
          </cell>
          <cell r="H4683" t="str">
            <v>the-of</v>
          </cell>
          <cell r="I4683" t="str">
            <v>sim</v>
          </cell>
          <cell r="V4683" t="str">
            <v>not</v>
          </cell>
          <cell r="Y4683" t="str">
            <v>Past</v>
          </cell>
          <cell r="Z4683">
            <v>3.93</v>
          </cell>
          <cell r="AA4683">
            <v>0</v>
          </cell>
          <cell r="AB4683">
            <v>0</v>
          </cell>
        </row>
        <row r="4684">
          <cell r="G4684" t="str">
            <v>X1612_0</v>
          </cell>
          <cell r="H4684" t="str">
            <v>the-of</v>
          </cell>
          <cell r="I4684" t="str">
            <v>sim</v>
          </cell>
          <cell r="V4684" t="str">
            <v>not</v>
          </cell>
          <cell r="Y4684" t="str">
            <v>Past</v>
          </cell>
          <cell r="Z4684">
            <v>3.19</v>
          </cell>
          <cell r="AA4684">
            <v>0</v>
          </cell>
          <cell r="AB4684">
            <v>0</v>
          </cell>
        </row>
        <row r="4685">
          <cell r="G4685" t="str">
            <v>X1612_1</v>
          </cell>
          <cell r="H4685" t="str">
            <v>the-of</v>
          </cell>
          <cell r="I4685" t="str">
            <v>sim</v>
          </cell>
          <cell r="V4685" t="str">
            <v>not</v>
          </cell>
          <cell r="Y4685" t="str">
            <v>Past</v>
          </cell>
          <cell r="Z4685">
            <v>3.19</v>
          </cell>
          <cell r="AA4685">
            <v>0</v>
          </cell>
          <cell r="AB4685">
            <v>0</v>
          </cell>
        </row>
        <row r="4686">
          <cell r="G4686" t="str">
            <v>X1613_0</v>
          </cell>
          <cell r="H4686" t="str">
            <v>the-of</v>
          </cell>
          <cell r="I4686" t="str">
            <v>sim</v>
          </cell>
          <cell r="V4686" t="str">
            <v>not neg pair</v>
          </cell>
          <cell r="Y4686" t="str">
            <v>Past</v>
          </cell>
          <cell r="Z4686">
            <v>4.8499999999999996</v>
          </cell>
          <cell r="AA4686">
            <v>0</v>
          </cell>
          <cell r="AB4686">
            <v>0</v>
          </cell>
        </row>
        <row r="4687">
          <cell r="G4687" t="str">
            <v>X1613_1</v>
          </cell>
          <cell r="H4687" t="str">
            <v>the-of</v>
          </cell>
          <cell r="I4687" t="str">
            <v>sim</v>
          </cell>
          <cell r="V4687" t="str">
            <v>not neg pair</v>
          </cell>
          <cell r="Y4687" t="str">
            <v>Past</v>
          </cell>
          <cell r="Z4687">
            <v>4.8499999999999996</v>
          </cell>
          <cell r="AA4687">
            <v>0</v>
          </cell>
          <cell r="AB4687">
            <v>0</v>
          </cell>
        </row>
        <row r="4688">
          <cell r="G4688" t="str">
            <v>X1614_0</v>
          </cell>
          <cell r="H4688" t="str">
            <v>like</v>
          </cell>
          <cell r="I4688" t="str">
            <v>sim</v>
          </cell>
          <cell r="V4688" t="str">
            <v>not neg pair</v>
          </cell>
          <cell r="Y4688" t="str">
            <v>Pres</v>
          </cell>
          <cell r="Z4688">
            <v>4.08</v>
          </cell>
          <cell r="AA4688">
            <v>0</v>
          </cell>
          <cell r="AB4688">
            <v>0</v>
          </cell>
        </row>
        <row r="4689">
          <cell r="G4689" t="str">
            <v>X1614_1</v>
          </cell>
          <cell r="H4689" t="str">
            <v>like</v>
          </cell>
          <cell r="I4689" t="str">
            <v>sim</v>
          </cell>
          <cell r="V4689" t="str">
            <v>not neg pair</v>
          </cell>
          <cell r="Y4689" t="str">
            <v>Pres</v>
          </cell>
          <cell r="Z4689">
            <v>4.08</v>
          </cell>
          <cell r="AA4689">
            <v>0</v>
          </cell>
          <cell r="AB4689">
            <v>0</v>
          </cell>
        </row>
        <row r="4690">
          <cell r="G4690" t="str">
            <v>X1615_0</v>
          </cell>
          <cell r="H4690" t="str">
            <v>the-of</v>
          </cell>
          <cell r="I4690" t="str">
            <v>sim</v>
          </cell>
          <cell r="V4690" t="str">
            <v>not neg pair</v>
          </cell>
          <cell r="Y4690" t="str">
            <v>Pres</v>
          </cell>
          <cell r="Z4690">
            <v>4.63</v>
          </cell>
          <cell r="AA4690">
            <v>0</v>
          </cell>
          <cell r="AB4690">
            <v>0</v>
          </cell>
        </row>
        <row r="4691">
          <cell r="G4691" t="str">
            <v>X1615_1</v>
          </cell>
          <cell r="H4691" t="str">
            <v>the-of</v>
          </cell>
          <cell r="I4691" t="str">
            <v>sim</v>
          </cell>
          <cell r="V4691" t="str">
            <v>not neg pair</v>
          </cell>
          <cell r="Y4691" t="str">
            <v>Pres</v>
          </cell>
          <cell r="Z4691">
            <v>4.63</v>
          </cell>
          <cell r="AA4691">
            <v>0</v>
          </cell>
          <cell r="AB4691">
            <v>0</v>
          </cell>
        </row>
        <row r="4692">
          <cell r="G4692" t="str">
            <v>X1616_0</v>
          </cell>
          <cell r="H4692" t="str">
            <v>like</v>
          </cell>
          <cell r="I4692" t="str">
            <v>sim</v>
          </cell>
          <cell r="V4692" t="str">
            <v>not neg pair</v>
          </cell>
          <cell r="Y4692" t="str">
            <v>Pres</v>
          </cell>
          <cell r="Z4692">
            <v>4.79</v>
          </cell>
          <cell r="AA4692">
            <v>0</v>
          </cell>
          <cell r="AB4692">
            <v>0</v>
          </cell>
        </row>
        <row r="4693">
          <cell r="G4693" t="str">
            <v>X1616_1</v>
          </cell>
          <cell r="H4693" t="str">
            <v>like</v>
          </cell>
          <cell r="I4693" t="str">
            <v>sim</v>
          </cell>
          <cell r="V4693" t="str">
            <v>not neg pair</v>
          </cell>
          <cell r="Y4693">
            <v>0</v>
          </cell>
          <cell r="Z4693">
            <v>4.79</v>
          </cell>
          <cell r="AA4693">
            <v>0</v>
          </cell>
          <cell r="AB4693">
            <v>0</v>
          </cell>
        </row>
        <row r="4694">
          <cell r="G4694" t="str">
            <v>X1617_0</v>
          </cell>
          <cell r="H4694" t="str">
            <v>as-as</v>
          </cell>
          <cell r="I4694" t="str">
            <v>sim</v>
          </cell>
          <cell r="V4694" t="str">
            <v>not neg pair</v>
          </cell>
          <cell r="Y4694" t="str">
            <v>Past</v>
          </cell>
          <cell r="Z4694">
            <v>5</v>
          </cell>
          <cell r="AA4694" t="str">
            <v>H</v>
          </cell>
          <cell r="AB4694">
            <v>0</v>
          </cell>
        </row>
        <row r="4695">
          <cell r="G4695" t="str">
            <v>X1617_1</v>
          </cell>
          <cell r="H4695" t="str">
            <v>as-as</v>
          </cell>
          <cell r="I4695" t="str">
            <v>sim</v>
          </cell>
          <cell r="V4695" t="str">
            <v>not neg pair</v>
          </cell>
          <cell r="Y4695" t="str">
            <v>Past</v>
          </cell>
          <cell r="Z4695">
            <v>5</v>
          </cell>
          <cell r="AA4695" t="str">
            <v>H</v>
          </cell>
          <cell r="AB4695">
            <v>0</v>
          </cell>
        </row>
        <row r="4696">
          <cell r="G4696" t="str">
            <v>X1618_0</v>
          </cell>
          <cell r="H4696" t="str">
            <v>like</v>
          </cell>
          <cell r="I4696" t="str">
            <v>sim</v>
          </cell>
          <cell r="V4696" t="str">
            <v>not</v>
          </cell>
          <cell r="Y4696">
            <v>0</v>
          </cell>
          <cell r="Z4696">
            <v>4.63</v>
          </cell>
          <cell r="AA4696">
            <v>0</v>
          </cell>
          <cell r="AB4696">
            <v>0</v>
          </cell>
        </row>
        <row r="4697">
          <cell r="G4697" t="str">
            <v>X1618_1</v>
          </cell>
          <cell r="H4697" t="str">
            <v>like</v>
          </cell>
          <cell r="I4697" t="str">
            <v>sim</v>
          </cell>
          <cell r="V4697" t="str">
            <v>not</v>
          </cell>
          <cell r="Y4697" t="str">
            <v>Past</v>
          </cell>
          <cell r="Z4697">
            <v>4.63</v>
          </cell>
          <cell r="AA4697">
            <v>0</v>
          </cell>
          <cell r="AB4697">
            <v>0</v>
          </cell>
        </row>
        <row r="4698">
          <cell r="G4698" t="str">
            <v>X1619_0</v>
          </cell>
          <cell r="H4698" t="str">
            <v>as-as</v>
          </cell>
          <cell r="I4698" t="str">
            <v>sim</v>
          </cell>
          <cell r="V4698" t="str">
            <v>not neg pair</v>
          </cell>
          <cell r="Y4698" t="str">
            <v>Past</v>
          </cell>
          <cell r="Z4698">
            <v>4.32</v>
          </cell>
          <cell r="AA4698">
            <v>0</v>
          </cell>
          <cell r="AB4698">
            <v>0</v>
          </cell>
        </row>
        <row r="4699">
          <cell r="G4699" t="str">
            <v>X1619_1</v>
          </cell>
          <cell r="H4699" t="str">
            <v>as-as</v>
          </cell>
          <cell r="I4699" t="str">
            <v>sim</v>
          </cell>
          <cell r="V4699" t="str">
            <v>not neg pair</v>
          </cell>
          <cell r="Y4699" t="str">
            <v>Past</v>
          </cell>
          <cell r="Z4699">
            <v>4.32</v>
          </cell>
          <cell r="AA4699">
            <v>0</v>
          </cell>
          <cell r="AB4699">
            <v>0</v>
          </cell>
        </row>
        <row r="4700">
          <cell r="G4700" t="str">
            <v>X1620_0</v>
          </cell>
          <cell r="H4700" t="str">
            <v>as-as</v>
          </cell>
          <cell r="I4700" t="str">
            <v>sim</v>
          </cell>
          <cell r="V4700" t="str">
            <v>antonym</v>
          </cell>
          <cell r="Y4700" t="str">
            <v>Pres</v>
          </cell>
          <cell r="Z4700">
            <v>5</v>
          </cell>
          <cell r="AA4700" t="str">
            <v>H</v>
          </cell>
          <cell r="AB4700">
            <v>0</v>
          </cell>
        </row>
        <row r="4701">
          <cell r="G4701" t="str">
            <v>X1620_1</v>
          </cell>
          <cell r="H4701" t="str">
            <v>as-as</v>
          </cell>
          <cell r="I4701" t="str">
            <v>sim</v>
          </cell>
          <cell r="V4701" t="str">
            <v>antonym</v>
          </cell>
          <cell r="Y4701" t="str">
            <v>Past</v>
          </cell>
          <cell r="Z4701">
            <v>5</v>
          </cell>
          <cell r="AA4701" t="str">
            <v>H</v>
          </cell>
          <cell r="AB4701">
            <v>0</v>
          </cell>
        </row>
        <row r="4702">
          <cell r="G4702" t="str">
            <v>X1621_0</v>
          </cell>
          <cell r="H4702" t="str">
            <v/>
          </cell>
          <cell r="I4702" t="str">
            <v>met</v>
          </cell>
          <cell r="V4702" t="str">
            <v>0</v>
          </cell>
          <cell r="Y4702" t="str">
            <v>Past</v>
          </cell>
          <cell r="Z4702">
            <v>4.8600000000000003</v>
          </cell>
          <cell r="AA4702">
            <v>0</v>
          </cell>
          <cell r="AB4702">
            <v>0</v>
          </cell>
        </row>
        <row r="4703">
          <cell r="G4703" t="str">
            <v>X1621_1</v>
          </cell>
          <cell r="H4703" t="str">
            <v/>
          </cell>
          <cell r="I4703" t="str">
            <v>met</v>
          </cell>
          <cell r="V4703" t="str">
            <v>0</v>
          </cell>
          <cell r="Y4703" t="str">
            <v>Past</v>
          </cell>
          <cell r="Z4703">
            <v>4.8600000000000003</v>
          </cell>
          <cell r="AA4703">
            <v>0</v>
          </cell>
          <cell r="AB4703">
            <v>0</v>
          </cell>
        </row>
        <row r="4704">
          <cell r="G4704" t="str">
            <v>X1622_0</v>
          </cell>
          <cell r="H4704" t="str">
            <v>the-of</v>
          </cell>
          <cell r="I4704" t="str">
            <v>sim</v>
          </cell>
          <cell r="V4704" t="str">
            <v>not neg pair</v>
          </cell>
          <cell r="Y4704" t="str">
            <v>Past</v>
          </cell>
          <cell r="Z4704">
            <v>4.75</v>
          </cell>
          <cell r="AA4704">
            <v>0</v>
          </cell>
          <cell r="AB4704">
            <v>0</v>
          </cell>
        </row>
        <row r="4705">
          <cell r="G4705" t="str">
            <v>X1622_1</v>
          </cell>
          <cell r="H4705" t="str">
            <v>the-of</v>
          </cell>
          <cell r="I4705" t="str">
            <v>sim</v>
          </cell>
          <cell r="V4705" t="str">
            <v>not neg pair</v>
          </cell>
          <cell r="Y4705" t="str">
            <v>Past</v>
          </cell>
          <cell r="Z4705">
            <v>4.75</v>
          </cell>
          <cell r="AA4705">
            <v>0</v>
          </cell>
          <cell r="AB4705">
            <v>0</v>
          </cell>
        </row>
        <row r="4706">
          <cell r="G4706" t="str">
            <v>X1623_0</v>
          </cell>
          <cell r="H4706" t="str">
            <v>as</v>
          </cell>
          <cell r="I4706" t="str">
            <v>sim</v>
          </cell>
          <cell r="V4706" t="str">
            <v>not</v>
          </cell>
          <cell r="Y4706" t="str">
            <v>Past</v>
          </cell>
          <cell r="Z4706">
            <v>4.5599999999999996</v>
          </cell>
          <cell r="AA4706">
            <v>0</v>
          </cell>
          <cell r="AB4706">
            <v>0</v>
          </cell>
        </row>
        <row r="4707">
          <cell r="G4707" t="str">
            <v>X1623_1</v>
          </cell>
          <cell r="H4707" t="str">
            <v>as</v>
          </cell>
          <cell r="I4707" t="str">
            <v>sim</v>
          </cell>
          <cell r="V4707" t="str">
            <v>not</v>
          </cell>
          <cell r="Y4707" t="str">
            <v>Past</v>
          </cell>
          <cell r="Z4707">
            <v>4.79</v>
          </cell>
          <cell r="AA4707">
            <v>0</v>
          </cell>
          <cell r="AB4707">
            <v>0</v>
          </cell>
        </row>
        <row r="4708">
          <cell r="G4708" t="str">
            <v>X1624_0</v>
          </cell>
          <cell r="H4708" t="str">
            <v>as-as</v>
          </cell>
          <cell r="I4708" t="str">
            <v>sim</v>
          </cell>
          <cell r="V4708" t="str">
            <v>antonym</v>
          </cell>
          <cell r="Y4708" t="str">
            <v>Past</v>
          </cell>
          <cell r="Z4708">
            <v>3.93</v>
          </cell>
          <cell r="AA4708">
            <v>0</v>
          </cell>
          <cell r="AB4708">
            <v>0</v>
          </cell>
        </row>
        <row r="4709">
          <cell r="G4709" t="str">
            <v>X1624_1</v>
          </cell>
          <cell r="H4709" t="str">
            <v>as-as</v>
          </cell>
          <cell r="I4709" t="str">
            <v>sim</v>
          </cell>
          <cell r="V4709" t="str">
            <v>antonym</v>
          </cell>
          <cell r="Y4709" t="str">
            <v>Past</v>
          </cell>
          <cell r="Z4709">
            <v>3.93</v>
          </cell>
          <cell r="AA4709">
            <v>0</v>
          </cell>
          <cell r="AB4709">
            <v>0</v>
          </cell>
        </row>
        <row r="4710">
          <cell r="G4710" t="str">
            <v>X1625_0</v>
          </cell>
          <cell r="H4710" t="str">
            <v>as-as</v>
          </cell>
          <cell r="I4710" t="str">
            <v>sim</v>
          </cell>
          <cell r="V4710" t="str">
            <v>antonym</v>
          </cell>
          <cell r="Y4710" t="str">
            <v>Past</v>
          </cell>
          <cell r="Z4710">
            <v>4.75</v>
          </cell>
          <cell r="AA4710">
            <v>0</v>
          </cell>
          <cell r="AB4710">
            <v>0</v>
          </cell>
        </row>
        <row r="4711">
          <cell r="G4711" t="str">
            <v>X1625_1</v>
          </cell>
          <cell r="H4711" t="str">
            <v>as-as</v>
          </cell>
          <cell r="I4711" t="str">
            <v>sim</v>
          </cell>
          <cell r="V4711" t="str">
            <v>antonym</v>
          </cell>
          <cell r="Y4711" t="str">
            <v>Past</v>
          </cell>
          <cell r="Z4711">
            <v>4.75</v>
          </cell>
          <cell r="AA4711">
            <v>0</v>
          </cell>
          <cell r="AB4711">
            <v>0</v>
          </cell>
        </row>
        <row r="4712">
          <cell r="G4712" t="str">
            <v>X1626_0</v>
          </cell>
          <cell r="H4712" t="str">
            <v>as-as</v>
          </cell>
          <cell r="I4712" t="str">
            <v>sim</v>
          </cell>
          <cell r="V4712" t="str">
            <v>antonym</v>
          </cell>
          <cell r="Y4712" t="str">
            <v>Past</v>
          </cell>
          <cell r="Z4712">
            <v>4.88</v>
          </cell>
          <cell r="AA4712">
            <v>0</v>
          </cell>
          <cell r="AB4712">
            <v>0</v>
          </cell>
        </row>
        <row r="4713">
          <cell r="G4713" t="str">
            <v>X1626_1</v>
          </cell>
          <cell r="H4713" t="str">
            <v>as-as</v>
          </cell>
          <cell r="I4713" t="str">
            <v>sim</v>
          </cell>
          <cell r="V4713" t="str">
            <v>antonym</v>
          </cell>
          <cell r="Y4713" t="str">
            <v>Past</v>
          </cell>
          <cell r="Z4713">
            <v>4.88</v>
          </cell>
          <cell r="AA4713">
            <v>0</v>
          </cell>
          <cell r="AB4713">
            <v>0</v>
          </cell>
        </row>
        <row r="4714">
          <cell r="G4714" t="str">
            <v>X1627_0</v>
          </cell>
          <cell r="H4714" t="str">
            <v>as-as</v>
          </cell>
          <cell r="I4714" t="str">
            <v>sim</v>
          </cell>
          <cell r="V4714" t="str">
            <v>antonym</v>
          </cell>
          <cell r="Y4714" t="str">
            <v>Past</v>
          </cell>
          <cell r="Z4714">
            <v>0</v>
          </cell>
          <cell r="AA4714">
            <v>0</v>
          </cell>
          <cell r="AB4714">
            <v>0</v>
          </cell>
        </row>
        <row r="4715">
          <cell r="G4715" t="str">
            <v>X1627_1</v>
          </cell>
          <cell r="H4715" t="str">
            <v>as-as</v>
          </cell>
          <cell r="I4715" t="str">
            <v>sim</v>
          </cell>
          <cell r="V4715" t="str">
            <v>antonym</v>
          </cell>
          <cell r="Y4715" t="str">
            <v>Past</v>
          </cell>
          <cell r="Z4715">
            <v>0</v>
          </cell>
          <cell r="AA4715">
            <v>0</v>
          </cell>
          <cell r="AB4715">
            <v>0</v>
          </cell>
        </row>
        <row r="4716">
          <cell r="G4716" t="str">
            <v>X1628_0</v>
          </cell>
          <cell r="H4716" t="str">
            <v>like</v>
          </cell>
          <cell r="I4716" t="str">
            <v>sim</v>
          </cell>
          <cell r="V4716" t="str">
            <v>not</v>
          </cell>
          <cell r="Y4716" t="str">
            <v>Past</v>
          </cell>
          <cell r="Z4716">
            <v>3.93</v>
          </cell>
          <cell r="AA4716">
            <v>0</v>
          </cell>
          <cell r="AB4716">
            <v>0</v>
          </cell>
        </row>
        <row r="4717">
          <cell r="G4717" t="str">
            <v>X1628_1</v>
          </cell>
          <cell r="H4717" t="str">
            <v>like</v>
          </cell>
          <cell r="I4717" t="str">
            <v>sim</v>
          </cell>
          <cell r="V4717" t="str">
            <v>not</v>
          </cell>
          <cell r="Y4717" t="str">
            <v>Past</v>
          </cell>
          <cell r="Z4717">
            <v>3.93</v>
          </cell>
          <cell r="AA4717">
            <v>0</v>
          </cell>
          <cell r="AB4717">
            <v>0</v>
          </cell>
        </row>
        <row r="4718">
          <cell r="G4718" t="str">
            <v>X1629_0</v>
          </cell>
          <cell r="H4718" t="str">
            <v>as-as</v>
          </cell>
          <cell r="I4718" t="str">
            <v>sim</v>
          </cell>
          <cell r="V4718" t="str">
            <v>antonym</v>
          </cell>
          <cell r="Y4718" t="str">
            <v>Past</v>
          </cell>
          <cell r="Z4718">
            <v>4.46</v>
          </cell>
          <cell r="AA4718">
            <v>0</v>
          </cell>
          <cell r="AB4718">
            <v>0</v>
          </cell>
        </row>
        <row r="4719">
          <cell r="G4719" t="str">
            <v>X1629_1</v>
          </cell>
          <cell r="H4719" t="str">
            <v>as-as</v>
          </cell>
          <cell r="I4719" t="str">
            <v>sim</v>
          </cell>
          <cell r="V4719" t="str">
            <v>antonym</v>
          </cell>
          <cell r="Y4719" t="str">
            <v>Past</v>
          </cell>
          <cell r="Z4719">
            <v>4.46</v>
          </cell>
          <cell r="AA4719">
            <v>0</v>
          </cell>
          <cell r="AB4719">
            <v>0</v>
          </cell>
        </row>
        <row r="4720">
          <cell r="G4720" t="str">
            <v>X1630_0</v>
          </cell>
          <cell r="H4720" t="str">
            <v>like</v>
          </cell>
          <cell r="I4720" t="str">
            <v>sim</v>
          </cell>
          <cell r="V4720" t="str">
            <v>not neg pair</v>
          </cell>
          <cell r="Y4720" t="str">
            <v>Past</v>
          </cell>
          <cell r="Z4720">
            <v>3.92</v>
          </cell>
          <cell r="AA4720">
            <v>0</v>
          </cell>
          <cell r="AB4720">
            <v>0</v>
          </cell>
        </row>
        <row r="4721">
          <cell r="G4721" t="str">
            <v>X1630_1</v>
          </cell>
          <cell r="H4721" t="str">
            <v>like</v>
          </cell>
          <cell r="I4721" t="str">
            <v>sim</v>
          </cell>
          <cell r="V4721" t="str">
            <v>not neg pair</v>
          </cell>
          <cell r="Y4721" t="str">
            <v>Past</v>
          </cell>
          <cell r="Z4721">
            <v>3.92</v>
          </cell>
          <cell r="AA4721">
            <v>0</v>
          </cell>
          <cell r="AB4721">
            <v>0</v>
          </cell>
        </row>
        <row r="4722">
          <cell r="G4722" t="str">
            <v>X1631_0</v>
          </cell>
          <cell r="H4722" t="str">
            <v/>
          </cell>
          <cell r="I4722" t="str">
            <v>met</v>
          </cell>
          <cell r="V4722" t="str">
            <v>0</v>
          </cell>
          <cell r="Y4722" t="str">
            <v>Past</v>
          </cell>
          <cell r="Z4722">
            <v>4.8499999999999996</v>
          </cell>
          <cell r="AA4722">
            <v>0</v>
          </cell>
          <cell r="AB4722">
            <v>0</v>
          </cell>
        </row>
        <row r="4723">
          <cell r="G4723" t="str">
            <v>X1631_1</v>
          </cell>
          <cell r="H4723" t="str">
            <v/>
          </cell>
          <cell r="I4723" t="str">
            <v>met</v>
          </cell>
          <cell r="V4723" t="str">
            <v>0</v>
          </cell>
          <cell r="Y4723" t="str">
            <v>Past</v>
          </cell>
          <cell r="Z4723">
            <v>4.8499999999999996</v>
          </cell>
          <cell r="AA4723">
            <v>0</v>
          </cell>
          <cell r="AB4723">
            <v>0</v>
          </cell>
        </row>
        <row r="4724">
          <cell r="G4724" t="str">
            <v>X1632_0</v>
          </cell>
          <cell r="H4724" t="str">
            <v/>
          </cell>
          <cell r="I4724" t="str">
            <v>met</v>
          </cell>
          <cell r="V4724" t="str">
            <v>0</v>
          </cell>
          <cell r="Y4724" t="str">
            <v>Past</v>
          </cell>
          <cell r="Z4724">
            <v>4.32</v>
          </cell>
          <cell r="AA4724">
            <v>0</v>
          </cell>
          <cell r="AB4724">
            <v>0</v>
          </cell>
        </row>
        <row r="4725">
          <cell r="G4725" t="str">
            <v>X1632_1</v>
          </cell>
          <cell r="H4725" t="str">
            <v/>
          </cell>
          <cell r="I4725" t="str">
            <v>met</v>
          </cell>
          <cell r="V4725" t="str">
            <v>0</v>
          </cell>
          <cell r="Y4725" t="str">
            <v>Past</v>
          </cell>
          <cell r="Z4725">
            <v>4.32</v>
          </cell>
          <cell r="AA4725">
            <v>0</v>
          </cell>
          <cell r="AB4725">
            <v>0</v>
          </cell>
        </row>
        <row r="4726">
          <cell r="G4726" t="str">
            <v>X1633_0</v>
          </cell>
          <cell r="H4726" t="str">
            <v/>
          </cell>
          <cell r="I4726" t="str">
            <v>met</v>
          </cell>
          <cell r="V4726" t="str">
            <v>0</v>
          </cell>
          <cell r="Y4726" t="str">
            <v>Past</v>
          </cell>
          <cell r="Z4726">
            <v>1.83</v>
          </cell>
          <cell r="AA4726" t="str">
            <v>L</v>
          </cell>
          <cell r="AB4726">
            <v>0</v>
          </cell>
        </row>
        <row r="4727">
          <cell r="G4727" t="str">
            <v>X1633_1</v>
          </cell>
          <cell r="H4727" t="str">
            <v/>
          </cell>
          <cell r="I4727" t="str">
            <v>met</v>
          </cell>
          <cell r="V4727" t="str">
            <v>0</v>
          </cell>
          <cell r="Y4727" t="str">
            <v>Past</v>
          </cell>
          <cell r="Z4727">
            <v>1.83</v>
          </cell>
          <cell r="AA4727" t="str">
            <v>L</v>
          </cell>
          <cell r="AB4727">
            <v>0</v>
          </cell>
        </row>
        <row r="4728">
          <cell r="G4728" t="str">
            <v>X1634_0</v>
          </cell>
          <cell r="H4728" t="str">
            <v>as-as</v>
          </cell>
          <cell r="I4728" t="str">
            <v>sim</v>
          </cell>
          <cell r="V4728" t="str">
            <v>not neg pair</v>
          </cell>
          <cell r="Y4728" t="str">
            <v>Past</v>
          </cell>
          <cell r="Z4728">
            <v>2.81</v>
          </cell>
          <cell r="AA4728">
            <v>0</v>
          </cell>
          <cell r="AB4728">
            <v>0</v>
          </cell>
        </row>
        <row r="4729">
          <cell r="G4729" t="str">
            <v>X1634_1</v>
          </cell>
          <cell r="H4729" t="str">
            <v>as-as</v>
          </cell>
          <cell r="I4729" t="str">
            <v>sim</v>
          </cell>
          <cell r="V4729" t="str">
            <v>not neg pair</v>
          </cell>
          <cell r="Y4729" t="str">
            <v>Past</v>
          </cell>
          <cell r="Z4729">
            <v>2.81</v>
          </cell>
          <cell r="AA4729">
            <v>0</v>
          </cell>
          <cell r="AB4729">
            <v>0</v>
          </cell>
        </row>
        <row r="4730">
          <cell r="G4730" t="str">
            <v>X1635_0</v>
          </cell>
          <cell r="H4730" t="str">
            <v>as-as</v>
          </cell>
          <cell r="I4730" t="str">
            <v>sim</v>
          </cell>
          <cell r="V4730" t="str">
            <v>not neg pair</v>
          </cell>
          <cell r="Y4730" t="str">
            <v>Past</v>
          </cell>
          <cell r="Z4730">
            <v>4.63</v>
          </cell>
          <cell r="AA4730">
            <v>0</v>
          </cell>
          <cell r="AB4730">
            <v>0</v>
          </cell>
        </row>
        <row r="4731">
          <cell r="G4731" t="str">
            <v>X1635_1</v>
          </cell>
          <cell r="H4731" t="str">
            <v>as-as</v>
          </cell>
          <cell r="I4731" t="str">
            <v>sim</v>
          </cell>
          <cell r="V4731" t="str">
            <v>not neg pair</v>
          </cell>
          <cell r="Y4731" t="str">
            <v>Past</v>
          </cell>
          <cell r="Z4731">
            <v>4.63</v>
          </cell>
          <cell r="AA4731">
            <v>0</v>
          </cell>
          <cell r="AB4731">
            <v>0</v>
          </cell>
        </row>
        <row r="4732">
          <cell r="G4732" t="str">
            <v>X1636_0</v>
          </cell>
          <cell r="H4732" t="str">
            <v>as-as</v>
          </cell>
          <cell r="I4732" t="str">
            <v>sim</v>
          </cell>
          <cell r="V4732" t="str">
            <v>not neg pair</v>
          </cell>
          <cell r="Y4732" t="str">
            <v>Past</v>
          </cell>
          <cell r="Z4732">
            <v>2.81</v>
          </cell>
          <cell r="AA4732">
            <v>0</v>
          </cell>
          <cell r="AB4732">
            <v>0</v>
          </cell>
        </row>
        <row r="4733">
          <cell r="G4733" t="str">
            <v>X1636_1</v>
          </cell>
          <cell r="H4733" t="str">
            <v>as-as</v>
          </cell>
          <cell r="I4733" t="str">
            <v>sim</v>
          </cell>
          <cell r="V4733" t="str">
            <v>not neg pair</v>
          </cell>
          <cell r="Y4733" t="str">
            <v>Past</v>
          </cell>
          <cell r="Z4733">
            <v>2.81</v>
          </cell>
          <cell r="AA4733">
            <v>0</v>
          </cell>
          <cell r="AB4733">
            <v>0</v>
          </cell>
        </row>
        <row r="4734">
          <cell r="G4734" t="str">
            <v>X1637_0</v>
          </cell>
          <cell r="H4734" t="str">
            <v>as</v>
          </cell>
          <cell r="I4734" t="str">
            <v>sim</v>
          </cell>
          <cell r="V4734" t="str">
            <v>not neg pair</v>
          </cell>
          <cell r="Y4734" t="str">
            <v>Past</v>
          </cell>
          <cell r="Z4734">
            <v>3.85</v>
          </cell>
          <cell r="AA4734">
            <v>0</v>
          </cell>
          <cell r="AB4734">
            <v>0</v>
          </cell>
        </row>
        <row r="4735">
          <cell r="G4735" t="str">
            <v>X1637_1</v>
          </cell>
          <cell r="H4735" t="str">
            <v>as</v>
          </cell>
          <cell r="I4735" t="str">
            <v>sim</v>
          </cell>
          <cell r="V4735" t="str">
            <v>not neg pair</v>
          </cell>
          <cell r="Y4735" t="str">
            <v>Past</v>
          </cell>
          <cell r="Z4735">
            <v>3.85</v>
          </cell>
          <cell r="AA4735">
            <v>0</v>
          </cell>
          <cell r="AB4735">
            <v>0</v>
          </cell>
        </row>
        <row r="4736">
          <cell r="G4736" t="str">
            <v>X1638_0</v>
          </cell>
          <cell r="H4736" t="str">
            <v>as-as</v>
          </cell>
          <cell r="I4736" t="str">
            <v>sim</v>
          </cell>
          <cell r="V4736" t="str">
            <v>not neg pair</v>
          </cell>
          <cell r="Y4736" t="str">
            <v>Pres</v>
          </cell>
          <cell r="Z4736">
            <v>3.93</v>
          </cell>
          <cell r="AA4736">
            <v>0</v>
          </cell>
          <cell r="AB4736">
            <v>0</v>
          </cell>
        </row>
        <row r="4737">
          <cell r="G4737" t="str">
            <v>X1638_1</v>
          </cell>
          <cell r="H4737" t="str">
            <v>as-as</v>
          </cell>
          <cell r="I4737" t="str">
            <v>sim</v>
          </cell>
          <cell r="V4737" t="str">
            <v>not neg pair</v>
          </cell>
          <cell r="Y4737" t="str">
            <v>Past</v>
          </cell>
          <cell r="Z4737">
            <v>3.93</v>
          </cell>
          <cell r="AA4737">
            <v>0</v>
          </cell>
          <cell r="AB4737">
            <v>0</v>
          </cell>
        </row>
        <row r="4738">
          <cell r="G4738" t="str">
            <v>X1639_0</v>
          </cell>
          <cell r="H4738" t="str">
            <v>the-of</v>
          </cell>
          <cell r="I4738" t="str">
            <v>sim</v>
          </cell>
          <cell r="V4738" t="str">
            <v>not neg pair</v>
          </cell>
          <cell r="Y4738" t="str">
            <v>Past</v>
          </cell>
          <cell r="Z4738">
            <v>4.3099999999999996</v>
          </cell>
          <cell r="AA4738">
            <v>0</v>
          </cell>
          <cell r="AB4738">
            <v>0</v>
          </cell>
        </row>
        <row r="4739">
          <cell r="G4739" t="str">
            <v>X1639_1</v>
          </cell>
          <cell r="H4739" t="str">
            <v>the-of</v>
          </cell>
          <cell r="I4739" t="str">
            <v>sim</v>
          </cell>
          <cell r="V4739" t="str">
            <v>not neg pair</v>
          </cell>
          <cell r="Y4739" t="str">
            <v>Pres</v>
          </cell>
          <cell r="Z4739">
            <v>4.3099999999999996</v>
          </cell>
          <cell r="AA4739">
            <v>0</v>
          </cell>
          <cell r="AB4739">
            <v>0</v>
          </cell>
        </row>
        <row r="4740">
          <cell r="G4740" t="str">
            <v>X1640_0</v>
          </cell>
          <cell r="H4740" t="str">
            <v>as-as</v>
          </cell>
          <cell r="I4740" t="str">
            <v>sim</v>
          </cell>
          <cell r="V4740" t="str">
            <v>antonym</v>
          </cell>
          <cell r="Y4740" t="str">
            <v>Pres</v>
          </cell>
          <cell r="Z4740">
            <v>4.97</v>
          </cell>
          <cell r="AA4740" t="str">
            <v>H</v>
          </cell>
          <cell r="AB4740">
            <v>0</v>
          </cell>
        </row>
        <row r="4741">
          <cell r="G4741" t="str">
            <v>X1640_1</v>
          </cell>
          <cell r="H4741" t="str">
            <v>as-as</v>
          </cell>
          <cell r="I4741" t="str">
            <v>sim</v>
          </cell>
          <cell r="V4741" t="str">
            <v>antonym</v>
          </cell>
          <cell r="Y4741" t="str">
            <v>Pres</v>
          </cell>
          <cell r="Z4741">
            <v>4.97</v>
          </cell>
          <cell r="AA4741" t="str">
            <v>H</v>
          </cell>
          <cell r="AB4741">
            <v>0</v>
          </cell>
        </row>
        <row r="4742">
          <cell r="G4742" t="str">
            <v>X1641_0</v>
          </cell>
          <cell r="H4742" t="str">
            <v>as-as</v>
          </cell>
          <cell r="I4742" t="str">
            <v>sim</v>
          </cell>
          <cell r="V4742" t="str">
            <v>antonym</v>
          </cell>
          <cell r="Y4742" t="str">
            <v>Pres</v>
          </cell>
          <cell r="Z4742">
            <v>3.36</v>
          </cell>
          <cell r="AA4742">
            <v>0</v>
          </cell>
          <cell r="AB4742">
            <v>0</v>
          </cell>
        </row>
        <row r="4743">
          <cell r="G4743" t="str">
            <v>X1641_1</v>
          </cell>
          <cell r="H4743" t="str">
            <v>as-as</v>
          </cell>
          <cell r="I4743" t="str">
            <v>sim</v>
          </cell>
          <cell r="V4743" t="str">
            <v>antonym</v>
          </cell>
          <cell r="Y4743" t="str">
            <v>Pres</v>
          </cell>
          <cell r="Z4743">
            <v>3.36</v>
          </cell>
          <cell r="AA4743">
            <v>0</v>
          </cell>
          <cell r="AB4743">
            <v>0</v>
          </cell>
        </row>
        <row r="4744">
          <cell r="G4744" t="str">
            <v>X1642_0</v>
          </cell>
          <cell r="H4744" t="str">
            <v>as-as</v>
          </cell>
          <cell r="I4744" t="str">
            <v>sim</v>
          </cell>
          <cell r="V4744" t="str">
            <v>antonym</v>
          </cell>
          <cell r="Y4744" t="str">
            <v>Pres</v>
          </cell>
          <cell r="Z4744">
            <v>4.8899999999999997</v>
          </cell>
          <cell r="AA4744">
            <v>0</v>
          </cell>
          <cell r="AB4744">
            <v>0</v>
          </cell>
        </row>
        <row r="4745">
          <cell r="G4745" t="str">
            <v>X1642_1</v>
          </cell>
          <cell r="H4745" t="str">
            <v>as-as</v>
          </cell>
          <cell r="I4745" t="str">
            <v>sim</v>
          </cell>
          <cell r="V4745" t="str">
            <v>antonym</v>
          </cell>
          <cell r="Y4745" t="str">
            <v>Pres</v>
          </cell>
          <cell r="Z4745">
            <v>4.8899999999999997</v>
          </cell>
          <cell r="AA4745">
            <v>0</v>
          </cell>
          <cell r="AB4745">
            <v>0</v>
          </cell>
        </row>
        <row r="4746">
          <cell r="G4746" t="str">
            <v>X1643_0</v>
          </cell>
          <cell r="H4746" t="str">
            <v/>
          </cell>
          <cell r="I4746" t="str">
            <v>met</v>
          </cell>
          <cell r="V4746" t="str">
            <v>0</v>
          </cell>
          <cell r="Y4746" t="str">
            <v>Past</v>
          </cell>
          <cell r="Z4746">
            <v>4.8899999999999997</v>
          </cell>
          <cell r="AA4746">
            <v>0</v>
          </cell>
          <cell r="AB4746">
            <v>0</v>
          </cell>
        </row>
        <row r="4747">
          <cell r="G4747" t="str">
            <v>X1643_1</v>
          </cell>
          <cell r="H4747" t="str">
            <v/>
          </cell>
          <cell r="I4747" t="str">
            <v>met</v>
          </cell>
          <cell r="V4747" t="str">
            <v>0</v>
          </cell>
          <cell r="Y4747" t="str">
            <v>Past</v>
          </cell>
          <cell r="Z4747">
            <v>4.8899999999999997</v>
          </cell>
          <cell r="AA4747">
            <v>0</v>
          </cell>
          <cell r="AB4747">
            <v>0</v>
          </cell>
        </row>
        <row r="4748">
          <cell r="G4748" t="str">
            <v>X1644_0</v>
          </cell>
          <cell r="H4748" t="str">
            <v/>
          </cell>
          <cell r="I4748" t="str">
            <v>met</v>
          </cell>
          <cell r="V4748" t="str">
            <v>0</v>
          </cell>
          <cell r="Y4748" t="str">
            <v>Past</v>
          </cell>
          <cell r="Z4748">
            <v>4.5</v>
          </cell>
          <cell r="AA4748">
            <v>0</v>
          </cell>
          <cell r="AB4748">
            <v>0</v>
          </cell>
        </row>
        <row r="4749">
          <cell r="G4749" t="str">
            <v>X1644_1</v>
          </cell>
          <cell r="H4749" t="str">
            <v/>
          </cell>
          <cell r="I4749" t="str">
            <v>met</v>
          </cell>
          <cell r="V4749" t="str">
            <v>0</v>
          </cell>
          <cell r="Y4749" t="str">
            <v>Past</v>
          </cell>
          <cell r="Z4749">
            <v>4.5</v>
          </cell>
          <cell r="AA4749">
            <v>0</v>
          </cell>
          <cell r="AB4749">
            <v>0</v>
          </cell>
        </row>
        <row r="4750">
          <cell r="G4750" t="str">
            <v>X1645_0</v>
          </cell>
          <cell r="H4750" t="str">
            <v/>
          </cell>
          <cell r="I4750" t="str">
            <v>met</v>
          </cell>
          <cell r="V4750" t="str">
            <v>0</v>
          </cell>
          <cell r="Y4750" t="str">
            <v>Pres</v>
          </cell>
          <cell r="Z4750">
            <v>4.13</v>
          </cell>
          <cell r="AA4750">
            <v>0</v>
          </cell>
          <cell r="AB4750">
            <v>0</v>
          </cell>
        </row>
        <row r="4751">
          <cell r="G4751" t="str">
            <v>X1645_1</v>
          </cell>
          <cell r="H4751" t="str">
            <v/>
          </cell>
          <cell r="I4751" t="str">
            <v>met</v>
          </cell>
          <cell r="V4751" t="str">
            <v>0</v>
          </cell>
          <cell r="Y4751" t="str">
            <v>Pres</v>
          </cell>
          <cell r="Z4751">
            <v>4.13</v>
          </cell>
          <cell r="AA4751">
            <v>0</v>
          </cell>
          <cell r="AB4751">
            <v>0</v>
          </cell>
        </row>
        <row r="4752">
          <cell r="G4752" t="str">
            <v>X1646_0</v>
          </cell>
          <cell r="H4752" t="str">
            <v>the-of</v>
          </cell>
          <cell r="I4752" t="str">
            <v>sim</v>
          </cell>
          <cell r="V4752" t="str">
            <v>not neg pair</v>
          </cell>
          <cell r="Y4752" t="str">
            <v>Past</v>
          </cell>
          <cell r="Z4752">
            <v>4.8499999999999996</v>
          </cell>
          <cell r="AA4752">
            <v>0</v>
          </cell>
          <cell r="AB4752">
            <v>0</v>
          </cell>
        </row>
        <row r="4753">
          <cell r="G4753" t="str">
            <v>X1646_1</v>
          </cell>
          <cell r="H4753" t="str">
            <v>the-of</v>
          </cell>
          <cell r="I4753" t="str">
            <v>sim</v>
          </cell>
          <cell r="V4753" t="str">
            <v>not neg pair</v>
          </cell>
          <cell r="Y4753" t="str">
            <v>Past</v>
          </cell>
          <cell r="Z4753">
            <v>4.8499999999999996</v>
          </cell>
          <cell r="AA4753">
            <v>0</v>
          </cell>
          <cell r="AB4753">
            <v>0</v>
          </cell>
        </row>
        <row r="4754">
          <cell r="G4754" t="str">
            <v>X1647_0</v>
          </cell>
          <cell r="H4754" t="str">
            <v>the-of</v>
          </cell>
          <cell r="I4754" t="str">
            <v>sim</v>
          </cell>
          <cell r="V4754" t="str">
            <v>not neg pair</v>
          </cell>
          <cell r="Y4754" t="str">
            <v>Past</v>
          </cell>
          <cell r="Z4754">
            <v>4.79</v>
          </cell>
          <cell r="AA4754">
            <v>0</v>
          </cell>
          <cell r="AB4754">
            <v>0</v>
          </cell>
        </row>
        <row r="4755">
          <cell r="G4755" t="str">
            <v>X1647_1</v>
          </cell>
          <cell r="H4755" t="str">
            <v>the-of</v>
          </cell>
          <cell r="I4755" t="str">
            <v>sim</v>
          </cell>
          <cell r="V4755" t="str">
            <v>not neg pair</v>
          </cell>
          <cell r="Y4755" t="str">
            <v>Past</v>
          </cell>
          <cell r="Z4755">
            <v>4.79</v>
          </cell>
          <cell r="AA4755">
            <v>0</v>
          </cell>
          <cell r="AB4755">
            <v>0</v>
          </cell>
        </row>
        <row r="4756">
          <cell r="G4756" t="str">
            <v>X1648_0</v>
          </cell>
          <cell r="H4756" t="str">
            <v>the-of</v>
          </cell>
          <cell r="I4756" t="str">
            <v>sim</v>
          </cell>
          <cell r="V4756" t="str">
            <v>not neg pair</v>
          </cell>
          <cell r="Y4756" t="str">
            <v>Past</v>
          </cell>
          <cell r="Z4756">
            <v>4.93</v>
          </cell>
          <cell r="AA4756" t="str">
            <v>H</v>
          </cell>
          <cell r="AB4756">
            <v>0</v>
          </cell>
        </row>
        <row r="4757">
          <cell r="G4757" t="str">
            <v>X1648_1</v>
          </cell>
          <cell r="H4757" t="str">
            <v>the-of</v>
          </cell>
          <cell r="I4757" t="str">
            <v>sim</v>
          </cell>
          <cell r="V4757" t="str">
            <v>not neg pair</v>
          </cell>
          <cell r="Y4757" t="str">
            <v>Past</v>
          </cell>
          <cell r="Z4757">
            <v>4.93</v>
          </cell>
          <cell r="AA4757" t="str">
            <v>H</v>
          </cell>
          <cell r="AB4757">
            <v>0</v>
          </cell>
        </row>
        <row r="4758">
          <cell r="G4758" t="str">
            <v>X1649_0</v>
          </cell>
          <cell r="H4758" t="str">
            <v/>
          </cell>
          <cell r="I4758" t="str">
            <v>met</v>
          </cell>
          <cell r="V4758" t="str">
            <v>0</v>
          </cell>
          <cell r="Y4758" t="str">
            <v>Pres</v>
          </cell>
          <cell r="Z4758">
            <v>1.47</v>
          </cell>
          <cell r="AA4758" t="str">
            <v>L</v>
          </cell>
          <cell r="AB4758">
            <v>0</v>
          </cell>
        </row>
        <row r="4759">
          <cell r="G4759" t="str">
            <v>X1649_1</v>
          </cell>
          <cell r="H4759" t="str">
            <v/>
          </cell>
          <cell r="I4759" t="str">
            <v>met</v>
          </cell>
          <cell r="V4759" t="str">
            <v>0</v>
          </cell>
          <cell r="Y4759" t="str">
            <v>Pres</v>
          </cell>
          <cell r="Z4759">
            <v>1.47</v>
          </cell>
          <cell r="AA4759" t="str">
            <v>L</v>
          </cell>
          <cell r="AB4759">
            <v>0</v>
          </cell>
        </row>
        <row r="4760">
          <cell r="G4760" t="str">
            <v>X1650_0</v>
          </cell>
          <cell r="H4760" t="str">
            <v/>
          </cell>
          <cell r="I4760" t="str">
            <v>met</v>
          </cell>
          <cell r="V4760" t="str">
            <v>0</v>
          </cell>
          <cell r="Y4760" t="str">
            <v>Pres</v>
          </cell>
          <cell r="Z4760">
            <v>3.08</v>
          </cell>
          <cell r="AA4760">
            <v>0</v>
          </cell>
          <cell r="AB4760">
            <v>0</v>
          </cell>
        </row>
        <row r="4761">
          <cell r="G4761" t="str">
            <v>X1650_1</v>
          </cell>
          <cell r="H4761" t="str">
            <v/>
          </cell>
          <cell r="I4761" t="str">
            <v>met</v>
          </cell>
          <cell r="V4761" t="str">
            <v>0</v>
          </cell>
          <cell r="Y4761" t="str">
            <v>Past</v>
          </cell>
          <cell r="Z4761">
            <v>3.08</v>
          </cell>
          <cell r="AA4761">
            <v>0</v>
          </cell>
          <cell r="AB4761">
            <v>0</v>
          </cell>
        </row>
        <row r="4762">
          <cell r="G4762" t="str">
            <v>X1651_0</v>
          </cell>
          <cell r="H4762" t="str">
            <v/>
          </cell>
          <cell r="I4762" t="str">
            <v>met</v>
          </cell>
          <cell r="V4762" t="str">
            <v>0</v>
          </cell>
          <cell r="Y4762" t="str">
            <v>Pres</v>
          </cell>
          <cell r="Z4762">
            <v>4.79</v>
          </cell>
          <cell r="AA4762">
            <v>0</v>
          </cell>
          <cell r="AB4762">
            <v>0</v>
          </cell>
        </row>
        <row r="4763">
          <cell r="G4763" t="str">
            <v>X1651_1</v>
          </cell>
          <cell r="H4763" t="str">
            <v/>
          </cell>
          <cell r="I4763" t="str">
            <v>met</v>
          </cell>
          <cell r="V4763" t="str">
            <v>0</v>
          </cell>
          <cell r="Y4763" t="str">
            <v>Pres</v>
          </cell>
          <cell r="Z4763">
            <v>4.79</v>
          </cell>
          <cell r="AA4763">
            <v>0</v>
          </cell>
          <cell r="AB4763">
            <v>0</v>
          </cell>
        </row>
        <row r="4764">
          <cell r="G4764" t="str">
            <v>X1652_0</v>
          </cell>
          <cell r="H4764" t="str">
            <v>as-as</v>
          </cell>
          <cell r="I4764" t="str">
            <v>sim</v>
          </cell>
          <cell r="V4764" t="str">
            <v>not</v>
          </cell>
          <cell r="Y4764" t="str">
            <v>Pres</v>
          </cell>
          <cell r="Z4764">
            <v>3.21</v>
          </cell>
          <cell r="AA4764">
            <v>0</v>
          </cell>
          <cell r="AB4764">
            <v>0</v>
          </cell>
        </row>
        <row r="4765">
          <cell r="G4765" t="str">
            <v>X1652_1</v>
          </cell>
          <cell r="H4765" t="str">
            <v>as-as</v>
          </cell>
          <cell r="I4765" t="str">
            <v>sim</v>
          </cell>
          <cell r="V4765" t="str">
            <v>not</v>
          </cell>
          <cell r="Y4765" t="str">
            <v>Pres</v>
          </cell>
          <cell r="Z4765">
            <v>3.21</v>
          </cell>
          <cell r="AA4765">
            <v>0</v>
          </cell>
          <cell r="AB4765">
            <v>0</v>
          </cell>
        </row>
        <row r="4766">
          <cell r="G4766" t="str">
            <v>X1653_0</v>
          </cell>
          <cell r="H4766" t="str">
            <v>like</v>
          </cell>
          <cell r="I4766" t="str">
            <v>sim</v>
          </cell>
          <cell r="V4766" t="str">
            <v>not neg pair</v>
          </cell>
          <cell r="Y4766" t="str">
            <v>Pres</v>
          </cell>
          <cell r="Z4766">
            <v>4.97</v>
          </cell>
          <cell r="AA4766" t="str">
            <v>H</v>
          </cell>
          <cell r="AB4766">
            <v>0</v>
          </cell>
        </row>
        <row r="4767">
          <cell r="G4767" t="str">
            <v>X1653_1</v>
          </cell>
          <cell r="H4767" t="str">
            <v>like</v>
          </cell>
          <cell r="I4767" t="str">
            <v>sim</v>
          </cell>
          <cell r="V4767" t="str">
            <v>not neg pair</v>
          </cell>
          <cell r="Y4767" t="str">
            <v>Pres</v>
          </cell>
          <cell r="Z4767">
            <v>4.97</v>
          </cell>
          <cell r="AA4767" t="str">
            <v>H</v>
          </cell>
          <cell r="AB4767">
            <v>0</v>
          </cell>
        </row>
        <row r="4768">
          <cell r="G4768" t="str">
            <v>X1654_0</v>
          </cell>
          <cell r="H4768" t="str">
            <v>the-of</v>
          </cell>
          <cell r="I4768" t="str">
            <v>sim</v>
          </cell>
          <cell r="V4768" t="str">
            <v>not neg pair</v>
          </cell>
          <cell r="Y4768" t="str">
            <v>Past</v>
          </cell>
          <cell r="Z4768">
            <v>2.81</v>
          </cell>
          <cell r="AA4768">
            <v>0</v>
          </cell>
          <cell r="AB4768">
            <v>0</v>
          </cell>
        </row>
        <row r="4769">
          <cell r="G4769" t="str">
            <v>X1654_1</v>
          </cell>
          <cell r="H4769" t="str">
            <v>the-of</v>
          </cell>
          <cell r="I4769" t="str">
            <v>sim</v>
          </cell>
          <cell r="V4769" t="str">
            <v>not neg pair</v>
          </cell>
          <cell r="Y4769" t="str">
            <v>Past</v>
          </cell>
          <cell r="Z4769">
            <v>2.81</v>
          </cell>
          <cell r="AA4769">
            <v>0</v>
          </cell>
          <cell r="AB4769">
            <v>0</v>
          </cell>
        </row>
        <row r="4770">
          <cell r="G4770" t="str">
            <v>X1655_0</v>
          </cell>
          <cell r="H4770" t="str">
            <v>like</v>
          </cell>
          <cell r="I4770" t="str">
            <v>sim</v>
          </cell>
          <cell r="V4770" t="str">
            <v>not neg pair</v>
          </cell>
          <cell r="Y4770" t="str">
            <v>Past</v>
          </cell>
          <cell r="Z4770">
            <v>4.46</v>
          </cell>
          <cell r="AA4770">
            <v>0</v>
          </cell>
          <cell r="AB4770">
            <v>0</v>
          </cell>
        </row>
        <row r="4771">
          <cell r="G4771" t="str">
            <v>X1655_1</v>
          </cell>
          <cell r="H4771" t="str">
            <v>like</v>
          </cell>
          <cell r="I4771" t="str">
            <v>sim</v>
          </cell>
          <cell r="V4771" t="str">
            <v>not neg pair</v>
          </cell>
          <cell r="Y4771" t="str">
            <v>Past</v>
          </cell>
          <cell r="Z4771">
            <v>2.81</v>
          </cell>
          <cell r="AA4771">
            <v>0</v>
          </cell>
          <cell r="AB4771">
            <v>0</v>
          </cell>
        </row>
        <row r="4772">
          <cell r="G4772" t="str">
            <v>X1656_0</v>
          </cell>
          <cell r="H4772" t="str">
            <v>as-as</v>
          </cell>
          <cell r="I4772" t="str">
            <v>sim</v>
          </cell>
          <cell r="V4772" t="str">
            <v>not neg pair</v>
          </cell>
          <cell r="Y4772" t="str">
            <v>Past</v>
          </cell>
          <cell r="Z4772">
            <v>2.81</v>
          </cell>
          <cell r="AA4772">
            <v>0</v>
          </cell>
          <cell r="AB4772">
            <v>0</v>
          </cell>
        </row>
        <row r="4773">
          <cell r="G4773" t="str">
            <v>X1656_1</v>
          </cell>
          <cell r="H4773" t="str">
            <v>as-as</v>
          </cell>
          <cell r="I4773" t="str">
            <v>sim</v>
          </cell>
          <cell r="V4773" t="str">
            <v>not neg pair</v>
          </cell>
          <cell r="Y4773" t="str">
            <v>Past</v>
          </cell>
          <cell r="Z4773">
            <v>2.81</v>
          </cell>
          <cell r="AA4773">
            <v>0</v>
          </cell>
          <cell r="AB4773">
            <v>0</v>
          </cell>
        </row>
        <row r="4774">
          <cell r="G4774" t="str">
            <v>X1657_0</v>
          </cell>
          <cell r="H4774" t="str">
            <v>as-as</v>
          </cell>
          <cell r="I4774" t="str">
            <v>sim</v>
          </cell>
          <cell r="V4774" t="str">
            <v>not neg pair</v>
          </cell>
          <cell r="Y4774" t="str">
            <v>Past</v>
          </cell>
          <cell r="Z4774">
            <v>2.81</v>
          </cell>
          <cell r="AA4774">
            <v>0</v>
          </cell>
          <cell r="AB4774">
            <v>0</v>
          </cell>
        </row>
        <row r="4775">
          <cell r="G4775" t="str">
            <v>X1657_1</v>
          </cell>
          <cell r="H4775" t="str">
            <v>as-as</v>
          </cell>
          <cell r="I4775" t="str">
            <v>sim</v>
          </cell>
          <cell r="V4775" t="str">
            <v>not neg pair</v>
          </cell>
          <cell r="Y4775" t="str">
            <v>Past</v>
          </cell>
          <cell r="Z4775">
            <v>2.81</v>
          </cell>
          <cell r="AA4775">
            <v>0</v>
          </cell>
          <cell r="AB4775">
            <v>0</v>
          </cell>
        </row>
        <row r="4776">
          <cell r="G4776" t="str">
            <v>X1658_0</v>
          </cell>
          <cell r="H4776" t="str">
            <v>as-as</v>
          </cell>
          <cell r="I4776" t="str">
            <v>sim</v>
          </cell>
          <cell r="V4776" t="str">
            <v>antonym</v>
          </cell>
          <cell r="Y4776" t="str">
            <v>Past</v>
          </cell>
          <cell r="Z4776">
            <v>2.81</v>
          </cell>
          <cell r="AA4776">
            <v>0</v>
          </cell>
          <cell r="AB4776">
            <v>0</v>
          </cell>
        </row>
        <row r="4777">
          <cell r="G4777" t="str">
            <v>X1658_1</v>
          </cell>
          <cell r="H4777" t="str">
            <v>as-as</v>
          </cell>
          <cell r="I4777" t="str">
            <v>sim</v>
          </cell>
          <cell r="V4777" t="str">
            <v>antonym</v>
          </cell>
          <cell r="Y4777" t="str">
            <v>Past</v>
          </cell>
          <cell r="Z4777">
            <v>2.81</v>
          </cell>
          <cell r="AA4777">
            <v>0</v>
          </cell>
          <cell r="AB4777">
            <v>0</v>
          </cell>
        </row>
        <row r="4778">
          <cell r="G4778" t="str">
            <v>X1659_0</v>
          </cell>
          <cell r="H4778" t="str">
            <v>as-as</v>
          </cell>
          <cell r="I4778" t="str">
            <v>sim</v>
          </cell>
          <cell r="V4778" t="str">
            <v>not neg pair</v>
          </cell>
          <cell r="Y4778" t="str">
            <v>Past</v>
          </cell>
          <cell r="Z4778">
            <v>2.81</v>
          </cell>
          <cell r="AA4778">
            <v>0</v>
          </cell>
          <cell r="AB4778">
            <v>0</v>
          </cell>
        </row>
        <row r="4779">
          <cell r="G4779" t="str">
            <v>X1659_1</v>
          </cell>
          <cell r="H4779" t="str">
            <v>as-as</v>
          </cell>
          <cell r="I4779" t="str">
            <v>sim</v>
          </cell>
          <cell r="V4779" t="str">
            <v>not neg pair</v>
          </cell>
          <cell r="Y4779" t="str">
            <v>Past</v>
          </cell>
          <cell r="Z4779">
            <v>2.81</v>
          </cell>
          <cell r="AA4779">
            <v>0</v>
          </cell>
          <cell r="AB4779">
            <v>0</v>
          </cell>
        </row>
        <row r="4780">
          <cell r="G4780" t="str">
            <v>X1660_0</v>
          </cell>
          <cell r="H4780" t="str">
            <v>as-as</v>
          </cell>
          <cell r="I4780" t="str">
            <v>sim</v>
          </cell>
          <cell r="V4780" t="str">
            <v>antonym</v>
          </cell>
          <cell r="Y4780" t="str">
            <v>Past</v>
          </cell>
          <cell r="Z4780">
            <v>2.81</v>
          </cell>
          <cell r="AA4780">
            <v>0</v>
          </cell>
          <cell r="AB4780">
            <v>0</v>
          </cell>
        </row>
        <row r="4781">
          <cell r="G4781" t="str">
            <v>X1660_1</v>
          </cell>
          <cell r="H4781" t="str">
            <v>as-as</v>
          </cell>
          <cell r="I4781" t="str">
            <v>sim</v>
          </cell>
          <cell r="V4781" t="str">
            <v>antonym</v>
          </cell>
          <cell r="Y4781" t="str">
            <v>Past</v>
          </cell>
          <cell r="Z4781">
            <v>2.81</v>
          </cell>
          <cell r="AA4781">
            <v>0</v>
          </cell>
          <cell r="AB4781">
            <v>0</v>
          </cell>
        </row>
        <row r="4782">
          <cell r="G4782" t="str">
            <v>X1661_0</v>
          </cell>
          <cell r="H4782" t="str">
            <v>as-as</v>
          </cell>
          <cell r="I4782" t="str">
            <v>sim</v>
          </cell>
          <cell r="V4782" t="str">
            <v>not</v>
          </cell>
          <cell r="Y4782" t="str">
            <v>Pres</v>
          </cell>
          <cell r="Z4782">
            <v>4.41</v>
          </cell>
          <cell r="AA4782">
            <v>0</v>
          </cell>
          <cell r="AB4782">
            <v>0</v>
          </cell>
        </row>
        <row r="4783">
          <cell r="G4783" t="str">
            <v>X1661_1</v>
          </cell>
          <cell r="H4783" t="str">
            <v>as-as</v>
          </cell>
          <cell r="I4783" t="str">
            <v>sim</v>
          </cell>
          <cell r="V4783" t="str">
            <v>not</v>
          </cell>
          <cell r="Y4783" t="str">
            <v>Pres</v>
          </cell>
          <cell r="Z4783">
            <v>4.41</v>
          </cell>
          <cell r="AA4783">
            <v>0</v>
          </cell>
          <cell r="AB4783">
            <v>0</v>
          </cell>
        </row>
        <row r="4784">
          <cell r="G4784" t="str">
            <v>X1662_0</v>
          </cell>
          <cell r="H4784" t="str">
            <v>as-as</v>
          </cell>
          <cell r="I4784" t="str">
            <v>sim</v>
          </cell>
          <cell r="V4784" t="str">
            <v>not neg pair</v>
          </cell>
          <cell r="Y4784" t="str">
            <v>Pres</v>
          </cell>
          <cell r="Z4784">
            <v>3.93</v>
          </cell>
          <cell r="AA4784">
            <v>0</v>
          </cell>
          <cell r="AB4784">
            <v>0</v>
          </cell>
        </row>
        <row r="4785">
          <cell r="G4785" t="str">
            <v>X1662_1</v>
          </cell>
          <cell r="H4785" t="str">
            <v>as-as</v>
          </cell>
          <cell r="I4785" t="str">
            <v>sim</v>
          </cell>
          <cell r="V4785" t="str">
            <v>not neg pair</v>
          </cell>
          <cell r="Y4785" t="str">
            <v>Pres</v>
          </cell>
          <cell r="Z4785">
            <v>3.93</v>
          </cell>
          <cell r="AA4785">
            <v>0</v>
          </cell>
          <cell r="AB4785">
            <v>0</v>
          </cell>
        </row>
        <row r="4786">
          <cell r="G4786" t="str">
            <v>X1663_0</v>
          </cell>
          <cell r="H4786" t="str">
            <v>as-as</v>
          </cell>
          <cell r="I4786" t="str">
            <v>sim</v>
          </cell>
          <cell r="V4786" t="str">
            <v>not</v>
          </cell>
          <cell r="Y4786" t="str">
            <v>Pres</v>
          </cell>
          <cell r="Z4786">
            <v>4.1100000000000003</v>
          </cell>
          <cell r="AA4786">
            <v>0</v>
          </cell>
          <cell r="AB4786">
            <v>0</v>
          </cell>
        </row>
        <row r="4787">
          <cell r="G4787" t="str">
            <v>X1663_1</v>
          </cell>
          <cell r="H4787" t="str">
            <v>as-as</v>
          </cell>
          <cell r="I4787" t="str">
            <v>sim</v>
          </cell>
          <cell r="V4787" t="str">
            <v>not</v>
          </cell>
          <cell r="Y4787" t="str">
            <v>Pres</v>
          </cell>
          <cell r="Z4787">
            <v>4.1100000000000003</v>
          </cell>
          <cell r="AA4787">
            <v>0</v>
          </cell>
          <cell r="AB4787">
            <v>0</v>
          </cell>
        </row>
        <row r="4788">
          <cell r="G4788" t="str">
            <v>X1664_0</v>
          </cell>
          <cell r="H4788" t="str">
            <v>as-as</v>
          </cell>
          <cell r="I4788" t="str">
            <v>sim</v>
          </cell>
          <cell r="V4788" t="str">
            <v>antonym</v>
          </cell>
          <cell r="Y4788" t="str">
            <v>Pres</v>
          </cell>
          <cell r="Z4788">
            <v>4.1100000000000003</v>
          </cell>
          <cell r="AA4788">
            <v>0</v>
          </cell>
          <cell r="AB4788">
            <v>0</v>
          </cell>
        </row>
        <row r="4789">
          <cell r="G4789" t="str">
            <v>X1664_1</v>
          </cell>
          <cell r="H4789" t="str">
            <v>as-as</v>
          </cell>
          <cell r="I4789" t="str">
            <v>sim</v>
          </cell>
          <cell r="V4789" t="str">
            <v>antonym</v>
          </cell>
          <cell r="Y4789" t="str">
            <v>Pres</v>
          </cell>
          <cell r="Z4789">
            <v>4.1100000000000003</v>
          </cell>
          <cell r="AA4789">
            <v>0</v>
          </cell>
          <cell r="AB4789">
            <v>0</v>
          </cell>
        </row>
        <row r="4790">
          <cell r="G4790" t="str">
            <v>X1665_0</v>
          </cell>
          <cell r="H4790" t="str">
            <v>as-as</v>
          </cell>
          <cell r="I4790" t="str">
            <v>sim</v>
          </cell>
          <cell r="V4790" t="str">
            <v>not</v>
          </cell>
          <cell r="Y4790" t="str">
            <v>Pres</v>
          </cell>
          <cell r="Z4790">
            <v>2.81</v>
          </cell>
          <cell r="AA4790">
            <v>0</v>
          </cell>
          <cell r="AB4790">
            <v>0</v>
          </cell>
        </row>
        <row r="4791">
          <cell r="G4791" t="str">
            <v>X1665_1</v>
          </cell>
          <cell r="H4791" t="str">
            <v>as-as</v>
          </cell>
          <cell r="I4791" t="str">
            <v>sim</v>
          </cell>
          <cell r="V4791" t="str">
            <v>not</v>
          </cell>
          <cell r="Y4791" t="str">
            <v>Pres</v>
          </cell>
          <cell r="Z4791">
            <v>2.81</v>
          </cell>
          <cell r="AA4791">
            <v>0</v>
          </cell>
          <cell r="AB4791">
            <v>0</v>
          </cell>
        </row>
        <row r="4792">
          <cell r="G4792" t="str">
            <v>X1666_0</v>
          </cell>
          <cell r="H4792" t="str">
            <v/>
          </cell>
          <cell r="I4792" t="str">
            <v>met</v>
          </cell>
          <cell r="V4792" t="str">
            <v>0</v>
          </cell>
          <cell r="Y4792" t="str">
            <v>Past</v>
          </cell>
          <cell r="Z4792">
            <v>4.1100000000000003</v>
          </cell>
          <cell r="AA4792">
            <v>0</v>
          </cell>
          <cell r="AB4792">
            <v>0</v>
          </cell>
        </row>
        <row r="4793">
          <cell r="G4793" t="str">
            <v>X1666_1</v>
          </cell>
          <cell r="H4793" t="str">
            <v/>
          </cell>
          <cell r="I4793" t="str">
            <v>met</v>
          </cell>
          <cell r="V4793" t="str">
            <v>0</v>
          </cell>
          <cell r="Y4793" t="str">
            <v>Past</v>
          </cell>
          <cell r="Z4793">
            <v>4.1100000000000003</v>
          </cell>
          <cell r="AA4793">
            <v>0</v>
          </cell>
          <cell r="AB4793">
            <v>0</v>
          </cell>
        </row>
        <row r="4794">
          <cell r="G4794" t="str">
            <v>X1667_0</v>
          </cell>
          <cell r="H4794" t="str">
            <v/>
          </cell>
          <cell r="I4794" t="str">
            <v>met</v>
          </cell>
          <cell r="V4794" t="str">
            <v>0</v>
          </cell>
          <cell r="Y4794" t="str">
            <v>Pres</v>
          </cell>
          <cell r="Z4794">
            <v>4.5199999999999996</v>
          </cell>
          <cell r="AA4794">
            <v>0</v>
          </cell>
          <cell r="AB4794">
            <v>0</v>
          </cell>
        </row>
        <row r="4795">
          <cell r="G4795" t="str">
            <v>X1667_1</v>
          </cell>
          <cell r="H4795" t="str">
            <v/>
          </cell>
          <cell r="I4795" t="str">
            <v>met</v>
          </cell>
          <cell r="V4795" t="str">
            <v>0</v>
          </cell>
          <cell r="Y4795" t="str">
            <v>Pres</v>
          </cell>
          <cell r="Z4795">
            <v>4.5199999999999996</v>
          </cell>
          <cell r="AA4795">
            <v>0</v>
          </cell>
          <cell r="AB4795">
            <v>0</v>
          </cell>
        </row>
        <row r="4796">
          <cell r="G4796" t="str">
            <v>X1668_0</v>
          </cell>
          <cell r="H4796" t="str">
            <v/>
          </cell>
          <cell r="I4796" t="str">
            <v>met</v>
          </cell>
          <cell r="V4796" t="str">
            <v>0</v>
          </cell>
          <cell r="Y4796" t="str">
            <v>Pres</v>
          </cell>
          <cell r="Z4796">
            <v>4.8499999999999996</v>
          </cell>
          <cell r="AA4796">
            <v>0</v>
          </cell>
          <cell r="AB4796">
            <v>0</v>
          </cell>
        </row>
        <row r="4797">
          <cell r="G4797" t="str">
            <v>X1668_1</v>
          </cell>
          <cell r="H4797" t="str">
            <v/>
          </cell>
          <cell r="I4797" t="str">
            <v>met</v>
          </cell>
          <cell r="V4797" t="str">
            <v>0</v>
          </cell>
          <cell r="Y4797" t="str">
            <v>Pres</v>
          </cell>
          <cell r="Z4797">
            <v>4.8499999999999996</v>
          </cell>
          <cell r="AA4797">
            <v>0</v>
          </cell>
          <cell r="AB4797">
            <v>0</v>
          </cell>
        </row>
        <row r="4798">
          <cell r="G4798" t="str">
            <v>X1669_0</v>
          </cell>
          <cell r="H4798" t="str">
            <v>the-of</v>
          </cell>
          <cell r="I4798" t="str">
            <v>sim</v>
          </cell>
          <cell r="V4798" t="str">
            <v>not neg pair</v>
          </cell>
          <cell r="Y4798" t="str">
            <v>Pres</v>
          </cell>
          <cell r="Z4798">
            <v>4.92</v>
          </cell>
          <cell r="AA4798" t="str">
            <v>H</v>
          </cell>
          <cell r="AB4798">
            <v>0</v>
          </cell>
        </row>
        <row r="4799">
          <cell r="G4799" t="str">
            <v>X1669_1</v>
          </cell>
          <cell r="H4799" t="str">
            <v>the-of</v>
          </cell>
          <cell r="I4799" t="str">
            <v>sim</v>
          </cell>
          <cell r="V4799" t="str">
            <v>not neg pair</v>
          </cell>
          <cell r="Y4799" t="str">
            <v>Pres</v>
          </cell>
          <cell r="Z4799">
            <v>4.92</v>
          </cell>
          <cell r="AA4799" t="str">
            <v>H</v>
          </cell>
          <cell r="AB4799">
            <v>0</v>
          </cell>
        </row>
        <row r="4800">
          <cell r="G4800" t="str">
            <v>X1670_0</v>
          </cell>
          <cell r="H4800" t="str">
            <v>the-of</v>
          </cell>
          <cell r="I4800" t="str">
            <v>sim</v>
          </cell>
          <cell r="V4800" t="str">
            <v>not neg pair</v>
          </cell>
          <cell r="Y4800" t="str">
            <v>Pres</v>
          </cell>
          <cell r="Z4800">
            <v>4.76</v>
          </cell>
          <cell r="AA4800">
            <v>0</v>
          </cell>
          <cell r="AB4800">
            <v>0</v>
          </cell>
        </row>
        <row r="4801">
          <cell r="G4801" t="str">
            <v>X1670_1</v>
          </cell>
          <cell r="H4801" t="str">
            <v>the-of</v>
          </cell>
          <cell r="I4801" t="str">
            <v>sim</v>
          </cell>
          <cell r="V4801" t="str">
            <v>not neg pair</v>
          </cell>
          <cell r="Y4801" t="str">
            <v>Pres</v>
          </cell>
          <cell r="Z4801">
            <v>4.76</v>
          </cell>
          <cell r="AA4801">
            <v>0</v>
          </cell>
          <cell r="AB4801">
            <v>0</v>
          </cell>
        </row>
        <row r="4802">
          <cell r="G4802" t="str">
            <v>X1671_0</v>
          </cell>
          <cell r="H4802" t="str">
            <v>as-as</v>
          </cell>
          <cell r="I4802" t="str">
            <v>sim</v>
          </cell>
          <cell r="V4802" t="str">
            <v>antonym</v>
          </cell>
          <cell r="Y4802" t="str">
            <v>Pres</v>
          </cell>
          <cell r="Z4802">
            <v>4.58</v>
          </cell>
          <cell r="AA4802">
            <v>0</v>
          </cell>
          <cell r="AB4802">
            <v>0</v>
          </cell>
        </row>
        <row r="4803">
          <cell r="G4803" t="str">
            <v>X1671_1</v>
          </cell>
          <cell r="H4803" t="str">
            <v>as-as</v>
          </cell>
          <cell r="I4803" t="str">
            <v>sim</v>
          </cell>
          <cell r="V4803" t="str">
            <v>antonym</v>
          </cell>
          <cell r="Y4803" t="str">
            <v>Pres</v>
          </cell>
          <cell r="Z4803">
            <v>4.58</v>
          </cell>
          <cell r="AA4803">
            <v>0</v>
          </cell>
          <cell r="AB4803">
            <v>0</v>
          </cell>
        </row>
        <row r="4804">
          <cell r="G4804" t="str">
            <v>X1672_0</v>
          </cell>
          <cell r="H4804" t="str">
            <v>like</v>
          </cell>
          <cell r="I4804" t="str">
            <v>sim</v>
          </cell>
          <cell r="V4804" t="str">
            <v>not neg pair</v>
          </cell>
          <cell r="Y4804" t="str">
            <v>Pres</v>
          </cell>
          <cell r="Z4804">
            <v>2.87</v>
          </cell>
          <cell r="AA4804">
            <v>0</v>
          </cell>
          <cell r="AB4804">
            <v>0</v>
          </cell>
        </row>
        <row r="4805">
          <cell r="G4805" t="str">
            <v>X1672_1</v>
          </cell>
          <cell r="H4805" t="str">
            <v>like</v>
          </cell>
          <cell r="I4805" t="str">
            <v>sim</v>
          </cell>
          <cell r="V4805" t="str">
            <v>not neg pair</v>
          </cell>
          <cell r="Y4805" t="str">
            <v>Pres</v>
          </cell>
          <cell r="Z4805">
            <v>2.87</v>
          </cell>
          <cell r="AA4805">
            <v>0</v>
          </cell>
          <cell r="AB4805">
            <v>0</v>
          </cell>
        </row>
        <row r="4806">
          <cell r="G4806" t="str">
            <v>X1673_0</v>
          </cell>
          <cell r="H4806" t="str">
            <v/>
          </cell>
          <cell r="I4806" t="str">
            <v>met</v>
          </cell>
          <cell r="V4806" t="str">
            <v>0</v>
          </cell>
          <cell r="Y4806" t="str">
            <v>Pres</v>
          </cell>
          <cell r="Z4806">
            <v>4.6900000000000004</v>
          </cell>
          <cell r="AA4806">
            <v>0</v>
          </cell>
          <cell r="AB4806">
            <v>0</v>
          </cell>
        </row>
        <row r="4807">
          <cell r="G4807" t="str">
            <v>X1673_1</v>
          </cell>
          <cell r="H4807" t="str">
            <v/>
          </cell>
          <cell r="I4807" t="str">
            <v>met</v>
          </cell>
          <cell r="V4807" t="str">
            <v>0</v>
          </cell>
          <cell r="Y4807" t="str">
            <v>Pres</v>
          </cell>
          <cell r="Z4807">
            <v>4.6900000000000004</v>
          </cell>
          <cell r="AA4807">
            <v>0</v>
          </cell>
          <cell r="AB4807">
            <v>0</v>
          </cell>
        </row>
        <row r="4808">
          <cell r="G4808" t="str">
            <v>X1674_0</v>
          </cell>
          <cell r="H4808" t="str">
            <v>the-of</v>
          </cell>
          <cell r="I4808" t="str">
            <v>sim</v>
          </cell>
          <cell r="V4808" t="str">
            <v>not neg pair</v>
          </cell>
          <cell r="Y4808" t="str">
            <v>Pres</v>
          </cell>
          <cell r="Z4808">
            <v>4.5599999999999996</v>
          </cell>
          <cell r="AA4808">
            <v>0</v>
          </cell>
          <cell r="AB4808">
            <v>0</v>
          </cell>
        </row>
        <row r="4809">
          <cell r="G4809" t="str">
            <v>X1674_1</v>
          </cell>
          <cell r="H4809" t="str">
            <v>the-of</v>
          </cell>
          <cell r="I4809" t="str">
            <v>sim</v>
          </cell>
          <cell r="V4809" t="str">
            <v>not neg pair</v>
          </cell>
          <cell r="Y4809" t="str">
            <v>Pres</v>
          </cell>
          <cell r="Z4809">
            <v>4.5599999999999996</v>
          </cell>
          <cell r="AA4809">
            <v>0</v>
          </cell>
          <cell r="AB4809">
            <v>0</v>
          </cell>
        </row>
        <row r="4810">
          <cell r="G4810" t="str">
            <v>X1675_0</v>
          </cell>
          <cell r="H4810" t="str">
            <v/>
          </cell>
          <cell r="I4810" t="str">
            <v>met</v>
          </cell>
          <cell r="V4810" t="str">
            <v>0</v>
          </cell>
          <cell r="Y4810" t="str">
            <v>Past</v>
          </cell>
          <cell r="Z4810">
            <v>4.97</v>
          </cell>
          <cell r="AA4810" t="str">
            <v>H</v>
          </cell>
          <cell r="AB4810">
            <v>0</v>
          </cell>
        </row>
        <row r="4811">
          <cell r="G4811" t="str">
            <v>X1675_1</v>
          </cell>
          <cell r="H4811" t="str">
            <v/>
          </cell>
          <cell r="I4811" t="str">
            <v>met</v>
          </cell>
          <cell r="V4811" t="str">
            <v>0</v>
          </cell>
          <cell r="Y4811" t="str">
            <v>Past</v>
          </cell>
          <cell r="Z4811">
            <v>4.97</v>
          </cell>
          <cell r="AA4811" t="str">
            <v>H</v>
          </cell>
          <cell r="AB4811">
            <v>0</v>
          </cell>
        </row>
        <row r="4812">
          <cell r="G4812" t="str">
            <v>X1676_0</v>
          </cell>
          <cell r="H4812" t="str">
            <v/>
          </cell>
          <cell r="I4812" t="str">
            <v>met</v>
          </cell>
          <cell r="V4812" t="str">
            <v>0</v>
          </cell>
          <cell r="Y4812" t="str">
            <v>Past</v>
          </cell>
          <cell r="Z4812">
            <v>4.8499999999999996</v>
          </cell>
          <cell r="AA4812">
            <v>0</v>
          </cell>
          <cell r="AB4812">
            <v>0</v>
          </cell>
        </row>
        <row r="4813">
          <cell r="G4813" t="str">
            <v>X1676_1</v>
          </cell>
          <cell r="H4813" t="str">
            <v/>
          </cell>
          <cell r="I4813" t="str">
            <v>met</v>
          </cell>
          <cell r="V4813" t="str">
            <v>0</v>
          </cell>
          <cell r="Y4813" t="str">
            <v>Past</v>
          </cell>
          <cell r="Z4813">
            <v>4.8499999999999996</v>
          </cell>
          <cell r="AA4813">
            <v>0</v>
          </cell>
          <cell r="AB4813">
            <v>0</v>
          </cell>
        </row>
        <row r="4814">
          <cell r="G4814" t="str">
            <v>X1677_0</v>
          </cell>
          <cell r="H4814" t="str">
            <v/>
          </cell>
          <cell r="I4814" t="str">
            <v>met</v>
          </cell>
          <cell r="V4814" t="str">
            <v>0</v>
          </cell>
          <cell r="Y4814" t="str">
            <v>Past</v>
          </cell>
          <cell r="Z4814">
            <v>4.92</v>
          </cell>
          <cell r="AA4814" t="str">
            <v>H</v>
          </cell>
          <cell r="AB4814">
            <v>0</v>
          </cell>
        </row>
        <row r="4815">
          <cell r="G4815" t="str">
            <v>X1677_1</v>
          </cell>
          <cell r="H4815" t="str">
            <v/>
          </cell>
          <cell r="I4815" t="str">
            <v>met</v>
          </cell>
          <cell r="V4815" t="str">
            <v>0</v>
          </cell>
          <cell r="Y4815" t="str">
            <v>Past</v>
          </cell>
          <cell r="Z4815">
            <v>4.92</v>
          </cell>
          <cell r="AA4815" t="str">
            <v>H</v>
          </cell>
          <cell r="AB4815">
            <v>0</v>
          </cell>
        </row>
        <row r="4816">
          <cell r="G4816" t="str">
            <v>X1678_0</v>
          </cell>
          <cell r="H4816" t="str">
            <v>as-as</v>
          </cell>
          <cell r="I4816" t="str">
            <v>sim</v>
          </cell>
          <cell r="V4816" t="str">
            <v>not neg pair</v>
          </cell>
          <cell r="Y4816" t="str">
            <v>Past</v>
          </cell>
          <cell r="Z4816">
            <v>4.82</v>
          </cell>
          <cell r="AA4816">
            <v>0</v>
          </cell>
          <cell r="AB4816">
            <v>0</v>
          </cell>
        </row>
        <row r="4817">
          <cell r="G4817" t="str">
            <v>X1678_1</v>
          </cell>
          <cell r="H4817" t="str">
            <v>as-as</v>
          </cell>
          <cell r="I4817" t="str">
            <v>sim</v>
          </cell>
          <cell r="V4817" t="str">
            <v>not neg pair</v>
          </cell>
          <cell r="Y4817" t="str">
            <v>Past</v>
          </cell>
          <cell r="Z4817">
            <v>4.82</v>
          </cell>
          <cell r="AA4817">
            <v>0</v>
          </cell>
          <cell r="AB4817">
            <v>0</v>
          </cell>
        </row>
        <row r="4818">
          <cell r="G4818" t="str">
            <v>X1679_0</v>
          </cell>
          <cell r="H4818" t="str">
            <v>like</v>
          </cell>
          <cell r="I4818" t="str">
            <v>sim</v>
          </cell>
          <cell r="V4818" t="str">
            <v>not</v>
          </cell>
          <cell r="Y4818" t="str">
            <v>Past</v>
          </cell>
          <cell r="Z4818">
            <v>3.93</v>
          </cell>
          <cell r="AA4818">
            <v>0</v>
          </cell>
          <cell r="AB4818">
            <v>0</v>
          </cell>
        </row>
        <row r="4819">
          <cell r="G4819" t="str">
            <v>X1679_1</v>
          </cell>
          <cell r="H4819" t="str">
            <v>like</v>
          </cell>
          <cell r="I4819" t="str">
            <v>sim</v>
          </cell>
          <cell r="V4819" t="str">
            <v>not</v>
          </cell>
          <cell r="Y4819" t="str">
            <v>Past</v>
          </cell>
          <cell r="Z4819">
            <v>3.93</v>
          </cell>
          <cell r="AA4819">
            <v>0</v>
          </cell>
          <cell r="AB4819">
            <v>0</v>
          </cell>
        </row>
        <row r="4820">
          <cell r="G4820" t="str">
            <v>X1680_0</v>
          </cell>
          <cell r="H4820" t="str">
            <v>as-as</v>
          </cell>
          <cell r="I4820" t="str">
            <v>sim</v>
          </cell>
          <cell r="V4820" t="str">
            <v>not</v>
          </cell>
          <cell r="Y4820" t="str">
            <v>Past</v>
          </cell>
          <cell r="Z4820">
            <v>2.81</v>
          </cell>
          <cell r="AA4820">
            <v>0</v>
          </cell>
          <cell r="AB4820">
            <v>0</v>
          </cell>
        </row>
        <row r="4821">
          <cell r="G4821" t="str">
            <v>X1680_1</v>
          </cell>
          <cell r="H4821" t="str">
            <v>as-as</v>
          </cell>
          <cell r="I4821" t="str">
            <v>sim</v>
          </cell>
          <cell r="V4821" t="str">
            <v>not</v>
          </cell>
          <cell r="Y4821" t="str">
            <v>Past</v>
          </cell>
          <cell r="Z4821">
            <v>2.81</v>
          </cell>
          <cell r="AA4821">
            <v>0</v>
          </cell>
          <cell r="AB4821">
            <v>0</v>
          </cell>
        </row>
        <row r="4822">
          <cell r="G4822" t="str">
            <v>X1681_0</v>
          </cell>
          <cell r="H4822" t="str">
            <v/>
          </cell>
          <cell r="I4822" t="str">
            <v>met</v>
          </cell>
          <cell r="V4822" t="str">
            <v>0</v>
          </cell>
          <cell r="Y4822" t="str">
            <v>Past</v>
          </cell>
          <cell r="Z4822">
            <v>3.28</v>
          </cell>
          <cell r="AA4822">
            <v>0</v>
          </cell>
          <cell r="AB4822">
            <v>0</v>
          </cell>
        </row>
        <row r="4823">
          <cell r="G4823" t="str">
            <v>X1681_1</v>
          </cell>
          <cell r="H4823" t="str">
            <v/>
          </cell>
          <cell r="I4823" t="str">
            <v>met</v>
          </cell>
          <cell r="V4823" t="str">
            <v>0</v>
          </cell>
          <cell r="Y4823" t="str">
            <v>Past</v>
          </cell>
          <cell r="Z4823">
            <v>3.28</v>
          </cell>
          <cell r="AA4823">
            <v>0</v>
          </cell>
          <cell r="AB4823">
            <v>0</v>
          </cell>
        </row>
        <row r="4824">
          <cell r="G4824" t="str">
            <v>X1682_0</v>
          </cell>
          <cell r="H4824" t="str">
            <v/>
          </cell>
          <cell r="I4824" t="str">
            <v>met</v>
          </cell>
          <cell r="V4824" t="str">
            <v>0</v>
          </cell>
          <cell r="Y4824" t="str">
            <v>Past</v>
          </cell>
          <cell r="Z4824">
            <v>4.87</v>
          </cell>
          <cell r="AA4824">
            <v>0</v>
          </cell>
          <cell r="AB4824">
            <v>0</v>
          </cell>
        </row>
        <row r="4825">
          <cell r="G4825" t="str">
            <v>X1682_1</v>
          </cell>
          <cell r="H4825" t="str">
            <v/>
          </cell>
          <cell r="I4825" t="str">
            <v>met</v>
          </cell>
          <cell r="V4825" t="str">
            <v>0</v>
          </cell>
          <cell r="Y4825" t="str">
            <v>Past</v>
          </cell>
          <cell r="Z4825">
            <v>4.87</v>
          </cell>
          <cell r="AA4825">
            <v>0</v>
          </cell>
          <cell r="AB4825">
            <v>0</v>
          </cell>
        </row>
        <row r="4826">
          <cell r="G4826" t="str">
            <v>X1683_0</v>
          </cell>
          <cell r="H4826" t="str">
            <v/>
          </cell>
          <cell r="I4826" t="str">
            <v>met</v>
          </cell>
          <cell r="V4826" t="str">
            <v>0</v>
          </cell>
          <cell r="Y4826" t="str">
            <v>Pres</v>
          </cell>
          <cell r="Z4826">
            <v>1.61</v>
          </cell>
          <cell r="AA4826" t="str">
            <v>L</v>
          </cell>
          <cell r="AB4826">
            <v>0</v>
          </cell>
        </row>
        <row r="4827">
          <cell r="G4827" t="str">
            <v>X1683_1</v>
          </cell>
          <cell r="H4827" t="str">
            <v/>
          </cell>
          <cell r="I4827" t="str">
            <v>met</v>
          </cell>
          <cell r="V4827" t="str">
            <v>0</v>
          </cell>
          <cell r="Y4827" t="str">
            <v>Pres</v>
          </cell>
          <cell r="Z4827">
            <v>1.61</v>
          </cell>
          <cell r="AA4827" t="str">
            <v>L</v>
          </cell>
          <cell r="AB4827">
            <v>0</v>
          </cell>
        </row>
        <row r="4828">
          <cell r="G4828" t="str">
            <v>X1684_0</v>
          </cell>
          <cell r="H4828" t="str">
            <v/>
          </cell>
          <cell r="I4828" t="str">
            <v>met</v>
          </cell>
          <cell r="V4828" t="str">
            <v>0</v>
          </cell>
          <cell r="Y4828" t="str">
            <v>Pres</v>
          </cell>
          <cell r="Z4828">
            <v>3.89</v>
          </cell>
          <cell r="AA4828">
            <v>0</v>
          </cell>
          <cell r="AB4828">
            <v>0</v>
          </cell>
        </row>
        <row r="4829">
          <cell r="G4829" t="str">
            <v>X1684_1</v>
          </cell>
          <cell r="H4829" t="str">
            <v/>
          </cell>
          <cell r="I4829" t="str">
            <v>met</v>
          </cell>
          <cell r="V4829" t="str">
            <v>0</v>
          </cell>
          <cell r="Y4829" t="str">
            <v>Pres</v>
          </cell>
          <cell r="Z4829">
            <v>3.89</v>
          </cell>
          <cell r="AA4829">
            <v>0</v>
          </cell>
          <cell r="AB4829">
            <v>0</v>
          </cell>
        </row>
        <row r="4830">
          <cell r="G4830" t="str">
            <v>X1685_0</v>
          </cell>
          <cell r="H4830" t="str">
            <v>the-of</v>
          </cell>
          <cell r="I4830" t="str">
            <v>sim</v>
          </cell>
          <cell r="V4830" t="str">
            <v>not neg pair</v>
          </cell>
          <cell r="Y4830" t="str">
            <v>Pres</v>
          </cell>
          <cell r="Z4830">
            <v>4.1100000000000003</v>
          </cell>
          <cell r="AA4830">
            <v>0</v>
          </cell>
          <cell r="AB4830">
            <v>0</v>
          </cell>
        </row>
        <row r="4831">
          <cell r="G4831" t="str">
            <v>X1685_1</v>
          </cell>
          <cell r="H4831" t="str">
            <v>the-of</v>
          </cell>
          <cell r="I4831" t="str">
            <v>sim</v>
          </cell>
          <cell r="V4831" t="str">
            <v>not neg pair</v>
          </cell>
          <cell r="Y4831" t="str">
            <v>Pres</v>
          </cell>
          <cell r="Z4831">
            <v>4.1100000000000003</v>
          </cell>
          <cell r="AA4831">
            <v>0</v>
          </cell>
          <cell r="AB4831">
            <v>0</v>
          </cell>
        </row>
        <row r="4832">
          <cell r="G4832" t="str">
            <v>X1686_0</v>
          </cell>
          <cell r="H4832" t="str">
            <v>the-of</v>
          </cell>
          <cell r="I4832" t="str">
            <v>sim</v>
          </cell>
          <cell r="V4832" t="str">
            <v>not neg pair</v>
          </cell>
          <cell r="Y4832" t="str">
            <v>Pres</v>
          </cell>
          <cell r="Z4832">
            <v>4.5</v>
          </cell>
          <cell r="AA4832">
            <v>0</v>
          </cell>
          <cell r="AB4832">
            <v>0</v>
          </cell>
        </row>
        <row r="4833">
          <cell r="G4833" t="str">
            <v>X1686_1</v>
          </cell>
          <cell r="H4833" t="str">
            <v>the-of</v>
          </cell>
          <cell r="I4833" t="str">
            <v>sim</v>
          </cell>
          <cell r="V4833" t="str">
            <v>not neg pair</v>
          </cell>
          <cell r="Y4833" t="str">
            <v>Pres</v>
          </cell>
          <cell r="Z4833">
            <v>4.5</v>
          </cell>
          <cell r="AA4833">
            <v>0</v>
          </cell>
          <cell r="AB4833">
            <v>0</v>
          </cell>
        </row>
        <row r="4834">
          <cell r="G4834" t="str">
            <v>X1687_0</v>
          </cell>
          <cell r="H4834" t="str">
            <v>as-as</v>
          </cell>
          <cell r="I4834" t="str">
            <v>sim</v>
          </cell>
          <cell r="V4834" t="str">
            <v>antonym</v>
          </cell>
          <cell r="Y4834" t="str">
            <v>Past</v>
          </cell>
          <cell r="Z4834">
            <v>3.89</v>
          </cell>
          <cell r="AA4834">
            <v>0</v>
          </cell>
          <cell r="AB4834">
            <v>0</v>
          </cell>
        </row>
        <row r="4835">
          <cell r="G4835" t="str">
            <v>X1687_1</v>
          </cell>
          <cell r="H4835" t="str">
            <v>as-as</v>
          </cell>
          <cell r="I4835" t="str">
            <v>sim</v>
          </cell>
          <cell r="V4835" t="str">
            <v>antonym</v>
          </cell>
          <cell r="Y4835" t="str">
            <v>Past</v>
          </cell>
          <cell r="Z4835">
            <v>3.89</v>
          </cell>
          <cell r="AA4835">
            <v>0</v>
          </cell>
          <cell r="AB4835">
            <v>0</v>
          </cell>
        </row>
        <row r="4836">
          <cell r="G4836" t="str">
            <v>X1688_0</v>
          </cell>
          <cell r="H4836" t="str">
            <v/>
          </cell>
          <cell r="I4836" t="str">
            <v>met</v>
          </cell>
          <cell r="V4836" t="str">
            <v>0</v>
          </cell>
          <cell r="Y4836" t="str">
            <v>Past</v>
          </cell>
          <cell r="Z4836">
            <v>2.08</v>
          </cell>
          <cell r="AA4836" t="str">
            <v>L</v>
          </cell>
          <cell r="AB4836">
            <v>0</v>
          </cell>
        </row>
        <row r="4837">
          <cell r="G4837" t="str">
            <v>X1688_1</v>
          </cell>
          <cell r="H4837" t="str">
            <v/>
          </cell>
          <cell r="I4837" t="str">
            <v>met</v>
          </cell>
          <cell r="V4837" t="str">
            <v>0</v>
          </cell>
          <cell r="Y4837" t="str">
            <v>Past</v>
          </cell>
          <cell r="Z4837">
            <v>2.08</v>
          </cell>
          <cell r="AA4837" t="str">
            <v>L</v>
          </cell>
          <cell r="AB4837">
            <v>0</v>
          </cell>
        </row>
        <row r="4838">
          <cell r="G4838" t="str">
            <v>X1689_0</v>
          </cell>
          <cell r="H4838" t="str">
            <v/>
          </cell>
          <cell r="I4838" t="str">
            <v>met</v>
          </cell>
          <cell r="V4838" t="str">
            <v>0</v>
          </cell>
          <cell r="Y4838" t="str">
            <v>Past</v>
          </cell>
          <cell r="Z4838">
            <v>3.92</v>
          </cell>
          <cell r="AA4838">
            <v>0</v>
          </cell>
          <cell r="AB4838">
            <v>0</v>
          </cell>
        </row>
        <row r="4839">
          <cell r="G4839" t="str">
            <v>X1689_1</v>
          </cell>
          <cell r="H4839" t="str">
            <v/>
          </cell>
          <cell r="I4839" t="str">
            <v>met</v>
          </cell>
          <cell r="V4839" t="str">
            <v>0</v>
          </cell>
          <cell r="Y4839" t="str">
            <v>Past</v>
          </cell>
          <cell r="Z4839">
            <v>3.92</v>
          </cell>
          <cell r="AA4839">
            <v>0</v>
          </cell>
          <cell r="AB4839">
            <v>0</v>
          </cell>
        </row>
        <row r="4840">
          <cell r="G4840" t="str">
            <v>X1690_0</v>
          </cell>
          <cell r="H4840" t="str">
            <v>as-as</v>
          </cell>
          <cell r="I4840" t="str">
            <v>sim</v>
          </cell>
          <cell r="V4840" t="str">
            <v>not neg pair</v>
          </cell>
          <cell r="Y4840" t="str">
            <v>Past</v>
          </cell>
          <cell r="Z4840">
            <v>2.81</v>
          </cell>
          <cell r="AA4840">
            <v>0</v>
          </cell>
          <cell r="AB4840">
            <v>0</v>
          </cell>
        </row>
        <row r="4841">
          <cell r="G4841" t="str">
            <v>X1690_1</v>
          </cell>
          <cell r="H4841" t="str">
            <v>as-as</v>
          </cell>
          <cell r="I4841" t="str">
            <v>sim</v>
          </cell>
          <cell r="V4841" t="str">
            <v>not neg pair</v>
          </cell>
          <cell r="Y4841" t="str">
            <v>Past</v>
          </cell>
          <cell r="Z4841">
            <v>2.81</v>
          </cell>
          <cell r="AA4841">
            <v>0</v>
          </cell>
          <cell r="AB4841">
            <v>0</v>
          </cell>
        </row>
        <row r="4842">
          <cell r="G4842" t="str">
            <v>X1691_0</v>
          </cell>
          <cell r="H4842" t="str">
            <v>as-as</v>
          </cell>
          <cell r="I4842" t="str">
            <v>sim</v>
          </cell>
          <cell r="V4842" t="str">
            <v>not neg pair</v>
          </cell>
          <cell r="Y4842" t="str">
            <v>Past</v>
          </cell>
          <cell r="Z4842">
            <v>2.81</v>
          </cell>
          <cell r="AA4842">
            <v>0</v>
          </cell>
          <cell r="AB4842">
            <v>0</v>
          </cell>
        </row>
        <row r="4843">
          <cell r="G4843" t="str">
            <v>X1691_1</v>
          </cell>
          <cell r="H4843" t="str">
            <v>as-as</v>
          </cell>
          <cell r="I4843" t="str">
            <v>sim</v>
          </cell>
          <cell r="V4843" t="str">
            <v>not neg pair</v>
          </cell>
          <cell r="Y4843" t="str">
            <v>Past</v>
          </cell>
          <cell r="Z4843">
            <v>2.81</v>
          </cell>
          <cell r="AA4843">
            <v>0</v>
          </cell>
          <cell r="AB4843">
            <v>0</v>
          </cell>
        </row>
        <row r="4844">
          <cell r="G4844" t="str">
            <v>X1692_0</v>
          </cell>
          <cell r="H4844" t="str">
            <v>as-as</v>
          </cell>
          <cell r="I4844" t="str">
            <v>sim</v>
          </cell>
          <cell r="V4844" t="str">
            <v>not neg pair</v>
          </cell>
          <cell r="Y4844" t="str">
            <v>Past</v>
          </cell>
          <cell r="Z4844">
            <v>2.81</v>
          </cell>
          <cell r="AA4844">
            <v>0</v>
          </cell>
          <cell r="AB4844">
            <v>0</v>
          </cell>
        </row>
        <row r="4845">
          <cell r="G4845" t="str">
            <v>X1692_1</v>
          </cell>
          <cell r="H4845" t="str">
            <v>as-as</v>
          </cell>
          <cell r="I4845" t="str">
            <v>sim</v>
          </cell>
          <cell r="V4845" t="str">
            <v>not neg pair</v>
          </cell>
          <cell r="Y4845" t="str">
            <v>Past</v>
          </cell>
          <cell r="Z4845">
            <v>2.81</v>
          </cell>
          <cell r="AA4845">
            <v>0</v>
          </cell>
          <cell r="AB4845">
            <v>0</v>
          </cell>
        </row>
        <row r="4846">
          <cell r="G4846" t="str">
            <v>X1693_0</v>
          </cell>
          <cell r="H4846" t="str">
            <v>as-as</v>
          </cell>
          <cell r="I4846" t="str">
            <v>sim</v>
          </cell>
          <cell r="V4846" t="str">
            <v>not neg pair</v>
          </cell>
          <cell r="Y4846" t="str">
            <v>Pres</v>
          </cell>
          <cell r="Z4846">
            <v>3.38</v>
          </cell>
          <cell r="AA4846">
            <v>0</v>
          </cell>
          <cell r="AB4846">
            <v>0</v>
          </cell>
        </row>
        <row r="4847">
          <cell r="G4847" t="str">
            <v>X1693_1</v>
          </cell>
          <cell r="H4847" t="str">
            <v>as-as</v>
          </cell>
          <cell r="I4847" t="str">
            <v>sim</v>
          </cell>
          <cell r="V4847" t="str">
            <v>not neg pair</v>
          </cell>
          <cell r="Y4847" t="str">
            <v>Past</v>
          </cell>
          <cell r="Z4847">
            <v>3.38</v>
          </cell>
          <cell r="AA4847">
            <v>0</v>
          </cell>
          <cell r="AB4847">
            <v>0</v>
          </cell>
        </row>
        <row r="4848">
          <cell r="G4848" t="str">
            <v>X1694_0</v>
          </cell>
          <cell r="H4848" t="str">
            <v>as-as</v>
          </cell>
          <cell r="I4848" t="str">
            <v>sim</v>
          </cell>
          <cell r="V4848" t="str">
            <v>not neg pair</v>
          </cell>
          <cell r="Y4848" t="str">
            <v>Past</v>
          </cell>
          <cell r="Z4848">
            <v>5</v>
          </cell>
          <cell r="AA4848" t="str">
            <v>H</v>
          </cell>
          <cell r="AB4848">
            <v>0</v>
          </cell>
        </row>
        <row r="4849">
          <cell r="G4849" t="str">
            <v>X1694_1</v>
          </cell>
          <cell r="H4849" t="str">
            <v>as-as</v>
          </cell>
          <cell r="I4849" t="str">
            <v>sim</v>
          </cell>
          <cell r="V4849" t="str">
            <v>not neg pair</v>
          </cell>
          <cell r="Y4849" t="str">
            <v>Past</v>
          </cell>
          <cell r="Z4849">
            <v>5</v>
          </cell>
          <cell r="AA4849" t="str">
            <v>H</v>
          </cell>
          <cell r="AB4849">
            <v>0</v>
          </cell>
        </row>
        <row r="4850">
          <cell r="G4850" t="str">
            <v>X1695_0</v>
          </cell>
          <cell r="H4850" t="str">
            <v/>
          </cell>
          <cell r="I4850" t="str">
            <v>met</v>
          </cell>
          <cell r="V4850" t="str">
            <v>0</v>
          </cell>
          <cell r="Y4850" t="str">
            <v>Past</v>
          </cell>
          <cell r="Z4850">
            <v>3.24</v>
          </cell>
          <cell r="AA4850">
            <v>0</v>
          </cell>
          <cell r="AB4850">
            <v>0</v>
          </cell>
        </row>
        <row r="4851">
          <cell r="G4851" t="str">
            <v>X1695_1</v>
          </cell>
          <cell r="H4851" t="str">
            <v/>
          </cell>
          <cell r="I4851" t="str">
            <v>met</v>
          </cell>
          <cell r="V4851" t="str">
            <v>0</v>
          </cell>
          <cell r="Y4851" t="str">
            <v>Past</v>
          </cell>
          <cell r="Z4851">
            <v>3.24</v>
          </cell>
          <cell r="AA4851">
            <v>0</v>
          </cell>
          <cell r="AB4851">
            <v>0</v>
          </cell>
        </row>
        <row r="4852">
          <cell r="G4852" t="str">
            <v>X1696_0</v>
          </cell>
          <cell r="H4852" t="str">
            <v/>
          </cell>
          <cell r="I4852" t="str">
            <v>met</v>
          </cell>
          <cell r="V4852" t="str">
            <v>0</v>
          </cell>
          <cell r="Y4852" t="str">
            <v>Past</v>
          </cell>
          <cell r="Z4852">
            <v>3.29</v>
          </cell>
          <cell r="AA4852">
            <v>0</v>
          </cell>
          <cell r="AB4852">
            <v>0</v>
          </cell>
        </row>
        <row r="4853">
          <cell r="G4853" t="str">
            <v>X1696_1</v>
          </cell>
          <cell r="H4853" t="str">
            <v/>
          </cell>
          <cell r="I4853" t="str">
            <v>met</v>
          </cell>
          <cell r="V4853" t="str">
            <v>0</v>
          </cell>
          <cell r="Y4853" t="str">
            <v>Past</v>
          </cell>
          <cell r="Z4853">
            <v>3.29</v>
          </cell>
          <cell r="AA4853">
            <v>0</v>
          </cell>
          <cell r="AB4853">
            <v>0</v>
          </cell>
        </row>
        <row r="4854">
          <cell r="G4854" t="str">
            <v>X1697_0</v>
          </cell>
          <cell r="H4854" t="str">
            <v/>
          </cell>
          <cell r="I4854" t="str">
            <v>met</v>
          </cell>
          <cell r="V4854" t="str">
            <v>0</v>
          </cell>
          <cell r="Y4854" t="str">
            <v>Past</v>
          </cell>
          <cell r="Z4854">
            <v>2.85</v>
          </cell>
          <cell r="AA4854">
            <v>0</v>
          </cell>
          <cell r="AB4854">
            <v>0</v>
          </cell>
        </row>
        <row r="4855">
          <cell r="G4855" t="str">
            <v>X1697_1</v>
          </cell>
          <cell r="H4855" t="str">
            <v/>
          </cell>
          <cell r="I4855" t="str">
            <v>met</v>
          </cell>
          <cell r="V4855" t="str">
            <v>0</v>
          </cell>
          <cell r="Y4855" t="str">
            <v>Past</v>
          </cell>
          <cell r="Z4855">
            <v>2.85</v>
          </cell>
          <cell r="AA4855">
            <v>0</v>
          </cell>
          <cell r="AB4855">
            <v>0</v>
          </cell>
        </row>
        <row r="4856">
          <cell r="G4856" t="str">
            <v>X1698_0</v>
          </cell>
          <cell r="H4856" t="str">
            <v>the-of</v>
          </cell>
          <cell r="I4856" t="str">
            <v>sim</v>
          </cell>
          <cell r="V4856" t="str">
            <v>not neg pair</v>
          </cell>
          <cell r="Y4856" t="str">
            <v>Past</v>
          </cell>
          <cell r="Z4856">
            <v>3.24</v>
          </cell>
          <cell r="AA4856">
            <v>0</v>
          </cell>
          <cell r="AB4856">
            <v>0</v>
          </cell>
        </row>
        <row r="4857">
          <cell r="G4857" t="str">
            <v>X1698_1</v>
          </cell>
          <cell r="H4857" t="str">
            <v>the-of</v>
          </cell>
          <cell r="I4857" t="str">
            <v>sim</v>
          </cell>
          <cell r="V4857" t="str">
            <v>not neg pair</v>
          </cell>
          <cell r="Y4857" t="str">
            <v>Past</v>
          </cell>
          <cell r="Z4857">
            <v>3.24</v>
          </cell>
          <cell r="AA4857">
            <v>0</v>
          </cell>
          <cell r="AB4857">
            <v>0</v>
          </cell>
        </row>
        <row r="4858">
          <cell r="G4858" t="str">
            <v>X1699_0</v>
          </cell>
          <cell r="H4858" t="str">
            <v>as-as</v>
          </cell>
          <cell r="I4858" t="str">
            <v>sim</v>
          </cell>
          <cell r="V4858" t="str">
            <v>antonym</v>
          </cell>
          <cell r="Y4858" t="str">
            <v>Past</v>
          </cell>
          <cell r="Z4858">
            <v>3.38</v>
          </cell>
          <cell r="AA4858">
            <v>0</v>
          </cell>
          <cell r="AB4858">
            <v>0</v>
          </cell>
        </row>
        <row r="4859">
          <cell r="G4859" t="str">
            <v>X1699_1</v>
          </cell>
          <cell r="H4859" t="str">
            <v>as-as</v>
          </cell>
          <cell r="I4859" t="str">
            <v>sim</v>
          </cell>
          <cell r="V4859" t="str">
            <v>antonym</v>
          </cell>
          <cell r="Y4859" t="str">
            <v>Past</v>
          </cell>
          <cell r="Z4859">
            <v>3.38</v>
          </cell>
          <cell r="AA4859">
            <v>0</v>
          </cell>
          <cell r="AB4859">
            <v>0</v>
          </cell>
        </row>
        <row r="4860">
          <cell r="G4860" t="str">
            <v>X1700_0</v>
          </cell>
          <cell r="H4860" t="str">
            <v>as-as</v>
          </cell>
          <cell r="I4860" t="str">
            <v>sim</v>
          </cell>
          <cell r="V4860" t="str">
            <v>not</v>
          </cell>
          <cell r="Y4860" t="str">
            <v>Past</v>
          </cell>
          <cell r="Z4860">
            <v>0</v>
          </cell>
          <cell r="AA4860">
            <v>0</v>
          </cell>
          <cell r="AB4860">
            <v>0</v>
          </cell>
        </row>
        <row r="4861">
          <cell r="G4861" t="str">
            <v>X1700_1</v>
          </cell>
          <cell r="H4861" t="str">
            <v>as-as</v>
          </cell>
          <cell r="I4861" t="str">
            <v>sim</v>
          </cell>
          <cell r="V4861" t="str">
            <v>not</v>
          </cell>
          <cell r="Y4861" t="str">
            <v>Past</v>
          </cell>
          <cell r="Z4861">
            <v>0</v>
          </cell>
          <cell r="AA4861">
            <v>0</v>
          </cell>
          <cell r="AB4861">
            <v>0</v>
          </cell>
        </row>
        <row r="4862">
          <cell r="G4862" t="str">
            <v>X1701_0</v>
          </cell>
          <cell r="H4862" t="str">
            <v>as-as</v>
          </cell>
          <cell r="I4862" t="str">
            <v>sim</v>
          </cell>
          <cell r="V4862" t="str">
            <v>not</v>
          </cell>
          <cell r="Y4862" t="str">
            <v>Past</v>
          </cell>
          <cell r="Z4862">
            <v>3.38</v>
          </cell>
          <cell r="AA4862">
            <v>0</v>
          </cell>
          <cell r="AB4862">
            <v>0</v>
          </cell>
        </row>
        <row r="4863">
          <cell r="G4863" t="str">
            <v>X1701_1</v>
          </cell>
          <cell r="H4863" t="str">
            <v>as-as</v>
          </cell>
          <cell r="I4863" t="str">
            <v>sim</v>
          </cell>
          <cell r="V4863" t="str">
            <v>not</v>
          </cell>
          <cell r="Y4863" t="str">
            <v>Past</v>
          </cell>
          <cell r="Z4863">
            <v>3.38</v>
          </cell>
          <cell r="AA4863">
            <v>0</v>
          </cell>
          <cell r="AB4863">
            <v>0</v>
          </cell>
        </row>
        <row r="4864">
          <cell r="G4864" t="str">
            <v>X1702_0</v>
          </cell>
          <cell r="H4864" t="str">
            <v>like</v>
          </cell>
          <cell r="I4864" t="str">
            <v>sim</v>
          </cell>
          <cell r="V4864" t="str">
            <v>not</v>
          </cell>
          <cell r="Y4864" t="str">
            <v>Past</v>
          </cell>
          <cell r="Z4864">
            <v>3.93</v>
          </cell>
          <cell r="AA4864">
            <v>0</v>
          </cell>
          <cell r="AB4864">
            <v>0</v>
          </cell>
        </row>
        <row r="4865">
          <cell r="G4865" t="str">
            <v>X1702_1</v>
          </cell>
          <cell r="H4865" t="str">
            <v>like</v>
          </cell>
          <cell r="I4865" t="str">
            <v>sim</v>
          </cell>
          <cell r="V4865" t="str">
            <v>not</v>
          </cell>
          <cell r="Y4865" t="str">
            <v>Past</v>
          </cell>
          <cell r="Z4865">
            <v>3.93</v>
          </cell>
          <cell r="AA4865">
            <v>0</v>
          </cell>
          <cell r="AB4865">
            <v>0</v>
          </cell>
        </row>
        <row r="4866">
          <cell r="G4866" t="str">
            <v>X1703_0</v>
          </cell>
          <cell r="H4866" t="str">
            <v>like</v>
          </cell>
          <cell r="I4866" t="str">
            <v>sim</v>
          </cell>
          <cell r="V4866" t="str">
            <v>not</v>
          </cell>
          <cell r="Y4866" t="str">
            <v>Past</v>
          </cell>
          <cell r="Z4866">
            <v>2.81</v>
          </cell>
          <cell r="AA4866">
            <v>0</v>
          </cell>
          <cell r="AB4866">
            <v>0</v>
          </cell>
        </row>
        <row r="4867">
          <cell r="G4867" t="str">
            <v>X1703_1</v>
          </cell>
          <cell r="H4867" t="str">
            <v>like</v>
          </cell>
          <cell r="I4867" t="str">
            <v>sim</v>
          </cell>
          <cell r="V4867" t="str">
            <v>not</v>
          </cell>
          <cell r="Y4867" t="str">
            <v>Past</v>
          </cell>
          <cell r="Z4867">
            <v>2.81</v>
          </cell>
          <cell r="AA4867">
            <v>0</v>
          </cell>
          <cell r="AB4867">
            <v>0</v>
          </cell>
        </row>
        <row r="4868">
          <cell r="G4868" t="str">
            <v>X1704_0</v>
          </cell>
          <cell r="H4868" t="str">
            <v>like</v>
          </cell>
          <cell r="I4868" t="str">
            <v>sim</v>
          </cell>
          <cell r="V4868" t="str">
            <v>not</v>
          </cell>
          <cell r="Y4868" t="str">
            <v>Past</v>
          </cell>
          <cell r="Z4868">
            <v>3.36</v>
          </cell>
          <cell r="AA4868">
            <v>0</v>
          </cell>
          <cell r="AB4868">
            <v>0</v>
          </cell>
        </row>
        <row r="4869">
          <cell r="G4869" t="str">
            <v>X1704_1</v>
          </cell>
          <cell r="H4869" t="str">
            <v>like</v>
          </cell>
          <cell r="I4869" t="str">
            <v>sim</v>
          </cell>
          <cell r="V4869" t="str">
            <v>not</v>
          </cell>
          <cell r="Y4869" t="str">
            <v>Past</v>
          </cell>
          <cell r="Z4869">
            <v>3.36</v>
          </cell>
          <cell r="AA4869">
            <v>0</v>
          </cell>
          <cell r="AB4869">
            <v>0</v>
          </cell>
        </row>
        <row r="4870">
          <cell r="G4870" t="str">
            <v>X1705_0</v>
          </cell>
          <cell r="H4870" t="str">
            <v/>
          </cell>
          <cell r="I4870" t="str">
            <v>met</v>
          </cell>
          <cell r="V4870" t="str">
            <v>0</v>
          </cell>
          <cell r="Y4870" t="str">
            <v>Pres</v>
          </cell>
          <cell r="Z4870">
            <v>4.97</v>
          </cell>
          <cell r="AA4870" t="str">
            <v>H</v>
          </cell>
          <cell r="AB4870">
            <v>0</v>
          </cell>
        </row>
        <row r="4871">
          <cell r="G4871" t="str">
            <v>X1705_1</v>
          </cell>
          <cell r="H4871" t="str">
            <v/>
          </cell>
          <cell r="I4871" t="str">
            <v>met</v>
          </cell>
          <cell r="V4871" t="str">
            <v>0</v>
          </cell>
          <cell r="Y4871" t="str">
            <v>Pres</v>
          </cell>
          <cell r="Z4871">
            <v>4.97</v>
          </cell>
          <cell r="AA4871" t="str">
            <v>H</v>
          </cell>
          <cell r="AB4871">
            <v>0</v>
          </cell>
        </row>
        <row r="4872">
          <cell r="G4872" t="str">
            <v>X1706_0</v>
          </cell>
          <cell r="H4872" t="str">
            <v>the-of</v>
          </cell>
          <cell r="I4872" t="str">
            <v>sim</v>
          </cell>
          <cell r="V4872" t="str">
            <v>not neg pair</v>
          </cell>
          <cell r="Y4872" t="str">
            <v>Past</v>
          </cell>
          <cell r="Z4872">
            <v>4.6100000000000003</v>
          </cell>
          <cell r="AA4872">
            <v>0</v>
          </cell>
          <cell r="AB4872">
            <v>0</v>
          </cell>
        </row>
        <row r="4873">
          <cell r="G4873" t="str">
            <v>X1706_1</v>
          </cell>
          <cell r="H4873" t="str">
            <v>the-of</v>
          </cell>
          <cell r="I4873" t="str">
            <v>sim</v>
          </cell>
          <cell r="V4873" t="str">
            <v>not neg pair</v>
          </cell>
          <cell r="Y4873" t="str">
            <v>Past</v>
          </cell>
          <cell r="Z4873">
            <v>4.6100000000000003</v>
          </cell>
          <cell r="AA4873">
            <v>0</v>
          </cell>
          <cell r="AB4873">
            <v>0</v>
          </cell>
        </row>
        <row r="4874">
          <cell r="G4874" t="str">
            <v>X1707_0</v>
          </cell>
          <cell r="H4874" t="str">
            <v>the-of</v>
          </cell>
          <cell r="I4874" t="str">
            <v>sim</v>
          </cell>
          <cell r="V4874" t="str">
            <v>not neg pair</v>
          </cell>
          <cell r="Y4874" t="str">
            <v>Past</v>
          </cell>
          <cell r="Z4874">
            <v>3.93</v>
          </cell>
          <cell r="AA4874">
            <v>0</v>
          </cell>
          <cell r="AB4874">
            <v>0</v>
          </cell>
        </row>
        <row r="4875">
          <cell r="G4875" t="str">
            <v>X1707_1</v>
          </cell>
          <cell r="H4875" t="str">
            <v>the-of</v>
          </cell>
          <cell r="I4875" t="str">
            <v>sim</v>
          </cell>
          <cell r="V4875" t="str">
            <v>not neg pair</v>
          </cell>
          <cell r="Y4875" t="str">
            <v>Past</v>
          </cell>
          <cell r="Z4875">
            <v>3.93</v>
          </cell>
          <cell r="AA4875">
            <v>0</v>
          </cell>
          <cell r="AB4875">
            <v>0</v>
          </cell>
        </row>
        <row r="4876">
          <cell r="G4876" t="str">
            <v>X1708_0</v>
          </cell>
          <cell r="H4876" t="str">
            <v>as-as</v>
          </cell>
          <cell r="I4876" t="str">
            <v>sim</v>
          </cell>
          <cell r="V4876" t="str">
            <v>antonym</v>
          </cell>
          <cell r="Y4876" t="str">
            <v>Pres</v>
          </cell>
          <cell r="Z4876">
            <v>4.75</v>
          </cell>
          <cell r="AA4876">
            <v>0</v>
          </cell>
          <cell r="AB4876">
            <v>0</v>
          </cell>
        </row>
        <row r="4877">
          <cell r="G4877" t="str">
            <v>X1708_1</v>
          </cell>
          <cell r="H4877" t="str">
            <v>as-as</v>
          </cell>
          <cell r="I4877" t="str">
            <v>sim</v>
          </cell>
          <cell r="V4877" t="str">
            <v>antonym</v>
          </cell>
          <cell r="Y4877" t="str">
            <v>Pres</v>
          </cell>
          <cell r="Z4877">
            <v>4.75</v>
          </cell>
          <cell r="AA4877">
            <v>0</v>
          </cell>
          <cell r="AB4877">
            <v>0</v>
          </cell>
        </row>
        <row r="4878">
          <cell r="G4878" t="str">
            <v>X1709_0</v>
          </cell>
          <cell r="H4878" t="str">
            <v>like</v>
          </cell>
          <cell r="I4878" t="str">
            <v>sim</v>
          </cell>
          <cell r="V4878" t="str">
            <v>not neg pair</v>
          </cell>
          <cell r="Y4878" t="str">
            <v>Past</v>
          </cell>
          <cell r="Z4878">
            <v>3.36</v>
          </cell>
          <cell r="AA4878">
            <v>0</v>
          </cell>
          <cell r="AB4878">
            <v>0</v>
          </cell>
        </row>
        <row r="4879">
          <cell r="G4879" t="str">
            <v>X1709_1</v>
          </cell>
          <cell r="H4879" t="str">
            <v>like</v>
          </cell>
          <cell r="I4879" t="str">
            <v>sim</v>
          </cell>
          <cell r="V4879" t="str">
            <v>not neg pair</v>
          </cell>
          <cell r="Y4879" t="str">
            <v>Past</v>
          </cell>
          <cell r="Z4879">
            <v>3.36</v>
          </cell>
          <cell r="AA4879">
            <v>0</v>
          </cell>
          <cell r="AB4879">
            <v>0</v>
          </cell>
        </row>
        <row r="4880">
          <cell r="G4880" t="str">
            <v>X1710_0</v>
          </cell>
          <cell r="H4880" t="str">
            <v>the-of</v>
          </cell>
          <cell r="I4880" t="str">
            <v>sim</v>
          </cell>
          <cell r="V4880" t="str">
            <v>not</v>
          </cell>
          <cell r="Y4880" t="str">
            <v>Past</v>
          </cell>
          <cell r="Z4880">
            <v>3.32</v>
          </cell>
          <cell r="AA4880">
            <v>0</v>
          </cell>
          <cell r="AB4880">
            <v>0</v>
          </cell>
        </row>
        <row r="4881">
          <cell r="G4881" t="str">
            <v>X1710_1</v>
          </cell>
          <cell r="H4881" t="str">
            <v>the-of</v>
          </cell>
          <cell r="I4881" t="str">
            <v>sim</v>
          </cell>
          <cell r="V4881" t="str">
            <v>not</v>
          </cell>
          <cell r="Y4881" t="str">
            <v>Past</v>
          </cell>
          <cell r="Z4881">
            <v>3.32</v>
          </cell>
          <cell r="AA4881">
            <v>0</v>
          </cell>
          <cell r="AB4881">
            <v>0</v>
          </cell>
        </row>
        <row r="4882">
          <cell r="G4882" t="str">
            <v>X1711_0</v>
          </cell>
          <cell r="H4882" t="str">
            <v>the-of</v>
          </cell>
          <cell r="I4882" t="str">
            <v>sim</v>
          </cell>
          <cell r="V4882" t="str">
            <v>not neg pair</v>
          </cell>
          <cell r="Y4882" t="str">
            <v>Past</v>
          </cell>
          <cell r="Z4882">
            <v>4.46</v>
          </cell>
          <cell r="AA4882">
            <v>0</v>
          </cell>
          <cell r="AB4882">
            <v>0</v>
          </cell>
        </row>
        <row r="4883">
          <cell r="G4883" t="str">
            <v>X1711_1</v>
          </cell>
          <cell r="H4883" t="str">
            <v>the-of</v>
          </cell>
          <cell r="I4883" t="str">
            <v>sim</v>
          </cell>
          <cell r="V4883" t="str">
            <v>not neg pair</v>
          </cell>
          <cell r="Y4883" t="str">
            <v>Past</v>
          </cell>
          <cell r="Z4883">
            <v>4.46</v>
          </cell>
          <cell r="AA4883">
            <v>0</v>
          </cell>
          <cell r="AB4883">
            <v>0</v>
          </cell>
        </row>
        <row r="4884">
          <cell r="G4884" t="str">
            <v>X1712_0</v>
          </cell>
          <cell r="H4884" t="str">
            <v>as-as</v>
          </cell>
          <cell r="I4884" t="str">
            <v>sim</v>
          </cell>
          <cell r="V4884" t="str">
            <v>antonym</v>
          </cell>
          <cell r="Y4884" t="str">
            <v>Past</v>
          </cell>
          <cell r="Z4884">
            <v>4.8499999999999996</v>
          </cell>
          <cell r="AA4884">
            <v>0</v>
          </cell>
          <cell r="AB4884">
            <v>0</v>
          </cell>
        </row>
        <row r="4885">
          <cell r="G4885" t="str">
            <v>X1712_1</v>
          </cell>
          <cell r="H4885" t="str">
            <v>as-as</v>
          </cell>
          <cell r="I4885" t="str">
            <v>sim</v>
          </cell>
          <cell r="V4885" t="str">
            <v>antonym</v>
          </cell>
          <cell r="Y4885" t="str">
            <v>Past</v>
          </cell>
          <cell r="Z4885">
            <v>4.8499999999999996</v>
          </cell>
          <cell r="AA4885">
            <v>0</v>
          </cell>
          <cell r="AB4885">
            <v>0</v>
          </cell>
        </row>
        <row r="4886">
          <cell r="G4886" t="str">
            <v>X1713_0</v>
          </cell>
          <cell r="H4886" t="str">
            <v>as-as</v>
          </cell>
          <cell r="I4886" t="str">
            <v>sim</v>
          </cell>
          <cell r="V4886" t="str">
            <v>not neg pair</v>
          </cell>
          <cell r="Y4886" t="str">
            <v>Past</v>
          </cell>
          <cell r="Z4886">
            <v>3.62</v>
          </cell>
          <cell r="AA4886">
            <v>0</v>
          </cell>
          <cell r="AB4886">
            <v>0</v>
          </cell>
        </row>
        <row r="4887">
          <cell r="G4887" t="str">
            <v>X1713_1</v>
          </cell>
          <cell r="H4887" t="str">
            <v>as-as</v>
          </cell>
          <cell r="I4887" t="str">
            <v>sim</v>
          </cell>
          <cell r="V4887" t="str">
            <v>not neg pair</v>
          </cell>
          <cell r="Y4887">
            <v>0</v>
          </cell>
          <cell r="Z4887">
            <v>3.62</v>
          </cell>
          <cell r="AA4887">
            <v>0</v>
          </cell>
          <cell r="AB4887">
            <v>0</v>
          </cell>
        </row>
        <row r="4888">
          <cell r="G4888" t="str">
            <v>X1714_0</v>
          </cell>
          <cell r="H4888" t="str">
            <v>as-as</v>
          </cell>
          <cell r="I4888" t="str">
            <v>sim</v>
          </cell>
          <cell r="V4888" t="str">
            <v>not neg pair</v>
          </cell>
          <cell r="Y4888" t="str">
            <v>Past</v>
          </cell>
          <cell r="Z4888">
            <v>3.52</v>
          </cell>
          <cell r="AA4888">
            <v>0</v>
          </cell>
          <cell r="AB4888">
            <v>0</v>
          </cell>
        </row>
        <row r="4889">
          <cell r="G4889" t="str">
            <v>X1714_1</v>
          </cell>
          <cell r="H4889" t="str">
            <v>as-as</v>
          </cell>
          <cell r="I4889" t="str">
            <v>sim</v>
          </cell>
          <cell r="V4889" t="str">
            <v>not neg pair</v>
          </cell>
          <cell r="Y4889" t="str">
            <v>Past</v>
          </cell>
          <cell r="Z4889">
            <v>3.52</v>
          </cell>
          <cell r="AA4889">
            <v>0</v>
          </cell>
          <cell r="AB4889">
            <v>0</v>
          </cell>
        </row>
        <row r="4890">
          <cell r="G4890" t="str">
            <v>X1715_0</v>
          </cell>
          <cell r="H4890" t="str">
            <v>as-as</v>
          </cell>
          <cell r="I4890" t="str">
            <v>sim</v>
          </cell>
          <cell r="V4890" t="str">
            <v>not</v>
          </cell>
          <cell r="Y4890" t="str">
            <v>Past</v>
          </cell>
          <cell r="Z4890">
            <v>3.36</v>
          </cell>
          <cell r="AA4890">
            <v>0</v>
          </cell>
          <cell r="AB4890">
            <v>0</v>
          </cell>
        </row>
        <row r="4891">
          <cell r="G4891" t="str">
            <v>X1715_1</v>
          </cell>
          <cell r="H4891" t="str">
            <v>as-as</v>
          </cell>
          <cell r="I4891" t="str">
            <v>sim</v>
          </cell>
          <cell r="V4891" t="str">
            <v>not</v>
          </cell>
          <cell r="Y4891" t="str">
            <v>Past</v>
          </cell>
          <cell r="Z4891">
            <v>3.36</v>
          </cell>
          <cell r="AA4891">
            <v>0</v>
          </cell>
          <cell r="AB4891">
            <v>0</v>
          </cell>
        </row>
        <row r="4892">
          <cell r="G4892" t="str">
            <v>X1716_0</v>
          </cell>
          <cell r="H4892" t="str">
            <v>as-as</v>
          </cell>
          <cell r="I4892" t="str">
            <v>sim</v>
          </cell>
          <cell r="V4892" t="str">
            <v>not</v>
          </cell>
          <cell r="Y4892" t="str">
            <v>Past</v>
          </cell>
          <cell r="Z4892">
            <v>3.32</v>
          </cell>
          <cell r="AA4892">
            <v>0</v>
          </cell>
          <cell r="AB4892">
            <v>0</v>
          </cell>
        </row>
        <row r="4893">
          <cell r="G4893" t="str">
            <v>X1716_1</v>
          </cell>
          <cell r="H4893" t="str">
            <v>as-as</v>
          </cell>
          <cell r="I4893" t="str">
            <v>sim</v>
          </cell>
          <cell r="V4893" t="str">
            <v>not</v>
          </cell>
          <cell r="Y4893" t="str">
            <v>Past</v>
          </cell>
          <cell r="Z4893">
            <v>3.32</v>
          </cell>
          <cell r="AA4893">
            <v>0</v>
          </cell>
          <cell r="AB4893">
            <v>0</v>
          </cell>
        </row>
        <row r="4894">
          <cell r="G4894" t="str">
            <v>X1717_0</v>
          </cell>
          <cell r="H4894" t="str">
            <v>as-as</v>
          </cell>
          <cell r="I4894" t="str">
            <v>sim</v>
          </cell>
          <cell r="V4894" t="str">
            <v>not</v>
          </cell>
          <cell r="Y4894" t="str">
            <v>Pres</v>
          </cell>
          <cell r="Z4894">
            <v>4.9000000000000004</v>
          </cell>
          <cell r="AA4894">
            <v>0</v>
          </cell>
          <cell r="AB4894">
            <v>0</v>
          </cell>
        </row>
        <row r="4895">
          <cell r="G4895" t="str">
            <v>X1717_1</v>
          </cell>
          <cell r="H4895" t="str">
            <v>as-as</v>
          </cell>
          <cell r="I4895" t="str">
            <v>sim</v>
          </cell>
          <cell r="V4895" t="str">
            <v>not</v>
          </cell>
          <cell r="Y4895" t="str">
            <v>Past</v>
          </cell>
          <cell r="Z4895">
            <v>4.9000000000000004</v>
          </cell>
          <cell r="AA4895">
            <v>0</v>
          </cell>
          <cell r="AB4895">
            <v>0</v>
          </cell>
        </row>
        <row r="4896">
          <cell r="G4896" t="str">
            <v>X1718_0</v>
          </cell>
          <cell r="H4896" t="str">
            <v>as-as</v>
          </cell>
          <cell r="I4896" t="str">
            <v>sim</v>
          </cell>
          <cell r="V4896" t="str">
            <v>not</v>
          </cell>
          <cell r="Y4896">
            <v>0</v>
          </cell>
          <cell r="Z4896">
            <v>3.93</v>
          </cell>
          <cell r="AA4896">
            <v>0</v>
          </cell>
          <cell r="AB4896">
            <v>0</v>
          </cell>
        </row>
        <row r="4897">
          <cell r="G4897" t="str">
            <v>X1718_1</v>
          </cell>
          <cell r="H4897" t="str">
            <v>as-as</v>
          </cell>
          <cell r="I4897" t="str">
            <v>sim</v>
          </cell>
          <cell r="V4897" t="str">
            <v>not</v>
          </cell>
          <cell r="Y4897">
            <v>0</v>
          </cell>
          <cell r="Z4897">
            <v>3.93</v>
          </cell>
          <cell r="AA4897">
            <v>0</v>
          </cell>
          <cell r="AB4897">
            <v>0</v>
          </cell>
        </row>
        <row r="4898">
          <cell r="G4898" t="str">
            <v>X1719_0</v>
          </cell>
          <cell r="H4898" t="str">
            <v>as-as</v>
          </cell>
          <cell r="I4898" t="str">
            <v>sim</v>
          </cell>
          <cell r="V4898" t="str">
            <v>not neg pair</v>
          </cell>
          <cell r="Y4898" t="str">
            <v>Pres</v>
          </cell>
          <cell r="Z4898">
            <v>3.08</v>
          </cell>
          <cell r="AA4898">
            <v>0</v>
          </cell>
          <cell r="AB4898">
            <v>0</v>
          </cell>
        </row>
        <row r="4899">
          <cell r="G4899" t="str">
            <v>X1719_1</v>
          </cell>
          <cell r="H4899" t="str">
            <v>as-as</v>
          </cell>
          <cell r="I4899" t="str">
            <v>sim</v>
          </cell>
          <cell r="V4899" t="str">
            <v>not neg pair</v>
          </cell>
          <cell r="Y4899" t="str">
            <v>Pres</v>
          </cell>
          <cell r="Z4899">
            <v>3.08</v>
          </cell>
          <cell r="AA4899">
            <v>0</v>
          </cell>
          <cell r="AB4899">
            <v>0</v>
          </cell>
        </row>
        <row r="4900">
          <cell r="G4900" t="str">
            <v>X1720_0</v>
          </cell>
          <cell r="H4900" t="str">
            <v>as-as</v>
          </cell>
          <cell r="I4900" t="str">
            <v>sim</v>
          </cell>
          <cell r="V4900" t="str">
            <v>not</v>
          </cell>
          <cell r="Y4900" t="str">
            <v>Pres</v>
          </cell>
          <cell r="Z4900">
            <v>4.59</v>
          </cell>
          <cell r="AA4900">
            <v>0</v>
          </cell>
          <cell r="AB4900">
            <v>0</v>
          </cell>
        </row>
        <row r="4901">
          <cell r="G4901" t="str">
            <v>X1720_1</v>
          </cell>
          <cell r="H4901" t="str">
            <v>as-as</v>
          </cell>
          <cell r="I4901" t="str">
            <v>sim</v>
          </cell>
          <cell r="V4901" t="str">
            <v>not</v>
          </cell>
          <cell r="Y4901" t="str">
            <v>Past</v>
          </cell>
          <cell r="Z4901">
            <v>4.59</v>
          </cell>
          <cell r="AA4901">
            <v>0</v>
          </cell>
          <cell r="AB4901">
            <v>0</v>
          </cell>
        </row>
        <row r="4902">
          <cell r="G4902" t="str">
            <v>X1721_0</v>
          </cell>
          <cell r="H4902" t="str">
            <v>as-as</v>
          </cell>
          <cell r="I4902" t="str">
            <v>sim</v>
          </cell>
          <cell r="V4902" t="str">
            <v>not neg pair</v>
          </cell>
          <cell r="Y4902" t="str">
            <v>Past</v>
          </cell>
          <cell r="Z4902">
            <v>2.81</v>
          </cell>
          <cell r="AA4902">
            <v>0</v>
          </cell>
          <cell r="AB4902">
            <v>0</v>
          </cell>
        </row>
        <row r="4903">
          <cell r="G4903" t="str">
            <v>X1721_1</v>
          </cell>
          <cell r="H4903" t="str">
            <v>as-as</v>
          </cell>
          <cell r="I4903" t="str">
            <v>sim</v>
          </cell>
          <cell r="V4903" t="str">
            <v>not neg pair</v>
          </cell>
          <cell r="Y4903" t="str">
            <v>Past</v>
          </cell>
          <cell r="Z4903">
            <v>2.81</v>
          </cell>
          <cell r="AA4903">
            <v>0</v>
          </cell>
          <cell r="AB4903">
            <v>0</v>
          </cell>
        </row>
        <row r="4904">
          <cell r="G4904" t="str">
            <v>X1722_0</v>
          </cell>
          <cell r="H4904" t="str">
            <v>as-as</v>
          </cell>
          <cell r="I4904" t="str">
            <v>sim</v>
          </cell>
          <cell r="V4904" t="str">
            <v>not neg pair</v>
          </cell>
          <cell r="Y4904" t="str">
            <v>Pres</v>
          </cell>
          <cell r="Z4904">
            <v>2.81</v>
          </cell>
          <cell r="AA4904">
            <v>0</v>
          </cell>
          <cell r="AB4904">
            <v>0</v>
          </cell>
        </row>
        <row r="4905">
          <cell r="G4905" t="str">
            <v>X1722_1</v>
          </cell>
          <cell r="H4905" t="str">
            <v>as-as</v>
          </cell>
          <cell r="I4905" t="str">
            <v>sim</v>
          </cell>
          <cell r="V4905" t="str">
            <v>not neg pair</v>
          </cell>
          <cell r="Y4905" t="str">
            <v>Past</v>
          </cell>
          <cell r="Z4905">
            <v>2.81</v>
          </cell>
          <cell r="AA4905">
            <v>0</v>
          </cell>
          <cell r="AB4905">
            <v>0</v>
          </cell>
        </row>
        <row r="4906">
          <cell r="G4906" t="str">
            <v>X1723_0</v>
          </cell>
          <cell r="H4906" t="str">
            <v>as-as</v>
          </cell>
          <cell r="I4906" t="str">
            <v>sim</v>
          </cell>
          <cell r="V4906" t="str">
            <v>antonym</v>
          </cell>
          <cell r="Y4906" t="str">
            <v>Pres</v>
          </cell>
          <cell r="Z4906">
            <v>4.29</v>
          </cell>
          <cell r="AA4906">
            <v>0</v>
          </cell>
          <cell r="AB4906">
            <v>0</v>
          </cell>
        </row>
        <row r="4907">
          <cell r="G4907" t="str">
            <v>X1723_1</v>
          </cell>
          <cell r="H4907" t="str">
            <v>as-as</v>
          </cell>
          <cell r="I4907" t="str">
            <v>sim</v>
          </cell>
          <cell r="V4907" t="str">
            <v>antonym</v>
          </cell>
          <cell r="Y4907" t="str">
            <v>Pres</v>
          </cell>
          <cell r="Z4907">
            <v>4.29</v>
          </cell>
          <cell r="AA4907">
            <v>0</v>
          </cell>
          <cell r="AB4907">
            <v>0</v>
          </cell>
        </row>
        <row r="4908">
          <cell r="G4908" t="str">
            <v>X1724_0</v>
          </cell>
          <cell r="H4908" t="str">
            <v/>
          </cell>
          <cell r="I4908" t="str">
            <v>met</v>
          </cell>
          <cell r="V4908" t="str">
            <v>0</v>
          </cell>
          <cell r="Y4908" t="str">
            <v>Pres</v>
          </cell>
          <cell r="Z4908">
            <v>4.76</v>
          </cell>
          <cell r="AA4908">
            <v>0</v>
          </cell>
          <cell r="AB4908">
            <v>0</v>
          </cell>
        </row>
        <row r="4909">
          <cell r="G4909" t="str">
            <v>X1724_1</v>
          </cell>
          <cell r="H4909" t="str">
            <v/>
          </cell>
          <cell r="I4909" t="str">
            <v>met</v>
          </cell>
          <cell r="V4909" t="str">
            <v>0</v>
          </cell>
          <cell r="Y4909" t="str">
            <v>Pres</v>
          </cell>
          <cell r="Z4909">
            <v>4.76</v>
          </cell>
          <cell r="AA4909">
            <v>0</v>
          </cell>
          <cell r="AB4909">
            <v>0</v>
          </cell>
        </row>
        <row r="4910">
          <cell r="G4910" t="str">
            <v>X1725_0</v>
          </cell>
          <cell r="H4910" t="str">
            <v>the-of</v>
          </cell>
          <cell r="I4910" t="str">
            <v>sim</v>
          </cell>
          <cell r="V4910" t="str">
            <v>not neg pair</v>
          </cell>
          <cell r="Y4910" t="str">
            <v>Past</v>
          </cell>
          <cell r="Z4910">
            <v>4.87</v>
          </cell>
          <cell r="AA4910">
            <v>0</v>
          </cell>
          <cell r="AB4910">
            <v>0</v>
          </cell>
        </row>
        <row r="4911">
          <cell r="G4911" t="str">
            <v>X1725_1</v>
          </cell>
          <cell r="H4911" t="str">
            <v>the-of</v>
          </cell>
          <cell r="I4911" t="str">
            <v>sim</v>
          </cell>
          <cell r="V4911" t="str">
            <v>not neg pair</v>
          </cell>
          <cell r="Y4911" t="str">
            <v>Past</v>
          </cell>
          <cell r="Z4911">
            <v>4.87</v>
          </cell>
          <cell r="AA4911">
            <v>0</v>
          </cell>
          <cell r="AB4911">
            <v>0</v>
          </cell>
        </row>
        <row r="4912">
          <cell r="G4912" t="str">
            <v>X1726_0</v>
          </cell>
          <cell r="H4912" t="str">
            <v>as-as</v>
          </cell>
          <cell r="I4912" t="str">
            <v>sim</v>
          </cell>
          <cell r="V4912" t="str">
            <v>not neg pair</v>
          </cell>
          <cell r="Y4912" t="str">
            <v>Past</v>
          </cell>
          <cell r="Z4912">
            <v>4.9000000000000004</v>
          </cell>
          <cell r="AA4912">
            <v>0</v>
          </cell>
          <cell r="AB4912">
            <v>0</v>
          </cell>
        </row>
        <row r="4913">
          <cell r="G4913" t="str">
            <v>X1726_1</v>
          </cell>
          <cell r="H4913" t="str">
            <v>as-as</v>
          </cell>
          <cell r="I4913" t="str">
            <v>sim</v>
          </cell>
          <cell r="V4913" t="str">
            <v>not neg pair</v>
          </cell>
          <cell r="Y4913" t="str">
            <v>Past</v>
          </cell>
          <cell r="Z4913">
            <v>4.9000000000000004</v>
          </cell>
          <cell r="AA4913">
            <v>0</v>
          </cell>
          <cell r="AB4913">
            <v>0</v>
          </cell>
        </row>
        <row r="4914">
          <cell r="G4914" t="str">
            <v>X1727_0</v>
          </cell>
          <cell r="H4914" t="str">
            <v>as</v>
          </cell>
          <cell r="I4914" t="str">
            <v>sim</v>
          </cell>
          <cell r="V4914" t="str">
            <v>not neg pair</v>
          </cell>
          <cell r="Y4914" t="str">
            <v>Past</v>
          </cell>
          <cell r="Z4914">
            <v>5</v>
          </cell>
          <cell r="AA4914" t="str">
            <v>H</v>
          </cell>
          <cell r="AB4914">
            <v>0</v>
          </cell>
        </row>
        <row r="4915">
          <cell r="G4915" t="str">
            <v>X1727_1</v>
          </cell>
          <cell r="H4915" t="str">
            <v>as</v>
          </cell>
          <cell r="I4915" t="str">
            <v>sim</v>
          </cell>
          <cell r="V4915" t="str">
            <v>not neg pair</v>
          </cell>
          <cell r="Y4915" t="str">
            <v>Past</v>
          </cell>
          <cell r="Z4915">
            <v>5</v>
          </cell>
          <cell r="AA4915" t="str">
            <v>H</v>
          </cell>
          <cell r="AB4915">
            <v>0</v>
          </cell>
        </row>
        <row r="4916">
          <cell r="G4916" t="str">
            <v>X1728_0</v>
          </cell>
          <cell r="H4916" t="str">
            <v>the-of</v>
          </cell>
          <cell r="I4916" t="str">
            <v>sim</v>
          </cell>
          <cell r="V4916" t="str">
            <v>not neg pair</v>
          </cell>
          <cell r="Y4916" t="str">
            <v>Pres</v>
          </cell>
          <cell r="Z4916">
            <v>3.7</v>
          </cell>
          <cell r="AA4916">
            <v>0</v>
          </cell>
          <cell r="AB4916">
            <v>0</v>
          </cell>
        </row>
        <row r="4917">
          <cell r="G4917" t="str">
            <v>X1728_1</v>
          </cell>
          <cell r="H4917" t="str">
            <v>the-of</v>
          </cell>
          <cell r="I4917" t="str">
            <v>sim</v>
          </cell>
          <cell r="V4917" t="str">
            <v>not neg pair</v>
          </cell>
          <cell r="Y4917" t="str">
            <v>Pres</v>
          </cell>
          <cell r="Z4917">
            <v>3.7</v>
          </cell>
          <cell r="AA4917">
            <v>0</v>
          </cell>
          <cell r="AB4917">
            <v>0</v>
          </cell>
        </row>
        <row r="4918">
          <cell r="G4918" t="str">
            <v>X1729_0</v>
          </cell>
          <cell r="H4918" t="str">
            <v>as-as</v>
          </cell>
          <cell r="I4918" t="str">
            <v>sim</v>
          </cell>
          <cell r="V4918" t="str">
            <v>antonym</v>
          </cell>
          <cell r="Y4918" t="str">
            <v>Pres</v>
          </cell>
          <cell r="Z4918">
            <v>4.4000000000000004</v>
          </cell>
          <cell r="AA4918">
            <v>0</v>
          </cell>
          <cell r="AB4918">
            <v>0</v>
          </cell>
        </row>
        <row r="4919">
          <cell r="G4919" t="str">
            <v>X1729_1</v>
          </cell>
          <cell r="H4919" t="str">
            <v>as-as</v>
          </cell>
          <cell r="I4919" t="str">
            <v>sim</v>
          </cell>
          <cell r="V4919" t="str">
            <v>antonym</v>
          </cell>
          <cell r="Y4919" t="str">
            <v>Pres</v>
          </cell>
          <cell r="Z4919">
            <v>4.4000000000000004</v>
          </cell>
          <cell r="AA4919">
            <v>0</v>
          </cell>
          <cell r="AB4919">
            <v>0</v>
          </cell>
        </row>
        <row r="4920">
          <cell r="G4920" t="str">
            <v>X1730_0</v>
          </cell>
          <cell r="H4920" t="str">
            <v>as-as</v>
          </cell>
          <cell r="I4920" t="str">
            <v>sim</v>
          </cell>
          <cell r="V4920" t="str">
            <v>not</v>
          </cell>
          <cell r="Y4920" t="str">
            <v>Pres</v>
          </cell>
          <cell r="Z4920">
            <v>4.8499999999999996</v>
          </cell>
          <cell r="AA4920">
            <v>0</v>
          </cell>
          <cell r="AB4920">
            <v>0</v>
          </cell>
        </row>
        <row r="4921">
          <cell r="G4921" t="str">
            <v>X1730_1</v>
          </cell>
          <cell r="H4921" t="str">
            <v>as-as</v>
          </cell>
          <cell r="I4921" t="str">
            <v>sim</v>
          </cell>
          <cell r="V4921" t="str">
            <v>not</v>
          </cell>
          <cell r="Y4921" t="str">
            <v>Pres</v>
          </cell>
          <cell r="Z4921">
            <v>4.8499999999999996</v>
          </cell>
          <cell r="AA4921">
            <v>0</v>
          </cell>
          <cell r="AB4921">
            <v>0</v>
          </cell>
        </row>
        <row r="4922">
          <cell r="G4922" t="str">
            <v>X1731_0</v>
          </cell>
          <cell r="H4922" t="str">
            <v>the-of</v>
          </cell>
          <cell r="I4922" t="str">
            <v>sim</v>
          </cell>
          <cell r="V4922" t="str">
            <v>not neg pair</v>
          </cell>
          <cell r="Y4922" t="str">
            <v>Past</v>
          </cell>
          <cell r="Z4922">
            <v>2.93</v>
          </cell>
          <cell r="AA4922">
            <v>0</v>
          </cell>
          <cell r="AB4922">
            <v>0</v>
          </cell>
        </row>
        <row r="4923">
          <cell r="G4923" t="str">
            <v>X1731_1</v>
          </cell>
          <cell r="H4923" t="str">
            <v>the-of</v>
          </cell>
          <cell r="I4923" t="str">
            <v>sim</v>
          </cell>
          <cell r="V4923" t="str">
            <v>not neg pair</v>
          </cell>
          <cell r="Y4923" t="str">
            <v>Past</v>
          </cell>
          <cell r="Z4923">
            <v>2.93</v>
          </cell>
          <cell r="AA4923">
            <v>0</v>
          </cell>
          <cell r="AB4923">
            <v>0</v>
          </cell>
        </row>
        <row r="4924">
          <cell r="G4924" t="str">
            <v>X1732_0</v>
          </cell>
          <cell r="H4924" t="str">
            <v>like</v>
          </cell>
          <cell r="I4924" t="str">
            <v>sim</v>
          </cell>
          <cell r="V4924" t="str">
            <v>not neg pair</v>
          </cell>
          <cell r="Y4924" t="str">
            <v>Past</v>
          </cell>
          <cell r="Z4924">
            <v>3.75</v>
          </cell>
          <cell r="AA4924">
            <v>0</v>
          </cell>
          <cell r="AB4924">
            <v>0</v>
          </cell>
        </row>
        <row r="4925">
          <cell r="G4925" t="str">
            <v>X1732_1</v>
          </cell>
          <cell r="H4925" t="str">
            <v>like</v>
          </cell>
          <cell r="I4925" t="str">
            <v>sim</v>
          </cell>
          <cell r="V4925" t="str">
            <v>not neg pair</v>
          </cell>
          <cell r="Y4925" t="str">
            <v>Past</v>
          </cell>
          <cell r="Z4925">
            <v>3.75</v>
          </cell>
          <cell r="AA4925">
            <v>0</v>
          </cell>
          <cell r="AB4925">
            <v>0</v>
          </cell>
        </row>
        <row r="4926">
          <cell r="G4926" t="str">
            <v>X1733_0</v>
          </cell>
          <cell r="H4926" t="str">
            <v>like</v>
          </cell>
          <cell r="I4926" t="str">
            <v>sim</v>
          </cell>
          <cell r="V4926" t="str">
            <v>not neg pair</v>
          </cell>
          <cell r="Y4926" t="str">
            <v>Pres</v>
          </cell>
          <cell r="Z4926">
            <v>5</v>
          </cell>
          <cell r="AA4926" t="str">
            <v>H</v>
          </cell>
          <cell r="AB4926">
            <v>0</v>
          </cell>
        </row>
        <row r="4927">
          <cell r="G4927" t="str">
            <v>X1733_1</v>
          </cell>
          <cell r="H4927" t="str">
            <v>like</v>
          </cell>
          <cell r="I4927" t="str">
            <v>sim</v>
          </cell>
          <cell r="V4927" t="str">
            <v>not neg pair</v>
          </cell>
          <cell r="Y4927" t="str">
            <v>Pres</v>
          </cell>
          <cell r="Z4927">
            <v>5</v>
          </cell>
          <cell r="AA4927" t="str">
            <v>H</v>
          </cell>
          <cell r="AB4927">
            <v>0</v>
          </cell>
        </row>
        <row r="4928">
          <cell r="G4928" t="str">
            <v>X1734_0</v>
          </cell>
          <cell r="H4928" t="str">
            <v/>
          </cell>
          <cell r="I4928" t="str">
            <v>met</v>
          </cell>
          <cell r="V4928" t="str">
            <v>0</v>
          </cell>
          <cell r="Y4928" t="str">
            <v>Pres</v>
          </cell>
          <cell r="Z4928">
            <v>3.97</v>
          </cell>
          <cell r="AA4928">
            <v>0</v>
          </cell>
          <cell r="AB4928">
            <v>0</v>
          </cell>
        </row>
        <row r="4929">
          <cell r="G4929" t="str">
            <v>X1734_1</v>
          </cell>
          <cell r="H4929" t="str">
            <v>like</v>
          </cell>
          <cell r="I4929" t="str">
            <v>sim</v>
          </cell>
          <cell r="V4929" t="str">
            <v>0</v>
          </cell>
          <cell r="Y4929" t="str">
            <v>Pres</v>
          </cell>
          <cell r="Z4929">
            <v>3.97</v>
          </cell>
          <cell r="AA4929">
            <v>0</v>
          </cell>
          <cell r="AB4929">
            <v>0</v>
          </cell>
        </row>
        <row r="4930">
          <cell r="G4930" t="str">
            <v>X1735_0</v>
          </cell>
          <cell r="H4930" t="str">
            <v/>
          </cell>
          <cell r="I4930" t="str">
            <v>met</v>
          </cell>
          <cell r="V4930" t="str">
            <v>0</v>
          </cell>
          <cell r="Y4930" t="str">
            <v>Pres</v>
          </cell>
          <cell r="Z4930">
            <v>0</v>
          </cell>
          <cell r="AA4930">
            <v>0</v>
          </cell>
          <cell r="AB4930">
            <v>0</v>
          </cell>
        </row>
        <row r="4931">
          <cell r="G4931" t="str">
            <v>X1735_1</v>
          </cell>
          <cell r="H4931" t="str">
            <v/>
          </cell>
          <cell r="I4931" t="str">
            <v>met</v>
          </cell>
          <cell r="V4931" t="str">
            <v>0</v>
          </cell>
          <cell r="Y4931" t="str">
            <v>Pres</v>
          </cell>
          <cell r="Z4931">
            <v>0</v>
          </cell>
          <cell r="AA4931">
            <v>0</v>
          </cell>
          <cell r="AB4931">
            <v>0</v>
          </cell>
        </row>
        <row r="4932">
          <cell r="G4932" t="str">
            <v>X1736_0</v>
          </cell>
          <cell r="H4932" t="str">
            <v/>
          </cell>
          <cell r="I4932" t="str">
            <v>met</v>
          </cell>
          <cell r="V4932" t="str">
            <v>0</v>
          </cell>
          <cell r="Y4932" t="str">
            <v>Past</v>
          </cell>
          <cell r="Z4932">
            <v>5</v>
          </cell>
          <cell r="AA4932" t="str">
            <v>H</v>
          </cell>
          <cell r="AB4932">
            <v>0</v>
          </cell>
        </row>
        <row r="4933">
          <cell r="G4933" t="str">
            <v>X1736_1</v>
          </cell>
          <cell r="H4933" t="str">
            <v/>
          </cell>
          <cell r="I4933" t="str">
            <v>met</v>
          </cell>
          <cell r="V4933" t="str">
            <v>0</v>
          </cell>
          <cell r="Y4933" t="str">
            <v>Past</v>
          </cell>
          <cell r="Z4933">
            <v>5</v>
          </cell>
          <cell r="AA4933" t="str">
            <v>H</v>
          </cell>
          <cell r="AB4933">
            <v>0</v>
          </cell>
        </row>
        <row r="4934">
          <cell r="G4934" t="str">
            <v>X1737_0</v>
          </cell>
          <cell r="H4934" t="str">
            <v/>
          </cell>
          <cell r="I4934" t="str">
            <v>met</v>
          </cell>
          <cell r="V4934" t="str">
            <v>0</v>
          </cell>
          <cell r="Y4934" t="str">
            <v>Pres</v>
          </cell>
          <cell r="Z4934">
            <v>2.5</v>
          </cell>
          <cell r="AA4934" t="str">
            <v>L</v>
          </cell>
          <cell r="AB4934">
            <v>0</v>
          </cell>
        </row>
        <row r="4935">
          <cell r="G4935" t="str">
            <v>X1737_1</v>
          </cell>
          <cell r="H4935" t="str">
            <v/>
          </cell>
          <cell r="I4935" t="str">
            <v>met</v>
          </cell>
          <cell r="V4935" t="str">
            <v>0</v>
          </cell>
          <cell r="Y4935" t="str">
            <v>Pres</v>
          </cell>
          <cell r="Z4935">
            <v>2.5</v>
          </cell>
          <cell r="AA4935" t="str">
            <v>L</v>
          </cell>
          <cell r="AB4935">
            <v>0</v>
          </cell>
        </row>
        <row r="4936">
          <cell r="G4936" t="str">
            <v>X1738_0</v>
          </cell>
          <cell r="H4936" t="str">
            <v/>
          </cell>
          <cell r="I4936" t="str">
            <v>met</v>
          </cell>
          <cell r="V4936" t="str">
            <v>0</v>
          </cell>
          <cell r="Y4936" t="str">
            <v>Past</v>
          </cell>
          <cell r="Z4936">
            <v>2.8</v>
          </cell>
          <cell r="AA4936" t="str">
            <v>L</v>
          </cell>
          <cell r="AB4936">
            <v>0</v>
          </cell>
        </row>
        <row r="4937">
          <cell r="G4937" t="str">
            <v>X1738_1</v>
          </cell>
          <cell r="H4937" t="str">
            <v/>
          </cell>
          <cell r="I4937" t="str">
            <v>met</v>
          </cell>
          <cell r="V4937" t="str">
            <v>0</v>
          </cell>
          <cell r="Y4937" t="str">
            <v>Past</v>
          </cell>
          <cell r="Z4937">
            <v>2.8</v>
          </cell>
          <cell r="AA4937" t="str">
            <v>L</v>
          </cell>
          <cell r="AB4937">
            <v>0</v>
          </cell>
        </row>
        <row r="4938">
          <cell r="G4938" t="str">
            <v>X1739_0</v>
          </cell>
          <cell r="H4938" t="str">
            <v>the-of</v>
          </cell>
          <cell r="I4938" t="str">
            <v>sim</v>
          </cell>
          <cell r="V4938" t="str">
            <v>not neg pair</v>
          </cell>
          <cell r="Y4938" t="str">
            <v>Past</v>
          </cell>
          <cell r="Z4938">
            <v>3.59</v>
          </cell>
          <cell r="AA4938">
            <v>0</v>
          </cell>
          <cell r="AB4938">
            <v>0</v>
          </cell>
        </row>
        <row r="4939">
          <cell r="G4939" t="str">
            <v>X1739_1</v>
          </cell>
          <cell r="H4939" t="str">
            <v>the-of</v>
          </cell>
          <cell r="I4939" t="str">
            <v>sim</v>
          </cell>
          <cell r="V4939" t="str">
            <v>not neg pair</v>
          </cell>
          <cell r="Y4939" t="str">
            <v>Past</v>
          </cell>
          <cell r="Z4939">
            <v>3.59</v>
          </cell>
          <cell r="AA4939">
            <v>0</v>
          </cell>
          <cell r="AB4939">
            <v>0</v>
          </cell>
        </row>
        <row r="4940">
          <cell r="G4940" t="str">
            <v>X1740_0</v>
          </cell>
          <cell r="H4940" t="str">
            <v/>
          </cell>
          <cell r="I4940" t="str">
            <v>met</v>
          </cell>
          <cell r="V4940" t="str">
            <v>0</v>
          </cell>
          <cell r="Y4940" t="str">
            <v>Past</v>
          </cell>
          <cell r="Z4940">
            <v>4.12</v>
          </cell>
          <cell r="AA4940">
            <v>0</v>
          </cell>
          <cell r="AB4940">
            <v>0</v>
          </cell>
        </row>
        <row r="4941">
          <cell r="G4941" t="str">
            <v>X1740_1</v>
          </cell>
          <cell r="H4941" t="str">
            <v/>
          </cell>
          <cell r="I4941" t="str">
            <v>met</v>
          </cell>
          <cell r="V4941" t="str">
            <v>0</v>
          </cell>
          <cell r="Y4941" t="str">
            <v>Past</v>
          </cell>
          <cell r="Z4941">
            <v>4.12</v>
          </cell>
          <cell r="AA4941">
            <v>0</v>
          </cell>
          <cell r="AB4941">
            <v>0</v>
          </cell>
        </row>
        <row r="4942">
          <cell r="G4942" t="str">
            <v>X1741_0</v>
          </cell>
          <cell r="H4942" t="str">
            <v/>
          </cell>
          <cell r="I4942" t="str">
            <v>met</v>
          </cell>
          <cell r="V4942" t="str">
            <v>0</v>
          </cell>
          <cell r="Y4942" t="str">
            <v>Pres</v>
          </cell>
          <cell r="Z4942">
            <v>2.48</v>
          </cell>
          <cell r="AA4942" t="str">
            <v>L</v>
          </cell>
          <cell r="AB4942">
            <v>0</v>
          </cell>
        </row>
        <row r="4943">
          <cell r="G4943" t="str">
            <v>X1741_1</v>
          </cell>
          <cell r="H4943" t="str">
            <v/>
          </cell>
          <cell r="I4943" t="str">
            <v>met</v>
          </cell>
          <cell r="V4943" t="str">
            <v>0</v>
          </cell>
          <cell r="Y4943">
            <v>0</v>
          </cell>
          <cell r="Z4943">
            <v>2.81</v>
          </cell>
          <cell r="AA4943">
            <v>0</v>
          </cell>
          <cell r="AB4943">
            <v>0</v>
          </cell>
        </row>
        <row r="4944">
          <cell r="G4944" t="str">
            <v>X1742_0</v>
          </cell>
          <cell r="H4944" t="str">
            <v/>
          </cell>
          <cell r="I4944" t="str">
            <v>met</v>
          </cell>
          <cell r="V4944" t="str">
            <v>0</v>
          </cell>
          <cell r="Y4944" t="str">
            <v>Pres</v>
          </cell>
          <cell r="Z4944">
            <v>2.5099999999999998</v>
          </cell>
          <cell r="AA4944" t="str">
            <v>L</v>
          </cell>
          <cell r="AB4944">
            <v>0</v>
          </cell>
        </row>
        <row r="4945">
          <cell r="G4945" t="str">
            <v>X1742_1</v>
          </cell>
          <cell r="H4945" t="str">
            <v/>
          </cell>
          <cell r="I4945" t="str">
            <v>met</v>
          </cell>
          <cell r="V4945" t="str">
            <v>0</v>
          </cell>
          <cell r="Y4945" t="str">
            <v>Pres</v>
          </cell>
          <cell r="Z4945">
            <v>2.5099999999999998</v>
          </cell>
          <cell r="AA4945" t="str">
            <v>L</v>
          </cell>
          <cell r="AB4945">
            <v>0</v>
          </cell>
        </row>
        <row r="4946">
          <cell r="G4946" t="str">
            <v>X1743_0</v>
          </cell>
          <cell r="H4946" t="str">
            <v>like</v>
          </cell>
          <cell r="I4946" t="str">
            <v>sim</v>
          </cell>
          <cell r="V4946" t="str">
            <v>not</v>
          </cell>
          <cell r="Y4946" t="str">
            <v>Pres</v>
          </cell>
          <cell r="Z4946">
            <v>4.97</v>
          </cell>
          <cell r="AA4946" t="str">
            <v>H</v>
          </cell>
          <cell r="AB4946">
            <v>0</v>
          </cell>
        </row>
        <row r="4947">
          <cell r="G4947" t="str">
            <v>X1743_1</v>
          </cell>
          <cell r="H4947" t="str">
            <v>like</v>
          </cell>
          <cell r="I4947" t="str">
            <v>sim</v>
          </cell>
          <cell r="V4947" t="str">
            <v>not</v>
          </cell>
          <cell r="Y4947" t="str">
            <v>Pres</v>
          </cell>
          <cell r="Z4947">
            <v>4.97</v>
          </cell>
          <cell r="AA4947" t="str">
            <v>H</v>
          </cell>
          <cell r="AB4947">
            <v>0</v>
          </cell>
        </row>
        <row r="4948">
          <cell r="G4948" t="str">
            <v>X1744_0</v>
          </cell>
          <cell r="H4948" t="str">
            <v>like</v>
          </cell>
          <cell r="I4948" t="str">
            <v>sim</v>
          </cell>
          <cell r="V4948" t="str">
            <v>not neg pair</v>
          </cell>
          <cell r="Y4948" t="str">
            <v>Pres</v>
          </cell>
          <cell r="Z4948">
            <v>4.8600000000000003</v>
          </cell>
          <cell r="AA4948">
            <v>0</v>
          </cell>
          <cell r="AB4948">
            <v>0</v>
          </cell>
        </row>
        <row r="4949">
          <cell r="G4949" t="str">
            <v>X1744_1</v>
          </cell>
          <cell r="H4949" t="str">
            <v>like</v>
          </cell>
          <cell r="I4949" t="str">
            <v>sim</v>
          </cell>
          <cell r="V4949" t="str">
            <v>not neg pair</v>
          </cell>
          <cell r="Y4949" t="str">
            <v>Pres</v>
          </cell>
          <cell r="Z4949">
            <v>4.8600000000000003</v>
          </cell>
          <cell r="AA4949">
            <v>0</v>
          </cell>
          <cell r="AB4949">
            <v>0</v>
          </cell>
        </row>
        <row r="4950">
          <cell r="G4950" t="str">
            <v>X1745_0</v>
          </cell>
          <cell r="H4950" t="str">
            <v>as-as</v>
          </cell>
          <cell r="I4950" t="str">
            <v>sim</v>
          </cell>
          <cell r="V4950" t="str">
            <v>not neg pair</v>
          </cell>
          <cell r="Y4950" t="str">
            <v>Pres</v>
          </cell>
          <cell r="Z4950">
            <v>5</v>
          </cell>
          <cell r="AA4950" t="str">
            <v>H</v>
          </cell>
          <cell r="AB4950">
            <v>0</v>
          </cell>
        </row>
        <row r="4951">
          <cell r="G4951" t="str">
            <v>X1745_1</v>
          </cell>
          <cell r="H4951" t="str">
            <v>as-as</v>
          </cell>
          <cell r="I4951" t="str">
            <v>sim</v>
          </cell>
          <cell r="V4951" t="str">
            <v>not neg pair</v>
          </cell>
          <cell r="Y4951" t="str">
            <v>Pres</v>
          </cell>
          <cell r="Z4951">
            <v>5</v>
          </cell>
          <cell r="AA4951" t="str">
            <v>H</v>
          </cell>
          <cell r="AB4951">
            <v>0</v>
          </cell>
        </row>
        <row r="4952">
          <cell r="G4952" t="str">
            <v>X1746_0</v>
          </cell>
          <cell r="H4952" t="str">
            <v>as</v>
          </cell>
          <cell r="I4952" t="str">
            <v>sim</v>
          </cell>
          <cell r="V4952" t="str">
            <v>not</v>
          </cell>
          <cell r="Y4952" t="str">
            <v>Pres</v>
          </cell>
          <cell r="Z4952">
            <v>3.93</v>
          </cell>
          <cell r="AA4952">
            <v>0</v>
          </cell>
          <cell r="AB4952">
            <v>0</v>
          </cell>
        </row>
        <row r="4953">
          <cell r="G4953" t="str">
            <v>X1746_1</v>
          </cell>
          <cell r="H4953" t="str">
            <v>as</v>
          </cell>
          <cell r="I4953" t="str">
            <v>sim</v>
          </cell>
          <cell r="V4953" t="str">
            <v>not</v>
          </cell>
          <cell r="Y4953" t="str">
            <v>Pres</v>
          </cell>
          <cell r="Z4953">
            <v>3.93</v>
          </cell>
          <cell r="AA4953">
            <v>0</v>
          </cell>
          <cell r="AB4953">
            <v>0</v>
          </cell>
        </row>
        <row r="4954">
          <cell r="G4954" t="str">
            <v>X1747_0</v>
          </cell>
          <cell r="H4954" t="str">
            <v>as</v>
          </cell>
          <cell r="I4954" t="str">
            <v>sim</v>
          </cell>
          <cell r="V4954" t="str">
            <v>not neg pair</v>
          </cell>
          <cell r="Y4954" t="str">
            <v>Pres</v>
          </cell>
          <cell r="Z4954">
            <v>0</v>
          </cell>
          <cell r="AA4954">
            <v>0</v>
          </cell>
          <cell r="AB4954">
            <v>0</v>
          </cell>
        </row>
        <row r="4955">
          <cell r="G4955" t="str">
            <v>X1747_1</v>
          </cell>
          <cell r="H4955" t="str">
            <v>as</v>
          </cell>
          <cell r="I4955" t="str">
            <v>sim</v>
          </cell>
          <cell r="V4955" t="str">
            <v>not neg pair</v>
          </cell>
          <cell r="Y4955" t="str">
            <v>Pres</v>
          </cell>
          <cell r="Z4955">
            <v>1.74</v>
          </cell>
          <cell r="AA4955" t="str">
            <v>L</v>
          </cell>
          <cell r="AB4955">
            <v>0</v>
          </cell>
        </row>
        <row r="4956">
          <cell r="G4956" t="str">
            <v>X1748_0</v>
          </cell>
          <cell r="H4956" t="str">
            <v>as-as</v>
          </cell>
          <cell r="I4956" t="str">
            <v>sim</v>
          </cell>
          <cell r="V4956" t="str">
            <v>not neg pair</v>
          </cell>
          <cell r="Y4956" t="str">
            <v>Pres</v>
          </cell>
          <cell r="Z4956">
            <v>4.43</v>
          </cell>
          <cell r="AA4956">
            <v>0</v>
          </cell>
          <cell r="AB4956">
            <v>0</v>
          </cell>
        </row>
        <row r="4957">
          <cell r="G4957" t="str">
            <v>X1748_1</v>
          </cell>
          <cell r="H4957" t="str">
            <v>as-as</v>
          </cell>
          <cell r="I4957" t="str">
            <v>sim</v>
          </cell>
          <cell r="V4957" t="str">
            <v>not neg pair</v>
          </cell>
          <cell r="Y4957" t="str">
            <v>Pres</v>
          </cell>
          <cell r="Z4957">
            <v>4.43</v>
          </cell>
          <cell r="AA4957">
            <v>0</v>
          </cell>
          <cell r="AB4957">
            <v>0</v>
          </cell>
        </row>
        <row r="4958">
          <cell r="G4958" t="str">
            <v>X1749_0</v>
          </cell>
          <cell r="H4958" t="str">
            <v>as-as</v>
          </cell>
          <cell r="I4958" t="str">
            <v>sim</v>
          </cell>
          <cell r="V4958" t="str">
            <v>not</v>
          </cell>
          <cell r="Y4958" t="str">
            <v>Past</v>
          </cell>
          <cell r="Z4958">
            <v>3.4</v>
          </cell>
          <cell r="AA4958">
            <v>0</v>
          </cell>
          <cell r="AB4958">
            <v>0</v>
          </cell>
        </row>
        <row r="4959">
          <cell r="G4959" t="str">
            <v>X1749_1</v>
          </cell>
          <cell r="H4959" t="str">
            <v>as-as</v>
          </cell>
          <cell r="I4959" t="str">
            <v>sim</v>
          </cell>
          <cell r="V4959" t="str">
            <v>not</v>
          </cell>
          <cell r="Y4959" t="str">
            <v>Past</v>
          </cell>
          <cell r="Z4959">
            <v>3.93</v>
          </cell>
          <cell r="AA4959">
            <v>0</v>
          </cell>
          <cell r="AB4959">
            <v>0</v>
          </cell>
        </row>
        <row r="4960">
          <cell r="G4960" t="str">
            <v>X1750_0</v>
          </cell>
          <cell r="H4960" t="str">
            <v>like</v>
          </cell>
          <cell r="I4960" t="str">
            <v>sim</v>
          </cell>
          <cell r="V4960" t="str">
            <v>not neg pair</v>
          </cell>
          <cell r="Y4960" t="str">
            <v>Pres</v>
          </cell>
          <cell r="Z4960">
            <v>3.93</v>
          </cell>
          <cell r="AA4960">
            <v>0</v>
          </cell>
          <cell r="AB4960">
            <v>0</v>
          </cell>
        </row>
        <row r="4961">
          <cell r="G4961" t="str">
            <v>X1750_1</v>
          </cell>
          <cell r="H4961" t="str">
            <v>like</v>
          </cell>
          <cell r="I4961" t="str">
            <v>sim</v>
          </cell>
          <cell r="V4961" t="str">
            <v>not neg pair</v>
          </cell>
          <cell r="Y4961" t="str">
            <v>Pres</v>
          </cell>
          <cell r="Z4961">
            <v>3.93</v>
          </cell>
          <cell r="AA4961">
            <v>0</v>
          </cell>
          <cell r="AB4961">
            <v>0</v>
          </cell>
        </row>
        <row r="4962">
          <cell r="G4962" t="str">
            <v>X1751_0</v>
          </cell>
          <cell r="H4962" t="str">
            <v>as</v>
          </cell>
          <cell r="I4962" t="str">
            <v>sim</v>
          </cell>
          <cell r="V4962" t="str">
            <v>not neg pair</v>
          </cell>
          <cell r="Y4962" t="str">
            <v>Past</v>
          </cell>
          <cell r="Z4962">
            <v>4.46</v>
          </cell>
          <cell r="AA4962">
            <v>0</v>
          </cell>
          <cell r="AB4962">
            <v>0</v>
          </cell>
        </row>
        <row r="4963">
          <cell r="G4963" t="str">
            <v>X1751_1</v>
          </cell>
          <cell r="H4963" t="str">
            <v>as</v>
          </cell>
          <cell r="I4963" t="str">
            <v>sim</v>
          </cell>
          <cell r="V4963" t="str">
            <v>not neg pair</v>
          </cell>
          <cell r="Y4963" t="str">
            <v>Past</v>
          </cell>
          <cell r="Z4963">
            <v>4.46</v>
          </cell>
          <cell r="AA4963">
            <v>0</v>
          </cell>
          <cell r="AB4963">
            <v>0</v>
          </cell>
        </row>
        <row r="4964">
          <cell r="G4964" t="str">
            <v>X1752_0</v>
          </cell>
          <cell r="H4964" t="str">
            <v/>
          </cell>
          <cell r="I4964" t="str">
            <v>met</v>
          </cell>
          <cell r="V4964" t="str">
            <v>0</v>
          </cell>
          <cell r="Y4964" t="str">
            <v>Past</v>
          </cell>
          <cell r="Z4964">
            <v>1.69</v>
          </cell>
          <cell r="AA4964" t="str">
            <v>L</v>
          </cell>
          <cell r="AB4964">
            <v>0</v>
          </cell>
        </row>
        <row r="4965">
          <cell r="G4965" t="str">
            <v>X1752_1</v>
          </cell>
          <cell r="H4965" t="str">
            <v/>
          </cell>
          <cell r="I4965" t="str">
            <v>met</v>
          </cell>
          <cell r="V4965" t="str">
            <v>0</v>
          </cell>
          <cell r="Y4965" t="str">
            <v>Past</v>
          </cell>
          <cell r="Z4965">
            <v>1.69</v>
          </cell>
          <cell r="AA4965" t="str">
            <v>L</v>
          </cell>
          <cell r="AB4965">
            <v>0</v>
          </cell>
        </row>
        <row r="4966">
          <cell r="G4966" t="str">
            <v>X1753_0</v>
          </cell>
          <cell r="H4966" t="str">
            <v/>
          </cell>
          <cell r="I4966" t="str">
            <v>met</v>
          </cell>
          <cell r="V4966" t="str">
            <v>0</v>
          </cell>
          <cell r="Y4966" t="str">
            <v>Past</v>
          </cell>
          <cell r="Z4966">
            <v>2.04</v>
          </cell>
          <cell r="AA4966" t="str">
            <v>L</v>
          </cell>
          <cell r="AB4966">
            <v>0</v>
          </cell>
        </row>
        <row r="4967">
          <cell r="G4967" t="str">
            <v>X1753_1</v>
          </cell>
          <cell r="H4967" t="str">
            <v/>
          </cell>
          <cell r="I4967" t="str">
            <v>met</v>
          </cell>
          <cell r="V4967" t="str">
            <v>0</v>
          </cell>
          <cell r="Y4967" t="str">
            <v>Past</v>
          </cell>
          <cell r="Z4967">
            <v>2.04</v>
          </cell>
          <cell r="AA4967" t="str">
            <v>L</v>
          </cell>
          <cell r="AB4967">
            <v>0</v>
          </cell>
        </row>
        <row r="4968">
          <cell r="G4968" t="str">
            <v>X1754_0</v>
          </cell>
          <cell r="H4968" t="str">
            <v/>
          </cell>
          <cell r="I4968" t="str">
            <v>met</v>
          </cell>
          <cell r="V4968" t="str">
            <v>0</v>
          </cell>
          <cell r="Y4968" t="str">
            <v>Pres</v>
          </cell>
          <cell r="Z4968">
            <v>1.59</v>
          </cell>
          <cell r="AA4968" t="str">
            <v>L</v>
          </cell>
          <cell r="AB4968">
            <v>0</v>
          </cell>
        </row>
        <row r="4969">
          <cell r="G4969" t="str">
            <v>X1754_1</v>
          </cell>
          <cell r="H4969" t="str">
            <v/>
          </cell>
          <cell r="I4969" t="str">
            <v>met</v>
          </cell>
          <cell r="V4969" t="str">
            <v>0</v>
          </cell>
          <cell r="Y4969">
            <v>0</v>
          </cell>
          <cell r="Z4969">
            <v>1.59</v>
          </cell>
          <cell r="AA4969" t="str">
            <v>L</v>
          </cell>
          <cell r="AB4969">
            <v>0</v>
          </cell>
        </row>
        <row r="4970">
          <cell r="G4970" t="str">
            <v>X1755_0</v>
          </cell>
          <cell r="H4970" t="str">
            <v>as-as</v>
          </cell>
          <cell r="I4970" t="str">
            <v>sim</v>
          </cell>
          <cell r="V4970" t="str">
            <v>not neg pair</v>
          </cell>
          <cell r="Y4970" t="str">
            <v>Past</v>
          </cell>
          <cell r="Z4970">
            <v>2.81</v>
          </cell>
          <cell r="AA4970">
            <v>0</v>
          </cell>
          <cell r="AB4970">
            <v>0</v>
          </cell>
        </row>
        <row r="4971">
          <cell r="G4971" t="str">
            <v>X1755_1</v>
          </cell>
          <cell r="H4971" t="str">
            <v>as-as</v>
          </cell>
          <cell r="I4971" t="str">
            <v>sim</v>
          </cell>
          <cell r="V4971" t="str">
            <v>not neg pair</v>
          </cell>
          <cell r="Y4971" t="str">
            <v>Past</v>
          </cell>
          <cell r="Z4971">
            <v>2.81</v>
          </cell>
          <cell r="AA4971">
            <v>0</v>
          </cell>
          <cell r="AB4971">
            <v>0</v>
          </cell>
        </row>
        <row r="4972">
          <cell r="G4972" t="str">
            <v>X1756_0</v>
          </cell>
          <cell r="H4972" t="str">
            <v>as-as</v>
          </cell>
          <cell r="I4972" t="str">
            <v>sim</v>
          </cell>
          <cell r="V4972" t="str">
            <v>not neg pair</v>
          </cell>
          <cell r="Y4972" t="str">
            <v>Past</v>
          </cell>
          <cell r="Z4972">
            <v>2.81</v>
          </cell>
          <cell r="AA4972">
            <v>0</v>
          </cell>
          <cell r="AB4972">
            <v>0</v>
          </cell>
        </row>
        <row r="4973">
          <cell r="G4973" t="str">
            <v>X1756_1</v>
          </cell>
          <cell r="H4973" t="str">
            <v>as-as</v>
          </cell>
          <cell r="I4973" t="str">
            <v>sim</v>
          </cell>
          <cell r="V4973" t="str">
            <v>not neg pair</v>
          </cell>
          <cell r="Y4973" t="str">
            <v>Past</v>
          </cell>
          <cell r="Z4973">
            <v>2.81</v>
          </cell>
          <cell r="AA4973">
            <v>0</v>
          </cell>
          <cell r="AB4973">
            <v>0</v>
          </cell>
        </row>
        <row r="4974">
          <cell r="G4974" t="str">
            <v>X1757_0</v>
          </cell>
          <cell r="H4974" t="str">
            <v>as-as</v>
          </cell>
          <cell r="I4974" t="str">
            <v>sim</v>
          </cell>
          <cell r="V4974" t="str">
            <v>not neg pair</v>
          </cell>
          <cell r="Y4974" t="str">
            <v>Past</v>
          </cell>
          <cell r="Z4974">
            <v>2.81</v>
          </cell>
          <cell r="AA4974">
            <v>0</v>
          </cell>
          <cell r="AB4974">
            <v>0</v>
          </cell>
        </row>
        <row r="4975">
          <cell r="G4975" t="str">
            <v>X1757_1</v>
          </cell>
          <cell r="H4975" t="str">
            <v>as-as</v>
          </cell>
          <cell r="I4975" t="str">
            <v>sim</v>
          </cell>
          <cell r="V4975" t="str">
            <v>not neg pair</v>
          </cell>
          <cell r="Y4975" t="str">
            <v>Past</v>
          </cell>
          <cell r="Z4975">
            <v>2.81</v>
          </cell>
          <cell r="AA4975">
            <v>0</v>
          </cell>
          <cell r="AB4975">
            <v>0</v>
          </cell>
        </row>
        <row r="4976">
          <cell r="G4976" t="str">
            <v>X1758_0</v>
          </cell>
          <cell r="H4976" t="str">
            <v/>
          </cell>
          <cell r="I4976" t="str">
            <v>met</v>
          </cell>
          <cell r="V4976" t="str">
            <v>0</v>
          </cell>
          <cell r="Y4976" t="str">
            <v>Pres</v>
          </cell>
          <cell r="Z4976">
            <v>4.79</v>
          </cell>
          <cell r="AA4976">
            <v>0</v>
          </cell>
          <cell r="AB4976">
            <v>0</v>
          </cell>
        </row>
        <row r="4977">
          <cell r="G4977" t="str">
            <v>X1758_1</v>
          </cell>
          <cell r="H4977" t="str">
            <v/>
          </cell>
          <cell r="I4977" t="str">
            <v>met</v>
          </cell>
          <cell r="V4977" t="str">
            <v>0</v>
          </cell>
          <cell r="Y4977" t="str">
            <v>Pres</v>
          </cell>
          <cell r="Z4977">
            <v>4.79</v>
          </cell>
          <cell r="AA4977">
            <v>0</v>
          </cell>
          <cell r="AB4977">
            <v>0</v>
          </cell>
        </row>
        <row r="4978">
          <cell r="G4978" t="str">
            <v>X1759_0</v>
          </cell>
          <cell r="H4978" t="str">
            <v>the-of</v>
          </cell>
          <cell r="I4978" t="str">
            <v>sim</v>
          </cell>
          <cell r="V4978" t="str">
            <v>not neg pair</v>
          </cell>
          <cell r="Y4978" t="str">
            <v>Pres</v>
          </cell>
          <cell r="Z4978">
            <v>4.92</v>
          </cell>
          <cell r="AA4978" t="str">
            <v>H</v>
          </cell>
          <cell r="AB4978">
            <v>0</v>
          </cell>
        </row>
        <row r="4979">
          <cell r="G4979" t="str">
            <v>X1759_1</v>
          </cell>
          <cell r="H4979" t="str">
            <v>the-of</v>
          </cell>
          <cell r="I4979" t="str">
            <v>sim</v>
          </cell>
          <cell r="V4979" t="str">
            <v>not neg pair</v>
          </cell>
          <cell r="Y4979" t="str">
            <v>Pres</v>
          </cell>
          <cell r="Z4979">
            <v>4.92</v>
          </cell>
          <cell r="AA4979" t="str">
            <v>H</v>
          </cell>
          <cell r="AB4979">
            <v>0</v>
          </cell>
        </row>
        <row r="4980">
          <cell r="G4980" t="str">
            <v>X1760_0</v>
          </cell>
          <cell r="H4980" t="str">
            <v>the-of</v>
          </cell>
          <cell r="I4980" t="str">
            <v>sim</v>
          </cell>
          <cell r="V4980" t="str">
            <v>not neg pair</v>
          </cell>
          <cell r="Y4980" t="str">
            <v>Pres</v>
          </cell>
          <cell r="Z4980">
            <v>4.68</v>
          </cell>
          <cell r="AA4980">
            <v>0</v>
          </cell>
          <cell r="AB4980">
            <v>0</v>
          </cell>
        </row>
        <row r="4981">
          <cell r="G4981" t="str">
            <v>X1760_1</v>
          </cell>
          <cell r="H4981" t="str">
            <v>the-of</v>
          </cell>
          <cell r="I4981" t="str">
            <v>sim</v>
          </cell>
          <cell r="V4981" t="str">
            <v>not neg pair</v>
          </cell>
          <cell r="Y4981" t="str">
            <v>Pres</v>
          </cell>
          <cell r="Z4981">
            <v>4.68</v>
          </cell>
          <cell r="AA4981">
            <v>0</v>
          </cell>
          <cell r="AB4981">
            <v>0</v>
          </cell>
        </row>
        <row r="4982">
          <cell r="G4982" t="str">
            <v>X1761_0</v>
          </cell>
          <cell r="H4982" t="str">
            <v>the-of</v>
          </cell>
          <cell r="I4982" t="str">
            <v>sim</v>
          </cell>
          <cell r="V4982" t="str">
            <v>not neg pair</v>
          </cell>
          <cell r="Y4982" t="str">
            <v>Past</v>
          </cell>
          <cell r="Z4982">
            <v>2.81</v>
          </cell>
          <cell r="AA4982">
            <v>0</v>
          </cell>
          <cell r="AB4982">
            <v>0</v>
          </cell>
        </row>
        <row r="4983">
          <cell r="G4983" t="str">
            <v>X1761_1</v>
          </cell>
          <cell r="H4983" t="str">
            <v>the-of</v>
          </cell>
          <cell r="I4983" t="str">
            <v>sim</v>
          </cell>
          <cell r="V4983" t="str">
            <v>not neg pair</v>
          </cell>
          <cell r="Y4983" t="str">
            <v>Past</v>
          </cell>
          <cell r="Z4983">
            <v>2.81</v>
          </cell>
          <cell r="AA4983">
            <v>0</v>
          </cell>
          <cell r="AB4983">
            <v>0</v>
          </cell>
        </row>
        <row r="4984">
          <cell r="G4984" t="str">
            <v>X1762_0</v>
          </cell>
          <cell r="H4984" t="str">
            <v>as-as</v>
          </cell>
          <cell r="I4984" t="str">
            <v>sim</v>
          </cell>
          <cell r="V4984" t="str">
            <v>not neg pair</v>
          </cell>
          <cell r="Y4984" t="str">
            <v>Past</v>
          </cell>
          <cell r="Z4984">
            <v>2.79</v>
          </cell>
          <cell r="AA4984" t="str">
            <v>L</v>
          </cell>
          <cell r="AB4984">
            <v>0</v>
          </cell>
        </row>
        <row r="4985">
          <cell r="G4985" t="str">
            <v>X1762_1</v>
          </cell>
          <cell r="H4985" t="str">
            <v>as-as</v>
          </cell>
          <cell r="I4985" t="str">
            <v>sim</v>
          </cell>
          <cell r="V4985" t="str">
            <v>not neg pair</v>
          </cell>
          <cell r="Y4985" t="str">
            <v>Past</v>
          </cell>
          <cell r="Z4985">
            <v>2.79</v>
          </cell>
          <cell r="AA4985" t="str">
            <v>L</v>
          </cell>
          <cell r="AB4985">
            <v>0</v>
          </cell>
        </row>
        <row r="4986">
          <cell r="G4986" t="str">
            <v>X1763_0</v>
          </cell>
          <cell r="H4986" t="str">
            <v>like</v>
          </cell>
          <cell r="I4986" t="str">
            <v>sim</v>
          </cell>
          <cell r="V4986" t="str">
            <v>not neg pair</v>
          </cell>
          <cell r="Y4986" t="str">
            <v>Past</v>
          </cell>
          <cell r="Z4986">
            <v>4.83</v>
          </cell>
          <cell r="AA4986">
            <v>0</v>
          </cell>
          <cell r="AB4986">
            <v>0</v>
          </cell>
        </row>
        <row r="4987">
          <cell r="G4987" t="str">
            <v>X1763_1</v>
          </cell>
          <cell r="H4987" t="str">
            <v>like</v>
          </cell>
          <cell r="I4987" t="str">
            <v>sim</v>
          </cell>
          <cell r="V4987" t="str">
            <v>not neg pair</v>
          </cell>
          <cell r="Y4987" t="str">
            <v>Past</v>
          </cell>
          <cell r="Z4987">
            <v>3.93</v>
          </cell>
          <cell r="AA4987">
            <v>0</v>
          </cell>
          <cell r="AB4987">
            <v>0</v>
          </cell>
        </row>
        <row r="4988">
          <cell r="G4988" t="str">
            <v>X1764_0</v>
          </cell>
          <cell r="H4988" t="str">
            <v>as-as</v>
          </cell>
          <cell r="I4988" t="str">
            <v>sim</v>
          </cell>
          <cell r="V4988" t="str">
            <v>antonym</v>
          </cell>
          <cell r="Y4988" t="str">
            <v>Pres</v>
          </cell>
          <cell r="Z4988">
            <v>4.59</v>
          </cell>
          <cell r="AA4988">
            <v>0</v>
          </cell>
          <cell r="AB4988">
            <v>0</v>
          </cell>
        </row>
        <row r="4989">
          <cell r="G4989" t="str">
            <v>X1764_1</v>
          </cell>
          <cell r="H4989" t="str">
            <v>as-as</v>
          </cell>
          <cell r="I4989" t="str">
            <v>sim</v>
          </cell>
          <cell r="V4989" t="str">
            <v>antonym</v>
          </cell>
          <cell r="Y4989" t="str">
            <v>Pres</v>
          </cell>
          <cell r="Z4989">
            <v>4.59</v>
          </cell>
          <cell r="AA4989">
            <v>0</v>
          </cell>
          <cell r="AB4989">
            <v>0</v>
          </cell>
        </row>
        <row r="4990">
          <cell r="G4990" t="str">
            <v>X1765_0</v>
          </cell>
          <cell r="H4990" t="str">
            <v>like</v>
          </cell>
          <cell r="I4990" t="str">
            <v>sim</v>
          </cell>
          <cell r="V4990" t="str">
            <v>not neg pair</v>
          </cell>
          <cell r="Y4990" t="str">
            <v>Past</v>
          </cell>
          <cell r="Z4990">
            <v>3.77</v>
          </cell>
          <cell r="AA4990">
            <v>0</v>
          </cell>
          <cell r="AB4990">
            <v>0</v>
          </cell>
        </row>
        <row r="4991">
          <cell r="G4991" t="str">
            <v>X1765_1</v>
          </cell>
          <cell r="H4991" t="str">
            <v>like</v>
          </cell>
          <cell r="I4991" t="str">
            <v>sim</v>
          </cell>
          <cell r="V4991" t="str">
            <v>not neg pair</v>
          </cell>
          <cell r="Y4991" t="str">
            <v>Past</v>
          </cell>
          <cell r="Z4991">
            <v>3.77</v>
          </cell>
          <cell r="AA4991">
            <v>0</v>
          </cell>
          <cell r="AB4991">
            <v>0</v>
          </cell>
        </row>
        <row r="4992">
          <cell r="G4992" t="str">
            <v>X1766_0</v>
          </cell>
          <cell r="H4992" t="str">
            <v>the-of</v>
          </cell>
          <cell r="I4992" t="str">
            <v>sim</v>
          </cell>
          <cell r="V4992" t="str">
            <v>not neg pair</v>
          </cell>
          <cell r="Y4992" t="str">
            <v>Pres</v>
          </cell>
          <cell r="Z4992">
            <v>4.72</v>
          </cell>
          <cell r="AA4992">
            <v>0</v>
          </cell>
          <cell r="AB4992">
            <v>0</v>
          </cell>
        </row>
        <row r="4993">
          <cell r="G4993" t="str">
            <v>X1766_1</v>
          </cell>
          <cell r="H4993" t="str">
            <v>the-of</v>
          </cell>
          <cell r="I4993" t="str">
            <v>sim</v>
          </cell>
          <cell r="V4993" t="str">
            <v>not neg pair</v>
          </cell>
          <cell r="Y4993" t="str">
            <v>Pres</v>
          </cell>
          <cell r="Z4993">
            <v>4.72</v>
          </cell>
          <cell r="AA4993">
            <v>0</v>
          </cell>
          <cell r="AB4993">
            <v>0</v>
          </cell>
        </row>
        <row r="4994">
          <cell r="G4994" t="str">
            <v>X1767_0</v>
          </cell>
          <cell r="H4994" t="str">
            <v>as-as</v>
          </cell>
          <cell r="I4994" t="str">
            <v>sim</v>
          </cell>
          <cell r="V4994" t="str">
            <v>antonym</v>
          </cell>
          <cell r="Y4994" t="str">
            <v>Pres</v>
          </cell>
          <cell r="Z4994">
            <v>4.13</v>
          </cell>
          <cell r="AA4994">
            <v>0</v>
          </cell>
          <cell r="AB4994">
            <v>0</v>
          </cell>
        </row>
        <row r="4995">
          <cell r="G4995" t="str">
            <v>X1767_1</v>
          </cell>
          <cell r="H4995" t="str">
            <v>as-as</v>
          </cell>
          <cell r="I4995" t="str">
            <v>sim</v>
          </cell>
          <cell r="V4995" t="str">
            <v>antonym</v>
          </cell>
          <cell r="Y4995" t="str">
            <v>Pres</v>
          </cell>
          <cell r="Z4995">
            <v>4.13</v>
          </cell>
          <cell r="AA4995">
            <v>0</v>
          </cell>
          <cell r="AB4995">
            <v>0</v>
          </cell>
        </row>
        <row r="4996">
          <cell r="G4996" t="str">
            <v>X1768_0</v>
          </cell>
          <cell r="H4996" t="str">
            <v>as-as</v>
          </cell>
          <cell r="I4996" t="str">
            <v>sim</v>
          </cell>
          <cell r="V4996" t="str">
            <v>antonym</v>
          </cell>
          <cell r="Y4996" t="str">
            <v>Pres</v>
          </cell>
          <cell r="Z4996">
            <v>4.8600000000000003</v>
          </cell>
          <cell r="AA4996">
            <v>0</v>
          </cell>
          <cell r="AB4996">
            <v>0</v>
          </cell>
        </row>
        <row r="4997">
          <cell r="G4997" t="str">
            <v>X1768_1</v>
          </cell>
          <cell r="H4997" t="str">
            <v>as-as</v>
          </cell>
          <cell r="I4997" t="str">
            <v>sim</v>
          </cell>
          <cell r="V4997" t="str">
            <v>antonym</v>
          </cell>
          <cell r="Y4997" t="str">
            <v>Pres</v>
          </cell>
          <cell r="Z4997">
            <v>4.8600000000000003</v>
          </cell>
          <cell r="AA4997">
            <v>0</v>
          </cell>
          <cell r="AB4997">
            <v>0</v>
          </cell>
        </row>
        <row r="4998">
          <cell r="G4998" t="str">
            <v>X1769_0</v>
          </cell>
          <cell r="H4998" t="str">
            <v>as-as</v>
          </cell>
          <cell r="I4998" t="str">
            <v>sim</v>
          </cell>
          <cell r="V4998" t="str">
            <v>not</v>
          </cell>
          <cell r="Y4998" t="str">
            <v>Past</v>
          </cell>
          <cell r="Z4998">
            <v>3.25</v>
          </cell>
          <cell r="AA4998">
            <v>0</v>
          </cell>
          <cell r="AB4998">
            <v>0</v>
          </cell>
        </row>
        <row r="4999">
          <cell r="G4999" t="str">
            <v>X1769_1</v>
          </cell>
          <cell r="H4999" t="str">
            <v>as-as</v>
          </cell>
          <cell r="I4999" t="str">
            <v>sim</v>
          </cell>
          <cell r="V4999" t="str">
            <v>not</v>
          </cell>
          <cell r="Y4999" t="str">
            <v>Past</v>
          </cell>
          <cell r="Z4999">
            <v>4.59</v>
          </cell>
          <cell r="AA4999">
            <v>0</v>
          </cell>
          <cell r="AB4999">
            <v>0</v>
          </cell>
        </row>
        <row r="5000">
          <cell r="G5000" t="str">
            <v>X1770_0</v>
          </cell>
          <cell r="H5000" t="str">
            <v>the-of</v>
          </cell>
          <cell r="I5000" t="str">
            <v>sim</v>
          </cell>
          <cell r="V5000" t="str">
            <v>not neg pair</v>
          </cell>
          <cell r="Y5000" t="str">
            <v>Pres</v>
          </cell>
          <cell r="Z5000">
            <v>4.3</v>
          </cell>
          <cell r="AA5000">
            <v>0</v>
          </cell>
          <cell r="AB5000">
            <v>0</v>
          </cell>
        </row>
        <row r="5001">
          <cell r="G5001" t="str">
            <v>X1770_1</v>
          </cell>
          <cell r="H5001" t="str">
            <v>the-of</v>
          </cell>
          <cell r="I5001" t="str">
            <v>sim</v>
          </cell>
          <cell r="V5001" t="str">
            <v>not neg pair</v>
          </cell>
          <cell r="Y5001" t="str">
            <v>Pres</v>
          </cell>
          <cell r="Z5001">
            <v>4.3</v>
          </cell>
          <cell r="AA5001">
            <v>0</v>
          </cell>
          <cell r="AB5001">
            <v>0</v>
          </cell>
        </row>
        <row r="5002">
          <cell r="G5002" t="str">
            <v>X1771_0</v>
          </cell>
          <cell r="H5002" t="str">
            <v>the-of</v>
          </cell>
          <cell r="I5002" t="str">
            <v>sim</v>
          </cell>
          <cell r="V5002" t="str">
            <v>not neg pair</v>
          </cell>
          <cell r="Y5002" t="str">
            <v>Pres</v>
          </cell>
          <cell r="Z5002">
            <v>4.9000000000000004</v>
          </cell>
          <cell r="AA5002">
            <v>0</v>
          </cell>
          <cell r="AB5002">
            <v>0</v>
          </cell>
        </row>
        <row r="5003">
          <cell r="G5003" t="str">
            <v>X1771_1</v>
          </cell>
          <cell r="H5003" t="str">
            <v>the-of</v>
          </cell>
          <cell r="I5003" t="str">
            <v>sim</v>
          </cell>
          <cell r="V5003" t="str">
            <v>not neg pair</v>
          </cell>
          <cell r="Y5003" t="str">
            <v>Pres</v>
          </cell>
          <cell r="Z5003">
            <v>4.9000000000000004</v>
          </cell>
          <cell r="AA5003">
            <v>0</v>
          </cell>
          <cell r="AB5003">
            <v>0</v>
          </cell>
        </row>
        <row r="5004">
          <cell r="G5004" t="str">
            <v>X1772_0</v>
          </cell>
          <cell r="H5004" t="str">
            <v>the-of</v>
          </cell>
          <cell r="I5004" t="str">
            <v>sim</v>
          </cell>
          <cell r="V5004" t="str">
            <v>not neg pair</v>
          </cell>
          <cell r="Y5004" t="str">
            <v>Pres</v>
          </cell>
          <cell r="Z5004">
            <v>4.75</v>
          </cell>
          <cell r="AA5004">
            <v>0</v>
          </cell>
          <cell r="AB5004">
            <v>0</v>
          </cell>
        </row>
        <row r="5005">
          <cell r="G5005" t="str">
            <v>X1772_1</v>
          </cell>
          <cell r="H5005" t="str">
            <v>the-of</v>
          </cell>
          <cell r="I5005" t="str">
            <v>sim</v>
          </cell>
          <cell r="V5005" t="str">
            <v>not neg pair</v>
          </cell>
          <cell r="Y5005" t="str">
            <v>Pres</v>
          </cell>
          <cell r="Z5005">
            <v>4.75</v>
          </cell>
          <cell r="AA5005">
            <v>0</v>
          </cell>
          <cell r="AB5005">
            <v>0</v>
          </cell>
        </row>
        <row r="5006">
          <cell r="G5006" t="str">
            <v>X1773_0</v>
          </cell>
          <cell r="H5006" t="str">
            <v/>
          </cell>
          <cell r="I5006" t="str">
            <v>met</v>
          </cell>
          <cell r="V5006" t="str">
            <v>0</v>
          </cell>
          <cell r="Y5006" t="str">
            <v>Past</v>
          </cell>
          <cell r="Z5006">
            <v>4.8899999999999997</v>
          </cell>
          <cell r="AA5006">
            <v>0</v>
          </cell>
          <cell r="AB5006">
            <v>0</v>
          </cell>
        </row>
        <row r="5007">
          <cell r="G5007" t="str">
            <v>X1773_1</v>
          </cell>
          <cell r="H5007" t="str">
            <v/>
          </cell>
          <cell r="I5007" t="str">
            <v>met</v>
          </cell>
          <cell r="V5007" t="str">
            <v>0</v>
          </cell>
          <cell r="Y5007" t="str">
            <v>Past</v>
          </cell>
          <cell r="Z5007">
            <v>4.8899999999999997</v>
          </cell>
          <cell r="AA5007">
            <v>0</v>
          </cell>
          <cell r="AB5007">
            <v>0</v>
          </cell>
        </row>
        <row r="5008">
          <cell r="G5008" t="str">
            <v>X1774_0</v>
          </cell>
          <cell r="H5008" t="str">
            <v/>
          </cell>
          <cell r="I5008" t="str">
            <v>met</v>
          </cell>
          <cell r="V5008" t="str">
            <v>0</v>
          </cell>
          <cell r="Y5008" t="str">
            <v>Past</v>
          </cell>
          <cell r="Z5008">
            <v>3.93</v>
          </cell>
          <cell r="AA5008">
            <v>0</v>
          </cell>
          <cell r="AB5008">
            <v>0</v>
          </cell>
        </row>
        <row r="5009">
          <cell r="G5009" t="str">
            <v>X1774_1</v>
          </cell>
          <cell r="H5009" t="str">
            <v/>
          </cell>
          <cell r="I5009" t="str">
            <v>met</v>
          </cell>
          <cell r="V5009" t="str">
            <v>0</v>
          </cell>
          <cell r="Y5009" t="str">
            <v>Past</v>
          </cell>
          <cell r="Z5009">
            <v>3.93</v>
          </cell>
          <cell r="AA5009">
            <v>0</v>
          </cell>
          <cell r="AB5009">
            <v>0</v>
          </cell>
        </row>
        <row r="5010">
          <cell r="G5010" t="str">
            <v>X1775_0</v>
          </cell>
          <cell r="H5010" t="str">
            <v/>
          </cell>
          <cell r="I5010" t="str">
            <v>met</v>
          </cell>
          <cell r="V5010" t="str">
            <v>0</v>
          </cell>
          <cell r="Y5010" t="str">
            <v>Past</v>
          </cell>
          <cell r="Z5010">
            <v>3.93</v>
          </cell>
          <cell r="AA5010">
            <v>0</v>
          </cell>
          <cell r="AB5010">
            <v>0</v>
          </cell>
        </row>
        <row r="5011">
          <cell r="G5011" t="str">
            <v>X1775_1</v>
          </cell>
          <cell r="H5011" t="str">
            <v/>
          </cell>
          <cell r="I5011" t="str">
            <v>met</v>
          </cell>
          <cell r="V5011" t="str">
            <v>0</v>
          </cell>
          <cell r="Y5011" t="str">
            <v>Past</v>
          </cell>
          <cell r="Z5011">
            <v>3.93</v>
          </cell>
          <cell r="AA5011">
            <v>0</v>
          </cell>
          <cell r="AB5011">
            <v>0</v>
          </cell>
        </row>
        <row r="5012">
          <cell r="G5012" t="str">
            <v>X1776_0</v>
          </cell>
          <cell r="H5012" t="str">
            <v/>
          </cell>
          <cell r="I5012" t="str">
            <v>met</v>
          </cell>
          <cell r="V5012" t="str">
            <v>0</v>
          </cell>
          <cell r="Y5012" t="str">
            <v>Pres</v>
          </cell>
          <cell r="Z5012">
            <v>4.79</v>
          </cell>
          <cell r="AA5012">
            <v>0</v>
          </cell>
          <cell r="AB5012">
            <v>0</v>
          </cell>
        </row>
        <row r="5013">
          <cell r="G5013" t="str">
            <v>X1776_1</v>
          </cell>
          <cell r="H5013" t="str">
            <v/>
          </cell>
          <cell r="I5013" t="str">
            <v>met</v>
          </cell>
          <cell r="V5013" t="str">
            <v>0</v>
          </cell>
          <cell r="Y5013" t="str">
            <v>Past</v>
          </cell>
          <cell r="Z5013">
            <v>4.79</v>
          </cell>
          <cell r="AA5013">
            <v>0</v>
          </cell>
          <cell r="AB5013">
            <v>0</v>
          </cell>
        </row>
        <row r="5014">
          <cell r="G5014" t="str">
            <v>X1777_0</v>
          </cell>
          <cell r="H5014" t="str">
            <v/>
          </cell>
          <cell r="I5014" t="str">
            <v>met</v>
          </cell>
          <cell r="V5014" t="str">
            <v>0</v>
          </cell>
          <cell r="Y5014" t="str">
            <v>Pres</v>
          </cell>
          <cell r="Z5014">
            <v>1.64</v>
          </cell>
          <cell r="AA5014" t="str">
            <v>L</v>
          </cell>
          <cell r="AB5014">
            <v>0</v>
          </cell>
        </row>
        <row r="5015">
          <cell r="G5015" t="str">
            <v>X1777_1</v>
          </cell>
          <cell r="H5015" t="str">
            <v/>
          </cell>
          <cell r="I5015" t="str">
            <v>met</v>
          </cell>
          <cell r="V5015" t="str">
            <v>0</v>
          </cell>
          <cell r="Y5015" t="str">
            <v>Pres</v>
          </cell>
          <cell r="Z5015">
            <v>2.89</v>
          </cell>
          <cell r="AA5015">
            <v>0</v>
          </cell>
          <cell r="AB5015">
            <v>0</v>
          </cell>
        </row>
        <row r="5016">
          <cell r="G5016" t="str">
            <v>X1778_0</v>
          </cell>
          <cell r="H5016" t="str">
            <v>the-of</v>
          </cell>
          <cell r="I5016" t="str">
            <v>sim</v>
          </cell>
          <cell r="V5016" t="str">
            <v>not neg pair</v>
          </cell>
          <cell r="Y5016" t="str">
            <v>Past</v>
          </cell>
          <cell r="Z5016">
            <v>3.93</v>
          </cell>
          <cell r="AA5016">
            <v>0</v>
          </cell>
          <cell r="AB5016">
            <v>0</v>
          </cell>
        </row>
        <row r="5017">
          <cell r="G5017" t="str">
            <v>X1778_1</v>
          </cell>
          <cell r="H5017" t="str">
            <v>the-of</v>
          </cell>
          <cell r="I5017" t="str">
            <v>sim</v>
          </cell>
          <cell r="V5017" t="str">
            <v>not neg pair</v>
          </cell>
          <cell r="Y5017" t="str">
            <v>Past</v>
          </cell>
          <cell r="Z5017">
            <v>3.93</v>
          </cell>
          <cell r="AA5017">
            <v>0</v>
          </cell>
          <cell r="AB5017">
            <v>0</v>
          </cell>
        </row>
        <row r="5018">
          <cell r="G5018" t="str">
            <v>X1779_0</v>
          </cell>
          <cell r="H5018" t="str">
            <v>the-of</v>
          </cell>
          <cell r="I5018" t="str">
            <v>sim</v>
          </cell>
          <cell r="V5018" t="str">
            <v>not neg pair</v>
          </cell>
          <cell r="Y5018" t="str">
            <v>Past</v>
          </cell>
          <cell r="Z5018">
            <v>2.17</v>
          </cell>
          <cell r="AA5018" t="str">
            <v>L</v>
          </cell>
          <cell r="AB5018">
            <v>0</v>
          </cell>
        </row>
        <row r="5019">
          <cell r="G5019" t="str">
            <v>X1779_1</v>
          </cell>
          <cell r="H5019" t="str">
            <v>the-of</v>
          </cell>
          <cell r="I5019" t="str">
            <v>sim</v>
          </cell>
          <cell r="V5019" t="str">
            <v>not neg pair</v>
          </cell>
          <cell r="Y5019" t="str">
            <v>Past</v>
          </cell>
          <cell r="Z5019">
            <v>2.17</v>
          </cell>
          <cell r="AA5019" t="str">
            <v>L</v>
          </cell>
          <cell r="AB5019">
            <v>0</v>
          </cell>
        </row>
        <row r="5020">
          <cell r="G5020" t="str">
            <v>X1780_0</v>
          </cell>
          <cell r="H5020" t="str">
            <v>the-of</v>
          </cell>
          <cell r="I5020" t="str">
            <v>sim</v>
          </cell>
          <cell r="V5020" t="str">
            <v>not neg pair</v>
          </cell>
          <cell r="Y5020" t="str">
            <v>Past</v>
          </cell>
          <cell r="Z5020">
            <v>4.75</v>
          </cell>
          <cell r="AA5020">
            <v>0</v>
          </cell>
          <cell r="AB5020">
            <v>0</v>
          </cell>
        </row>
        <row r="5021">
          <cell r="G5021" t="str">
            <v>X1780_1</v>
          </cell>
          <cell r="H5021" t="str">
            <v>the-of</v>
          </cell>
          <cell r="I5021" t="str">
            <v>sim</v>
          </cell>
          <cell r="V5021" t="str">
            <v>not neg pair</v>
          </cell>
          <cell r="Y5021" t="str">
            <v>Past</v>
          </cell>
          <cell r="Z5021">
            <v>4.75</v>
          </cell>
          <cell r="AA5021">
            <v>0</v>
          </cell>
          <cell r="AB5021">
            <v>0</v>
          </cell>
        </row>
        <row r="5022">
          <cell r="G5022" t="str">
            <v>X1781_0</v>
          </cell>
          <cell r="H5022" t="str">
            <v>the-of</v>
          </cell>
          <cell r="I5022" t="str">
            <v>sim</v>
          </cell>
          <cell r="V5022" t="str">
            <v>not neg pair</v>
          </cell>
          <cell r="Y5022" t="str">
            <v>Pres</v>
          </cell>
          <cell r="Z5022">
            <v>3.93</v>
          </cell>
          <cell r="AA5022">
            <v>0</v>
          </cell>
          <cell r="AB5022">
            <v>0</v>
          </cell>
        </row>
        <row r="5023">
          <cell r="G5023" t="str">
            <v>X1781_1</v>
          </cell>
          <cell r="H5023" t="str">
            <v>the-of</v>
          </cell>
          <cell r="I5023" t="str">
            <v>sim</v>
          </cell>
          <cell r="V5023" t="str">
            <v>not neg pair</v>
          </cell>
          <cell r="Y5023" t="str">
            <v>Pres</v>
          </cell>
          <cell r="Z5023">
            <v>3.93</v>
          </cell>
          <cell r="AA5023">
            <v>0</v>
          </cell>
          <cell r="AB5023">
            <v>0</v>
          </cell>
        </row>
        <row r="5024">
          <cell r="G5024" t="str">
            <v>X1782_0</v>
          </cell>
          <cell r="H5024" t="str">
            <v>as-as</v>
          </cell>
          <cell r="I5024" t="str">
            <v>sim</v>
          </cell>
          <cell r="V5024" t="str">
            <v>not neg pair</v>
          </cell>
          <cell r="Y5024" t="str">
            <v>Pres</v>
          </cell>
          <cell r="Z5024">
            <v>4.75</v>
          </cell>
          <cell r="AA5024">
            <v>0</v>
          </cell>
          <cell r="AB5024">
            <v>0</v>
          </cell>
        </row>
        <row r="5025">
          <cell r="G5025" t="str">
            <v>X1782_1</v>
          </cell>
          <cell r="H5025" t="str">
            <v>as-as</v>
          </cell>
          <cell r="I5025" t="str">
            <v>sim</v>
          </cell>
          <cell r="V5025" t="str">
            <v>not neg pair</v>
          </cell>
          <cell r="Y5025" t="str">
            <v>Pres</v>
          </cell>
          <cell r="Z5025">
            <v>4.75</v>
          </cell>
          <cell r="AA5025">
            <v>0</v>
          </cell>
          <cell r="AB5025">
            <v>0</v>
          </cell>
        </row>
        <row r="5026">
          <cell r="G5026" t="str">
            <v>X1783_0</v>
          </cell>
          <cell r="H5026" t="str">
            <v>the-of</v>
          </cell>
          <cell r="I5026" t="str">
            <v>sim</v>
          </cell>
          <cell r="V5026" t="str">
            <v>not neg pair</v>
          </cell>
          <cell r="Y5026" t="str">
            <v>Pres</v>
          </cell>
          <cell r="Z5026">
            <v>4.79</v>
          </cell>
          <cell r="AA5026">
            <v>0</v>
          </cell>
          <cell r="AB5026">
            <v>0</v>
          </cell>
        </row>
        <row r="5027">
          <cell r="G5027" t="str">
            <v>X1783_1</v>
          </cell>
          <cell r="H5027" t="str">
            <v>the-of</v>
          </cell>
          <cell r="I5027" t="str">
            <v>sim</v>
          </cell>
          <cell r="V5027" t="str">
            <v>not neg pair</v>
          </cell>
          <cell r="Y5027" t="str">
            <v>Pres</v>
          </cell>
          <cell r="Z5027">
            <v>4.79</v>
          </cell>
          <cell r="AA5027">
            <v>0</v>
          </cell>
          <cell r="AB5027">
            <v>0</v>
          </cell>
        </row>
        <row r="5028">
          <cell r="G5028" t="str">
            <v>X1784_0</v>
          </cell>
          <cell r="H5028" t="str">
            <v>the-of</v>
          </cell>
          <cell r="I5028" t="str">
            <v>sim</v>
          </cell>
          <cell r="V5028" t="str">
            <v>not neg pair</v>
          </cell>
          <cell r="Y5028" t="str">
            <v>Pres</v>
          </cell>
          <cell r="Z5028">
            <v>4.8099999999999996</v>
          </cell>
          <cell r="AA5028">
            <v>0</v>
          </cell>
          <cell r="AB5028">
            <v>0</v>
          </cell>
        </row>
        <row r="5029">
          <cell r="G5029" t="str">
            <v>X1784_1</v>
          </cell>
          <cell r="H5029" t="str">
            <v>the-of</v>
          </cell>
          <cell r="I5029" t="str">
            <v>sim</v>
          </cell>
          <cell r="V5029" t="str">
            <v>not neg pair</v>
          </cell>
          <cell r="Y5029" t="str">
            <v>Pres</v>
          </cell>
          <cell r="Z5029">
            <v>4.8099999999999996</v>
          </cell>
          <cell r="AA5029">
            <v>0</v>
          </cell>
          <cell r="AB5029">
            <v>0</v>
          </cell>
        </row>
        <row r="5030">
          <cell r="G5030" t="str">
            <v>X1785_0</v>
          </cell>
          <cell r="H5030" t="str">
            <v>the-of</v>
          </cell>
          <cell r="I5030" t="str">
            <v>sim</v>
          </cell>
          <cell r="V5030" t="str">
            <v>not neg pair</v>
          </cell>
          <cell r="Y5030" t="str">
            <v>Pres</v>
          </cell>
          <cell r="Z5030">
            <v>4.93</v>
          </cell>
          <cell r="AA5030" t="str">
            <v>H</v>
          </cell>
          <cell r="AB5030">
            <v>0</v>
          </cell>
        </row>
        <row r="5031">
          <cell r="G5031" t="str">
            <v>X1785_1</v>
          </cell>
          <cell r="H5031" t="str">
            <v>the-of</v>
          </cell>
          <cell r="I5031" t="str">
            <v>sim</v>
          </cell>
          <cell r="V5031" t="str">
            <v>not neg pair</v>
          </cell>
          <cell r="Y5031" t="str">
            <v>Pres</v>
          </cell>
          <cell r="Z5031">
            <v>4.93</v>
          </cell>
          <cell r="AA5031" t="str">
            <v>H</v>
          </cell>
          <cell r="AB5031">
            <v>0</v>
          </cell>
        </row>
        <row r="5032">
          <cell r="G5032" t="str">
            <v>X1786_0</v>
          </cell>
          <cell r="H5032" t="str">
            <v>as-as</v>
          </cell>
          <cell r="I5032" t="str">
            <v>sim</v>
          </cell>
          <cell r="V5032" t="str">
            <v>not neg pair</v>
          </cell>
          <cell r="Y5032" t="str">
            <v>Past</v>
          </cell>
          <cell r="Z5032">
            <v>2.81</v>
          </cell>
          <cell r="AA5032">
            <v>0</v>
          </cell>
          <cell r="AB5032">
            <v>0</v>
          </cell>
        </row>
        <row r="5033">
          <cell r="G5033" t="str">
            <v>X1786_1</v>
          </cell>
          <cell r="H5033" t="str">
            <v>as-as</v>
          </cell>
          <cell r="I5033" t="str">
            <v>sim</v>
          </cell>
          <cell r="V5033" t="str">
            <v>not neg pair</v>
          </cell>
          <cell r="Y5033" t="str">
            <v>Past</v>
          </cell>
          <cell r="Z5033">
            <v>2.81</v>
          </cell>
          <cell r="AA5033">
            <v>0</v>
          </cell>
          <cell r="AB5033">
            <v>0</v>
          </cell>
        </row>
        <row r="5034">
          <cell r="G5034" t="str">
            <v>X1787_0</v>
          </cell>
          <cell r="H5034" t="str">
            <v>as-as</v>
          </cell>
          <cell r="I5034" t="str">
            <v>sim</v>
          </cell>
          <cell r="V5034" t="str">
            <v>not neg pair</v>
          </cell>
          <cell r="Y5034" t="str">
            <v>Past</v>
          </cell>
          <cell r="Z5034">
            <v>2.81</v>
          </cell>
          <cell r="AA5034">
            <v>0</v>
          </cell>
          <cell r="AB5034">
            <v>0</v>
          </cell>
        </row>
        <row r="5035">
          <cell r="G5035" t="str">
            <v>X1787_1</v>
          </cell>
          <cell r="H5035" t="str">
            <v>as-as</v>
          </cell>
          <cell r="I5035" t="str">
            <v>sim</v>
          </cell>
          <cell r="V5035" t="str">
            <v>not neg pair</v>
          </cell>
          <cell r="Y5035" t="str">
            <v>Past</v>
          </cell>
          <cell r="Z5035">
            <v>2.81</v>
          </cell>
          <cell r="AA5035">
            <v>0</v>
          </cell>
          <cell r="AB5035">
            <v>0</v>
          </cell>
        </row>
        <row r="5036">
          <cell r="G5036" t="str">
            <v>X1788_0</v>
          </cell>
          <cell r="H5036" t="str">
            <v/>
          </cell>
          <cell r="I5036" t="str">
            <v>met</v>
          </cell>
          <cell r="V5036" t="str">
            <v>0</v>
          </cell>
          <cell r="Y5036" t="str">
            <v>Past</v>
          </cell>
          <cell r="Z5036">
            <v>2.81</v>
          </cell>
          <cell r="AA5036">
            <v>0</v>
          </cell>
          <cell r="AB5036">
            <v>0</v>
          </cell>
        </row>
        <row r="5037">
          <cell r="G5037" t="str">
            <v>X1788_1</v>
          </cell>
          <cell r="H5037" t="str">
            <v/>
          </cell>
          <cell r="I5037" t="str">
            <v>met</v>
          </cell>
          <cell r="V5037" t="str">
            <v>0</v>
          </cell>
          <cell r="Y5037" t="str">
            <v>Past</v>
          </cell>
          <cell r="Z5037">
            <v>2.81</v>
          </cell>
          <cell r="AA5037">
            <v>0</v>
          </cell>
          <cell r="AB5037">
            <v>0</v>
          </cell>
        </row>
        <row r="5038">
          <cell r="G5038" t="str">
            <v>X1789_0</v>
          </cell>
          <cell r="H5038" t="str">
            <v>as-as</v>
          </cell>
          <cell r="I5038" t="str">
            <v>sim</v>
          </cell>
          <cell r="V5038" t="str">
            <v>antonym</v>
          </cell>
          <cell r="Y5038" t="str">
            <v>Pres</v>
          </cell>
          <cell r="Z5038">
            <v>4.46</v>
          </cell>
          <cell r="AA5038">
            <v>0</v>
          </cell>
          <cell r="AB5038">
            <v>0</v>
          </cell>
        </row>
        <row r="5039">
          <cell r="G5039" t="str">
            <v>X1789_1</v>
          </cell>
          <cell r="H5039" t="str">
            <v>as-as</v>
          </cell>
          <cell r="I5039" t="str">
            <v>sim</v>
          </cell>
          <cell r="V5039" t="str">
            <v>antonym</v>
          </cell>
          <cell r="Y5039" t="str">
            <v>Pres</v>
          </cell>
          <cell r="Z5039">
            <v>4.46</v>
          </cell>
          <cell r="AA5039">
            <v>0</v>
          </cell>
          <cell r="AB5039">
            <v>0</v>
          </cell>
        </row>
        <row r="5040">
          <cell r="G5040" t="str">
            <v>X1790_0</v>
          </cell>
          <cell r="H5040" t="str">
            <v>like</v>
          </cell>
          <cell r="I5040" t="str">
            <v>sim</v>
          </cell>
          <cell r="V5040" t="str">
            <v>not neg pair</v>
          </cell>
          <cell r="Y5040" t="str">
            <v>Pres</v>
          </cell>
          <cell r="Z5040">
            <v>4.93</v>
          </cell>
          <cell r="AA5040" t="str">
            <v>H</v>
          </cell>
          <cell r="AB5040">
            <v>0</v>
          </cell>
        </row>
        <row r="5041">
          <cell r="G5041" t="str">
            <v>X1790_1</v>
          </cell>
          <cell r="H5041" t="str">
            <v>like</v>
          </cell>
          <cell r="I5041" t="str">
            <v>sim</v>
          </cell>
          <cell r="V5041" t="str">
            <v>not neg pair</v>
          </cell>
          <cell r="Y5041" t="str">
            <v>Pres</v>
          </cell>
          <cell r="Z5041">
            <v>4.93</v>
          </cell>
          <cell r="AA5041" t="str">
            <v>H</v>
          </cell>
          <cell r="AB5041">
            <v>0</v>
          </cell>
        </row>
        <row r="5042">
          <cell r="G5042" t="str">
            <v>X1791_0</v>
          </cell>
          <cell r="H5042" t="str">
            <v>the-of</v>
          </cell>
          <cell r="I5042" t="str">
            <v>sim</v>
          </cell>
          <cell r="V5042" t="str">
            <v>not</v>
          </cell>
          <cell r="Y5042" t="str">
            <v>Pres</v>
          </cell>
          <cell r="Z5042">
            <v>4.76</v>
          </cell>
          <cell r="AA5042">
            <v>0</v>
          </cell>
          <cell r="AB5042">
            <v>0</v>
          </cell>
        </row>
        <row r="5043">
          <cell r="G5043" t="str">
            <v>X1791_1</v>
          </cell>
          <cell r="H5043" t="str">
            <v>the-of</v>
          </cell>
          <cell r="I5043" t="str">
            <v>sim</v>
          </cell>
          <cell r="V5043" t="str">
            <v>not</v>
          </cell>
          <cell r="Y5043" t="str">
            <v>Pres</v>
          </cell>
          <cell r="Z5043">
            <v>4.76</v>
          </cell>
          <cell r="AA5043">
            <v>0</v>
          </cell>
          <cell r="AB5043">
            <v>0</v>
          </cell>
        </row>
        <row r="5044">
          <cell r="G5044" t="str">
            <v>X1792_0</v>
          </cell>
          <cell r="H5044" t="str">
            <v>the-of</v>
          </cell>
          <cell r="I5044" t="str">
            <v>sim</v>
          </cell>
          <cell r="V5044" t="str">
            <v>not neg pair</v>
          </cell>
          <cell r="Y5044" t="str">
            <v>Pres</v>
          </cell>
          <cell r="Z5044">
            <v>4.8600000000000003</v>
          </cell>
          <cell r="AA5044">
            <v>0</v>
          </cell>
          <cell r="AB5044">
            <v>0</v>
          </cell>
        </row>
        <row r="5045">
          <cell r="G5045" t="str">
            <v>X1792_1</v>
          </cell>
          <cell r="H5045" t="str">
            <v>the-of</v>
          </cell>
          <cell r="I5045" t="str">
            <v>sim</v>
          </cell>
          <cell r="V5045" t="str">
            <v>not neg pair</v>
          </cell>
          <cell r="Y5045" t="str">
            <v>Pres</v>
          </cell>
          <cell r="Z5045">
            <v>4.8600000000000003</v>
          </cell>
          <cell r="AA5045">
            <v>0</v>
          </cell>
          <cell r="AB5045">
            <v>0</v>
          </cell>
        </row>
        <row r="5046">
          <cell r="G5046" t="str">
            <v>X1793_0</v>
          </cell>
          <cell r="H5046" t="str">
            <v>the-of</v>
          </cell>
          <cell r="I5046" t="str">
            <v>sim</v>
          </cell>
          <cell r="V5046" t="str">
            <v>not neg pair</v>
          </cell>
          <cell r="Y5046" t="str">
            <v>Pres</v>
          </cell>
          <cell r="Z5046">
            <v>4.83</v>
          </cell>
          <cell r="AA5046">
            <v>0</v>
          </cell>
          <cell r="AB5046">
            <v>0</v>
          </cell>
        </row>
        <row r="5047">
          <cell r="G5047" t="str">
            <v>X1793_1</v>
          </cell>
          <cell r="H5047" t="str">
            <v>the-of</v>
          </cell>
          <cell r="I5047" t="str">
            <v>sim</v>
          </cell>
          <cell r="V5047" t="str">
            <v>not neg pair</v>
          </cell>
          <cell r="Y5047" t="str">
            <v>Pres</v>
          </cell>
          <cell r="Z5047">
            <v>4.83</v>
          </cell>
          <cell r="AA5047">
            <v>0</v>
          </cell>
          <cell r="AB5047">
            <v>0</v>
          </cell>
        </row>
        <row r="5048">
          <cell r="G5048" t="str">
            <v>X1794_0</v>
          </cell>
          <cell r="H5048" t="str">
            <v>the-of</v>
          </cell>
          <cell r="I5048" t="str">
            <v>sim</v>
          </cell>
          <cell r="V5048" t="str">
            <v>not neg pair</v>
          </cell>
          <cell r="Y5048" t="str">
            <v>Pres</v>
          </cell>
          <cell r="Z5048">
            <v>4.46</v>
          </cell>
          <cell r="AA5048">
            <v>0</v>
          </cell>
          <cell r="AB5048">
            <v>0</v>
          </cell>
        </row>
        <row r="5049">
          <cell r="G5049" t="str">
            <v>X1794_1</v>
          </cell>
          <cell r="H5049" t="str">
            <v>the-of</v>
          </cell>
          <cell r="I5049" t="str">
            <v>sim</v>
          </cell>
          <cell r="V5049" t="str">
            <v>not neg pair</v>
          </cell>
          <cell r="Y5049" t="str">
            <v>Pres</v>
          </cell>
          <cell r="Z5049">
            <v>4.46</v>
          </cell>
          <cell r="AA5049">
            <v>0</v>
          </cell>
          <cell r="AB5049">
            <v>0</v>
          </cell>
        </row>
        <row r="5050">
          <cell r="G5050" t="str">
            <v>X1795_0</v>
          </cell>
          <cell r="H5050" t="str">
            <v/>
          </cell>
          <cell r="I5050" t="str">
            <v>met</v>
          </cell>
          <cell r="V5050" t="str">
            <v>0</v>
          </cell>
          <cell r="Y5050" t="str">
            <v>Pres</v>
          </cell>
          <cell r="Z5050">
            <v>5</v>
          </cell>
          <cell r="AA5050" t="str">
            <v>H</v>
          </cell>
          <cell r="AB5050">
            <v>0</v>
          </cell>
        </row>
        <row r="5051">
          <cell r="G5051" t="str">
            <v>X1795_1</v>
          </cell>
          <cell r="H5051" t="str">
            <v/>
          </cell>
          <cell r="I5051" t="str">
            <v>met</v>
          </cell>
          <cell r="V5051" t="str">
            <v>0</v>
          </cell>
          <cell r="Y5051" t="str">
            <v>Pres</v>
          </cell>
          <cell r="Z5051">
            <v>5</v>
          </cell>
          <cell r="AA5051" t="str">
            <v>H</v>
          </cell>
          <cell r="AB5051">
            <v>0</v>
          </cell>
        </row>
        <row r="5052">
          <cell r="G5052" t="str">
            <v>X1796_0</v>
          </cell>
          <cell r="H5052" t="str">
            <v>like</v>
          </cell>
          <cell r="I5052" t="str">
            <v>sim</v>
          </cell>
          <cell r="V5052" t="str">
            <v>not neg pair</v>
          </cell>
          <cell r="Y5052" t="str">
            <v>Pres</v>
          </cell>
          <cell r="Z5052">
            <v>4.79</v>
          </cell>
          <cell r="AA5052">
            <v>0</v>
          </cell>
          <cell r="AB5052">
            <v>0</v>
          </cell>
        </row>
        <row r="5053">
          <cell r="G5053" t="str">
            <v>X1796_1</v>
          </cell>
          <cell r="H5053" t="str">
            <v>as</v>
          </cell>
          <cell r="I5053" t="str">
            <v>sim</v>
          </cell>
          <cell r="V5053" t="str">
            <v>not neg pair</v>
          </cell>
          <cell r="Y5053" t="str">
            <v>Pres</v>
          </cell>
          <cell r="Z5053">
            <v>4.79</v>
          </cell>
          <cell r="AA5053">
            <v>0</v>
          </cell>
          <cell r="AB5053">
            <v>0</v>
          </cell>
        </row>
        <row r="5054">
          <cell r="G5054" t="str">
            <v>X1797_0</v>
          </cell>
          <cell r="H5054" t="str">
            <v>as-as</v>
          </cell>
          <cell r="I5054" t="str">
            <v>sim</v>
          </cell>
          <cell r="V5054" t="str">
            <v>not</v>
          </cell>
          <cell r="Y5054" t="str">
            <v>Past</v>
          </cell>
          <cell r="Z5054">
            <v>4.79</v>
          </cell>
          <cell r="AA5054">
            <v>0</v>
          </cell>
          <cell r="AB5054">
            <v>0</v>
          </cell>
        </row>
        <row r="5055">
          <cell r="G5055" t="str">
            <v>X1797_1</v>
          </cell>
          <cell r="H5055" t="str">
            <v>as-as</v>
          </cell>
          <cell r="I5055" t="str">
            <v>sim</v>
          </cell>
          <cell r="V5055" t="str">
            <v>not</v>
          </cell>
          <cell r="Y5055" t="str">
            <v>Past</v>
          </cell>
          <cell r="Z5055">
            <v>4.79</v>
          </cell>
          <cell r="AA5055">
            <v>0</v>
          </cell>
          <cell r="AB5055">
            <v>0</v>
          </cell>
        </row>
        <row r="5056">
          <cell r="G5056" t="str">
            <v>X1798_0</v>
          </cell>
          <cell r="H5056" t="str">
            <v>as-as</v>
          </cell>
          <cell r="I5056" t="str">
            <v>sim</v>
          </cell>
          <cell r="V5056" t="str">
            <v>not</v>
          </cell>
          <cell r="Y5056" t="str">
            <v>Past</v>
          </cell>
          <cell r="Z5056">
            <v>4.93</v>
          </cell>
          <cell r="AA5056" t="str">
            <v>H</v>
          </cell>
          <cell r="AB5056">
            <v>0</v>
          </cell>
        </row>
        <row r="5057">
          <cell r="G5057" t="str">
            <v>X1798_1</v>
          </cell>
          <cell r="H5057" t="str">
            <v>as-as</v>
          </cell>
          <cell r="I5057" t="str">
            <v>sim</v>
          </cell>
          <cell r="V5057" t="str">
            <v>not</v>
          </cell>
          <cell r="Y5057" t="str">
            <v>Past</v>
          </cell>
          <cell r="Z5057">
            <v>4.93</v>
          </cell>
          <cell r="AA5057" t="str">
            <v>H</v>
          </cell>
          <cell r="AB5057">
            <v>0</v>
          </cell>
        </row>
        <row r="5058">
          <cell r="G5058" t="str">
            <v>X1799_0</v>
          </cell>
          <cell r="H5058" t="str">
            <v>as-as</v>
          </cell>
          <cell r="I5058" t="str">
            <v>sim</v>
          </cell>
          <cell r="V5058" t="str">
            <v>not</v>
          </cell>
          <cell r="Y5058" t="str">
            <v>Past</v>
          </cell>
          <cell r="Z5058">
            <v>3.97</v>
          </cell>
          <cell r="AA5058">
            <v>0</v>
          </cell>
          <cell r="AB5058">
            <v>0</v>
          </cell>
        </row>
        <row r="5059">
          <cell r="G5059" t="str">
            <v>X1799_1</v>
          </cell>
          <cell r="H5059" t="str">
            <v>as-as</v>
          </cell>
          <cell r="I5059" t="str">
            <v>sim</v>
          </cell>
          <cell r="V5059" t="str">
            <v>not</v>
          </cell>
          <cell r="Y5059" t="str">
            <v>Past</v>
          </cell>
          <cell r="Z5059">
            <v>3.97</v>
          </cell>
          <cell r="AA5059">
            <v>0</v>
          </cell>
          <cell r="AB5059">
            <v>0</v>
          </cell>
        </row>
        <row r="5060">
          <cell r="G5060" t="str">
            <v>X1800_0</v>
          </cell>
          <cell r="H5060" t="str">
            <v/>
          </cell>
          <cell r="I5060" t="str">
            <v>met</v>
          </cell>
          <cell r="V5060" t="str">
            <v>0</v>
          </cell>
          <cell r="Y5060" t="str">
            <v>Pres</v>
          </cell>
          <cell r="Z5060">
            <v>4.5999999999999996</v>
          </cell>
          <cell r="AA5060">
            <v>0</v>
          </cell>
          <cell r="AB5060">
            <v>0</v>
          </cell>
        </row>
        <row r="5061">
          <cell r="G5061" t="str">
            <v>X1800_1</v>
          </cell>
          <cell r="H5061" t="str">
            <v/>
          </cell>
          <cell r="I5061" t="str">
            <v>met</v>
          </cell>
          <cell r="V5061" t="str">
            <v>0</v>
          </cell>
          <cell r="Y5061" t="str">
            <v>Pres</v>
          </cell>
          <cell r="Z5061">
            <v>4.5999999999999996</v>
          </cell>
          <cell r="AA5061">
            <v>0</v>
          </cell>
          <cell r="AB5061">
            <v>0</v>
          </cell>
        </row>
        <row r="5062">
          <cell r="G5062" t="str">
            <v>X1801_0</v>
          </cell>
          <cell r="H5062" t="str">
            <v/>
          </cell>
          <cell r="I5062" t="str">
            <v>met</v>
          </cell>
          <cell r="V5062" t="str">
            <v>0</v>
          </cell>
          <cell r="Y5062" t="str">
            <v>Pres</v>
          </cell>
          <cell r="Z5062">
            <v>5</v>
          </cell>
          <cell r="AA5062" t="str">
            <v>H</v>
          </cell>
          <cell r="AB5062">
            <v>0</v>
          </cell>
        </row>
        <row r="5063">
          <cell r="G5063" t="str">
            <v>X1801_1</v>
          </cell>
          <cell r="H5063" t="str">
            <v/>
          </cell>
          <cell r="I5063" t="str">
            <v>met</v>
          </cell>
          <cell r="V5063" t="str">
            <v>0</v>
          </cell>
          <cell r="Y5063" t="str">
            <v>Pres</v>
          </cell>
          <cell r="Z5063">
            <v>5</v>
          </cell>
          <cell r="AA5063" t="str">
            <v>H</v>
          </cell>
          <cell r="AB5063">
            <v>0</v>
          </cell>
        </row>
        <row r="5064">
          <cell r="G5064" t="str">
            <v>X1802_0</v>
          </cell>
          <cell r="H5064" t="str">
            <v/>
          </cell>
          <cell r="I5064" t="str">
            <v>met</v>
          </cell>
          <cell r="V5064" t="str">
            <v>0</v>
          </cell>
          <cell r="Y5064" t="str">
            <v>Pres</v>
          </cell>
          <cell r="Z5064">
            <v>4.9000000000000004</v>
          </cell>
          <cell r="AA5064">
            <v>0</v>
          </cell>
          <cell r="AB5064">
            <v>0</v>
          </cell>
        </row>
        <row r="5065">
          <cell r="G5065" t="str">
            <v>X1802_1</v>
          </cell>
          <cell r="H5065" t="str">
            <v/>
          </cell>
          <cell r="I5065" t="str">
            <v>met</v>
          </cell>
          <cell r="V5065" t="str">
            <v>0</v>
          </cell>
          <cell r="Y5065" t="str">
            <v>Pres</v>
          </cell>
          <cell r="Z5065">
            <v>4.9000000000000004</v>
          </cell>
          <cell r="AA5065">
            <v>0</v>
          </cell>
          <cell r="AB5065">
            <v>0</v>
          </cell>
        </row>
        <row r="5066">
          <cell r="G5066" t="str">
            <v>X1803_0</v>
          </cell>
          <cell r="H5066" t="str">
            <v/>
          </cell>
          <cell r="I5066" t="str">
            <v>met</v>
          </cell>
          <cell r="V5066" t="str">
            <v>0</v>
          </cell>
          <cell r="Y5066" t="str">
            <v>Pres</v>
          </cell>
          <cell r="Z5066">
            <v>4.5599999999999996</v>
          </cell>
          <cell r="AA5066">
            <v>0</v>
          </cell>
          <cell r="AB5066">
            <v>0</v>
          </cell>
        </row>
        <row r="5067">
          <cell r="G5067" t="str">
            <v>X1803_1</v>
          </cell>
          <cell r="H5067" t="str">
            <v/>
          </cell>
          <cell r="I5067" t="str">
            <v>met</v>
          </cell>
          <cell r="V5067" t="str">
            <v>0</v>
          </cell>
          <cell r="Y5067" t="str">
            <v>Pres</v>
          </cell>
          <cell r="Z5067">
            <v>4.5599999999999996</v>
          </cell>
          <cell r="AA5067">
            <v>0</v>
          </cell>
          <cell r="AB5067">
            <v>0</v>
          </cell>
        </row>
        <row r="5068">
          <cell r="G5068" t="str">
            <v>X1804_0</v>
          </cell>
          <cell r="H5068" t="str">
            <v/>
          </cell>
          <cell r="I5068" t="str">
            <v>met</v>
          </cell>
          <cell r="V5068" t="str">
            <v>0</v>
          </cell>
          <cell r="Y5068" t="str">
            <v>Past</v>
          </cell>
          <cell r="Z5068">
            <v>4.3099999999999996</v>
          </cell>
          <cell r="AA5068">
            <v>0</v>
          </cell>
          <cell r="AB5068">
            <v>0</v>
          </cell>
        </row>
        <row r="5069">
          <cell r="G5069" t="str">
            <v>X1804_1</v>
          </cell>
          <cell r="H5069" t="str">
            <v/>
          </cell>
          <cell r="I5069" t="str">
            <v>met</v>
          </cell>
          <cell r="V5069" t="str">
            <v>0</v>
          </cell>
          <cell r="Y5069" t="str">
            <v>Past</v>
          </cell>
          <cell r="Z5069">
            <v>3</v>
          </cell>
          <cell r="AA5069">
            <v>0</v>
          </cell>
          <cell r="AB5069">
            <v>0</v>
          </cell>
        </row>
        <row r="5070">
          <cell r="G5070" t="str">
            <v>X1805_0</v>
          </cell>
          <cell r="H5070" t="str">
            <v>as-as</v>
          </cell>
          <cell r="I5070" t="str">
            <v>sim</v>
          </cell>
          <cell r="V5070" t="str">
            <v>antonym</v>
          </cell>
          <cell r="Y5070" t="str">
            <v>Past</v>
          </cell>
          <cell r="Z5070">
            <v>4.59</v>
          </cell>
          <cell r="AA5070">
            <v>0</v>
          </cell>
          <cell r="AB5070">
            <v>0</v>
          </cell>
        </row>
        <row r="5071">
          <cell r="G5071" t="str">
            <v>X1805_1</v>
          </cell>
          <cell r="H5071" t="str">
            <v>as-as</v>
          </cell>
          <cell r="I5071" t="str">
            <v>sim</v>
          </cell>
          <cell r="V5071" t="str">
            <v>antonym</v>
          </cell>
          <cell r="Y5071" t="str">
            <v>Past</v>
          </cell>
          <cell r="Z5071">
            <v>4.59</v>
          </cell>
          <cell r="AA5071">
            <v>0</v>
          </cell>
          <cell r="AB5071">
            <v>0</v>
          </cell>
        </row>
        <row r="5072">
          <cell r="G5072" t="str">
            <v>X1806_0</v>
          </cell>
          <cell r="H5072" t="str">
            <v>as-as</v>
          </cell>
          <cell r="I5072" t="str">
            <v>sim</v>
          </cell>
          <cell r="V5072" t="str">
            <v>not</v>
          </cell>
          <cell r="Y5072" t="str">
            <v>Past</v>
          </cell>
          <cell r="Z5072">
            <v>4.34</v>
          </cell>
          <cell r="AA5072">
            <v>0</v>
          </cell>
          <cell r="AB5072">
            <v>0</v>
          </cell>
        </row>
        <row r="5073">
          <cell r="G5073" t="str">
            <v>X1806_1</v>
          </cell>
          <cell r="H5073" t="str">
            <v>as-as</v>
          </cell>
          <cell r="I5073" t="str">
            <v>sim</v>
          </cell>
          <cell r="V5073" t="str">
            <v>not</v>
          </cell>
          <cell r="Y5073" t="str">
            <v>Past</v>
          </cell>
          <cell r="Z5073">
            <v>4.34</v>
          </cell>
          <cell r="AA5073">
            <v>0</v>
          </cell>
          <cell r="AB5073">
            <v>0</v>
          </cell>
        </row>
        <row r="5074">
          <cell r="G5074" t="str">
            <v>X1807_0</v>
          </cell>
          <cell r="H5074" t="str">
            <v>the-of</v>
          </cell>
          <cell r="I5074" t="str">
            <v>sim</v>
          </cell>
          <cell r="V5074" t="str">
            <v>not neg pair</v>
          </cell>
          <cell r="Y5074" t="str">
            <v>Pres</v>
          </cell>
          <cell r="Z5074">
            <v>3.37</v>
          </cell>
          <cell r="AA5074">
            <v>0</v>
          </cell>
          <cell r="AB5074">
            <v>0</v>
          </cell>
        </row>
        <row r="5075">
          <cell r="G5075" t="str">
            <v>X1807_1</v>
          </cell>
          <cell r="H5075" t="str">
            <v>the-of</v>
          </cell>
          <cell r="I5075" t="str">
            <v>sim</v>
          </cell>
          <cell r="V5075" t="str">
            <v>not neg pair</v>
          </cell>
          <cell r="Y5075" t="str">
            <v>Pres</v>
          </cell>
          <cell r="Z5075">
            <v>3.37</v>
          </cell>
          <cell r="AA5075">
            <v>0</v>
          </cell>
          <cell r="AB5075">
            <v>0</v>
          </cell>
        </row>
        <row r="5076">
          <cell r="G5076" t="str">
            <v>X1808_0</v>
          </cell>
          <cell r="H5076" t="str">
            <v>the-of</v>
          </cell>
          <cell r="I5076" t="str">
            <v>sim</v>
          </cell>
          <cell r="V5076" t="str">
            <v>not neg pair</v>
          </cell>
          <cell r="Y5076" t="str">
            <v>Pres</v>
          </cell>
          <cell r="Z5076">
            <v>3.93</v>
          </cell>
          <cell r="AA5076">
            <v>0</v>
          </cell>
          <cell r="AB5076">
            <v>0</v>
          </cell>
        </row>
        <row r="5077">
          <cell r="G5077" t="str">
            <v>X1808_1</v>
          </cell>
          <cell r="H5077" t="str">
            <v>the-of</v>
          </cell>
          <cell r="I5077" t="str">
            <v>sim</v>
          </cell>
          <cell r="V5077" t="str">
            <v>not neg pair</v>
          </cell>
          <cell r="Y5077" t="str">
            <v>Pres</v>
          </cell>
          <cell r="Z5077">
            <v>3.93</v>
          </cell>
          <cell r="AA5077">
            <v>0</v>
          </cell>
          <cell r="AB5077">
            <v>0</v>
          </cell>
        </row>
        <row r="5078">
          <cell r="G5078" t="str">
            <v>X1809_0</v>
          </cell>
          <cell r="H5078" t="str">
            <v>as-as</v>
          </cell>
          <cell r="I5078" t="str">
            <v>sim</v>
          </cell>
          <cell r="V5078" t="str">
            <v>antonym</v>
          </cell>
          <cell r="Y5078" t="str">
            <v>Pres</v>
          </cell>
          <cell r="Z5078">
            <v>4.5</v>
          </cell>
          <cell r="AA5078">
            <v>0</v>
          </cell>
          <cell r="AB5078">
            <v>0</v>
          </cell>
        </row>
        <row r="5079">
          <cell r="G5079" t="str">
            <v>X1809_1</v>
          </cell>
          <cell r="H5079" t="str">
            <v>as-as</v>
          </cell>
          <cell r="I5079" t="str">
            <v>sim</v>
          </cell>
          <cell r="V5079" t="str">
            <v>antonym</v>
          </cell>
          <cell r="Y5079" t="str">
            <v>Pres</v>
          </cell>
          <cell r="Z5079">
            <v>4.5</v>
          </cell>
          <cell r="AA5079">
            <v>0</v>
          </cell>
          <cell r="AB5079">
            <v>0</v>
          </cell>
        </row>
        <row r="5080">
          <cell r="G5080" t="str">
            <v>X1810_0</v>
          </cell>
          <cell r="H5080" t="str">
            <v>as-as</v>
          </cell>
          <cell r="I5080" t="str">
            <v>sim</v>
          </cell>
          <cell r="V5080" t="str">
            <v>not</v>
          </cell>
          <cell r="Y5080" t="str">
            <v>Pres</v>
          </cell>
          <cell r="Z5080">
            <v>4.33</v>
          </cell>
          <cell r="AA5080">
            <v>0</v>
          </cell>
          <cell r="AB5080">
            <v>0</v>
          </cell>
        </row>
        <row r="5081">
          <cell r="G5081" t="str">
            <v>X1810_1</v>
          </cell>
          <cell r="H5081" t="str">
            <v>as-as</v>
          </cell>
          <cell r="I5081" t="str">
            <v>sim</v>
          </cell>
          <cell r="V5081" t="str">
            <v>not</v>
          </cell>
          <cell r="Y5081" t="str">
            <v>Pres</v>
          </cell>
          <cell r="Z5081">
            <v>4.33</v>
          </cell>
          <cell r="AA5081">
            <v>0</v>
          </cell>
          <cell r="AB5081">
            <v>0</v>
          </cell>
        </row>
        <row r="5082">
          <cell r="G5082" t="str">
            <v>X1811_0</v>
          </cell>
          <cell r="H5082" t="str">
            <v>as-as</v>
          </cell>
          <cell r="I5082" t="str">
            <v>sim</v>
          </cell>
          <cell r="V5082" t="str">
            <v>not</v>
          </cell>
          <cell r="Y5082" t="str">
            <v>Pres</v>
          </cell>
          <cell r="Z5082">
            <v>4.5199999999999996</v>
          </cell>
          <cell r="AA5082">
            <v>0</v>
          </cell>
          <cell r="AB5082">
            <v>0</v>
          </cell>
        </row>
        <row r="5083">
          <cell r="G5083" t="str">
            <v>X1811_1</v>
          </cell>
          <cell r="H5083" t="str">
            <v>as-as</v>
          </cell>
          <cell r="I5083" t="str">
            <v>sim</v>
          </cell>
          <cell r="V5083" t="str">
            <v>not</v>
          </cell>
          <cell r="Y5083" t="str">
            <v>Pres</v>
          </cell>
          <cell r="Z5083">
            <v>4.5199999999999996</v>
          </cell>
          <cell r="AA5083">
            <v>0</v>
          </cell>
          <cell r="AB5083">
            <v>0</v>
          </cell>
        </row>
        <row r="5084">
          <cell r="G5084" t="str">
            <v>X1812_0</v>
          </cell>
          <cell r="H5084" t="str">
            <v>as-as</v>
          </cell>
          <cell r="I5084" t="str">
            <v>sim</v>
          </cell>
          <cell r="V5084" t="str">
            <v>antonym</v>
          </cell>
          <cell r="Y5084" t="str">
            <v>Pres</v>
          </cell>
          <cell r="Z5084">
            <v>3.52</v>
          </cell>
          <cell r="AA5084">
            <v>0</v>
          </cell>
          <cell r="AB5084">
            <v>0</v>
          </cell>
        </row>
        <row r="5085">
          <cell r="G5085" t="str">
            <v>X1812_1</v>
          </cell>
          <cell r="H5085" t="str">
            <v>as-as</v>
          </cell>
          <cell r="I5085" t="str">
            <v>sim</v>
          </cell>
          <cell r="V5085" t="str">
            <v>antonym</v>
          </cell>
          <cell r="Y5085" t="str">
            <v>Pres</v>
          </cell>
          <cell r="Z5085">
            <v>3.52</v>
          </cell>
          <cell r="AA5085">
            <v>0</v>
          </cell>
          <cell r="AB5085">
            <v>0</v>
          </cell>
        </row>
        <row r="5086">
          <cell r="G5086" t="str">
            <v>X1813_0</v>
          </cell>
          <cell r="H5086" t="str">
            <v/>
          </cell>
          <cell r="I5086" t="str">
            <v>met</v>
          </cell>
          <cell r="V5086" t="str">
            <v>0</v>
          </cell>
          <cell r="Y5086" t="str">
            <v>Past</v>
          </cell>
          <cell r="Z5086">
            <v>5</v>
          </cell>
          <cell r="AA5086" t="str">
            <v>H</v>
          </cell>
          <cell r="AB5086">
            <v>0</v>
          </cell>
        </row>
        <row r="5087">
          <cell r="G5087" t="str">
            <v>X1813_1</v>
          </cell>
          <cell r="H5087" t="str">
            <v/>
          </cell>
          <cell r="I5087" t="str">
            <v>met</v>
          </cell>
          <cell r="V5087" t="str">
            <v>0</v>
          </cell>
          <cell r="Y5087" t="str">
            <v>Past</v>
          </cell>
          <cell r="Z5087">
            <v>5</v>
          </cell>
          <cell r="AA5087" t="str">
            <v>H</v>
          </cell>
          <cell r="AB5087">
            <v>0</v>
          </cell>
        </row>
        <row r="5088">
          <cell r="G5088" t="str">
            <v>X1814_0</v>
          </cell>
          <cell r="H5088" t="str">
            <v/>
          </cell>
          <cell r="I5088" t="str">
            <v>met</v>
          </cell>
          <cell r="V5088" t="str">
            <v>0</v>
          </cell>
          <cell r="Y5088" t="str">
            <v>Past</v>
          </cell>
          <cell r="Z5088">
            <v>3.93</v>
          </cell>
          <cell r="AA5088">
            <v>0</v>
          </cell>
          <cell r="AB5088">
            <v>0</v>
          </cell>
        </row>
        <row r="5089">
          <cell r="G5089" t="str">
            <v>X1814_1</v>
          </cell>
          <cell r="H5089" t="str">
            <v/>
          </cell>
          <cell r="I5089" t="str">
            <v>met</v>
          </cell>
          <cell r="V5089" t="str">
            <v>0</v>
          </cell>
          <cell r="Y5089" t="str">
            <v>Past</v>
          </cell>
          <cell r="Z5089">
            <v>3.93</v>
          </cell>
          <cell r="AA5089">
            <v>0</v>
          </cell>
          <cell r="AB5089">
            <v>0</v>
          </cell>
        </row>
        <row r="5090">
          <cell r="G5090" t="str">
            <v>X1815_0</v>
          </cell>
          <cell r="H5090" t="str">
            <v>the-of</v>
          </cell>
          <cell r="I5090" t="str">
            <v>sim</v>
          </cell>
          <cell r="V5090" t="str">
            <v>not</v>
          </cell>
          <cell r="Y5090" t="str">
            <v>Pres</v>
          </cell>
          <cell r="Z5090">
            <v>4.87</v>
          </cell>
          <cell r="AA5090">
            <v>0</v>
          </cell>
          <cell r="AB5090">
            <v>0</v>
          </cell>
        </row>
        <row r="5091">
          <cell r="G5091" t="str">
            <v>X1815_1</v>
          </cell>
          <cell r="H5091" t="str">
            <v>the-of</v>
          </cell>
          <cell r="I5091" t="str">
            <v>sim</v>
          </cell>
          <cell r="V5091" t="str">
            <v>not</v>
          </cell>
          <cell r="Y5091" t="str">
            <v>Pres</v>
          </cell>
          <cell r="Z5091">
            <v>4.87</v>
          </cell>
          <cell r="AA5091">
            <v>0</v>
          </cell>
          <cell r="AB5091">
            <v>0</v>
          </cell>
        </row>
        <row r="5092">
          <cell r="G5092" t="str">
            <v>X1816_0</v>
          </cell>
          <cell r="H5092" t="str">
            <v>like</v>
          </cell>
          <cell r="I5092" t="str">
            <v>sim</v>
          </cell>
          <cell r="V5092" t="str">
            <v>not</v>
          </cell>
          <cell r="Y5092" t="str">
            <v>Pres</v>
          </cell>
          <cell r="Z5092">
            <v>1.61</v>
          </cell>
          <cell r="AA5092" t="str">
            <v>L</v>
          </cell>
          <cell r="AB5092">
            <v>0</v>
          </cell>
        </row>
        <row r="5093">
          <cell r="G5093" t="str">
            <v>X1816_1</v>
          </cell>
          <cell r="H5093" t="str">
            <v>like</v>
          </cell>
          <cell r="I5093" t="str">
            <v>sim</v>
          </cell>
          <cell r="V5093" t="str">
            <v>not</v>
          </cell>
          <cell r="Y5093" t="str">
            <v>Pres</v>
          </cell>
          <cell r="Z5093">
            <v>1.61</v>
          </cell>
          <cell r="AA5093" t="str">
            <v>L</v>
          </cell>
          <cell r="AB5093">
            <v>0</v>
          </cell>
        </row>
        <row r="5094">
          <cell r="G5094" t="str">
            <v>X1817_0</v>
          </cell>
          <cell r="H5094" t="str">
            <v>like</v>
          </cell>
          <cell r="I5094" t="str">
            <v>sim</v>
          </cell>
          <cell r="V5094" t="str">
            <v>not neg pair</v>
          </cell>
          <cell r="Y5094" t="str">
            <v>Pres</v>
          </cell>
          <cell r="Z5094">
            <v>0</v>
          </cell>
          <cell r="AA5094">
            <v>0</v>
          </cell>
          <cell r="AB5094">
            <v>0</v>
          </cell>
        </row>
        <row r="5095">
          <cell r="G5095" t="str">
            <v>X1817_1</v>
          </cell>
          <cell r="H5095" t="str">
            <v>like</v>
          </cell>
          <cell r="I5095" t="str">
            <v>sim</v>
          </cell>
          <cell r="V5095" t="str">
            <v>not neg pair</v>
          </cell>
          <cell r="Y5095" t="str">
            <v>Pres</v>
          </cell>
          <cell r="Z5095">
            <v>0</v>
          </cell>
          <cell r="AA5095">
            <v>0</v>
          </cell>
          <cell r="AB5095">
            <v>0</v>
          </cell>
        </row>
        <row r="5096">
          <cell r="G5096" t="str">
            <v>X1818_0</v>
          </cell>
          <cell r="H5096" t="str">
            <v>as-as</v>
          </cell>
          <cell r="I5096" t="str">
            <v>sim</v>
          </cell>
          <cell r="V5096" t="str">
            <v>not</v>
          </cell>
          <cell r="Y5096" t="str">
            <v>Past</v>
          </cell>
          <cell r="Z5096">
            <v>3.86</v>
          </cell>
          <cell r="AA5096">
            <v>0</v>
          </cell>
          <cell r="AB5096">
            <v>0</v>
          </cell>
        </row>
        <row r="5097">
          <cell r="G5097" t="str">
            <v>X1818_1</v>
          </cell>
          <cell r="H5097" t="str">
            <v>as-as</v>
          </cell>
          <cell r="I5097" t="str">
            <v>sim</v>
          </cell>
          <cell r="V5097" t="str">
            <v>not</v>
          </cell>
          <cell r="Y5097" t="str">
            <v>Past</v>
          </cell>
          <cell r="Z5097">
            <v>3.86</v>
          </cell>
          <cell r="AA5097">
            <v>0</v>
          </cell>
          <cell r="AB5097">
            <v>0</v>
          </cell>
        </row>
        <row r="5098">
          <cell r="G5098" t="str">
            <v>X1819_0</v>
          </cell>
          <cell r="H5098" t="str">
            <v>the-of</v>
          </cell>
          <cell r="I5098" t="str">
            <v>sim</v>
          </cell>
          <cell r="V5098" t="str">
            <v>not neg pair</v>
          </cell>
          <cell r="Y5098" t="str">
            <v>Past</v>
          </cell>
          <cell r="Z5098">
            <v>3.93</v>
          </cell>
          <cell r="AA5098">
            <v>0</v>
          </cell>
          <cell r="AB5098">
            <v>0</v>
          </cell>
        </row>
        <row r="5099">
          <cell r="G5099" t="str">
            <v>X1819_1</v>
          </cell>
          <cell r="H5099" t="str">
            <v>the-of</v>
          </cell>
          <cell r="I5099" t="str">
            <v>sim</v>
          </cell>
          <cell r="V5099" t="str">
            <v>not neg pair</v>
          </cell>
          <cell r="Y5099" t="str">
            <v>Past</v>
          </cell>
          <cell r="Z5099">
            <v>3.93</v>
          </cell>
          <cell r="AA5099">
            <v>0</v>
          </cell>
          <cell r="AB5099">
            <v>0</v>
          </cell>
        </row>
        <row r="5100">
          <cell r="G5100" t="str">
            <v>X1820_0</v>
          </cell>
          <cell r="H5100" t="str">
            <v>as-as</v>
          </cell>
          <cell r="I5100" t="str">
            <v>sim</v>
          </cell>
          <cell r="V5100" t="str">
            <v>antonym</v>
          </cell>
          <cell r="Y5100" t="str">
            <v>Past</v>
          </cell>
          <cell r="Z5100">
            <v>4.93</v>
          </cell>
          <cell r="AA5100" t="str">
            <v>H</v>
          </cell>
          <cell r="AB5100">
            <v>0</v>
          </cell>
        </row>
        <row r="5101">
          <cell r="G5101" t="str">
            <v>X1820_1</v>
          </cell>
          <cell r="H5101" t="str">
            <v>as-as</v>
          </cell>
          <cell r="I5101" t="str">
            <v>sim</v>
          </cell>
          <cell r="V5101" t="str">
            <v>antonym</v>
          </cell>
          <cell r="Y5101" t="str">
            <v>Past</v>
          </cell>
          <cell r="Z5101">
            <v>4.93</v>
          </cell>
          <cell r="AA5101" t="str">
            <v>H</v>
          </cell>
          <cell r="AB5101">
            <v>0</v>
          </cell>
        </row>
        <row r="5102">
          <cell r="G5102" t="str">
            <v>X1821_0</v>
          </cell>
          <cell r="H5102" t="str">
            <v>as-as</v>
          </cell>
          <cell r="I5102" t="str">
            <v>sim</v>
          </cell>
          <cell r="V5102" t="str">
            <v>antonym</v>
          </cell>
          <cell r="Y5102" t="str">
            <v>Past</v>
          </cell>
          <cell r="Z5102">
            <v>4.8099999999999996</v>
          </cell>
          <cell r="AA5102">
            <v>0</v>
          </cell>
          <cell r="AB5102">
            <v>0</v>
          </cell>
        </row>
        <row r="5103">
          <cell r="G5103" t="str">
            <v>X1821_1</v>
          </cell>
          <cell r="H5103" t="str">
            <v>as-as</v>
          </cell>
          <cell r="I5103" t="str">
            <v>sim</v>
          </cell>
          <cell r="V5103" t="str">
            <v>antonym</v>
          </cell>
          <cell r="Y5103" t="str">
            <v>Past</v>
          </cell>
          <cell r="Z5103">
            <v>4.8099999999999996</v>
          </cell>
          <cell r="AA5103">
            <v>0</v>
          </cell>
          <cell r="AB5103">
            <v>0</v>
          </cell>
        </row>
        <row r="5104">
          <cell r="G5104" t="str">
            <v>X1822_0</v>
          </cell>
          <cell r="H5104" t="str">
            <v/>
          </cell>
          <cell r="I5104" t="str">
            <v>met</v>
          </cell>
          <cell r="V5104" t="str">
            <v>0</v>
          </cell>
          <cell r="Y5104" t="str">
            <v>Past</v>
          </cell>
          <cell r="Z5104">
            <v>3.86</v>
          </cell>
          <cell r="AA5104">
            <v>0</v>
          </cell>
          <cell r="AB5104">
            <v>0</v>
          </cell>
        </row>
        <row r="5105">
          <cell r="G5105" t="str">
            <v>X1822_1</v>
          </cell>
          <cell r="H5105" t="str">
            <v/>
          </cell>
          <cell r="I5105" t="str">
            <v>met</v>
          </cell>
          <cell r="V5105" t="str">
            <v>0</v>
          </cell>
          <cell r="Y5105" t="str">
            <v>Past</v>
          </cell>
          <cell r="Z5105">
            <v>3.86</v>
          </cell>
          <cell r="AA5105">
            <v>0</v>
          </cell>
          <cell r="AB5105">
            <v>0</v>
          </cell>
        </row>
        <row r="5106">
          <cell r="G5106" t="str">
            <v>X1823_0</v>
          </cell>
          <cell r="H5106" t="str">
            <v>like</v>
          </cell>
          <cell r="I5106" t="str">
            <v>sim</v>
          </cell>
          <cell r="V5106" t="str">
            <v>not neg pair</v>
          </cell>
          <cell r="Y5106" t="str">
            <v>Pres</v>
          </cell>
          <cell r="Z5106">
            <v>3.36</v>
          </cell>
          <cell r="AA5106">
            <v>0</v>
          </cell>
          <cell r="AB5106">
            <v>0</v>
          </cell>
        </row>
        <row r="5107">
          <cell r="G5107" t="str">
            <v>X1823_1</v>
          </cell>
          <cell r="H5107" t="str">
            <v>like</v>
          </cell>
          <cell r="I5107" t="str">
            <v>sim</v>
          </cell>
          <cell r="V5107" t="str">
            <v>not neg pair</v>
          </cell>
          <cell r="Y5107" t="str">
            <v>Pres</v>
          </cell>
          <cell r="Z5107">
            <v>3.36</v>
          </cell>
          <cell r="AA5107">
            <v>0</v>
          </cell>
          <cell r="AB5107">
            <v>0</v>
          </cell>
        </row>
        <row r="5108">
          <cell r="G5108" t="str">
            <v>X1824_0</v>
          </cell>
          <cell r="H5108" t="str">
            <v>like</v>
          </cell>
          <cell r="I5108" t="str">
            <v>sim</v>
          </cell>
          <cell r="V5108" t="str">
            <v>not neg pair</v>
          </cell>
          <cell r="Y5108" t="str">
            <v>Pres</v>
          </cell>
          <cell r="Z5108">
            <v>5</v>
          </cell>
          <cell r="AA5108" t="str">
            <v>H</v>
          </cell>
          <cell r="AB5108">
            <v>0</v>
          </cell>
        </row>
        <row r="5109">
          <cell r="G5109" t="str">
            <v>X1824_1</v>
          </cell>
          <cell r="H5109" t="str">
            <v>like</v>
          </cell>
          <cell r="I5109" t="str">
            <v>sim</v>
          </cell>
          <cell r="V5109" t="str">
            <v>not neg pair</v>
          </cell>
          <cell r="Y5109" t="str">
            <v>Pres</v>
          </cell>
          <cell r="Z5109">
            <v>5</v>
          </cell>
          <cell r="AA5109" t="str">
            <v>H</v>
          </cell>
          <cell r="AB5109">
            <v>0</v>
          </cell>
        </row>
        <row r="5110">
          <cell r="G5110" t="str">
            <v>X1825_0</v>
          </cell>
          <cell r="H5110" t="str">
            <v>like</v>
          </cell>
          <cell r="I5110" t="str">
            <v>sim</v>
          </cell>
          <cell r="V5110" t="str">
            <v>not neg pair</v>
          </cell>
          <cell r="Y5110" t="str">
            <v>Past</v>
          </cell>
          <cell r="Z5110">
            <v>4.8600000000000003</v>
          </cell>
          <cell r="AA5110">
            <v>0</v>
          </cell>
          <cell r="AB5110">
            <v>0</v>
          </cell>
        </row>
        <row r="5111">
          <cell r="G5111" t="str">
            <v>X1825_1</v>
          </cell>
          <cell r="H5111" t="str">
            <v>like</v>
          </cell>
          <cell r="I5111" t="str">
            <v>sim</v>
          </cell>
          <cell r="V5111" t="str">
            <v>not neg pair</v>
          </cell>
          <cell r="Y5111" t="str">
            <v>Past</v>
          </cell>
          <cell r="Z5111">
            <v>4.8600000000000003</v>
          </cell>
          <cell r="AA5111">
            <v>0</v>
          </cell>
          <cell r="AB5111">
            <v>0</v>
          </cell>
        </row>
        <row r="5112">
          <cell r="G5112" t="str">
            <v>X1826_0</v>
          </cell>
          <cell r="H5112" t="str">
            <v>like</v>
          </cell>
          <cell r="I5112" t="str">
            <v>sim</v>
          </cell>
          <cell r="V5112" t="str">
            <v>not neg pair</v>
          </cell>
          <cell r="Y5112" t="str">
            <v>Past</v>
          </cell>
          <cell r="Z5112">
            <v>3.75</v>
          </cell>
          <cell r="AA5112">
            <v>0</v>
          </cell>
          <cell r="AB5112">
            <v>0</v>
          </cell>
        </row>
        <row r="5113">
          <cell r="G5113" t="str">
            <v>X1826_1</v>
          </cell>
          <cell r="H5113" t="str">
            <v>like</v>
          </cell>
          <cell r="I5113" t="str">
            <v>sim</v>
          </cell>
          <cell r="V5113" t="str">
            <v>not neg pair</v>
          </cell>
          <cell r="Y5113" t="str">
            <v>Past</v>
          </cell>
          <cell r="Z5113">
            <v>3.75</v>
          </cell>
          <cell r="AA5113">
            <v>0</v>
          </cell>
          <cell r="AB5113">
            <v>0</v>
          </cell>
        </row>
        <row r="5114">
          <cell r="G5114" t="str">
            <v>X1827_0</v>
          </cell>
          <cell r="H5114" t="str">
            <v>like</v>
          </cell>
          <cell r="I5114" t="str">
            <v>sim</v>
          </cell>
          <cell r="V5114" t="str">
            <v>not neg pair</v>
          </cell>
          <cell r="Y5114" t="str">
            <v>Pres</v>
          </cell>
          <cell r="Z5114">
            <v>4.9000000000000004</v>
          </cell>
          <cell r="AA5114">
            <v>0</v>
          </cell>
          <cell r="AB5114">
            <v>0</v>
          </cell>
        </row>
        <row r="5115">
          <cell r="G5115" t="str">
            <v>X1827_1</v>
          </cell>
          <cell r="H5115" t="str">
            <v>like</v>
          </cell>
          <cell r="I5115" t="str">
            <v>sim</v>
          </cell>
          <cell r="V5115" t="str">
            <v>not neg pair</v>
          </cell>
          <cell r="Y5115" t="str">
            <v>Pres</v>
          </cell>
          <cell r="Z5115">
            <v>4.9000000000000004</v>
          </cell>
          <cell r="AA5115">
            <v>0</v>
          </cell>
          <cell r="AB5115">
            <v>0</v>
          </cell>
        </row>
        <row r="5116">
          <cell r="G5116" t="str">
            <v>X1828_0</v>
          </cell>
          <cell r="H5116" t="str">
            <v/>
          </cell>
          <cell r="I5116" t="str">
            <v>met</v>
          </cell>
          <cell r="V5116" t="str">
            <v>0</v>
          </cell>
          <cell r="Y5116" t="str">
            <v>Pres</v>
          </cell>
          <cell r="Z5116">
            <v>2.54</v>
          </cell>
          <cell r="AA5116" t="str">
            <v>L</v>
          </cell>
          <cell r="AB5116">
            <v>0</v>
          </cell>
        </row>
        <row r="5117">
          <cell r="G5117" t="str">
            <v>X1828_1</v>
          </cell>
          <cell r="H5117" t="str">
            <v/>
          </cell>
          <cell r="I5117" t="str">
            <v>met</v>
          </cell>
          <cell r="V5117" t="str">
            <v>0</v>
          </cell>
          <cell r="Y5117" t="str">
            <v>Pres</v>
          </cell>
          <cell r="Z5117">
            <v>0</v>
          </cell>
          <cell r="AA5117">
            <v>0</v>
          </cell>
          <cell r="AB5117">
            <v>0</v>
          </cell>
        </row>
        <row r="5118">
          <cell r="G5118" t="str">
            <v>X1829_0</v>
          </cell>
          <cell r="H5118" t="str">
            <v/>
          </cell>
          <cell r="I5118" t="str">
            <v>met</v>
          </cell>
          <cell r="V5118" t="str">
            <v>0</v>
          </cell>
          <cell r="Y5118">
            <v>0</v>
          </cell>
          <cell r="Z5118">
            <v>4.13</v>
          </cell>
          <cell r="AA5118">
            <v>0</v>
          </cell>
          <cell r="AB5118">
            <v>0</v>
          </cell>
        </row>
        <row r="5119">
          <cell r="G5119" t="str">
            <v>X1829_1</v>
          </cell>
          <cell r="H5119" t="str">
            <v/>
          </cell>
          <cell r="I5119" t="str">
            <v>met</v>
          </cell>
          <cell r="V5119" t="str">
            <v>0</v>
          </cell>
          <cell r="Y5119">
            <v>0</v>
          </cell>
          <cell r="Z5119">
            <v>4.13</v>
          </cell>
          <cell r="AA5119">
            <v>0</v>
          </cell>
          <cell r="AB5119">
            <v>0</v>
          </cell>
        </row>
        <row r="5120">
          <cell r="G5120" t="str">
            <v>X1830_0</v>
          </cell>
          <cell r="H5120" t="str">
            <v/>
          </cell>
          <cell r="I5120" t="str">
            <v>met</v>
          </cell>
          <cell r="V5120" t="str">
            <v>0</v>
          </cell>
          <cell r="Y5120">
            <v>0</v>
          </cell>
          <cell r="Z5120">
            <v>3.57</v>
          </cell>
          <cell r="AA5120">
            <v>0</v>
          </cell>
          <cell r="AB5120">
            <v>0</v>
          </cell>
        </row>
        <row r="5121">
          <cell r="G5121" t="str">
            <v>X1830_1</v>
          </cell>
          <cell r="H5121" t="str">
            <v/>
          </cell>
          <cell r="I5121" t="str">
            <v>met</v>
          </cell>
          <cell r="V5121" t="str">
            <v>0</v>
          </cell>
          <cell r="Y5121">
            <v>0</v>
          </cell>
          <cell r="Z5121">
            <v>3.57</v>
          </cell>
          <cell r="AA5121">
            <v>0</v>
          </cell>
          <cell r="AB5121">
            <v>0</v>
          </cell>
        </row>
        <row r="5122">
          <cell r="G5122" t="str">
            <v>X1831_0</v>
          </cell>
          <cell r="H5122" t="str">
            <v>like</v>
          </cell>
          <cell r="I5122" t="str">
            <v>sim</v>
          </cell>
          <cell r="V5122" t="str">
            <v>not neg pair</v>
          </cell>
          <cell r="Y5122" t="str">
            <v>Past</v>
          </cell>
          <cell r="Z5122">
            <v>3.86</v>
          </cell>
          <cell r="AA5122">
            <v>0</v>
          </cell>
          <cell r="AB5122">
            <v>0</v>
          </cell>
        </row>
        <row r="5123">
          <cell r="G5123" t="str">
            <v>X1831_1</v>
          </cell>
          <cell r="H5123" t="str">
            <v>like</v>
          </cell>
          <cell r="I5123" t="str">
            <v>sim</v>
          </cell>
          <cell r="V5123" t="str">
            <v>not neg pair</v>
          </cell>
          <cell r="Y5123" t="str">
            <v>Past</v>
          </cell>
          <cell r="Z5123">
            <v>3.86</v>
          </cell>
          <cell r="AA5123">
            <v>0</v>
          </cell>
          <cell r="AB5123">
            <v>0</v>
          </cell>
        </row>
        <row r="5124">
          <cell r="G5124" t="str">
            <v>X1832_0</v>
          </cell>
          <cell r="H5124" t="str">
            <v>as-as</v>
          </cell>
          <cell r="I5124" t="str">
            <v>sim</v>
          </cell>
          <cell r="V5124" t="str">
            <v>not</v>
          </cell>
          <cell r="Y5124" t="str">
            <v>Past</v>
          </cell>
          <cell r="Z5124">
            <v>4.79</v>
          </cell>
          <cell r="AA5124">
            <v>0</v>
          </cell>
          <cell r="AB5124">
            <v>0</v>
          </cell>
        </row>
        <row r="5125">
          <cell r="G5125" t="str">
            <v>X1832_1</v>
          </cell>
          <cell r="H5125" t="str">
            <v>as-as</v>
          </cell>
          <cell r="I5125" t="str">
            <v>sim</v>
          </cell>
          <cell r="V5125" t="str">
            <v>not</v>
          </cell>
          <cell r="Y5125" t="str">
            <v>Past</v>
          </cell>
          <cell r="Z5125">
            <v>4.79</v>
          </cell>
          <cell r="AA5125">
            <v>0</v>
          </cell>
          <cell r="AB5125">
            <v>0</v>
          </cell>
        </row>
        <row r="5126">
          <cell r="G5126" t="str">
            <v>X1833_0</v>
          </cell>
          <cell r="H5126" t="str">
            <v>as-as</v>
          </cell>
          <cell r="I5126" t="str">
            <v>sim</v>
          </cell>
          <cell r="V5126" t="str">
            <v>not</v>
          </cell>
          <cell r="Y5126" t="str">
            <v>Past</v>
          </cell>
          <cell r="Z5126">
            <v>5</v>
          </cell>
          <cell r="AA5126" t="str">
            <v>H</v>
          </cell>
          <cell r="AB5126">
            <v>0</v>
          </cell>
        </row>
        <row r="5127">
          <cell r="G5127" t="str">
            <v>X1833_1</v>
          </cell>
          <cell r="H5127" t="str">
            <v>as-as</v>
          </cell>
          <cell r="I5127" t="str">
            <v>sim</v>
          </cell>
          <cell r="V5127" t="str">
            <v>not</v>
          </cell>
          <cell r="Y5127" t="str">
            <v>Past</v>
          </cell>
          <cell r="Z5127">
            <v>5</v>
          </cell>
          <cell r="AA5127" t="str">
            <v>H</v>
          </cell>
          <cell r="AB5127">
            <v>0</v>
          </cell>
        </row>
        <row r="5128">
          <cell r="G5128" t="str">
            <v>X1834_0</v>
          </cell>
          <cell r="H5128" t="str">
            <v>as-as</v>
          </cell>
          <cell r="I5128" t="str">
            <v>sim</v>
          </cell>
          <cell r="V5128" t="str">
            <v>not neg pair</v>
          </cell>
          <cell r="Y5128" t="str">
            <v>Past</v>
          </cell>
          <cell r="Z5128">
            <v>3.36</v>
          </cell>
          <cell r="AA5128">
            <v>0</v>
          </cell>
          <cell r="AB5128">
            <v>0</v>
          </cell>
        </row>
        <row r="5129">
          <cell r="G5129" t="str">
            <v>X1834_1</v>
          </cell>
          <cell r="H5129" t="str">
            <v>as-as</v>
          </cell>
          <cell r="I5129" t="str">
            <v>sim</v>
          </cell>
          <cell r="V5129" t="str">
            <v>not neg pair</v>
          </cell>
          <cell r="Y5129" t="str">
            <v>Past</v>
          </cell>
          <cell r="Z5129">
            <v>3.36</v>
          </cell>
          <cell r="AA5129">
            <v>0</v>
          </cell>
          <cell r="AB5129">
            <v>0</v>
          </cell>
        </row>
        <row r="5130">
          <cell r="G5130" t="str">
            <v>X1835_0</v>
          </cell>
          <cell r="H5130" t="str">
            <v>as-as</v>
          </cell>
          <cell r="I5130" t="str">
            <v>sim</v>
          </cell>
          <cell r="V5130" t="str">
            <v>not neg pair</v>
          </cell>
          <cell r="Y5130" t="str">
            <v>Past</v>
          </cell>
          <cell r="Z5130">
            <v>2.81</v>
          </cell>
          <cell r="AA5130">
            <v>0</v>
          </cell>
          <cell r="AB5130">
            <v>0</v>
          </cell>
        </row>
        <row r="5131">
          <cell r="G5131" t="str">
            <v>X1835_1</v>
          </cell>
          <cell r="H5131" t="str">
            <v>as-as</v>
          </cell>
          <cell r="I5131" t="str">
            <v>sim</v>
          </cell>
          <cell r="V5131" t="str">
            <v>not neg pair</v>
          </cell>
          <cell r="Y5131" t="str">
            <v>Past</v>
          </cell>
          <cell r="Z5131">
            <v>2.81</v>
          </cell>
          <cell r="AA5131">
            <v>0</v>
          </cell>
          <cell r="AB5131">
            <v>0</v>
          </cell>
        </row>
        <row r="5132">
          <cell r="G5132" t="str">
            <v>X1836_0</v>
          </cell>
          <cell r="H5132" t="str">
            <v/>
          </cell>
          <cell r="I5132" t="str">
            <v>met</v>
          </cell>
          <cell r="V5132" t="str">
            <v>0</v>
          </cell>
          <cell r="Y5132" t="str">
            <v>Pres</v>
          </cell>
          <cell r="Z5132">
            <v>4.8499999999999996</v>
          </cell>
          <cell r="AA5132">
            <v>0</v>
          </cell>
          <cell r="AB5132">
            <v>0</v>
          </cell>
        </row>
        <row r="5133">
          <cell r="G5133" t="str">
            <v>X1836_1</v>
          </cell>
          <cell r="H5133" t="str">
            <v/>
          </cell>
          <cell r="I5133" t="str">
            <v>met</v>
          </cell>
          <cell r="V5133" t="str">
            <v>0</v>
          </cell>
          <cell r="Y5133" t="str">
            <v>Pres</v>
          </cell>
          <cell r="Z5133">
            <v>4.8499999999999996</v>
          </cell>
          <cell r="AA5133">
            <v>0</v>
          </cell>
          <cell r="AB5133">
            <v>0</v>
          </cell>
        </row>
        <row r="5134">
          <cell r="G5134" t="str">
            <v>X1837_0</v>
          </cell>
          <cell r="H5134" t="str">
            <v>the-of</v>
          </cell>
          <cell r="I5134" t="str">
            <v>sim</v>
          </cell>
          <cell r="V5134" t="str">
            <v>not neg pair</v>
          </cell>
          <cell r="Y5134" t="str">
            <v>Pres</v>
          </cell>
          <cell r="Z5134">
            <v>4.75</v>
          </cell>
          <cell r="AA5134">
            <v>0</v>
          </cell>
          <cell r="AB5134">
            <v>0</v>
          </cell>
        </row>
        <row r="5135">
          <cell r="G5135" t="str">
            <v>X1837_1</v>
          </cell>
          <cell r="H5135" t="str">
            <v>the-of</v>
          </cell>
          <cell r="I5135" t="str">
            <v>sim</v>
          </cell>
          <cell r="V5135" t="str">
            <v>not neg pair</v>
          </cell>
          <cell r="Y5135" t="str">
            <v>Pres</v>
          </cell>
          <cell r="Z5135">
            <v>4.75</v>
          </cell>
          <cell r="AA5135">
            <v>0</v>
          </cell>
          <cell r="AB5135">
            <v>0</v>
          </cell>
        </row>
        <row r="5136">
          <cell r="G5136" t="str">
            <v>X1838_0</v>
          </cell>
          <cell r="H5136" t="str">
            <v/>
          </cell>
          <cell r="I5136" t="str">
            <v>met</v>
          </cell>
          <cell r="V5136" t="str">
            <v>0</v>
          </cell>
          <cell r="Y5136" t="str">
            <v>Pres</v>
          </cell>
          <cell r="Z5136">
            <v>3.96</v>
          </cell>
          <cell r="AA5136">
            <v>0</v>
          </cell>
          <cell r="AB5136">
            <v>0</v>
          </cell>
        </row>
        <row r="5137">
          <cell r="G5137" t="str">
            <v>X1838_1</v>
          </cell>
          <cell r="H5137" t="str">
            <v/>
          </cell>
          <cell r="I5137" t="str">
            <v>met</v>
          </cell>
          <cell r="V5137" t="str">
            <v>0</v>
          </cell>
          <cell r="Y5137" t="str">
            <v>Pres</v>
          </cell>
          <cell r="Z5137">
            <v>3.96</v>
          </cell>
          <cell r="AA5137">
            <v>0</v>
          </cell>
          <cell r="AB5137">
            <v>0</v>
          </cell>
        </row>
        <row r="5138">
          <cell r="G5138" t="str">
            <v>X1839_0</v>
          </cell>
          <cell r="H5138" t="str">
            <v>the-of</v>
          </cell>
          <cell r="I5138" t="str">
            <v>sim</v>
          </cell>
          <cell r="V5138" t="str">
            <v>not neg pair</v>
          </cell>
          <cell r="Y5138" t="str">
            <v>Past</v>
          </cell>
          <cell r="Z5138">
            <v>4.63</v>
          </cell>
          <cell r="AA5138">
            <v>0</v>
          </cell>
          <cell r="AB5138">
            <v>0</v>
          </cell>
        </row>
        <row r="5139">
          <cell r="G5139" t="str">
            <v>X1839_1</v>
          </cell>
          <cell r="H5139" t="str">
            <v>the-of</v>
          </cell>
          <cell r="I5139" t="str">
            <v>sim</v>
          </cell>
          <cell r="V5139" t="str">
            <v>not neg pair</v>
          </cell>
          <cell r="Y5139" t="str">
            <v>Past</v>
          </cell>
          <cell r="Z5139">
            <v>3.83</v>
          </cell>
          <cell r="AA5139">
            <v>0</v>
          </cell>
          <cell r="AB5139">
            <v>0</v>
          </cell>
        </row>
        <row r="5140">
          <cell r="G5140" t="str">
            <v>X1840_0</v>
          </cell>
          <cell r="H5140" t="str">
            <v>as-as</v>
          </cell>
          <cell r="I5140" t="str">
            <v>sim</v>
          </cell>
          <cell r="V5140" t="str">
            <v>antonym</v>
          </cell>
          <cell r="Y5140" t="str">
            <v>Past</v>
          </cell>
          <cell r="Z5140">
            <v>4.8899999999999997</v>
          </cell>
          <cell r="AA5140">
            <v>0</v>
          </cell>
          <cell r="AB5140">
            <v>0</v>
          </cell>
        </row>
        <row r="5141">
          <cell r="G5141" t="str">
            <v>X1840_1</v>
          </cell>
          <cell r="H5141" t="str">
            <v>as-as</v>
          </cell>
          <cell r="I5141" t="str">
            <v>sim</v>
          </cell>
          <cell r="V5141" t="str">
            <v>antonym</v>
          </cell>
          <cell r="Y5141" t="str">
            <v>Past</v>
          </cell>
          <cell r="Z5141">
            <v>4.8899999999999997</v>
          </cell>
          <cell r="AA5141">
            <v>0</v>
          </cell>
          <cell r="AB5141">
            <v>0</v>
          </cell>
        </row>
        <row r="5142">
          <cell r="G5142" t="str">
            <v>X1841_0</v>
          </cell>
          <cell r="H5142" t="str">
            <v>like</v>
          </cell>
          <cell r="I5142" t="str">
            <v>sim</v>
          </cell>
          <cell r="V5142" t="str">
            <v>not neg pair</v>
          </cell>
          <cell r="Y5142" t="str">
            <v>Pres</v>
          </cell>
          <cell r="Z5142">
            <v>5</v>
          </cell>
          <cell r="AA5142" t="str">
            <v>H</v>
          </cell>
          <cell r="AB5142">
            <v>0</v>
          </cell>
        </row>
        <row r="5143">
          <cell r="G5143" t="str">
            <v>X1841_1</v>
          </cell>
          <cell r="H5143" t="str">
            <v>like</v>
          </cell>
          <cell r="I5143" t="str">
            <v>sim</v>
          </cell>
          <cell r="V5143" t="str">
            <v>not neg pair</v>
          </cell>
          <cell r="Y5143" t="str">
            <v>Pres</v>
          </cell>
          <cell r="Z5143">
            <v>5</v>
          </cell>
          <cell r="AA5143" t="str">
            <v>H</v>
          </cell>
          <cell r="AB5143">
            <v>0</v>
          </cell>
        </row>
        <row r="5144">
          <cell r="G5144" t="str">
            <v>X1842_0</v>
          </cell>
          <cell r="H5144" t="str">
            <v>as</v>
          </cell>
          <cell r="I5144" t="str">
            <v>sim</v>
          </cell>
          <cell r="V5144" t="str">
            <v>not</v>
          </cell>
          <cell r="Y5144" t="str">
            <v>Pres</v>
          </cell>
          <cell r="Z5144">
            <v>3.93</v>
          </cell>
          <cell r="AA5144">
            <v>0</v>
          </cell>
          <cell r="AB5144">
            <v>0</v>
          </cell>
        </row>
        <row r="5145">
          <cell r="G5145" t="str">
            <v>X1842_1</v>
          </cell>
          <cell r="H5145" t="str">
            <v>as</v>
          </cell>
          <cell r="I5145" t="str">
            <v>sim</v>
          </cell>
          <cell r="V5145" t="str">
            <v>not</v>
          </cell>
          <cell r="Y5145" t="str">
            <v>Pres</v>
          </cell>
          <cell r="Z5145">
            <v>3.93</v>
          </cell>
          <cell r="AA5145">
            <v>0</v>
          </cell>
          <cell r="AB5145">
            <v>0</v>
          </cell>
        </row>
        <row r="5146">
          <cell r="G5146" t="str">
            <v>X1843_0</v>
          </cell>
          <cell r="H5146" t="str">
            <v>like</v>
          </cell>
          <cell r="I5146" t="str">
            <v>sim</v>
          </cell>
          <cell r="V5146" t="str">
            <v>not neg pair</v>
          </cell>
          <cell r="Y5146" t="str">
            <v>Pres</v>
          </cell>
          <cell r="Z5146">
            <v>3.36</v>
          </cell>
          <cell r="AA5146">
            <v>0</v>
          </cell>
          <cell r="AB5146">
            <v>0</v>
          </cell>
        </row>
        <row r="5147">
          <cell r="G5147" t="str">
            <v>X1843_1</v>
          </cell>
          <cell r="H5147" t="str">
            <v>like</v>
          </cell>
          <cell r="I5147" t="str">
            <v>sim</v>
          </cell>
          <cell r="V5147" t="str">
            <v>not neg pair</v>
          </cell>
          <cell r="Y5147" t="str">
            <v>Pres</v>
          </cell>
          <cell r="Z5147">
            <v>3.36</v>
          </cell>
          <cell r="AA5147">
            <v>0</v>
          </cell>
          <cell r="AB5147">
            <v>0</v>
          </cell>
        </row>
        <row r="5148">
          <cell r="G5148" t="str">
            <v>X1844_0</v>
          </cell>
          <cell r="H5148" t="str">
            <v>as-as</v>
          </cell>
          <cell r="I5148" t="str">
            <v>sim</v>
          </cell>
          <cell r="V5148" t="str">
            <v>not neg pair</v>
          </cell>
          <cell r="Y5148" t="str">
            <v>Past</v>
          </cell>
          <cell r="Z5148">
            <v>3.89</v>
          </cell>
          <cell r="AA5148">
            <v>0</v>
          </cell>
          <cell r="AB5148">
            <v>0</v>
          </cell>
        </row>
        <row r="5149">
          <cell r="G5149" t="str">
            <v>X1844_1</v>
          </cell>
          <cell r="H5149" t="str">
            <v>as-as</v>
          </cell>
          <cell r="I5149" t="str">
            <v>sim</v>
          </cell>
          <cell r="V5149" t="str">
            <v>not neg pair</v>
          </cell>
          <cell r="Y5149" t="str">
            <v>Past</v>
          </cell>
          <cell r="Z5149">
            <v>3.89</v>
          </cell>
          <cell r="AA5149">
            <v>0</v>
          </cell>
          <cell r="AB5149">
            <v>0</v>
          </cell>
        </row>
        <row r="5150">
          <cell r="G5150" t="str">
            <v>X1845_0</v>
          </cell>
          <cell r="H5150" t="str">
            <v>like</v>
          </cell>
          <cell r="I5150" t="str">
            <v>sim</v>
          </cell>
          <cell r="V5150" t="str">
            <v>not neg pair</v>
          </cell>
          <cell r="Y5150" t="str">
            <v>Pres</v>
          </cell>
          <cell r="Z5150">
            <v>3.36</v>
          </cell>
          <cell r="AA5150">
            <v>0</v>
          </cell>
          <cell r="AB5150">
            <v>0</v>
          </cell>
        </row>
        <row r="5151">
          <cell r="G5151" t="str">
            <v>X1845_1</v>
          </cell>
          <cell r="H5151" t="str">
            <v>like</v>
          </cell>
          <cell r="I5151" t="str">
            <v>sim</v>
          </cell>
          <cell r="V5151" t="str">
            <v>not neg pair</v>
          </cell>
          <cell r="Y5151" t="str">
            <v>Pres</v>
          </cell>
          <cell r="Z5151">
            <v>3.36</v>
          </cell>
          <cell r="AA5151">
            <v>0</v>
          </cell>
          <cell r="AB5151">
            <v>0</v>
          </cell>
        </row>
        <row r="5152">
          <cell r="G5152" t="str">
            <v>X1846_0</v>
          </cell>
          <cell r="H5152" t="str">
            <v>like</v>
          </cell>
          <cell r="I5152" t="str">
            <v>sim</v>
          </cell>
          <cell r="V5152" t="str">
            <v>not neg pair</v>
          </cell>
          <cell r="Y5152" t="str">
            <v>Pres</v>
          </cell>
          <cell r="Z5152">
            <v>3.37</v>
          </cell>
          <cell r="AA5152">
            <v>0</v>
          </cell>
          <cell r="AB5152">
            <v>0</v>
          </cell>
        </row>
        <row r="5153">
          <cell r="G5153" t="str">
            <v>X1846_1</v>
          </cell>
          <cell r="H5153" t="str">
            <v>like</v>
          </cell>
          <cell r="I5153" t="str">
            <v>sim</v>
          </cell>
          <cell r="V5153" t="str">
            <v>not neg pair</v>
          </cell>
          <cell r="Y5153" t="str">
            <v>Pres</v>
          </cell>
          <cell r="Z5153">
            <v>3.37</v>
          </cell>
          <cell r="AA5153">
            <v>0</v>
          </cell>
          <cell r="AB5153">
            <v>0</v>
          </cell>
        </row>
        <row r="5154">
          <cell r="G5154" t="str">
            <v>X1847_0</v>
          </cell>
          <cell r="H5154" t="str">
            <v/>
          </cell>
          <cell r="I5154" t="str">
            <v>met</v>
          </cell>
          <cell r="V5154" t="str">
            <v>0</v>
          </cell>
          <cell r="Y5154" t="str">
            <v>Pres</v>
          </cell>
          <cell r="Z5154">
            <v>3.36</v>
          </cell>
          <cell r="AA5154">
            <v>0</v>
          </cell>
          <cell r="AB5154">
            <v>0</v>
          </cell>
        </row>
        <row r="5155">
          <cell r="G5155" t="str">
            <v>X1847_1</v>
          </cell>
          <cell r="H5155" t="str">
            <v/>
          </cell>
          <cell r="I5155" t="str">
            <v>met</v>
          </cell>
          <cell r="V5155" t="str">
            <v>0</v>
          </cell>
          <cell r="Y5155" t="str">
            <v>Pres</v>
          </cell>
          <cell r="Z5155">
            <v>3.36</v>
          </cell>
          <cell r="AA5155">
            <v>0</v>
          </cell>
          <cell r="AB5155">
            <v>0</v>
          </cell>
        </row>
        <row r="5156">
          <cell r="G5156" t="str">
            <v>X1848_0</v>
          </cell>
          <cell r="H5156" t="str">
            <v>the-of</v>
          </cell>
          <cell r="I5156" t="str">
            <v>sim</v>
          </cell>
          <cell r="V5156" t="str">
            <v>not neg pair</v>
          </cell>
          <cell r="Y5156" t="str">
            <v>Pres</v>
          </cell>
          <cell r="Z5156">
            <v>3.93</v>
          </cell>
          <cell r="AA5156">
            <v>0</v>
          </cell>
          <cell r="AB5156">
            <v>0</v>
          </cell>
        </row>
        <row r="5157">
          <cell r="G5157" t="str">
            <v>X1848_1</v>
          </cell>
          <cell r="H5157" t="str">
            <v>the-of</v>
          </cell>
          <cell r="I5157" t="str">
            <v>sim</v>
          </cell>
          <cell r="V5157" t="str">
            <v>not neg pair</v>
          </cell>
          <cell r="Y5157" t="str">
            <v>Pres</v>
          </cell>
          <cell r="Z5157">
            <v>3.93</v>
          </cell>
          <cell r="AA5157">
            <v>0</v>
          </cell>
          <cell r="AB5157">
            <v>0</v>
          </cell>
        </row>
        <row r="5158">
          <cell r="G5158" t="str">
            <v>X1849_0</v>
          </cell>
          <cell r="H5158" t="str">
            <v>as-as</v>
          </cell>
          <cell r="I5158" t="str">
            <v>sim</v>
          </cell>
          <cell r="V5158" t="str">
            <v>antonym</v>
          </cell>
          <cell r="Y5158" t="str">
            <v>Pres</v>
          </cell>
          <cell r="Z5158">
            <v>1.92</v>
          </cell>
          <cell r="AA5158" t="str">
            <v>L</v>
          </cell>
          <cell r="AB5158">
            <v>0</v>
          </cell>
        </row>
        <row r="5159">
          <cell r="G5159" t="str">
            <v>X1849_1</v>
          </cell>
          <cell r="H5159" t="str">
            <v>as-as</v>
          </cell>
          <cell r="I5159" t="str">
            <v>sim</v>
          </cell>
          <cell r="V5159" t="str">
            <v>antonym</v>
          </cell>
          <cell r="Y5159" t="str">
            <v>Pres</v>
          </cell>
          <cell r="Z5159">
            <v>1.92</v>
          </cell>
          <cell r="AA5159" t="str">
            <v>L</v>
          </cell>
          <cell r="AB5159">
            <v>0</v>
          </cell>
        </row>
        <row r="5160">
          <cell r="G5160" t="str">
            <v>X1850_0</v>
          </cell>
          <cell r="H5160" t="str">
            <v>as-as</v>
          </cell>
          <cell r="I5160" t="str">
            <v>sim</v>
          </cell>
          <cell r="V5160" t="str">
            <v>antonym</v>
          </cell>
          <cell r="Y5160" t="str">
            <v>Pres</v>
          </cell>
          <cell r="Z5160">
            <v>4.8499999999999996</v>
          </cell>
          <cell r="AA5160">
            <v>0</v>
          </cell>
          <cell r="AB5160">
            <v>0</v>
          </cell>
        </row>
        <row r="5161">
          <cell r="G5161" t="str">
            <v>X1850_1</v>
          </cell>
          <cell r="H5161" t="str">
            <v>as-as</v>
          </cell>
          <cell r="I5161" t="str">
            <v>sim</v>
          </cell>
          <cell r="V5161" t="str">
            <v>antonym</v>
          </cell>
          <cell r="Y5161" t="str">
            <v>Pres</v>
          </cell>
          <cell r="Z5161">
            <v>4.8499999999999996</v>
          </cell>
          <cell r="AA5161">
            <v>0</v>
          </cell>
          <cell r="AB5161">
            <v>0</v>
          </cell>
        </row>
        <row r="5162">
          <cell r="G5162" t="str">
            <v>X1851_0</v>
          </cell>
          <cell r="H5162" t="str">
            <v>as-as</v>
          </cell>
          <cell r="I5162" t="str">
            <v>sim</v>
          </cell>
          <cell r="V5162" t="str">
            <v>antonym</v>
          </cell>
          <cell r="Y5162" t="str">
            <v>Past</v>
          </cell>
          <cell r="Z5162">
            <v>4.83</v>
          </cell>
          <cell r="AA5162">
            <v>0</v>
          </cell>
          <cell r="AB5162">
            <v>0</v>
          </cell>
        </row>
        <row r="5163">
          <cell r="G5163" t="str">
            <v>X1851_1</v>
          </cell>
          <cell r="H5163" t="str">
            <v>as-as</v>
          </cell>
          <cell r="I5163" t="str">
            <v>sim</v>
          </cell>
          <cell r="V5163" t="str">
            <v>antonym</v>
          </cell>
          <cell r="Y5163" t="str">
            <v>Past</v>
          </cell>
          <cell r="Z5163">
            <v>4.83</v>
          </cell>
          <cell r="AA5163">
            <v>0</v>
          </cell>
          <cell r="AB5163">
            <v>0</v>
          </cell>
        </row>
        <row r="5164">
          <cell r="G5164" t="str">
            <v>X1852_0</v>
          </cell>
          <cell r="H5164" t="str">
            <v>the-of</v>
          </cell>
          <cell r="I5164" t="str">
            <v>sim</v>
          </cell>
          <cell r="V5164" t="str">
            <v>not neg pair</v>
          </cell>
          <cell r="Y5164" t="str">
            <v>Past</v>
          </cell>
          <cell r="Z5164">
            <v>4.96</v>
          </cell>
          <cell r="AA5164" t="str">
            <v>H</v>
          </cell>
          <cell r="AB5164">
            <v>0</v>
          </cell>
        </row>
        <row r="5165">
          <cell r="G5165" t="str">
            <v>X1852_1</v>
          </cell>
          <cell r="H5165" t="str">
            <v>the-of</v>
          </cell>
          <cell r="I5165" t="str">
            <v>sim</v>
          </cell>
          <cell r="V5165" t="str">
            <v>not neg pair</v>
          </cell>
          <cell r="Y5165" t="str">
            <v>Past</v>
          </cell>
          <cell r="Z5165">
            <v>4.96</v>
          </cell>
          <cell r="AA5165" t="str">
            <v>H</v>
          </cell>
          <cell r="AB5165">
            <v>0</v>
          </cell>
        </row>
        <row r="5166">
          <cell r="G5166" t="str">
            <v>X1853_0</v>
          </cell>
          <cell r="H5166" t="str">
            <v>as-as</v>
          </cell>
          <cell r="I5166" t="str">
            <v>sim</v>
          </cell>
          <cell r="V5166" t="str">
            <v>not</v>
          </cell>
          <cell r="Y5166" t="str">
            <v>Past</v>
          </cell>
          <cell r="Z5166">
            <v>4.79</v>
          </cell>
          <cell r="AA5166">
            <v>0</v>
          </cell>
          <cell r="AB5166">
            <v>0</v>
          </cell>
        </row>
        <row r="5167">
          <cell r="G5167" t="str">
            <v>X1853_1</v>
          </cell>
          <cell r="H5167" t="str">
            <v>as-as</v>
          </cell>
          <cell r="I5167" t="str">
            <v>sim</v>
          </cell>
          <cell r="V5167" t="str">
            <v>not</v>
          </cell>
          <cell r="Y5167" t="str">
            <v>Past</v>
          </cell>
          <cell r="Z5167">
            <v>4.79</v>
          </cell>
          <cell r="AA5167">
            <v>0</v>
          </cell>
          <cell r="AB5167">
            <v>0</v>
          </cell>
        </row>
        <row r="5168">
          <cell r="G5168" t="str">
            <v>X1854_0</v>
          </cell>
          <cell r="H5168" t="str">
            <v>as-as</v>
          </cell>
          <cell r="I5168" t="str">
            <v>sim</v>
          </cell>
          <cell r="V5168" t="str">
            <v>not</v>
          </cell>
          <cell r="Y5168" t="str">
            <v>Pres</v>
          </cell>
          <cell r="Z5168">
            <v>3.93</v>
          </cell>
          <cell r="AA5168">
            <v>0</v>
          </cell>
          <cell r="AB5168">
            <v>0</v>
          </cell>
        </row>
        <row r="5169">
          <cell r="G5169" t="str">
            <v>X1854_1</v>
          </cell>
          <cell r="H5169" t="str">
            <v>as-as</v>
          </cell>
          <cell r="I5169" t="str">
            <v>sim</v>
          </cell>
          <cell r="V5169" t="str">
            <v>not</v>
          </cell>
          <cell r="Y5169" t="str">
            <v>Pres</v>
          </cell>
          <cell r="Z5169">
            <v>3.93</v>
          </cell>
          <cell r="AA5169">
            <v>0</v>
          </cell>
          <cell r="AB5169">
            <v>0</v>
          </cell>
        </row>
        <row r="5170">
          <cell r="G5170" t="str">
            <v>X1855_0</v>
          </cell>
          <cell r="H5170" t="str">
            <v>as-as</v>
          </cell>
          <cell r="I5170" t="str">
            <v>sim</v>
          </cell>
          <cell r="V5170" t="str">
            <v>antonym</v>
          </cell>
          <cell r="Y5170" t="str">
            <v>Pres</v>
          </cell>
          <cell r="Z5170">
            <v>4.87</v>
          </cell>
          <cell r="AA5170">
            <v>0</v>
          </cell>
          <cell r="AB5170">
            <v>0</v>
          </cell>
        </row>
        <row r="5171">
          <cell r="G5171" t="str">
            <v>X1855_1</v>
          </cell>
          <cell r="H5171" t="str">
            <v>as-as</v>
          </cell>
          <cell r="I5171" t="str">
            <v>sim</v>
          </cell>
          <cell r="V5171" t="str">
            <v>antonym</v>
          </cell>
          <cell r="Y5171" t="str">
            <v>Pres</v>
          </cell>
          <cell r="Z5171">
            <v>4.87</v>
          </cell>
          <cell r="AA5171">
            <v>0</v>
          </cell>
          <cell r="AB5171">
            <v>0</v>
          </cell>
        </row>
        <row r="5172">
          <cell r="G5172" t="str">
            <v>X1856_0</v>
          </cell>
          <cell r="H5172" t="str">
            <v>as-as</v>
          </cell>
          <cell r="I5172" t="str">
            <v>sim</v>
          </cell>
          <cell r="V5172" t="str">
            <v>not</v>
          </cell>
          <cell r="Y5172" t="str">
            <v>Past</v>
          </cell>
          <cell r="Z5172">
            <v>3.89</v>
          </cell>
          <cell r="AA5172">
            <v>0</v>
          </cell>
          <cell r="AB5172">
            <v>0</v>
          </cell>
        </row>
        <row r="5173">
          <cell r="G5173" t="str">
            <v>X1856_1</v>
          </cell>
          <cell r="H5173" t="str">
            <v>as-as</v>
          </cell>
          <cell r="I5173" t="str">
            <v>sim</v>
          </cell>
          <cell r="V5173" t="str">
            <v>not</v>
          </cell>
          <cell r="Y5173" t="str">
            <v>Past</v>
          </cell>
          <cell r="Z5173">
            <v>3.89</v>
          </cell>
          <cell r="AA5173">
            <v>0</v>
          </cell>
          <cell r="AB5173">
            <v>0</v>
          </cell>
        </row>
        <row r="5174">
          <cell r="G5174" t="str">
            <v>X1857_0</v>
          </cell>
          <cell r="H5174" t="str">
            <v/>
          </cell>
          <cell r="I5174" t="str">
            <v>met</v>
          </cell>
          <cell r="V5174" t="str">
            <v>0</v>
          </cell>
          <cell r="Y5174" t="str">
            <v>Past</v>
          </cell>
          <cell r="Z5174">
            <v>4.96</v>
          </cell>
          <cell r="AA5174" t="str">
            <v>H</v>
          </cell>
          <cell r="AB5174">
            <v>0</v>
          </cell>
        </row>
        <row r="5175">
          <cell r="G5175" t="str">
            <v>X1857_1</v>
          </cell>
          <cell r="H5175" t="str">
            <v/>
          </cell>
          <cell r="I5175" t="str">
            <v>met</v>
          </cell>
          <cell r="V5175" t="str">
            <v>0</v>
          </cell>
          <cell r="Y5175" t="str">
            <v>Past</v>
          </cell>
          <cell r="Z5175">
            <v>4.96</v>
          </cell>
          <cell r="AA5175" t="str">
            <v>H</v>
          </cell>
          <cell r="AB5175">
            <v>0</v>
          </cell>
        </row>
        <row r="5176">
          <cell r="G5176" t="str">
            <v>X1858_0</v>
          </cell>
          <cell r="H5176" t="str">
            <v/>
          </cell>
          <cell r="I5176" t="str">
            <v>met</v>
          </cell>
          <cell r="V5176" t="str">
            <v>0</v>
          </cell>
          <cell r="Y5176" t="str">
            <v>Past</v>
          </cell>
          <cell r="Z5176">
            <v>4.96</v>
          </cell>
          <cell r="AA5176" t="str">
            <v>H</v>
          </cell>
          <cell r="AB5176">
            <v>0</v>
          </cell>
        </row>
        <row r="5177">
          <cell r="G5177" t="str">
            <v>X1858_1</v>
          </cell>
          <cell r="H5177" t="str">
            <v/>
          </cell>
          <cell r="I5177" t="str">
            <v>met</v>
          </cell>
          <cell r="V5177" t="str">
            <v>0</v>
          </cell>
          <cell r="Y5177" t="str">
            <v>Past</v>
          </cell>
          <cell r="Z5177">
            <v>4.96</v>
          </cell>
          <cell r="AA5177" t="str">
            <v>H</v>
          </cell>
          <cell r="AB5177">
            <v>0</v>
          </cell>
        </row>
        <row r="5178">
          <cell r="G5178" t="str">
            <v>X1859_0</v>
          </cell>
          <cell r="H5178" t="str">
            <v/>
          </cell>
          <cell r="I5178" t="str">
            <v>met</v>
          </cell>
          <cell r="V5178" t="str">
            <v>0</v>
          </cell>
          <cell r="Y5178" t="str">
            <v>Past</v>
          </cell>
          <cell r="Z5178">
            <v>4.07</v>
          </cell>
          <cell r="AA5178">
            <v>0</v>
          </cell>
          <cell r="AB5178">
            <v>0</v>
          </cell>
        </row>
        <row r="5179">
          <cell r="G5179" t="str">
            <v>X1859_1</v>
          </cell>
          <cell r="H5179" t="str">
            <v/>
          </cell>
          <cell r="I5179" t="str">
            <v>met</v>
          </cell>
          <cell r="V5179" t="str">
            <v>0</v>
          </cell>
          <cell r="Y5179" t="str">
            <v>Past</v>
          </cell>
          <cell r="Z5179">
            <v>4.07</v>
          </cell>
          <cell r="AA5179">
            <v>0</v>
          </cell>
          <cell r="AB5179">
            <v>0</v>
          </cell>
        </row>
        <row r="5180">
          <cell r="G5180" t="str">
            <v>X1860_0</v>
          </cell>
          <cell r="H5180" t="str">
            <v/>
          </cell>
          <cell r="I5180" t="str">
            <v>met</v>
          </cell>
          <cell r="V5180" t="str">
            <v>0</v>
          </cell>
          <cell r="Y5180" t="str">
            <v>Pres</v>
          </cell>
          <cell r="Z5180">
            <v>4.17</v>
          </cell>
          <cell r="AA5180">
            <v>0</v>
          </cell>
          <cell r="AB5180">
            <v>0</v>
          </cell>
        </row>
        <row r="5181">
          <cell r="G5181" t="str">
            <v>X1860_1</v>
          </cell>
          <cell r="H5181" t="str">
            <v/>
          </cell>
          <cell r="I5181" t="str">
            <v>met</v>
          </cell>
          <cell r="V5181" t="str">
            <v>0</v>
          </cell>
          <cell r="Y5181" t="str">
            <v>Pres</v>
          </cell>
          <cell r="Z5181">
            <v>4.17</v>
          </cell>
          <cell r="AA5181">
            <v>0</v>
          </cell>
          <cell r="AB5181">
            <v>0</v>
          </cell>
        </row>
        <row r="5182">
          <cell r="G5182" t="str">
            <v>X1861_0</v>
          </cell>
          <cell r="H5182" t="str">
            <v/>
          </cell>
          <cell r="I5182" t="str">
            <v>met</v>
          </cell>
          <cell r="V5182" t="str">
            <v>0</v>
          </cell>
          <cell r="Y5182" t="str">
            <v>Pres</v>
          </cell>
          <cell r="Z5182">
            <v>1.71</v>
          </cell>
          <cell r="AA5182" t="str">
            <v>L</v>
          </cell>
          <cell r="AB5182">
            <v>0</v>
          </cell>
        </row>
        <row r="5183">
          <cell r="G5183" t="str">
            <v>X1861_1</v>
          </cell>
          <cell r="H5183" t="str">
            <v/>
          </cell>
          <cell r="I5183" t="str">
            <v>met</v>
          </cell>
          <cell r="V5183" t="str">
            <v>0</v>
          </cell>
          <cell r="Y5183" t="str">
            <v>Pres</v>
          </cell>
          <cell r="Z5183">
            <v>1.71</v>
          </cell>
          <cell r="AA5183" t="str">
            <v>L</v>
          </cell>
          <cell r="AB5183">
            <v>0</v>
          </cell>
        </row>
        <row r="5184">
          <cell r="G5184" t="str">
            <v>X1862_0</v>
          </cell>
          <cell r="H5184" t="str">
            <v/>
          </cell>
          <cell r="I5184" t="str">
            <v>met</v>
          </cell>
          <cell r="V5184" t="str">
            <v>0</v>
          </cell>
          <cell r="Y5184" t="str">
            <v>Past</v>
          </cell>
          <cell r="Z5184">
            <v>3.36</v>
          </cell>
          <cell r="AA5184">
            <v>0</v>
          </cell>
          <cell r="AB5184">
            <v>0</v>
          </cell>
        </row>
        <row r="5185">
          <cell r="G5185" t="str">
            <v>X1862_1</v>
          </cell>
          <cell r="H5185" t="str">
            <v/>
          </cell>
          <cell r="I5185" t="str">
            <v>met</v>
          </cell>
          <cell r="V5185" t="str">
            <v>0</v>
          </cell>
          <cell r="Y5185" t="str">
            <v>Past</v>
          </cell>
          <cell r="Z5185">
            <v>3.36</v>
          </cell>
          <cell r="AA5185">
            <v>0</v>
          </cell>
          <cell r="AB5185">
            <v>0</v>
          </cell>
        </row>
        <row r="5186">
          <cell r="G5186" t="str">
            <v>X1863_0</v>
          </cell>
          <cell r="H5186" t="str">
            <v>the-of</v>
          </cell>
          <cell r="I5186" t="str">
            <v>sim</v>
          </cell>
          <cell r="V5186" t="str">
            <v>not neg pair</v>
          </cell>
          <cell r="Y5186" t="str">
            <v>Pres</v>
          </cell>
          <cell r="Z5186">
            <v>4.6900000000000004</v>
          </cell>
          <cell r="AA5186">
            <v>0</v>
          </cell>
          <cell r="AB5186">
            <v>0</v>
          </cell>
        </row>
        <row r="5187">
          <cell r="G5187" t="str">
            <v>X1863_1</v>
          </cell>
          <cell r="H5187" t="str">
            <v>the-of</v>
          </cell>
          <cell r="I5187" t="str">
            <v>sim</v>
          </cell>
          <cell r="V5187" t="str">
            <v>not neg pair</v>
          </cell>
          <cell r="Y5187" t="str">
            <v>Pres</v>
          </cell>
          <cell r="Z5187">
            <v>4.6900000000000004</v>
          </cell>
          <cell r="AA5187">
            <v>0</v>
          </cell>
          <cell r="AB5187">
            <v>0</v>
          </cell>
        </row>
        <row r="5188">
          <cell r="G5188" t="str">
            <v>X1864_0</v>
          </cell>
          <cell r="H5188" t="str">
            <v>the-of</v>
          </cell>
          <cell r="I5188" t="str">
            <v>sim</v>
          </cell>
          <cell r="V5188" t="str">
            <v>not neg pair</v>
          </cell>
          <cell r="Y5188" t="str">
            <v>Pres</v>
          </cell>
          <cell r="Z5188">
            <v>4.46</v>
          </cell>
          <cell r="AA5188">
            <v>0</v>
          </cell>
          <cell r="AB5188">
            <v>0</v>
          </cell>
        </row>
        <row r="5189">
          <cell r="G5189" t="str">
            <v>X1864_1</v>
          </cell>
          <cell r="H5189" t="str">
            <v>the-of</v>
          </cell>
          <cell r="I5189" t="str">
            <v>sim</v>
          </cell>
          <cell r="V5189" t="str">
            <v>not neg pair</v>
          </cell>
          <cell r="Y5189" t="str">
            <v>Pres</v>
          </cell>
          <cell r="Z5189">
            <v>4.46</v>
          </cell>
          <cell r="AA5189">
            <v>0</v>
          </cell>
          <cell r="AB5189">
            <v>0</v>
          </cell>
        </row>
        <row r="5190">
          <cell r="G5190" t="str">
            <v>X1865_0</v>
          </cell>
          <cell r="H5190" t="str">
            <v>as-as</v>
          </cell>
          <cell r="I5190" t="str">
            <v>sim</v>
          </cell>
          <cell r="V5190" t="str">
            <v>antonym</v>
          </cell>
          <cell r="Y5190" t="str">
            <v>Past</v>
          </cell>
          <cell r="Z5190">
            <v>4.76</v>
          </cell>
          <cell r="AA5190">
            <v>0</v>
          </cell>
          <cell r="AB5190">
            <v>0</v>
          </cell>
        </row>
        <row r="5191">
          <cell r="G5191" t="str">
            <v>X1865_1</v>
          </cell>
          <cell r="H5191" t="str">
            <v>as-as</v>
          </cell>
          <cell r="I5191" t="str">
            <v>sim</v>
          </cell>
          <cell r="V5191" t="str">
            <v>antonym</v>
          </cell>
          <cell r="Y5191" t="str">
            <v>Past</v>
          </cell>
          <cell r="Z5191">
            <v>4.76</v>
          </cell>
          <cell r="AA5191">
            <v>0</v>
          </cell>
          <cell r="AB5191">
            <v>0</v>
          </cell>
        </row>
        <row r="5192">
          <cell r="G5192" t="str">
            <v>X1866_0</v>
          </cell>
          <cell r="H5192" t="str">
            <v/>
          </cell>
          <cell r="I5192" t="str">
            <v>met</v>
          </cell>
          <cell r="V5192" t="str">
            <v>0</v>
          </cell>
          <cell r="Y5192" t="str">
            <v>Pres</v>
          </cell>
          <cell r="Z5192">
            <v>4.6900000000000004</v>
          </cell>
          <cell r="AA5192">
            <v>0</v>
          </cell>
          <cell r="AB5192">
            <v>0</v>
          </cell>
        </row>
        <row r="5193">
          <cell r="G5193" t="str">
            <v>X1866_1</v>
          </cell>
          <cell r="H5193" t="str">
            <v/>
          </cell>
          <cell r="I5193" t="str">
            <v>met</v>
          </cell>
          <cell r="V5193" t="str">
            <v>0</v>
          </cell>
          <cell r="Y5193" t="str">
            <v>Pres</v>
          </cell>
          <cell r="Z5193">
            <v>4.6900000000000004</v>
          </cell>
          <cell r="AA5193">
            <v>0</v>
          </cell>
          <cell r="AB5193">
            <v>0</v>
          </cell>
        </row>
        <row r="5194">
          <cell r="G5194" t="str">
            <v>X1867_0</v>
          </cell>
          <cell r="H5194" t="str">
            <v/>
          </cell>
          <cell r="I5194" t="str">
            <v>met</v>
          </cell>
          <cell r="V5194" t="str">
            <v>0</v>
          </cell>
          <cell r="Y5194" t="str">
            <v>Past</v>
          </cell>
          <cell r="Z5194">
            <v>4.79</v>
          </cell>
          <cell r="AA5194">
            <v>0</v>
          </cell>
          <cell r="AB5194">
            <v>0</v>
          </cell>
        </row>
        <row r="5195">
          <cell r="G5195" t="str">
            <v>X1867_1</v>
          </cell>
          <cell r="H5195" t="str">
            <v/>
          </cell>
          <cell r="I5195" t="str">
            <v>met</v>
          </cell>
          <cell r="V5195" t="str">
            <v>0</v>
          </cell>
          <cell r="Y5195" t="str">
            <v>Past</v>
          </cell>
          <cell r="Z5195">
            <v>4.79</v>
          </cell>
          <cell r="AA5195">
            <v>0</v>
          </cell>
          <cell r="AB5195">
            <v>0</v>
          </cell>
        </row>
        <row r="5196">
          <cell r="G5196" t="str">
            <v>X1868_0</v>
          </cell>
          <cell r="H5196" t="str">
            <v/>
          </cell>
          <cell r="I5196" t="str">
            <v>met</v>
          </cell>
          <cell r="V5196" t="str">
            <v>0</v>
          </cell>
          <cell r="Y5196" t="str">
            <v>Past</v>
          </cell>
          <cell r="Z5196">
            <v>4.92</v>
          </cell>
          <cell r="AA5196" t="str">
            <v>H</v>
          </cell>
          <cell r="AB5196">
            <v>0</v>
          </cell>
        </row>
        <row r="5197">
          <cell r="G5197" t="str">
            <v>X1868_1</v>
          </cell>
          <cell r="H5197" t="str">
            <v/>
          </cell>
          <cell r="I5197" t="str">
            <v>met</v>
          </cell>
          <cell r="V5197" t="str">
            <v>0</v>
          </cell>
          <cell r="Y5197" t="str">
            <v>Past</v>
          </cell>
          <cell r="Z5197">
            <v>4.92</v>
          </cell>
          <cell r="AA5197" t="str">
            <v>H</v>
          </cell>
          <cell r="AB5197">
            <v>0</v>
          </cell>
        </row>
        <row r="5198">
          <cell r="G5198" t="str">
            <v>X1869_0</v>
          </cell>
          <cell r="H5198" t="str">
            <v>the-of</v>
          </cell>
          <cell r="I5198" t="str">
            <v>sim</v>
          </cell>
          <cell r="V5198" t="str">
            <v>not neg pair</v>
          </cell>
          <cell r="Y5198" t="str">
            <v>Pres</v>
          </cell>
          <cell r="Z5198">
            <v>4.24</v>
          </cell>
          <cell r="AA5198">
            <v>0</v>
          </cell>
          <cell r="AB5198">
            <v>0</v>
          </cell>
        </row>
        <row r="5199">
          <cell r="G5199" t="str">
            <v>X1869_1</v>
          </cell>
          <cell r="H5199" t="str">
            <v>the-of</v>
          </cell>
          <cell r="I5199" t="str">
            <v>sim</v>
          </cell>
          <cell r="V5199" t="str">
            <v>not neg pair</v>
          </cell>
          <cell r="Y5199" t="str">
            <v>Pres</v>
          </cell>
          <cell r="Z5199">
            <v>4.24</v>
          </cell>
          <cell r="AA5199">
            <v>0</v>
          </cell>
          <cell r="AB5199">
            <v>0</v>
          </cell>
        </row>
        <row r="5200">
          <cell r="G5200" t="str">
            <v>X1870_0</v>
          </cell>
          <cell r="H5200" t="str">
            <v>as-as</v>
          </cell>
          <cell r="I5200" t="str">
            <v>sim</v>
          </cell>
          <cell r="V5200" t="str">
            <v>not neg pair</v>
          </cell>
          <cell r="Y5200" t="str">
            <v>Pres</v>
          </cell>
          <cell r="Z5200">
            <v>4.8499999999999996</v>
          </cell>
          <cell r="AA5200">
            <v>0</v>
          </cell>
          <cell r="AB5200">
            <v>0</v>
          </cell>
        </row>
        <row r="5201">
          <cell r="G5201" t="str">
            <v>X1870_1</v>
          </cell>
          <cell r="H5201" t="str">
            <v>as-as</v>
          </cell>
          <cell r="I5201" t="str">
            <v>sim</v>
          </cell>
          <cell r="V5201" t="str">
            <v>not neg pair</v>
          </cell>
          <cell r="Y5201" t="str">
            <v>Pres</v>
          </cell>
          <cell r="Z5201">
            <v>4.8499999999999996</v>
          </cell>
          <cell r="AA5201">
            <v>0</v>
          </cell>
          <cell r="AB5201">
            <v>0</v>
          </cell>
        </row>
        <row r="5202">
          <cell r="G5202" t="str">
            <v>X1871_0</v>
          </cell>
          <cell r="H5202" t="str">
            <v/>
          </cell>
          <cell r="I5202" t="str">
            <v>met</v>
          </cell>
          <cell r="V5202" t="str">
            <v>0</v>
          </cell>
          <cell r="Y5202" t="str">
            <v>Pres</v>
          </cell>
          <cell r="Z5202">
            <v>4.8499999999999996</v>
          </cell>
          <cell r="AA5202">
            <v>0</v>
          </cell>
          <cell r="AB5202">
            <v>0</v>
          </cell>
        </row>
        <row r="5203">
          <cell r="G5203" t="str">
            <v>X1871_1</v>
          </cell>
          <cell r="H5203" t="str">
            <v/>
          </cell>
          <cell r="I5203" t="str">
            <v>met</v>
          </cell>
          <cell r="V5203" t="str">
            <v>0</v>
          </cell>
          <cell r="Y5203" t="str">
            <v>Pres</v>
          </cell>
          <cell r="Z5203">
            <v>4.8499999999999996</v>
          </cell>
          <cell r="AA5203">
            <v>0</v>
          </cell>
          <cell r="AB5203">
            <v>0</v>
          </cell>
        </row>
        <row r="5204">
          <cell r="G5204" t="str">
            <v>X1872_0</v>
          </cell>
          <cell r="H5204" t="str">
            <v>the-of</v>
          </cell>
          <cell r="I5204" t="str">
            <v>sim</v>
          </cell>
          <cell r="V5204" t="str">
            <v>not neg pair</v>
          </cell>
          <cell r="Y5204" t="str">
            <v>Past</v>
          </cell>
          <cell r="Z5204">
            <v>4.6900000000000004</v>
          </cell>
          <cell r="AA5204">
            <v>0</v>
          </cell>
          <cell r="AB5204">
            <v>0</v>
          </cell>
        </row>
        <row r="5205">
          <cell r="G5205" t="str">
            <v>X1872_1</v>
          </cell>
          <cell r="H5205" t="str">
            <v>the-of</v>
          </cell>
          <cell r="I5205" t="str">
            <v>sim</v>
          </cell>
          <cell r="V5205" t="str">
            <v>not neg pair</v>
          </cell>
          <cell r="Y5205" t="str">
            <v>Past</v>
          </cell>
          <cell r="Z5205">
            <v>4.6900000000000004</v>
          </cell>
          <cell r="AA5205">
            <v>0</v>
          </cell>
          <cell r="AB5205">
            <v>0</v>
          </cell>
        </row>
        <row r="5206">
          <cell r="G5206" t="str">
            <v>X1873_0</v>
          </cell>
          <cell r="H5206" t="str">
            <v>the-of</v>
          </cell>
          <cell r="I5206" t="str">
            <v>sim</v>
          </cell>
          <cell r="V5206" t="str">
            <v>not neg pair</v>
          </cell>
          <cell r="Y5206" t="str">
            <v>Past</v>
          </cell>
          <cell r="Z5206">
            <v>4.3899999999999997</v>
          </cell>
          <cell r="AA5206">
            <v>0</v>
          </cell>
          <cell r="AB5206">
            <v>0</v>
          </cell>
        </row>
        <row r="5207">
          <cell r="G5207" t="str">
            <v>X1873_1</v>
          </cell>
          <cell r="H5207" t="str">
            <v>the-of</v>
          </cell>
          <cell r="I5207" t="str">
            <v>sim</v>
          </cell>
          <cell r="V5207" t="str">
            <v>not neg pair</v>
          </cell>
          <cell r="Y5207" t="str">
            <v>Past</v>
          </cell>
          <cell r="Z5207">
            <v>4.3899999999999997</v>
          </cell>
          <cell r="AA5207">
            <v>0</v>
          </cell>
          <cell r="AB5207">
            <v>0</v>
          </cell>
        </row>
        <row r="5208">
          <cell r="G5208" t="str">
            <v>X1874_0</v>
          </cell>
          <cell r="H5208" t="str">
            <v>like</v>
          </cell>
          <cell r="I5208" t="str">
            <v>sim</v>
          </cell>
          <cell r="V5208" t="str">
            <v>not neg pair</v>
          </cell>
          <cell r="Y5208" t="str">
            <v>Past</v>
          </cell>
          <cell r="Z5208">
            <v>2.81</v>
          </cell>
          <cell r="AA5208">
            <v>0</v>
          </cell>
          <cell r="AB5208">
            <v>0</v>
          </cell>
        </row>
        <row r="5209">
          <cell r="G5209" t="str">
            <v>X1874_1</v>
          </cell>
          <cell r="H5209" t="str">
            <v>like</v>
          </cell>
          <cell r="I5209" t="str">
            <v>sim</v>
          </cell>
          <cell r="V5209" t="str">
            <v>not neg pair</v>
          </cell>
          <cell r="Y5209" t="str">
            <v>Past</v>
          </cell>
          <cell r="Z5209">
            <v>2.81</v>
          </cell>
          <cell r="AA5209">
            <v>0</v>
          </cell>
          <cell r="AB5209">
            <v>0</v>
          </cell>
        </row>
        <row r="5210">
          <cell r="G5210" t="str">
            <v>X1875_0</v>
          </cell>
          <cell r="H5210" t="str">
            <v>like</v>
          </cell>
          <cell r="I5210" t="str">
            <v>sim</v>
          </cell>
          <cell r="V5210" t="str">
            <v>not neg pair</v>
          </cell>
          <cell r="Y5210" t="str">
            <v>Past</v>
          </cell>
          <cell r="Z5210">
            <v>3.93</v>
          </cell>
          <cell r="AA5210">
            <v>0</v>
          </cell>
          <cell r="AB5210">
            <v>0</v>
          </cell>
        </row>
        <row r="5211">
          <cell r="G5211" t="str">
            <v>X1875_1</v>
          </cell>
          <cell r="H5211" t="str">
            <v>like</v>
          </cell>
          <cell r="I5211" t="str">
            <v>sim</v>
          </cell>
          <cell r="V5211" t="str">
            <v>not neg pair</v>
          </cell>
          <cell r="Y5211" t="str">
            <v>Past</v>
          </cell>
          <cell r="Z5211">
            <v>3.93</v>
          </cell>
          <cell r="AA5211">
            <v>0</v>
          </cell>
          <cell r="AB5211">
            <v>0</v>
          </cell>
        </row>
        <row r="5212">
          <cell r="G5212" t="str">
            <v>X1876_0</v>
          </cell>
          <cell r="H5212" t="str">
            <v>like</v>
          </cell>
          <cell r="I5212" t="str">
            <v>sim</v>
          </cell>
          <cell r="V5212" t="str">
            <v>not</v>
          </cell>
          <cell r="Y5212" t="str">
            <v>Past</v>
          </cell>
          <cell r="Z5212">
            <v>3.93</v>
          </cell>
          <cell r="AA5212">
            <v>0</v>
          </cell>
          <cell r="AB5212">
            <v>0</v>
          </cell>
        </row>
        <row r="5213">
          <cell r="G5213" t="str">
            <v>X1876_1</v>
          </cell>
          <cell r="H5213" t="str">
            <v>like</v>
          </cell>
          <cell r="I5213" t="str">
            <v>sim</v>
          </cell>
          <cell r="V5213" t="str">
            <v>not</v>
          </cell>
          <cell r="Y5213" t="str">
            <v>Past</v>
          </cell>
          <cell r="Z5213">
            <v>3.93</v>
          </cell>
          <cell r="AA5213">
            <v>0</v>
          </cell>
          <cell r="AB5213">
            <v>0</v>
          </cell>
        </row>
        <row r="5214">
          <cell r="G5214" t="str">
            <v>X1877_0</v>
          </cell>
          <cell r="H5214" t="str">
            <v>the-of</v>
          </cell>
          <cell r="I5214" t="str">
            <v>sim</v>
          </cell>
          <cell r="V5214" t="str">
            <v>not neg pair</v>
          </cell>
          <cell r="Y5214" t="str">
            <v>Pres</v>
          </cell>
          <cell r="Z5214">
            <v>3.37</v>
          </cell>
          <cell r="AA5214">
            <v>0</v>
          </cell>
          <cell r="AB5214">
            <v>0</v>
          </cell>
        </row>
        <row r="5215">
          <cell r="G5215" t="str">
            <v>X1877_1</v>
          </cell>
          <cell r="H5215" t="str">
            <v>the-of</v>
          </cell>
          <cell r="I5215" t="str">
            <v>sim</v>
          </cell>
          <cell r="V5215" t="str">
            <v>not neg pair</v>
          </cell>
          <cell r="Y5215" t="str">
            <v>Past</v>
          </cell>
          <cell r="Z5215">
            <v>3.37</v>
          </cell>
          <cell r="AA5215">
            <v>0</v>
          </cell>
          <cell r="AB5215">
            <v>0</v>
          </cell>
        </row>
        <row r="5216">
          <cell r="G5216" t="str">
            <v>X1878_0</v>
          </cell>
          <cell r="H5216" t="str">
            <v>as-as</v>
          </cell>
          <cell r="I5216" t="str">
            <v>sim</v>
          </cell>
          <cell r="V5216" t="str">
            <v>not neg pair</v>
          </cell>
          <cell r="Y5216" t="str">
            <v>Past</v>
          </cell>
          <cell r="Z5216">
            <v>4.71</v>
          </cell>
          <cell r="AA5216">
            <v>0</v>
          </cell>
          <cell r="AB5216">
            <v>0</v>
          </cell>
        </row>
        <row r="5217">
          <cell r="G5217" t="str">
            <v>X1878_1</v>
          </cell>
          <cell r="H5217" t="str">
            <v>as-as</v>
          </cell>
          <cell r="I5217" t="str">
            <v>sim</v>
          </cell>
          <cell r="V5217" t="str">
            <v>not neg pair</v>
          </cell>
          <cell r="Y5217" t="str">
            <v>Past</v>
          </cell>
          <cell r="Z5217">
            <v>4.71</v>
          </cell>
          <cell r="AA5217">
            <v>0</v>
          </cell>
          <cell r="AB5217">
            <v>0</v>
          </cell>
        </row>
        <row r="5218">
          <cell r="G5218" t="str">
            <v>X1879_0</v>
          </cell>
          <cell r="H5218" t="str">
            <v>the-of</v>
          </cell>
          <cell r="I5218" t="str">
            <v>sim</v>
          </cell>
          <cell r="V5218" t="str">
            <v>not neg pair</v>
          </cell>
          <cell r="Y5218" t="str">
            <v>Past</v>
          </cell>
          <cell r="Z5218">
            <v>2.19</v>
          </cell>
          <cell r="AA5218" t="str">
            <v>L</v>
          </cell>
          <cell r="AB5218">
            <v>0</v>
          </cell>
        </row>
        <row r="5219">
          <cell r="G5219" t="str">
            <v>X1879_1</v>
          </cell>
          <cell r="H5219" t="str">
            <v>the-of</v>
          </cell>
          <cell r="I5219" t="str">
            <v>sim</v>
          </cell>
          <cell r="V5219" t="str">
            <v>not neg pair</v>
          </cell>
          <cell r="Y5219" t="str">
            <v>Past</v>
          </cell>
          <cell r="Z5219">
            <v>2.19</v>
          </cell>
          <cell r="AA5219" t="str">
            <v>L</v>
          </cell>
          <cell r="AB5219">
            <v>0</v>
          </cell>
        </row>
        <row r="5220">
          <cell r="G5220" t="str">
            <v>X1880_0</v>
          </cell>
          <cell r="H5220" t="str">
            <v/>
          </cell>
          <cell r="I5220" t="str">
            <v>met</v>
          </cell>
          <cell r="V5220" t="str">
            <v>0</v>
          </cell>
          <cell r="Y5220" t="str">
            <v>Past</v>
          </cell>
          <cell r="Z5220">
            <v>2.04</v>
          </cell>
          <cell r="AA5220" t="str">
            <v>L</v>
          </cell>
          <cell r="AB5220">
            <v>0</v>
          </cell>
        </row>
        <row r="5221">
          <cell r="G5221" t="str">
            <v>X1880_1</v>
          </cell>
          <cell r="H5221" t="str">
            <v/>
          </cell>
          <cell r="I5221" t="str">
            <v>met</v>
          </cell>
          <cell r="V5221" t="str">
            <v>0</v>
          </cell>
          <cell r="Y5221" t="str">
            <v>Pres</v>
          </cell>
          <cell r="Z5221">
            <v>2.04</v>
          </cell>
          <cell r="AA5221" t="str">
            <v>L</v>
          </cell>
          <cell r="AB5221">
            <v>0</v>
          </cell>
        </row>
        <row r="5222">
          <cell r="G5222" t="str">
            <v>X1881_0</v>
          </cell>
          <cell r="H5222" t="str">
            <v/>
          </cell>
          <cell r="I5222" t="str">
            <v>met</v>
          </cell>
          <cell r="V5222" t="str">
            <v>0</v>
          </cell>
          <cell r="Y5222" t="str">
            <v>Pres</v>
          </cell>
          <cell r="Z5222">
            <v>4.59</v>
          </cell>
          <cell r="AA5222">
            <v>0</v>
          </cell>
          <cell r="AB5222">
            <v>0</v>
          </cell>
        </row>
        <row r="5223">
          <cell r="G5223" t="str">
            <v>X1881_1</v>
          </cell>
          <cell r="H5223" t="str">
            <v/>
          </cell>
          <cell r="I5223" t="str">
            <v>met</v>
          </cell>
          <cell r="V5223" t="str">
            <v>0</v>
          </cell>
          <cell r="Y5223" t="str">
            <v>Pres</v>
          </cell>
          <cell r="Z5223">
            <v>4.59</v>
          </cell>
          <cell r="AA5223">
            <v>0</v>
          </cell>
          <cell r="AB5223">
            <v>0</v>
          </cell>
        </row>
        <row r="5224">
          <cell r="G5224" t="str">
            <v>X1882_0</v>
          </cell>
          <cell r="H5224" t="str">
            <v>the-of</v>
          </cell>
          <cell r="I5224" t="str">
            <v>sim</v>
          </cell>
          <cell r="V5224" t="str">
            <v>not neg pair</v>
          </cell>
          <cell r="Y5224" t="str">
            <v>Past</v>
          </cell>
          <cell r="Z5224">
            <v>4.76</v>
          </cell>
          <cell r="AA5224">
            <v>0</v>
          </cell>
          <cell r="AB5224">
            <v>0</v>
          </cell>
        </row>
        <row r="5225">
          <cell r="G5225" t="str">
            <v>X1882_1</v>
          </cell>
          <cell r="H5225" t="str">
            <v>the-of</v>
          </cell>
          <cell r="I5225" t="str">
            <v>sim</v>
          </cell>
          <cell r="V5225" t="str">
            <v>not neg pair</v>
          </cell>
          <cell r="Y5225" t="str">
            <v>Past</v>
          </cell>
          <cell r="Z5225">
            <v>4.76</v>
          </cell>
          <cell r="AA5225">
            <v>0</v>
          </cell>
          <cell r="AB5225">
            <v>0</v>
          </cell>
        </row>
        <row r="5226">
          <cell r="G5226" t="str">
            <v>X1883_0</v>
          </cell>
          <cell r="H5226" t="str">
            <v>the-of</v>
          </cell>
          <cell r="I5226" t="str">
            <v>sim</v>
          </cell>
          <cell r="V5226" t="str">
            <v>not</v>
          </cell>
          <cell r="Y5226" t="str">
            <v>Past</v>
          </cell>
          <cell r="Z5226">
            <v>3.36</v>
          </cell>
          <cell r="AA5226">
            <v>0</v>
          </cell>
          <cell r="AB5226">
            <v>0</v>
          </cell>
        </row>
        <row r="5227">
          <cell r="G5227" t="str">
            <v>X1883_1</v>
          </cell>
          <cell r="H5227" t="str">
            <v>the-of</v>
          </cell>
          <cell r="I5227" t="str">
            <v>sim</v>
          </cell>
          <cell r="V5227" t="str">
            <v>not</v>
          </cell>
          <cell r="Y5227" t="str">
            <v>Past</v>
          </cell>
          <cell r="Z5227">
            <v>3.36</v>
          </cell>
          <cell r="AA5227">
            <v>0</v>
          </cell>
          <cell r="AB5227">
            <v>0</v>
          </cell>
        </row>
        <row r="5228">
          <cell r="G5228" t="str">
            <v>X1884_0</v>
          </cell>
          <cell r="H5228" t="str">
            <v>as-as</v>
          </cell>
          <cell r="I5228" t="str">
            <v>sim</v>
          </cell>
          <cell r="V5228" t="str">
            <v>not</v>
          </cell>
          <cell r="Y5228" t="str">
            <v>Past</v>
          </cell>
          <cell r="Z5228">
            <v>3.72</v>
          </cell>
          <cell r="AA5228">
            <v>0</v>
          </cell>
          <cell r="AB5228">
            <v>0</v>
          </cell>
        </row>
        <row r="5229">
          <cell r="G5229" t="str">
            <v>X1884_1</v>
          </cell>
          <cell r="H5229" t="str">
            <v>as-as</v>
          </cell>
          <cell r="I5229" t="str">
            <v>sim</v>
          </cell>
          <cell r="V5229" t="str">
            <v>not</v>
          </cell>
          <cell r="Y5229" t="str">
            <v>Past</v>
          </cell>
          <cell r="Z5229">
            <v>3.72</v>
          </cell>
          <cell r="AA5229">
            <v>0</v>
          </cell>
          <cell r="AB5229">
            <v>0</v>
          </cell>
        </row>
        <row r="5230">
          <cell r="G5230" t="str">
            <v>X1885_0</v>
          </cell>
          <cell r="H5230" t="str">
            <v>the-of</v>
          </cell>
          <cell r="I5230" t="str">
            <v>sim</v>
          </cell>
          <cell r="V5230" t="str">
            <v>not neg pair</v>
          </cell>
          <cell r="Y5230" t="str">
            <v>Pres</v>
          </cell>
          <cell r="Z5230">
            <v>4.9000000000000004</v>
          </cell>
          <cell r="AA5230">
            <v>0</v>
          </cell>
          <cell r="AB5230">
            <v>0</v>
          </cell>
        </row>
        <row r="5231">
          <cell r="G5231" t="str">
            <v>X1885_1</v>
          </cell>
          <cell r="H5231" t="str">
            <v>the-of</v>
          </cell>
          <cell r="I5231" t="str">
            <v>sim</v>
          </cell>
          <cell r="V5231" t="str">
            <v>not neg pair</v>
          </cell>
          <cell r="Y5231" t="str">
            <v>Pres</v>
          </cell>
          <cell r="Z5231">
            <v>4.9000000000000004</v>
          </cell>
          <cell r="AA5231">
            <v>0</v>
          </cell>
          <cell r="AB5231">
            <v>0</v>
          </cell>
        </row>
        <row r="5232">
          <cell r="G5232" t="str">
            <v>X1886_0</v>
          </cell>
          <cell r="H5232" t="str">
            <v/>
          </cell>
          <cell r="I5232" t="str">
            <v>met</v>
          </cell>
          <cell r="V5232" t="str">
            <v>0</v>
          </cell>
          <cell r="Y5232" t="str">
            <v>Pres</v>
          </cell>
          <cell r="Z5232">
            <v>3.93</v>
          </cell>
          <cell r="AA5232">
            <v>0</v>
          </cell>
          <cell r="AB5232">
            <v>0</v>
          </cell>
        </row>
        <row r="5233">
          <cell r="G5233" t="str">
            <v>X1886_1</v>
          </cell>
          <cell r="H5233" t="str">
            <v/>
          </cell>
          <cell r="I5233" t="str">
            <v>met</v>
          </cell>
          <cell r="V5233" t="str">
            <v>0</v>
          </cell>
          <cell r="Y5233" t="str">
            <v>Pres</v>
          </cell>
          <cell r="Z5233">
            <v>3.93</v>
          </cell>
          <cell r="AA5233">
            <v>0</v>
          </cell>
          <cell r="AB5233">
            <v>0</v>
          </cell>
        </row>
        <row r="5234">
          <cell r="G5234" t="str">
            <v>X1887_0</v>
          </cell>
          <cell r="H5234" t="str">
            <v/>
          </cell>
          <cell r="I5234" t="str">
            <v>met</v>
          </cell>
          <cell r="V5234" t="str">
            <v>0</v>
          </cell>
          <cell r="Y5234" t="str">
            <v>Pres</v>
          </cell>
          <cell r="Z5234">
            <v>3.36</v>
          </cell>
          <cell r="AA5234">
            <v>0</v>
          </cell>
          <cell r="AB5234">
            <v>0</v>
          </cell>
        </row>
        <row r="5235">
          <cell r="G5235" t="str">
            <v>X1887_1</v>
          </cell>
          <cell r="H5235" t="str">
            <v/>
          </cell>
          <cell r="I5235" t="str">
            <v>met</v>
          </cell>
          <cell r="V5235" t="str">
            <v>0</v>
          </cell>
          <cell r="Y5235" t="str">
            <v>Pres</v>
          </cell>
          <cell r="Z5235">
            <v>3.36</v>
          </cell>
          <cell r="AA5235">
            <v>0</v>
          </cell>
          <cell r="AB5235">
            <v>0</v>
          </cell>
        </row>
        <row r="5236">
          <cell r="G5236" t="str">
            <v>X1888_0</v>
          </cell>
          <cell r="H5236" t="str">
            <v/>
          </cell>
          <cell r="I5236" t="str">
            <v>met</v>
          </cell>
          <cell r="V5236" t="str">
            <v>0</v>
          </cell>
          <cell r="Y5236" t="str">
            <v>Pres</v>
          </cell>
          <cell r="Z5236">
            <v>3.93</v>
          </cell>
          <cell r="AA5236">
            <v>0</v>
          </cell>
          <cell r="AB5236">
            <v>0</v>
          </cell>
        </row>
        <row r="5237">
          <cell r="G5237" t="str">
            <v>X1888_1</v>
          </cell>
          <cell r="H5237" t="str">
            <v/>
          </cell>
          <cell r="I5237" t="str">
            <v>met</v>
          </cell>
          <cell r="V5237" t="str">
            <v>0</v>
          </cell>
          <cell r="Y5237" t="str">
            <v>Pres</v>
          </cell>
          <cell r="Z5237">
            <v>3.93</v>
          </cell>
          <cell r="AA5237">
            <v>0</v>
          </cell>
          <cell r="AB5237">
            <v>0</v>
          </cell>
        </row>
        <row r="5238">
          <cell r="G5238" t="str">
            <v>X1889_0</v>
          </cell>
          <cell r="H5238" t="str">
            <v>like</v>
          </cell>
          <cell r="I5238" t="str">
            <v>sim</v>
          </cell>
          <cell r="V5238" t="str">
            <v>not neg pair</v>
          </cell>
          <cell r="Y5238" t="str">
            <v>Pres</v>
          </cell>
          <cell r="Z5238">
            <v>4.78</v>
          </cell>
          <cell r="AA5238">
            <v>0</v>
          </cell>
          <cell r="AB5238">
            <v>0</v>
          </cell>
        </row>
        <row r="5239">
          <cell r="G5239" t="str">
            <v>X1889_1</v>
          </cell>
          <cell r="H5239" t="str">
            <v>like</v>
          </cell>
          <cell r="I5239" t="str">
            <v>sim</v>
          </cell>
          <cell r="V5239" t="str">
            <v>not neg pair</v>
          </cell>
          <cell r="Y5239" t="str">
            <v>Pres</v>
          </cell>
          <cell r="Z5239">
            <v>4.78</v>
          </cell>
          <cell r="AA5239">
            <v>0</v>
          </cell>
          <cell r="AB5239">
            <v>0</v>
          </cell>
        </row>
        <row r="5240">
          <cell r="G5240" t="str">
            <v>X1890_0</v>
          </cell>
          <cell r="H5240" t="str">
            <v>as</v>
          </cell>
          <cell r="I5240" t="str">
            <v>sim</v>
          </cell>
          <cell r="V5240" t="str">
            <v>not neg pair</v>
          </cell>
          <cell r="Y5240" t="str">
            <v>Past</v>
          </cell>
          <cell r="Z5240">
            <v>4.46</v>
          </cell>
          <cell r="AA5240">
            <v>0</v>
          </cell>
          <cell r="AB5240">
            <v>0</v>
          </cell>
        </row>
        <row r="5241">
          <cell r="G5241" t="str">
            <v>X1890_1</v>
          </cell>
          <cell r="H5241" t="str">
            <v>as</v>
          </cell>
          <cell r="I5241" t="str">
            <v>sim</v>
          </cell>
          <cell r="V5241" t="str">
            <v>not neg pair</v>
          </cell>
          <cell r="Y5241" t="str">
            <v>Pres</v>
          </cell>
          <cell r="Z5241">
            <v>4.46</v>
          </cell>
          <cell r="AA5241">
            <v>0</v>
          </cell>
          <cell r="AB5241">
            <v>0</v>
          </cell>
        </row>
        <row r="5242">
          <cell r="G5242" t="str">
            <v>X1891_0</v>
          </cell>
          <cell r="H5242" t="str">
            <v>as-as</v>
          </cell>
          <cell r="I5242" t="str">
            <v>sim</v>
          </cell>
          <cell r="V5242" t="str">
            <v>antonym</v>
          </cell>
          <cell r="Y5242" t="str">
            <v>Past</v>
          </cell>
          <cell r="Z5242">
            <v>3.37</v>
          </cell>
          <cell r="AA5242">
            <v>0</v>
          </cell>
          <cell r="AB5242">
            <v>0</v>
          </cell>
        </row>
        <row r="5243">
          <cell r="G5243" t="str">
            <v>X1891_1</v>
          </cell>
          <cell r="H5243" t="str">
            <v>as-as</v>
          </cell>
          <cell r="I5243" t="str">
            <v>sim</v>
          </cell>
          <cell r="V5243" t="str">
            <v>antonym</v>
          </cell>
          <cell r="Y5243" t="str">
            <v>Past</v>
          </cell>
          <cell r="Z5243">
            <v>3.37</v>
          </cell>
          <cell r="AA5243">
            <v>0</v>
          </cell>
          <cell r="AB5243">
            <v>0</v>
          </cell>
        </row>
        <row r="5244">
          <cell r="G5244" t="str">
            <v>X1892_0</v>
          </cell>
          <cell r="H5244" t="str">
            <v>the-of</v>
          </cell>
          <cell r="I5244" t="str">
            <v>sim</v>
          </cell>
          <cell r="V5244" t="str">
            <v>not neg pair</v>
          </cell>
          <cell r="Y5244" t="str">
            <v>Pres</v>
          </cell>
          <cell r="Z5244">
            <v>4.79</v>
          </cell>
          <cell r="AA5244">
            <v>0</v>
          </cell>
          <cell r="AB5244">
            <v>0</v>
          </cell>
        </row>
        <row r="5245">
          <cell r="G5245" t="str">
            <v>X1892_1</v>
          </cell>
          <cell r="H5245" t="str">
            <v>the-of</v>
          </cell>
          <cell r="I5245" t="str">
            <v>sim</v>
          </cell>
          <cell r="V5245" t="str">
            <v>not neg pair</v>
          </cell>
          <cell r="Y5245" t="str">
            <v>Pres</v>
          </cell>
          <cell r="Z5245">
            <v>4.79</v>
          </cell>
          <cell r="AA5245">
            <v>0</v>
          </cell>
          <cell r="AB5245">
            <v>0</v>
          </cell>
        </row>
        <row r="5246">
          <cell r="G5246" t="str">
            <v>X1893_0</v>
          </cell>
          <cell r="H5246" t="str">
            <v>like</v>
          </cell>
          <cell r="I5246" t="str">
            <v>sim</v>
          </cell>
          <cell r="V5246" t="str">
            <v>not neg pair</v>
          </cell>
          <cell r="Y5246" t="str">
            <v>Pres</v>
          </cell>
          <cell r="Z5246">
            <v>3.28</v>
          </cell>
          <cell r="AA5246">
            <v>0</v>
          </cell>
          <cell r="AB5246">
            <v>0</v>
          </cell>
        </row>
        <row r="5247">
          <cell r="G5247" t="str">
            <v>X1893_1</v>
          </cell>
          <cell r="H5247" t="str">
            <v>like</v>
          </cell>
          <cell r="I5247" t="str">
            <v>sim</v>
          </cell>
          <cell r="V5247" t="str">
            <v>not neg pair</v>
          </cell>
          <cell r="Y5247" t="str">
            <v>Pres</v>
          </cell>
          <cell r="Z5247">
            <v>3.28</v>
          </cell>
          <cell r="AA5247">
            <v>0</v>
          </cell>
          <cell r="AB5247">
            <v>0</v>
          </cell>
        </row>
        <row r="5248">
          <cell r="G5248" t="str">
            <v>X1894_0</v>
          </cell>
          <cell r="H5248" t="str">
            <v/>
          </cell>
          <cell r="I5248" t="str">
            <v>met</v>
          </cell>
          <cell r="V5248" t="str">
            <v>0</v>
          </cell>
          <cell r="Y5248" t="str">
            <v>Pres</v>
          </cell>
          <cell r="Z5248">
            <v>4.1500000000000004</v>
          </cell>
          <cell r="AA5248">
            <v>0</v>
          </cell>
          <cell r="AB5248">
            <v>0</v>
          </cell>
        </row>
        <row r="5249">
          <cell r="G5249" t="str">
            <v>X1894_1</v>
          </cell>
          <cell r="H5249" t="str">
            <v/>
          </cell>
          <cell r="I5249" t="str">
            <v>met</v>
          </cell>
          <cell r="V5249" t="str">
            <v>0</v>
          </cell>
          <cell r="Y5249" t="str">
            <v>Pres</v>
          </cell>
          <cell r="Z5249">
            <v>4.1500000000000004</v>
          </cell>
          <cell r="AA5249">
            <v>0</v>
          </cell>
          <cell r="AB5249">
            <v>0</v>
          </cell>
        </row>
        <row r="5250">
          <cell r="G5250" t="str">
            <v>X1895_0</v>
          </cell>
          <cell r="H5250" t="str">
            <v>as-as</v>
          </cell>
          <cell r="I5250" t="str">
            <v>sim</v>
          </cell>
          <cell r="V5250" t="str">
            <v>antonym</v>
          </cell>
          <cell r="Y5250" t="str">
            <v>Past</v>
          </cell>
          <cell r="Z5250">
            <v>3.93</v>
          </cell>
          <cell r="AA5250">
            <v>0</v>
          </cell>
          <cell r="AB5250">
            <v>0</v>
          </cell>
        </row>
        <row r="5251">
          <cell r="G5251" t="str">
            <v>X1895_1</v>
          </cell>
          <cell r="H5251" t="str">
            <v>as-as</v>
          </cell>
          <cell r="I5251" t="str">
            <v>sim</v>
          </cell>
          <cell r="V5251" t="str">
            <v>antonym</v>
          </cell>
          <cell r="Y5251" t="str">
            <v>Past</v>
          </cell>
          <cell r="Z5251">
            <v>3.93</v>
          </cell>
          <cell r="AA5251">
            <v>0</v>
          </cell>
          <cell r="AB5251">
            <v>0</v>
          </cell>
        </row>
        <row r="5252">
          <cell r="G5252" t="str">
            <v>X1896_0</v>
          </cell>
          <cell r="H5252" t="str">
            <v>as-as</v>
          </cell>
          <cell r="I5252" t="str">
            <v>sim</v>
          </cell>
          <cell r="V5252" t="str">
            <v>not</v>
          </cell>
          <cell r="Y5252" t="str">
            <v>Pres</v>
          </cell>
          <cell r="Z5252">
            <v>2.14</v>
          </cell>
          <cell r="AA5252" t="str">
            <v>L</v>
          </cell>
          <cell r="AB5252">
            <v>0</v>
          </cell>
        </row>
        <row r="5253">
          <cell r="G5253" t="str">
            <v>X1896_1</v>
          </cell>
          <cell r="H5253" t="str">
            <v>as-as</v>
          </cell>
          <cell r="I5253" t="str">
            <v>sim</v>
          </cell>
          <cell r="V5253" t="str">
            <v>not</v>
          </cell>
          <cell r="Y5253" t="str">
            <v>Pres</v>
          </cell>
          <cell r="Z5253">
            <v>2.14</v>
          </cell>
          <cell r="AA5253" t="str">
            <v>L</v>
          </cell>
          <cell r="AB5253">
            <v>0</v>
          </cell>
        </row>
        <row r="5254">
          <cell r="G5254" t="str">
            <v>X1897_0</v>
          </cell>
          <cell r="H5254" t="str">
            <v>as-as</v>
          </cell>
          <cell r="I5254" t="str">
            <v>sim</v>
          </cell>
          <cell r="V5254" t="str">
            <v>not</v>
          </cell>
          <cell r="Y5254" t="str">
            <v>Pres</v>
          </cell>
          <cell r="Z5254">
            <v>0</v>
          </cell>
          <cell r="AA5254">
            <v>0</v>
          </cell>
          <cell r="AB5254">
            <v>0</v>
          </cell>
        </row>
        <row r="5255">
          <cell r="G5255" t="str">
            <v>X1897_1</v>
          </cell>
          <cell r="H5255" t="str">
            <v>as-as</v>
          </cell>
          <cell r="I5255" t="str">
            <v>sim</v>
          </cell>
          <cell r="V5255" t="str">
            <v>not</v>
          </cell>
          <cell r="Y5255" t="str">
            <v>Pres</v>
          </cell>
          <cell r="Z5255">
            <v>4.68</v>
          </cell>
          <cell r="AA5255">
            <v>0</v>
          </cell>
          <cell r="AB5255">
            <v>0</v>
          </cell>
        </row>
        <row r="5256">
          <cell r="G5256" t="str">
            <v>X1898_0</v>
          </cell>
          <cell r="H5256" t="str">
            <v>like</v>
          </cell>
          <cell r="I5256" t="str">
            <v>sim</v>
          </cell>
          <cell r="V5256" t="str">
            <v>not neg pair</v>
          </cell>
          <cell r="Y5256" t="str">
            <v>Pres</v>
          </cell>
          <cell r="Z5256">
            <v>4.7</v>
          </cell>
          <cell r="AA5256">
            <v>0</v>
          </cell>
          <cell r="AB5256">
            <v>0</v>
          </cell>
        </row>
        <row r="5257">
          <cell r="G5257" t="str">
            <v>X1898_1</v>
          </cell>
          <cell r="H5257" t="str">
            <v>like</v>
          </cell>
          <cell r="I5257" t="str">
            <v>sim</v>
          </cell>
          <cell r="V5257" t="str">
            <v>not neg pair</v>
          </cell>
          <cell r="Y5257" t="str">
            <v>Pres</v>
          </cell>
          <cell r="Z5257">
            <v>4.7</v>
          </cell>
          <cell r="AA5257">
            <v>0</v>
          </cell>
          <cell r="AB5257">
            <v>0</v>
          </cell>
        </row>
        <row r="5258">
          <cell r="G5258" t="str">
            <v>X1899_0</v>
          </cell>
          <cell r="H5258" t="str">
            <v>like</v>
          </cell>
          <cell r="I5258" t="str">
            <v>sim</v>
          </cell>
          <cell r="V5258" t="str">
            <v>not neg pair</v>
          </cell>
          <cell r="Y5258" t="str">
            <v>Pres</v>
          </cell>
          <cell r="Z5258">
            <v>4.9400000000000004</v>
          </cell>
          <cell r="AA5258" t="str">
            <v>H</v>
          </cell>
          <cell r="AB5258">
            <v>0</v>
          </cell>
        </row>
        <row r="5259">
          <cell r="G5259" t="str">
            <v>X1899_1</v>
          </cell>
          <cell r="H5259" t="str">
            <v>like</v>
          </cell>
          <cell r="I5259" t="str">
            <v>sim</v>
          </cell>
          <cell r="V5259" t="str">
            <v>not neg pair</v>
          </cell>
          <cell r="Y5259" t="str">
            <v>Pres</v>
          </cell>
          <cell r="Z5259">
            <v>4.9400000000000004</v>
          </cell>
          <cell r="AA5259" t="str">
            <v>H</v>
          </cell>
          <cell r="AB5259">
            <v>0</v>
          </cell>
        </row>
        <row r="5260">
          <cell r="G5260" t="str">
            <v>X1900_0</v>
          </cell>
          <cell r="H5260" t="str">
            <v>like</v>
          </cell>
          <cell r="I5260" t="str">
            <v>sim</v>
          </cell>
          <cell r="V5260" t="str">
            <v>not neg pair</v>
          </cell>
          <cell r="Y5260" t="str">
            <v>Pres</v>
          </cell>
          <cell r="Z5260">
            <v>5</v>
          </cell>
          <cell r="AA5260" t="str">
            <v>H</v>
          </cell>
          <cell r="AB5260">
            <v>0</v>
          </cell>
        </row>
        <row r="5261">
          <cell r="G5261" t="str">
            <v>X1900_1</v>
          </cell>
          <cell r="H5261" t="str">
            <v>like</v>
          </cell>
          <cell r="I5261" t="str">
            <v>sim</v>
          </cell>
          <cell r="V5261" t="str">
            <v>not neg pair</v>
          </cell>
          <cell r="Y5261" t="str">
            <v>Pres</v>
          </cell>
          <cell r="Z5261">
            <v>5</v>
          </cell>
          <cell r="AA5261" t="str">
            <v>H</v>
          </cell>
          <cell r="AB5261">
            <v>0</v>
          </cell>
        </row>
        <row r="5262">
          <cell r="G5262" t="str">
            <v>X1901_0</v>
          </cell>
          <cell r="H5262" t="str">
            <v/>
          </cell>
          <cell r="I5262" t="str">
            <v>met</v>
          </cell>
          <cell r="V5262" t="str">
            <v>0</v>
          </cell>
          <cell r="Y5262" t="str">
            <v>Past</v>
          </cell>
          <cell r="Z5262">
            <v>1.73</v>
          </cell>
          <cell r="AA5262" t="str">
            <v>L</v>
          </cell>
          <cell r="AB5262">
            <v>0</v>
          </cell>
        </row>
        <row r="5263">
          <cell r="G5263" t="str">
            <v>X1901_1</v>
          </cell>
          <cell r="H5263" t="str">
            <v/>
          </cell>
          <cell r="I5263" t="str">
            <v>met</v>
          </cell>
          <cell r="V5263" t="str">
            <v>0</v>
          </cell>
          <cell r="Y5263" t="str">
            <v>Past</v>
          </cell>
          <cell r="Z5263">
            <v>1.73</v>
          </cell>
          <cell r="AA5263" t="str">
            <v>L</v>
          </cell>
          <cell r="AB5263">
            <v>0</v>
          </cell>
        </row>
        <row r="5264">
          <cell r="G5264" t="str">
            <v>X1902_0</v>
          </cell>
          <cell r="H5264" t="str">
            <v/>
          </cell>
          <cell r="I5264" t="str">
            <v>met</v>
          </cell>
          <cell r="V5264" t="str">
            <v>0</v>
          </cell>
          <cell r="Y5264" t="str">
            <v>Past</v>
          </cell>
          <cell r="Z5264">
            <v>1.97</v>
          </cell>
          <cell r="AA5264" t="str">
            <v>L</v>
          </cell>
          <cell r="AB5264">
            <v>0</v>
          </cell>
        </row>
        <row r="5265">
          <cell r="G5265" t="str">
            <v>X1902_1</v>
          </cell>
          <cell r="H5265" t="str">
            <v/>
          </cell>
          <cell r="I5265" t="str">
            <v>met</v>
          </cell>
          <cell r="V5265" t="str">
            <v>0</v>
          </cell>
          <cell r="Y5265" t="str">
            <v>Past</v>
          </cell>
          <cell r="Z5265">
            <v>1.97</v>
          </cell>
          <cell r="AA5265" t="str">
            <v>L</v>
          </cell>
          <cell r="AB5265">
            <v>0</v>
          </cell>
        </row>
        <row r="5266">
          <cell r="G5266" t="str">
            <v>X1903_0</v>
          </cell>
          <cell r="H5266" t="str">
            <v/>
          </cell>
          <cell r="I5266" t="str">
            <v>met</v>
          </cell>
          <cell r="V5266" t="str">
            <v>0</v>
          </cell>
          <cell r="Y5266" t="str">
            <v>Past</v>
          </cell>
          <cell r="Z5266">
            <v>3.36</v>
          </cell>
          <cell r="AA5266">
            <v>0</v>
          </cell>
          <cell r="AB5266">
            <v>0</v>
          </cell>
        </row>
        <row r="5267">
          <cell r="G5267" t="str">
            <v>X1903_1</v>
          </cell>
          <cell r="H5267" t="str">
            <v/>
          </cell>
          <cell r="I5267" t="str">
            <v>met</v>
          </cell>
          <cell r="V5267" t="str">
            <v>0</v>
          </cell>
          <cell r="Y5267" t="str">
            <v>Past</v>
          </cell>
          <cell r="Z5267">
            <v>3.36</v>
          </cell>
          <cell r="AA5267">
            <v>0</v>
          </cell>
          <cell r="AB5267">
            <v>0</v>
          </cell>
        </row>
        <row r="5268">
          <cell r="G5268" t="str">
            <v>X1904_0</v>
          </cell>
          <cell r="H5268" t="str">
            <v>like</v>
          </cell>
          <cell r="I5268" t="str">
            <v>sim</v>
          </cell>
          <cell r="V5268" t="str">
            <v>not</v>
          </cell>
          <cell r="Y5268" t="str">
            <v>Past</v>
          </cell>
          <cell r="Z5268">
            <v>4.8</v>
          </cell>
          <cell r="AA5268">
            <v>0</v>
          </cell>
          <cell r="AB5268">
            <v>0</v>
          </cell>
        </row>
        <row r="5269">
          <cell r="G5269" t="str">
            <v>X1904_1</v>
          </cell>
          <cell r="H5269" t="str">
            <v>like</v>
          </cell>
          <cell r="I5269" t="str">
            <v>sim</v>
          </cell>
          <cell r="V5269" t="str">
            <v>not</v>
          </cell>
          <cell r="Y5269" t="str">
            <v>Past</v>
          </cell>
          <cell r="Z5269">
            <v>4.8</v>
          </cell>
          <cell r="AA5269">
            <v>0</v>
          </cell>
          <cell r="AB5269">
            <v>0</v>
          </cell>
        </row>
        <row r="5270">
          <cell r="G5270" t="str">
            <v>X1905_0</v>
          </cell>
          <cell r="H5270" t="str">
            <v>like</v>
          </cell>
          <cell r="I5270" t="str">
            <v>sim</v>
          </cell>
          <cell r="V5270" t="str">
            <v>not neg pair</v>
          </cell>
          <cell r="Y5270" t="str">
            <v>Past</v>
          </cell>
          <cell r="Z5270">
            <v>4.6900000000000004</v>
          </cell>
          <cell r="AA5270">
            <v>0</v>
          </cell>
          <cell r="AB5270">
            <v>0</v>
          </cell>
        </row>
        <row r="5271">
          <cell r="G5271" t="str">
            <v>X1905_1</v>
          </cell>
          <cell r="H5271" t="str">
            <v>like</v>
          </cell>
          <cell r="I5271" t="str">
            <v>sim</v>
          </cell>
          <cell r="V5271" t="str">
            <v>not neg pair</v>
          </cell>
          <cell r="Y5271" t="str">
            <v>Past</v>
          </cell>
          <cell r="Z5271">
            <v>4.6900000000000004</v>
          </cell>
          <cell r="AA5271">
            <v>0</v>
          </cell>
          <cell r="AB5271">
            <v>0</v>
          </cell>
        </row>
        <row r="5272">
          <cell r="G5272" t="str">
            <v>X1906_0</v>
          </cell>
          <cell r="H5272" t="str">
            <v>like</v>
          </cell>
          <cell r="I5272" t="str">
            <v>sim</v>
          </cell>
          <cell r="V5272" t="str">
            <v>not neg pair</v>
          </cell>
          <cell r="Y5272" t="str">
            <v>Past</v>
          </cell>
          <cell r="Z5272">
            <v>4.97</v>
          </cell>
          <cell r="AA5272" t="str">
            <v>H</v>
          </cell>
          <cell r="AB5272">
            <v>0</v>
          </cell>
        </row>
        <row r="5273">
          <cell r="G5273" t="str">
            <v>X1906_1</v>
          </cell>
          <cell r="H5273" t="str">
            <v>like</v>
          </cell>
          <cell r="I5273" t="str">
            <v>sim</v>
          </cell>
          <cell r="V5273" t="str">
            <v>not neg pair</v>
          </cell>
          <cell r="Y5273" t="str">
            <v>Past</v>
          </cell>
          <cell r="Z5273">
            <v>4.97</v>
          </cell>
          <cell r="AA5273" t="str">
            <v>H</v>
          </cell>
          <cell r="AB5273">
            <v>0</v>
          </cell>
        </row>
        <row r="5274">
          <cell r="G5274" t="str">
            <v>X1907_0</v>
          </cell>
          <cell r="H5274" t="str">
            <v>like</v>
          </cell>
          <cell r="I5274" t="str">
            <v>sim</v>
          </cell>
          <cell r="V5274" t="str">
            <v>not</v>
          </cell>
          <cell r="Y5274" t="str">
            <v>Pres</v>
          </cell>
          <cell r="Z5274">
            <v>0</v>
          </cell>
          <cell r="AA5274">
            <v>0</v>
          </cell>
          <cell r="AB5274">
            <v>0</v>
          </cell>
        </row>
        <row r="5275">
          <cell r="G5275" t="str">
            <v>X1907_1</v>
          </cell>
          <cell r="H5275" t="str">
            <v>like</v>
          </cell>
          <cell r="I5275" t="str">
            <v>sim</v>
          </cell>
          <cell r="V5275" t="str">
            <v>not</v>
          </cell>
          <cell r="Y5275" t="str">
            <v>Pres</v>
          </cell>
          <cell r="Z5275">
            <v>0</v>
          </cell>
          <cell r="AA5275">
            <v>0</v>
          </cell>
          <cell r="AB5275">
            <v>0</v>
          </cell>
        </row>
        <row r="5276">
          <cell r="G5276" t="str">
            <v>X1908_0</v>
          </cell>
          <cell r="H5276" t="str">
            <v>like</v>
          </cell>
          <cell r="I5276" t="str">
            <v>sim</v>
          </cell>
          <cell r="V5276" t="str">
            <v>not neg pair</v>
          </cell>
          <cell r="Y5276" t="str">
            <v>Pres</v>
          </cell>
          <cell r="Z5276">
            <v>1.64</v>
          </cell>
          <cell r="AA5276" t="str">
            <v>L</v>
          </cell>
          <cell r="AB5276">
            <v>0</v>
          </cell>
        </row>
        <row r="5277">
          <cell r="G5277" t="str">
            <v>X1908_1</v>
          </cell>
          <cell r="H5277" t="str">
            <v>like</v>
          </cell>
          <cell r="I5277" t="str">
            <v>sim</v>
          </cell>
          <cell r="V5277" t="str">
            <v>not neg pair</v>
          </cell>
          <cell r="Y5277" t="str">
            <v>Pres</v>
          </cell>
          <cell r="Z5277">
            <v>1.64</v>
          </cell>
          <cell r="AA5277" t="str">
            <v>L</v>
          </cell>
          <cell r="AB5277">
            <v>0</v>
          </cell>
        </row>
        <row r="5278">
          <cell r="G5278" t="str">
            <v>X1909_0</v>
          </cell>
          <cell r="H5278" t="str">
            <v>as-as</v>
          </cell>
          <cell r="I5278" t="str">
            <v>sim</v>
          </cell>
          <cell r="V5278" t="str">
            <v>not</v>
          </cell>
          <cell r="Y5278" t="str">
            <v>Pres</v>
          </cell>
          <cell r="Z5278">
            <v>3.48</v>
          </cell>
          <cell r="AA5278">
            <v>0</v>
          </cell>
          <cell r="AB5278">
            <v>0</v>
          </cell>
        </row>
        <row r="5279">
          <cell r="G5279" t="str">
            <v>X1909_1</v>
          </cell>
          <cell r="H5279" t="str">
            <v>as-as</v>
          </cell>
          <cell r="I5279" t="str">
            <v>sim</v>
          </cell>
          <cell r="V5279" t="str">
            <v>not</v>
          </cell>
          <cell r="Y5279" t="str">
            <v>Pres</v>
          </cell>
          <cell r="Z5279">
            <v>3.48</v>
          </cell>
          <cell r="AA5279">
            <v>0</v>
          </cell>
          <cell r="AB5279">
            <v>0</v>
          </cell>
        </row>
        <row r="5280">
          <cell r="G5280" t="str">
            <v>X1910_0</v>
          </cell>
          <cell r="H5280" t="str">
            <v>as-as</v>
          </cell>
          <cell r="I5280" t="str">
            <v>sim</v>
          </cell>
          <cell r="V5280" t="str">
            <v>not</v>
          </cell>
          <cell r="Y5280" t="str">
            <v>Pres</v>
          </cell>
          <cell r="Z5280">
            <v>3.93</v>
          </cell>
          <cell r="AA5280">
            <v>0</v>
          </cell>
          <cell r="AB5280">
            <v>0</v>
          </cell>
        </row>
        <row r="5281">
          <cell r="G5281" t="str">
            <v>X1910_1</v>
          </cell>
          <cell r="H5281" t="str">
            <v>as-as</v>
          </cell>
          <cell r="I5281" t="str">
            <v>sim</v>
          </cell>
          <cell r="V5281" t="str">
            <v>not</v>
          </cell>
          <cell r="Y5281" t="str">
            <v>Pres</v>
          </cell>
          <cell r="Z5281">
            <v>3.93</v>
          </cell>
          <cell r="AA5281">
            <v>0</v>
          </cell>
          <cell r="AB5281">
            <v>0</v>
          </cell>
        </row>
        <row r="5282">
          <cell r="G5282" t="str">
            <v>X1911_0</v>
          </cell>
          <cell r="H5282" t="str">
            <v>as-as</v>
          </cell>
          <cell r="I5282" t="str">
            <v>sim</v>
          </cell>
          <cell r="V5282" t="str">
            <v>not</v>
          </cell>
          <cell r="Y5282" t="str">
            <v>Pres</v>
          </cell>
          <cell r="Z5282">
            <v>2.14</v>
          </cell>
          <cell r="AA5282" t="str">
            <v>L</v>
          </cell>
          <cell r="AB5282">
            <v>0</v>
          </cell>
        </row>
        <row r="5283">
          <cell r="G5283" t="str">
            <v>X1911_1</v>
          </cell>
          <cell r="H5283" t="str">
            <v>as-as</v>
          </cell>
          <cell r="I5283" t="str">
            <v>sim</v>
          </cell>
          <cell r="V5283" t="str">
            <v>not</v>
          </cell>
          <cell r="Y5283" t="str">
            <v>Pres</v>
          </cell>
          <cell r="Z5283">
            <v>2.14</v>
          </cell>
          <cell r="AA5283" t="str">
            <v>L</v>
          </cell>
          <cell r="AB5283">
            <v>0</v>
          </cell>
        </row>
        <row r="5284">
          <cell r="G5284" t="str">
            <v>X1912_0</v>
          </cell>
          <cell r="H5284" t="str">
            <v>as-as</v>
          </cell>
          <cell r="I5284" t="str">
            <v>sim</v>
          </cell>
          <cell r="V5284" t="str">
            <v>not neg pair</v>
          </cell>
          <cell r="Y5284" t="str">
            <v>Past</v>
          </cell>
          <cell r="Z5284">
            <v>2.2999999999999998</v>
          </cell>
          <cell r="AA5284" t="str">
            <v>L</v>
          </cell>
          <cell r="AB5284">
            <v>0</v>
          </cell>
        </row>
        <row r="5285">
          <cell r="G5285" t="str">
            <v>X1912_1</v>
          </cell>
          <cell r="H5285" t="str">
            <v>as-as</v>
          </cell>
          <cell r="I5285" t="str">
            <v>sim</v>
          </cell>
          <cell r="V5285" t="str">
            <v>not neg pair</v>
          </cell>
          <cell r="Y5285" t="str">
            <v>Past</v>
          </cell>
          <cell r="Z5285">
            <v>2.2999999999999998</v>
          </cell>
          <cell r="AA5285" t="str">
            <v>L</v>
          </cell>
          <cell r="AB5285">
            <v>0</v>
          </cell>
        </row>
        <row r="5286">
          <cell r="G5286" t="str">
            <v>X1913_0</v>
          </cell>
          <cell r="H5286" t="str">
            <v>as-as</v>
          </cell>
          <cell r="I5286" t="str">
            <v>sim</v>
          </cell>
          <cell r="V5286" t="str">
            <v>antonym</v>
          </cell>
          <cell r="Y5286" t="str">
            <v>Past</v>
          </cell>
          <cell r="Z5286">
            <v>3.93</v>
          </cell>
          <cell r="AA5286">
            <v>0</v>
          </cell>
          <cell r="AB5286">
            <v>0</v>
          </cell>
        </row>
        <row r="5287">
          <cell r="G5287" t="str">
            <v>X1913_1</v>
          </cell>
          <cell r="H5287" t="str">
            <v>as-as</v>
          </cell>
          <cell r="I5287" t="str">
            <v>sim</v>
          </cell>
          <cell r="V5287" t="str">
            <v>antonym</v>
          </cell>
          <cell r="Y5287" t="str">
            <v>Past</v>
          </cell>
          <cell r="Z5287">
            <v>3.93</v>
          </cell>
          <cell r="AA5287">
            <v>0</v>
          </cell>
          <cell r="AB5287">
            <v>0</v>
          </cell>
        </row>
        <row r="5288">
          <cell r="G5288" t="str">
            <v>X1914_0</v>
          </cell>
          <cell r="H5288" t="str">
            <v>as</v>
          </cell>
          <cell r="I5288" t="str">
            <v>sim</v>
          </cell>
          <cell r="V5288" t="str">
            <v>not neg pair</v>
          </cell>
          <cell r="Y5288" t="str">
            <v>Past</v>
          </cell>
          <cell r="Z5288">
            <v>4.9000000000000004</v>
          </cell>
          <cell r="AA5288">
            <v>0</v>
          </cell>
          <cell r="AB5288">
            <v>0</v>
          </cell>
        </row>
        <row r="5289">
          <cell r="G5289" t="str">
            <v>X1914_1</v>
          </cell>
          <cell r="H5289" t="str">
            <v>as</v>
          </cell>
          <cell r="I5289" t="str">
            <v>sim</v>
          </cell>
          <cell r="V5289" t="str">
            <v>not neg pair</v>
          </cell>
          <cell r="Y5289" t="str">
            <v>Past</v>
          </cell>
          <cell r="Z5289">
            <v>4.9000000000000004</v>
          </cell>
          <cell r="AA5289">
            <v>0</v>
          </cell>
          <cell r="AB5289">
            <v>0</v>
          </cell>
        </row>
        <row r="5290">
          <cell r="G5290" t="str">
            <v>X1915_0</v>
          </cell>
          <cell r="H5290" t="str">
            <v>the-of</v>
          </cell>
          <cell r="I5290" t="str">
            <v>sim</v>
          </cell>
          <cell r="V5290" t="str">
            <v>not</v>
          </cell>
          <cell r="Y5290" t="str">
            <v>Past</v>
          </cell>
          <cell r="Z5290">
            <v>4.55</v>
          </cell>
          <cell r="AA5290">
            <v>0</v>
          </cell>
          <cell r="AB5290">
            <v>0</v>
          </cell>
        </row>
        <row r="5291">
          <cell r="G5291" t="str">
            <v>X1915_1</v>
          </cell>
          <cell r="H5291" t="str">
            <v>the-of</v>
          </cell>
          <cell r="I5291" t="str">
            <v>sim</v>
          </cell>
          <cell r="V5291" t="str">
            <v>not</v>
          </cell>
          <cell r="Y5291" t="str">
            <v>Past</v>
          </cell>
          <cell r="Z5291">
            <v>4.55</v>
          </cell>
          <cell r="AA5291">
            <v>0</v>
          </cell>
          <cell r="AB5291">
            <v>0</v>
          </cell>
        </row>
        <row r="5292">
          <cell r="G5292" t="str">
            <v>X1916_0</v>
          </cell>
          <cell r="H5292" t="str">
            <v>as-as</v>
          </cell>
          <cell r="I5292" t="str">
            <v>sim</v>
          </cell>
          <cell r="V5292" t="str">
            <v>antonym</v>
          </cell>
          <cell r="Y5292" t="str">
            <v>Past</v>
          </cell>
          <cell r="Z5292">
            <v>3.14</v>
          </cell>
          <cell r="AA5292">
            <v>0</v>
          </cell>
          <cell r="AB5292">
            <v>0</v>
          </cell>
        </row>
        <row r="5293">
          <cell r="G5293" t="str">
            <v>X1916_1</v>
          </cell>
          <cell r="H5293" t="str">
            <v>as-as</v>
          </cell>
          <cell r="I5293" t="str">
            <v>sim</v>
          </cell>
          <cell r="V5293" t="str">
            <v>antonym</v>
          </cell>
          <cell r="Y5293" t="str">
            <v>Past</v>
          </cell>
          <cell r="Z5293">
            <v>3.14</v>
          </cell>
          <cell r="AA5293">
            <v>0</v>
          </cell>
          <cell r="AB5293">
            <v>0</v>
          </cell>
        </row>
        <row r="5294">
          <cell r="G5294" t="str">
            <v>X1917_0</v>
          </cell>
          <cell r="H5294" t="str">
            <v>the-of</v>
          </cell>
          <cell r="I5294" t="str">
            <v>sim</v>
          </cell>
          <cell r="V5294" t="str">
            <v>not neg pair</v>
          </cell>
          <cell r="Y5294" t="str">
            <v>Past</v>
          </cell>
          <cell r="Z5294">
            <v>4.76</v>
          </cell>
          <cell r="AA5294">
            <v>0</v>
          </cell>
          <cell r="AB5294">
            <v>0</v>
          </cell>
        </row>
        <row r="5295">
          <cell r="G5295" t="str">
            <v>X1917_1</v>
          </cell>
          <cell r="H5295" t="str">
            <v>the-of</v>
          </cell>
          <cell r="I5295" t="str">
            <v>sim</v>
          </cell>
          <cell r="V5295" t="str">
            <v>not neg pair</v>
          </cell>
          <cell r="Y5295" t="str">
            <v>Past</v>
          </cell>
          <cell r="Z5295">
            <v>4.76</v>
          </cell>
          <cell r="AA5295">
            <v>0</v>
          </cell>
          <cell r="AB5295">
            <v>0</v>
          </cell>
        </row>
        <row r="5296">
          <cell r="G5296" t="str">
            <v>X1918_0</v>
          </cell>
          <cell r="H5296" t="str">
            <v>the-of</v>
          </cell>
          <cell r="I5296" t="str">
            <v>sim</v>
          </cell>
          <cell r="V5296" t="str">
            <v>not neg pair</v>
          </cell>
          <cell r="Y5296" t="str">
            <v>Pres</v>
          </cell>
          <cell r="Z5296">
            <v>3.37</v>
          </cell>
          <cell r="AA5296">
            <v>0</v>
          </cell>
          <cell r="AB5296">
            <v>0</v>
          </cell>
        </row>
        <row r="5297">
          <cell r="G5297" t="str">
            <v>X1918_1</v>
          </cell>
          <cell r="H5297" t="str">
            <v>as</v>
          </cell>
          <cell r="I5297" t="str">
            <v>sim</v>
          </cell>
          <cell r="V5297" t="str">
            <v>not neg pair</v>
          </cell>
          <cell r="Y5297" t="str">
            <v>Pres</v>
          </cell>
          <cell r="Z5297">
            <v>3.37</v>
          </cell>
          <cell r="AA5297">
            <v>0</v>
          </cell>
          <cell r="AB5297">
            <v>0</v>
          </cell>
        </row>
        <row r="5298">
          <cell r="G5298" t="str">
            <v>X1919_0</v>
          </cell>
          <cell r="H5298" t="str">
            <v>as-as</v>
          </cell>
          <cell r="I5298" t="str">
            <v>sim</v>
          </cell>
          <cell r="V5298" t="str">
            <v>antonym</v>
          </cell>
          <cell r="Y5298" t="str">
            <v>Pres</v>
          </cell>
          <cell r="Z5298">
            <v>2.76</v>
          </cell>
          <cell r="AA5298" t="str">
            <v>L</v>
          </cell>
          <cell r="AB5298">
            <v>0</v>
          </cell>
        </row>
        <row r="5299">
          <cell r="G5299" t="str">
            <v>X1919_1</v>
          </cell>
          <cell r="H5299" t="str">
            <v>as-as</v>
          </cell>
          <cell r="I5299" t="str">
            <v>sim</v>
          </cell>
          <cell r="V5299" t="str">
            <v>antonym</v>
          </cell>
          <cell r="Y5299" t="str">
            <v>Pres</v>
          </cell>
          <cell r="Z5299">
            <v>2.76</v>
          </cell>
          <cell r="AA5299" t="str">
            <v>L</v>
          </cell>
          <cell r="AB5299">
            <v>0</v>
          </cell>
        </row>
        <row r="5300">
          <cell r="G5300" t="str">
            <v>X1920_0</v>
          </cell>
          <cell r="H5300" t="str">
            <v>as-as</v>
          </cell>
          <cell r="I5300" t="str">
            <v>sim</v>
          </cell>
          <cell r="V5300" t="str">
            <v>not</v>
          </cell>
          <cell r="Y5300" t="str">
            <v>Pres</v>
          </cell>
          <cell r="Z5300">
            <v>4.1900000000000004</v>
          </cell>
          <cell r="AA5300">
            <v>0</v>
          </cell>
          <cell r="AB5300">
            <v>0</v>
          </cell>
        </row>
        <row r="5301">
          <cell r="G5301" t="str">
            <v>X1920_1</v>
          </cell>
          <cell r="H5301" t="str">
            <v>as-as</v>
          </cell>
          <cell r="I5301" t="str">
            <v>sim</v>
          </cell>
          <cell r="V5301" t="str">
            <v>not</v>
          </cell>
          <cell r="Y5301" t="str">
            <v>Pres</v>
          </cell>
          <cell r="Z5301">
            <v>4.1900000000000004</v>
          </cell>
          <cell r="AA5301">
            <v>0</v>
          </cell>
          <cell r="AB5301">
            <v>0</v>
          </cell>
        </row>
        <row r="5302">
          <cell r="G5302" t="str">
            <v>X1921_0</v>
          </cell>
          <cell r="H5302" t="str">
            <v>as-as</v>
          </cell>
          <cell r="I5302" t="str">
            <v>sim</v>
          </cell>
          <cell r="V5302" t="str">
            <v>not</v>
          </cell>
          <cell r="Y5302" t="str">
            <v>Pres</v>
          </cell>
          <cell r="Z5302">
            <v>4.1100000000000003</v>
          </cell>
          <cell r="AA5302">
            <v>0</v>
          </cell>
          <cell r="AB5302">
            <v>0</v>
          </cell>
        </row>
        <row r="5303">
          <cell r="G5303" t="str">
            <v>X1921_1</v>
          </cell>
          <cell r="H5303" t="str">
            <v>as-as</v>
          </cell>
          <cell r="I5303" t="str">
            <v>sim</v>
          </cell>
          <cell r="V5303" t="str">
            <v>not</v>
          </cell>
          <cell r="Y5303" t="str">
            <v>Past</v>
          </cell>
          <cell r="Z5303">
            <v>4.1100000000000003</v>
          </cell>
          <cell r="AA5303">
            <v>0</v>
          </cell>
          <cell r="AB5303">
            <v>0</v>
          </cell>
        </row>
        <row r="5304">
          <cell r="G5304" t="str">
            <v>X1922_0</v>
          </cell>
          <cell r="H5304" t="str">
            <v>as-as</v>
          </cell>
          <cell r="I5304" t="str">
            <v>sim</v>
          </cell>
          <cell r="V5304" t="str">
            <v>not</v>
          </cell>
          <cell r="Y5304" t="str">
            <v>Pres</v>
          </cell>
          <cell r="Z5304">
            <v>2.2799999999999998</v>
          </cell>
          <cell r="AA5304" t="str">
            <v>L</v>
          </cell>
          <cell r="AB5304">
            <v>0</v>
          </cell>
        </row>
        <row r="5305">
          <cell r="G5305" t="str">
            <v>X1922_1</v>
          </cell>
          <cell r="H5305" t="str">
            <v>as-as</v>
          </cell>
          <cell r="I5305" t="str">
            <v>sim</v>
          </cell>
          <cell r="V5305" t="str">
            <v>not</v>
          </cell>
          <cell r="Y5305" t="str">
            <v>Pres</v>
          </cell>
          <cell r="Z5305">
            <v>2.2799999999999998</v>
          </cell>
          <cell r="AA5305" t="str">
            <v>L</v>
          </cell>
          <cell r="AB5305">
            <v>0</v>
          </cell>
        </row>
        <row r="5306">
          <cell r="G5306" t="str">
            <v>X1923_0</v>
          </cell>
          <cell r="H5306" t="str">
            <v>as-as</v>
          </cell>
          <cell r="I5306" t="str">
            <v>sim</v>
          </cell>
          <cell r="V5306" t="str">
            <v>not</v>
          </cell>
          <cell r="Y5306" t="str">
            <v>Past</v>
          </cell>
          <cell r="Z5306">
            <v>4.26</v>
          </cell>
          <cell r="AA5306">
            <v>0</v>
          </cell>
          <cell r="AB5306">
            <v>0</v>
          </cell>
        </row>
        <row r="5307">
          <cell r="G5307" t="str">
            <v>X1923_1</v>
          </cell>
          <cell r="H5307" t="str">
            <v>as-as</v>
          </cell>
          <cell r="I5307" t="str">
            <v>sim</v>
          </cell>
          <cell r="V5307" t="str">
            <v>not</v>
          </cell>
          <cell r="Y5307" t="str">
            <v>Past</v>
          </cell>
          <cell r="Z5307">
            <v>4.26</v>
          </cell>
          <cell r="AA5307">
            <v>0</v>
          </cell>
          <cell r="AB5307">
            <v>0</v>
          </cell>
        </row>
        <row r="5308">
          <cell r="G5308" t="str">
            <v>X1924_0</v>
          </cell>
          <cell r="H5308" t="str">
            <v/>
          </cell>
          <cell r="I5308" t="str">
            <v>met</v>
          </cell>
          <cell r="V5308" t="str">
            <v>0</v>
          </cell>
          <cell r="Y5308" t="str">
            <v>Pres</v>
          </cell>
          <cell r="Z5308">
            <v>3.93</v>
          </cell>
          <cell r="AA5308">
            <v>0</v>
          </cell>
          <cell r="AB5308">
            <v>0</v>
          </cell>
        </row>
        <row r="5309">
          <cell r="G5309" t="str">
            <v>X1924_1</v>
          </cell>
          <cell r="H5309" t="str">
            <v/>
          </cell>
          <cell r="I5309" t="str">
            <v>met</v>
          </cell>
          <cell r="V5309" t="str">
            <v>0</v>
          </cell>
          <cell r="Y5309" t="str">
            <v>Pres</v>
          </cell>
          <cell r="Z5309">
            <v>3.93</v>
          </cell>
          <cell r="AA5309">
            <v>0</v>
          </cell>
          <cell r="AB5309">
            <v>0</v>
          </cell>
        </row>
        <row r="5310">
          <cell r="G5310" t="str">
            <v>X1925_0</v>
          </cell>
          <cell r="H5310" t="str">
            <v>as-as</v>
          </cell>
          <cell r="I5310" t="str">
            <v>sim</v>
          </cell>
          <cell r="V5310" t="str">
            <v>antonym</v>
          </cell>
          <cell r="Y5310" t="str">
            <v>Past</v>
          </cell>
          <cell r="Z5310">
            <v>4.3</v>
          </cell>
          <cell r="AA5310">
            <v>0</v>
          </cell>
          <cell r="AB5310">
            <v>0</v>
          </cell>
        </row>
        <row r="5311">
          <cell r="G5311" t="str">
            <v>X1925_1</v>
          </cell>
          <cell r="H5311" t="str">
            <v>as-as</v>
          </cell>
          <cell r="I5311" t="str">
            <v>sim</v>
          </cell>
          <cell r="V5311" t="str">
            <v>antonym</v>
          </cell>
          <cell r="Y5311" t="str">
            <v>Pres</v>
          </cell>
          <cell r="Z5311">
            <v>4.3</v>
          </cell>
          <cell r="AA5311">
            <v>0</v>
          </cell>
          <cell r="AB5311">
            <v>0</v>
          </cell>
        </row>
        <row r="5312">
          <cell r="G5312" t="str">
            <v>X1926_0</v>
          </cell>
          <cell r="H5312" t="str">
            <v>as-as</v>
          </cell>
          <cell r="I5312" t="str">
            <v>sim</v>
          </cell>
          <cell r="V5312" t="str">
            <v>not</v>
          </cell>
          <cell r="Y5312" t="str">
            <v>Past</v>
          </cell>
          <cell r="Z5312">
            <v>3.36</v>
          </cell>
          <cell r="AA5312">
            <v>0</v>
          </cell>
          <cell r="AB5312">
            <v>0</v>
          </cell>
        </row>
        <row r="5313">
          <cell r="G5313" t="str">
            <v>X1926_1</v>
          </cell>
          <cell r="H5313" t="str">
            <v>as-as</v>
          </cell>
          <cell r="I5313" t="str">
            <v>sim</v>
          </cell>
          <cell r="V5313" t="str">
            <v>not</v>
          </cell>
          <cell r="Y5313" t="str">
            <v>Past</v>
          </cell>
          <cell r="Z5313">
            <v>3.36</v>
          </cell>
          <cell r="AA5313">
            <v>0</v>
          </cell>
          <cell r="AB5313">
            <v>0</v>
          </cell>
        </row>
        <row r="5314">
          <cell r="G5314" t="str">
            <v>X1927_0</v>
          </cell>
          <cell r="H5314" t="str">
            <v>as-as</v>
          </cell>
          <cell r="I5314" t="str">
            <v>sim</v>
          </cell>
          <cell r="V5314" t="str">
            <v>not</v>
          </cell>
          <cell r="Y5314" t="str">
            <v>Past</v>
          </cell>
          <cell r="Z5314">
            <v>2.5499999999999998</v>
          </cell>
          <cell r="AA5314" t="str">
            <v>L</v>
          </cell>
          <cell r="AB5314">
            <v>0</v>
          </cell>
        </row>
        <row r="5315">
          <cell r="G5315" t="str">
            <v>X1927_1</v>
          </cell>
          <cell r="H5315" t="str">
            <v>as-as</v>
          </cell>
          <cell r="I5315" t="str">
            <v>sim</v>
          </cell>
          <cell r="V5315" t="str">
            <v>not</v>
          </cell>
          <cell r="Y5315" t="str">
            <v>Past</v>
          </cell>
          <cell r="Z5315">
            <v>2.5499999999999998</v>
          </cell>
          <cell r="AA5315" t="str">
            <v>L</v>
          </cell>
          <cell r="AB5315">
            <v>0</v>
          </cell>
        </row>
        <row r="5316">
          <cell r="G5316" t="str">
            <v>X1928_0</v>
          </cell>
          <cell r="H5316" t="str">
            <v>as-as</v>
          </cell>
          <cell r="I5316" t="str">
            <v>sim</v>
          </cell>
          <cell r="V5316" t="str">
            <v>not</v>
          </cell>
          <cell r="Y5316" t="str">
            <v>Past</v>
          </cell>
          <cell r="Z5316">
            <v>3.85</v>
          </cell>
          <cell r="AA5316">
            <v>0</v>
          </cell>
          <cell r="AB5316">
            <v>0</v>
          </cell>
        </row>
        <row r="5317">
          <cell r="G5317" t="str">
            <v>X1928_1</v>
          </cell>
          <cell r="H5317" t="str">
            <v>as-as</v>
          </cell>
          <cell r="I5317" t="str">
            <v>sim</v>
          </cell>
          <cell r="V5317" t="str">
            <v>not</v>
          </cell>
          <cell r="Y5317" t="str">
            <v>Past</v>
          </cell>
          <cell r="Z5317">
            <v>3.85</v>
          </cell>
          <cell r="AA5317">
            <v>0</v>
          </cell>
          <cell r="AB5317">
            <v>0</v>
          </cell>
        </row>
        <row r="5318">
          <cell r="G5318" t="str">
            <v>X1929_0</v>
          </cell>
          <cell r="H5318" t="str">
            <v>the-of</v>
          </cell>
          <cell r="I5318" t="str">
            <v>sim</v>
          </cell>
          <cell r="V5318" t="str">
            <v>not neg pair</v>
          </cell>
          <cell r="Y5318" t="str">
            <v>Past</v>
          </cell>
          <cell r="Z5318">
            <v>3.7</v>
          </cell>
          <cell r="AA5318">
            <v>0</v>
          </cell>
          <cell r="AB5318">
            <v>0</v>
          </cell>
        </row>
        <row r="5319">
          <cell r="G5319" t="str">
            <v>X1929_1</v>
          </cell>
          <cell r="H5319" t="str">
            <v>the-of</v>
          </cell>
          <cell r="I5319" t="str">
            <v>sim</v>
          </cell>
          <cell r="V5319" t="str">
            <v>not neg pair</v>
          </cell>
          <cell r="Y5319" t="str">
            <v>Past</v>
          </cell>
          <cell r="Z5319">
            <v>3.96</v>
          </cell>
          <cell r="AA5319">
            <v>0</v>
          </cell>
          <cell r="AB5319">
            <v>0</v>
          </cell>
        </row>
        <row r="5320">
          <cell r="G5320" t="str">
            <v>X1930_0</v>
          </cell>
          <cell r="H5320" t="str">
            <v>as</v>
          </cell>
          <cell r="I5320" t="str">
            <v>sim</v>
          </cell>
          <cell r="V5320" t="str">
            <v>not</v>
          </cell>
          <cell r="Y5320" t="str">
            <v>Past</v>
          </cell>
          <cell r="Z5320">
            <v>4.79</v>
          </cell>
          <cell r="AA5320">
            <v>0</v>
          </cell>
          <cell r="AB5320">
            <v>0</v>
          </cell>
        </row>
        <row r="5321">
          <cell r="G5321" t="str">
            <v>X1930_1</v>
          </cell>
          <cell r="H5321" t="str">
            <v>as</v>
          </cell>
          <cell r="I5321" t="str">
            <v>sim</v>
          </cell>
          <cell r="V5321" t="str">
            <v>not</v>
          </cell>
          <cell r="Y5321" t="str">
            <v>Past</v>
          </cell>
          <cell r="Z5321">
            <v>0</v>
          </cell>
          <cell r="AA5321">
            <v>0</v>
          </cell>
          <cell r="AB5321">
            <v>0</v>
          </cell>
        </row>
        <row r="5322">
          <cell r="G5322" t="str">
            <v>X1931_0</v>
          </cell>
          <cell r="H5322" t="str">
            <v>like</v>
          </cell>
          <cell r="I5322" t="str">
            <v>sim</v>
          </cell>
          <cell r="V5322" t="str">
            <v>not neg pair</v>
          </cell>
          <cell r="Y5322" t="str">
            <v>Past</v>
          </cell>
          <cell r="Z5322">
            <v>2.2799999999999998</v>
          </cell>
          <cell r="AA5322" t="str">
            <v>L</v>
          </cell>
          <cell r="AB5322">
            <v>0</v>
          </cell>
        </row>
        <row r="5323">
          <cell r="G5323" t="str">
            <v>X1931_1</v>
          </cell>
          <cell r="H5323" t="str">
            <v>like</v>
          </cell>
          <cell r="I5323" t="str">
            <v>sim</v>
          </cell>
          <cell r="V5323" t="str">
            <v>not neg pair</v>
          </cell>
          <cell r="Y5323" t="str">
            <v>Past</v>
          </cell>
          <cell r="Z5323">
            <v>2.2799999999999998</v>
          </cell>
          <cell r="AA5323" t="str">
            <v>L</v>
          </cell>
          <cell r="AB5323">
            <v>0</v>
          </cell>
        </row>
        <row r="5324">
          <cell r="G5324" t="str">
            <v>X1932_0</v>
          </cell>
          <cell r="H5324" t="str">
            <v>as-as</v>
          </cell>
          <cell r="I5324" t="str">
            <v>sim</v>
          </cell>
          <cell r="V5324" t="str">
            <v>not neg pair</v>
          </cell>
          <cell r="Y5324" t="str">
            <v>Past</v>
          </cell>
          <cell r="Z5324">
            <v>2.81</v>
          </cell>
          <cell r="AA5324">
            <v>0</v>
          </cell>
          <cell r="AB5324">
            <v>0</v>
          </cell>
        </row>
        <row r="5325">
          <cell r="G5325" t="str">
            <v>X1932_1</v>
          </cell>
          <cell r="H5325" t="str">
            <v>as-as</v>
          </cell>
          <cell r="I5325" t="str">
            <v>sim</v>
          </cell>
          <cell r="V5325" t="str">
            <v>not neg pair</v>
          </cell>
          <cell r="Y5325" t="str">
            <v>Past</v>
          </cell>
          <cell r="Z5325">
            <v>2.81</v>
          </cell>
          <cell r="AA5325">
            <v>0</v>
          </cell>
          <cell r="AB5325">
            <v>0</v>
          </cell>
        </row>
        <row r="5326">
          <cell r="G5326" t="str">
            <v>X1933_0</v>
          </cell>
          <cell r="H5326" t="str">
            <v>as-as</v>
          </cell>
          <cell r="I5326" t="str">
            <v>sim</v>
          </cell>
          <cell r="V5326" t="str">
            <v>not</v>
          </cell>
          <cell r="Y5326" t="str">
            <v>Past</v>
          </cell>
          <cell r="Z5326">
            <v>2.81</v>
          </cell>
          <cell r="AA5326">
            <v>0</v>
          </cell>
          <cell r="AB5326">
            <v>0</v>
          </cell>
        </row>
        <row r="5327">
          <cell r="G5327" t="str">
            <v>X1933_1</v>
          </cell>
          <cell r="H5327" t="str">
            <v>as-as</v>
          </cell>
          <cell r="I5327" t="str">
            <v>sim</v>
          </cell>
          <cell r="V5327" t="str">
            <v>not</v>
          </cell>
          <cell r="Y5327" t="str">
            <v>Past</v>
          </cell>
          <cell r="Z5327">
            <v>2.81</v>
          </cell>
          <cell r="AA5327">
            <v>0</v>
          </cell>
          <cell r="AB5327">
            <v>0</v>
          </cell>
        </row>
        <row r="5328">
          <cell r="G5328" t="str">
            <v>X1934_0</v>
          </cell>
          <cell r="H5328" t="str">
            <v>as-as</v>
          </cell>
          <cell r="I5328" t="str">
            <v>sim</v>
          </cell>
          <cell r="V5328" t="str">
            <v>not</v>
          </cell>
          <cell r="Y5328" t="str">
            <v>Past</v>
          </cell>
          <cell r="Z5328">
            <v>2.81</v>
          </cell>
          <cell r="AA5328">
            <v>0</v>
          </cell>
          <cell r="AB5328">
            <v>0</v>
          </cell>
        </row>
        <row r="5329">
          <cell r="G5329" t="str">
            <v>X1934_1</v>
          </cell>
          <cell r="H5329" t="str">
            <v>as-as</v>
          </cell>
          <cell r="I5329" t="str">
            <v>sim</v>
          </cell>
          <cell r="V5329" t="str">
            <v>not</v>
          </cell>
          <cell r="Y5329" t="str">
            <v>Past</v>
          </cell>
          <cell r="Z5329">
            <v>2.81</v>
          </cell>
          <cell r="AA5329">
            <v>0</v>
          </cell>
          <cell r="AB5329">
            <v>0</v>
          </cell>
        </row>
        <row r="5330">
          <cell r="G5330" t="str">
            <v>X1935_0</v>
          </cell>
          <cell r="H5330" t="str">
            <v/>
          </cell>
          <cell r="I5330" t="str">
            <v>met</v>
          </cell>
          <cell r="V5330" t="str">
            <v>0</v>
          </cell>
          <cell r="Y5330" t="str">
            <v>Pres</v>
          </cell>
          <cell r="Z5330">
            <v>4.1100000000000003</v>
          </cell>
          <cell r="AA5330">
            <v>0</v>
          </cell>
          <cell r="AB5330">
            <v>0</v>
          </cell>
        </row>
        <row r="5331">
          <cell r="G5331" t="str">
            <v>X1935_1</v>
          </cell>
          <cell r="H5331" t="str">
            <v/>
          </cell>
          <cell r="I5331" t="str">
            <v>met</v>
          </cell>
          <cell r="V5331" t="str">
            <v>0</v>
          </cell>
          <cell r="Y5331" t="str">
            <v>Pres</v>
          </cell>
          <cell r="Z5331">
            <v>4.1100000000000003</v>
          </cell>
          <cell r="AA5331">
            <v>0</v>
          </cell>
          <cell r="AB5331">
            <v>0</v>
          </cell>
        </row>
        <row r="5332">
          <cell r="G5332" t="str">
            <v>X1936_0</v>
          </cell>
          <cell r="H5332" t="str">
            <v/>
          </cell>
          <cell r="I5332" t="str">
            <v>met</v>
          </cell>
          <cell r="V5332" t="str">
            <v>0</v>
          </cell>
          <cell r="Y5332" t="str">
            <v>Past</v>
          </cell>
          <cell r="Z5332">
            <v>2.5499999999999998</v>
          </cell>
          <cell r="AA5332" t="str">
            <v>L</v>
          </cell>
          <cell r="AB5332">
            <v>0</v>
          </cell>
        </row>
        <row r="5333">
          <cell r="G5333" t="str">
            <v>X1936_1</v>
          </cell>
          <cell r="H5333" t="str">
            <v/>
          </cell>
          <cell r="I5333" t="str">
            <v>met</v>
          </cell>
          <cell r="V5333" t="str">
            <v>0</v>
          </cell>
          <cell r="Y5333" t="str">
            <v>Past</v>
          </cell>
          <cell r="Z5333">
            <v>2.5499999999999998</v>
          </cell>
          <cell r="AA5333" t="str">
            <v>L</v>
          </cell>
          <cell r="AB5333">
            <v>0</v>
          </cell>
        </row>
        <row r="5334">
          <cell r="G5334" t="str">
            <v>X1937_0</v>
          </cell>
          <cell r="H5334" t="str">
            <v>the-of</v>
          </cell>
          <cell r="I5334" t="str">
            <v>sim</v>
          </cell>
          <cell r="V5334" t="str">
            <v>not neg pair</v>
          </cell>
          <cell r="Y5334" t="str">
            <v>Pres</v>
          </cell>
          <cell r="Z5334">
            <v>2.82</v>
          </cell>
          <cell r="AA5334">
            <v>0</v>
          </cell>
          <cell r="AB5334">
            <v>0</v>
          </cell>
        </row>
        <row r="5335">
          <cell r="G5335" t="str">
            <v>X1937_1</v>
          </cell>
          <cell r="H5335" t="str">
            <v>the-of</v>
          </cell>
          <cell r="I5335" t="str">
            <v>sim</v>
          </cell>
          <cell r="V5335" t="str">
            <v>not neg pair</v>
          </cell>
          <cell r="Y5335" t="str">
            <v>Pres</v>
          </cell>
          <cell r="Z5335">
            <v>2.82</v>
          </cell>
          <cell r="AA5335">
            <v>0</v>
          </cell>
          <cell r="AB5335">
            <v>0</v>
          </cell>
        </row>
        <row r="5336">
          <cell r="G5336" t="str">
            <v>X1938_0</v>
          </cell>
          <cell r="H5336" t="str">
            <v>the-of</v>
          </cell>
          <cell r="I5336" t="str">
            <v>sim</v>
          </cell>
          <cell r="V5336" t="str">
            <v>not neg pair</v>
          </cell>
          <cell r="Y5336" t="str">
            <v>Pres</v>
          </cell>
          <cell r="Z5336">
            <v>2.5499999999999998</v>
          </cell>
          <cell r="AA5336" t="str">
            <v>L</v>
          </cell>
          <cell r="AB5336">
            <v>0</v>
          </cell>
        </row>
        <row r="5337">
          <cell r="G5337" t="str">
            <v>X1938_1</v>
          </cell>
          <cell r="H5337" t="str">
            <v>the-of</v>
          </cell>
          <cell r="I5337" t="str">
            <v>sim</v>
          </cell>
          <cell r="V5337" t="str">
            <v>not neg pair</v>
          </cell>
          <cell r="Y5337" t="str">
            <v>Past</v>
          </cell>
          <cell r="Z5337">
            <v>2.5499999999999998</v>
          </cell>
          <cell r="AA5337" t="str">
            <v>L</v>
          </cell>
          <cell r="AB5337">
            <v>0</v>
          </cell>
        </row>
        <row r="5338">
          <cell r="G5338" t="str">
            <v>X1939_0</v>
          </cell>
          <cell r="H5338" t="str">
            <v>as-as</v>
          </cell>
          <cell r="I5338" t="str">
            <v>sim</v>
          </cell>
          <cell r="V5338" t="str">
            <v>not neg pair</v>
          </cell>
          <cell r="Y5338" t="str">
            <v>Pres</v>
          </cell>
          <cell r="Z5338">
            <v>2.2799999999999998</v>
          </cell>
          <cell r="AA5338" t="str">
            <v>L</v>
          </cell>
          <cell r="AB5338">
            <v>0</v>
          </cell>
        </row>
        <row r="5339">
          <cell r="G5339" t="str">
            <v>X1939_1</v>
          </cell>
          <cell r="H5339" t="str">
            <v>as-as</v>
          </cell>
          <cell r="I5339" t="str">
            <v>sim</v>
          </cell>
          <cell r="V5339" t="str">
            <v>not neg pair</v>
          </cell>
          <cell r="Y5339" t="str">
            <v>Pres</v>
          </cell>
          <cell r="Z5339">
            <v>2.2799999999999998</v>
          </cell>
          <cell r="AA5339" t="str">
            <v>L</v>
          </cell>
          <cell r="AB5339">
            <v>0</v>
          </cell>
        </row>
        <row r="5340">
          <cell r="G5340" t="str">
            <v>X1940_0</v>
          </cell>
          <cell r="H5340" t="str">
            <v/>
          </cell>
          <cell r="I5340" t="str">
            <v>met</v>
          </cell>
          <cell r="V5340" t="str">
            <v>0</v>
          </cell>
          <cell r="Y5340" t="str">
            <v>Pres</v>
          </cell>
          <cell r="Z5340">
            <v>1.61</v>
          </cell>
          <cell r="AA5340" t="str">
            <v>L</v>
          </cell>
          <cell r="AB5340">
            <v>0</v>
          </cell>
        </row>
        <row r="5341">
          <cell r="G5341" t="str">
            <v>X1940_1</v>
          </cell>
          <cell r="H5341" t="str">
            <v/>
          </cell>
          <cell r="I5341" t="str">
            <v>met</v>
          </cell>
          <cell r="V5341" t="str">
            <v>0</v>
          </cell>
          <cell r="Y5341" t="str">
            <v>Pres</v>
          </cell>
          <cell r="Z5341">
            <v>1.61</v>
          </cell>
          <cell r="AA5341" t="str">
            <v>L</v>
          </cell>
          <cell r="AB5341">
            <v>0</v>
          </cell>
        </row>
        <row r="5342">
          <cell r="G5342" t="str">
            <v>X1941_0</v>
          </cell>
          <cell r="H5342" t="str">
            <v/>
          </cell>
          <cell r="I5342" t="str">
            <v>met</v>
          </cell>
          <cell r="V5342" t="str">
            <v>0</v>
          </cell>
          <cell r="Y5342" t="str">
            <v>Pres</v>
          </cell>
          <cell r="Z5342">
            <v>3.24</v>
          </cell>
          <cell r="AA5342">
            <v>0</v>
          </cell>
          <cell r="AB5342">
            <v>0</v>
          </cell>
        </row>
        <row r="5343">
          <cell r="G5343" t="str">
            <v>X1941_1</v>
          </cell>
          <cell r="H5343" t="str">
            <v/>
          </cell>
          <cell r="I5343" t="str">
            <v>met</v>
          </cell>
          <cell r="V5343" t="str">
            <v>0</v>
          </cell>
          <cell r="Y5343" t="str">
            <v>Pres</v>
          </cell>
          <cell r="Z5343">
            <v>3.24</v>
          </cell>
          <cell r="AA5343">
            <v>0</v>
          </cell>
          <cell r="AB5343">
            <v>0</v>
          </cell>
        </row>
        <row r="5344">
          <cell r="G5344" t="str">
            <v>X1942_0</v>
          </cell>
          <cell r="H5344" t="str">
            <v/>
          </cell>
          <cell r="I5344" t="str">
            <v>met</v>
          </cell>
          <cell r="V5344" t="str">
            <v>0</v>
          </cell>
          <cell r="Y5344" t="str">
            <v>Past</v>
          </cell>
          <cell r="Z5344">
            <v>4.58</v>
          </cell>
          <cell r="AA5344">
            <v>0</v>
          </cell>
          <cell r="AB5344">
            <v>0</v>
          </cell>
        </row>
        <row r="5345">
          <cell r="G5345" t="str">
            <v>X1942_1</v>
          </cell>
          <cell r="H5345" t="str">
            <v/>
          </cell>
          <cell r="I5345" t="str">
            <v>met</v>
          </cell>
          <cell r="V5345" t="str">
            <v>0</v>
          </cell>
          <cell r="Y5345" t="str">
            <v>Past</v>
          </cell>
          <cell r="Z5345">
            <v>4.58</v>
          </cell>
          <cell r="AA5345">
            <v>0</v>
          </cell>
          <cell r="AB5345">
            <v>0</v>
          </cell>
        </row>
        <row r="5346">
          <cell r="G5346" t="str">
            <v>X1943_0</v>
          </cell>
          <cell r="H5346" t="str">
            <v>as-as</v>
          </cell>
          <cell r="I5346" t="str">
            <v>sim</v>
          </cell>
          <cell r="V5346" t="str">
            <v>antonym</v>
          </cell>
          <cell r="Y5346" t="str">
            <v>Pres</v>
          </cell>
          <cell r="Z5346">
            <v>4.7699999999999996</v>
          </cell>
          <cell r="AA5346">
            <v>0</v>
          </cell>
          <cell r="AB5346">
            <v>0</v>
          </cell>
        </row>
        <row r="5347">
          <cell r="G5347" t="str">
            <v>X1943_1</v>
          </cell>
          <cell r="H5347" t="str">
            <v>as-as</v>
          </cell>
          <cell r="I5347" t="str">
            <v>sim</v>
          </cell>
          <cell r="V5347" t="str">
            <v>antonym</v>
          </cell>
          <cell r="Y5347" t="str">
            <v>Pres</v>
          </cell>
          <cell r="Z5347">
            <v>4.7699999999999996</v>
          </cell>
          <cell r="AA5347">
            <v>0</v>
          </cell>
          <cell r="AB5347">
            <v>0</v>
          </cell>
        </row>
        <row r="5348">
          <cell r="G5348" t="str">
            <v>X1944_0</v>
          </cell>
          <cell r="H5348" t="str">
            <v>as-as</v>
          </cell>
          <cell r="I5348" t="str">
            <v>sim</v>
          </cell>
          <cell r="V5348" t="str">
            <v>antonym</v>
          </cell>
          <cell r="Y5348" t="str">
            <v>Past</v>
          </cell>
          <cell r="Z5348">
            <v>1.61</v>
          </cell>
          <cell r="AA5348" t="str">
            <v>L</v>
          </cell>
          <cell r="AB5348">
            <v>0</v>
          </cell>
        </row>
        <row r="5349">
          <cell r="G5349" t="str">
            <v>X1944_1</v>
          </cell>
          <cell r="H5349" t="str">
            <v>as-as</v>
          </cell>
          <cell r="I5349" t="str">
            <v>sim</v>
          </cell>
          <cell r="V5349" t="str">
            <v>antonym</v>
          </cell>
          <cell r="Y5349" t="str">
            <v>Past</v>
          </cell>
          <cell r="Z5349">
            <v>1.61</v>
          </cell>
          <cell r="AA5349" t="str">
            <v>L</v>
          </cell>
          <cell r="AB5349">
            <v>0</v>
          </cell>
        </row>
        <row r="5350">
          <cell r="G5350" t="str">
            <v>X1945_0</v>
          </cell>
          <cell r="H5350" t="str">
            <v>like</v>
          </cell>
          <cell r="I5350" t="str">
            <v>sim</v>
          </cell>
          <cell r="V5350" t="str">
            <v>not neg pair</v>
          </cell>
          <cell r="Y5350" t="str">
            <v>Past</v>
          </cell>
          <cell r="Z5350">
            <v>2.33</v>
          </cell>
          <cell r="AA5350" t="str">
            <v>L</v>
          </cell>
          <cell r="AB5350">
            <v>0</v>
          </cell>
        </row>
        <row r="5351">
          <cell r="G5351" t="str">
            <v>X1945_1</v>
          </cell>
          <cell r="H5351" t="str">
            <v>like</v>
          </cell>
          <cell r="I5351" t="str">
            <v>sim</v>
          </cell>
          <cell r="V5351" t="str">
            <v>not neg pair</v>
          </cell>
          <cell r="Y5351" t="str">
            <v>Past</v>
          </cell>
          <cell r="Z5351">
            <v>2.33</v>
          </cell>
          <cell r="AA5351" t="str">
            <v>L</v>
          </cell>
          <cell r="AB5351">
            <v>0</v>
          </cell>
        </row>
        <row r="5352">
          <cell r="G5352" t="str">
            <v>X1946_0</v>
          </cell>
          <cell r="H5352" t="str">
            <v>the-of</v>
          </cell>
          <cell r="I5352" t="str">
            <v>sim</v>
          </cell>
          <cell r="V5352" t="str">
            <v>not neg pair</v>
          </cell>
          <cell r="Y5352" t="str">
            <v>Past</v>
          </cell>
          <cell r="Z5352">
            <v>3.36</v>
          </cell>
          <cell r="AA5352">
            <v>0</v>
          </cell>
          <cell r="AB5352">
            <v>0</v>
          </cell>
        </row>
        <row r="5353">
          <cell r="G5353" t="str">
            <v>X1946_1</v>
          </cell>
          <cell r="H5353" t="str">
            <v>the-of</v>
          </cell>
          <cell r="I5353" t="str">
            <v>sim</v>
          </cell>
          <cell r="V5353" t="str">
            <v>not neg pair</v>
          </cell>
          <cell r="Y5353" t="str">
            <v>Past</v>
          </cell>
          <cell r="Z5353">
            <v>3.36</v>
          </cell>
          <cell r="AA5353">
            <v>0</v>
          </cell>
          <cell r="AB5353">
            <v>0</v>
          </cell>
        </row>
        <row r="5354">
          <cell r="G5354" t="str">
            <v>X1947_0</v>
          </cell>
          <cell r="H5354" t="str">
            <v/>
          </cell>
          <cell r="I5354" t="str">
            <v>met</v>
          </cell>
          <cell r="V5354" t="str">
            <v>0</v>
          </cell>
          <cell r="Y5354" t="str">
            <v>Pres</v>
          </cell>
          <cell r="Z5354">
            <v>4.8499999999999996</v>
          </cell>
          <cell r="AA5354">
            <v>0</v>
          </cell>
          <cell r="AB5354">
            <v>0</v>
          </cell>
        </row>
        <row r="5355">
          <cell r="G5355" t="str">
            <v>X1947_1</v>
          </cell>
          <cell r="H5355" t="str">
            <v/>
          </cell>
          <cell r="I5355" t="str">
            <v>met</v>
          </cell>
          <cell r="V5355" t="str">
            <v>0</v>
          </cell>
          <cell r="Y5355" t="str">
            <v>Pres</v>
          </cell>
          <cell r="Z5355">
            <v>4.8499999999999996</v>
          </cell>
          <cell r="AA5355">
            <v>0</v>
          </cell>
          <cell r="AB5355">
            <v>0</v>
          </cell>
        </row>
        <row r="5356">
          <cell r="G5356" t="str">
            <v>X1948_0</v>
          </cell>
          <cell r="H5356" t="str">
            <v>as-as</v>
          </cell>
          <cell r="I5356" t="str">
            <v>sim</v>
          </cell>
          <cell r="V5356" t="str">
            <v>antonym</v>
          </cell>
          <cell r="Y5356" t="str">
            <v>Pres</v>
          </cell>
          <cell r="Z5356">
            <v>3.85</v>
          </cell>
          <cell r="AA5356">
            <v>0</v>
          </cell>
          <cell r="AB5356">
            <v>0</v>
          </cell>
        </row>
        <row r="5357">
          <cell r="G5357" t="str">
            <v>X1948_1</v>
          </cell>
          <cell r="H5357" t="str">
            <v>as-as</v>
          </cell>
          <cell r="I5357" t="str">
            <v>sim</v>
          </cell>
          <cell r="V5357" t="str">
            <v>antonym</v>
          </cell>
          <cell r="Y5357" t="str">
            <v>Pres</v>
          </cell>
          <cell r="Z5357">
            <v>3.85</v>
          </cell>
          <cell r="AA5357">
            <v>0</v>
          </cell>
          <cell r="AB5357">
            <v>0</v>
          </cell>
        </row>
        <row r="5358">
          <cell r="G5358" t="str">
            <v>X1949_0</v>
          </cell>
          <cell r="H5358" t="str">
            <v>as-as</v>
          </cell>
          <cell r="I5358" t="str">
            <v>sim</v>
          </cell>
          <cell r="V5358" t="str">
            <v>antonym</v>
          </cell>
          <cell r="Y5358" t="str">
            <v>Past</v>
          </cell>
          <cell r="Z5358">
            <v>4.9000000000000004</v>
          </cell>
          <cell r="AA5358">
            <v>0</v>
          </cell>
          <cell r="AB5358">
            <v>0</v>
          </cell>
        </row>
        <row r="5359">
          <cell r="G5359" t="str">
            <v>X1949_1</v>
          </cell>
          <cell r="H5359" t="str">
            <v>as-as</v>
          </cell>
          <cell r="I5359" t="str">
            <v>sim</v>
          </cell>
          <cell r="V5359" t="str">
            <v>antonym</v>
          </cell>
          <cell r="Y5359" t="str">
            <v>Past</v>
          </cell>
          <cell r="Z5359">
            <v>4.9000000000000004</v>
          </cell>
          <cell r="AA5359">
            <v>0</v>
          </cell>
          <cell r="AB5359">
            <v>0</v>
          </cell>
        </row>
        <row r="5360">
          <cell r="G5360" t="str">
            <v>X1950_0</v>
          </cell>
          <cell r="H5360" t="str">
            <v>as-as</v>
          </cell>
          <cell r="I5360" t="str">
            <v>sim</v>
          </cell>
          <cell r="V5360" t="str">
            <v>antonym</v>
          </cell>
          <cell r="Y5360" t="str">
            <v>Past</v>
          </cell>
          <cell r="Z5360">
            <v>4.72</v>
          </cell>
          <cell r="AA5360">
            <v>0</v>
          </cell>
          <cell r="AB5360">
            <v>0</v>
          </cell>
        </row>
        <row r="5361">
          <cell r="G5361" t="str">
            <v>X1950_1</v>
          </cell>
          <cell r="H5361" t="str">
            <v>as-as</v>
          </cell>
          <cell r="I5361" t="str">
            <v>sim</v>
          </cell>
          <cell r="V5361" t="str">
            <v>antonym</v>
          </cell>
          <cell r="Y5361" t="str">
            <v>Past</v>
          </cell>
          <cell r="Z5361">
            <v>4.72</v>
          </cell>
          <cell r="AA5361">
            <v>0</v>
          </cell>
          <cell r="AB5361">
            <v>0</v>
          </cell>
        </row>
        <row r="5362">
          <cell r="G5362" t="str">
            <v>X1951_0</v>
          </cell>
          <cell r="H5362" t="str">
            <v>as-as</v>
          </cell>
          <cell r="I5362" t="str">
            <v>sim</v>
          </cell>
          <cell r="V5362" t="str">
            <v>antonym</v>
          </cell>
          <cell r="Y5362" t="str">
            <v>Past</v>
          </cell>
          <cell r="Z5362">
            <v>3.89</v>
          </cell>
          <cell r="AA5362">
            <v>0</v>
          </cell>
          <cell r="AB5362">
            <v>0</v>
          </cell>
        </row>
        <row r="5363">
          <cell r="G5363" t="str">
            <v>X1951_1</v>
          </cell>
          <cell r="H5363" t="str">
            <v>as-as</v>
          </cell>
          <cell r="I5363" t="str">
            <v>sim</v>
          </cell>
          <cell r="V5363" t="str">
            <v>antonym</v>
          </cell>
          <cell r="Y5363" t="str">
            <v>Past</v>
          </cell>
          <cell r="Z5363">
            <v>3.89</v>
          </cell>
          <cell r="AA5363">
            <v>0</v>
          </cell>
          <cell r="AB5363">
            <v>0</v>
          </cell>
        </row>
        <row r="5364">
          <cell r="G5364" t="str">
            <v>X1952_0</v>
          </cell>
          <cell r="H5364" t="str">
            <v>as-as</v>
          </cell>
          <cell r="I5364" t="str">
            <v>sim</v>
          </cell>
          <cell r="V5364" t="str">
            <v>not</v>
          </cell>
          <cell r="Y5364" t="str">
            <v>Past</v>
          </cell>
          <cell r="Z5364">
            <v>2.81</v>
          </cell>
          <cell r="AA5364">
            <v>0</v>
          </cell>
          <cell r="AB5364">
            <v>0</v>
          </cell>
        </row>
        <row r="5365">
          <cell r="G5365" t="str">
            <v>X1952_1</v>
          </cell>
          <cell r="H5365" t="str">
            <v>as-as</v>
          </cell>
          <cell r="I5365" t="str">
            <v>sim</v>
          </cell>
          <cell r="V5365" t="str">
            <v>not</v>
          </cell>
          <cell r="Y5365" t="str">
            <v>Past</v>
          </cell>
          <cell r="Z5365">
            <v>2.81</v>
          </cell>
          <cell r="AA5365">
            <v>0</v>
          </cell>
          <cell r="AB5365">
            <v>0</v>
          </cell>
        </row>
        <row r="5366">
          <cell r="G5366" t="str">
            <v>X1953_0</v>
          </cell>
          <cell r="H5366" t="str">
            <v>as-as</v>
          </cell>
          <cell r="I5366" t="str">
            <v>sim</v>
          </cell>
          <cell r="V5366" t="str">
            <v>not</v>
          </cell>
          <cell r="Y5366" t="str">
            <v>Past</v>
          </cell>
          <cell r="Z5366">
            <v>4.79</v>
          </cell>
          <cell r="AA5366">
            <v>0</v>
          </cell>
          <cell r="AB5366">
            <v>0</v>
          </cell>
        </row>
        <row r="5367">
          <cell r="G5367" t="str">
            <v>X1953_1</v>
          </cell>
          <cell r="H5367" t="str">
            <v>as-as</v>
          </cell>
          <cell r="I5367" t="str">
            <v>sim</v>
          </cell>
          <cell r="V5367" t="str">
            <v>not</v>
          </cell>
          <cell r="Y5367" t="str">
            <v>Past</v>
          </cell>
          <cell r="Z5367">
            <v>4.79</v>
          </cell>
          <cell r="AA5367">
            <v>0</v>
          </cell>
          <cell r="AB5367">
            <v>0</v>
          </cell>
        </row>
        <row r="5368">
          <cell r="G5368" t="str">
            <v>X1954_0</v>
          </cell>
          <cell r="H5368" t="str">
            <v>as-as</v>
          </cell>
          <cell r="I5368" t="str">
            <v>sim</v>
          </cell>
          <cell r="V5368" t="str">
            <v>antonym</v>
          </cell>
          <cell r="Y5368" t="str">
            <v>Past</v>
          </cell>
          <cell r="Z5368">
            <v>3.9</v>
          </cell>
          <cell r="AA5368">
            <v>0</v>
          </cell>
          <cell r="AB5368">
            <v>0</v>
          </cell>
        </row>
        <row r="5369">
          <cell r="G5369" t="str">
            <v>X1954_1</v>
          </cell>
          <cell r="H5369" t="str">
            <v>as-as</v>
          </cell>
          <cell r="I5369" t="str">
            <v>sim</v>
          </cell>
          <cell r="V5369" t="str">
            <v>antonym</v>
          </cell>
          <cell r="Y5369" t="str">
            <v>Past</v>
          </cell>
          <cell r="Z5369">
            <v>3.9</v>
          </cell>
          <cell r="AA5369">
            <v>0</v>
          </cell>
          <cell r="AB5369">
            <v>0</v>
          </cell>
        </row>
        <row r="5370">
          <cell r="G5370" t="str">
            <v>X1955_0</v>
          </cell>
          <cell r="H5370" t="str">
            <v>the-of</v>
          </cell>
          <cell r="I5370" t="str">
            <v>sim</v>
          </cell>
          <cell r="V5370" t="str">
            <v>not</v>
          </cell>
          <cell r="Y5370" t="str">
            <v>Past</v>
          </cell>
          <cell r="Z5370">
            <v>3.93</v>
          </cell>
          <cell r="AA5370">
            <v>0</v>
          </cell>
          <cell r="AB5370">
            <v>0</v>
          </cell>
        </row>
        <row r="5371">
          <cell r="G5371" t="str">
            <v>X1955_1</v>
          </cell>
          <cell r="H5371" t="str">
            <v>the-of</v>
          </cell>
          <cell r="I5371" t="str">
            <v>sim</v>
          </cell>
          <cell r="V5371" t="str">
            <v>not</v>
          </cell>
          <cell r="Y5371" t="str">
            <v>Past</v>
          </cell>
          <cell r="Z5371">
            <v>3.93</v>
          </cell>
          <cell r="AA5371">
            <v>0</v>
          </cell>
          <cell r="AB5371">
            <v>0</v>
          </cell>
        </row>
        <row r="5372">
          <cell r="G5372" t="str">
            <v>X1956_0</v>
          </cell>
          <cell r="H5372" t="str">
            <v>the-of</v>
          </cell>
          <cell r="I5372" t="str">
            <v>sim</v>
          </cell>
          <cell r="V5372" t="str">
            <v>not</v>
          </cell>
          <cell r="Y5372" t="str">
            <v>Past</v>
          </cell>
          <cell r="Z5372">
            <v>3.36</v>
          </cell>
          <cell r="AA5372">
            <v>0</v>
          </cell>
          <cell r="AB5372">
            <v>0</v>
          </cell>
        </row>
        <row r="5373">
          <cell r="G5373" t="str">
            <v>X1956_1</v>
          </cell>
          <cell r="H5373" t="str">
            <v>the-of</v>
          </cell>
          <cell r="I5373" t="str">
            <v>sim</v>
          </cell>
          <cell r="V5373" t="str">
            <v>not</v>
          </cell>
          <cell r="Y5373" t="str">
            <v>Past</v>
          </cell>
          <cell r="Z5373">
            <v>3.36</v>
          </cell>
          <cell r="AA5373">
            <v>0</v>
          </cell>
          <cell r="AB5373">
            <v>0</v>
          </cell>
        </row>
        <row r="5374">
          <cell r="G5374" t="str">
            <v>X1957_0</v>
          </cell>
          <cell r="H5374" t="str">
            <v>as-as</v>
          </cell>
          <cell r="I5374" t="str">
            <v>sim</v>
          </cell>
          <cell r="V5374" t="str">
            <v>not neg pair</v>
          </cell>
          <cell r="Y5374" t="str">
            <v>Past</v>
          </cell>
          <cell r="Z5374">
            <v>2.39</v>
          </cell>
          <cell r="AA5374" t="str">
            <v>L</v>
          </cell>
          <cell r="AB5374">
            <v>0</v>
          </cell>
        </row>
        <row r="5375">
          <cell r="G5375" t="str">
            <v>X1957_1</v>
          </cell>
          <cell r="H5375" t="str">
            <v>as-as</v>
          </cell>
          <cell r="I5375" t="str">
            <v>sim</v>
          </cell>
          <cell r="V5375" t="str">
            <v>not neg pair</v>
          </cell>
          <cell r="Y5375" t="str">
            <v>Past</v>
          </cell>
          <cell r="Z5375">
            <v>2.39</v>
          </cell>
          <cell r="AA5375" t="str">
            <v>L</v>
          </cell>
          <cell r="AB5375">
            <v>0</v>
          </cell>
        </row>
        <row r="5376">
          <cell r="G5376" t="str">
            <v>X1958_0</v>
          </cell>
          <cell r="H5376" t="str">
            <v>like</v>
          </cell>
          <cell r="I5376" t="str">
            <v>sim</v>
          </cell>
          <cell r="V5376" t="str">
            <v>not neg pair</v>
          </cell>
          <cell r="Y5376" t="str">
            <v>Pres</v>
          </cell>
          <cell r="Z5376">
            <v>2.0699999999999998</v>
          </cell>
          <cell r="AA5376" t="str">
            <v>L</v>
          </cell>
          <cell r="AB5376">
            <v>0</v>
          </cell>
        </row>
        <row r="5377">
          <cell r="G5377" t="str">
            <v>X1958_1</v>
          </cell>
          <cell r="H5377" t="str">
            <v>like</v>
          </cell>
          <cell r="I5377" t="str">
            <v>sim</v>
          </cell>
          <cell r="V5377" t="str">
            <v>not neg pair</v>
          </cell>
          <cell r="Y5377" t="str">
            <v>Past</v>
          </cell>
          <cell r="Z5377">
            <v>2.8</v>
          </cell>
          <cell r="AA5377" t="str">
            <v>L</v>
          </cell>
          <cell r="AB5377">
            <v>0</v>
          </cell>
        </row>
        <row r="5378">
          <cell r="G5378" t="str">
            <v>X1959_0</v>
          </cell>
          <cell r="H5378" t="str">
            <v>as-as</v>
          </cell>
          <cell r="I5378" t="str">
            <v>sim</v>
          </cell>
          <cell r="V5378" t="str">
            <v>not neg pair</v>
          </cell>
          <cell r="Y5378" t="str">
            <v>Past</v>
          </cell>
          <cell r="Z5378">
            <v>4.93</v>
          </cell>
          <cell r="AA5378" t="str">
            <v>H</v>
          </cell>
          <cell r="AB5378">
            <v>0</v>
          </cell>
        </row>
        <row r="5379">
          <cell r="G5379" t="str">
            <v>X1959_1</v>
          </cell>
          <cell r="H5379" t="str">
            <v>as-as</v>
          </cell>
          <cell r="I5379" t="str">
            <v>sim</v>
          </cell>
          <cell r="V5379" t="str">
            <v>not neg pair</v>
          </cell>
          <cell r="Y5379" t="str">
            <v>Past</v>
          </cell>
          <cell r="Z5379">
            <v>4.93</v>
          </cell>
          <cell r="AA5379" t="str">
            <v>H</v>
          </cell>
          <cell r="AB5379">
            <v>0</v>
          </cell>
        </row>
        <row r="5380">
          <cell r="G5380" t="str">
            <v>X1960_0</v>
          </cell>
          <cell r="H5380" t="str">
            <v>as-as</v>
          </cell>
          <cell r="I5380" t="str">
            <v>sim</v>
          </cell>
          <cell r="V5380" t="str">
            <v>not neg pair</v>
          </cell>
          <cell r="Y5380" t="str">
            <v>Past</v>
          </cell>
          <cell r="Z5380">
            <v>4.1100000000000003</v>
          </cell>
          <cell r="AA5380">
            <v>0</v>
          </cell>
          <cell r="AB5380">
            <v>0</v>
          </cell>
        </row>
        <row r="5381">
          <cell r="G5381" t="str">
            <v>X1960_1</v>
          </cell>
          <cell r="H5381" t="str">
            <v>as-as</v>
          </cell>
          <cell r="I5381" t="str">
            <v>sim</v>
          </cell>
          <cell r="V5381" t="str">
            <v>not neg pair</v>
          </cell>
          <cell r="Y5381" t="str">
            <v>Past</v>
          </cell>
          <cell r="Z5381">
            <v>2.2999999999999998</v>
          </cell>
          <cell r="AA5381" t="str">
            <v>L</v>
          </cell>
          <cell r="AB5381">
            <v>0</v>
          </cell>
        </row>
        <row r="5382">
          <cell r="G5382" t="str">
            <v>X1961_0</v>
          </cell>
          <cell r="H5382" t="str">
            <v>as-as</v>
          </cell>
          <cell r="I5382" t="str">
            <v>sim</v>
          </cell>
          <cell r="V5382" t="str">
            <v>antonym</v>
          </cell>
          <cell r="Y5382" t="str">
            <v>Past</v>
          </cell>
          <cell r="Z5382">
            <v>0</v>
          </cell>
          <cell r="AA5382">
            <v>0</v>
          </cell>
          <cell r="AB5382">
            <v>0</v>
          </cell>
        </row>
        <row r="5383">
          <cell r="G5383" t="str">
            <v>X1961_1</v>
          </cell>
          <cell r="H5383" t="str">
            <v>as-as</v>
          </cell>
          <cell r="I5383" t="str">
            <v>sim</v>
          </cell>
          <cell r="V5383" t="str">
            <v>antonym</v>
          </cell>
          <cell r="Y5383" t="str">
            <v>Past</v>
          </cell>
          <cell r="Z5383">
            <v>2.81</v>
          </cell>
          <cell r="AA5383">
            <v>0</v>
          </cell>
          <cell r="AB5383">
            <v>0</v>
          </cell>
        </row>
        <row r="5384">
          <cell r="G5384" t="str">
            <v>X1962_0</v>
          </cell>
          <cell r="H5384" t="str">
            <v>as-as</v>
          </cell>
          <cell r="I5384" t="str">
            <v>sim</v>
          </cell>
          <cell r="V5384" t="str">
            <v>not neg pair</v>
          </cell>
          <cell r="Y5384" t="str">
            <v>Pres</v>
          </cell>
          <cell r="Z5384">
            <v>3.93</v>
          </cell>
          <cell r="AA5384">
            <v>0</v>
          </cell>
          <cell r="AB5384">
            <v>0</v>
          </cell>
        </row>
        <row r="5385">
          <cell r="G5385" t="str">
            <v>X1962_1</v>
          </cell>
          <cell r="H5385" t="str">
            <v>as-as</v>
          </cell>
          <cell r="I5385" t="str">
            <v>sim</v>
          </cell>
          <cell r="V5385" t="str">
            <v>not neg pair</v>
          </cell>
          <cell r="Y5385" t="str">
            <v>Pres</v>
          </cell>
          <cell r="Z5385">
            <v>3.93</v>
          </cell>
          <cell r="AA5385">
            <v>0</v>
          </cell>
          <cell r="AB5385">
            <v>0</v>
          </cell>
        </row>
        <row r="5386">
          <cell r="G5386" t="str">
            <v>X1963_0</v>
          </cell>
          <cell r="H5386" t="str">
            <v>as-as</v>
          </cell>
          <cell r="I5386" t="str">
            <v>sim</v>
          </cell>
          <cell r="V5386" t="str">
            <v>antonym</v>
          </cell>
          <cell r="Y5386" t="str">
            <v>Pres</v>
          </cell>
          <cell r="Z5386">
            <v>4.97</v>
          </cell>
          <cell r="AA5386" t="str">
            <v>H</v>
          </cell>
          <cell r="AB5386">
            <v>0</v>
          </cell>
        </row>
        <row r="5387">
          <cell r="G5387" t="str">
            <v>X1963_1</v>
          </cell>
          <cell r="H5387" t="str">
            <v>as-as</v>
          </cell>
          <cell r="I5387" t="str">
            <v>sim</v>
          </cell>
          <cell r="V5387" t="str">
            <v>antonym</v>
          </cell>
          <cell r="Y5387" t="str">
            <v>Pres</v>
          </cell>
          <cell r="Z5387">
            <v>4.97</v>
          </cell>
          <cell r="AA5387" t="str">
            <v>H</v>
          </cell>
          <cell r="AB5387">
            <v>0</v>
          </cell>
        </row>
        <row r="5388">
          <cell r="G5388" t="str">
            <v>X1964_0</v>
          </cell>
          <cell r="H5388" t="str">
            <v>like</v>
          </cell>
          <cell r="I5388" t="str">
            <v>sim</v>
          </cell>
          <cell r="V5388" t="str">
            <v>not neg pair</v>
          </cell>
          <cell r="Y5388" t="str">
            <v>Pres</v>
          </cell>
          <cell r="Z5388">
            <v>5</v>
          </cell>
          <cell r="AA5388" t="str">
            <v>H</v>
          </cell>
          <cell r="AB5388">
            <v>0</v>
          </cell>
        </row>
        <row r="5389">
          <cell r="G5389" t="str">
            <v>X1964_1</v>
          </cell>
          <cell r="H5389" t="str">
            <v>like</v>
          </cell>
          <cell r="I5389" t="str">
            <v>sim</v>
          </cell>
          <cell r="V5389" t="str">
            <v>not neg pair</v>
          </cell>
          <cell r="Y5389" t="str">
            <v>Pres</v>
          </cell>
          <cell r="Z5389">
            <v>5</v>
          </cell>
          <cell r="AA5389" t="str">
            <v>H</v>
          </cell>
          <cell r="AB5389">
            <v>0</v>
          </cell>
        </row>
        <row r="5390">
          <cell r="G5390" t="str">
            <v>X1965_0</v>
          </cell>
          <cell r="H5390" t="str">
            <v>like</v>
          </cell>
          <cell r="I5390" t="str">
            <v>sim</v>
          </cell>
          <cell r="V5390" t="str">
            <v>not neg pair</v>
          </cell>
          <cell r="Y5390" t="str">
            <v>Past</v>
          </cell>
          <cell r="Z5390">
            <v>3.93</v>
          </cell>
          <cell r="AA5390">
            <v>0</v>
          </cell>
          <cell r="AB5390">
            <v>0</v>
          </cell>
        </row>
        <row r="5391">
          <cell r="G5391" t="str">
            <v>X1965_1</v>
          </cell>
          <cell r="H5391" t="str">
            <v>like</v>
          </cell>
          <cell r="I5391" t="str">
            <v>sim</v>
          </cell>
          <cell r="V5391" t="str">
            <v>not neg pair</v>
          </cell>
          <cell r="Y5391" t="str">
            <v>Past</v>
          </cell>
          <cell r="Z5391">
            <v>3.93</v>
          </cell>
          <cell r="AA5391">
            <v>0</v>
          </cell>
          <cell r="AB5391">
            <v>0</v>
          </cell>
        </row>
        <row r="5392">
          <cell r="G5392" t="str">
            <v>X1966_0</v>
          </cell>
          <cell r="H5392" t="str">
            <v>as-as</v>
          </cell>
          <cell r="I5392" t="str">
            <v>sim</v>
          </cell>
          <cell r="V5392" t="str">
            <v>not</v>
          </cell>
          <cell r="Y5392" t="str">
            <v>Past</v>
          </cell>
          <cell r="Z5392">
            <v>2.81</v>
          </cell>
          <cell r="AA5392">
            <v>0</v>
          </cell>
          <cell r="AB5392">
            <v>0</v>
          </cell>
        </row>
        <row r="5393">
          <cell r="G5393" t="str">
            <v>X1966_1</v>
          </cell>
          <cell r="H5393" t="str">
            <v>as-as</v>
          </cell>
          <cell r="I5393" t="str">
            <v>sim</v>
          </cell>
          <cell r="V5393" t="str">
            <v>not</v>
          </cell>
          <cell r="Y5393" t="str">
            <v>Past</v>
          </cell>
          <cell r="Z5393">
            <v>2.81</v>
          </cell>
          <cell r="AA5393">
            <v>0</v>
          </cell>
          <cell r="AB5393">
            <v>0</v>
          </cell>
        </row>
        <row r="5394">
          <cell r="G5394" t="str">
            <v>X1967_0</v>
          </cell>
          <cell r="H5394" t="str">
            <v/>
          </cell>
          <cell r="I5394" t="str">
            <v>met</v>
          </cell>
          <cell r="V5394" t="str">
            <v>0</v>
          </cell>
          <cell r="Y5394" t="str">
            <v>Pres</v>
          </cell>
          <cell r="Z5394">
            <v>3.19</v>
          </cell>
          <cell r="AA5394">
            <v>0</v>
          </cell>
          <cell r="AB5394">
            <v>0</v>
          </cell>
        </row>
        <row r="5395">
          <cell r="G5395" t="str">
            <v>X1967_1</v>
          </cell>
          <cell r="H5395" t="str">
            <v/>
          </cell>
          <cell r="I5395" t="str">
            <v>met</v>
          </cell>
          <cell r="V5395" t="str">
            <v>0</v>
          </cell>
          <cell r="Y5395" t="str">
            <v>Pres</v>
          </cell>
          <cell r="Z5395">
            <v>3.19</v>
          </cell>
          <cell r="AA5395">
            <v>0</v>
          </cell>
          <cell r="AB5395">
            <v>0</v>
          </cell>
        </row>
        <row r="5396">
          <cell r="G5396" t="str">
            <v>X1968_0</v>
          </cell>
          <cell r="H5396" t="str">
            <v>the-of</v>
          </cell>
          <cell r="I5396" t="str">
            <v>sim</v>
          </cell>
          <cell r="V5396" t="str">
            <v>not neg pair</v>
          </cell>
          <cell r="Y5396" t="str">
            <v>Past</v>
          </cell>
          <cell r="Z5396">
            <v>3.93</v>
          </cell>
          <cell r="AA5396">
            <v>0</v>
          </cell>
          <cell r="AB5396">
            <v>0</v>
          </cell>
        </row>
        <row r="5397">
          <cell r="G5397" t="str">
            <v>X1968_1</v>
          </cell>
          <cell r="H5397" t="str">
            <v>the-of</v>
          </cell>
          <cell r="I5397" t="str">
            <v>sim</v>
          </cell>
          <cell r="V5397" t="str">
            <v>not neg pair</v>
          </cell>
          <cell r="Y5397" t="str">
            <v>Past</v>
          </cell>
          <cell r="Z5397">
            <v>3.93</v>
          </cell>
          <cell r="AA5397">
            <v>0</v>
          </cell>
          <cell r="AB5397">
            <v>0</v>
          </cell>
        </row>
        <row r="5398">
          <cell r="G5398" t="str">
            <v>X1969_0</v>
          </cell>
          <cell r="H5398" t="str">
            <v/>
          </cell>
          <cell r="I5398" t="str">
            <v>met</v>
          </cell>
          <cell r="V5398" t="str">
            <v>0</v>
          </cell>
          <cell r="Y5398" t="str">
            <v>Past</v>
          </cell>
          <cell r="Z5398">
            <v>2.85</v>
          </cell>
          <cell r="AA5398">
            <v>0</v>
          </cell>
          <cell r="AB5398">
            <v>0</v>
          </cell>
        </row>
        <row r="5399">
          <cell r="G5399" t="str">
            <v>X1969_1</v>
          </cell>
          <cell r="H5399" t="str">
            <v/>
          </cell>
          <cell r="I5399" t="str">
            <v>met</v>
          </cell>
          <cell r="V5399" t="str">
            <v>0</v>
          </cell>
          <cell r="Y5399" t="str">
            <v>Past</v>
          </cell>
          <cell r="Z5399">
            <v>2.85</v>
          </cell>
          <cell r="AA5399">
            <v>0</v>
          </cell>
          <cell r="AB5399">
            <v>0</v>
          </cell>
        </row>
        <row r="5400">
          <cell r="G5400" t="str">
            <v>X1970_0</v>
          </cell>
          <cell r="H5400" t="str">
            <v>like</v>
          </cell>
          <cell r="I5400" t="str">
            <v>sim</v>
          </cell>
          <cell r="V5400" t="str">
            <v>not</v>
          </cell>
          <cell r="Y5400" t="str">
            <v>Past</v>
          </cell>
          <cell r="Z5400">
            <v>3.93</v>
          </cell>
          <cell r="AA5400">
            <v>0</v>
          </cell>
          <cell r="AB5400">
            <v>0</v>
          </cell>
        </row>
        <row r="5401">
          <cell r="G5401" t="str">
            <v>X1970_1</v>
          </cell>
          <cell r="H5401" t="str">
            <v>like</v>
          </cell>
          <cell r="I5401" t="str">
            <v>sim</v>
          </cell>
          <cell r="V5401" t="str">
            <v>not</v>
          </cell>
          <cell r="Y5401" t="str">
            <v>Pres</v>
          </cell>
          <cell r="Z5401">
            <v>3.93</v>
          </cell>
          <cell r="AA5401">
            <v>0</v>
          </cell>
          <cell r="AB5401">
            <v>0</v>
          </cell>
        </row>
        <row r="5402">
          <cell r="G5402" t="str">
            <v>X1971_0</v>
          </cell>
          <cell r="H5402" t="str">
            <v>like</v>
          </cell>
          <cell r="I5402" t="str">
            <v>sim</v>
          </cell>
          <cell r="V5402" t="str">
            <v>not neg pair</v>
          </cell>
          <cell r="Y5402" t="str">
            <v>Pres</v>
          </cell>
          <cell r="Z5402">
            <v>4.7</v>
          </cell>
          <cell r="AA5402">
            <v>0</v>
          </cell>
          <cell r="AB5402">
            <v>0</v>
          </cell>
        </row>
        <row r="5403">
          <cell r="G5403" t="str">
            <v>X1971_1</v>
          </cell>
          <cell r="H5403" t="str">
            <v>like</v>
          </cell>
          <cell r="I5403" t="str">
            <v>sim</v>
          </cell>
          <cell r="V5403" t="str">
            <v>not neg pair</v>
          </cell>
          <cell r="Y5403" t="str">
            <v>Pres</v>
          </cell>
          <cell r="Z5403">
            <v>4.7</v>
          </cell>
          <cell r="AA5403">
            <v>0</v>
          </cell>
          <cell r="AB5403">
            <v>0</v>
          </cell>
        </row>
        <row r="5404">
          <cell r="G5404" t="str">
            <v>X1972_0</v>
          </cell>
          <cell r="H5404" t="str">
            <v>as-as</v>
          </cell>
          <cell r="I5404" t="str">
            <v>sim</v>
          </cell>
          <cell r="V5404" t="str">
            <v>antonym</v>
          </cell>
          <cell r="Y5404" t="str">
            <v>Past</v>
          </cell>
          <cell r="Z5404">
            <v>3.57</v>
          </cell>
          <cell r="AA5404">
            <v>0</v>
          </cell>
          <cell r="AB5404">
            <v>0</v>
          </cell>
        </row>
        <row r="5405">
          <cell r="G5405" t="str">
            <v>X1972_1</v>
          </cell>
          <cell r="H5405" t="str">
            <v>as-as</v>
          </cell>
          <cell r="I5405" t="str">
            <v>sim</v>
          </cell>
          <cell r="V5405" t="str">
            <v>antonym</v>
          </cell>
          <cell r="Y5405" t="str">
            <v>Past</v>
          </cell>
          <cell r="Z5405">
            <v>3.57</v>
          </cell>
          <cell r="AA5405">
            <v>0</v>
          </cell>
          <cell r="AB5405">
            <v>0</v>
          </cell>
        </row>
        <row r="5406">
          <cell r="G5406" t="str">
            <v>X1973_0</v>
          </cell>
          <cell r="H5406" t="str">
            <v>as-as</v>
          </cell>
          <cell r="I5406" t="str">
            <v>sim</v>
          </cell>
          <cell r="V5406" t="str">
            <v>antonym</v>
          </cell>
          <cell r="Y5406" t="str">
            <v>Pres</v>
          </cell>
          <cell r="Z5406">
            <v>3.93</v>
          </cell>
          <cell r="AA5406">
            <v>0</v>
          </cell>
          <cell r="AB5406">
            <v>0</v>
          </cell>
        </row>
        <row r="5407">
          <cell r="G5407" t="str">
            <v>X1973_1</v>
          </cell>
          <cell r="H5407" t="str">
            <v>as-as</v>
          </cell>
          <cell r="I5407" t="str">
            <v>sim</v>
          </cell>
          <cell r="V5407" t="str">
            <v>antonym</v>
          </cell>
          <cell r="Y5407" t="str">
            <v>Pres</v>
          </cell>
          <cell r="Z5407">
            <v>3.93</v>
          </cell>
          <cell r="AA5407">
            <v>0</v>
          </cell>
          <cell r="AB5407">
            <v>0</v>
          </cell>
        </row>
        <row r="5408">
          <cell r="G5408" t="str">
            <v>X1974_0</v>
          </cell>
          <cell r="H5408" t="str">
            <v>like</v>
          </cell>
          <cell r="I5408" t="str">
            <v>sim</v>
          </cell>
          <cell r="V5408" t="str">
            <v>not</v>
          </cell>
          <cell r="Y5408" t="str">
            <v>Pres</v>
          </cell>
          <cell r="Z5408">
            <v>3.36</v>
          </cell>
          <cell r="AA5408">
            <v>0</v>
          </cell>
          <cell r="AB5408">
            <v>0</v>
          </cell>
        </row>
        <row r="5409">
          <cell r="G5409" t="str">
            <v>X1974_1</v>
          </cell>
          <cell r="H5409" t="str">
            <v>like</v>
          </cell>
          <cell r="I5409" t="str">
            <v>sim</v>
          </cell>
          <cell r="V5409" t="str">
            <v>not</v>
          </cell>
          <cell r="Y5409" t="str">
            <v>Past</v>
          </cell>
          <cell r="Z5409">
            <v>3.36</v>
          </cell>
          <cell r="AA5409">
            <v>0</v>
          </cell>
          <cell r="AB5409">
            <v>0</v>
          </cell>
        </row>
        <row r="5410">
          <cell r="G5410" t="str">
            <v>X1975_0</v>
          </cell>
          <cell r="H5410" t="str">
            <v>like</v>
          </cell>
          <cell r="I5410" t="str">
            <v>sim</v>
          </cell>
          <cell r="V5410" t="str">
            <v>not neg pair</v>
          </cell>
          <cell r="Y5410" t="str">
            <v>Past</v>
          </cell>
          <cell r="Z5410">
            <v>2.9</v>
          </cell>
          <cell r="AA5410">
            <v>0</v>
          </cell>
          <cell r="AB5410">
            <v>0</v>
          </cell>
        </row>
        <row r="5411">
          <cell r="G5411" t="str">
            <v>X1975_1</v>
          </cell>
          <cell r="H5411" t="str">
            <v>like</v>
          </cell>
          <cell r="I5411" t="str">
            <v>sim</v>
          </cell>
          <cell r="V5411" t="str">
            <v>not neg pair</v>
          </cell>
          <cell r="Y5411" t="str">
            <v>Past</v>
          </cell>
          <cell r="Z5411">
            <v>2.92</v>
          </cell>
          <cell r="AA5411">
            <v>0</v>
          </cell>
          <cell r="AB5411">
            <v>0</v>
          </cell>
        </row>
        <row r="5412">
          <cell r="G5412" t="str">
            <v>X1976_0</v>
          </cell>
          <cell r="H5412" t="str">
            <v/>
          </cell>
          <cell r="I5412" t="str">
            <v>met</v>
          </cell>
          <cell r="V5412" t="str">
            <v>0</v>
          </cell>
          <cell r="Y5412" t="str">
            <v>Pres</v>
          </cell>
          <cell r="Z5412">
            <v>4.5199999999999996</v>
          </cell>
          <cell r="AA5412">
            <v>0</v>
          </cell>
          <cell r="AB5412">
            <v>0</v>
          </cell>
        </row>
        <row r="5413">
          <cell r="G5413" t="str">
            <v>X1976_1</v>
          </cell>
          <cell r="H5413" t="str">
            <v/>
          </cell>
          <cell r="I5413" t="str">
            <v>met</v>
          </cell>
          <cell r="V5413" t="str">
            <v>0</v>
          </cell>
          <cell r="Y5413" t="str">
            <v>Pres</v>
          </cell>
          <cell r="Z5413">
            <v>4.5199999999999996</v>
          </cell>
          <cell r="AA5413">
            <v>0</v>
          </cell>
          <cell r="AB5413">
            <v>0</v>
          </cell>
        </row>
        <row r="5414">
          <cell r="G5414" t="str">
            <v>X1977_0</v>
          </cell>
          <cell r="H5414" t="str">
            <v>the-of</v>
          </cell>
          <cell r="I5414" t="str">
            <v>sim</v>
          </cell>
          <cell r="V5414" t="str">
            <v>not</v>
          </cell>
          <cell r="Y5414" t="str">
            <v>Past</v>
          </cell>
          <cell r="Z5414">
            <v>4.8899999999999997</v>
          </cell>
          <cell r="AA5414">
            <v>0</v>
          </cell>
          <cell r="AB5414">
            <v>0</v>
          </cell>
        </row>
        <row r="5415">
          <cell r="G5415" t="str">
            <v>X1977_1</v>
          </cell>
          <cell r="H5415" t="str">
            <v>the-of</v>
          </cell>
          <cell r="I5415" t="str">
            <v>sim</v>
          </cell>
          <cell r="V5415" t="str">
            <v>not</v>
          </cell>
          <cell r="Y5415" t="str">
            <v>Past</v>
          </cell>
          <cell r="Z5415">
            <v>4.8899999999999997</v>
          </cell>
          <cell r="AA5415">
            <v>0</v>
          </cell>
          <cell r="AB5415">
            <v>0</v>
          </cell>
        </row>
        <row r="5416">
          <cell r="G5416" t="str">
            <v>X1978_0</v>
          </cell>
          <cell r="H5416" t="str">
            <v/>
          </cell>
          <cell r="I5416" t="str">
            <v>met</v>
          </cell>
          <cell r="V5416" t="str">
            <v>0</v>
          </cell>
          <cell r="Y5416" t="str">
            <v>Pres</v>
          </cell>
          <cell r="Z5416">
            <v>4.8899999999999997</v>
          </cell>
          <cell r="AA5416">
            <v>0</v>
          </cell>
          <cell r="AB5416">
            <v>0</v>
          </cell>
        </row>
        <row r="5417">
          <cell r="G5417" t="str">
            <v>X1978_1</v>
          </cell>
          <cell r="H5417" t="str">
            <v/>
          </cell>
          <cell r="I5417" t="str">
            <v>met</v>
          </cell>
          <cell r="V5417" t="str">
            <v>0</v>
          </cell>
          <cell r="Y5417" t="str">
            <v>Pres</v>
          </cell>
          <cell r="Z5417">
            <v>4.8899999999999997</v>
          </cell>
          <cell r="AA5417">
            <v>0</v>
          </cell>
          <cell r="AB5417">
            <v>0</v>
          </cell>
        </row>
        <row r="5418">
          <cell r="G5418" t="str">
            <v>X1979_0</v>
          </cell>
          <cell r="H5418" t="str">
            <v>as-as</v>
          </cell>
          <cell r="I5418" t="str">
            <v>sim</v>
          </cell>
          <cell r="V5418" t="str">
            <v>not</v>
          </cell>
          <cell r="Y5418" t="str">
            <v>Past</v>
          </cell>
          <cell r="Z5418">
            <v>4.17</v>
          </cell>
          <cell r="AA5418">
            <v>0</v>
          </cell>
          <cell r="AB5418">
            <v>0</v>
          </cell>
        </row>
        <row r="5419">
          <cell r="G5419" t="str">
            <v>X1979_1</v>
          </cell>
          <cell r="H5419" t="str">
            <v>as-as</v>
          </cell>
          <cell r="I5419" t="str">
            <v>sim</v>
          </cell>
          <cell r="V5419" t="str">
            <v>not</v>
          </cell>
          <cell r="Y5419" t="str">
            <v>Past</v>
          </cell>
          <cell r="Z5419">
            <v>4.17</v>
          </cell>
          <cell r="AA5419">
            <v>0</v>
          </cell>
          <cell r="AB5419">
            <v>0</v>
          </cell>
        </row>
        <row r="5420">
          <cell r="G5420" t="str">
            <v>X1980_0</v>
          </cell>
          <cell r="H5420" t="str">
            <v>as-as</v>
          </cell>
          <cell r="I5420" t="str">
            <v>sim</v>
          </cell>
          <cell r="V5420" t="str">
            <v>not</v>
          </cell>
          <cell r="Y5420" t="str">
            <v>Past</v>
          </cell>
          <cell r="Z5420">
            <v>3.79</v>
          </cell>
          <cell r="AA5420">
            <v>0</v>
          </cell>
          <cell r="AB5420">
            <v>0</v>
          </cell>
        </row>
        <row r="5421">
          <cell r="G5421" t="str">
            <v>X1980_1</v>
          </cell>
          <cell r="H5421" t="str">
            <v>as-as</v>
          </cell>
          <cell r="I5421" t="str">
            <v>sim</v>
          </cell>
          <cell r="V5421" t="str">
            <v>not</v>
          </cell>
          <cell r="Y5421" t="str">
            <v>Past</v>
          </cell>
          <cell r="Z5421">
            <v>3.79</v>
          </cell>
          <cell r="AA5421">
            <v>0</v>
          </cell>
          <cell r="AB5421">
            <v>0</v>
          </cell>
        </row>
        <row r="5422">
          <cell r="G5422" t="str">
            <v>X1981_0</v>
          </cell>
          <cell r="H5422" t="str">
            <v>as-as</v>
          </cell>
          <cell r="I5422" t="str">
            <v>sim</v>
          </cell>
          <cell r="V5422" t="str">
            <v>not</v>
          </cell>
          <cell r="Y5422" t="str">
            <v>Past</v>
          </cell>
          <cell r="Z5422">
            <v>4.8099999999999996</v>
          </cell>
          <cell r="AA5422">
            <v>0</v>
          </cell>
          <cell r="AB5422">
            <v>0</v>
          </cell>
        </row>
        <row r="5423">
          <cell r="G5423" t="str">
            <v>X1981_1</v>
          </cell>
          <cell r="H5423" t="str">
            <v>as-as</v>
          </cell>
          <cell r="I5423" t="str">
            <v>sim</v>
          </cell>
          <cell r="V5423" t="str">
            <v>not</v>
          </cell>
          <cell r="Y5423" t="str">
            <v>Past</v>
          </cell>
          <cell r="Z5423">
            <v>4.8099999999999996</v>
          </cell>
          <cell r="AA5423">
            <v>0</v>
          </cell>
          <cell r="AB5423">
            <v>0</v>
          </cell>
        </row>
        <row r="5424">
          <cell r="G5424" t="str">
            <v>X1982_0</v>
          </cell>
          <cell r="H5424" t="str">
            <v/>
          </cell>
          <cell r="I5424" t="str">
            <v>met</v>
          </cell>
          <cell r="V5424" t="str">
            <v>0</v>
          </cell>
          <cell r="Y5424">
            <v>0</v>
          </cell>
          <cell r="Z5424">
            <v>4.74</v>
          </cell>
          <cell r="AA5424">
            <v>0</v>
          </cell>
          <cell r="AB5424">
            <v>0</v>
          </cell>
        </row>
        <row r="5425">
          <cell r="G5425" t="str">
            <v>X1982_1</v>
          </cell>
          <cell r="H5425" t="str">
            <v/>
          </cell>
          <cell r="I5425" t="str">
            <v>met</v>
          </cell>
          <cell r="V5425" t="str">
            <v>0</v>
          </cell>
          <cell r="Y5425">
            <v>0</v>
          </cell>
          <cell r="Z5425">
            <v>4.74</v>
          </cell>
          <cell r="AA5425">
            <v>0</v>
          </cell>
          <cell r="AB5425">
            <v>0</v>
          </cell>
        </row>
        <row r="5426">
          <cell r="G5426" t="str">
            <v>X1983_0</v>
          </cell>
          <cell r="H5426" t="str">
            <v/>
          </cell>
          <cell r="I5426" t="str">
            <v>met</v>
          </cell>
          <cell r="V5426" t="str">
            <v>0</v>
          </cell>
          <cell r="Y5426" t="str">
            <v>Pres</v>
          </cell>
          <cell r="Z5426">
            <v>3.85</v>
          </cell>
          <cell r="AA5426">
            <v>0</v>
          </cell>
          <cell r="AB5426">
            <v>0</v>
          </cell>
        </row>
        <row r="5427">
          <cell r="G5427" t="str">
            <v>X1983_1</v>
          </cell>
          <cell r="H5427" t="str">
            <v/>
          </cell>
          <cell r="I5427" t="str">
            <v>met</v>
          </cell>
          <cell r="V5427" t="str">
            <v>0</v>
          </cell>
          <cell r="Y5427" t="str">
            <v>Pres</v>
          </cell>
          <cell r="Z5427">
            <v>3.85</v>
          </cell>
          <cell r="AA5427">
            <v>0</v>
          </cell>
          <cell r="AB5427">
            <v>0</v>
          </cell>
        </row>
        <row r="5428">
          <cell r="G5428" t="str">
            <v>X1984_0</v>
          </cell>
          <cell r="H5428" t="str">
            <v/>
          </cell>
          <cell r="I5428" t="str">
            <v>met</v>
          </cell>
          <cell r="V5428" t="str">
            <v>0</v>
          </cell>
          <cell r="Y5428" t="str">
            <v>Past</v>
          </cell>
          <cell r="Z5428">
            <v>4.9000000000000004</v>
          </cell>
          <cell r="AA5428">
            <v>0</v>
          </cell>
          <cell r="AB5428">
            <v>0</v>
          </cell>
        </row>
        <row r="5429">
          <cell r="G5429" t="str">
            <v>X1984_1</v>
          </cell>
          <cell r="H5429" t="str">
            <v/>
          </cell>
          <cell r="I5429" t="str">
            <v>met</v>
          </cell>
          <cell r="V5429" t="str">
            <v>0</v>
          </cell>
          <cell r="Y5429" t="str">
            <v>Past</v>
          </cell>
          <cell r="Z5429">
            <v>4.9000000000000004</v>
          </cell>
          <cell r="AA5429">
            <v>0</v>
          </cell>
          <cell r="AB5429">
            <v>0</v>
          </cell>
        </row>
        <row r="5430">
          <cell r="G5430" t="str">
            <v>X1985_0</v>
          </cell>
          <cell r="H5430" t="str">
            <v>the-of</v>
          </cell>
          <cell r="I5430" t="str">
            <v>sim</v>
          </cell>
          <cell r="V5430" t="str">
            <v>not</v>
          </cell>
          <cell r="Y5430" t="str">
            <v>Past</v>
          </cell>
          <cell r="Z5430">
            <v>4.3600000000000003</v>
          </cell>
          <cell r="AA5430">
            <v>0</v>
          </cell>
          <cell r="AB5430">
            <v>0</v>
          </cell>
        </row>
        <row r="5431">
          <cell r="G5431" t="str">
            <v>X1985_1</v>
          </cell>
          <cell r="H5431" t="str">
            <v>the-of</v>
          </cell>
          <cell r="I5431" t="str">
            <v>sim</v>
          </cell>
          <cell r="V5431" t="str">
            <v>not</v>
          </cell>
          <cell r="Y5431" t="str">
            <v>Past</v>
          </cell>
          <cell r="Z5431">
            <v>4.3600000000000003</v>
          </cell>
          <cell r="AA5431">
            <v>0</v>
          </cell>
          <cell r="AB5431">
            <v>0</v>
          </cell>
        </row>
        <row r="5432">
          <cell r="G5432" t="str">
            <v>X1986_0</v>
          </cell>
          <cell r="H5432" t="str">
            <v>the-of</v>
          </cell>
          <cell r="I5432" t="str">
            <v>sim</v>
          </cell>
          <cell r="V5432" t="str">
            <v>not</v>
          </cell>
          <cell r="Y5432" t="str">
            <v>Past</v>
          </cell>
          <cell r="Z5432">
            <v>4.8</v>
          </cell>
          <cell r="AA5432">
            <v>0</v>
          </cell>
          <cell r="AB5432">
            <v>0</v>
          </cell>
        </row>
        <row r="5433">
          <cell r="G5433" t="str">
            <v>X1986_1</v>
          </cell>
          <cell r="H5433" t="str">
            <v>the-of</v>
          </cell>
          <cell r="I5433" t="str">
            <v>sim</v>
          </cell>
          <cell r="V5433" t="str">
            <v>not</v>
          </cell>
          <cell r="Y5433" t="str">
            <v>Past</v>
          </cell>
          <cell r="Z5433">
            <v>4.8</v>
          </cell>
          <cell r="AA5433">
            <v>0</v>
          </cell>
          <cell r="AB5433">
            <v>0</v>
          </cell>
        </row>
        <row r="5434">
          <cell r="G5434" t="str">
            <v>X1987_0</v>
          </cell>
          <cell r="H5434" t="str">
            <v>the-of</v>
          </cell>
          <cell r="I5434" t="str">
            <v>sim</v>
          </cell>
          <cell r="V5434" t="str">
            <v>not neg pair</v>
          </cell>
          <cell r="Y5434" t="str">
            <v>Past</v>
          </cell>
          <cell r="Z5434">
            <v>3.93</v>
          </cell>
          <cell r="AA5434">
            <v>0</v>
          </cell>
          <cell r="AB5434">
            <v>0</v>
          </cell>
        </row>
        <row r="5435">
          <cell r="G5435" t="str">
            <v>X1987_1</v>
          </cell>
          <cell r="H5435" t="str">
            <v>the-of</v>
          </cell>
          <cell r="I5435" t="str">
            <v>sim</v>
          </cell>
          <cell r="V5435" t="str">
            <v>not neg pair</v>
          </cell>
          <cell r="Y5435" t="str">
            <v>Past</v>
          </cell>
          <cell r="Z5435">
            <v>3.93</v>
          </cell>
          <cell r="AA5435">
            <v>0</v>
          </cell>
          <cell r="AB5435">
            <v>0</v>
          </cell>
        </row>
        <row r="5436">
          <cell r="G5436" t="str">
            <v>X1988_0</v>
          </cell>
          <cell r="H5436" t="str">
            <v>like</v>
          </cell>
          <cell r="I5436" t="str">
            <v>sim</v>
          </cell>
          <cell r="V5436" t="str">
            <v>not</v>
          </cell>
          <cell r="Y5436" t="str">
            <v>Pres</v>
          </cell>
          <cell r="Z5436">
            <v>1.62</v>
          </cell>
          <cell r="AA5436" t="str">
            <v>L</v>
          </cell>
          <cell r="AB5436">
            <v>0</v>
          </cell>
        </row>
        <row r="5437">
          <cell r="G5437" t="str">
            <v>X1988_1</v>
          </cell>
          <cell r="H5437" t="str">
            <v>like</v>
          </cell>
          <cell r="I5437" t="str">
            <v>sim</v>
          </cell>
          <cell r="V5437" t="str">
            <v>not</v>
          </cell>
          <cell r="Y5437" t="str">
            <v>Pres</v>
          </cell>
          <cell r="Z5437">
            <v>1.62</v>
          </cell>
          <cell r="AA5437" t="str">
            <v>L</v>
          </cell>
          <cell r="AB5437">
            <v>0</v>
          </cell>
        </row>
        <row r="5438">
          <cell r="G5438" t="str">
            <v>X1989_0</v>
          </cell>
          <cell r="H5438" t="str">
            <v>like</v>
          </cell>
          <cell r="I5438" t="str">
            <v>sim</v>
          </cell>
          <cell r="V5438" t="str">
            <v>not</v>
          </cell>
          <cell r="Y5438" t="str">
            <v>Pres</v>
          </cell>
          <cell r="Z5438">
            <v>4.79</v>
          </cell>
          <cell r="AA5438">
            <v>0</v>
          </cell>
          <cell r="AB5438">
            <v>0</v>
          </cell>
        </row>
        <row r="5439">
          <cell r="G5439" t="str">
            <v>X1989_1</v>
          </cell>
          <cell r="H5439" t="str">
            <v>like</v>
          </cell>
          <cell r="I5439" t="str">
            <v>sim</v>
          </cell>
          <cell r="V5439" t="str">
            <v>not</v>
          </cell>
          <cell r="Y5439" t="str">
            <v>Pres</v>
          </cell>
          <cell r="Z5439">
            <v>4.79</v>
          </cell>
          <cell r="AA5439">
            <v>0</v>
          </cell>
          <cell r="AB5439">
            <v>0</v>
          </cell>
        </row>
        <row r="5440">
          <cell r="G5440" t="str">
            <v>X1990_0</v>
          </cell>
          <cell r="H5440" t="str">
            <v>the-of</v>
          </cell>
          <cell r="I5440" t="str">
            <v>sim</v>
          </cell>
          <cell r="V5440" t="str">
            <v>not</v>
          </cell>
          <cell r="Y5440" t="str">
            <v>Pres</v>
          </cell>
          <cell r="Z5440">
            <v>3.24</v>
          </cell>
          <cell r="AA5440">
            <v>0</v>
          </cell>
          <cell r="AB5440">
            <v>0</v>
          </cell>
        </row>
        <row r="5441">
          <cell r="G5441" t="str">
            <v>X1990_1</v>
          </cell>
          <cell r="H5441" t="str">
            <v>the-of</v>
          </cell>
          <cell r="I5441" t="str">
            <v>sim</v>
          </cell>
          <cell r="V5441" t="str">
            <v>not</v>
          </cell>
          <cell r="Y5441" t="str">
            <v>Pres</v>
          </cell>
          <cell r="Z5441">
            <v>3.24</v>
          </cell>
          <cell r="AA5441">
            <v>0</v>
          </cell>
          <cell r="AB5441">
            <v>0</v>
          </cell>
        </row>
        <row r="5442">
          <cell r="G5442" t="str">
            <v>X1991_0</v>
          </cell>
          <cell r="H5442" t="str">
            <v>as-as</v>
          </cell>
          <cell r="I5442" t="str">
            <v>sim</v>
          </cell>
          <cell r="V5442" t="str">
            <v>not neg pair</v>
          </cell>
          <cell r="Y5442" t="str">
            <v>Past</v>
          </cell>
          <cell r="Z5442">
            <v>1.62</v>
          </cell>
          <cell r="AA5442" t="str">
            <v>L</v>
          </cell>
          <cell r="AB5442">
            <v>0</v>
          </cell>
        </row>
        <row r="5443">
          <cell r="G5443" t="str">
            <v>X1991_1</v>
          </cell>
          <cell r="H5443" t="str">
            <v>as-as</v>
          </cell>
          <cell r="I5443" t="str">
            <v>sim</v>
          </cell>
          <cell r="V5443" t="str">
            <v>not neg pair</v>
          </cell>
          <cell r="Y5443" t="str">
            <v>Past</v>
          </cell>
          <cell r="Z5443">
            <v>1.62</v>
          </cell>
          <cell r="AA5443" t="str">
            <v>L</v>
          </cell>
          <cell r="AB5443">
            <v>0</v>
          </cell>
        </row>
        <row r="5444">
          <cell r="G5444" t="str">
            <v>X1992_0</v>
          </cell>
          <cell r="H5444" t="str">
            <v>as</v>
          </cell>
          <cell r="I5444" t="str">
            <v>sim</v>
          </cell>
          <cell r="V5444" t="str">
            <v>not neg pair</v>
          </cell>
          <cell r="Y5444" t="str">
            <v>Past</v>
          </cell>
          <cell r="Z5444">
            <v>3.37</v>
          </cell>
          <cell r="AA5444">
            <v>0</v>
          </cell>
          <cell r="AB5444">
            <v>0</v>
          </cell>
        </row>
        <row r="5445">
          <cell r="G5445" t="str">
            <v>X1992_1</v>
          </cell>
          <cell r="H5445" t="str">
            <v>as</v>
          </cell>
          <cell r="I5445" t="str">
            <v>sim</v>
          </cell>
          <cell r="V5445" t="str">
            <v>not neg pair</v>
          </cell>
          <cell r="Y5445" t="str">
            <v>Past</v>
          </cell>
          <cell r="Z5445">
            <v>3.37</v>
          </cell>
          <cell r="AA5445">
            <v>0</v>
          </cell>
          <cell r="AB5445">
            <v>0</v>
          </cell>
        </row>
        <row r="5446">
          <cell r="G5446" t="str">
            <v>X1993_0</v>
          </cell>
          <cell r="H5446" t="str">
            <v/>
          </cell>
          <cell r="I5446" t="str">
            <v>met</v>
          </cell>
          <cell r="V5446" t="str">
            <v>0</v>
          </cell>
          <cell r="Y5446" t="str">
            <v>Pres</v>
          </cell>
          <cell r="Z5446">
            <v>3.97</v>
          </cell>
          <cell r="AA5446">
            <v>0</v>
          </cell>
          <cell r="AB5446">
            <v>0</v>
          </cell>
        </row>
        <row r="5447">
          <cell r="G5447" t="str">
            <v>X1993_1</v>
          </cell>
          <cell r="H5447" t="str">
            <v>as</v>
          </cell>
          <cell r="I5447" t="str">
            <v>sim</v>
          </cell>
          <cell r="V5447" t="str">
            <v>0</v>
          </cell>
          <cell r="Y5447" t="str">
            <v>Pres</v>
          </cell>
          <cell r="Z5447">
            <v>3.97</v>
          </cell>
          <cell r="AA5447">
            <v>0</v>
          </cell>
          <cell r="AB5447">
            <v>0</v>
          </cell>
        </row>
        <row r="5448">
          <cell r="G5448" t="str">
            <v>X1994_0</v>
          </cell>
          <cell r="H5448" t="str">
            <v>like</v>
          </cell>
          <cell r="I5448" t="str">
            <v>sim</v>
          </cell>
          <cell r="V5448" t="str">
            <v>not neg pair</v>
          </cell>
          <cell r="Y5448" t="str">
            <v>Pres</v>
          </cell>
          <cell r="Z5448">
            <v>4.8899999999999997</v>
          </cell>
          <cell r="AA5448">
            <v>0</v>
          </cell>
          <cell r="AB5448">
            <v>0</v>
          </cell>
        </row>
        <row r="5449">
          <cell r="G5449" t="str">
            <v>X1994_1</v>
          </cell>
          <cell r="H5449" t="str">
            <v>like</v>
          </cell>
          <cell r="I5449" t="str">
            <v>sim</v>
          </cell>
          <cell r="V5449" t="str">
            <v>not neg pair</v>
          </cell>
          <cell r="Y5449" t="str">
            <v>Pres</v>
          </cell>
          <cell r="Z5449">
            <v>4.8899999999999997</v>
          </cell>
          <cell r="AA5449">
            <v>0</v>
          </cell>
          <cell r="AB5449">
            <v>0</v>
          </cell>
        </row>
        <row r="5450">
          <cell r="G5450" t="str">
            <v>X1995_0</v>
          </cell>
          <cell r="H5450" t="str">
            <v>as-as</v>
          </cell>
          <cell r="I5450" t="str">
            <v>sim</v>
          </cell>
          <cell r="V5450" t="str">
            <v>not neg pair</v>
          </cell>
          <cell r="Y5450" t="str">
            <v>Pres</v>
          </cell>
          <cell r="Z5450">
            <v>4.5</v>
          </cell>
          <cell r="AA5450">
            <v>0</v>
          </cell>
          <cell r="AB5450">
            <v>0</v>
          </cell>
        </row>
        <row r="5451">
          <cell r="G5451" t="str">
            <v>X1995_1</v>
          </cell>
          <cell r="H5451" t="str">
            <v>as-as</v>
          </cell>
          <cell r="I5451" t="str">
            <v>sim</v>
          </cell>
          <cell r="V5451" t="str">
            <v>not neg pair</v>
          </cell>
          <cell r="Y5451" t="str">
            <v>Pres</v>
          </cell>
          <cell r="Z5451">
            <v>4.5</v>
          </cell>
          <cell r="AA5451">
            <v>0</v>
          </cell>
          <cell r="AB5451">
            <v>0</v>
          </cell>
        </row>
        <row r="5452">
          <cell r="G5452" t="str">
            <v>X1996_0</v>
          </cell>
          <cell r="H5452" t="str">
            <v>as-as</v>
          </cell>
          <cell r="I5452" t="str">
            <v>sim</v>
          </cell>
          <cell r="V5452" t="str">
            <v>antonym</v>
          </cell>
          <cell r="Y5452" t="str">
            <v>Pres</v>
          </cell>
          <cell r="Z5452">
            <v>4.93</v>
          </cell>
          <cell r="AA5452" t="str">
            <v>H</v>
          </cell>
          <cell r="AB5452">
            <v>0</v>
          </cell>
        </row>
        <row r="5453">
          <cell r="G5453" t="str">
            <v>X1996_1</v>
          </cell>
          <cell r="H5453" t="str">
            <v>as-as</v>
          </cell>
          <cell r="I5453" t="str">
            <v>sim</v>
          </cell>
          <cell r="V5453" t="str">
            <v>antonym</v>
          </cell>
          <cell r="Y5453" t="str">
            <v>Pres</v>
          </cell>
          <cell r="Z5453">
            <v>4.93</v>
          </cell>
          <cell r="AA5453" t="str">
            <v>H</v>
          </cell>
          <cell r="AB5453">
            <v>0</v>
          </cell>
        </row>
        <row r="5454">
          <cell r="G5454" t="str">
            <v>X1997_0</v>
          </cell>
          <cell r="H5454" t="str">
            <v/>
          </cell>
          <cell r="I5454" t="str">
            <v>met</v>
          </cell>
          <cell r="V5454" t="str">
            <v>0</v>
          </cell>
          <cell r="Y5454" t="str">
            <v>Pres</v>
          </cell>
          <cell r="Z5454">
            <v>4.8899999999999997</v>
          </cell>
          <cell r="AA5454">
            <v>0</v>
          </cell>
          <cell r="AB5454">
            <v>0</v>
          </cell>
        </row>
        <row r="5455">
          <cell r="G5455" t="str">
            <v>X1997_1</v>
          </cell>
          <cell r="H5455" t="str">
            <v/>
          </cell>
          <cell r="I5455" t="str">
            <v>met</v>
          </cell>
          <cell r="V5455" t="str">
            <v>0</v>
          </cell>
          <cell r="Y5455" t="str">
            <v>Pres</v>
          </cell>
          <cell r="Z5455">
            <v>4.8899999999999997</v>
          </cell>
          <cell r="AA5455">
            <v>0</v>
          </cell>
          <cell r="AB5455">
            <v>0</v>
          </cell>
        </row>
        <row r="5456">
          <cell r="G5456" t="str">
            <v>X1998_0</v>
          </cell>
          <cell r="H5456" t="str">
            <v/>
          </cell>
          <cell r="I5456" t="str">
            <v>met</v>
          </cell>
          <cell r="V5456" t="str">
            <v>0</v>
          </cell>
          <cell r="Y5456" t="str">
            <v>Pres</v>
          </cell>
          <cell r="Z5456">
            <v>4.97</v>
          </cell>
          <cell r="AA5456" t="str">
            <v>H</v>
          </cell>
          <cell r="AB5456">
            <v>0</v>
          </cell>
        </row>
        <row r="5457">
          <cell r="G5457" t="str">
            <v>X1998_1</v>
          </cell>
          <cell r="H5457" t="str">
            <v/>
          </cell>
          <cell r="I5457" t="str">
            <v>met</v>
          </cell>
          <cell r="V5457" t="str">
            <v>0</v>
          </cell>
          <cell r="Y5457" t="str">
            <v>Pres</v>
          </cell>
          <cell r="Z5457">
            <v>4.97</v>
          </cell>
          <cell r="AA5457" t="str">
            <v>H</v>
          </cell>
          <cell r="AB5457">
            <v>0</v>
          </cell>
        </row>
        <row r="5458">
          <cell r="G5458" t="str">
            <v>X1999_0</v>
          </cell>
          <cell r="H5458" t="str">
            <v/>
          </cell>
          <cell r="I5458" t="str">
            <v>met</v>
          </cell>
          <cell r="V5458" t="str">
            <v>0</v>
          </cell>
          <cell r="Y5458" t="str">
            <v>Pres</v>
          </cell>
          <cell r="Z5458">
            <v>2.0699999999999998</v>
          </cell>
          <cell r="AA5458" t="str">
            <v>L</v>
          </cell>
          <cell r="AB5458">
            <v>0</v>
          </cell>
        </row>
        <row r="5459">
          <cell r="G5459" t="str">
            <v>X1999_1</v>
          </cell>
          <cell r="H5459" t="str">
            <v/>
          </cell>
          <cell r="I5459" t="str">
            <v>met</v>
          </cell>
          <cell r="V5459" t="str">
            <v>0</v>
          </cell>
          <cell r="Y5459" t="str">
            <v>Pres</v>
          </cell>
          <cell r="Z5459">
            <v>2.0699999999999998</v>
          </cell>
          <cell r="AA5459" t="str">
            <v>L</v>
          </cell>
          <cell r="AB5459">
            <v>0</v>
          </cell>
        </row>
        <row r="5460">
          <cell r="G5460" t="str">
            <v>X2000_0</v>
          </cell>
          <cell r="H5460" t="str">
            <v/>
          </cell>
          <cell r="I5460" t="str">
            <v>met</v>
          </cell>
          <cell r="V5460" t="str">
            <v>0</v>
          </cell>
          <cell r="Y5460" t="str">
            <v>Past</v>
          </cell>
          <cell r="Z5460">
            <v>2.96</v>
          </cell>
          <cell r="AA5460">
            <v>0</v>
          </cell>
          <cell r="AB5460">
            <v>0</v>
          </cell>
        </row>
        <row r="5461">
          <cell r="G5461" t="str">
            <v>X2000_1</v>
          </cell>
          <cell r="H5461" t="str">
            <v/>
          </cell>
          <cell r="I5461" t="str">
            <v>met</v>
          </cell>
          <cell r="V5461" t="str">
            <v>0</v>
          </cell>
          <cell r="Y5461" t="str">
            <v>Pres</v>
          </cell>
          <cell r="Z5461">
            <v>2.96</v>
          </cell>
          <cell r="AA5461">
            <v>0</v>
          </cell>
          <cell r="AB5461">
            <v>0</v>
          </cell>
        </row>
        <row r="5462">
          <cell r="G5462" t="str">
            <v>X2001_0</v>
          </cell>
          <cell r="H5462" t="str">
            <v/>
          </cell>
          <cell r="I5462" t="str">
            <v>met</v>
          </cell>
          <cell r="V5462" t="str">
            <v>0</v>
          </cell>
          <cell r="Y5462" t="str">
            <v>Pres</v>
          </cell>
          <cell r="Z5462">
            <v>2.0699999999999998</v>
          </cell>
          <cell r="AA5462" t="str">
            <v>L</v>
          </cell>
          <cell r="AB5462">
            <v>0</v>
          </cell>
        </row>
        <row r="5463">
          <cell r="G5463" t="str">
            <v>X2001_1</v>
          </cell>
          <cell r="H5463" t="str">
            <v/>
          </cell>
          <cell r="I5463" t="str">
            <v>met</v>
          </cell>
          <cell r="V5463" t="str">
            <v>0</v>
          </cell>
          <cell r="Y5463" t="str">
            <v>Past</v>
          </cell>
          <cell r="Z5463">
            <v>2.0699999999999998</v>
          </cell>
          <cell r="AA5463" t="str">
            <v>L</v>
          </cell>
          <cell r="AB5463">
            <v>0</v>
          </cell>
        </row>
        <row r="5464">
          <cell r="G5464" t="str">
            <v>X2002_0</v>
          </cell>
          <cell r="H5464" t="str">
            <v>the-of</v>
          </cell>
          <cell r="I5464" t="str">
            <v>sim</v>
          </cell>
          <cell r="V5464" t="str">
            <v>not</v>
          </cell>
          <cell r="Y5464" t="str">
            <v>Past</v>
          </cell>
          <cell r="Z5464">
            <v>3.85</v>
          </cell>
          <cell r="AA5464">
            <v>0</v>
          </cell>
          <cell r="AB5464">
            <v>0</v>
          </cell>
        </row>
        <row r="5465">
          <cell r="G5465" t="str">
            <v>X2002_1</v>
          </cell>
          <cell r="H5465" t="str">
            <v>the-of</v>
          </cell>
          <cell r="I5465" t="str">
            <v>sim</v>
          </cell>
          <cell r="V5465" t="str">
            <v>not</v>
          </cell>
          <cell r="Y5465" t="str">
            <v>Past</v>
          </cell>
          <cell r="Z5465">
            <v>3.85</v>
          </cell>
          <cell r="AA5465">
            <v>0</v>
          </cell>
          <cell r="AB5465">
            <v>0</v>
          </cell>
        </row>
        <row r="5466">
          <cell r="G5466" t="str">
            <v>X2003_0</v>
          </cell>
          <cell r="H5466" t="str">
            <v>the-of</v>
          </cell>
          <cell r="I5466" t="str">
            <v>sim</v>
          </cell>
          <cell r="V5466" t="str">
            <v>0</v>
          </cell>
          <cell r="Y5466">
            <v>0</v>
          </cell>
          <cell r="Z5466">
            <v>4.92</v>
          </cell>
          <cell r="AA5466" t="str">
            <v>H</v>
          </cell>
          <cell r="AB5466">
            <v>0</v>
          </cell>
        </row>
        <row r="5467">
          <cell r="G5467" t="str">
            <v>X2003_1</v>
          </cell>
          <cell r="H5467" t="str">
            <v/>
          </cell>
          <cell r="I5467" t="str">
            <v>met</v>
          </cell>
          <cell r="V5467" t="str">
            <v>0</v>
          </cell>
          <cell r="Y5467">
            <v>0</v>
          </cell>
          <cell r="Z5467">
            <v>4.92</v>
          </cell>
          <cell r="AA5467" t="str">
            <v>H</v>
          </cell>
          <cell r="AB5467">
            <v>0</v>
          </cell>
        </row>
        <row r="5468">
          <cell r="G5468" t="str">
            <v>X2004_0</v>
          </cell>
          <cell r="H5468" t="str">
            <v>like</v>
          </cell>
          <cell r="I5468" t="str">
            <v>sim</v>
          </cell>
          <cell r="V5468" t="str">
            <v>not neg pair</v>
          </cell>
          <cell r="Y5468" t="str">
            <v>Past</v>
          </cell>
          <cell r="Z5468">
            <v>4.93</v>
          </cell>
          <cell r="AA5468" t="str">
            <v>H</v>
          </cell>
          <cell r="AB5468">
            <v>0</v>
          </cell>
        </row>
        <row r="5469">
          <cell r="G5469" t="str">
            <v>X2004_1</v>
          </cell>
          <cell r="H5469" t="str">
            <v>like</v>
          </cell>
          <cell r="I5469" t="str">
            <v>sim</v>
          </cell>
          <cell r="V5469" t="str">
            <v>not neg pair</v>
          </cell>
          <cell r="Y5469" t="str">
            <v>Past</v>
          </cell>
          <cell r="Z5469">
            <v>4.93</v>
          </cell>
          <cell r="AA5469" t="str">
            <v>H</v>
          </cell>
          <cell r="AB5469">
            <v>0</v>
          </cell>
        </row>
        <row r="5470">
          <cell r="G5470" t="str">
            <v>X2005_0</v>
          </cell>
          <cell r="H5470" t="str">
            <v>like</v>
          </cell>
          <cell r="I5470" t="str">
            <v>sim</v>
          </cell>
          <cell r="V5470" t="str">
            <v>not neg pair</v>
          </cell>
          <cell r="Y5470" t="str">
            <v>Pres</v>
          </cell>
          <cell r="Z5470">
            <v>3.85</v>
          </cell>
          <cell r="AA5470">
            <v>0</v>
          </cell>
          <cell r="AB5470">
            <v>0</v>
          </cell>
        </row>
        <row r="5471">
          <cell r="G5471" t="str">
            <v>X2005_1</v>
          </cell>
          <cell r="H5471" t="str">
            <v>like</v>
          </cell>
          <cell r="I5471" t="str">
            <v>sim</v>
          </cell>
          <cell r="V5471" t="str">
            <v>not neg pair</v>
          </cell>
          <cell r="Y5471" t="str">
            <v>Pres</v>
          </cell>
          <cell r="Z5471">
            <v>3.85</v>
          </cell>
          <cell r="AA5471">
            <v>0</v>
          </cell>
          <cell r="AB5471">
            <v>0</v>
          </cell>
        </row>
        <row r="5472">
          <cell r="G5472" t="str">
            <v>X2006_0</v>
          </cell>
          <cell r="H5472" t="str">
            <v>like</v>
          </cell>
          <cell r="I5472" t="str">
            <v>sim</v>
          </cell>
          <cell r="V5472" t="str">
            <v>not neg pair</v>
          </cell>
          <cell r="Y5472" t="str">
            <v>Past</v>
          </cell>
          <cell r="Z5472">
            <v>3.5</v>
          </cell>
          <cell r="AA5472">
            <v>0</v>
          </cell>
          <cell r="AB5472">
            <v>0</v>
          </cell>
        </row>
        <row r="5473">
          <cell r="G5473" t="str">
            <v>X2006_1</v>
          </cell>
          <cell r="H5473" t="str">
            <v>like</v>
          </cell>
          <cell r="I5473" t="str">
            <v>sim</v>
          </cell>
          <cell r="V5473" t="str">
            <v>not neg pair</v>
          </cell>
          <cell r="Y5473" t="str">
            <v>Pres</v>
          </cell>
          <cell r="Z5473">
            <v>3.5</v>
          </cell>
          <cell r="AA5473">
            <v>0</v>
          </cell>
          <cell r="AB5473">
            <v>0</v>
          </cell>
        </row>
        <row r="5474">
          <cell r="G5474" t="str">
            <v>X2007_0</v>
          </cell>
          <cell r="H5474" t="str">
            <v>like</v>
          </cell>
          <cell r="I5474" t="str">
            <v>sim</v>
          </cell>
          <cell r="V5474" t="str">
            <v>not neg pair</v>
          </cell>
          <cell r="Y5474" t="str">
            <v>Pres</v>
          </cell>
          <cell r="Z5474">
            <v>3.93</v>
          </cell>
          <cell r="AA5474">
            <v>0</v>
          </cell>
          <cell r="AB5474">
            <v>0</v>
          </cell>
        </row>
        <row r="5475">
          <cell r="G5475" t="str">
            <v>X2007_1</v>
          </cell>
          <cell r="H5475" t="str">
            <v>like</v>
          </cell>
          <cell r="I5475" t="str">
            <v>sim</v>
          </cell>
          <cell r="V5475" t="str">
            <v>not neg pair</v>
          </cell>
          <cell r="Y5475" t="str">
            <v>Past</v>
          </cell>
          <cell r="Z5475">
            <v>3.93</v>
          </cell>
          <cell r="AA5475">
            <v>0</v>
          </cell>
          <cell r="AB5475">
            <v>0</v>
          </cell>
        </row>
        <row r="5476">
          <cell r="G5476" t="str">
            <v>X2008_0</v>
          </cell>
          <cell r="H5476" t="str">
            <v>like</v>
          </cell>
          <cell r="I5476" t="str">
            <v>sim</v>
          </cell>
          <cell r="V5476" t="str">
            <v>not</v>
          </cell>
          <cell r="Y5476" t="str">
            <v>Past</v>
          </cell>
          <cell r="Z5476">
            <v>3.93</v>
          </cell>
          <cell r="AA5476">
            <v>0</v>
          </cell>
          <cell r="AB5476">
            <v>0</v>
          </cell>
        </row>
        <row r="5477">
          <cell r="G5477" t="str">
            <v>X2008_1</v>
          </cell>
          <cell r="H5477" t="str">
            <v>like</v>
          </cell>
          <cell r="I5477" t="str">
            <v>sim</v>
          </cell>
          <cell r="V5477" t="str">
            <v>not</v>
          </cell>
          <cell r="Y5477" t="str">
            <v>Past</v>
          </cell>
          <cell r="Z5477">
            <v>3.93</v>
          </cell>
          <cell r="AA5477">
            <v>0</v>
          </cell>
          <cell r="AB5477">
            <v>0</v>
          </cell>
        </row>
        <row r="5478">
          <cell r="G5478" t="str">
            <v>X2009_0</v>
          </cell>
          <cell r="H5478" t="str">
            <v>like</v>
          </cell>
          <cell r="I5478" t="str">
            <v>sim</v>
          </cell>
          <cell r="V5478" t="str">
            <v>not</v>
          </cell>
          <cell r="Y5478" t="str">
            <v>Past</v>
          </cell>
          <cell r="Z5478">
            <v>3.36</v>
          </cell>
          <cell r="AA5478">
            <v>0</v>
          </cell>
          <cell r="AB5478">
            <v>0</v>
          </cell>
        </row>
        <row r="5479">
          <cell r="G5479" t="str">
            <v>X2009_1</v>
          </cell>
          <cell r="H5479" t="str">
            <v>like</v>
          </cell>
          <cell r="I5479" t="str">
            <v>sim</v>
          </cell>
          <cell r="V5479" t="str">
            <v>not</v>
          </cell>
          <cell r="Y5479" t="str">
            <v>Past</v>
          </cell>
          <cell r="Z5479">
            <v>3.36</v>
          </cell>
          <cell r="AA5479">
            <v>0</v>
          </cell>
          <cell r="AB5479">
            <v>0</v>
          </cell>
        </row>
        <row r="5480">
          <cell r="G5480" t="str">
            <v>X2010_0</v>
          </cell>
          <cell r="H5480" t="str">
            <v>the-of</v>
          </cell>
          <cell r="I5480" t="str">
            <v>sim</v>
          </cell>
          <cell r="V5480" t="str">
            <v>not neg pair</v>
          </cell>
          <cell r="Y5480" t="str">
            <v>Past</v>
          </cell>
          <cell r="Z5480">
            <v>4.8899999999999997</v>
          </cell>
          <cell r="AA5480">
            <v>0</v>
          </cell>
          <cell r="AB5480">
            <v>0</v>
          </cell>
        </row>
        <row r="5481">
          <cell r="G5481" t="str">
            <v>X2010_1</v>
          </cell>
          <cell r="H5481" t="str">
            <v>the-of</v>
          </cell>
          <cell r="I5481" t="str">
            <v>sim</v>
          </cell>
          <cell r="V5481" t="str">
            <v>not neg pair</v>
          </cell>
          <cell r="Y5481" t="str">
            <v>Past</v>
          </cell>
          <cell r="Z5481">
            <v>4.8899999999999997</v>
          </cell>
          <cell r="AA5481">
            <v>0</v>
          </cell>
          <cell r="AB5481">
            <v>0</v>
          </cell>
        </row>
        <row r="5482">
          <cell r="G5482" t="str">
            <v>X2011_0</v>
          </cell>
          <cell r="H5482" t="str">
            <v/>
          </cell>
          <cell r="I5482" t="str">
            <v>met</v>
          </cell>
          <cell r="V5482" t="str">
            <v>0</v>
          </cell>
          <cell r="Y5482" t="str">
            <v>Past</v>
          </cell>
          <cell r="Z5482">
            <v>3.5</v>
          </cell>
          <cell r="AA5482">
            <v>0</v>
          </cell>
          <cell r="AB5482">
            <v>0</v>
          </cell>
        </row>
        <row r="5483">
          <cell r="G5483" t="str">
            <v>X2011_1</v>
          </cell>
          <cell r="H5483" t="str">
            <v/>
          </cell>
          <cell r="I5483" t="str">
            <v>met</v>
          </cell>
          <cell r="V5483" t="str">
            <v>0</v>
          </cell>
          <cell r="Y5483" t="str">
            <v>Past</v>
          </cell>
          <cell r="Z5483">
            <v>3.5</v>
          </cell>
          <cell r="AA5483">
            <v>0</v>
          </cell>
          <cell r="AB5483">
            <v>0</v>
          </cell>
        </row>
        <row r="5484">
          <cell r="G5484" t="str">
            <v>X2012_0</v>
          </cell>
          <cell r="H5484" t="str">
            <v>as-as</v>
          </cell>
          <cell r="I5484" t="str">
            <v>sim</v>
          </cell>
          <cell r="V5484" t="str">
            <v>not neg pair</v>
          </cell>
          <cell r="Y5484" t="str">
            <v>Pres</v>
          </cell>
          <cell r="Z5484">
            <v>3.77</v>
          </cell>
          <cell r="AA5484">
            <v>0</v>
          </cell>
          <cell r="AB5484">
            <v>0</v>
          </cell>
        </row>
        <row r="5485">
          <cell r="G5485" t="str">
            <v>X2012_1</v>
          </cell>
          <cell r="H5485" t="str">
            <v>as-as</v>
          </cell>
          <cell r="I5485" t="str">
            <v>sim</v>
          </cell>
          <cell r="V5485" t="str">
            <v>not neg pair</v>
          </cell>
          <cell r="Y5485" t="str">
            <v>Past</v>
          </cell>
          <cell r="Z5485">
            <v>3.77</v>
          </cell>
          <cell r="AA5485">
            <v>0</v>
          </cell>
          <cell r="AB5485">
            <v>0</v>
          </cell>
        </row>
        <row r="5486">
          <cell r="G5486" t="str">
            <v>X2013_0</v>
          </cell>
          <cell r="H5486" t="str">
            <v/>
          </cell>
          <cell r="I5486" t="str">
            <v>met</v>
          </cell>
          <cell r="V5486" t="str">
            <v>0</v>
          </cell>
          <cell r="Y5486" t="str">
            <v>Pres</v>
          </cell>
          <cell r="Z5486">
            <v>3.85</v>
          </cell>
          <cell r="AA5486">
            <v>0</v>
          </cell>
          <cell r="AB5486">
            <v>0</v>
          </cell>
        </row>
        <row r="5487">
          <cell r="G5487" t="str">
            <v>X2013_1</v>
          </cell>
          <cell r="H5487" t="str">
            <v/>
          </cell>
          <cell r="I5487" t="str">
            <v>met</v>
          </cell>
          <cell r="V5487" t="str">
            <v>0</v>
          </cell>
          <cell r="Y5487" t="str">
            <v>Pres</v>
          </cell>
          <cell r="Z5487">
            <v>3.85</v>
          </cell>
          <cell r="AA5487">
            <v>0</v>
          </cell>
          <cell r="AB5487">
            <v>0</v>
          </cell>
        </row>
        <row r="5488">
          <cell r="G5488" t="str">
            <v>X2014_0</v>
          </cell>
          <cell r="H5488" t="str">
            <v/>
          </cell>
          <cell r="I5488" t="str">
            <v>met</v>
          </cell>
          <cell r="V5488" t="str">
            <v>0</v>
          </cell>
          <cell r="Y5488" t="str">
            <v>Pres</v>
          </cell>
          <cell r="Z5488">
            <v>3.5</v>
          </cell>
          <cell r="AA5488">
            <v>0</v>
          </cell>
          <cell r="AB5488">
            <v>0</v>
          </cell>
        </row>
        <row r="5489">
          <cell r="G5489" t="str">
            <v>X2014_1</v>
          </cell>
          <cell r="H5489" t="str">
            <v/>
          </cell>
          <cell r="I5489" t="str">
            <v>met</v>
          </cell>
          <cell r="V5489" t="str">
            <v>0</v>
          </cell>
          <cell r="Y5489" t="str">
            <v>Pres</v>
          </cell>
          <cell r="Z5489">
            <v>3.5</v>
          </cell>
          <cell r="AA5489">
            <v>0</v>
          </cell>
          <cell r="AB5489">
            <v>0</v>
          </cell>
        </row>
        <row r="5490">
          <cell r="G5490" t="str">
            <v>X2015_0</v>
          </cell>
          <cell r="H5490" t="str">
            <v>like</v>
          </cell>
          <cell r="I5490" t="str">
            <v>sim</v>
          </cell>
          <cell r="V5490" t="str">
            <v>not neg pair</v>
          </cell>
          <cell r="Y5490" t="str">
            <v>Pres</v>
          </cell>
          <cell r="Z5490">
            <v>4.79</v>
          </cell>
          <cell r="AA5490">
            <v>0</v>
          </cell>
          <cell r="AB5490">
            <v>0</v>
          </cell>
        </row>
        <row r="5491">
          <cell r="G5491" t="str">
            <v>X2015_1</v>
          </cell>
          <cell r="H5491" t="str">
            <v>like</v>
          </cell>
          <cell r="I5491" t="str">
            <v>sim</v>
          </cell>
          <cell r="V5491" t="str">
            <v>not neg pair</v>
          </cell>
          <cell r="Y5491" t="str">
            <v>Pres</v>
          </cell>
          <cell r="Z5491">
            <v>4.79</v>
          </cell>
          <cell r="AA5491">
            <v>0</v>
          </cell>
          <cell r="AB5491">
            <v>0</v>
          </cell>
        </row>
        <row r="5492">
          <cell r="G5492" t="str">
            <v>X2016_0</v>
          </cell>
          <cell r="H5492" t="str">
            <v>as-as</v>
          </cell>
          <cell r="I5492" t="str">
            <v>sim</v>
          </cell>
          <cell r="V5492" t="str">
            <v>not neg pair</v>
          </cell>
          <cell r="Y5492" t="str">
            <v>Pres</v>
          </cell>
          <cell r="Z5492">
            <v>4.79</v>
          </cell>
          <cell r="AA5492">
            <v>0</v>
          </cell>
          <cell r="AB5492">
            <v>0</v>
          </cell>
        </row>
        <row r="5493">
          <cell r="G5493" t="str">
            <v>X2016_1</v>
          </cell>
          <cell r="H5493" t="str">
            <v>as-as</v>
          </cell>
          <cell r="I5493" t="str">
            <v>sim</v>
          </cell>
          <cell r="V5493" t="str">
            <v>not neg pair</v>
          </cell>
          <cell r="Y5493" t="str">
            <v>Pres</v>
          </cell>
          <cell r="Z5493">
            <v>4.79</v>
          </cell>
          <cell r="AA5493">
            <v>0</v>
          </cell>
          <cell r="AB5493">
            <v>0</v>
          </cell>
        </row>
        <row r="5494">
          <cell r="G5494" t="str">
            <v>X2017_0</v>
          </cell>
          <cell r="H5494" t="str">
            <v/>
          </cell>
          <cell r="I5494" t="str">
            <v>met</v>
          </cell>
          <cell r="V5494" t="str">
            <v>0</v>
          </cell>
          <cell r="Y5494" t="str">
            <v>Pres</v>
          </cell>
          <cell r="Z5494">
            <v>4.6100000000000003</v>
          </cell>
          <cell r="AA5494">
            <v>0</v>
          </cell>
          <cell r="AB5494">
            <v>0</v>
          </cell>
        </row>
        <row r="5495">
          <cell r="G5495" t="str">
            <v>X2017_1</v>
          </cell>
          <cell r="H5495" t="str">
            <v/>
          </cell>
          <cell r="I5495" t="str">
            <v>met</v>
          </cell>
          <cell r="V5495" t="str">
            <v>0</v>
          </cell>
          <cell r="Y5495">
            <v>0</v>
          </cell>
          <cell r="Z5495">
            <v>4.1100000000000003</v>
          </cell>
          <cell r="AA5495">
            <v>0</v>
          </cell>
          <cell r="AB5495">
            <v>0</v>
          </cell>
        </row>
        <row r="5496">
          <cell r="G5496" t="str">
            <v>X2018_0</v>
          </cell>
          <cell r="H5496" t="str">
            <v>like</v>
          </cell>
          <cell r="I5496" t="str">
            <v>sim</v>
          </cell>
          <cell r="V5496" t="str">
            <v>not</v>
          </cell>
          <cell r="Y5496" t="str">
            <v>Pres</v>
          </cell>
          <cell r="Z5496">
            <v>2.81</v>
          </cell>
          <cell r="AA5496">
            <v>0</v>
          </cell>
          <cell r="AB5496">
            <v>0</v>
          </cell>
        </row>
        <row r="5497">
          <cell r="G5497" t="str">
            <v>X2018_1</v>
          </cell>
          <cell r="H5497" t="str">
            <v>like</v>
          </cell>
          <cell r="I5497" t="str">
            <v>sim</v>
          </cell>
          <cell r="V5497" t="str">
            <v>not</v>
          </cell>
          <cell r="Y5497" t="str">
            <v>Pres</v>
          </cell>
          <cell r="Z5497">
            <v>3.41</v>
          </cell>
          <cell r="AA5497">
            <v>0</v>
          </cell>
          <cell r="AB5497">
            <v>0</v>
          </cell>
        </row>
        <row r="5498">
          <cell r="G5498" t="str">
            <v>X2019_0</v>
          </cell>
          <cell r="H5498" t="str">
            <v>as-as</v>
          </cell>
          <cell r="I5498" t="str">
            <v>sim</v>
          </cell>
          <cell r="V5498" t="str">
            <v>not neg pair</v>
          </cell>
          <cell r="Y5498" t="str">
            <v>Pres</v>
          </cell>
          <cell r="Z5498">
            <v>0</v>
          </cell>
          <cell r="AA5498">
            <v>0</v>
          </cell>
          <cell r="AB5498">
            <v>0</v>
          </cell>
        </row>
        <row r="5499">
          <cell r="G5499" t="str">
            <v>X2019_1</v>
          </cell>
          <cell r="H5499" t="str">
            <v>as-as</v>
          </cell>
          <cell r="I5499" t="str">
            <v>sim</v>
          </cell>
          <cell r="V5499" t="str">
            <v>not neg pair</v>
          </cell>
          <cell r="Y5499" t="str">
            <v>Pres</v>
          </cell>
          <cell r="Z5499">
            <v>0</v>
          </cell>
          <cell r="AA5499">
            <v>0</v>
          </cell>
          <cell r="AB5499">
            <v>0</v>
          </cell>
        </row>
        <row r="5500">
          <cell r="G5500" t="str">
            <v>X2020_0</v>
          </cell>
          <cell r="H5500" t="str">
            <v>as-as</v>
          </cell>
          <cell r="I5500" t="str">
            <v>sim</v>
          </cell>
          <cell r="V5500" t="str">
            <v>not</v>
          </cell>
          <cell r="Y5500" t="str">
            <v>Past</v>
          </cell>
          <cell r="Z5500">
            <v>2.0299999999999998</v>
          </cell>
          <cell r="AA5500" t="str">
            <v>L</v>
          </cell>
          <cell r="AB5500">
            <v>0</v>
          </cell>
        </row>
        <row r="5501">
          <cell r="G5501" t="str">
            <v>X2020_1</v>
          </cell>
          <cell r="H5501" t="str">
            <v>as-as</v>
          </cell>
          <cell r="I5501" t="str">
            <v>sim</v>
          </cell>
          <cell r="V5501" t="str">
            <v>not</v>
          </cell>
          <cell r="Y5501" t="str">
            <v>Past</v>
          </cell>
          <cell r="Z5501">
            <v>0</v>
          </cell>
          <cell r="AA5501">
            <v>0</v>
          </cell>
          <cell r="AB5501">
            <v>0</v>
          </cell>
        </row>
        <row r="5502">
          <cell r="G5502" t="str">
            <v>X2021_0</v>
          </cell>
          <cell r="H5502" t="str">
            <v>as-as</v>
          </cell>
          <cell r="I5502" t="str">
            <v>sim</v>
          </cell>
          <cell r="V5502" t="str">
            <v>antonym</v>
          </cell>
          <cell r="Y5502" t="str">
            <v>Past</v>
          </cell>
          <cell r="Z5502">
            <v>4.93</v>
          </cell>
          <cell r="AA5502" t="str">
            <v>H</v>
          </cell>
          <cell r="AB5502">
            <v>0</v>
          </cell>
        </row>
        <row r="5503">
          <cell r="G5503" t="str">
            <v>X2021_1</v>
          </cell>
          <cell r="H5503" t="str">
            <v>as-as</v>
          </cell>
          <cell r="I5503" t="str">
            <v>sim</v>
          </cell>
          <cell r="V5503" t="str">
            <v>antonym</v>
          </cell>
          <cell r="Y5503" t="str">
            <v>Past</v>
          </cell>
          <cell r="Z5503">
            <v>4.93</v>
          </cell>
          <cell r="AA5503" t="str">
            <v>H</v>
          </cell>
          <cell r="AB5503">
            <v>0</v>
          </cell>
        </row>
        <row r="5504">
          <cell r="G5504" t="str">
            <v>X2022_0</v>
          </cell>
          <cell r="H5504" t="str">
            <v>the-of</v>
          </cell>
          <cell r="I5504" t="str">
            <v>sim</v>
          </cell>
          <cell r="V5504" t="str">
            <v>not neg pair</v>
          </cell>
          <cell r="Y5504" t="str">
            <v>Past</v>
          </cell>
          <cell r="Z5504">
            <v>3.36</v>
          </cell>
          <cell r="AA5504">
            <v>0</v>
          </cell>
          <cell r="AB5504">
            <v>0</v>
          </cell>
        </row>
        <row r="5505">
          <cell r="G5505" t="str">
            <v>X2022_1</v>
          </cell>
          <cell r="H5505" t="str">
            <v>the-of</v>
          </cell>
          <cell r="I5505" t="str">
            <v>sim</v>
          </cell>
          <cell r="V5505" t="str">
            <v>not neg pair</v>
          </cell>
          <cell r="Y5505" t="str">
            <v>Past</v>
          </cell>
          <cell r="Z5505">
            <v>3.36</v>
          </cell>
          <cell r="AA5505">
            <v>0</v>
          </cell>
          <cell r="AB5505">
            <v>0</v>
          </cell>
        </row>
        <row r="5506">
          <cell r="G5506" t="str">
            <v>X2023_0</v>
          </cell>
          <cell r="H5506" t="str">
            <v>the-of</v>
          </cell>
          <cell r="I5506" t="str">
            <v>sim</v>
          </cell>
          <cell r="V5506" t="str">
            <v>not</v>
          </cell>
          <cell r="Y5506" t="str">
            <v>Past</v>
          </cell>
          <cell r="Z5506">
            <v>4.96</v>
          </cell>
          <cell r="AA5506" t="str">
            <v>H</v>
          </cell>
          <cell r="AB5506">
            <v>0</v>
          </cell>
        </row>
        <row r="5507">
          <cell r="G5507" t="str">
            <v>X2023_1</v>
          </cell>
          <cell r="H5507" t="str">
            <v>the-of</v>
          </cell>
          <cell r="I5507" t="str">
            <v>sim</v>
          </cell>
          <cell r="V5507" t="str">
            <v>not</v>
          </cell>
          <cell r="Y5507" t="str">
            <v>Past</v>
          </cell>
          <cell r="Z5507">
            <v>4.96</v>
          </cell>
          <cell r="AA5507" t="str">
            <v>H</v>
          </cell>
          <cell r="AB5507">
            <v>0</v>
          </cell>
        </row>
        <row r="5508">
          <cell r="G5508" t="str">
            <v>X2024_0</v>
          </cell>
          <cell r="H5508" t="str">
            <v>as-as</v>
          </cell>
          <cell r="I5508" t="str">
            <v>sim</v>
          </cell>
          <cell r="V5508" t="str">
            <v>antonym</v>
          </cell>
          <cell r="Y5508" t="str">
            <v>Past</v>
          </cell>
          <cell r="Z5508">
            <v>4.68</v>
          </cell>
          <cell r="AA5508">
            <v>0</v>
          </cell>
          <cell r="AB5508">
            <v>0</v>
          </cell>
        </row>
        <row r="5509">
          <cell r="G5509" t="str">
            <v>X2024_1</v>
          </cell>
          <cell r="H5509" t="str">
            <v>as-as</v>
          </cell>
          <cell r="I5509" t="str">
            <v>sim</v>
          </cell>
          <cell r="V5509" t="str">
            <v>antonym</v>
          </cell>
          <cell r="Y5509" t="str">
            <v>Past</v>
          </cell>
          <cell r="Z5509">
            <v>4.68</v>
          </cell>
          <cell r="AA5509">
            <v>0</v>
          </cell>
          <cell r="AB5509">
            <v>0</v>
          </cell>
        </row>
        <row r="5510">
          <cell r="G5510" t="str">
            <v>X2025_0</v>
          </cell>
          <cell r="H5510" t="str">
            <v>the-of</v>
          </cell>
          <cell r="I5510" t="str">
            <v>sim</v>
          </cell>
          <cell r="V5510" t="str">
            <v>not neg pair</v>
          </cell>
          <cell r="Y5510" t="str">
            <v>Past</v>
          </cell>
          <cell r="Z5510">
            <v>4.92</v>
          </cell>
          <cell r="AA5510" t="str">
            <v>H</v>
          </cell>
          <cell r="AB5510">
            <v>0</v>
          </cell>
        </row>
        <row r="5511">
          <cell r="G5511" t="str">
            <v>X2025_1</v>
          </cell>
          <cell r="H5511" t="str">
            <v>the-of</v>
          </cell>
          <cell r="I5511" t="str">
            <v>sim</v>
          </cell>
          <cell r="V5511" t="str">
            <v>not neg pair</v>
          </cell>
          <cell r="Y5511" t="str">
            <v>Past</v>
          </cell>
          <cell r="Z5511">
            <v>4.92</v>
          </cell>
          <cell r="AA5511" t="str">
            <v>H</v>
          </cell>
          <cell r="AB5511">
            <v>0</v>
          </cell>
        </row>
        <row r="5512">
          <cell r="G5512" t="str">
            <v>X2026_0</v>
          </cell>
          <cell r="H5512" t="str">
            <v/>
          </cell>
          <cell r="I5512" t="str">
            <v>met</v>
          </cell>
          <cell r="V5512" t="str">
            <v>0</v>
          </cell>
          <cell r="Y5512" t="str">
            <v>Past</v>
          </cell>
          <cell r="Z5512">
            <v>2.94</v>
          </cell>
          <cell r="AA5512">
            <v>0</v>
          </cell>
          <cell r="AB5512">
            <v>0</v>
          </cell>
        </row>
        <row r="5513">
          <cell r="G5513" t="str">
            <v>X2026_1</v>
          </cell>
          <cell r="H5513" t="str">
            <v/>
          </cell>
          <cell r="I5513" t="str">
            <v>met</v>
          </cell>
          <cell r="V5513" t="str">
            <v>0</v>
          </cell>
          <cell r="Y5513" t="str">
            <v>Past</v>
          </cell>
          <cell r="Z5513">
            <v>2.94</v>
          </cell>
          <cell r="AA5513">
            <v>0</v>
          </cell>
          <cell r="AB5513">
            <v>0</v>
          </cell>
        </row>
        <row r="5514">
          <cell r="G5514" t="str">
            <v>X2027_0</v>
          </cell>
          <cell r="H5514" t="str">
            <v>as-as</v>
          </cell>
          <cell r="I5514" t="str">
            <v>sim</v>
          </cell>
          <cell r="V5514" t="str">
            <v>antonym</v>
          </cell>
          <cell r="Y5514" t="str">
            <v>Past</v>
          </cell>
          <cell r="Z5514">
            <v>4.63</v>
          </cell>
          <cell r="AA5514">
            <v>0</v>
          </cell>
          <cell r="AB5514">
            <v>0</v>
          </cell>
        </row>
        <row r="5515">
          <cell r="G5515" t="str">
            <v>X2027_1</v>
          </cell>
          <cell r="H5515" t="str">
            <v>as-as</v>
          </cell>
          <cell r="I5515" t="str">
            <v>sim</v>
          </cell>
          <cell r="V5515" t="str">
            <v>antonym</v>
          </cell>
          <cell r="Y5515" t="str">
            <v>Past</v>
          </cell>
          <cell r="Z5515">
            <v>4.63</v>
          </cell>
          <cell r="AA5515">
            <v>0</v>
          </cell>
          <cell r="AB5515">
            <v>0</v>
          </cell>
        </row>
        <row r="5516">
          <cell r="G5516" t="str">
            <v>X2028_0</v>
          </cell>
          <cell r="H5516" t="str">
            <v>as-as</v>
          </cell>
          <cell r="I5516" t="str">
            <v>sim</v>
          </cell>
          <cell r="V5516" t="str">
            <v>not</v>
          </cell>
          <cell r="Y5516" t="str">
            <v>Past</v>
          </cell>
          <cell r="Z5516">
            <v>3.36</v>
          </cell>
          <cell r="AA5516">
            <v>0</v>
          </cell>
          <cell r="AB5516">
            <v>0</v>
          </cell>
        </row>
        <row r="5517">
          <cell r="G5517" t="str">
            <v>X2028_1</v>
          </cell>
          <cell r="H5517" t="str">
            <v>as-as</v>
          </cell>
          <cell r="I5517" t="str">
            <v>sim</v>
          </cell>
          <cell r="V5517" t="str">
            <v>not</v>
          </cell>
          <cell r="Y5517" t="str">
            <v>Past</v>
          </cell>
          <cell r="Z5517">
            <v>3.36</v>
          </cell>
          <cell r="AA5517">
            <v>0</v>
          </cell>
          <cell r="AB5517">
            <v>0</v>
          </cell>
        </row>
        <row r="5518">
          <cell r="G5518" t="str">
            <v>X2029_0</v>
          </cell>
          <cell r="H5518" t="str">
            <v>as-as</v>
          </cell>
          <cell r="I5518" t="str">
            <v>sim</v>
          </cell>
          <cell r="V5518" t="str">
            <v>not neg pair</v>
          </cell>
          <cell r="Y5518" t="str">
            <v>Past</v>
          </cell>
          <cell r="Z5518">
            <v>3.48</v>
          </cell>
          <cell r="AA5518">
            <v>0</v>
          </cell>
          <cell r="AB5518">
            <v>0</v>
          </cell>
        </row>
        <row r="5519">
          <cell r="G5519" t="str">
            <v>X2029_1</v>
          </cell>
          <cell r="H5519" t="str">
            <v>as-as</v>
          </cell>
          <cell r="I5519" t="str">
            <v>sim</v>
          </cell>
          <cell r="V5519" t="str">
            <v>not neg pair</v>
          </cell>
          <cell r="Y5519" t="str">
            <v>Past</v>
          </cell>
          <cell r="Z5519">
            <v>3.48</v>
          </cell>
          <cell r="AA5519">
            <v>0</v>
          </cell>
          <cell r="AB5519">
            <v>0</v>
          </cell>
        </row>
        <row r="5520">
          <cell r="G5520" t="str">
            <v>X2030_0</v>
          </cell>
          <cell r="H5520" t="str">
            <v>as</v>
          </cell>
          <cell r="I5520" t="str">
            <v>sim</v>
          </cell>
          <cell r="V5520" t="str">
            <v>not</v>
          </cell>
          <cell r="Y5520" t="str">
            <v>Past</v>
          </cell>
          <cell r="Z5520">
            <v>4.68</v>
          </cell>
          <cell r="AA5520">
            <v>0</v>
          </cell>
          <cell r="AB5520">
            <v>0</v>
          </cell>
        </row>
        <row r="5521">
          <cell r="G5521" t="str">
            <v>X2030_1</v>
          </cell>
          <cell r="H5521" t="str">
            <v>as</v>
          </cell>
          <cell r="I5521" t="str">
            <v>sim</v>
          </cell>
          <cell r="V5521" t="str">
            <v>not</v>
          </cell>
          <cell r="Y5521" t="str">
            <v>Past</v>
          </cell>
          <cell r="Z5521">
            <v>4.68</v>
          </cell>
          <cell r="AA5521">
            <v>0</v>
          </cell>
          <cell r="AB5521">
            <v>0</v>
          </cell>
        </row>
        <row r="5522">
          <cell r="G5522" t="str">
            <v>X2031_0</v>
          </cell>
          <cell r="H5522" t="str">
            <v>as</v>
          </cell>
          <cell r="I5522" t="str">
            <v>sim</v>
          </cell>
          <cell r="V5522" t="str">
            <v>0</v>
          </cell>
          <cell r="Y5522" t="str">
            <v>Pres</v>
          </cell>
          <cell r="Z5522">
            <v>4.9000000000000004</v>
          </cell>
          <cell r="AA5522">
            <v>0</v>
          </cell>
          <cell r="AB5522">
            <v>0</v>
          </cell>
        </row>
        <row r="5523">
          <cell r="G5523" t="str">
            <v>X2031_1</v>
          </cell>
          <cell r="H5523" t="str">
            <v/>
          </cell>
          <cell r="I5523" t="str">
            <v>met</v>
          </cell>
          <cell r="V5523" t="str">
            <v>0</v>
          </cell>
          <cell r="Y5523" t="str">
            <v>Pres</v>
          </cell>
          <cell r="Z5523">
            <v>4.9000000000000004</v>
          </cell>
          <cell r="AA5523">
            <v>0</v>
          </cell>
          <cell r="AB5523">
            <v>0</v>
          </cell>
        </row>
        <row r="5524">
          <cell r="G5524" t="str">
            <v>X2032_0</v>
          </cell>
          <cell r="H5524" t="str">
            <v/>
          </cell>
          <cell r="I5524" t="str">
            <v>met</v>
          </cell>
          <cell r="V5524" t="str">
            <v>0</v>
          </cell>
          <cell r="Y5524" t="str">
            <v>Pres</v>
          </cell>
          <cell r="Z5524">
            <v>4.79</v>
          </cell>
          <cell r="AA5524">
            <v>0</v>
          </cell>
          <cell r="AB5524">
            <v>0</v>
          </cell>
        </row>
        <row r="5525">
          <cell r="G5525" t="str">
            <v>X2032_1</v>
          </cell>
          <cell r="H5525" t="str">
            <v>as</v>
          </cell>
          <cell r="I5525" t="str">
            <v>sim</v>
          </cell>
          <cell r="V5525" t="str">
            <v>0</v>
          </cell>
          <cell r="Y5525" t="str">
            <v>Pres</v>
          </cell>
          <cell r="Z5525">
            <v>4.79</v>
          </cell>
          <cell r="AA5525">
            <v>0</v>
          </cell>
          <cell r="AB5525">
            <v>0</v>
          </cell>
        </row>
        <row r="5526">
          <cell r="G5526" t="str">
            <v>X2033_0</v>
          </cell>
          <cell r="H5526" t="str">
            <v/>
          </cell>
          <cell r="I5526" t="str">
            <v>met</v>
          </cell>
          <cell r="V5526" t="str">
            <v>0</v>
          </cell>
          <cell r="Y5526" t="str">
            <v>Pres</v>
          </cell>
          <cell r="Z5526">
            <v>2.86</v>
          </cell>
          <cell r="AA5526">
            <v>0</v>
          </cell>
          <cell r="AB5526">
            <v>0</v>
          </cell>
        </row>
        <row r="5527">
          <cell r="G5527" t="str">
            <v>X2033_1</v>
          </cell>
          <cell r="H5527" t="str">
            <v/>
          </cell>
          <cell r="I5527" t="str">
            <v>met</v>
          </cell>
          <cell r="V5527" t="str">
            <v>0</v>
          </cell>
          <cell r="Y5527" t="str">
            <v>Pres</v>
          </cell>
          <cell r="Z5527">
            <v>2.86</v>
          </cell>
          <cell r="AA5527">
            <v>0</v>
          </cell>
          <cell r="AB5527">
            <v>0</v>
          </cell>
        </row>
        <row r="5528">
          <cell r="G5528" t="str">
            <v>X2034_0</v>
          </cell>
          <cell r="H5528" t="str">
            <v/>
          </cell>
          <cell r="I5528" t="str">
            <v>met</v>
          </cell>
          <cell r="V5528" t="str">
            <v>0</v>
          </cell>
          <cell r="Y5528" t="str">
            <v>Pres</v>
          </cell>
          <cell r="Z5528">
            <v>5</v>
          </cell>
          <cell r="AA5528" t="str">
            <v>H</v>
          </cell>
          <cell r="AB5528">
            <v>0</v>
          </cell>
        </row>
        <row r="5529">
          <cell r="G5529" t="str">
            <v>X2034_1</v>
          </cell>
          <cell r="H5529" t="str">
            <v/>
          </cell>
          <cell r="I5529" t="str">
            <v>met</v>
          </cell>
          <cell r="V5529" t="str">
            <v>0</v>
          </cell>
          <cell r="Y5529" t="str">
            <v>Pres</v>
          </cell>
          <cell r="Z5529">
            <v>5</v>
          </cell>
          <cell r="AA5529" t="str">
            <v>H</v>
          </cell>
          <cell r="AB5529">
            <v>0</v>
          </cell>
        </row>
        <row r="5530">
          <cell r="G5530" t="str">
            <v>X2035_0</v>
          </cell>
          <cell r="H5530" t="str">
            <v>as</v>
          </cell>
          <cell r="I5530" t="str">
            <v>sim</v>
          </cell>
          <cell r="V5530" t="str">
            <v>not</v>
          </cell>
          <cell r="Y5530" t="str">
            <v>Past</v>
          </cell>
          <cell r="Z5530">
            <v>4.2300000000000004</v>
          </cell>
          <cell r="AA5530">
            <v>0</v>
          </cell>
          <cell r="AB5530">
            <v>0</v>
          </cell>
        </row>
        <row r="5531">
          <cell r="G5531" t="str">
            <v>X2035_1</v>
          </cell>
          <cell r="H5531" t="str">
            <v>as</v>
          </cell>
          <cell r="I5531" t="str">
            <v>sim</v>
          </cell>
          <cell r="V5531" t="str">
            <v>not</v>
          </cell>
          <cell r="Y5531" t="str">
            <v>Past</v>
          </cell>
          <cell r="Z5531">
            <v>4.2300000000000004</v>
          </cell>
          <cell r="AA5531">
            <v>0</v>
          </cell>
          <cell r="AB5531">
            <v>0</v>
          </cell>
        </row>
        <row r="5532">
          <cell r="G5532" t="str">
            <v>X2036_0</v>
          </cell>
          <cell r="H5532" t="str">
            <v>like</v>
          </cell>
          <cell r="I5532" t="str">
            <v>sim</v>
          </cell>
          <cell r="V5532" t="str">
            <v>not neg pair</v>
          </cell>
          <cell r="Y5532" t="str">
            <v>Past</v>
          </cell>
          <cell r="Z5532">
            <v>3.36</v>
          </cell>
          <cell r="AA5532">
            <v>0</v>
          </cell>
          <cell r="AB5532">
            <v>0</v>
          </cell>
        </row>
        <row r="5533">
          <cell r="G5533" t="str">
            <v>X2036_1</v>
          </cell>
          <cell r="H5533" t="str">
            <v>like</v>
          </cell>
          <cell r="I5533" t="str">
            <v>sim</v>
          </cell>
          <cell r="V5533" t="str">
            <v>not neg pair</v>
          </cell>
          <cell r="Y5533" t="str">
            <v>Past</v>
          </cell>
          <cell r="Z5533">
            <v>3.36</v>
          </cell>
          <cell r="AA5533">
            <v>0</v>
          </cell>
          <cell r="AB5533">
            <v>0</v>
          </cell>
        </row>
        <row r="5534">
          <cell r="G5534" t="str">
            <v>X2037_0</v>
          </cell>
          <cell r="H5534" t="str">
            <v/>
          </cell>
          <cell r="I5534" t="str">
            <v>met</v>
          </cell>
          <cell r="V5534" t="str">
            <v>0</v>
          </cell>
          <cell r="Y5534" t="str">
            <v>Pres</v>
          </cell>
          <cell r="Z5534">
            <v>2.04</v>
          </cell>
          <cell r="AA5534" t="str">
            <v>L</v>
          </cell>
          <cell r="AB5534">
            <v>0</v>
          </cell>
        </row>
        <row r="5535">
          <cell r="G5535" t="str">
            <v>X2037_1</v>
          </cell>
          <cell r="H5535" t="str">
            <v/>
          </cell>
          <cell r="I5535" t="str">
            <v>met</v>
          </cell>
          <cell r="V5535" t="str">
            <v>0</v>
          </cell>
          <cell r="Y5535">
            <v>0</v>
          </cell>
          <cell r="Z5535">
            <v>2.04</v>
          </cell>
          <cell r="AA5535" t="str">
            <v>L</v>
          </cell>
          <cell r="AB5535">
            <v>0</v>
          </cell>
        </row>
        <row r="5536">
          <cell r="G5536" t="str">
            <v>X2038_0</v>
          </cell>
          <cell r="H5536" t="str">
            <v/>
          </cell>
          <cell r="I5536" t="str">
            <v>met</v>
          </cell>
          <cell r="V5536" t="str">
            <v>0</v>
          </cell>
          <cell r="Y5536">
            <v>0</v>
          </cell>
          <cell r="Z5536">
            <v>2.34</v>
          </cell>
          <cell r="AA5536" t="str">
            <v>L</v>
          </cell>
          <cell r="AB5536">
            <v>0</v>
          </cell>
        </row>
        <row r="5537">
          <cell r="G5537" t="str">
            <v>X2038_1</v>
          </cell>
          <cell r="H5537" t="str">
            <v/>
          </cell>
          <cell r="I5537" t="str">
            <v>met</v>
          </cell>
          <cell r="V5537" t="str">
            <v>0</v>
          </cell>
          <cell r="Y5537">
            <v>0</v>
          </cell>
          <cell r="Z5537">
            <v>2.34</v>
          </cell>
          <cell r="AA5537" t="str">
            <v>L</v>
          </cell>
          <cell r="AB5537">
            <v>0</v>
          </cell>
        </row>
        <row r="5538">
          <cell r="G5538" t="str">
            <v>X2039_0</v>
          </cell>
          <cell r="H5538" t="str">
            <v>the-of</v>
          </cell>
          <cell r="I5538" t="str">
            <v>sim</v>
          </cell>
          <cell r="V5538" t="str">
            <v>not neg pair</v>
          </cell>
          <cell r="Y5538" t="str">
            <v>Pres</v>
          </cell>
          <cell r="Z5538">
            <v>3.93</v>
          </cell>
          <cell r="AA5538">
            <v>0</v>
          </cell>
          <cell r="AB5538">
            <v>0</v>
          </cell>
        </row>
        <row r="5539">
          <cell r="G5539" t="str">
            <v>X2039_1</v>
          </cell>
          <cell r="H5539" t="str">
            <v>the-of</v>
          </cell>
          <cell r="I5539" t="str">
            <v>sim</v>
          </cell>
          <cell r="V5539" t="str">
            <v>not neg pair</v>
          </cell>
          <cell r="Y5539" t="str">
            <v>Pres</v>
          </cell>
          <cell r="Z5539">
            <v>3.93</v>
          </cell>
          <cell r="AA5539">
            <v>0</v>
          </cell>
          <cell r="AB5539">
            <v>0</v>
          </cell>
        </row>
        <row r="5540">
          <cell r="G5540" t="str">
            <v>X2040_0</v>
          </cell>
          <cell r="H5540" t="str">
            <v/>
          </cell>
          <cell r="I5540" t="str">
            <v>met</v>
          </cell>
          <cell r="V5540" t="str">
            <v>0</v>
          </cell>
          <cell r="Y5540" t="str">
            <v>Pres</v>
          </cell>
          <cell r="Z5540">
            <v>4.59</v>
          </cell>
          <cell r="AA5540">
            <v>0</v>
          </cell>
          <cell r="AB5540">
            <v>0</v>
          </cell>
        </row>
        <row r="5541">
          <cell r="G5541" t="str">
            <v>X2040_1</v>
          </cell>
          <cell r="H5541" t="str">
            <v/>
          </cell>
          <cell r="I5541" t="str">
            <v>met</v>
          </cell>
          <cell r="V5541" t="str">
            <v>0</v>
          </cell>
          <cell r="Y5541" t="str">
            <v>Pres</v>
          </cell>
          <cell r="Z5541">
            <v>4.59</v>
          </cell>
          <cell r="AA5541">
            <v>0</v>
          </cell>
          <cell r="AB5541">
            <v>0</v>
          </cell>
        </row>
        <row r="5542">
          <cell r="G5542" t="str">
            <v>X2041_0</v>
          </cell>
          <cell r="H5542" t="str">
            <v>the-of</v>
          </cell>
          <cell r="I5542" t="str">
            <v>sim</v>
          </cell>
          <cell r="V5542" t="str">
            <v>not neg pair</v>
          </cell>
          <cell r="Y5542" t="str">
            <v>Pres</v>
          </cell>
          <cell r="Z5542">
            <v>3.36</v>
          </cell>
          <cell r="AA5542">
            <v>0</v>
          </cell>
          <cell r="AB5542">
            <v>0</v>
          </cell>
        </row>
        <row r="5543">
          <cell r="G5543" t="str">
            <v>X2041_1</v>
          </cell>
          <cell r="H5543" t="str">
            <v>the-of</v>
          </cell>
          <cell r="I5543" t="str">
            <v>sim</v>
          </cell>
          <cell r="V5543" t="str">
            <v>not neg pair</v>
          </cell>
          <cell r="Y5543" t="str">
            <v>Pres</v>
          </cell>
          <cell r="Z5543">
            <v>3.36</v>
          </cell>
          <cell r="AA5543">
            <v>0</v>
          </cell>
          <cell r="AB5543">
            <v>0</v>
          </cell>
        </row>
        <row r="5544">
          <cell r="G5544" t="str">
            <v>X2042_0</v>
          </cell>
          <cell r="H5544" t="str">
            <v>as-as</v>
          </cell>
          <cell r="I5544" t="str">
            <v>sim</v>
          </cell>
          <cell r="V5544" t="str">
            <v>not</v>
          </cell>
          <cell r="Y5544" t="str">
            <v>Pres</v>
          </cell>
          <cell r="Z5544">
            <v>5</v>
          </cell>
          <cell r="AA5544" t="str">
            <v>H</v>
          </cell>
          <cell r="AB5544">
            <v>0</v>
          </cell>
        </row>
        <row r="5545">
          <cell r="G5545" t="str">
            <v>X2042_1</v>
          </cell>
          <cell r="H5545" t="str">
            <v>as-as</v>
          </cell>
          <cell r="I5545" t="str">
            <v>sim</v>
          </cell>
          <cell r="V5545" t="str">
            <v>not</v>
          </cell>
          <cell r="Y5545" t="str">
            <v>Pres</v>
          </cell>
          <cell r="Z5545">
            <v>5</v>
          </cell>
          <cell r="AA5545" t="str">
            <v>H</v>
          </cell>
          <cell r="AB5545">
            <v>0</v>
          </cell>
        </row>
        <row r="5546">
          <cell r="G5546" t="str">
            <v>X2043_0</v>
          </cell>
          <cell r="H5546" t="str">
            <v>the-of</v>
          </cell>
          <cell r="I5546" t="str">
            <v>sim</v>
          </cell>
          <cell r="V5546" t="str">
            <v>not neg pair</v>
          </cell>
          <cell r="Y5546" t="str">
            <v>Pres</v>
          </cell>
          <cell r="Z5546">
            <v>4.72</v>
          </cell>
          <cell r="AA5546">
            <v>0</v>
          </cell>
          <cell r="AB5546">
            <v>0</v>
          </cell>
        </row>
        <row r="5547">
          <cell r="G5547" t="str">
            <v>X2043_1</v>
          </cell>
          <cell r="H5547" t="str">
            <v>the-of</v>
          </cell>
          <cell r="I5547" t="str">
            <v>sim</v>
          </cell>
          <cell r="V5547" t="str">
            <v>not neg pair</v>
          </cell>
          <cell r="Y5547" t="str">
            <v>Pres</v>
          </cell>
          <cell r="Z5547">
            <v>4.72</v>
          </cell>
          <cell r="AA5547">
            <v>0</v>
          </cell>
          <cell r="AB5547">
            <v>0</v>
          </cell>
        </row>
        <row r="5548">
          <cell r="G5548" t="str">
            <v>X2044_0</v>
          </cell>
          <cell r="H5548" t="str">
            <v>the-of</v>
          </cell>
          <cell r="I5548" t="str">
            <v>sim</v>
          </cell>
          <cell r="V5548" t="str">
            <v>not neg pair</v>
          </cell>
          <cell r="Y5548" t="str">
            <v>Pres</v>
          </cell>
          <cell r="Z5548">
            <v>4.8099999999999996</v>
          </cell>
          <cell r="AA5548">
            <v>0</v>
          </cell>
          <cell r="AB5548">
            <v>0</v>
          </cell>
        </row>
        <row r="5549">
          <cell r="G5549" t="str">
            <v>X2044_1</v>
          </cell>
          <cell r="H5549" t="str">
            <v>the-of</v>
          </cell>
          <cell r="I5549" t="str">
            <v>sim</v>
          </cell>
          <cell r="V5549" t="str">
            <v>not neg pair</v>
          </cell>
          <cell r="Y5549" t="str">
            <v>Pres</v>
          </cell>
          <cell r="Z5549">
            <v>4.8099999999999996</v>
          </cell>
          <cell r="AA5549">
            <v>0</v>
          </cell>
          <cell r="AB5549">
            <v>0</v>
          </cell>
        </row>
        <row r="5550">
          <cell r="G5550" t="str">
            <v>X2045_0</v>
          </cell>
          <cell r="H5550" t="str">
            <v>as-as</v>
          </cell>
          <cell r="I5550" t="str">
            <v>sim</v>
          </cell>
          <cell r="V5550" t="str">
            <v>antonym</v>
          </cell>
          <cell r="Y5550" t="str">
            <v>Past</v>
          </cell>
          <cell r="Z5550">
            <v>4.8899999999999997</v>
          </cell>
          <cell r="AA5550">
            <v>0</v>
          </cell>
          <cell r="AB5550">
            <v>0</v>
          </cell>
        </row>
        <row r="5551">
          <cell r="G5551" t="str">
            <v>X2045_1</v>
          </cell>
          <cell r="H5551" t="str">
            <v>as-as</v>
          </cell>
          <cell r="I5551" t="str">
            <v>sim</v>
          </cell>
          <cell r="V5551" t="str">
            <v>antonym</v>
          </cell>
          <cell r="Y5551" t="str">
            <v>Past</v>
          </cell>
          <cell r="Z5551">
            <v>4.8899999999999997</v>
          </cell>
          <cell r="AA5551">
            <v>0</v>
          </cell>
          <cell r="AB5551">
            <v>0</v>
          </cell>
        </row>
        <row r="5552">
          <cell r="G5552" t="str">
            <v>X2046_0</v>
          </cell>
          <cell r="H5552" t="str">
            <v>as-as</v>
          </cell>
          <cell r="I5552" t="str">
            <v>sim</v>
          </cell>
          <cell r="V5552" t="str">
            <v>antonym</v>
          </cell>
          <cell r="Y5552" t="str">
            <v>Past</v>
          </cell>
          <cell r="Z5552">
            <v>4.9400000000000004</v>
          </cell>
          <cell r="AA5552" t="str">
            <v>H</v>
          </cell>
          <cell r="AB5552">
            <v>0</v>
          </cell>
        </row>
        <row r="5553">
          <cell r="G5553" t="str">
            <v>X2046_1</v>
          </cell>
          <cell r="H5553" t="str">
            <v>as-as</v>
          </cell>
          <cell r="I5553" t="str">
            <v>sim</v>
          </cell>
          <cell r="V5553" t="str">
            <v>antonym</v>
          </cell>
          <cell r="Y5553" t="str">
            <v>Past</v>
          </cell>
          <cell r="Z5553">
            <v>4.9400000000000004</v>
          </cell>
          <cell r="AA5553" t="str">
            <v>H</v>
          </cell>
          <cell r="AB5553">
            <v>0</v>
          </cell>
        </row>
        <row r="5554">
          <cell r="G5554" t="str">
            <v>X2047_0</v>
          </cell>
          <cell r="H5554" t="str">
            <v>as-as</v>
          </cell>
          <cell r="I5554" t="str">
            <v>sim</v>
          </cell>
          <cell r="V5554" t="str">
            <v>antonym</v>
          </cell>
          <cell r="Y5554" t="str">
            <v>Past</v>
          </cell>
          <cell r="Z5554">
            <v>4.96</v>
          </cell>
          <cell r="AA5554" t="str">
            <v>H</v>
          </cell>
          <cell r="AB5554">
            <v>0</v>
          </cell>
        </row>
        <row r="5555">
          <cell r="G5555" t="str">
            <v>X2047_1</v>
          </cell>
          <cell r="H5555" t="str">
            <v>as-as</v>
          </cell>
          <cell r="I5555" t="str">
            <v>sim</v>
          </cell>
          <cell r="V5555" t="str">
            <v>antonym</v>
          </cell>
          <cell r="Y5555" t="str">
            <v>Past</v>
          </cell>
          <cell r="Z5555">
            <v>4.96</v>
          </cell>
          <cell r="AA5555" t="str">
            <v>H</v>
          </cell>
          <cell r="AB5555">
            <v>0</v>
          </cell>
        </row>
        <row r="5556">
          <cell r="G5556" t="str">
            <v>X2048_0</v>
          </cell>
          <cell r="H5556" t="str">
            <v>like</v>
          </cell>
          <cell r="I5556" t="str">
            <v>sim</v>
          </cell>
          <cell r="V5556" t="str">
            <v>not neg pair</v>
          </cell>
          <cell r="Y5556" t="str">
            <v>Past</v>
          </cell>
          <cell r="Z5556">
            <v>3.25</v>
          </cell>
          <cell r="AA5556">
            <v>0</v>
          </cell>
          <cell r="AB5556">
            <v>0</v>
          </cell>
        </row>
        <row r="5557">
          <cell r="G5557" t="str">
            <v>X2048_1</v>
          </cell>
          <cell r="H5557" t="str">
            <v>like</v>
          </cell>
          <cell r="I5557" t="str">
            <v>sim</v>
          </cell>
          <cell r="V5557" t="str">
            <v>not neg pair</v>
          </cell>
          <cell r="Y5557" t="str">
            <v>Past</v>
          </cell>
          <cell r="Z5557">
            <v>3.25</v>
          </cell>
          <cell r="AA5557">
            <v>0</v>
          </cell>
          <cell r="AB5557">
            <v>0</v>
          </cell>
        </row>
        <row r="5558">
          <cell r="G5558" t="str">
            <v>X2049_0</v>
          </cell>
          <cell r="H5558" t="str">
            <v>as-as</v>
          </cell>
          <cell r="I5558" t="str">
            <v>sim</v>
          </cell>
          <cell r="V5558" t="str">
            <v>not</v>
          </cell>
          <cell r="Y5558" t="str">
            <v>Past</v>
          </cell>
          <cell r="Z5558">
            <v>4.79</v>
          </cell>
          <cell r="AA5558">
            <v>0</v>
          </cell>
          <cell r="AB5558">
            <v>0</v>
          </cell>
        </row>
        <row r="5559">
          <cell r="G5559" t="str">
            <v>X2049_1</v>
          </cell>
          <cell r="H5559" t="str">
            <v>as-as</v>
          </cell>
          <cell r="I5559" t="str">
            <v>sim</v>
          </cell>
          <cell r="V5559" t="str">
            <v>not</v>
          </cell>
          <cell r="Y5559" t="str">
            <v>Past</v>
          </cell>
          <cell r="Z5559">
            <v>4.79</v>
          </cell>
          <cell r="AA5559">
            <v>0</v>
          </cell>
          <cell r="AB5559">
            <v>0</v>
          </cell>
        </row>
        <row r="5560">
          <cell r="G5560" t="str">
            <v>X2050_0</v>
          </cell>
          <cell r="H5560" t="str">
            <v/>
          </cell>
          <cell r="I5560" t="str">
            <v>met</v>
          </cell>
          <cell r="V5560" t="str">
            <v>0</v>
          </cell>
          <cell r="Y5560" t="str">
            <v>Past</v>
          </cell>
          <cell r="Z5560">
            <v>3</v>
          </cell>
          <cell r="AA5560">
            <v>0</v>
          </cell>
          <cell r="AB5560">
            <v>0</v>
          </cell>
        </row>
        <row r="5561">
          <cell r="G5561" t="str">
            <v>X2050_1</v>
          </cell>
          <cell r="H5561" t="str">
            <v/>
          </cell>
          <cell r="I5561" t="str">
            <v>met</v>
          </cell>
          <cell r="V5561" t="str">
            <v>0</v>
          </cell>
          <cell r="Y5561" t="str">
            <v>Past</v>
          </cell>
          <cell r="Z5561">
            <v>3</v>
          </cell>
          <cell r="AA5561">
            <v>0</v>
          </cell>
          <cell r="AB5561">
            <v>0</v>
          </cell>
        </row>
        <row r="5562">
          <cell r="G5562" t="str">
            <v>X2051_0</v>
          </cell>
          <cell r="H5562" t="str">
            <v>as</v>
          </cell>
          <cell r="I5562" t="str">
            <v>sim</v>
          </cell>
          <cell r="V5562" t="str">
            <v>not neg pair</v>
          </cell>
          <cell r="Y5562" t="str">
            <v>Past</v>
          </cell>
          <cell r="Z5562">
            <v>4.21</v>
          </cell>
          <cell r="AA5562">
            <v>0</v>
          </cell>
          <cell r="AB5562">
            <v>0</v>
          </cell>
        </row>
        <row r="5563">
          <cell r="G5563" t="str">
            <v>X2051_1</v>
          </cell>
          <cell r="H5563" t="str">
            <v>as</v>
          </cell>
          <cell r="I5563" t="str">
            <v>sim</v>
          </cell>
          <cell r="V5563" t="str">
            <v>not neg pair</v>
          </cell>
          <cell r="Y5563" t="str">
            <v>Past</v>
          </cell>
          <cell r="Z5563">
            <v>4.21</v>
          </cell>
          <cell r="AA5563">
            <v>0</v>
          </cell>
          <cell r="AB5563">
            <v>0</v>
          </cell>
        </row>
        <row r="5564">
          <cell r="G5564" t="str">
            <v>X2052_0</v>
          </cell>
          <cell r="H5564" t="str">
            <v>as-as</v>
          </cell>
          <cell r="I5564" t="str">
            <v>sim</v>
          </cell>
          <cell r="V5564" t="str">
            <v>not neg pair</v>
          </cell>
          <cell r="Y5564">
            <v>0</v>
          </cell>
          <cell r="Z5564">
            <v>2.11</v>
          </cell>
          <cell r="AA5564" t="str">
            <v>L</v>
          </cell>
          <cell r="AB5564">
            <v>0</v>
          </cell>
        </row>
        <row r="5565">
          <cell r="G5565" t="str">
            <v>X2052_1</v>
          </cell>
          <cell r="H5565" t="str">
            <v>as-as</v>
          </cell>
          <cell r="I5565" t="str">
            <v>sim</v>
          </cell>
          <cell r="V5565" t="str">
            <v>not neg pair</v>
          </cell>
          <cell r="Y5565" t="str">
            <v>Past</v>
          </cell>
          <cell r="Z5565">
            <v>2.11</v>
          </cell>
          <cell r="AA5565" t="str">
            <v>L</v>
          </cell>
          <cell r="AB5565">
            <v>0</v>
          </cell>
        </row>
        <row r="5566">
          <cell r="G5566" t="str">
            <v>X2053_0</v>
          </cell>
          <cell r="H5566" t="str">
            <v>as-as</v>
          </cell>
          <cell r="I5566" t="str">
            <v>sim</v>
          </cell>
          <cell r="V5566" t="str">
            <v>not neg pair</v>
          </cell>
          <cell r="Y5566" t="str">
            <v>Past</v>
          </cell>
          <cell r="Z5566">
            <v>4.18</v>
          </cell>
          <cell r="AA5566">
            <v>0</v>
          </cell>
          <cell r="AB5566">
            <v>0</v>
          </cell>
        </row>
        <row r="5567">
          <cell r="G5567" t="str">
            <v>X2053_1</v>
          </cell>
          <cell r="H5567" t="str">
            <v>as-as</v>
          </cell>
          <cell r="I5567" t="str">
            <v>sim</v>
          </cell>
          <cell r="V5567" t="str">
            <v>not neg pair</v>
          </cell>
          <cell r="Y5567" t="str">
            <v>Past</v>
          </cell>
          <cell r="Z5567">
            <v>4.18</v>
          </cell>
          <cell r="AA5567">
            <v>0</v>
          </cell>
          <cell r="AB5567">
            <v>0</v>
          </cell>
        </row>
        <row r="5568">
          <cell r="G5568" t="str">
            <v>X2054_0</v>
          </cell>
          <cell r="H5568" t="str">
            <v>the-of</v>
          </cell>
          <cell r="I5568" t="str">
            <v>sim</v>
          </cell>
          <cell r="V5568" t="str">
            <v>not neg pair</v>
          </cell>
          <cell r="Y5568" t="str">
            <v>Past</v>
          </cell>
          <cell r="Z5568">
            <v>2.64</v>
          </cell>
          <cell r="AA5568" t="str">
            <v>L</v>
          </cell>
          <cell r="AB5568">
            <v>0</v>
          </cell>
        </row>
        <row r="5569">
          <cell r="G5569" t="str">
            <v>X2054_1</v>
          </cell>
          <cell r="H5569" t="str">
            <v>the-of</v>
          </cell>
          <cell r="I5569" t="str">
            <v>sim</v>
          </cell>
          <cell r="V5569" t="str">
            <v>not neg pair</v>
          </cell>
          <cell r="Y5569" t="str">
            <v>Past</v>
          </cell>
          <cell r="Z5569">
            <v>2.64</v>
          </cell>
          <cell r="AA5569" t="str">
            <v>L</v>
          </cell>
          <cell r="AB5569">
            <v>0</v>
          </cell>
        </row>
        <row r="5570">
          <cell r="G5570" t="str">
            <v>X2055_0</v>
          </cell>
          <cell r="H5570" t="str">
            <v>the-of</v>
          </cell>
          <cell r="I5570" t="str">
            <v>sim</v>
          </cell>
          <cell r="V5570" t="str">
            <v>not neg pair</v>
          </cell>
          <cell r="Y5570" t="str">
            <v>Past</v>
          </cell>
          <cell r="Z5570">
            <v>4.5199999999999996</v>
          </cell>
          <cell r="AA5570">
            <v>0</v>
          </cell>
          <cell r="AB5570">
            <v>0</v>
          </cell>
        </row>
        <row r="5571">
          <cell r="G5571" t="str">
            <v>X2055_1</v>
          </cell>
          <cell r="H5571" t="str">
            <v>the-of</v>
          </cell>
          <cell r="I5571" t="str">
            <v>sim</v>
          </cell>
          <cell r="V5571" t="str">
            <v>not neg pair</v>
          </cell>
          <cell r="Y5571" t="str">
            <v>Past</v>
          </cell>
          <cell r="Z5571">
            <v>4.5199999999999996</v>
          </cell>
          <cell r="AA5571">
            <v>0</v>
          </cell>
          <cell r="AB5571">
            <v>0</v>
          </cell>
        </row>
        <row r="5572">
          <cell r="G5572" t="str">
            <v>X2056_0</v>
          </cell>
          <cell r="H5572" t="str">
            <v>the-of</v>
          </cell>
          <cell r="I5572" t="str">
            <v>sim</v>
          </cell>
          <cell r="V5572" t="str">
            <v>not neg pair</v>
          </cell>
          <cell r="Y5572" t="str">
            <v>Past</v>
          </cell>
          <cell r="Z5572">
            <v>0</v>
          </cell>
          <cell r="AA5572">
            <v>0</v>
          </cell>
          <cell r="AB5572">
            <v>0</v>
          </cell>
        </row>
        <row r="5573">
          <cell r="G5573" t="str">
            <v>X2056_1</v>
          </cell>
          <cell r="H5573" t="str">
            <v>the-of</v>
          </cell>
          <cell r="I5573" t="str">
            <v>sim</v>
          </cell>
          <cell r="V5573" t="str">
            <v>not neg pair</v>
          </cell>
          <cell r="Y5573" t="str">
            <v>Past</v>
          </cell>
          <cell r="Z5573">
            <v>3</v>
          </cell>
          <cell r="AA5573">
            <v>0</v>
          </cell>
          <cell r="AB5573">
            <v>0</v>
          </cell>
        </row>
        <row r="5574">
          <cell r="G5574" t="str">
            <v>X2057_0</v>
          </cell>
          <cell r="H5574" t="str">
            <v>as-as</v>
          </cell>
          <cell r="I5574" t="str">
            <v>sim</v>
          </cell>
          <cell r="V5574" t="str">
            <v>antonym</v>
          </cell>
          <cell r="Y5574" t="str">
            <v>Past</v>
          </cell>
          <cell r="Z5574">
            <v>4.59</v>
          </cell>
          <cell r="AA5574">
            <v>0</v>
          </cell>
          <cell r="AB5574">
            <v>0</v>
          </cell>
        </row>
        <row r="5575">
          <cell r="G5575" t="str">
            <v>X2057_1</v>
          </cell>
          <cell r="H5575" t="str">
            <v>as-as</v>
          </cell>
          <cell r="I5575" t="str">
            <v>sim</v>
          </cell>
          <cell r="V5575" t="str">
            <v>antonym</v>
          </cell>
          <cell r="Y5575" t="str">
            <v>Past</v>
          </cell>
          <cell r="Z5575">
            <v>4.59</v>
          </cell>
          <cell r="AA5575">
            <v>0</v>
          </cell>
          <cell r="AB5575">
            <v>0</v>
          </cell>
        </row>
        <row r="5576">
          <cell r="G5576" t="str">
            <v>X2058_0</v>
          </cell>
          <cell r="H5576" t="str">
            <v>as-as</v>
          </cell>
          <cell r="I5576" t="str">
            <v>sim</v>
          </cell>
          <cell r="V5576" t="str">
            <v>antonym</v>
          </cell>
          <cell r="Y5576" t="str">
            <v>Past</v>
          </cell>
          <cell r="Z5576">
            <v>4.78</v>
          </cell>
          <cell r="AA5576">
            <v>0</v>
          </cell>
          <cell r="AB5576">
            <v>0</v>
          </cell>
        </row>
        <row r="5577">
          <cell r="G5577" t="str">
            <v>X2058_1</v>
          </cell>
          <cell r="H5577" t="str">
            <v>as-as</v>
          </cell>
          <cell r="I5577" t="str">
            <v>sim</v>
          </cell>
          <cell r="V5577" t="str">
            <v>antonym</v>
          </cell>
          <cell r="Y5577" t="str">
            <v>Past</v>
          </cell>
          <cell r="Z5577">
            <v>4.78</v>
          </cell>
          <cell r="AA5577">
            <v>0</v>
          </cell>
          <cell r="AB5577">
            <v>0</v>
          </cell>
        </row>
        <row r="5578">
          <cell r="G5578" t="str">
            <v>X2059_0</v>
          </cell>
          <cell r="H5578" t="str">
            <v>as-as</v>
          </cell>
          <cell r="I5578" t="str">
            <v>sim</v>
          </cell>
          <cell r="V5578" t="str">
            <v>not</v>
          </cell>
          <cell r="Y5578" t="str">
            <v>Past</v>
          </cell>
          <cell r="Z5578">
            <v>5</v>
          </cell>
          <cell r="AA5578" t="str">
            <v>H</v>
          </cell>
          <cell r="AB5578">
            <v>0</v>
          </cell>
        </row>
        <row r="5579">
          <cell r="G5579" t="str">
            <v>X2059_1</v>
          </cell>
          <cell r="H5579" t="str">
            <v>as-as</v>
          </cell>
          <cell r="I5579" t="str">
            <v>sim</v>
          </cell>
          <cell r="V5579" t="str">
            <v>not</v>
          </cell>
          <cell r="Y5579" t="str">
            <v>Past</v>
          </cell>
          <cell r="Z5579">
            <v>5</v>
          </cell>
          <cell r="AA5579" t="str">
            <v>H</v>
          </cell>
          <cell r="AB5579">
            <v>0</v>
          </cell>
        </row>
        <row r="5580">
          <cell r="G5580" t="str">
            <v>X2060_0</v>
          </cell>
          <cell r="H5580" t="str">
            <v>the-of</v>
          </cell>
          <cell r="I5580" t="str">
            <v>sim</v>
          </cell>
          <cell r="V5580" t="str">
            <v>not neg pair</v>
          </cell>
          <cell r="Y5580" t="str">
            <v>Pres</v>
          </cell>
          <cell r="Z5580">
            <v>4.1100000000000003</v>
          </cell>
          <cell r="AA5580">
            <v>0</v>
          </cell>
          <cell r="AB5580">
            <v>0</v>
          </cell>
        </row>
        <row r="5581">
          <cell r="G5581" t="str">
            <v>X2060_1</v>
          </cell>
          <cell r="H5581" t="str">
            <v>the-of</v>
          </cell>
          <cell r="I5581" t="str">
            <v>sim</v>
          </cell>
          <cell r="V5581" t="str">
            <v>not neg pair</v>
          </cell>
          <cell r="Y5581" t="str">
            <v>Pres</v>
          </cell>
          <cell r="Z5581">
            <v>4.1100000000000003</v>
          </cell>
          <cell r="AA5581">
            <v>0</v>
          </cell>
          <cell r="AB5581">
            <v>0</v>
          </cell>
        </row>
        <row r="5582">
          <cell r="G5582" t="str">
            <v>X2061_0</v>
          </cell>
          <cell r="H5582" t="str">
            <v>as-as</v>
          </cell>
          <cell r="I5582" t="str">
            <v>sim</v>
          </cell>
          <cell r="V5582" t="str">
            <v>antonym</v>
          </cell>
          <cell r="Y5582" t="str">
            <v>Pres</v>
          </cell>
          <cell r="Z5582">
            <v>3.85</v>
          </cell>
          <cell r="AA5582">
            <v>0</v>
          </cell>
          <cell r="AB5582">
            <v>0</v>
          </cell>
        </row>
        <row r="5583">
          <cell r="G5583" t="str">
            <v>X2061_1</v>
          </cell>
          <cell r="H5583" t="str">
            <v>as-as</v>
          </cell>
          <cell r="I5583" t="str">
            <v>sim</v>
          </cell>
          <cell r="V5583" t="str">
            <v>antonym</v>
          </cell>
          <cell r="Y5583" t="str">
            <v>Pres</v>
          </cell>
          <cell r="Z5583">
            <v>3.85</v>
          </cell>
          <cell r="AA5583">
            <v>0</v>
          </cell>
          <cell r="AB5583">
            <v>0</v>
          </cell>
        </row>
        <row r="5584">
          <cell r="G5584" t="str">
            <v>X2062_0</v>
          </cell>
          <cell r="H5584" t="str">
            <v>as-as</v>
          </cell>
          <cell r="I5584" t="str">
            <v>sim</v>
          </cell>
          <cell r="V5584" t="str">
            <v>not</v>
          </cell>
          <cell r="Y5584" t="str">
            <v>Pres</v>
          </cell>
          <cell r="Z5584">
            <v>2.0699999999999998</v>
          </cell>
          <cell r="AA5584" t="str">
            <v>L</v>
          </cell>
          <cell r="AB5584">
            <v>0</v>
          </cell>
        </row>
        <row r="5585">
          <cell r="G5585" t="str">
            <v>X2062_1</v>
          </cell>
          <cell r="H5585" t="str">
            <v>as-as</v>
          </cell>
          <cell r="I5585" t="str">
            <v>sim</v>
          </cell>
          <cell r="V5585" t="str">
            <v>not</v>
          </cell>
          <cell r="Y5585" t="str">
            <v>Pres</v>
          </cell>
          <cell r="Z5585">
            <v>2.0699999999999998</v>
          </cell>
          <cell r="AA5585" t="str">
            <v>L</v>
          </cell>
          <cell r="AB5585">
            <v>0</v>
          </cell>
        </row>
        <row r="5586">
          <cell r="G5586" t="str">
            <v>X2063_0</v>
          </cell>
          <cell r="H5586" t="str">
            <v/>
          </cell>
          <cell r="I5586" t="str">
            <v>met</v>
          </cell>
          <cell r="V5586" t="str">
            <v>0</v>
          </cell>
          <cell r="Y5586" t="str">
            <v>Pres</v>
          </cell>
          <cell r="Z5586">
            <v>4.93</v>
          </cell>
          <cell r="AA5586" t="str">
            <v>H</v>
          </cell>
          <cell r="AB5586">
            <v>0</v>
          </cell>
        </row>
        <row r="5587">
          <cell r="G5587" t="str">
            <v>X2063_1</v>
          </cell>
          <cell r="H5587" t="str">
            <v/>
          </cell>
          <cell r="I5587" t="str">
            <v>met</v>
          </cell>
          <cell r="V5587" t="str">
            <v>0</v>
          </cell>
          <cell r="Y5587" t="str">
            <v>Pres</v>
          </cell>
          <cell r="Z5587">
            <v>4.93</v>
          </cell>
          <cell r="AA5587" t="str">
            <v>H</v>
          </cell>
          <cell r="AB5587">
            <v>0</v>
          </cell>
        </row>
        <row r="5588">
          <cell r="G5588" t="str">
            <v>X2064_0</v>
          </cell>
          <cell r="H5588" t="str">
            <v>the-of</v>
          </cell>
          <cell r="I5588" t="str">
            <v>sim</v>
          </cell>
          <cell r="V5588" t="str">
            <v>not neg pair</v>
          </cell>
          <cell r="Y5588" t="str">
            <v>Pres</v>
          </cell>
          <cell r="Z5588">
            <v>4.79</v>
          </cell>
          <cell r="AA5588">
            <v>0</v>
          </cell>
          <cell r="AB5588">
            <v>0</v>
          </cell>
        </row>
        <row r="5589">
          <cell r="G5589" t="str">
            <v>X2064_1</v>
          </cell>
          <cell r="H5589" t="str">
            <v>the-of</v>
          </cell>
          <cell r="I5589" t="str">
            <v>sim</v>
          </cell>
          <cell r="V5589" t="str">
            <v>not neg pair</v>
          </cell>
          <cell r="Y5589" t="str">
            <v>Pres</v>
          </cell>
          <cell r="Z5589">
            <v>4.79</v>
          </cell>
          <cell r="AA5589">
            <v>0</v>
          </cell>
          <cell r="AB5589">
            <v>0</v>
          </cell>
        </row>
        <row r="5590">
          <cell r="G5590" t="str">
            <v>X2065_0</v>
          </cell>
          <cell r="H5590" t="str">
            <v>the-of</v>
          </cell>
          <cell r="I5590" t="str">
            <v>sim</v>
          </cell>
          <cell r="V5590" t="str">
            <v>not neg pair</v>
          </cell>
          <cell r="Y5590" t="str">
            <v>Pres</v>
          </cell>
          <cell r="Z5590">
            <v>3.83</v>
          </cell>
          <cell r="AA5590">
            <v>0</v>
          </cell>
          <cell r="AB5590">
            <v>0</v>
          </cell>
        </row>
        <row r="5591">
          <cell r="G5591" t="str">
            <v>X2065_1</v>
          </cell>
          <cell r="H5591" t="str">
            <v>the-of</v>
          </cell>
          <cell r="I5591" t="str">
            <v>sim</v>
          </cell>
          <cell r="V5591" t="str">
            <v>not neg pair</v>
          </cell>
          <cell r="Y5591" t="str">
            <v>Pres</v>
          </cell>
          <cell r="Z5591">
            <v>3.83</v>
          </cell>
          <cell r="AA5591">
            <v>0</v>
          </cell>
          <cell r="AB5591">
            <v>0</v>
          </cell>
        </row>
        <row r="5592">
          <cell r="G5592" t="str">
            <v>X2066_0</v>
          </cell>
          <cell r="H5592" t="str">
            <v>as-as</v>
          </cell>
          <cell r="I5592" t="str">
            <v>sim</v>
          </cell>
          <cell r="V5592" t="str">
            <v>not</v>
          </cell>
          <cell r="Y5592" t="str">
            <v>Pres</v>
          </cell>
          <cell r="Z5592">
            <v>2.81</v>
          </cell>
          <cell r="AA5592">
            <v>0</v>
          </cell>
          <cell r="AB5592">
            <v>0</v>
          </cell>
        </row>
        <row r="5593">
          <cell r="G5593" t="str">
            <v>X2066_1</v>
          </cell>
          <cell r="H5593" t="str">
            <v>as-as</v>
          </cell>
          <cell r="I5593" t="str">
            <v>sim</v>
          </cell>
          <cell r="V5593" t="str">
            <v>not</v>
          </cell>
          <cell r="Y5593" t="str">
            <v>Pres</v>
          </cell>
          <cell r="Z5593">
            <v>2.81</v>
          </cell>
          <cell r="AA5593">
            <v>0</v>
          </cell>
          <cell r="AB5593">
            <v>0</v>
          </cell>
        </row>
        <row r="5594">
          <cell r="G5594" t="str">
            <v>X2067_0</v>
          </cell>
          <cell r="H5594" t="str">
            <v>as-as</v>
          </cell>
          <cell r="I5594" t="str">
            <v>sim</v>
          </cell>
          <cell r="V5594" t="str">
            <v>antonym</v>
          </cell>
          <cell r="Y5594" t="str">
            <v>Past</v>
          </cell>
          <cell r="Z5594">
            <v>3.93</v>
          </cell>
          <cell r="AA5594">
            <v>0</v>
          </cell>
          <cell r="AB5594">
            <v>0</v>
          </cell>
        </row>
        <row r="5595">
          <cell r="G5595" t="str">
            <v>X2067_1</v>
          </cell>
          <cell r="H5595" t="str">
            <v>as-as</v>
          </cell>
          <cell r="I5595" t="str">
            <v>sim</v>
          </cell>
          <cell r="V5595" t="str">
            <v>antonym</v>
          </cell>
          <cell r="Y5595" t="str">
            <v>Past</v>
          </cell>
          <cell r="Z5595">
            <v>3.93</v>
          </cell>
          <cell r="AA5595">
            <v>0</v>
          </cell>
          <cell r="AB5595">
            <v>0</v>
          </cell>
        </row>
        <row r="5596">
          <cell r="G5596" t="str">
            <v>X2068_0</v>
          </cell>
          <cell r="H5596" t="str">
            <v>as-as</v>
          </cell>
          <cell r="I5596" t="str">
            <v>sim</v>
          </cell>
          <cell r="V5596" t="str">
            <v>not</v>
          </cell>
          <cell r="Y5596" t="str">
            <v>Pres</v>
          </cell>
          <cell r="Z5596">
            <v>1.54</v>
          </cell>
          <cell r="AA5596" t="str">
            <v>L</v>
          </cell>
          <cell r="AB5596">
            <v>0</v>
          </cell>
        </row>
        <row r="5597">
          <cell r="G5597" t="str">
            <v>X2068_1</v>
          </cell>
          <cell r="H5597" t="str">
            <v>as-as</v>
          </cell>
          <cell r="I5597" t="str">
            <v>sim</v>
          </cell>
          <cell r="V5597" t="str">
            <v>not</v>
          </cell>
          <cell r="Y5597" t="str">
            <v>Pres</v>
          </cell>
          <cell r="Z5597">
            <v>1.54</v>
          </cell>
          <cell r="AA5597" t="str">
            <v>L</v>
          </cell>
          <cell r="AB5597">
            <v>0</v>
          </cell>
        </row>
        <row r="5598">
          <cell r="G5598" t="str">
            <v>X2069_0</v>
          </cell>
          <cell r="H5598" t="str">
            <v>as-as</v>
          </cell>
          <cell r="I5598" t="str">
            <v>sim</v>
          </cell>
          <cell r="V5598" t="str">
            <v>antonym</v>
          </cell>
          <cell r="Y5598" t="str">
            <v>Pres</v>
          </cell>
          <cell r="Z5598">
            <v>3.93</v>
          </cell>
          <cell r="AA5598">
            <v>0</v>
          </cell>
          <cell r="AB5598">
            <v>0</v>
          </cell>
        </row>
        <row r="5599">
          <cell r="G5599" t="str">
            <v>X2069_1</v>
          </cell>
          <cell r="H5599" t="str">
            <v>as-as</v>
          </cell>
          <cell r="I5599" t="str">
            <v>sim</v>
          </cell>
          <cell r="V5599" t="str">
            <v>antonym</v>
          </cell>
          <cell r="Y5599" t="str">
            <v>Pres</v>
          </cell>
          <cell r="Z5599">
            <v>3.93</v>
          </cell>
          <cell r="AA5599">
            <v>0</v>
          </cell>
          <cell r="AB5599">
            <v>0</v>
          </cell>
        </row>
        <row r="5600">
          <cell r="G5600" t="str">
            <v>X2070_0</v>
          </cell>
          <cell r="H5600" t="str">
            <v>as-as</v>
          </cell>
          <cell r="I5600" t="str">
            <v>sim</v>
          </cell>
          <cell r="V5600" t="str">
            <v>antonym</v>
          </cell>
          <cell r="Y5600" t="str">
            <v>Pres</v>
          </cell>
          <cell r="Z5600">
            <v>4.5199999999999996</v>
          </cell>
          <cell r="AA5600">
            <v>0</v>
          </cell>
          <cell r="AB5600">
            <v>0</v>
          </cell>
        </row>
        <row r="5601">
          <cell r="G5601" t="str">
            <v>X2070_1</v>
          </cell>
          <cell r="H5601" t="str">
            <v>as-as</v>
          </cell>
          <cell r="I5601" t="str">
            <v>sim</v>
          </cell>
          <cell r="V5601" t="str">
            <v>antonym</v>
          </cell>
          <cell r="Y5601" t="str">
            <v>Pres</v>
          </cell>
          <cell r="Z5601">
            <v>4.5199999999999996</v>
          </cell>
          <cell r="AA5601">
            <v>0</v>
          </cell>
          <cell r="AB5601">
            <v>0</v>
          </cell>
        </row>
        <row r="5602">
          <cell r="G5602" t="str">
            <v>X2071_0</v>
          </cell>
          <cell r="H5602" t="str">
            <v>the-of</v>
          </cell>
          <cell r="I5602" t="str">
            <v>sim</v>
          </cell>
          <cell r="V5602" t="str">
            <v>not neg pair</v>
          </cell>
          <cell r="Y5602" t="str">
            <v>Past</v>
          </cell>
          <cell r="Z5602">
            <v>4.8</v>
          </cell>
          <cell r="AA5602">
            <v>0</v>
          </cell>
          <cell r="AB5602">
            <v>0</v>
          </cell>
        </row>
        <row r="5603">
          <cell r="G5603" t="str">
            <v>X2071_1</v>
          </cell>
          <cell r="H5603" t="str">
            <v>the-of</v>
          </cell>
          <cell r="I5603" t="str">
            <v>sim</v>
          </cell>
          <cell r="V5603" t="str">
            <v>not neg pair</v>
          </cell>
          <cell r="Y5603" t="str">
            <v>Past</v>
          </cell>
          <cell r="Z5603">
            <v>4.8</v>
          </cell>
          <cell r="AA5603">
            <v>0</v>
          </cell>
          <cell r="AB5603">
            <v>0</v>
          </cell>
        </row>
        <row r="5604">
          <cell r="G5604" t="str">
            <v>X2072_0</v>
          </cell>
          <cell r="H5604" t="str">
            <v>as-as</v>
          </cell>
          <cell r="I5604" t="str">
            <v>sim</v>
          </cell>
          <cell r="V5604" t="str">
            <v>not neg pair</v>
          </cell>
          <cell r="Y5604" t="str">
            <v>Past</v>
          </cell>
          <cell r="Z5604">
            <v>2.81</v>
          </cell>
          <cell r="AA5604">
            <v>0</v>
          </cell>
          <cell r="AB5604">
            <v>0</v>
          </cell>
        </row>
        <row r="5605">
          <cell r="G5605" t="str">
            <v>X2072_1</v>
          </cell>
          <cell r="H5605" t="str">
            <v>as-as</v>
          </cell>
          <cell r="I5605" t="str">
            <v>sim</v>
          </cell>
          <cell r="V5605" t="str">
            <v>not neg pair</v>
          </cell>
          <cell r="Y5605" t="str">
            <v>Pres</v>
          </cell>
          <cell r="Z5605">
            <v>2.81</v>
          </cell>
          <cell r="AA5605">
            <v>0</v>
          </cell>
          <cell r="AB5605">
            <v>0</v>
          </cell>
        </row>
        <row r="5606">
          <cell r="G5606" t="str">
            <v>X2073_0</v>
          </cell>
          <cell r="H5606" t="str">
            <v>as-as</v>
          </cell>
          <cell r="I5606" t="str">
            <v>sim</v>
          </cell>
          <cell r="V5606" t="str">
            <v>not neg pair</v>
          </cell>
          <cell r="Y5606" t="str">
            <v>Past</v>
          </cell>
          <cell r="Z5606">
            <v>3.93</v>
          </cell>
          <cell r="AA5606">
            <v>0</v>
          </cell>
          <cell r="AB5606">
            <v>0</v>
          </cell>
        </row>
        <row r="5607">
          <cell r="G5607" t="str">
            <v>X2073_1</v>
          </cell>
          <cell r="H5607" t="str">
            <v>as-as</v>
          </cell>
          <cell r="I5607" t="str">
            <v>sim</v>
          </cell>
          <cell r="V5607" t="str">
            <v>not neg pair</v>
          </cell>
          <cell r="Y5607" t="str">
            <v>Past</v>
          </cell>
          <cell r="Z5607">
            <v>3.93</v>
          </cell>
          <cell r="AA5607">
            <v>0</v>
          </cell>
          <cell r="AB5607">
            <v>0</v>
          </cell>
        </row>
        <row r="5608">
          <cell r="G5608" t="str">
            <v>X2074_0</v>
          </cell>
          <cell r="H5608" t="str">
            <v>as-as</v>
          </cell>
          <cell r="I5608" t="str">
            <v>sim</v>
          </cell>
          <cell r="V5608" t="str">
            <v>not</v>
          </cell>
          <cell r="Y5608" t="str">
            <v>Pres</v>
          </cell>
          <cell r="Z5608">
            <v>2.81</v>
          </cell>
          <cell r="AA5608">
            <v>0</v>
          </cell>
          <cell r="AB5608">
            <v>0</v>
          </cell>
        </row>
        <row r="5609">
          <cell r="G5609" t="str">
            <v>X2074_1</v>
          </cell>
          <cell r="H5609" t="str">
            <v>as-as</v>
          </cell>
          <cell r="I5609" t="str">
            <v>sim</v>
          </cell>
          <cell r="V5609" t="str">
            <v>not</v>
          </cell>
          <cell r="Y5609" t="str">
            <v>Pres</v>
          </cell>
          <cell r="Z5609">
            <v>2.81</v>
          </cell>
          <cell r="AA5609">
            <v>0</v>
          </cell>
          <cell r="AB5609">
            <v>0</v>
          </cell>
        </row>
        <row r="5610">
          <cell r="G5610" t="str">
            <v>X2075_0</v>
          </cell>
          <cell r="H5610" t="str">
            <v>like</v>
          </cell>
          <cell r="I5610" t="str">
            <v>sim</v>
          </cell>
          <cell r="V5610" t="str">
            <v>not neg pair</v>
          </cell>
          <cell r="Y5610" t="str">
            <v>Pres</v>
          </cell>
          <cell r="Z5610">
            <v>2.81</v>
          </cell>
          <cell r="AA5610">
            <v>0</v>
          </cell>
          <cell r="AB5610">
            <v>0</v>
          </cell>
        </row>
        <row r="5611">
          <cell r="G5611" t="str">
            <v>X2075_1</v>
          </cell>
          <cell r="H5611" t="str">
            <v>like</v>
          </cell>
          <cell r="I5611" t="str">
            <v>sim</v>
          </cell>
          <cell r="V5611" t="str">
            <v>not neg pair</v>
          </cell>
          <cell r="Y5611" t="str">
            <v>Pres</v>
          </cell>
          <cell r="Z5611">
            <v>2.81</v>
          </cell>
          <cell r="AA5611">
            <v>0</v>
          </cell>
          <cell r="AB5611">
            <v>0</v>
          </cell>
        </row>
        <row r="5612">
          <cell r="G5612" t="str">
            <v>X2076_0</v>
          </cell>
          <cell r="H5612" t="str">
            <v>as-as</v>
          </cell>
          <cell r="I5612" t="str">
            <v>sim</v>
          </cell>
          <cell r="V5612" t="str">
            <v>not</v>
          </cell>
          <cell r="Y5612" t="str">
            <v>Pres</v>
          </cell>
          <cell r="Z5612">
            <v>2.81</v>
          </cell>
          <cell r="AA5612">
            <v>0</v>
          </cell>
          <cell r="AB5612">
            <v>0</v>
          </cell>
        </row>
        <row r="5613">
          <cell r="G5613" t="str">
            <v>X2076_1</v>
          </cell>
          <cell r="H5613" t="str">
            <v>as-as</v>
          </cell>
          <cell r="I5613" t="str">
            <v>sim</v>
          </cell>
          <cell r="V5613" t="str">
            <v>not</v>
          </cell>
          <cell r="Y5613" t="str">
            <v>Pres</v>
          </cell>
          <cell r="Z5613">
            <v>2.81</v>
          </cell>
          <cell r="AA5613">
            <v>0</v>
          </cell>
          <cell r="AB5613">
            <v>0</v>
          </cell>
        </row>
        <row r="5614">
          <cell r="G5614" t="str">
            <v>X2077_0</v>
          </cell>
          <cell r="H5614" t="str">
            <v>the-of</v>
          </cell>
          <cell r="I5614" t="str">
            <v>sim</v>
          </cell>
          <cell r="V5614" t="str">
            <v>not neg pair</v>
          </cell>
          <cell r="Y5614" t="str">
            <v>Past</v>
          </cell>
          <cell r="Z5614">
            <v>4.7</v>
          </cell>
          <cell r="AA5614">
            <v>0</v>
          </cell>
          <cell r="AB5614">
            <v>0</v>
          </cell>
        </row>
        <row r="5615">
          <cell r="G5615" t="str">
            <v>X2077_1</v>
          </cell>
          <cell r="H5615" t="str">
            <v>the-of</v>
          </cell>
          <cell r="I5615" t="str">
            <v>sim</v>
          </cell>
          <cell r="V5615" t="str">
            <v>not neg pair</v>
          </cell>
          <cell r="Y5615" t="str">
            <v>Past</v>
          </cell>
          <cell r="Z5615">
            <v>4.7</v>
          </cell>
          <cell r="AA5615">
            <v>0</v>
          </cell>
          <cell r="AB5615">
            <v>0</v>
          </cell>
        </row>
        <row r="5616">
          <cell r="G5616" t="str">
            <v>X2078_0</v>
          </cell>
          <cell r="H5616" t="str">
            <v>the-of</v>
          </cell>
          <cell r="I5616" t="str">
            <v>sim</v>
          </cell>
          <cell r="V5616" t="str">
            <v>not neg pair</v>
          </cell>
          <cell r="Y5616" t="str">
            <v>Past</v>
          </cell>
          <cell r="Z5616">
            <v>3.36</v>
          </cell>
          <cell r="AA5616">
            <v>0</v>
          </cell>
          <cell r="AB5616">
            <v>0</v>
          </cell>
        </row>
        <row r="5617">
          <cell r="G5617" t="str">
            <v>X2078_1</v>
          </cell>
          <cell r="H5617" t="str">
            <v>the-of</v>
          </cell>
          <cell r="I5617" t="str">
            <v>sim</v>
          </cell>
          <cell r="V5617" t="str">
            <v>not neg pair</v>
          </cell>
          <cell r="Y5617" t="str">
            <v>Past</v>
          </cell>
          <cell r="Z5617">
            <v>3.36</v>
          </cell>
          <cell r="AA5617">
            <v>0</v>
          </cell>
          <cell r="AB5617">
            <v>0</v>
          </cell>
        </row>
        <row r="5618">
          <cell r="G5618" t="str">
            <v>X2079_0</v>
          </cell>
          <cell r="H5618" t="str">
            <v/>
          </cell>
          <cell r="I5618" t="str">
            <v>met</v>
          </cell>
          <cell r="V5618" t="str">
            <v>0</v>
          </cell>
          <cell r="Y5618" t="str">
            <v>Past</v>
          </cell>
          <cell r="Z5618">
            <v>4.4000000000000004</v>
          </cell>
          <cell r="AA5618">
            <v>0</v>
          </cell>
          <cell r="AB5618">
            <v>0</v>
          </cell>
        </row>
        <row r="5619">
          <cell r="G5619" t="str">
            <v>X2079_1</v>
          </cell>
          <cell r="H5619" t="str">
            <v>like</v>
          </cell>
          <cell r="I5619" t="str">
            <v>sim</v>
          </cell>
          <cell r="V5619" t="str">
            <v>0</v>
          </cell>
          <cell r="Y5619" t="str">
            <v>Past</v>
          </cell>
          <cell r="Z5619">
            <v>4.4000000000000004</v>
          </cell>
          <cell r="AA5619">
            <v>0</v>
          </cell>
          <cell r="AB5619">
            <v>0</v>
          </cell>
        </row>
        <row r="5620">
          <cell r="G5620" t="str">
            <v>X2080_0</v>
          </cell>
          <cell r="H5620" t="str">
            <v>as-as</v>
          </cell>
          <cell r="I5620" t="str">
            <v>sim</v>
          </cell>
          <cell r="V5620" t="str">
            <v>not</v>
          </cell>
          <cell r="Y5620" t="str">
            <v>Pres</v>
          </cell>
          <cell r="Z5620">
            <v>3.93</v>
          </cell>
          <cell r="AA5620">
            <v>0</v>
          </cell>
          <cell r="AB5620">
            <v>0</v>
          </cell>
        </row>
        <row r="5621">
          <cell r="G5621" t="str">
            <v>X2080_1</v>
          </cell>
          <cell r="H5621" t="str">
            <v>as-as</v>
          </cell>
          <cell r="I5621" t="str">
            <v>sim</v>
          </cell>
          <cell r="V5621" t="str">
            <v>not</v>
          </cell>
          <cell r="Y5621" t="str">
            <v>Past</v>
          </cell>
          <cell r="Z5621">
            <v>3.93</v>
          </cell>
          <cell r="AA5621">
            <v>0</v>
          </cell>
          <cell r="AB5621">
            <v>0</v>
          </cell>
        </row>
        <row r="5622">
          <cell r="G5622" t="str">
            <v>X2081_0</v>
          </cell>
          <cell r="H5622" t="str">
            <v>the-of</v>
          </cell>
          <cell r="I5622" t="str">
            <v>sim</v>
          </cell>
          <cell r="V5622" t="str">
            <v>not neg pair</v>
          </cell>
          <cell r="Y5622" t="str">
            <v>Past</v>
          </cell>
          <cell r="Z5622">
            <v>3.36</v>
          </cell>
          <cell r="AA5622">
            <v>0</v>
          </cell>
          <cell r="AB5622">
            <v>0</v>
          </cell>
        </row>
        <row r="5623">
          <cell r="G5623" t="str">
            <v>X2081_1</v>
          </cell>
          <cell r="H5623" t="str">
            <v>the-of</v>
          </cell>
          <cell r="I5623" t="str">
            <v>sim</v>
          </cell>
          <cell r="V5623" t="str">
            <v>not neg pair</v>
          </cell>
          <cell r="Y5623" t="str">
            <v>Past</v>
          </cell>
          <cell r="Z5623">
            <v>3.36</v>
          </cell>
          <cell r="AA5623">
            <v>0</v>
          </cell>
          <cell r="AB5623">
            <v>0</v>
          </cell>
        </row>
        <row r="5624">
          <cell r="G5624" t="str">
            <v>X2082_0</v>
          </cell>
          <cell r="H5624" t="str">
            <v>as-as</v>
          </cell>
          <cell r="I5624" t="str">
            <v>sim</v>
          </cell>
          <cell r="V5624" t="str">
            <v>antonym</v>
          </cell>
          <cell r="Y5624" t="str">
            <v>Pres</v>
          </cell>
          <cell r="Z5624">
            <v>3.11</v>
          </cell>
          <cell r="AA5624">
            <v>0</v>
          </cell>
          <cell r="AB5624">
            <v>0</v>
          </cell>
        </row>
        <row r="5625">
          <cell r="G5625" t="str">
            <v>X2082_1</v>
          </cell>
          <cell r="H5625" t="str">
            <v>as-as</v>
          </cell>
          <cell r="I5625" t="str">
            <v>sim</v>
          </cell>
          <cell r="V5625" t="str">
            <v>antonym</v>
          </cell>
          <cell r="Y5625" t="str">
            <v>Pres</v>
          </cell>
          <cell r="Z5625">
            <v>3.11</v>
          </cell>
          <cell r="AA5625">
            <v>0</v>
          </cell>
          <cell r="AB5625">
            <v>0</v>
          </cell>
        </row>
        <row r="5626">
          <cell r="G5626" t="str">
            <v>X2083_0</v>
          </cell>
          <cell r="H5626" t="str">
            <v>as-as</v>
          </cell>
          <cell r="I5626" t="str">
            <v>sim</v>
          </cell>
          <cell r="V5626" t="str">
            <v>not neg pair</v>
          </cell>
          <cell r="Y5626" t="str">
            <v>Pres</v>
          </cell>
          <cell r="Z5626">
            <v>4.59</v>
          </cell>
          <cell r="AA5626">
            <v>0</v>
          </cell>
          <cell r="AB5626">
            <v>0</v>
          </cell>
        </row>
        <row r="5627">
          <cell r="G5627" t="str">
            <v>X2083_1</v>
          </cell>
          <cell r="H5627" t="str">
            <v>as</v>
          </cell>
          <cell r="I5627" t="str">
            <v>sim</v>
          </cell>
          <cell r="V5627" t="str">
            <v>not neg pair</v>
          </cell>
          <cell r="Y5627" t="str">
            <v>Pres</v>
          </cell>
          <cell r="Z5627">
            <v>4.59</v>
          </cell>
          <cell r="AA5627">
            <v>0</v>
          </cell>
          <cell r="AB5627">
            <v>0</v>
          </cell>
        </row>
        <row r="5628">
          <cell r="G5628" t="str">
            <v>X2084_0</v>
          </cell>
          <cell r="H5628" t="str">
            <v>as-as</v>
          </cell>
          <cell r="I5628" t="str">
            <v>sim</v>
          </cell>
          <cell r="V5628" t="str">
            <v>not neg pair</v>
          </cell>
          <cell r="Y5628" t="str">
            <v>Pres</v>
          </cell>
          <cell r="Z5628">
            <v>3.36</v>
          </cell>
          <cell r="AA5628">
            <v>0</v>
          </cell>
          <cell r="AB5628">
            <v>0</v>
          </cell>
        </row>
        <row r="5629">
          <cell r="G5629" t="str">
            <v>X2084_1</v>
          </cell>
          <cell r="H5629" t="str">
            <v>as-as</v>
          </cell>
          <cell r="I5629" t="str">
            <v>sim</v>
          </cell>
          <cell r="V5629" t="str">
            <v>not neg pair</v>
          </cell>
          <cell r="Y5629" t="str">
            <v>Pres</v>
          </cell>
          <cell r="Z5629">
            <v>3.36</v>
          </cell>
          <cell r="AA5629">
            <v>0</v>
          </cell>
          <cell r="AB5629">
            <v>0</v>
          </cell>
        </row>
        <row r="5630">
          <cell r="G5630" t="str">
            <v>X2085_0</v>
          </cell>
          <cell r="H5630" t="str">
            <v>the-of</v>
          </cell>
          <cell r="I5630" t="str">
            <v>sim</v>
          </cell>
          <cell r="V5630" t="str">
            <v>not</v>
          </cell>
          <cell r="Y5630" t="str">
            <v>Past</v>
          </cell>
          <cell r="Z5630">
            <v>3.93</v>
          </cell>
          <cell r="AA5630">
            <v>0</v>
          </cell>
          <cell r="AB5630">
            <v>0</v>
          </cell>
        </row>
        <row r="5631">
          <cell r="G5631" t="str">
            <v>X2085_1</v>
          </cell>
          <cell r="H5631" t="str">
            <v>the-of</v>
          </cell>
          <cell r="I5631" t="str">
            <v>sim</v>
          </cell>
          <cell r="V5631" t="str">
            <v>not</v>
          </cell>
          <cell r="Y5631" t="str">
            <v>Past</v>
          </cell>
          <cell r="Z5631">
            <v>3.93</v>
          </cell>
          <cell r="AA5631">
            <v>0</v>
          </cell>
          <cell r="AB5631">
            <v>0</v>
          </cell>
        </row>
        <row r="5632">
          <cell r="G5632" t="str">
            <v>X2086_0</v>
          </cell>
          <cell r="H5632" t="str">
            <v>the-of</v>
          </cell>
          <cell r="I5632" t="str">
            <v>sim</v>
          </cell>
          <cell r="V5632" t="str">
            <v>not neg pair</v>
          </cell>
          <cell r="Y5632" t="str">
            <v>Past</v>
          </cell>
          <cell r="Z5632">
            <v>0</v>
          </cell>
          <cell r="AA5632">
            <v>0</v>
          </cell>
          <cell r="AB5632">
            <v>0</v>
          </cell>
        </row>
        <row r="5633">
          <cell r="G5633" t="str">
            <v>X2086_1</v>
          </cell>
          <cell r="H5633" t="str">
            <v>the-of</v>
          </cell>
          <cell r="I5633" t="str">
            <v>sim</v>
          </cell>
          <cell r="V5633" t="str">
            <v>not neg pair</v>
          </cell>
          <cell r="Y5633" t="str">
            <v>Past</v>
          </cell>
          <cell r="Z5633">
            <v>0</v>
          </cell>
          <cell r="AA5633">
            <v>0</v>
          </cell>
          <cell r="AB5633">
            <v>0</v>
          </cell>
        </row>
        <row r="5634">
          <cell r="G5634" t="str">
            <v>X2087_0</v>
          </cell>
          <cell r="H5634" t="str">
            <v>as-as</v>
          </cell>
          <cell r="I5634" t="str">
            <v>sim</v>
          </cell>
          <cell r="V5634" t="str">
            <v>not</v>
          </cell>
          <cell r="Y5634" t="str">
            <v>Past</v>
          </cell>
          <cell r="Z5634">
            <v>4.97</v>
          </cell>
          <cell r="AA5634" t="str">
            <v>H</v>
          </cell>
          <cell r="AB5634">
            <v>0</v>
          </cell>
        </row>
        <row r="5635">
          <cell r="G5635" t="str">
            <v>X2087_1</v>
          </cell>
          <cell r="H5635" t="str">
            <v>as-as</v>
          </cell>
          <cell r="I5635" t="str">
            <v>sim</v>
          </cell>
          <cell r="V5635" t="str">
            <v>not</v>
          </cell>
          <cell r="Y5635" t="str">
            <v>Past</v>
          </cell>
          <cell r="Z5635">
            <v>4.97</v>
          </cell>
          <cell r="AA5635" t="str">
            <v>H</v>
          </cell>
          <cell r="AB5635">
            <v>0</v>
          </cell>
        </row>
        <row r="5636">
          <cell r="G5636" t="str">
            <v>X2088_0</v>
          </cell>
          <cell r="H5636" t="str">
            <v/>
          </cell>
          <cell r="I5636" t="str">
            <v>met</v>
          </cell>
          <cell r="V5636" t="str">
            <v>0</v>
          </cell>
          <cell r="Y5636" t="str">
            <v>Past</v>
          </cell>
          <cell r="Z5636">
            <v>3.07</v>
          </cell>
          <cell r="AA5636">
            <v>0</v>
          </cell>
          <cell r="AB5636">
            <v>0</v>
          </cell>
        </row>
        <row r="5637">
          <cell r="G5637" t="str">
            <v>X2088_1</v>
          </cell>
          <cell r="H5637" t="str">
            <v/>
          </cell>
          <cell r="I5637" t="str">
            <v>met</v>
          </cell>
          <cell r="V5637" t="str">
            <v>0</v>
          </cell>
          <cell r="Y5637" t="str">
            <v>Past</v>
          </cell>
          <cell r="Z5637">
            <v>3.07</v>
          </cell>
          <cell r="AA5637">
            <v>0</v>
          </cell>
          <cell r="AB5637">
            <v>0</v>
          </cell>
        </row>
        <row r="5638">
          <cell r="G5638" t="str">
            <v>X2089_0</v>
          </cell>
          <cell r="H5638" t="str">
            <v/>
          </cell>
          <cell r="I5638" t="str">
            <v>met</v>
          </cell>
          <cell r="V5638" t="str">
            <v>0</v>
          </cell>
          <cell r="Y5638" t="str">
            <v>Past</v>
          </cell>
          <cell r="Z5638">
            <v>1.86</v>
          </cell>
          <cell r="AA5638" t="str">
            <v>L</v>
          </cell>
          <cell r="AB5638">
            <v>0</v>
          </cell>
        </row>
        <row r="5639">
          <cell r="G5639" t="str">
            <v>X2089_1</v>
          </cell>
          <cell r="H5639" t="str">
            <v/>
          </cell>
          <cell r="I5639" t="str">
            <v>met</v>
          </cell>
          <cell r="V5639" t="str">
            <v>0</v>
          </cell>
          <cell r="Y5639" t="str">
            <v>Past</v>
          </cell>
          <cell r="Z5639">
            <v>1.86</v>
          </cell>
          <cell r="AA5639" t="str">
            <v>L</v>
          </cell>
          <cell r="AB5639">
            <v>0</v>
          </cell>
        </row>
        <row r="5640">
          <cell r="G5640" t="str">
            <v>X2090_0</v>
          </cell>
          <cell r="H5640" t="str">
            <v>like</v>
          </cell>
          <cell r="I5640" t="str">
            <v>sim</v>
          </cell>
          <cell r="V5640" t="str">
            <v>not</v>
          </cell>
          <cell r="Y5640" t="str">
            <v>Past</v>
          </cell>
          <cell r="Z5640">
            <v>4.71</v>
          </cell>
          <cell r="AA5640">
            <v>0</v>
          </cell>
          <cell r="AB5640">
            <v>0</v>
          </cell>
        </row>
        <row r="5641">
          <cell r="G5641" t="str">
            <v>X2090_1</v>
          </cell>
          <cell r="H5641" t="str">
            <v>like</v>
          </cell>
          <cell r="I5641" t="str">
            <v>sim</v>
          </cell>
          <cell r="V5641" t="str">
            <v>not</v>
          </cell>
          <cell r="Y5641" t="str">
            <v>Past</v>
          </cell>
          <cell r="Z5641">
            <v>4.71</v>
          </cell>
          <cell r="AA5641">
            <v>0</v>
          </cell>
          <cell r="AB5641">
            <v>0</v>
          </cell>
        </row>
        <row r="5642">
          <cell r="G5642" t="str">
            <v>X2091_0</v>
          </cell>
          <cell r="H5642" t="str">
            <v/>
          </cell>
          <cell r="I5642" t="str">
            <v>met</v>
          </cell>
          <cell r="V5642" t="str">
            <v>0</v>
          </cell>
          <cell r="Y5642" t="str">
            <v>Past</v>
          </cell>
          <cell r="Z5642">
            <v>4.8899999999999997</v>
          </cell>
          <cell r="AA5642">
            <v>0</v>
          </cell>
          <cell r="AB5642">
            <v>0</v>
          </cell>
        </row>
        <row r="5643">
          <cell r="G5643" t="str">
            <v>X2091_1</v>
          </cell>
          <cell r="H5643" t="str">
            <v/>
          </cell>
          <cell r="I5643" t="str">
            <v>met</v>
          </cell>
          <cell r="V5643" t="str">
            <v>0</v>
          </cell>
          <cell r="Y5643" t="str">
            <v>Past</v>
          </cell>
          <cell r="Z5643">
            <v>4.8899999999999997</v>
          </cell>
          <cell r="AA5643">
            <v>0</v>
          </cell>
          <cell r="AB5643">
            <v>0</v>
          </cell>
        </row>
        <row r="5644">
          <cell r="G5644" t="str">
            <v>X2092_0</v>
          </cell>
          <cell r="H5644" t="str">
            <v>the-of</v>
          </cell>
          <cell r="I5644" t="str">
            <v>sim</v>
          </cell>
          <cell r="V5644" t="str">
            <v>not neg pair</v>
          </cell>
          <cell r="Y5644" t="str">
            <v>Pres</v>
          </cell>
          <cell r="Z5644">
            <v>5</v>
          </cell>
          <cell r="AA5644" t="str">
            <v>H</v>
          </cell>
          <cell r="AB5644">
            <v>0</v>
          </cell>
        </row>
        <row r="5645">
          <cell r="G5645" t="str">
            <v>X2092_1</v>
          </cell>
          <cell r="H5645" t="str">
            <v>the-of</v>
          </cell>
          <cell r="I5645" t="str">
            <v>sim</v>
          </cell>
          <cell r="V5645" t="str">
            <v>not neg pair</v>
          </cell>
          <cell r="Y5645" t="str">
            <v>Pres</v>
          </cell>
          <cell r="Z5645">
            <v>5</v>
          </cell>
          <cell r="AA5645" t="str">
            <v>H</v>
          </cell>
          <cell r="AB5645">
            <v>0</v>
          </cell>
        </row>
        <row r="5646">
          <cell r="G5646" t="str">
            <v>X2093_0</v>
          </cell>
          <cell r="H5646" t="str">
            <v>the-of</v>
          </cell>
          <cell r="I5646" t="str">
            <v>sim</v>
          </cell>
          <cell r="V5646" t="str">
            <v>not neg pair</v>
          </cell>
          <cell r="Y5646" t="str">
            <v>Pres</v>
          </cell>
          <cell r="Z5646">
            <v>3.97</v>
          </cell>
          <cell r="AA5646">
            <v>0</v>
          </cell>
          <cell r="AB5646">
            <v>0</v>
          </cell>
        </row>
        <row r="5647">
          <cell r="G5647" t="str">
            <v>X2093_1</v>
          </cell>
          <cell r="H5647" t="str">
            <v>the-of</v>
          </cell>
          <cell r="I5647" t="str">
            <v>sim</v>
          </cell>
          <cell r="V5647" t="str">
            <v>not neg pair</v>
          </cell>
          <cell r="Y5647" t="str">
            <v>Pres</v>
          </cell>
          <cell r="Z5647">
            <v>3.97</v>
          </cell>
          <cell r="AA5647">
            <v>0</v>
          </cell>
          <cell r="AB5647">
            <v>0</v>
          </cell>
        </row>
        <row r="5648">
          <cell r="G5648" t="str">
            <v>X2094_0</v>
          </cell>
          <cell r="H5648" t="str">
            <v>the-of</v>
          </cell>
          <cell r="I5648" t="str">
            <v>sim</v>
          </cell>
          <cell r="V5648" t="str">
            <v>not</v>
          </cell>
          <cell r="Y5648" t="str">
            <v>Pres</v>
          </cell>
          <cell r="Z5648">
            <v>4.16</v>
          </cell>
          <cell r="AA5648">
            <v>0</v>
          </cell>
          <cell r="AB5648">
            <v>0</v>
          </cell>
        </row>
        <row r="5649">
          <cell r="G5649" t="str">
            <v>X2094_1</v>
          </cell>
          <cell r="H5649" t="str">
            <v>the-of</v>
          </cell>
          <cell r="I5649" t="str">
            <v>sim</v>
          </cell>
          <cell r="V5649" t="str">
            <v>not</v>
          </cell>
          <cell r="Y5649" t="str">
            <v>Pres</v>
          </cell>
          <cell r="Z5649">
            <v>4.16</v>
          </cell>
          <cell r="AA5649">
            <v>0</v>
          </cell>
          <cell r="AB5649">
            <v>0</v>
          </cell>
        </row>
        <row r="5650">
          <cell r="G5650" t="str">
            <v>X2095_0</v>
          </cell>
          <cell r="H5650" t="str">
            <v/>
          </cell>
          <cell r="I5650" t="str">
            <v>met</v>
          </cell>
          <cell r="V5650" t="str">
            <v>0</v>
          </cell>
          <cell r="Y5650" t="str">
            <v>Pres</v>
          </cell>
          <cell r="Z5650">
            <v>3.08</v>
          </cell>
          <cell r="AA5650">
            <v>0</v>
          </cell>
          <cell r="AB5650">
            <v>0</v>
          </cell>
        </row>
        <row r="5651">
          <cell r="G5651" t="str">
            <v>X2095_1</v>
          </cell>
          <cell r="H5651" t="str">
            <v/>
          </cell>
          <cell r="I5651" t="str">
            <v>met</v>
          </cell>
          <cell r="V5651" t="str">
            <v>0</v>
          </cell>
          <cell r="Y5651">
            <v>0</v>
          </cell>
          <cell r="Z5651">
            <v>2.79</v>
          </cell>
          <cell r="AA5651" t="str">
            <v>L</v>
          </cell>
          <cell r="AB5651">
            <v>0</v>
          </cell>
        </row>
        <row r="5652">
          <cell r="G5652" t="str">
            <v>X2096_0</v>
          </cell>
          <cell r="H5652" t="str">
            <v/>
          </cell>
          <cell r="I5652" t="str">
            <v>met</v>
          </cell>
          <cell r="V5652" t="str">
            <v>0</v>
          </cell>
          <cell r="Y5652" t="str">
            <v>Past</v>
          </cell>
          <cell r="Z5652">
            <v>3.56</v>
          </cell>
          <cell r="AA5652">
            <v>0</v>
          </cell>
          <cell r="AB5652">
            <v>0</v>
          </cell>
        </row>
        <row r="5653">
          <cell r="G5653" t="str">
            <v>X2096_1</v>
          </cell>
          <cell r="H5653" t="str">
            <v/>
          </cell>
          <cell r="I5653" t="str">
            <v>met</v>
          </cell>
          <cell r="V5653" t="str">
            <v>0</v>
          </cell>
          <cell r="Y5653" t="str">
            <v>Past</v>
          </cell>
          <cell r="Z5653">
            <v>3.56</v>
          </cell>
          <cell r="AA5653">
            <v>0</v>
          </cell>
          <cell r="AB5653">
            <v>0</v>
          </cell>
        </row>
        <row r="5654">
          <cell r="G5654" t="str">
            <v>X2097_0</v>
          </cell>
          <cell r="H5654" t="str">
            <v/>
          </cell>
          <cell r="I5654" t="str">
            <v>met</v>
          </cell>
          <cell r="V5654" t="str">
            <v>0</v>
          </cell>
          <cell r="Y5654" t="str">
            <v>Past</v>
          </cell>
          <cell r="Z5654">
            <v>4.16</v>
          </cell>
          <cell r="AA5654">
            <v>0</v>
          </cell>
          <cell r="AB5654">
            <v>0</v>
          </cell>
        </row>
        <row r="5655">
          <cell r="G5655" t="str">
            <v>X2097_1</v>
          </cell>
          <cell r="H5655" t="str">
            <v/>
          </cell>
          <cell r="I5655" t="str">
            <v>met</v>
          </cell>
          <cell r="V5655" t="str">
            <v>0</v>
          </cell>
          <cell r="Y5655" t="str">
            <v>Past</v>
          </cell>
          <cell r="Z5655">
            <v>4.16</v>
          </cell>
          <cell r="AA5655">
            <v>0</v>
          </cell>
          <cell r="AB5655">
            <v>0</v>
          </cell>
        </row>
        <row r="5656">
          <cell r="G5656" t="str">
            <v>X2098_0</v>
          </cell>
          <cell r="H5656" t="str">
            <v>as-as</v>
          </cell>
          <cell r="I5656" t="str">
            <v>sim</v>
          </cell>
          <cell r="V5656" t="str">
            <v>not neg pair</v>
          </cell>
          <cell r="Y5656" t="str">
            <v>Past</v>
          </cell>
          <cell r="Z5656">
            <v>3.93</v>
          </cell>
          <cell r="AA5656">
            <v>0</v>
          </cell>
          <cell r="AB5656">
            <v>0</v>
          </cell>
        </row>
        <row r="5657">
          <cell r="G5657" t="str">
            <v>X2098_1</v>
          </cell>
          <cell r="H5657" t="str">
            <v>as-as</v>
          </cell>
          <cell r="I5657" t="str">
            <v>sim</v>
          </cell>
          <cell r="V5657" t="str">
            <v>not neg pair</v>
          </cell>
          <cell r="Y5657" t="str">
            <v>Past</v>
          </cell>
          <cell r="Z5657">
            <v>3.93</v>
          </cell>
          <cell r="AA5657">
            <v>0</v>
          </cell>
          <cell r="AB5657">
            <v>0</v>
          </cell>
        </row>
        <row r="5658">
          <cell r="G5658" t="str">
            <v>X2099_0</v>
          </cell>
          <cell r="H5658" t="str">
            <v>like</v>
          </cell>
          <cell r="I5658" t="str">
            <v>sim</v>
          </cell>
          <cell r="V5658" t="str">
            <v>not neg pair</v>
          </cell>
          <cell r="Y5658" t="str">
            <v>Past</v>
          </cell>
          <cell r="Z5658">
            <v>4.7</v>
          </cell>
          <cell r="AA5658">
            <v>0</v>
          </cell>
          <cell r="AB5658">
            <v>0</v>
          </cell>
        </row>
        <row r="5659">
          <cell r="G5659" t="str">
            <v>X2099_1</v>
          </cell>
          <cell r="H5659" t="str">
            <v>like</v>
          </cell>
          <cell r="I5659" t="str">
            <v>sim</v>
          </cell>
          <cell r="V5659" t="str">
            <v>not neg pair</v>
          </cell>
          <cell r="Y5659" t="str">
            <v>Past</v>
          </cell>
          <cell r="Z5659">
            <v>4.7</v>
          </cell>
          <cell r="AA5659">
            <v>0</v>
          </cell>
          <cell r="AB5659">
            <v>0</v>
          </cell>
        </row>
        <row r="5660">
          <cell r="G5660" t="str">
            <v>X2100_0</v>
          </cell>
          <cell r="H5660" t="str">
            <v>like</v>
          </cell>
          <cell r="I5660" t="str">
            <v>sim</v>
          </cell>
          <cell r="V5660" t="str">
            <v>not neg pair</v>
          </cell>
          <cell r="Y5660" t="str">
            <v>Past</v>
          </cell>
          <cell r="Z5660">
            <v>4.93</v>
          </cell>
          <cell r="AA5660" t="str">
            <v>H</v>
          </cell>
          <cell r="AB5660">
            <v>0</v>
          </cell>
        </row>
        <row r="5661">
          <cell r="G5661" t="str">
            <v>X2100_1</v>
          </cell>
          <cell r="H5661" t="str">
            <v>like</v>
          </cell>
          <cell r="I5661" t="str">
            <v>sim</v>
          </cell>
          <cell r="V5661" t="str">
            <v>not neg pair</v>
          </cell>
          <cell r="Y5661" t="str">
            <v>Past</v>
          </cell>
          <cell r="Z5661">
            <v>4.93</v>
          </cell>
          <cell r="AA5661" t="str">
            <v>H</v>
          </cell>
          <cell r="AB5661">
            <v>0</v>
          </cell>
        </row>
        <row r="5662">
          <cell r="G5662" t="str">
            <v>X2101_0</v>
          </cell>
          <cell r="H5662" t="str">
            <v>as-as</v>
          </cell>
          <cell r="I5662" t="str">
            <v>sim</v>
          </cell>
          <cell r="V5662" t="str">
            <v>not neg pair</v>
          </cell>
          <cell r="Y5662" t="str">
            <v>Past</v>
          </cell>
          <cell r="Z5662">
            <v>2.8</v>
          </cell>
          <cell r="AA5662" t="str">
            <v>L</v>
          </cell>
          <cell r="AB5662">
            <v>0</v>
          </cell>
        </row>
        <row r="5663">
          <cell r="G5663" t="str">
            <v>X2101_1</v>
          </cell>
          <cell r="H5663" t="str">
            <v>like</v>
          </cell>
          <cell r="I5663" t="str">
            <v>sim</v>
          </cell>
          <cell r="V5663" t="str">
            <v>not neg pair</v>
          </cell>
          <cell r="Y5663" t="str">
            <v>Past</v>
          </cell>
          <cell r="Z5663">
            <v>2.8</v>
          </cell>
          <cell r="AA5663" t="str">
            <v>L</v>
          </cell>
          <cell r="AB5663">
            <v>0</v>
          </cell>
        </row>
        <row r="5664">
          <cell r="G5664" t="str">
            <v>X2102_0</v>
          </cell>
          <cell r="H5664" t="str">
            <v/>
          </cell>
          <cell r="I5664" t="str">
            <v>met</v>
          </cell>
          <cell r="V5664" t="str">
            <v>0</v>
          </cell>
          <cell r="Y5664" t="str">
            <v>Past</v>
          </cell>
          <cell r="Z5664">
            <v>2.64</v>
          </cell>
          <cell r="AA5664" t="str">
            <v>L</v>
          </cell>
          <cell r="AB5664">
            <v>0</v>
          </cell>
        </row>
        <row r="5665">
          <cell r="G5665" t="str">
            <v>X2102_1</v>
          </cell>
          <cell r="H5665" t="str">
            <v>as</v>
          </cell>
          <cell r="I5665" t="str">
            <v>sim</v>
          </cell>
          <cell r="V5665" t="str">
            <v>0</v>
          </cell>
          <cell r="Y5665" t="str">
            <v>Past</v>
          </cell>
          <cell r="Z5665">
            <v>2.64</v>
          </cell>
          <cell r="AA5665" t="str">
            <v>L</v>
          </cell>
          <cell r="AB5665">
            <v>0</v>
          </cell>
        </row>
        <row r="5666">
          <cell r="G5666" t="str">
            <v>X2103_0</v>
          </cell>
          <cell r="H5666" t="str">
            <v/>
          </cell>
          <cell r="I5666" t="str">
            <v>met</v>
          </cell>
          <cell r="V5666" t="str">
            <v>0</v>
          </cell>
          <cell r="Y5666" t="str">
            <v>Past</v>
          </cell>
          <cell r="Z5666">
            <v>3.93</v>
          </cell>
          <cell r="AA5666">
            <v>0</v>
          </cell>
          <cell r="AB5666">
            <v>0</v>
          </cell>
        </row>
        <row r="5667">
          <cell r="G5667" t="str">
            <v>X2103_1</v>
          </cell>
          <cell r="H5667" t="str">
            <v/>
          </cell>
          <cell r="I5667" t="str">
            <v>met</v>
          </cell>
          <cell r="V5667" t="str">
            <v>0</v>
          </cell>
          <cell r="Y5667" t="str">
            <v>Past</v>
          </cell>
          <cell r="Z5667">
            <v>3.93</v>
          </cell>
          <cell r="AA5667">
            <v>0</v>
          </cell>
          <cell r="AB5667">
            <v>0</v>
          </cell>
        </row>
        <row r="5668">
          <cell r="G5668" t="str">
            <v>X2104_0</v>
          </cell>
          <cell r="H5668" t="str">
            <v>as-as</v>
          </cell>
          <cell r="I5668" t="str">
            <v>sim</v>
          </cell>
          <cell r="V5668" t="str">
            <v>not</v>
          </cell>
          <cell r="Y5668" t="str">
            <v>Pres</v>
          </cell>
          <cell r="Z5668">
            <v>4.2</v>
          </cell>
          <cell r="AA5668">
            <v>0</v>
          </cell>
          <cell r="AB5668">
            <v>0</v>
          </cell>
        </row>
        <row r="5669">
          <cell r="G5669" t="str">
            <v>X2104_1</v>
          </cell>
          <cell r="H5669" t="str">
            <v>as-as</v>
          </cell>
          <cell r="I5669" t="str">
            <v>sim</v>
          </cell>
          <cell r="V5669" t="str">
            <v>not</v>
          </cell>
          <cell r="Y5669" t="str">
            <v>Pres</v>
          </cell>
          <cell r="Z5669">
            <v>4.2</v>
          </cell>
          <cell r="AA5669">
            <v>0</v>
          </cell>
          <cell r="AB5669">
            <v>0</v>
          </cell>
        </row>
        <row r="5670">
          <cell r="G5670" t="str">
            <v>X2105_0</v>
          </cell>
          <cell r="H5670" t="str">
            <v>as-as</v>
          </cell>
          <cell r="I5670" t="str">
            <v>sim</v>
          </cell>
          <cell r="V5670" t="str">
            <v>antonym</v>
          </cell>
          <cell r="Y5670" t="str">
            <v>Past</v>
          </cell>
          <cell r="Z5670">
            <v>3.31</v>
          </cell>
          <cell r="AA5670">
            <v>0</v>
          </cell>
          <cell r="AB5670">
            <v>0</v>
          </cell>
        </row>
        <row r="5671">
          <cell r="G5671" t="str">
            <v>X2105_1</v>
          </cell>
          <cell r="H5671" t="str">
            <v>as-as</v>
          </cell>
          <cell r="I5671" t="str">
            <v>sim</v>
          </cell>
          <cell r="V5671" t="str">
            <v>antonym</v>
          </cell>
          <cell r="Y5671" t="str">
            <v>Past</v>
          </cell>
          <cell r="Z5671">
            <v>3.31</v>
          </cell>
          <cell r="AA5671">
            <v>0</v>
          </cell>
          <cell r="AB5671">
            <v>0</v>
          </cell>
        </row>
        <row r="5672">
          <cell r="G5672" t="str">
            <v>X2106_0</v>
          </cell>
          <cell r="H5672" t="str">
            <v>as-as</v>
          </cell>
          <cell r="I5672" t="str">
            <v>sim</v>
          </cell>
          <cell r="V5672" t="str">
            <v>antonym</v>
          </cell>
          <cell r="Y5672" t="str">
            <v>Past</v>
          </cell>
          <cell r="Z5672">
            <v>3.74</v>
          </cell>
          <cell r="AA5672">
            <v>0</v>
          </cell>
          <cell r="AB5672">
            <v>0</v>
          </cell>
        </row>
        <row r="5673">
          <cell r="G5673" t="str">
            <v>X2106_1</v>
          </cell>
          <cell r="H5673" t="str">
            <v>as-as</v>
          </cell>
          <cell r="I5673" t="str">
            <v>sim</v>
          </cell>
          <cell r="V5673" t="str">
            <v>antonym</v>
          </cell>
          <cell r="Y5673" t="str">
            <v>Past</v>
          </cell>
          <cell r="Z5673">
            <v>3.74</v>
          </cell>
          <cell r="AA5673">
            <v>0</v>
          </cell>
          <cell r="AB5673">
            <v>0</v>
          </cell>
        </row>
        <row r="5674">
          <cell r="G5674" t="str">
            <v>X2107_0</v>
          </cell>
          <cell r="H5674" t="str">
            <v/>
          </cell>
          <cell r="I5674" t="str">
            <v>met</v>
          </cell>
          <cell r="V5674" t="str">
            <v>0</v>
          </cell>
          <cell r="Y5674" t="str">
            <v>Past</v>
          </cell>
          <cell r="Z5674">
            <v>5</v>
          </cell>
          <cell r="AA5674" t="str">
            <v>H</v>
          </cell>
          <cell r="AB5674">
            <v>0</v>
          </cell>
        </row>
        <row r="5675">
          <cell r="G5675" t="str">
            <v>X2107_1</v>
          </cell>
          <cell r="H5675" t="str">
            <v/>
          </cell>
          <cell r="I5675" t="str">
            <v>met</v>
          </cell>
          <cell r="V5675" t="str">
            <v>0</v>
          </cell>
          <cell r="Y5675" t="str">
            <v>Past</v>
          </cell>
          <cell r="Z5675">
            <v>5</v>
          </cell>
          <cell r="AA5675" t="str">
            <v>H</v>
          </cell>
          <cell r="AB5675">
            <v>0</v>
          </cell>
        </row>
        <row r="5676">
          <cell r="G5676" t="str">
            <v>X2108_0</v>
          </cell>
          <cell r="H5676" t="str">
            <v>like</v>
          </cell>
          <cell r="I5676" t="str">
            <v>sim</v>
          </cell>
          <cell r="V5676" t="str">
            <v>not neg pair</v>
          </cell>
          <cell r="Y5676" t="str">
            <v>Past</v>
          </cell>
          <cell r="Z5676">
            <v>5</v>
          </cell>
          <cell r="AA5676" t="str">
            <v>H</v>
          </cell>
          <cell r="AB5676">
            <v>0</v>
          </cell>
        </row>
        <row r="5677">
          <cell r="G5677" t="str">
            <v>X2108_1</v>
          </cell>
          <cell r="H5677" t="str">
            <v>like</v>
          </cell>
          <cell r="I5677" t="str">
            <v>sim</v>
          </cell>
          <cell r="V5677" t="str">
            <v>not neg pair</v>
          </cell>
          <cell r="Y5677" t="str">
            <v>Past</v>
          </cell>
          <cell r="Z5677">
            <v>5</v>
          </cell>
          <cell r="AA5677" t="str">
            <v>H</v>
          </cell>
          <cell r="AB5677">
            <v>0</v>
          </cell>
        </row>
        <row r="5678">
          <cell r="G5678" t="str">
            <v>X2109_0</v>
          </cell>
          <cell r="H5678" t="str">
            <v>as-as</v>
          </cell>
          <cell r="I5678" t="str">
            <v>sim</v>
          </cell>
          <cell r="V5678" t="str">
            <v>not</v>
          </cell>
          <cell r="Y5678" t="str">
            <v>Past</v>
          </cell>
          <cell r="Z5678">
            <v>2.81</v>
          </cell>
          <cell r="AA5678">
            <v>0</v>
          </cell>
          <cell r="AB5678">
            <v>0</v>
          </cell>
        </row>
        <row r="5679">
          <cell r="G5679" t="str">
            <v>X2109_1</v>
          </cell>
          <cell r="H5679" t="str">
            <v>as-as</v>
          </cell>
          <cell r="I5679" t="str">
            <v>sim</v>
          </cell>
          <cell r="V5679" t="str">
            <v>not</v>
          </cell>
          <cell r="Y5679" t="str">
            <v>Past</v>
          </cell>
          <cell r="Z5679">
            <v>2.81</v>
          </cell>
          <cell r="AA5679">
            <v>0</v>
          </cell>
          <cell r="AB5679">
            <v>0</v>
          </cell>
        </row>
        <row r="5680">
          <cell r="G5680" t="str">
            <v>X2110_0</v>
          </cell>
          <cell r="H5680" t="str">
            <v/>
          </cell>
          <cell r="I5680" t="str">
            <v>met</v>
          </cell>
          <cell r="V5680" t="str">
            <v>0</v>
          </cell>
          <cell r="Y5680" t="str">
            <v>Past</v>
          </cell>
          <cell r="Z5680">
            <v>2.81</v>
          </cell>
          <cell r="AA5680">
            <v>0</v>
          </cell>
          <cell r="AB5680">
            <v>0</v>
          </cell>
        </row>
        <row r="5681">
          <cell r="G5681" t="str">
            <v>X2110_1</v>
          </cell>
          <cell r="H5681" t="str">
            <v/>
          </cell>
          <cell r="I5681" t="str">
            <v>met</v>
          </cell>
          <cell r="V5681" t="str">
            <v>0</v>
          </cell>
          <cell r="Y5681" t="str">
            <v>Past</v>
          </cell>
          <cell r="Z5681">
            <v>2.81</v>
          </cell>
          <cell r="AA5681">
            <v>0</v>
          </cell>
          <cell r="AB5681">
            <v>0</v>
          </cell>
        </row>
        <row r="5682">
          <cell r="G5682" t="str">
            <v>X2111_0</v>
          </cell>
          <cell r="H5682" t="str">
            <v>as-as</v>
          </cell>
          <cell r="I5682" t="str">
            <v>sim</v>
          </cell>
          <cell r="V5682" t="str">
            <v>antonym</v>
          </cell>
          <cell r="Y5682" t="str">
            <v>Pres</v>
          </cell>
          <cell r="Z5682">
            <v>2.81</v>
          </cell>
          <cell r="AA5682">
            <v>0</v>
          </cell>
          <cell r="AB5682">
            <v>0</v>
          </cell>
        </row>
        <row r="5683">
          <cell r="G5683" t="str">
            <v>X2111_1</v>
          </cell>
          <cell r="H5683" t="str">
            <v>as-as</v>
          </cell>
          <cell r="I5683" t="str">
            <v>sim</v>
          </cell>
          <cell r="V5683" t="str">
            <v>antonym</v>
          </cell>
          <cell r="Y5683" t="str">
            <v>Past</v>
          </cell>
          <cell r="Z5683">
            <v>2.81</v>
          </cell>
          <cell r="AA5683">
            <v>0</v>
          </cell>
          <cell r="AB5683">
            <v>0</v>
          </cell>
        </row>
        <row r="5684">
          <cell r="G5684" t="str">
            <v>X2112_0</v>
          </cell>
          <cell r="H5684" t="str">
            <v>like</v>
          </cell>
          <cell r="I5684" t="str">
            <v>sim</v>
          </cell>
          <cell r="V5684" t="str">
            <v>not neg pair</v>
          </cell>
          <cell r="Y5684" t="str">
            <v>Pres</v>
          </cell>
          <cell r="Z5684">
            <v>0</v>
          </cell>
          <cell r="AA5684">
            <v>0</v>
          </cell>
          <cell r="AB5684">
            <v>0</v>
          </cell>
        </row>
        <row r="5685">
          <cell r="G5685" t="str">
            <v>X2112_1</v>
          </cell>
          <cell r="H5685" t="str">
            <v>like</v>
          </cell>
          <cell r="I5685" t="str">
            <v>sim</v>
          </cell>
          <cell r="V5685" t="str">
            <v>not neg pair</v>
          </cell>
          <cell r="Y5685" t="str">
            <v>Pres</v>
          </cell>
          <cell r="Z5685">
            <v>0</v>
          </cell>
          <cell r="AA5685">
            <v>0</v>
          </cell>
          <cell r="AB5685">
            <v>0</v>
          </cell>
        </row>
        <row r="5686">
          <cell r="G5686" t="str">
            <v>X2113_0</v>
          </cell>
          <cell r="H5686" t="str">
            <v>as-as</v>
          </cell>
          <cell r="I5686" t="str">
            <v>sim</v>
          </cell>
          <cell r="V5686" t="str">
            <v>not neg pair</v>
          </cell>
          <cell r="Y5686" t="str">
            <v>Past</v>
          </cell>
          <cell r="Z5686">
            <v>3.36</v>
          </cell>
          <cell r="AA5686">
            <v>0</v>
          </cell>
          <cell r="AB5686">
            <v>0</v>
          </cell>
        </row>
        <row r="5687">
          <cell r="G5687" t="str">
            <v>X2113_1</v>
          </cell>
          <cell r="H5687" t="str">
            <v>as-as</v>
          </cell>
          <cell r="I5687" t="str">
            <v>sim</v>
          </cell>
          <cell r="V5687" t="str">
            <v>not neg pair</v>
          </cell>
          <cell r="Y5687" t="str">
            <v>Past</v>
          </cell>
          <cell r="Z5687">
            <v>3.36</v>
          </cell>
          <cell r="AA5687">
            <v>0</v>
          </cell>
          <cell r="AB5687">
            <v>0</v>
          </cell>
        </row>
        <row r="5688">
          <cell r="G5688" t="str">
            <v>X2114_0</v>
          </cell>
          <cell r="H5688" t="str">
            <v>as-as</v>
          </cell>
          <cell r="I5688" t="str">
            <v>sim</v>
          </cell>
          <cell r="V5688" t="str">
            <v>not neg pair</v>
          </cell>
          <cell r="Y5688" t="str">
            <v>Past</v>
          </cell>
          <cell r="Z5688">
            <v>4.5999999999999996</v>
          </cell>
          <cell r="AA5688">
            <v>0</v>
          </cell>
          <cell r="AB5688">
            <v>0</v>
          </cell>
        </row>
        <row r="5689">
          <cell r="G5689" t="str">
            <v>X2114_1</v>
          </cell>
          <cell r="H5689" t="str">
            <v>as-as</v>
          </cell>
          <cell r="I5689" t="str">
            <v>sim</v>
          </cell>
          <cell r="V5689" t="str">
            <v>not neg pair</v>
          </cell>
          <cell r="Y5689" t="str">
            <v>Past</v>
          </cell>
          <cell r="Z5689">
            <v>4.5999999999999996</v>
          </cell>
          <cell r="AA5689">
            <v>0</v>
          </cell>
          <cell r="AB5689">
            <v>0</v>
          </cell>
        </row>
        <row r="5690">
          <cell r="G5690" t="str">
            <v>X2115_0</v>
          </cell>
          <cell r="H5690" t="str">
            <v>as-as</v>
          </cell>
          <cell r="I5690" t="str">
            <v>sim</v>
          </cell>
          <cell r="V5690" t="str">
            <v>antonym</v>
          </cell>
          <cell r="Y5690" t="str">
            <v>Past</v>
          </cell>
          <cell r="Z5690">
            <v>2.81</v>
          </cell>
          <cell r="AA5690">
            <v>0</v>
          </cell>
          <cell r="AB5690">
            <v>0</v>
          </cell>
        </row>
        <row r="5691">
          <cell r="G5691" t="str">
            <v>X2115_1</v>
          </cell>
          <cell r="H5691" t="str">
            <v>as-as</v>
          </cell>
          <cell r="I5691" t="str">
            <v>sim</v>
          </cell>
          <cell r="V5691" t="str">
            <v>antonym</v>
          </cell>
          <cell r="Y5691" t="str">
            <v>Past</v>
          </cell>
          <cell r="Z5691">
            <v>2.81</v>
          </cell>
          <cell r="AA5691">
            <v>0</v>
          </cell>
          <cell r="AB5691">
            <v>0</v>
          </cell>
        </row>
        <row r="5692">
          <cell r="G5692" t="str">
            <v>X2116_0</v>
          </cell>
          <cell r="H5692" t="str">
            <v/>
          </cell>
          <cell r="I5692" t="str">
            <v>met</v>
          </cell>
          <cell r="V5692" t="str">
            <v>0</v>
          </cell>
          <cell r="Y5692" t="str">
            <v>Pres</v>
          </cell>
          <cell r="Z5692">
            <v>5</v>
          </cell>
          <cell r="AA5692" t="str">
            <v>H</v>
          </cell>
          <cell r="AB5692">
            <v>0</v>
          </cell>
        </row>
        <row r="5693">
          <cell r="G5693" t="str">
            <v>X2116_1</v>
          </cell>
          <cell r="H5693" t="str">
            <v/>
          </cell>
          <cell r="I5693" t="str">
            <v>met</v>
          </cell>
          <cell r="V5693" t="str">
            <v>0</v>
          </cell>
          <cell r="Y5693" t="str">
            <v>Pres</v>
          </cell>
          <cell r="Z5693">
            <v>5</v>
          </cell>
          <cell r="AA5693" t="str">
            <v>H</v>
          </cell>
          <cell r="AB5693">
            <v>0</v>
          </cell>
        </row>
        <row r="5694">
          <cell r="G5694" t="str">
            <v>X2117_0</v>
          </cell>
          <cell r="H5694" t="str">
            <v>as</v>
          </cell>
          <cell r="I5694" t="str">
            <v>sim</v>
          </cell>
          <cell r="V5694" t="str">
            <v>not neg pair</v>
          </cell>
          <cell r="Y5694" t="str">
            <v>Pres</v>
          </cell>
          <cell r="Z5694">
            <v>4.9000000000000004</v>
          </cell>
          <cell r="AA5694">
            <v>0</v>
          </cell>
          <cell r="AB5694">
            <v>0</v>
          </cell>
        </row>
        <row r="5695">
          <cell r="G5695" t="str">
            <v>X2117_1</v>
          </cell>
          <cell r="H5695" t="str">
            <v>as</v>
          </cell>
          <cell r="I5695" t="str">
            <v>sim</v>
          </cell>
          <cell r="V5695" t="str">
            <v>not neg pair</v>
          </cell>
          <cell r="Y5695" t="str">
            <v>Pres</v>
          </cell>
          <cell r="Z5695">
            <v>4.9000000000000004</v>
          </cell>
          <cell r="AA5695">
            <v>0</v>
          </cell>
          <cell r="AB5695">
            <v>0</v>
          </cell>
        </row>
        <row r="5696">
          <cell r="G5696" t="str">
            <v>X2118_0</v>
          </cell>
          <cell r="H5696" t="str">
            <v/>
          </cell>
          <cell r="I5696" t="str">
            <v>met</v>
          </cell>
          <cell r="V5696" t="str">
            <v>0</v>
          </cell>
          <cell r="Y5696" t="str">
            <v>Pres</v>
          </cell>
          <cell r="Z5696">
            <v>4.97</v>
          </cell>
          <cell r="AA5696" t="str">
            <v>H</v>
          </cell>
          <cell r="AB5696">
            <v>0</v>
          </cell>
        </row>
        <row r="5697">
          <cell r="G5697" t="str">
            <v>X2118_1</v>
          </cell>
          <cell r="H5697" t="str">
            <v/>
          </cell>
          <cell r="I5697" t="str">
            <v>met</v>
          </cell>
          <cell r="V5697" t="str">
            <v>0</v>
          </cell>
          <cell r="Y5697" t="str">
            <v>Pres</v>
          </cell>
          <cell r="Z5697">
            <v>4.97</v>
          </cell>
          <cell r="AA5697" t="str">
            <v>H</v>
          </cell>
          <cell r="AB5697">
            <v>0</v>
          </cell>
        </row>
        <row r="5698">
          <cell r="G5698" t="str">
            <v>X2119_0</v>
          </cell>
          <cell r="H5698" t="str">
            <v>the-of</v>
          </cell>
          <cell r="I5698" t="str">
            <v>sim</v>
          </cell>
          <cell r="V5698" t="str">
            <v>not neg pair</v>
          </cell>
          <cell r="Y5698" t="str">
            <v>Past</v>
          </cell>
          <cell r="Z5698">
            <v>3.36</v>
          </cell>
          <cell r="AA5698">
            <v>0</v>
          </cell>
          <cell r="AB5698">
            <v>0</v>
          </cell>
        </row>
        <row r="5699">
          <cell r="G5699" t="str">
            <v>X2119_1</v>
          </cell>
          <cell r="H5699" t="str">
            <v>the-of</v>
          </cell>
          <cell r="I5699" t="str">
            <v>sim</v>
          </cell>
          <cell r="V5699" t="str">
            <v>not neg pair</v>
          </cell>
          <cell r="Y5699" t="str">
            <v>Past</v>
          </cell>
          <cell r="Z5699">
            <v>3.36</v>
          </cell>
          <cell r="AA5699">
            <v>0</v>
          </cell>
          <cell r="AB5699">
            <v>0</v>
          </cell>
        </row>
        <row r="5700">
          <cell r="G5700" t="str">
            <v>X2120_0</v>
          </cell>
          <cell r="H5700" t="str">
            <v>the-of</v>
          </cell>
          <cell r="I5700" t="str">
            <v>sim</v>
          </cell>
          <cell r="V5700" t="str">
            <v>not neg pair</v>
          </cell>
          <cell r="Y5700" t="str">
            <v>Past</v>
          </cell>
          <cell r="Z5700">
            <v>3.93</v>
          </cell>
          <cell r="AA5700">
            <v>0</v>
          </cell>
          <cell r="AB5700">
            <v>0</v>
          </cell>
        </row>
        <row r="5701">
          <cell r="G5701" t="str">
            <v>X2120_1</v>
          </cell>
          <cell r="H5701" t="str">
            <v>the-of</v>
          </cell>
          <cell r="I5701" t="str">
            <v>sim</v>
          </cell>
          <cell r="V5701" t="str">
            <v>not neg pair</v>
          </cell>
          <cell r="Y5701" t="str">
            <v>Past</v>
          </cell>
          <cell r="Z5701">
            <v>3.93</v>
          </cell>
          <cell r="AA5701">
            <v>0</v>
          </cell>
          <cell r="AB5701">
            <v>0</v>
          </cell>
        </row>
        <row r="5702">
          <cell r="G5702" t="str">
            <v>X2121_0</v>
          </cell>
          <cell r="H5702" t="str">
            <v>the-of</v>
          </cell>
          <cell r="I5702" t="str">
            <v>sim</v>
          </cell>
          <cell r="V5702" t="str">
            <v>not</v>
          </cell>
          <cell r="Y5702" t="str">
            <v>Past</v>
          </cell>
          <cell r="Z5702">
            <v>4.37</v>
          </cell>
          <cell r="AA5702">
            <v>0</v>
          </cell>
          <cell r="AB5702">
            <v>0</v>
          </cell>
        </row>
        <row r="5703">
          <cell r="G5703" t="str">
            <v>X2121_1</v>
          </cell>
          <cell r="H5703" t="str">
            <v>the-of</v>
          </cell>
          <cell r="I5703" t="str">
            <v>sim</v>
          </cell>
          <cell r="V5703" t="str">
            <v>not</v>
          </cell>
          <cell r="Y5703" t="str">
            <v>Past</v>
          </cell>
          <cell r="Z5703">
            <v>4.37</v>
          </cell>
          <cell r="AA5703">
            <v>0</v>
          </cell>
          <cell r="AB5703">
            <v>0</v>
          </cell>
        </row>
        <row r="5704">
          <cell r="G5704" t="str">
            <v>X2122_0</v>
          </cell>
          <cell r="H5704" t="str">
            <v>as-as</v>
          </cell>
          <cell r="I5704" t="str">
            <v>sim</v>
          </cell>
          <cell r="V5704" t="str">
            <v>not neg pair</v>
          </cell>
          <cell r="Y5704" t="str">
            <v>Past</v>
          </cell>
          <cell r="Z5704">
            <v>4.71</v>
          </cell>
          <cell r="AA5704">
            <v>0</v>
          </cell>
          <cell r="AB5704">
            <v>0</v>
          </cell>
        </row>
        <row r="5705">
          <cell r="G5705" t="str">
            <v>X2122_1</v>
          </cell>
          <cell r="H5705" t="str">
            <v>as-as</v>
          </cell>
          <cell r="I5705" t="str">
            <v>sim</v>
          </cell>
          <cell r="V5705" t="str">
            <v>not neg pair</v>
          </cell>
          <cell r="Y5705" t="str">
            <v>Past</v>
          </cell>
          <cell r="Z5705">
            <v>4.71</v>
          </cell>
          <cell r="AA5705">
            <v>0</v>
          </cell>
          <cell r="AB5705">
            <v>0</v>
          </cell>
        </row>
        <row r="5706">
          <cell r="G5706" t="str">
            <v>X2123_0</v>
          </cell>
          <cell r="H5706" t="str">
            <v>the-of</v>
          </cell>
          <cell r="I5706" t="str">
            <v>sim</v>
          </cell>
          <cell r="V5706" t="str">
            <v>not</v>
          </cell>
          <cell r="Y5706" t="str">
            <v>Past</v>
          </cell>
          <cell r="Z5706">
            <v>4.38</v>
          </cell>
          <cell r="AA5706">
            <v>0</v>
          </cell>
          <cell r="AB5706">
            <v>0</v>
          </cell>
        </row>
        <row r="5707">
          <cell r="G5707" t="str">
            <v>X2123_1</v>
          </cell>
          <cell r="H5707" t="str">
            <v>the-of</v>
          </cell>
          <cell r="I5707" t="str">
            <v>sim</v>
          </cell>
          <cell r="V5707" t="str">
            <v>not</v>
          </cell>
          <cell r="Y5707" t="str">
            <v>Past</v>
          </cell>
          <cell r="Z5707">
            <v>0</v>
          </cell>
          <cell r="AA5707">
            <v>0</v>
          </cell>
          <cell r="AB5707">
            <v>0</v>
          </cell>
        </row>
        <row r="5708">
          <cell r="G5708" t="str">
            <v>X2124_0</v>
          </cell>
          <cell r="H5708" t="str">
            <v>as-as</v>
          </cell>
          <cell r="I5708" t="str">
            <v>sim</v>
          </cell>
          <cell r="V5708" t="str">
            <v>not neg pair</v>
          </cell>
          <cell r="Y5708" t="str">
            <v>Pres</v>
          </cell>
          <cell r="Z5708">
            <v>5</v>
          </cell>
          <cell r="AA5708" t="str">
            <v>H</v>
          </cell>
          <cell r="AB5708">
            <v>0</v>
          </cell>
        </row>
        <row r="5709">
          <cell r="G5709" t="str">
            <v>X2124_1</v>
          </cell>
          <cell r="H5709" t="str">
            <v>as-as</v>
          </cell>
          <cell r="I5709" t="str">
            <v>sim</v>
          </cell>
          <cell r="V5709" t="str">
            <v>not neg pair</v>
          </cell>
          <cell r="Y5709" t="str">
            <v>Past</v>
          </cell>
          <cell r="Z5709">
            <v>5</v>
          </cell>
          <cell r="AA5709" t="str">
            <v>H</v>
          </cell>
          <cell r="AB5709">
            <v>0</v>
          </cell>
        </row>
        <row r="5710">
          <cell r="G5710" t="str">
            <v>X2125_0</v>
          </cell>
          <cell r="H5710" t="str">
            <v>as-as</v>
          </cell>
          <cell r="I5710" t="str">
            <v>sim</v>
          </cell>
          <cell r="V5710" t="str">
            <v>not</v>
          </cell>
          <cell r="Y5710" t="str">
            <v>Pres</v>
          </cell>
          <cell r="Z5710">
            <v>3.36</v>
          </cell>
          <cell r="AA5710">
            <v>0</v>
          </cell>
          <cell r="AB5710">
            <v>0</v>
          </cell>
        </row>
        <row r="5711">
          <cell r="G5711" t="str">
            <v>X2125_1</v>
          </cell>
          <cell r="H5711" t="str">
            <v>as-as</v>
          </cell>
          <cell r="I5711" t="str">
            <v>sim</v>
          </cell>
          <cell r="V5711" t="str">
            <v>not</v>
          </cell>
          <cell r="Y5711" t="str">
            <v>Pres</v>
          </cell>
          <cell r="Z5711">
            <v>3.36</v>
          </cell>
          <cell r="AA5711">
            <v>0</v>
          </cell>
          <cell r="AB5711">
            <v>0</v>
          </cell>
        </row>
        <row r="5712">
          <cell r="G5712" t="str">
            <v>X2126_0</v>
          </cell>
          <cell r="H5712" t="str">
            <v>like</v>
          </cell>
          <cell r="I5712" t="str">
            <v>sim</v>
          </cell>
          <cell r="V5712" t="str">
            <v>not neg pair</v>
          </cell>
          <cell r="Y5712" t="str">
            <v>Past</v>
          </cell>
          <cell r="Z5712">
            <v>2.81</v>
          </cell>
          <cell r="AA5712">
            <v>0</v>
          </cell>
          <cell r="AB5712">
            <v>0</v>
          </cell>
        </row>
        <row r="5713">
          <cell r="G5713" t="str">
            <v>X2126_1</v>
          </cell>
          <cell r="H5713" t="str">
            <v>like</v>
          </cell>
          <cell r="I5713" t="str">
            <v>sim</v>
          </cell>
          <cell r="V5713" t="str">
            <v>not neg pair</v>
          </cell>
          <cell r="Y5713" t="str">
            <v>Past</v>
          </cell>
          <cell r="Z5713">
            <v>2.81</v>
          </cell>
          <cell r="AA5713">
            <v>0</v>
          </cell>
          <cell r="AB5713">
            <v>0</v>
          </cell>
        </row>
        <row r="5714">
          <cell r="G5714" t="str">
            <v>X2127_0</v>
          </cell>
          <cell r="H5714" t="str">
            <v>like</v>
          </cell>
          <cell r="I5714" t="str">
            <v>sim</v>
          </cell>
          <cell r="V5714" t="str">
            <v>not</v>
          </cell>
          <cell r="Y5714" t="str">
            <v>Past</v>
          </cell>
          <cell r="Z5714">
            <v>2.81</v>
          </cell>
          <cell r="AA5714">
            <v>0</v>
          </cell>
          <cell r="AB5714">
            <v>0</v>
          </cell>
        </row>
        <row r="5715">
          <cell r="G5715" t="str">
            <v>X2127_1</v>
          </cell>
          <cell r="H5715" t="str">
            <v>like</v>
          </cell>
          <cell r="I5715" t="str">
            <v>sim</v>
          </cell>
          <cell r="V5715" t="str">
            <v>not</v>
          </cell>
          <cell r="Y5715" t="str">
            <v>Past</v>
          </cell>
          <cell r="Z5715">
            <v>2.81</v>
          </cell>
          <cell r="AA5715">
            <v>0</v>
          </cell>
          <cell r="AB5715">
            <v>0</v>
          </cell>
        </row>
        <row r="5716">
          <cell r="G5716" t="str">
            <v>X2128_0</v>
          </cell>
          <cell r="H5716" t="str">
            <v>like</v>
          </cell>
          <cell r="I5716" t="str">
            <v>sim</v>
          </cell>
          <cell r="V5716" t="str">
            <v>not neg pair</v>
          </cell>
          <cell r="Y5716" t="str">
            <v>Past</v>
          </cell>
          <cell r="Z5716">
            <v>2.81</v>
          </cell>
          <cell r="AA5716">
            <v>0</v>
          </cell>
          <cell r="AB5716">
            <v>0</v>
          </cell>
        </row>
        <row r="5717">
          <cell r="G5717" t="str">
            <v>X2128_1</v>
          </cell>
          <cell r="H5717" t="str">
            <v>like</v>
          </cell>
          <cell r="I5717" t="str">
            <v>sim</v>
          </cell>
          <cell r="V5717" t="str">
            <v>not neg pair</v>
          </cell>
          <cell r="Y5717" t="str">
            <v>Past</v>
          </cell>
          <cell r="Z5717">
            <v>2.81</v>
          </cell>
          <cell r="AA5717">
            <v>0</v>
          </cell>
          <cell r="AB5717">
            <v>0</v>
          </cell>
        </row>
        <row r="5718">
          <cell r="G5718" t="str">
            <v>X2129_0</v>
          </cell>
          <cell r="H5718" t="str">
            <v>as-as</v>
          </cell>
          <cell r="I5718" t="str">
            <v>sim</v>
          </cell>
          <cell r="V5718" t="str">
            <v>not</v>
          </cell>
          <cell r="Y5718" t="str">
            <v>Pres</v>
          </cell>
          <cell r="Z5718">
            <v>4.5199999999999996</v>
          </cell>
          <cell r="AA5718">
            <v>0</v>
          </cell>
          <cell r="AB5718">
            <v>0</v>
          </cell>
        </row>
        <row r="5719">
          <cell r="G5719" t="str">
            <v>X2129_1</v>
          </cell>
          <cell r="H5719" t="str">
            <v>as-as</v>
          </cell>
          <cell r="I5719" t="str">
            <v>sim</v>
          </cell>
          <cell r="V5719" t="str">
            <v>not</v>
          </cell>
          <cell r="Y5719" t="str">
            <v>Pres</v>
          </cell>
          <cell r="Z5719">
            <v>4.5199999999999996</v>
          </cell>
          <cell r="AA5719">
            <v>0</v>
          </cell>
          <cell r="AB5719">
            <v>0</v>
          </cell>
        </row>
        <row r="5720">
          <cell r="G5720" t="str">
            <v>X2130_0</v>
          </cell>
          <cell r="H5720" t="str">
            <v>as-as</v>
          </cell>
          <cell r="I5720" t="str">
            <v>sim</v>
          </cell>
          <cell r="V5720" t="str">
            <v>not</v>
          </cell>
          <cell r="Y5720" t="str">
            <v>Pres</v>
          </cell>
          <cell r="Z5720">
            <v>4.21</v>
          </cell>
          <cell r="AA5720">
            <v>0</v>
          </cell>
          <cell r="AB5720">
            <v>0</v>
          </cell>
        </row>
        <row r="5721">
          <cell r="G5721" t="str">
            <v>X2130_1</v>
          </cell>
          <cell r="H5721" t="str">
            <v>as-as</v>
          </cell>
          <cell r="I5721" t="str">
            <v>sim</v>
          </cell>
          <cell r="V5721" t="str">
            <v>not</v>
          </cell>
          <cell r="Y5721" t="str">
            <v>Pres</v>
          </cell>
          <cell r="Z5721">
            <v>4.21</v>
          </cell>
          <cell r="AA5721">
            <v>0</v>
          </cell>
          <cell r="AB5721">
            <v>0</v>
          </cell>
        </row>
        <row r="5722">
          <cell r="G5722" t="str">
            <v>X2131_0</v>
          </cell>
          <cell r="H5722" t="str">
            <v>as-as</v>
          </cell>
          <cell r="I5722" t="str">
            <v>sim</v>
          </cell>
          <cell r="V5722" t="str">
            <v>not</v>
          </cell>
          <cell r="Y5722" t="str">
            <v>Pres</v>
          </cell>
          <cell r="Z5722">
            <v>5</v>
          </cell>
          <cell r="AA5722" t="str">
            <v>H</v>
          </cell>
          <cell r="AB5722">
            <v>0</v>
          </cell>
        </row>
        <row r="5723">
          <cell r="G5723" t="str">
            <v>X2131_1</v>
          </cell>
          <cell r="H5723" t="str">
            <v>as-as</v>
          </cell>
          <cell r="I5723" t="str">
            <v>sim</v>
          </cell>
          <cell r="V5723" t="str">
            <v>not</v>
          </cell>
          <cell r="Y5723" t="str">
            <v>Pres</v>
          </cell>
          <cell r="Z5723">
            <v>5</v>
          </cell>
          <cell r="AA5723" t="str">
            <v>H</v>
          </cell>
          <cell r="AB5723">
            <v>0</v>
          </cell>
        </row>
        <row r="5724">
          <cell r="G5724" t="str">
            <v>X2132_0</v>
          </cell>
          <cell r="H5724" t="str">
            <v>like</v>
          </cell>
          <cell r="I5724" t="str">
            <v>sim</v>
          </cell>
          <cell r="V5724" t="str">
            <v>not neg pair</v>
          </cell>
          <cell r="Y5724" t="str">
            <v>Pres</v>
          </cell>
          <cell r="Z5724">
            <v>4.46</v>
          </cell>
          <cell r="AA5724">
            <v>0</v>
          </cell>
          <cell r="AB5724">
            <v>0</v>
          </cell>
        </row>
        <row r="5725">
          <cell r="G5725" t="str">
            <v>X2132_1</v>
          </cell>
          <cell r="H5725" t="str">
            <v>like</v>
          </cell>
          <cell r="I5725" t="str">
            <v>sim</v>
          </cell>
          <cell r="V5725" t="str">
            <v>not neg pair</v>
          </cell>
          <cell r="Y5725" t="str">
            <v>Pres</v>
          </cell>
          <cell r="Z5725">
            <v>4.46</v>
          </cell>
          <cell r="AA5725">
            <v>0</v>
          </cell>
          <cell r="AB5725">
            <v>0</v>
          </cell>
        </row>
        <row r="5726">
          <cell r="G5726" t="str">
            <v>X2133_0</v>
          </cell>
          <cell r="H5726" t="str">
            <v>as-as</v>
          </cell>
          <cell r="I5726" t="str">
            <v>sim</v>
          </cell>
          <cell r="V5726" t="str">
            <v>not</v>
          </cell>
          <cell r="Y5726" t="str">
            <v>Past</v>
          </cell>
          <cell r="Z5726">
            <v>4.7</v>
          </cell>
          <cell r="AA5726">
            <v>0</v>
          </cell>
          <cell r="AB5726">
            <v>0</v>
          </cell>
        </row>
        <row r="5727">
          <cell r="G5727" t="str">
            <v>X2133_1</v>
          </cell>
          <cell r="H5727" t="str">
            <v>as-as</v>
          </cell>
          <cell r="I5727" t="str">
            <v>sim</v>
          </cell>
          <cell r="V5727" t="str">
            <v>not</v>
          </cell>
          <cell r="Y5727" t="str">
            <v>Past</v>
          </cell>
          <cell r="Z5727">
            <v>4.7</v>
          </cell>
          <cell r="AA5727">
            <v>0</v>
          </cell>
          <cell r="AB5727">
            <v>0</v>
          </cell>
        </row>
        <row r="5728">
          <cell r="G5728" t="str">
            <v>X2134_0</v>
          </cell>
          <cell r="H5728" t="str">
            <v>as-as</v>
          </cell>
          <cell r="I5728" t="str">
            <v>sim</v>
          </cell>
          <cell r="V5728" t="str">
            <v>not</v>
          </cell>
          <cell r="Y5728" t="str">
            <v>Past</v>
          </cell>
          <cell r="Z5728">
            <v>4.9000000000000004</v>
          </cell>
          <cell r="AA5728">
            <v>0</v>
          </cell>
          <cell r="AB5728">
            <v>0</v>
          </cell>
        </row>
        <row r="5729">
          <cell r="G5729" t="str">
            <v>X2134_1</v>
          </cell>
          <cell r="H5729" t="str">
            <v>as-as</v>
          </cell>
          <cell r="I5729" t="str">
            <v>sim</v>
          </cell>
          <cell r="V5729" t="str">
            <v>not</v>
          </cell>
          <cell r="Y5729" t="str">
            <v>Past</v>
          </cell>
          <cell r="Z5729">
            <v>4.9000000000000004</v>
          </cell>
          <cell r="AA5729">
            <v>0</v>
          </cell>
          <cell r="AB5729">
            <v>0</v>
          </cell>
        </row>
        <row r="5730">
          <cell r="G5730" t="str">
            <v>X2135_0</v>
          </cell>
          <cell r="H5730" t="str">
            <v/>
          </cell>
          <cell r="I5730" t="str">
            <v>met</v>
          </cell>
          <cell r="V5730" t="str">
            <v>0</v>
          </cell>
          <cell r="Y5730" t="str">
            <v>Pres</v>
          </cell>
          <cell r="Z5730">
            <v>2.69</v>
          </cell>
          <cell r="AA5730" t="str">
            <v>L</v>
          </cell>
          <cell r="AB5730">
            <v>0</v>
          </cell>
        </row>
        <row r="5731">
          <cell r="G5731" t="str">
            <v>X2135_1</v>
          </cell>
          <cell r="H5731" t="str">
            <v/>
          </cell>
          <cell r="I5731" t="str">
            <v>met</v>
          </cell>
          <cell r="V5731" t="str">
            <v>0</v>
          </cell>
          <cell r="Y5731" t="str">
            <v>Pres</v>
          </cell>
          <cell r="Z5731">
            <v>2.69</v>
          </cell>
          <cell r="AA5731" t="str">
            <v>L</v>
          </cell>
          <cell r="AB5731">
            <v>0</v>
          </cell>
        </row>
        <row r="5732">
          <cell r="G5732" t="str">
            <v>X2136_0</v>
          </cell>
          <cell r="H5732" t="str">
            <v/>
          </cell>
          <cell r="I5732" t="str">
            <v>met</v>
          </cell>
          <cell r="V5732" t="str">
            <v>0</v>
          </cell>
          <cell r="Y5732">
            <v>0</v>
          </cell>
          <cell r="Z5732">
            <v>2.0699999999999998</v>
          </cell>
          <cell r="AA5732" t="str">
            <v>L</v>
          </cell>
          <cell r="AB5732">
            <v>0</v>
          </cell>
        </row>
        <row r="5733">
          <cell r="G5733" t="str">
            <v>X2136_1</v>
          </cell>
          <cell r="H5733" t="str">
            <v/>
          </cell>
          <cell r="I5733" t="str">
            <v>met</v>
          </cell>
          <cell r="V5733" t="str">
            <v>0</v>
          </cell>
          <cell r="Y5733">
            <v>0</v>
          </cell>
          <cell r="Z5733">
            <v>2.0699999999999998</v>
          </cell>
          <cell r="AA5733" t="str">
            <v>L</v>
          </cell>
          <cell r="AB5733">
            <v>0</v>
          </cell>
        </row>
        <row r="5734">
          <cell r="G5734" t="str">
            <v>X2137_0</v>
          </cell>
          <cell r="H5734" t="str">
            <v>the-of</v>
          </cell>
          <cell r="I5734" t="str">
            <v>sim</v>
          </cell>
          <cell r="V5734" t="str">
            <v>not neg pair</v>
          </cell>
          <cell r="Y5734" t="str">
            <v>Pres</v>
          </cell>
          <cell r="Z5734">
            <v>3.93</v>
          </cell>
          <cell r="AA5734">
            <v>0</v>
          </cell>
          <cell r="AB5734">
            <v>0</v>
          </cell>
        </row>
        <row r="5735">
          <cell r="G5735" t="str">
            <v>X2137_1</v>
          </cell>
          <cell r="H5735" t="str">
            <v>the-of</v>
          </cell>
          <cell r="I5735" t="str">
            <v>sim</v>
          </cell>
          <cell r="V5735" t="str">
            <v>not neg pair</v>
          </cell>
          <cell r="Y5735" t="str">
            <v>Pres</v>
          </cell>
          <cell r="Z5735">
            <v>3.93</v>
          </cell>
          <cell r="AA5735">
            <v>0</v>
          </cell>
          <cell r="AB5735">
            <v>0</v>
          </cell>
        </row>
        <row r="5736">
          <cell r="G5736" t="str">
            <v>X2138_0</v>
          </cell>
          <cell r="H5736" t="str">
            <v>the-of</v>
          </cell>
          <cell r="I5736" t="str">
            <v>sim</v>
          </cell>
          <cell r="V5736" t="str">
            <v>not neg pair</v>
          </cell>
          <cell r="Y5736" t="str">
            <v>Pres</v>
          </cell>
          <cell r="Z5736">
            <v>4.2699999999999996</v>
          </cell>
          <cell r="AA5736">
            <v>0</v>
          </cell>
          <cell r="AB5736">
            <v>0</v>
          </cell>
        </row>
        <row r="5737">
          <cell r="G5737" t="str">
            <v>X2138_1</v>
          </cell>
          <cell r="H5737" t="str">
            <v>the-of</v>
          </cell>
          <cell r="I5737" t="str">
            <v>sim</v>
          </cell>
          <cell r="V5737" t="str">
            <v>not neg pair</v>
          </cell>
          <cell r="Y5737" t="str">
            <v>Past</v>
          </cell>
          <cell r="Z5737">
            <v>4.2699999999999996</v>
          </cell>
          <cell r="AA5737">
            <v>0</v>
          </cell>
          <cell r="AB5737">
            <v>0</v>
          </cell>
        </row>
        <row r="5738">
          <cell r="G5738" t="str">
            <v>X2139_0</v>
          </cell>
          <cell r="H5738" t="str">
            <v>the-of</v>
          </cell>
          <cell r="I5738" t="str">
            <v>sim</v>
          </cell>
          <cell r="V5738" t="str">
            <v>not</v>
          </cell>
          <cell r="Y5738" t="str">
            <v>Pres</v>
          </cell>
          <cell r="Z5738">
            <v>2.4300000000000002</v>
          </cell>
          <cell r="AA5738" t="str">
            <v>L</v>
          </cell>
          <cell r="AB5738">
            <v>0</v>
          </cell>
        </row>
        <row r="5739">
          <cell r="G5739" t="str">
            <v>X2139_1</v>
          </cell>
          <cell r="H5739" t="str">
            <v>the-of</v>
          </cell>
          <cell r="I5739" t="str">
            <v>sim</v>
          </cell>
          <cell r="V5739" t="str">
            <v>not</v>
          </cell>
          <cell r="Y5739" t="str">
            <v>Pres</v>
          </cell>
          <cell r="Z5739">
            <v>2.4300000000000002</v>
          </cell>
          <cell r="AA5739" t="str">
            <v>L</v>
          </cell>
          <cell r="AB5739">
            <v>0</v>
          </cell>
        </row>
        <row r="5740">
          <cell r="G5740" t="str">
            <v>X2140_0</v>
          </cell>
          <cell r="H5740" t="str">
            <v/>
          </cell>
          <cell r="I5740" t="str">
            <v>met</v>
          </cell>
          <cell r="V5740" t="str">
            <v>0</v>
          </cell>
          <cell r="Y5740" t="str">
            <v>Pres</v>
          </cell>
          <cell r="Z5740">
            <v>2.5099999999999998</v>
          </cell>
          <cell r="AA5740" t="str">
            <v>L</v>
          </cell>
          <cell r="AB5740">
            <v>0</v>
          </cell>
        </row>
        <row r="5741">
          <cell r="G5741" t="str">
            <v>X2140_1</v>
          </cell>
          <cell r="H5741" t="str">
            <v/>
          </cell>
          <cell r="I5741" t="str">
            <v>met</v>
          </cell>
          <cell r="V5741" t="str">
            <v>0</v>
          </cell>
          <cell r="Y5741" t="str">
            <v>Pres</v>
          </cell>
          <cell r="Z5741">
            <v>2.5099999999999998</v>
          </cell>
          <cell r="AA5741" t="str">
            <v>L</v>
          </cell>
          <cell r="AB5741">
            <v>0</v>
          </cell>
        </row>
        <row r="5742">
          <cell r="G5742" t="str">
            <v>X2141_0</v>
          </cell>
          <cell r="H5742" t="str">
            <v/>
          </cell>
          <cell r="I5742" t="str">
            <v>met</v>
          </cell>
          <cell r="V5742" t="str">
            <v>0</v>
          </cell>
          <cell r="Y5742">
            <v>0</v>
          </cell>
          <cell r="Z5742">
            <v>4.34</v>
          </cell>
          <cell r="AA5742">
            <v>0</v>
          </cell>
          <cell r="AB5742">
            <v>0</v>
          </cell>
        </row>
        <row r="5743">
          <cell r="G5743" t="str">
            <v>X2141_1</v>
          </cell>
          <cell r="H5743" t="str">
            <v/>
          </cell>
          <cell r="I5743" t="str">
            <v>met</v>
          </cell>
          <cell r="V5743" t="str">
            <v>0</v>
          </cell>
          <cell r="Y5743" t="str">
            <v>Past</v>
          </cell>
          <cell r="Z5743">
            <v>4.34</v>
          </cell>
          <cell r="AA5743">
            <v>0</v>
          </cell>
          <cell r="AB5743">
            <v>0</v>
          </cell>
        </row>
        <row r="5744">
          <cell r="G5744" t="str">
            <v>X2142_0</v>
          </cell>
          <cell r="H5744" t="str">
            <v>the-of</v>
          </cell>
          <cell r="I5744" t="str">
            <v>sim</v>
          </cell>
          <cell r="V5744" t="str">
            <v>not</v>
          </cell>
          <cell r="Y5744" t="str">
            <v>Pres</v>
          </cell>
          <cell r="Z5744">
            <v>4.13</v>
          </cell>
          <cell r="AA5744">
            <v>0</v>
          </cell>
          <cell r="AB5744">
            <v>0</v>
          </cell>
        </row>
        <row r="5745">
          <cell r="G5745" t="str">
            <v>X2142_1</v>
          </cell>
          <cell r="H5745" t="str">
            <v>the-of</v>
          </cell>
          <cell r="I5745" t="str">
            <v>sim</v>
          </cell>
          <cell r="V5745" t="str">
            <v>not</v>
          </cell>
          <cell r="Y5745" t="str">
            <v>Pres</v>
          </cell>
          <cell r="Z5745">
            <v>4.13</v>
          </cell>
          <cell r="AA5745">
            <v>0</v>
          </cell>
          <cell r="AB5745">
            <v>0</v>
          </cell>
        </row>
        <row r="5746">
          <cell r="G5746" t="str">
            <v>X2143_0</v>
          </cell>
          <cell r="H5746" t="str">
            <v>as-as</v>
          </cell>
          <cell r="I5746" t="str">
            <v>sim</v>
          </cell>
          <cell r="V5746" t="str">
            <v>not</v>
          </cell>
          <cell r="Y5746" t="str">
            <v>Pres</v>
          </cell>
          <cell r="Z5746">
            <v>4.8899999999999997</v>
          </cell>
          <cell r="AA5746">
            <v>0</v>
          </cell>
          <cell r="AB5746">
            <v>0</v>
          </cell>
        </row>
        <row r="5747">
          <cell r="G5747" t="str">
            <v>X2143_1</v>
          </cell>
          <cell r="H5747" t="str">
            <v>as-as</v>
          </cell>
          <cell r="I5747" t="str">
            <v>sim</v>
          </cell>
          <cell r="V5747" t="str">
            <v>not</v>
          </cell>
          <cell r="Y5747" t="str">
            <v>Pres</v>
          </cell>
          <cell r="Z5747">
            <v>4.8899999999999997</v>
          </cell>
          <cell r="AA5747">
            <v>0</v>
          </cell>
          <cell r="AB5747">
            <v>0</v>
          </cell>
        </row>
        <row r="5748">
          <cell r="G5748" t="str">
            <v>X2144_0</v>
          </cell>
          <cell r="H5748" t="str">
            <v>as-as</v>
          </cell>
          <cell r="I5748" t="str">
            <v>sim</v>
          </cell>
          <cell r="V5748" t="str">
            <v>antonym</v>
          </cell>
          <cell r="Y5748" t="str">
            <v>Past</v>
          </cell>
          <cell r="Z5748">
            <v>4.8600000000000003</v>
          </cell>
          <cell r="AA5748">
            <v>0</v>
          </cell>
          <cell r="AB5748">
            <v>0</v>
          </cell>
        </row>
        <row r="5749">
          <cell r="G5749" t="str">
            <v>X2144_1</v>
          </cell>
          <cell r="H5749" t="str">
            <v>as-as</v>
          </cell>
          <cell r="I5749" t="str">
            <v>sim</v>
          </cell>
          <cell r="V5749" t="str">
            <v>antonym</v>
          </cell>
          <cell r="Y5749" t="str">
            <v>Past</v>
          </cell>
          <cell r="Z5749">
            <v>4.8600000000000003</v>
          </cell>
          <cell r="AA5749">
            <v>0</v>
          </cell>
          <cell r="AB5749">
            <v>0</v>
          </cell>
        </row>
        <row r="5750">
          <cell r="G5750" t="str">
            <v>X2145_0</v>
          </cell>
          <cell r="H5750" t="str">
            <v>the-of</v>
          </cell>
          <cell r="I5750" t="str">
            <v>sim</v>
          </cell>
          <cell r="V5750" t="str">
            <v>not neg pair</v>
          </cell>
          <cell r="Y5750" t="str">
            <v>Past</v>
          </cell>
          <cell r="Z5750">
            <v>4.84</v>
          </cell>
          <cell r="AA5750">
            <v>0</v>
          </cell>
          <cell r="AB5750">
            <v>0</v>
          </cell>
        </row>
        <row r="5751">
          <cell r="G5751" t="str">
            <v>X2145_1</v>
          </cell>
          <cell r="H5751" t="str">
            <v>the-of</v>
          </cell>
          <cell r="I5751" t="str">
            <v>sim</v>
          </cell>
          <cell r="V5751" t="str">
            <v>not neg pair</v>
          </cell>
          <cell r="Y5751" t="str">
            <v>Past</v>
          </cell>
          <cell r="Z5751">
            <v>4.24</v>
          </cell>
          <cell r="AA5751">
            <v>0</v>
          </cell>
          <cell r="AB5751">
            <v>0</v>
          </cell>
        </row>
        <row r="5752">
          <cell r="G5752" t="str">
            <v>X2146_0</v>
          </cell>
          <cell r="H5752" t="str">
            <v>as-as</v>
          </cell>
          <cell r="I5752" t="str">
            <v>sim</v>
          </cell>
          <cell r="V5752" t="str">
            <v>not</v>
          </cell>
          <cell r="Y5752" t="str">
            <v>Past</v>
          </cell>
          <cell r="Z5752">
            <v>4.93</v>
          </cell>
          <cell r="AA5752" t="str">
            <v>H</v>
          </cell>
          <cell r="AB5752">
            <v>0</v>
          </cell>
        </row>
        <row r="5753">
          <cell r="G5753" t="str">
            <v>X2146_1</v>
          </cell>
          <cell r="H5753" t="str">
            <v>as-as</v>
          </cell>
          <cell r="I5753" t="str">
            <v>sim</v>
          </cell>
          <cell r="V5753" t="str">
            <v>not</v>
          </cell>
          <cell r="Y5753" t="str">
            <v>Pres</v>
          </cell>
          <cell r="Z5753">
            <v>4.93</v>
          </cell>
          <cell r="AA5753" t="str">
            <v>H</v>
          </cell>
          <cell r="AB5753">
            <v>0</v>
          </cell>
        </row>
        <row r="5754">
          <cell r="G5754" t="str">
            <v>X2147_0</v>
          </cell>
          <cell r="H5754" t="str">
            <v>as-as</v>
          </cell>
          <cell r="I5754" t="str">
            <v>sim</v>
          </cell>
          <cell r="V5754" t="str">
            <v>antonym</v>
          </cell>
          <cell r="Y5754" t="str">
            <v>Pres</v>
          </cell>
          <cell r="Z5754">
            <v>4.1100000000000003</v>
          </cell>
          <cell r="AA5754">
            <v>0</v>
          </cell>
          <cell r="AB5754">
            <v>0</v>
          </cell>
        </row>
        <row r="5755">
          <cell r="G5755" t="str">
            <v>X2147_1</v>
          </cell>
          <cell r="H5755" t="str">
            <v>as-as</v>
          </cell>
          <cell r="I5755" t="str">
            <v>sim</v>
          </cell>
          <cell r="V5755" t="str">
            <v>antonym</v>
          </cell>
          <cell r="Y5755" t="str">
            <v>Pres</v>
          </cell>
          <cell r="Z5755">
            <v>4.1100000000000003</v>
          </cell>
          <cell r="AA5755">
            <v>0</v>
          </cell>
          <cell r="AB5755">
            <v>0</v>
          </cell>
        </row>
        <row r="5756">
          <cell r="G5756" t="str">
            <v>X2148_0</v>
          </cell>
          <cell r="H5756" t="str">
            <v>as-as</v>
          </cell>
          <cell r="I5756" t="str">
            <v>sim</v>
          </cell>
          <cell r="V5756" t="str">
            <v>antonym</v>
          </cell>
          <cell r="Y5756" t="str">
            <v>Pres</v>
          </cell>
          <cell r="Z5756">
            <v>0</v>
          </cell>
          <cell r="AA5756">
            <v>0</v>
          </cell>
          <cell r="AB5756">
            <v>0</v>
          </cell>
        </row>
        <row r="5757">
          <cell r="G5757" t="str">
            <v>X2148_1</v>
          </cell>
          <cell r="H5757" t="str">
            <v>as-as</v>
          </cell>
          <cell r="I5757" t="str">
            <v>sim</v>
          </cell>
          <cell r="V5757" t="str">
            <v>antonym</v>
          </cell>
          <cell r="Y5757" t="str">
            <v>Pres</v>
          </cell>
          <cell r="Z5757">
            <v>0</v>
          </cell>
          <cell r="AA5757">
            <v>0</v>
          </cell>
          <cell r="AB5757">
            <v>0</v>
          </cell>
        </row>
        <row r="5758">
          <cell r="G5758" t="str">
            <v>X2149_0</v>
          </cell>
          <cell r="H5758" t="str">
            <v>the-of</v>
          </cell>
          <cell r="I5758" t="str">
            <v>sim</v>
          </cell>
          <cell r="V5758" t="str">
            <v>not neg pair</v>
          </cell>
          <cell r="Y5758" t="str">
            <v>Pres</v>
          </cell>
          <cell r="Z5758">
            <v>3.93</v>
          </cell>
          <cell r="AA5758">
            <v>0</v>
          </cell>
          <cell r="AB5758">
            <v>0</v>
          </cell>
        </row>
        <row r="5759">
          <cell r="G5759" t="str">
            <v>X2149_1</v>
          </cell>
          <cell r="H5759" t="str">
            <v>the-of</v>
          </cell>
          <cell r="I5759" t="str">
            <v>sim</v>
          </cell>
          <cell r="V5759" t="str">
            <v>not neg pair</v>
          </cell>
          <cell r="Y5759" t="str">
            <v>Pres</v>
          </cell>
          <cell r="Z5759">
            <v>3.93</v>
          </cell>
          <cell r="AA5759">
            <v>0</v>
          </cell>
          <cell r="AB5759">
            <v>0</v>
          </cell>
        </row>
        <row r="5760">
          <cell r="G5760" t="str">
            <v>X2150_0</v>
          </cell>
          <cell r="H5760" t="str">
            <v>as-as</v>
          </cell>
          <cell r="I5760" t="str">
            <v>sim</v>
          </cell>
          <cell r="V5760" t="str">
            <v>not</v>
          </cell>
          <cell r="Y5760" t="str">
            <v>Past</v>
          </cell>
          <cell r="Z5760">
            <v>3.36</v>
          </cell>
          <cell r="AA5760">
            <v>0</v>
          </cell>
          <cell r="AB5760">
            <v>0</v>
          </cell>
        </row>
        <row r="5761">
          <cell r="G5761" t="str">
            <v>X2150_1</v>
          </cell>
          <cell r="H5761" t="str">
            <v>as-as</v>
          </cell>
          <cell r="I5761" t="str">
            <v>sim</v>
          </cell>
          <cell r="V5761" t="str">
            <v>not</v>
          </cell>
          <cell r="Y5761" t="str">
            <v>Past</v>
          </cell>
          <cell r="Z5761">
            <v>3.36</v>
          </cell>
          <cell r="AA5761">
            <v>0</v>
          </cell>
          <cell r="AB5761">
            <v>0</v>
          </cell>
        </row>
        <row r="5762">
          <cell r="G5762" t="str">
            <v>X2151_0</v>
          </cell>
          <cell r="H5762" t="str">
            <v>as-as</v>
          </cell>
          <cell r="I5762" t="str">
            <v>sim</v>
          </cell>
          <cell r="V5762" t="str">
            <v>not</v>
          </cell>
          <cell r="Y5762" t="str">
            <v>Past</v>
          </cell>
          <cell r="Z5762">
            <v>4.2699999999999996</v>
          </cell>
          <cell r="AA5762">
            <v>0</v>
          </cell>
          <cell r="AB5762">
            <v>0</v>
          </cell>
        </row>
        <row r="5763">
          <cell r="G5763" t="str">
            <v>X2151_1</v>
          </cell>
          <cell r="H5763" t="str">
            <v>as-as</v>
          </cell>
          <cell r="I5763" t="str">
            <v>sim</v>
          </cell>
          <cell r="V5763" t="str">
            <v>not</v>
          </cell>
          <cell r="Y5763" t="str">
            <v>Past</v>
          </cell>
          <cell r="Z5763">
            <v>4.2699999999999996</v>
          </cell>
          <cell r="AA5763">
            <v>0</v>
          </cell>
          <cell r="AB5763">
            <v>0</v>
          </cell>
        </row>
        <row r="5764">
          <cell r="G5764" t="str">
            <v>X2152_0</v>
          </cell>
          <cell r="H5764" t="str">
            <v/>
          </cell>
          <cell r="I5764" t="str">
            <v>met</v>
          </cell>
          <cell r="V5764" t="str">
            <v>0</v>
          </cell>
          <cell r="Y5764" t="str">
            <v>Pres</v>
          </cell>
          <cell r="Z5764">
            <v>1.97</v>
          </cell>
          <cell r="AA5764" t="str">
            <v>L</v>
          </cell>
          <cell r="AB5764">
            <v>0</v>
          </cell>
        </row>
        <row r="5765">
          <cell r="G5765" t="str">
            <v>X2152_1</v>
          </cell>
          <cell r="H5765" t="str">
            <v/>
          </cell>
          <cell r="I5765" t="str">
            <v>met</v>
          </cell>
          <cell r="V5765" t="str">
            <v>0</v>
          </cell>
          <cell r="Y5765" t="str">
            <v>Past</v>
          </cell>
          <cell r="Z5765">
            <v>1.97</v>
          </cell>
          <cell r="AA5765" t="str">
            <v>L</v>
          </cell>
          <cell r="AB5765">
            <v>0</v>
          </cell>
        </row>
        <row r="5766">
          <cell r="G5766" t="str">
            <v>X2153_0</v>
          </cell>
          <cell r="H5766" t="str">
            <v/>
          </cell>
          <cell r="I5766" t="str">
            <v>met</v>
          </cell>
          <cell r="V5766" t="str">
            <v>0</v>
          </cell>
          <cell r="Y5766" t="str">
            <v>Past</v>
          </cell>
          <cell r="Z5766">
            <v>2.38</v>
          </cell>
          <cell r="AA5766" t="str">
            <v>L</v>
          </cell>
          <cell r="AB5766">
            <v>0</v>
          </cell>
        </row>
        <row r="5767">
          <cell r="G5767" t="str">
            <v>X2153_1</v>
          </cell>
          <cell r="H5767" t="str">
            <v/>
          </cell>
          <cell r="I5767" t="str">
            <v>met</v>
          </cell>
          <cell r="V5767" t="str">
            <v>0</v>
          </cell>
          <cell r="Y5767" t="str">
            <v>Pres</v>
          </cell>
          <cell r="Z5767">
            <v>2.38</v>
          </cell>
          <cell r="AA5767" t="str">
            <v>L</v>
          </cell>
          <cell r="AB5767">
            <v>0</v>
          </cell>
        </row>
        <row r="5768">
          <cell r="G5768" t="str">
            <v>X2154_0</v>
          </cell>
          <cell r="H5768" t="str">
            <v/>
          </cell>
          <cell r="I5768" t="str">
            <v>met</v>
          </cell>
          <cell r="V5768" t="str">
            <v>0</v>
          </cell>
          <cell r="Y5768" t="str">
            <v>Pres</v>
          </cell>
          <cell r="Z5768">
            <v>1.77</v>
          </cell>
          <cell r="AA5768" t="str">
            <v>L</v>
          </cell>
          <cell r="AB5768">
            <v>0</v>
          </cell>
        </row>
        <row r="5769">
          <cell r="G5769" t="str">
            <v>X2154_1</v>
          </cell>
          <cell r="H5769" t="str">
            <v/>
          </cell>
          <cell r="I5769" t="str">
            <v>met</v>
          </cell>
          <cell r="V5769" t="str">
            <v>0</v>
          </cell>
          <cell r="Y5769">
            <v>0</v>
          </cell>
          <cell r="Z5769">
            <v>1.77</v>
          </cell>
          <cell r="AA5769" t="str">
            <v>L</v>
          </cell>
          <cell r="AB5769">
            <v>0</v>
          </cell>
        </row>
        <row r="5770">
          <cell r="G5770" t="str">
            <v>X2155_0</v>
          </cell>
          <cell r="H5770" t="str">
            <v/>
          </cell>
          <cell r="I5770" t="str">
            <v>met</v>
          </cell>
          <cell r="V5770" t="str">
            <v>0</v>
          </cell>
          <cell r="Y5770" t="str">
            <v>Past</v>
          </cell>
          <cell r="Z5770">
            <v>4.5</v>
          </cell>
          <cell r="AA5770">
            <v>0</v>
          </cell>
          <cell r="AB5770">
            <v>0</v>
          </cell>
        </row>
        <row r="5771">
          <cell r="G5771" t="str">
            <v>X2155_1</v>
          </cell>
          <cell r="H5771" t="str">
            <v/>
          </cell>
          <cell r="I5771" t="str">
            <v>met</v>
          </cell>
          <cell r="V5771" t="str">
            <v>0</v>
          </cell>
          <cell r="Y5771" t="str">
            <v>Past</v>
          </cell>
          <cell r="Z5771">
            <v>4.5</v>
          </cell>
          <cell r="AA5771">
            <v>0</v>
          </cell>
          <cell r="AB5771">
            <v>0</v>
          </cell>
        </row>
        <row r="5772">
          <cell r="G5772" t="str">
            <v>X2156_0</v>
          </cell>
          <cell r="H5772" t="str">
            <v>the-of</v>
          </cell>
          <cell r="I5772" t="str">
            <v>sim</v>
          </cell>
          <cell r="V5772" t="str">
            <v>not</v>
          </cell>
          <cell r="Y5772" t="str">
            <v>Past</v>
          </cell>
          <cell r="Z5772">
            <v>4.9000000000000004</v>
          </cell>
          <cell r="AA5772">
            <v>0</v>
          </cell>
          <cell r="AB5772">
            <v>0</v>
          </cell>
        </row>
        <row r="5773">
          <cell r="G5773" t="str">
            <v>X2156_1</v>
          </cell>
          <cell r="H5773" t="str">
            <v>the-of</v>
          </cell>
          <cell r="I5773" t="str">
            <v>sim</v>
          </cell>
          <cell r="V5773" t="str">
            <v>not</v>
          </cell>
          <cell r="Y5773" t="str">
            <v>Past</v>
          </cell>
          <cell r="Z5773">
            <v>4.9000000000000004</v>
          </cell>
          <cell r="AA5773">
            <v>0</v>
          </cell>
          <cell r="AB5773">
            <v>0</v>
          </cell>
        </row>
        <row r="5774">
          <cell r="G5774" t="str">
            <v>X2157_0</v>
          </cell>
          <cell r="H5774" t="str">
            <v>like</v>
          </cell>
          <cell r="I5774" t="str">
            <v>sim</v>
          </cell>
          <cell r="V5774" t="str">
            <v>not neg pair</v>
          </cell>
          <cell r="Y5774" t="str">
            <v>Past</v>
          </cell>
          <cell r="Z5774">
            <v>4.93</v>
          </cell>
          <cell r="AA5774" t="str">
            <v>H</v>
          </cell>
          <cell r="AB5774">
            <v>0</v>
          </cell>
        </row>
        <row r="5775">
          <cell r="G5775" t="str">
            <v>X2157_1</v>
          </cell>
          <cell r="H5775" t="str">
            <v>like</v>
          </cell>
          <cell r="I5775" t="str">
            <v>sim</v>
          </cell>
          <cell r="V5775" t="str">
            <v>not neg pair</v>
          </cell>
          <cell r="Y5775" t="str">
            <v>Past</v>
          </cell>
          <cell r="Z5775">
            <v>4.93</v>
          </cell>
          <cell r="AA5775" t="str">
            <v>H</v>
          </cell>
          <cell r="AB5775">
            <v>0</v>
          </cell>
        </row>
        <row r="5776">
          <cell r="G5776" t="str">
            <v>X2158_0</v>
          </cell>
          <cell r="H5776" t="str">
            <v>as-as</v>
          </cell>
          <cell r="I5776" t="str">
            <v>sim</v>
          </cell>
          <cell r="V5776" t="str">
            <v>not</v>
          </cell>
          <cell r="Y5776" t="str">
            <v>Past</v>
          </cell>
          <cell r="Z5776">
            <v>3.75</v>
          </cell>
          <cell r="AA5776">
            <v>0</v>
          </cell>
          <cell r="AB5776">
            <v>0</v>
          </cell>
        </row>
        <row r="5777">
          <cell r="G5777" t="str">
            <v>X2158_1</v>
          </cell>
          <cell r="H5777" t="str">
            <v>as-as</v>
          </cell>
          <cell r="I5777" t="str">
            <v>sim</v>
          </cell>
          <cell r="V5777" t="str">
            <v>not</v>
          </cell>
          <cell r="Y5777" t="str">
            <v>Past</v>
          </cell>
          <cell r="Z5777">
            <v>3.75</v>
          </cell>
          <cell r="AA5777">
            <v>0</v>
          </cell>
          <cell r="AB5777">
            <v>0</v>
          </cell>
        </row>
        <row r="5778">
          <cell r="G5778" t="str">
            <v>X2159_0</v>
          </cell>
          <cell r="H5778" t="str">
            <v/>
          </cell>
          <cell r="I5778" t="str">
            <v>met</v>
          </cell>
          <cell r="V5778" t="str">
            <v>0</v>
          </cell>
          <cell r="Y5778" t="str">
            <v>Past</v>
          </cell>
          <cell r="Z5778">
            <v>3.54</v>
          </cell>
          <cell r="AA5778">
            <v>0</v>
          </cell>
          <cell r="AB5778">
            <v>0</v>
          </cell>
        </row>
        <row r="5779">
          <cell r="G5779" t="str">
            <v>X2159_1</v>
          </cell>
          <cell r="H5779" t="str">
            <v/>
          </cell>
          <cell r="I5779" t="str">
            <v>met</v>
          </cell>
          <cell r="V5779" t="str">
            <v>0</v>
          </cell>
          <cell r="Y5779" t="str">
            <v>Past</v>
          </cell>
          <cell r="Z5779">
            <v>3.54</v>
          </cell>
          <cell r="AA5779">
            <v>0</v>
          </cell>
          <cell r="AB5779">
            <v>0</v>
          </cell>
        </row>
        <row r="5780">
          <cell r="G5780" t="str">
            <v>X2160_0</v>
          </cell>
          <cell r="H5780" t="str">
            <v/>
          </cell>
          <cell r="I5780" t="str">
            <v>met</v>
          </cell>
          <cell r="V5780" t="str">
            <v>0</v>
          </cell>
          <cell r="Y5780" t="str">
            <v>Past</v>
          </cell>
          <cell r="Z5780">
            <v>4.0999999999999996</v>
          </cell>
          <cell r="AA5780">
            <v>0</v>
          </cell>
          <cell r="AB5780">
            <v>0</v>
          </cell>
        </row>
        <row r="5781">
          <cell r="G5781" t="str">
            <v>X2160_1</v>
          </cell>
          <cell r="H5781" t="str">
            <v>the-of</v>
          </cell>
          <cell r="I5781" t="str">
            <v>sim</v>
          </cell>
          <cell r="V5781" t="str">
            <v>0</v>
          </cell>
          <cell r="Y5781" t="str">
            <v>Past</v>
          </cell>
          <cell r="Z5781">
            <v>4.0999999999999996</v>
          </cell>
          <cell r="AA5781">
            <v>0</v>
          </cell>
          <cell r="AB5781">
            <v>0</v>
          </cell>
        </row>
        <row r="5782">
          <cell r="G5782" t="str">
            <v>X2161_0</v>
          </cell>
          <cell r="H5782" t="str">
            <v/>
          </cell>
          <cell r="I5782" t="str">
            <v>met</v>
          </cell>
          <cell r="V5782" t="str">
            <v>0</v>
          </cell>
          <cell r="Y5782" t="str">
            <v>Past</v>
          </cell>
          <cell r="Z5782">
            <v>2.46</v>
          </cell>
          <cell r="AA5782" t="str">
            <v>L</v>
          </cell>
          <cell r="AB5782">
            <v>0</v>
          </cell>
        </row>
        <row r="5783">
          <cell r="G5783" t="str">
            <v>X2161_1</v>
          </cell>
          <cell r="H5783" t="str">
            <v/>
          </cell>
          <cell r="I5783" t="str">
            <v>met</v>
          </cell>
          <cell r="V5783" t="str">
            <v>0</v>
          </cell>
          <cell r="Y5783" t="str">
            <v>Past</v>
          </cell>
          <cell r="Z5783">
            <v>2.46</v>
          </cell>
          <cell r="AA5783" t="str">
            <v>L</v>
          </cell>
          <cell r="AB5783">
            <v>0</v>
          </cell>
        </row>
        <row r="5784">
          <cell r="G5784" t="str">
            <v>X2162_0</v>
          </cell>
          <cell r="H5784" t="str">
            <v>like</v>
          </cell>
          <cell r="I5784" t="str">
            <v>sim</v>
          </cell>
          <cell r="V5784" t="str">
            <v>not</v>
          </cell>
          <cell r="Y5784" t="str">
            <v>Past</v>
          </cell>
          <cell r="Z5784">
            <v>3.93</v>
          </cell>
          <cell r="AA5784">
            <v>0</v>
          </cell>
          <cell r="AB5784">
            <v>0</v>
          </cell>
        </row>
        <row r="5785">
          <cell r="G5785" t="str">
            <v>X2162_1</v>
          </cell>
          <cell r="H5785" t="str">
            <v>like</v>
          </cell>
          <cell r="I5785" t="str">
            <v>sim</v>
          </cell>
          <cell r="V5785" t="str">
            <v>not</v>
          </cell>
          <cell r="Y5785" t="str">
            <v>Past</v>
          </cell>
          <cell r="Z5785">
            <v>3.93</v>
          </cell>
          <cell r="AA5785">
            <v>0</v>
          </cell>
          <cell r="AB5785">
            <v>0</v>
          </cell>
        </row>
        <row r="5786">
          <cell r="G5786" t="str">
            <v>X2163_0</v>
          </cell>
          <cell r="H5786" t="str">
            <v>like</v>
          </cell>
          <cell r="I5786" t="str">
            <v>sim</v>
          </cell>
          <cell r="V5786" t="str">
            <v>not</v>
          </cell>
          <cell r="Y5786" t="str">
            <v>Pres</v>
          </cell>
          <cell r="Z5786">
            <v>3.93</v>
          </cell>
          <cell r="AA5786">
            <v>0</v>
          </cell>
          <cell r="AB5786">
            <v>0</v>
          </cell>
        </row>
        <row r="5787">
          <cell r="G5787" t="str">
            <v>X2163_1</v>
          </cell>
          <cell r="H5787" t="str">
            <v>like</v>
          </cell>
          <cell r="I5787" t="str">
            <v>sim</v>
          </cell>
          <cell r="V5787" t="str">
            <v>not</v>
          </cell>
          <cell r="Y5787" t="str">
            <v>Pres</v>
          </cell>
          <cell r="Z5787">
            <v>3.93</v>
          </cell>
          <cell r="AA5787">
            <v>0</v>
          </cell>
          <cell r="AB5787">
            <v>0</v>
          </cell>
        </row>
        <row r="5788">
          <cell r="G5788" t="str">
            <v>X2164_0</v>
          </cell>
          <cell r="H5788" t="str">
            <v>like</v>
          </cell>
          <cell r="I5788" t="str">
            <v>sim</v>
          </cell>
          <cell r="V5788" t="str">
            <v>not neg pair</v>
          </cell>
          <cell r="Y5788" t="str">
            <v>Past</v>
          </cell>
          <cell r="Z5788">
            <v>3.93</v>
          </cell>
          <cell r="AA5788">
            <v>0</v>
          </cell>
          <cell r="AB5788">
            <v>0</v>
          </cell>
        </row>
        <row r="5789">
          <cell r="G5789" t="str">
            <v>X2164_1</v>
          </cell>
          <cell r="H5789" t="str">
            <v>like</v>
          </cell>
          <cell r="I5789" t="str">
            <v>sim</v>
          </cell>
          <cell r="V5789" t="str">
            <v>not neg pair</v>
          </cell>
          <cell r="Y5789" t="str">
            <v>Past</v>
          </cell>
          <cell r="Z5789">
            <v>3.93</v>
          </cell>
          <cell r="AA5789">
            <v>0</v>
          </cell>
          <cell r="AB5789">
            <v>0</v>
          </cell>
        </row>
        <row r="5790">
          <cell r="G5790" t="str">
            <v>X2165_0</v>
          </cell>
          <cell r="H5790" t="str">
            <v>as-as</v>
          </cell>
          <cell r="I5790" t="str">
            <v>sim</v>
          </cell>
          <cell r="V5790" t="str">
            <v>not neg pair</v>
          </cell>
          <cell r="Y5790" t="str">
            <v>Pres</v>
          </cell>
          <cell r="Z5790">
            <v>4.93</v>
          </cell>
          <cell r="AA5790" t="str">
            <v>H</v>
          </cell>
          <cell r="AB5790">
            <v>0</v>
          </cell>
        </row>
        <row r="5791">
          <cell r="G5791" t="str">
            <v>X2165_1</v>
          </cell>
          <cell r="H5791" t="str">
            <v>as-as</v>
          </cell>
          <cell r="I5791" t="str">
            <v>sim</v>
          </cell>
          <cell r="V5791" t="str">
            <v>not neg pair</v>
          </cell>
          <cell r="Y5791" t="str">
            <v>Pres</v>
          </cell>
          <cell r="Z5791">
            <v>4.93</v>
          </cell>
          <cell r="AA5791" t="str">
            <v>H</v>
          </cell>
          <cell r="AB5791">
            <v>0</v>
          </cell>
        </row>
        <row r="5792">
          <cell r="G5792" t="str">
            <v>X2166_0</v>
          </cell>
          <cell r="H5792" t="str">
            <v>as-as</v>
          </cell>
          <cell r="I5792" t="str">
            <v>sim</v>
          </cell>
          <cell r="V5792" t="str">
            <v>not</v>
          </cell>
          <cell r="Y5792" t="str">
            <v>Past</v>
          </cell>
          <cell r="Z5792">
            <v>4.76</v>
          </cell>
          <cell r="AA5792">
            <v>0</v>
          </cell>
          <cell r="AB5792">
            <v>0</v>
          </cell>
        </row>
        <row r="5793">
          <cell r="G5793" t="str">
            <v>X2166_1</v>
          </cell>
          <cell r="H5793" t="str">
            <v>as-as</v>
          </cell>
          <cell r="I5793" t="str">
            <v>sim</v>
          </cell>
          <cell r="V5793" t="str">
            <v>not</v>
          </cell>
          <cell r="Y5793" t="str">
            <v>Past</v>
          </cell>
          <cell r="Z5793">
            <v>4.76</v>
          </cell>
          <cell r="AA5793">
            <v>0</v>
          </cell>
          <cell r="AB5793">
            <v>0</v>
          </cell>
        </row>
        <row r="5794">
          <cell r="G5794" t="str">
            <v>X2167_0</v>
          </cell>
          <cell r="H5794" t="str">
            <v>the-of</v>
          </cell>
          <cell r="I5794" t="str">
            <v>sim</v>
          </cell>
          <cell r="V5794" t="str">
            <v>not neg pair</v>
          </cell>
          <cell r="Y5794" t="str">
            <v>Past</v>
          </cell>
          <cell r="Z5794">
            <v>2.69</v>
          </cell>
          <cell r="AA5794" t="str">
            <v>L</v>
          </cell>
          <cell r="AB5794">
            <v>0</v>
          </cell>
        </row>
        <row r="5795">
          <cell r="G5795" t="str">
            <v>X2167_1</v>
          </cell>
          <cell r="H5795" t="str">
            <v>the-of</v>
          </cell>
          <cell r="I5795" t="str">
            <v>sim</v>
          </cell>
          <cell r="V5795" t="str">
            <v>not neg pair</v>
          </cell>
          <cell r="Y5795" t="str">
            <v>Past</v>
          </cell>
          <cell r="Z5795">
            <v>2.69</v>
          </cell>
          <cell r="AA5795" t="str">
            <v>L</v>
          </cell>
          <cell r="AB5795">
            <v>0</v>
          </cell>
        </row>
        <row r="5796">
          <cell r="G5796" t="str">
            <v>X2168_0</v>
          </cell>
          <cell r="H5796" t="str">
            <v>as-as</v>
          </cell>
          <cell r="I5796" t="str">
            <v>sim</v>
          </cell>
          <cell r="V5796" t="str">
            <v>antonym</v>
          </cell>
          <cell r="Y5796" t="str">
            <v>Past</v>
          </cell>
          <cell r="Z5796">
            <v>4.33</v>
          </cell>
          <cell r="AA5796">
            <v>0</v>
          </cell>
          <cell r="AB5796">
            <v>0</v>
          </cell>
        </row>
        <row r="5797">
          <cell r="G5797" t="str">
            <v>X2168_1</v>
          </cell>
          <cell r="H5797" t="str">
            <v>as-as</v>
          </cell>
          <cell r="I5797" t="str">
            <v>sim</v>
          </cell>
          <cell r="V5797" t="str">
            <v>antonym</v>
          </cell>
          <cell r="Y5797" t="str">
            <v>Past</v>
          </cell>
          <cell r="Z5797">
            <v>4.33</v>
          </cell>
          <cell r="AA5797">
            <v>0</v>
          </cell>
          <cell r="AB5797">
            <v>0</v>
          </cell>
        </row>
        <row r="5798">
          <cell r="G5798" t="str">
            <v>X2169_0</v>
          </cell>
          <cell r="H5798" t="str">
            <v>the-of</v>
          </cell>
          <cell r="I5798" t="str">
            <v>sim</v>
          </cell>
          <cell r="V5798" t="str">
            <v>not</v>
          </cell>
          <cell r="Y5798" t="str">
            <v>Pres</v>
          </cell>
          <cell r="Z5798">
            <v>4.0999999999999996</v>
          </cell>
          <cell r="AA5798">
            <v>0</v>
          </cell>
          <cell r="AB5798">
            <v>0</v>
          </cell>
        </row>
        <row r="5799">
          <cell r="G5799" t="str">
            <v>X2169_1</v>
          </cell>
          <cell r="H5799" t="str">
            <v>the-of</v>
          </cell>
          <cell r="I5799" t="str">
            <v>sim</v>
          </cell>
          <cell r="V5799" t="str">
            <v>not</v>
          </cell>
          <cell r="Y5799" t="str">
            <v>Pres</v>
          </cell>
          <cell r="Z5799">
            <v>4.0999999999999996</v>
          </cell>
          <cell r="AA5799">
            <v>0</v>
          </cell>
          <cell r="AB5799">
            <v>0</v>
          </cell>
        </row>
        <row r="5800">
          <cell r="G5800" t="str">
            <v>X2170_0</v>
          </cell>
          <cell r="H5800" t="str">
            <v>as-as</v>
          </cell>
          <cell r="I5800" t="str">
            <v>sim</v>
          </cell>
          <cell r="V5800" t="str">
            <v>antonym</v>
          </cell>
          <cell r="Y5800" t="str">
            <v>Past</v>
          </cell>
          <cell r="Z5800">
            <v>3.75</v>
          </cell>
          <cell r="AA5800">
            <v>0</v>
          </cell>
          <cell r="AB5800">
            <v>0</v>
          </cell>
        </row>
        <row r="5801">
          <cell r="G5801" t="str">
            <v>X2170_1</v>
          </cell>
          <cell r="H5801" t="str">
            <v>as-as</v>
          </cell>
          <cell r="I5801" t="str">
            <v>sim</v>
          </cell>
          <cell r="V5801" t="str">
            <v>antonym</v>
          </cell>
          <cell r="Y5801" t="str">
            <v>Past</v>
          </cell>
          <cell r="Z5801">
            <v>3.75</v>
          </cell>
          <cell r="AA5801">
            <v>0</v>
          </cell>
          <cell r="AB5801">
            <v>0</v>
          </cell>
        </row>
        <row r="5802">
          <cell r="G5802" t="str">
            <v>X2171_0</v>
          </cell>
          <cell r="H5802" t="str">
            <v>the-of</v>
          </cell>
          <cell r="I5802" t="str">
            <v>sim</v>
          </cell>
          <cell r="V5802" t="str">
            <v>not neg pair</v>
          </cell>
          <cell r="Y5802" t="str">
            <v>Pres</v>
          </cell>
          <cell r="Z5802">
            <v>3.54</v>
          </cell>
          <cell r="AA5802">
            <v>0</v>
          </cell>
          <cell r="AB5802">
            <v>0</v>
          </cell>
        </row>
        <row r="5803">
          <cell r="G5803" t="str">
            <v>X2171_1</v>
          </cell>
          <cell r="H5803" t="str">
            <v>the-of</v>
          </cell>
          <cell r="I5803" t="str">
            <v>sim</v>
          </cell>
          <cell r="V5803" t="str">
            <v>not neg pair</v>
          </cell>
          <cell r="Y5803" t="str">
            <v>Pres</v>
          </cell>
          <cell r="Z5803">
            <v>3.54</v>
          </cell>
          <cell r="AA5803">
            <v>0</v>
          </cell>
          <cell r="AB5803">
            <v>0</v>
          </cell>
        </row>
        <row r="5804">
          <cell r="G5804" t="str">
            <v>X2172_0</v>
          </cell>
          <cell r="H5804" t="str">
            <v>the-of</v>
          </cell>
          <cell r="I5804" t="str">
            <v>sim</v>
          </cell>
          <cell r="V5804" t="str">
            <v>not</v>
          </cell>
          <cell r="Y5804" t="str">
            <v>Past</v>
          </cell>
          <cell r="Z5804">
            <v>4.0999999999999996</v>
          </cell>
          <cell r="AA5804">
            <v>0</v>
          </cell>
          <cell r="AB5804">
            <v>0</v>
          </cell>
        </row>
        <row r="5805">
          <cell r="G5805" t="str">
            <v>X2172_1</v>
          </cell>
          <cell r="H5805" t="str">
            <v>the-of</v>
          </cell>
          <cell r="I5805" t="str">
            <v>sim</v>
          </cell>
          <cell r="V5805" t="str">
            <v>not</v>
          </cell>
          <cell r="Y5805" t="str">
            <v>Past</v>
          </cell>
          <cell r="Z5805">
            <v>4.0999999999999996</v>
          </cell>
          <cell r="AA5805">
            <v>0</v>
          </cell>
          <cell r="AB5805">
            <v>0</v>
          </cell>
        </row>
        <row r="5806">
          <cell r="G5806" t="str">
            <v>X2173_0</v>
          </cell>
          <cell r="H5806" t="str">
            <v>as-as</v>
          </cell>
          <cell r="I5806" t="str">
            <v>sim</v>
          </cell>
          <cell r="V5806" t="str">
            <v>not</v>
          </cell>
          <cell r="Y5806" t="str">
            <v>Past</v>
          </cell>
          <cell r="Z5806">
            <v>3.36</v>
          </cell>
          <cell r="AA5806">
            <v>0</v>
          </cell>
          <cell r="AB5806">
            <v>0</v>
          </cell>
        </row>
        <row r="5807">
          <cell r="G5807" t="str">
            <v>X2173_1</v>
          </cell>
          <cell r="H5807" t="str">
            <v>as-as</v>
          </cell>
          <cell r="I5807" t="str">
            <v>sim</v>
          </cell>
          <cell r="V5807" t="str">
            <v>not</v>
          </cell>
          <cell r="Y5807" t="str">
            <v>Past</v>
          </cell>
          <cell r="Z5807">
            <v>3.36</v>
          </cell>
          <cell r="AA5807">
            <v>0</v>
          </cell>
          <cell r="AB5807">
            <v>0</v>
          </cell>
        </row>
        <row r="5808">
          <cell r="G5808" t="str">
            <v>X2174_0</v>
          </cell>
          <cell r="H5808" t="str">
            <v>the-of</v>
          </cell>
          <cell r="I5808" t="str">
            <v>sim</v>
          </cell>
          <cell r="V5808" t="str">
            <v>not</v>
          </cell>
          <cell r="Y5808" t="str">
            <v>Past</v>
          </cell>
          <cell r="Z5808">
            <v>3.93</v>
          </cell>
          <cell r="AA5808">
            <v>0</v>
          </cell>
          <cell r="AB5808">
            <v>0</v>
          </cell>
        </row>
        <row r="5809">
          <cell r="G5809" t="str">
            <v>X2174_1</v>
          </cell>
          <cell r="H5809" t="str">
            <v>the-of</v>
          </cell>
          <cell r="I5809" t="str">
            <v>sim</v>
          </cell>
          <cell r="V5809" t="str">
            <v>not</v>
          </cell>
          <cell r="Y5809" t="str">
            <v>Past</v>
          </cell>
          <cell r="Z5809">
            <v>3.93</v>
          </cell>
          <cell r="AA5809">
            <v>0</v>
          </cell>
          <cell r="AB5809">
            <v>0</v>
          </cell>
        </row>
        <row r="5810">
          <cell r="G5810" t="str">
            <v>X2175_0</v>
          </cell>
          <cell r="H5810" t="str">
            <v>as-as</v>
          </cell>
          <cell r="I5810" t="str">
            <v>sim</v>
          </cell>
          <cell r="V5810" t="str">
            <v>not</v>
          </cell>
          <cell r="Y5810" t="str">
            <v>Pres</v>
          </cell>
          <cell r="Z5810">
            <v>3.93</v>
          </cell>
          <cell r="AA5810">
            <v>0</v>
          </cell>
          <cell r="AB5810">
            <v>0</v>
          </cell>
        </row>
        <row r="5811">
          <cell r="G5811" t="str">
            <v>X2175_1</v>
          </cell>
          <cell r="H5811" t="str">
            <v>as-as</v>
          </cell>
          <cell r="I5811" t="str">
            <v>sim</v>
          </cell>
          <cell r="V5811" t="str">
            <v>not</v>
          </cell>
          <cell r="Y5811" t="str">
            <v>Pres</v>
          </cell>
          <cell r="Z5811">
            <v>3.93</v>
          </cell>
          <cell r="AA5811">
            <v>0</v>
          </cell>
          <cell r="AB5811">
            <v>0</v>
          </cell>
        </row>
        <row r="5812">
          <cell r="G5812" t="str">
            <v>X2176_0</v>
          </cell>
          <cell r="H5812" t="str">
            <v>like</v>
          </cell>
          <cell r="I5812" t="str">
            <v>sim</v>
          </cell>
          <cell r="V5812" t="str">
            <v>not</v>
          </cell>
          <cell r="Y5812" t="str">
            <v>Pres</v>
          </cell>
          <cell r="Z5812">
            <v>2.93</v>
          </cell>
          <cell r="AA5812">
            <v>0</v>
          </cell>
          <cell r="AB5812">
            <v>0</v>
          </cell>
        </row>
        <row r="5813">
          <cell r="G5813" t="str">
            <v>X2176_1</v>
          </cell>
          <cell r="H5813" t="str">
            <v>like</v>
          </cell>
          <cell r="I5813" t="str">
            <v>sim</v>
          </cell>
          <cell r="V5813" t="str">
            <v>not</v>
          </cell>
          <cell r="Y5813" t="str">
            <v>Pres</v>
          </cell>
          <cell r="Z5813">
            <v>2.93</v>
          </cell>
          <cell r="AA5813">
            <v>0</v>
          </cell>
          <cell r="AB5813">
            <v>0</v>
          </cell>
        </row>
        <row r="5814">
          <cell r="G5814" t="str">
            <v>X2177_0</v>
          </cell>
          <cell r="H5814" t="str">
            <v>as-as</v>
          </cell>
          <cell r="I5814" t="str">
            <v>sim</v>
          </cell>
          <cell r="V5814" t="str">
            <v>not</v>
          </cell>
          <cell r="Y5814" t="str">
            <v>Pres</v>
          </cell>
          <cell r="Z5814">
            <v>2.57</v>
          </cell>
          <cell r="AA5814" t="str">
            <v>L</v>
          </cell>
          <cell r="AB5814">
            <v>0</v>
          </cell>
        </row>
        <row r="5815">
          <cell r="G5815" t="str">
            <v>X2177_1</v>
          </cell>
          <cell r="H5815" t="str">
            <v>as-as</v>
          </cell>
          <cell r="I5815" t="str">
            <v>sim</v>
          </cell>
          <cell r="V5815" t="str">
            <v>not</v>
          </cell>
          <cell r="Y5815" t="str">
            <v>Pres</v>
          </cell>
          <cell r="Z5815">
            <v>2.57</v>
          </cell>
          <cell r="AA5815" t="str">
            <v>L</v>
          </cell>
          <cell r="AB5815">
            <v>0</v>
          </cell>
        </row>
        <row r="5816">
          <cell r="G5816" t="str">
            <v>X2178_0</v>
          </cell>
          <cell r="H5816" t="str">
            <v>the-of</v>
          </cell>
          <cell r="I5816" t="str">
            <v>sim</v>
          </cell>
          <cell r="V5816" t="str">
            <v>not neg pair</v>
          </cell>
          <cell r="Y5816" t="str">
            <v>Pres</v>
          </cell>
          <cell r="Z5816">
            <v>4.33</v>
          </cell>
          <cell r="AA5816">
            <v>0</v>
          </cell>
          <cell r="AB5816">
            <v>0</v>
          </cell>
        </row>
        <row r="5817">
          <cell r="G5817" t="str">
            <v>X2178_1</v>
          </cell>
          <cell r="H5817" t="str">
            <v>the-of</v>
          </cell>
          <cell r="I5817" t="str">
            <v>sim</v>
          </cell>
          <cell r="V5817" t="str">
            <v>not neg pair</v>
          </cell>
          <cell r="Y5817" t="str">
            <v>Pres</v>
          </cell>
          <cell r="Z5817">
            <v>4.33</v>
          </cell>
          <cell r="AA5817">
            <v>0</v>
          </cell>
          <cell r="AB5817">
            <v>0</v>
          </cell>
        </row>
        <row r="5818">
          <cell r="G5818" t="str">
            <v>X2179_0</v>
          </cell>
          <cell r="H5818" t="str">
            <v>the-of</v>
          </cell>
          <cell r="I5818" t="str">
            <v>sim</v>
          </cell>
          <cell r="V5818" t="str">
            <v>not neg pair</v>
          </cell>
          <cell r="Y5818" t="str">
            <v>Past</v>
          </cell>
          <cell r="Z5818">
            <v>4.42</v>
          </cell>
          <cell r="AA5818">
            <v>0</v>
          </cell>
          <cell r="AB5818">
            <v>0</v>
          </cell>
        </row>
        <row r="5819">
          <cell r="G5819" t="str">
            <v>X2179_1</v>
          </cell>
          <cell r="H5819" t="str">
            <v>the-of</v>
          </cell>
          <cell r="I5819" t="str">
            <v>sim</v>
          </cell>
          <cell r="V5819" t="str">
            <v>not neg pair</v>
          </cell>
          <cell r="Y5819" t="str">
            <v>Past</v>
          </cell>
          <cell r="Z5819">
            <v>4.42</v>
          </cell>
          <cell r="AA5819">
            <v>0</v>
          </cell>
          <cell r="AB5819">
            <v>0</v>
          </cell>
        </row>
        <row r="5820">
          <cell r="G5820" t="str">
            <v>X2180_0</v>
          </cell>
          <cell r="H5820" t="str">
            <v>like</v>
          </cell>
          <cell r="I5820" t="str">
            <v>sim</v>
          </cell>
          <cell r="V5820" t="str">
            <v>not neg pair</v>
          </cell>
          <cell r="Y5820" t="str">
            <v>Past</v>
          </cell>
          <cell r="Z5820">
            <v>3.79</v>
          </cell>
          <cell r="AA5820">
            <v>0</v>
          </cell>
          <cell r="AB5820">
            <v>0</v>
          </cell>
        </row>
        <row r="5821">
          <cell r="G5821" t="str">
            <v>X2180_1</v>
          </cell>
          <cell r="H5821" t="str">
            <v>like</v>
          </cell>
          <cell r="I5821" t="str">
            <v>sim</v>
          </cell>
          <cell r="V5821" t="str">
            <v>not neg pair</v>
          </cell>
          <cell r="Y5821" t="str">
            <v>Past</v>
          </cell>
          <cell r="Z5821">
            <v>3.79</v>
          </cell>
          <cell r="AA5821">
            <v>0</v>
          </cell>
          <cell r="AB5821">
            <v>0</v>
          </cell>
        </row>
        <row r="5822">
          <cell r="G5822" t="str">
            <v>X2181_0</v>
          </cell>
          <cell r="H5822" t="str">
            <v>the-of</v>
          </cell>
          <cell r="I5822" t="str">
            <v>sim</v>
          </cell>
          <cell r="V5822" t="str">
            <v>not neg pair</v>
          </cell>
          <cell r="Y5822" t="str">
            <v>Pres</v>
          </cell>
          <cell r="Z5822">
            <v>2.81</v>
          </cell>
          <cell r="AA5822">
            <v>0</v>
          </cell>
          <cell r="AB5822">
            <v>0</v>
          </cell>
        </row>
        <row r="5823">
          <cell r="G5823" t="str">
            <v>X2181_1</v>
          </cell>
          <cell r="H5823" t="str">
            <v>the-of</v>
          </cell>
          <cell r="I5823" t="str">
            <v>sim</v>
          </cell>
          <cell r="V5823" t="str">
            <v>not neg pair</v>
          </cell>
          <cell r="Y5823" t="str">
            <v>Pres</v>
          </cell>
          <cell r="Z5823">
            <v>2.81</v>
          </cell>
          <cell r="AA5823">
            <v>0</v>
          </cell>
          <cell r="AB5823">
            <v>0</v>
          </cell>
        </row>
        <row r="5824">
          <cell r="G5824" t="str">
            <v>X2182_0</v>
          </cell>
          <cell r="H5824" t="str">
            <v>the-of</v>
          </cell>
          <cell r="I5824" t="str">
            <v>sim</v>
          </cell>
          <cell r="V5824" t="str">
            <v>not neg pair</v>
          </cell>
          <cell r="Y5824" t="str">
            <v>Past</v>
          </cell>
          <cell r="Z5824">
            <v>2.86</v>
          </cell>
          <cell r="AA5824">
            <v>0</v>
          </cell>
          <cell r="AB5824">
            <v>0</v>
          </cell>
        </row>
        <row r="5825">
          <cell r="G5825" t="str">
            <v>X2182_1</v>
          </cell>
          <cell r="H5825" t="str">
            <v>the-of</v>
          </cell>
          <cell r="I5825" t="str">
            <v>sim</v>
          </cell>
          <cell r="V5825" t="str">
            <v>not neg pair</v>
          </cell>
          <cell r="Y5825" t="str">
            <v>Past</v>
          </cell>
          <cell r="Z5825">
            <v>2.2400000000000002</v>
          </cell>
          <cell r="AA5825" t="str">
            <v>L</v>
          </cell>
          <cell r="AB5825">
            <v>0</v>
          </cell>
        </row>
        <row r="5826">
          <cell r="G5826" t="str">
            <v>X2183_0</v>
          </cell>
          <cell r="H5826" t="str">
            <v>the-of</v>
          </cell>
          <cell r="I5826" t="str">
            <v>sim</v>
          </cell>
          <cell r="V5826" t="str">
            <v>not neg pair</v>
          </cell>
          <cell r="Y5826" t="str">
            <v>Past</v>
          </cell>
          <cell r="Z5826">
            <v>4.26</v>
          </cell>
          <cell r="AA5826">
            <v>0</v>
          </cell>
          <cell r="AB5826">
            <v>0</v>
          </cell>
        </row>
        <row r="5827">
          <cell r="G5827" t="str">
            <v>X2183_1</v>
          </cell>
          <cell r="H5827" t="str">
            <v>the-of</v>
          </cell>
          <cell r="I5827" t="str">
            <v>sim</v>
          </cell>
          <cell r="V5827" t="str">
            <v>not neg pair</v>
          </cell>
          <cell r="Y5827" t="str">
            <v>Past</v>
          </cell>
          <cell r="Z5827">
            <v>4.26</v>
          </cell>
          <cell r="AA5827">
            <v>0</v>
          </cell>
          <cell r="AB5827">
            <v>0</v>
          </cell>
        </row>
        <row r="5828">
          <cell r="G5828" t="str">
            <v>X2184_0</v>
          </cell>
          <cell r="H5828" t="str">
            <v>as-as</v>
          </cell>
          <cell r="I5828" t="str">
            <v>sim</v>
          </cell>
          <cell r="V5828" t="str">
            <v>not</v>
          </cell>
          <cell r="Y5828" t="str">
            <v>Pres</v>
          </cell>
          <cell r="Z5828">
            <v>3.93</v>
          </cell>
          <cell r="AA5828">
            <v>0</v>
          </cell>
          <cell r="AB5828">
            <v>0</v>
          </cell>
        </row>
        <row r="5829">
          <cell r="G5829" t="str">
            <v>X2184_1</v>
          </cell>
          <cell r="H5829" t="str">
            <v>as-as</v>
          </cell>
          <cell r="I5829" t="str">
            <v>sim</v>
          </cell>
          <cell r="V5829" t="str">
            <v>not</v>
          </cell>
          <cell r="Y5829" t="str">
            <v>Pres</v>
          </cell>
          <cell r="Z5829">
            <v>3.93</v>
          </cell>
          <cell r="AA5829">
            <v>0</v>
          </cell>
          <cell r="AB5829">
            <v>0</v>
          </cell>
        </row>
        <row r="5830">
          <cell r="G5830" t="str">
            <v>X2185_0</v>
          </cell>
          <cell r="H5830" t="str">
            <v>as-as</v>
          </cell>
          <cell r="I5830" t="str">
            <v>sim</v>
          </cell>
          <cell r="V5830" t="str">
            <v>not</v>
          </cell>
          <cell r="Y5830" t="str">
            <v>Pres</v>
          </cell>
          <cell r="Z5830">
            <v>3.93</v>
          </cell>
          <cell r="AA5830">
            <v>0</v>
          </cell>
          <cell r="AB5830">
            <v>0</v>
          </cell>
        </row>
        <row r="5831">
          <cell r="G5831" t="str">
            <v>X2185_1</v>
          </cell>
          <cell r="H5831" t="str">
            <v>as-as</v>
          </cell>
          <cell r="I5831" t="str">
            <v>sim</v>
          </cell>
          <cell r="V5831" t="str">
            <v>not</v>
          </cell>
          <cell r="Y5831" t="str">
            <v>Pres</v>
          </cell>
          <cell r="Z5831">
            <v>3.93</v>
          </cell>
          <cell r="AA5831">
            <v>0</v>
          </cell>
          <cell r="AB5831">
            <v>0</v>
          </cell>
        </row>
        <row r="5832">
          <cell r="G5832" t="str">
            <v>X2186_0</v>
          </cell>
          <cell r="H5832" t="str">
            <v>like</v>
          </cell>
          <cell r="I5832" t="str">
            <v>sim</v>
          </cell>
          <cell r="V5832" t="str">
            <v>not</v>
          </cell>
          <cell r="Y5832" t="str">
            <v>Pres</v>
          </cell>
          <cell r="Z5832">
            <v>3.93</v>
          </cell>
          <cell r="AA5832">
            <v>0</v>
          </cell>
          <cell r="AB5832">
            <v>0</v>
          </cell>
        </row>
        <row r="5833">
          <cell r="G5833" t="str">
            <v>X2186_1</v>
          </cell>
          <cell r="H5833" t="str">
            <v>like</v>
          </cell>
          <cell r="I5833" t="str">
            <v>sim</v>
          </cell>
          <cell r="V5833" t="str">
            <v>not</v>
          </cell>
          <cell r="Y5833" t="str">
            <v>Pres</v>
          </cell>
          <cell r="Z5833">
            <v>3.93</v>
          </cell>
          <cell r="AA5833">
            <v>0</v>
          </cell>
          <cell r="AB5833">
            <v>0</v>
          </cell>
        </row>
        <row r="5834">
          <cell r="G5834" t="str">
            <v>X2187_0</v>
          </cell>
          <cell r="H5834" t="str">
            <v>as-as</v>
          </cell>
          <cell r="I5834" t="str">
            <v>sim</v>
          </cell>
          <cell r="V5834" t="str">
            <v>not neg pair</v>
          </cell>
          <cell r="Y5834" t="str">
            <v>Past</v>
          </cell>
          <cell r="Z5834">
            <v>4.96</v>
          </cell>
          <cell r="AA5834" t="str">
            <v>H</v>
          </cell>
          <cell r="AB5834">
            <v>0</v>
          </cell>
        </row>
        <row r="5835">
          <cell r="G5835" t="str">
            <v>X2187_1</v>
          </cell>
          <cell r="H5835" t="str">
            <v>as-as</v>
          </cell>
          <cell r="I5835" t="str">
            <v>sim</v>
          </cell>
          <cell r="V5835" t="str">
            <v>not neg pair</v>
          </cell>
          <cell r="Y5835" t="str">
            <v>Past</v>
          </cell>
          <cell r="Z5835">
            <v>4.96</v>
          </cell>
          <cell r="AA5835" t="str">
            <v>H</v>
          </cell>
          <cell r="AB5835">
            <v>0</v>
          </cell>
        </row>
        <row r="5836">
          <cell r="G5836" t="str">
            <v>X2188_0</v>
          </cell>
          <cell r="H5836" t="str">
            <v>as-as</v>
          </cell>
          <cell r="I5836" t="str">
            <v>sim</v>
          </cell>
          <cell r="V5836" t="str">
            <v>antonym</v>
          </cell>
          <cell r="Y5836" t="str">
            <v>Past</v>
          </cell>
          <cell r="Z5836">
            <v>4.8899999999999997</v>
          </cell>
          <cell r="AA5836">
            <v>0</v>
          </cell>
          <cell r="AB5836">
            <v>0</v>
          </cell>
        </row>
        <row r="5837">
          <cell r="G5837" t="str">
            <v>X2188_1</v>
          </cell>
          <cell r="H5837" t="str">
            <v>as-as</v>
          </cell>
          <cell r="I5837" t="str">
            <v>sim</v>
          </cell>
          <cell r="V5837" t="str">
            <v>antonym</v>
          </cell>
          <cell r="Y5837" t="str">
            <v>Past</v>
          </cell>
          <cell r="Z5837">
            <v>4.8899999999999997</v>
          </cell>
          <cell r="AA5837">
            <v>0</v>
          </cell>
          <cell r="AB5837">
            <v>0</v>
          </cell>
        </row>
        <row r="5838">
          <cell r="G5838" t="str">
            <v>X2189_0</v>
          </cell>
          <cell r="H5838" t="str">
            <v>as-as</v>
          </cell>
          <cell r="I5838" t="str">
            <v>sim</v>
          </cell>
          <cell r="V5838" t="str">
            <v>antonym</v>
          </cell>
          <cell r="Y5838" t="str">
            <v>Past</v>
          </cell>
          <cell r="Z5838">
            <v>4.59</v>
          </cell>
          <cell r="AA5838">
            <v>0</v>
          </cell>
          <cell r="AB5838">
            <v>0</v>
          </cell>
        </row>
        <row r="5839">
          <cell r="G5839" t="str">
            <v>X2189_1</v>
          </cell>
          <cell r="H5839" t="str">
            <v>as-as</v>
          </cell>
          <cell r="I5839" t="str">
            <v>sim</v>
          </cell>
          <cell r="V5839" t="str">
            <v>antonym</v>
          </cell>
          <cell r="Y5839" t="str">
            <v>Past</v>
          </cell>
          <cell r="Z5839">
            <v>4.59</v>
          </cell>
          <cell r="AA5839">
            <v>0</v>
          </cell>
          <cell r="AB5839">
            <v>0</v>
          </cell>
        </row>
        <row r="5840">
          <cell r="G5840" t="str">
            <v>X2190_0</v>
          </cell>
          <cell r="H5840" t="str">
            <v>as-as</v>
          </cell>
          <cell r="I5840" t="str">
            <v>sim</v>
          </cell>
          <cell r="V5840" t="str">
            <v>antonym</v>
          </cell>
          <cell r="Y5840" t="str">
            <v>Pres</v>
          </cell>
          <cell r="Z5840">
            <v>4.8899999999999997</v>
          </cell>
          <cell r="AA5840">
            <v>0</v>
          </cell>
          <cell r="AB5840">
            <v>0</v>
          </cell>
        </row>
        <row r="5841">
          <cell r="G5841" t="str">
            <v>X2190_1</v>
          </cell>
          <cell r="H5841" t="str">
            <v>as-as</v>
          </cell>
          <cell r="I5841" t="str">
            <v>sim</v>
          </cell>
          <cell r="V5841" t="str">
            <v>antonym</v>
          </cell>
          <cell r="Y5841" t="str">
            <v>Pres</v>
          </cell>
          <cell r="Z5841">
            <v>4.8899999999999997</v>
          </cell>
          <cell r="AA5841">
            <v>0</v>
          </cell>
          <cell r="AB5841">
            <v>0</v>
          </cell>
        </row>
        <row r="5842">
          <cell r="G5842" t="str">
            <v>X2191_0</v>
          </cell>
          <cell r="H5842" t="str">
            <v>like</v>
          </cell>
          <cell r="I5842" t="str">
            <v>sim</v>
          </cell>
          <cell r="V5842" t="str">
            <v>not</v>
          </cell>
          <cell r="Y5842" t="str">
            <v>Pres</v>
          </cell>
          <cell r="Z5842">
            <v>4.97</v>
          </cell>
          <cell r="AA5842" t="str">
            <v>H</v>
          </cell>
          <cell r="AB5842">
            <v>0</v>
          </cell>
        </row>
        <row r="5843">
          <cell r="G5843" t="str">
            <v>X2191_1</v>
          </cell>
          <cell r="H5843" t="str">
            <v>like</v>
          </cell>
          <cell r="I5843" t="str">
            <v>sim</v>
          </cell>
          <cell r="V5843" t="str">
            <v>not</v>
          </cell>
          <cell r="Y5843" t="str">
            <v>Pres</v>
          </cell>
          <cell r="Z5843">
            <v>4.97</v>
          </cell>
          <cell r="AA5843" t="str">
            <v>H</v>
          </cell>
          <cell r="AB5843">
            <v>0</v>
          </cell>
        </row>
        <row r="5844">
          <cell r="G5844" t="str">
            <v>X2192_0</v>
          </cell>
          <cell r="H5844" t="str">
            <v>the-of</v>
          </cell>
          <cell r="I5844" t="str">
            <v>sim</v>
          </cell>
          <cell r="V5844" t="str">
            <v>not</v>
          </cell>
          <cell r="Y5844" t="str">
            <v>Pres</v>
          </cell>
          <cell r="Z5844">
            <v>3.93</v>
          </cell>
          <cell r="AA5844">
            <v>0</v>
          </cell>
          <cell r="AB5844">
            <v>0</v>
          </cell>
        </row>
        <row r="5845">
          <cell r="G5845" t="str">
            <v>X2192_1</v>
          </cell>
          <cell r="H5845" t="str">
            <v>the-of</v>
          </cell>
          <cell r="I5845" t="str">
            <v>sim</v>
          </cell>
          <cell r="V5845" t="str">
            <v>not</v>
          </cell>
          <cell r="Y5845" t="str">
            <v>Pres</v>
          </cell>
          <cell r="Z5845">
            <v>3.93</v>
          </cell>
          <cell r="AA5845">
            <v>0</v>
          </cell>
          <cell r="AB5845">
            <v>0</v>
          </cell>
        </row>
        <row r="5846">
          <cell r="G5846" t="str">
            <v>X2193_0</v>
          </cell>
          <cell r="H5846" t="str">
            <v>as-as</v>
          </cell>
          <cell r="I5846" t="str">
            <v>sim</v>
          </cell>
          <cell r="V5846" t="str">
            <v>antonym</v>
          </cell>
          <cell r="Y5846" t="str">
            <v>Past</v>
          </cell>
          <cell r="Z5846">
            <v>4.9000000000000004</v>
          </cell>
          <cell r="AA5846">
            <v>0</v>
          </cell>
          <cell r="AB5846">
            <v>0</v>
          </cell>
        </row>
        <row r="5847">
          <cell r="G5847" t="str">
            <v>X2193_1</v>
          </cell>
          <cell r="H5847" t="str">
            <v>as-as</v>
          </cell>
          <cell r="I5847" t="str">
            <v>sim</v>
          </cell>
          <cell r="V5847" t="str">
            <v>antonym</v>
          </cell>
          <cell r="Y5847" t="str">
            <v>Past</v>
          </cell>
          <cell r="Z5847">
            <v>4.9000000000000004</v>
          </cell>
          <cell r="AA5847">
            <v>0</v>
          </cell>
          <cell r="AB5847">
            <v>0</v>
          </cell>
        </row>
        <row r="5848">
          <cell r="G5848" t="str">
            <v>X2194_0</v>
          </cell>
          <cell r="H5848" t="str">
            <v>as-as</v>
          </cell>
          <cell r="I5848" t="str">
            <v>sim</v>
          </cell>
          <cell r="V5848" t="str">
            <v>not</v>
          </cell>
          <cell r="Y5848" t="str">
            <v>Past</v>
          </cell>
          <cell r="Z5848">
            <v>3.89</v>
          </cell>
          <cell r="AA5848">
            <v>0</v>
          </cell>
          <cell r="AB5848">
            <v>0</v>
          </cell>
        </row>
        <row r="5849">
          <cell r="G5849" t="str">
            <v>X2194_1</v>
          </cell>
          <cell r="H5849" t="str">
            <v>as-as</v>
          </cell>
          <cell r="I5849" t="str">
            <v>sim</v>
          </cell>
          <cell r="V5849" t="str">
            <v>not</v>
          </cell>
          <cell r="Y5849" t="str">
            <v>Past</v>
          </cell>
          <cell r="Z5849">
            <v>3.89</v>
          </cell>
          <cell r="AA5849">
            <v>0</v>
          </cell>
          <cell r="AB5849">
            <v>0</v>
          </cell>
        </row>
        <row r="5850">
          <cell r="G5850" t="str">
            <v>X2195_0</v>
          </cell>
          <cell r="H5850" t="str">
            <v>the-of</v>
          </cell>
          <cell r="I5850" t="str">
            <v>sim</v>
          </cell>
          <cell r="V5850" t="str">
            <v>not neg pair</v>
          </cell>
          <cell r="Y5850" t="str">
            <v>Past</v>
          </cell>
          <cell r="Z5850">
            <v>3.86</v>
          </cell>
          <cell r="AA5850">
            <v>0</v>
          </cell>
          <cell r="AB5850">
            <v>0</v>
          </cell>
        </row>
        <row r="5851">
          <cell r="G5851" t="str">
            <v>X2195_1</v>
          </cell>
          <cell r="H5851" t="str">
            <v>the-of</v>
          </cell>
          <cell r="I5851" t="str">
            <v>sim</v>
          </cell>
          <cell r="V5851" t="str">
            <v>not neg pair</v>
          </cell>
          <cell r="Y5851" t="str">
            <v>Past</v>
          </cell>
          <cell r="Z5851">
            <v>3.86</v>
          </cell>
          <cell r="AA5851">
            <v>0</v>
          </cell>
          <cell r="AB5851">
            <v>0</v>
          </cell>
        </row>
        <row r="5852">
          <cell r="G5852" t="str">
            <v>X2196_0</v>
          </cell>
          <cell r="H5852" t="str">
            <v/>
          </cell>
          <cell r="I5852" t="str">
            <v>met</v>
          </cell>
          <cell r="V5852" t="str">
            <v>0</v>
          </cell>
          <cell r="Y5852" t="str">
            <v>Pres</v>
          </cell>
          <cell r="Z5852">
            <v>1.92</v>
          </cell>
          <cell r="AA5852" t="str">
            <v>L</v>
          </cell>
          <cell r="AB5852">
            <v>0</v>
          </cell>
        </row>
        <row r="5853">
          <cell r="G5853" t="str">
            <v>X2196_1</v>
          </cell>
          <cell r="H5853" t="str">
            <v/>
          </cell>
          <cell r="I5853" t="str">
            <v>met</v>
          </cell>
          <cell r="V5853" t="str">
            <v>0</v>
          </cell>
          <cell r="Y5853" t="str">
            <v>Pres</v>
          </cell>
          <cell r="Z5853">
            <v>1.92</v>
          </cell>
          <cell r="AA5853" t="str">
            <v>L</v>
          </cell>
          <cell r="AB5853">
            <v>0</v>
          </cell>
        </row>
        <row r="5854">
          <cell r="G5854" t="str">
            <v>X2197_0</v>
          </cell>
          <cell r="H5854" t="str">
            <v/>
          </cell>
          <cell r="I5854" t="str">
            <v>met</v>
          </cell>
          <cell r="V5854" t="str">
            <v>0</v>
          </cell>
          <cell r="Y5854" t="str">
            <v>Past</v>
          </cell>
          <cell r="Z5854">
            <v>1.47</v>
          </cell>
          <cell r="AA5854" t="str">
            <v>L</v>
          </cell>
          <cell r="AB5854">
            <v>0</v>
          </cell>
        </row>
        <row r="5855">
          <cell r="G5855" t="str">
            <v>X2197_1</v>
          </cell>
          <cell r="H5855" t="str">
            <v/>
          </cell>
          <cell r="I5855" t="str">
            <v>met</v>
          </cell>
          <cell r="V5855" t="str">
            <v>0</v>
          </cell>
          <cell r="Y5855" t="str">
            <v>Pres</v>
          </cell>
          <cell r="Z5855">
            <v>1.47</v>
          </cell>
          <cell r="AA5855" t="str">
            <v>L</v>
          </cell>
          <cell r="AB5855">
            <v>0</v>
          </cell>
        </row>
        <row r="5856">
          <cell r="G5856" t="str">
            <v>X2198_0</v>
          </cell>
          <cell r="H5856" t="str">
            <v>as-as</v>
          </cell>
          <cell r="I5856" t="str">
            <v>sim</v>
          </cell>
          <cell r="V5856" t="str">
            <v>not neg pair</v>
          </cell>
          <cell r="Y5856" t="str">
            <v>Past</v>
          </cell>
          <cell r="Z5856">
            <v>3.97</v>
          </cell>
          <cell r="AA5856">
            <v>0</v>
          </cell>
          <cell r="AB5856">
            <v>0</v>
          </cell>
        </row>
        <row r="5857">
          <cell r="G5857" t="str">
            <v>X2198_1</v>
          </cell>
          <cell r="H5857" t="str">
            <v>as-as</v>
          </cell>
          <cell r="I5857" t="str">
            <v>sim</v>
          </cell>
          <cell r="V5857" t="str">
            <v>not neg pair</v>
          </cell>
          <cell r="Y5857" t="str">
            <v>Past</v>
          </cell>
          <cell r="Z5857">
            <v>3.97</v>
          </cell>
          <cell r="AA5857">
            <v>0</v>
          </cell>
          <cell r="AB5857">
            <v>0</v>
          </cell>
        </row>
        <row r="5858">
          <cell r="G5858" t="str">
            <v>X2199_0</v>
          </cell>
          <cell r="H5858" t="str">
            <v>the-of</v>
          </cell>
          <cell r="I5858" t="str">
            <v>sim</v>
          </cell>
          <cell r="V5858" t="str">
            <v>not neg pair</v>
          </cell>
          <cell r="Y5858" t="str">
            <v>Past</v>
          </cell>
          <cell r="Z5858">
            <v>0</v>
          </cell>
          <cell r="AA5858">
            <v>0</v>
          </cell>
          <cell r="AB5858">
            <v>0</v>
          </cell>
        </row>
        <row r="5859">
          <cell r="G5859" t="str">
            <v>X2199_1</v>
          </cell>
          <cell r="H5859" t="str">
            <v>the-of</v>
          </cell>
          <cell r="I5859" t="str">
            <v>sim</v>
          </cell>
          <cell r="V5859" t="str">
            <v>not neg pair</v>
          </cell>
          <cell r="Y5859" t="str">
            <v>Past</v>
          </cell>
          <cell r="Z5859">
            <v>0</v>
          </cell>
          <cell r="AA5859">
            <v>0</v>
          </cell>
          <cell r="AB5859">
            <v>0</v>
          </cell>
        </row>
        <row r="5860">
          <cell r="G5860" t="str">
            <v>X2200_0</v>
          </cell>
          <cell r="H5860" t="str">
            <v>as-as</v>
          </cell>
          <cell r="I5860" t="str">
            <v>sim</v>
          </cell>
          <cell r="V5860" t="str">
            <v>not neg pair</v>
          </cell>
          <cell r="Y5860" t="str">
            <v>Past</v>
          </cell>
          <cell r="Z5860">
            <v>3.93</v>
          </cell>
          <cell r="AA5860">
            <v>0</v>
          </cell>
          <cell r="AB5860">
            <v>0</v>
          </cell>
        </row>
        <row r="5861">
          <cell r="G5861" t="str">
            <v>X2200_1</v>
          </cell>
          <cell r="H5861" t="str">
            <v>as-as</v>
          </cell>
          <cell r="I5861" t="str">
            <v>sim</v>
          </cell>
          <cell r="V5861" t="str">
            <v>not neg pair</v>
          </cell>
          <cell r="Y5861" t="str">
            <v>Past</v>
          </cell>
          <cell r="Z5861">
            <v>3.93</v>
          </cell>
          <cell r="AA5861">
            <v>0</v>
          </cell>
          <cell r="AB5861">
            <v>0</v>
          </cell>
        </row>
        <row r="5862">
          <cell r="G5862" t="str">
            <v>X2201_0</v>
          </cell>
          <cell r="H5862" t="str">
            <v>the-of</v>
          </cell>
          <cell r="I5862" t="str">
            <v>sim</v>
          </cell>
          <cell r="V5862" t="str">
            <v>not neg pair</v>
          </cell>
          <cell r="Y5862" t="str">
            <v>Pres</v>
          </cell>
          <cell r="Z5862">
            <v>4.4000000000000004</v>
          </cell>
          <cell r="AA5862">
            <v>0</v>
          </cell>
          <cell r="AB5862">
            <v>0</v>
          </cell>
        </row>
        <row r="5863">
          <cell r="G5863" t="str">
            <v>X2201_1</v>
          </cell>
          <cell r="H5863" t="str">
            <v>the-of</v>
          </cell>
          <cell r="I5863" t="str">
            <v>sim</v>
          </cell>
          <cell r="V5863" t="str">
            <v>not neg pair</v>
          </cell>
          <cell r="Y5863" t="str">
            <v>Pres</v>
          </cell>
          <cell r="Z5863">
            <v>4.4000000000000004</v>
          </cell>
          <cell r="AA5863">
            <v>0</v>
          </cell>
          <cell r="AB5863">
            <v>0</v>
          </cell>
        </row>
        <row r="5864">
          <cell r="G5864" t="str">
            <v>X2202_0</v>
          </cell>
          <cell r="H5864" t="str">
            <v>the-of</v>
          </cell>
          <cell r="I5864" t="str">
            <v>sim</v>
          </cell>
          <cell r="V5864" t="str">
            <v>not neg pair</v>
          </cell>
          <cell r="Y5864" t="str">
            <v>Pres</v>
          </cell>
          <cell r="Z5864">
            <v>5</v>
          </cell>
          <cell r="AA5864" t="str">
            <v>H</v>
          </cell>
          <cell r="AB5864">
            <v>0</v>
          </cell>
        </row>
        <row r="5865">
          <cell r="G5865" t="str">
            <v>X2202_1</v>
          </cell>
          <cell r="H5865" t="str">
            <v>the-of</v>
          </cell>
          <cell r="I5865" t="str">
            <v>sim</v>
          </cell>
          <cell r="V5865" t="str">
            <v>not neg pair</v>
          </cell>
          <cell r="Y5865" t="str">
            <v>Pres</v>
          </cell>
          <cell r="Z5865">
            <v>5</v>
          </cell>
          <cell r="AA5865" t="str">
            <v>H</v>
          </cell>
          <cell r="AB5865">
            <v>0</v>
          </cell>
        </row>
        <row r="5866">
          <cell r="G5866" t="str">
            <v>X2203_0</v>
          </cell>
          <cell r="H5866" t="str">
            <v>as-as</v>
          </cell>
          <cell r="I5866" t="str">
            <v>sim</v>
          </cell>
          <cell r="V5866" t="str">
            <v>not</v>
          </cell>
          <cell r="Y5866" t="str">
            <v>Pres</v>
          </cell>
          <cell r="Z5866">
            <v>4.7300000000000004</v>
          </cell>
          <cell r="AA5866">
            <v>0</v>
          </cell>
          <cell r="AB5866">
            <v>0</v>
          </cell>
        </row>
        <row r="5867">
          <cell r="G5867" t="str">
            <v>X2203_1</v>
          </cell>
          <cell r="H5867" t="str">
            <v>as-as</v>
          </cell>
          <cell r="I5867" t="str">
            <v>sim</v>
          </cell>
          <cell r="V5867" t="str">
            <v>not</v>
          </cell>
          <cell r="Y5867" t="str">
            <v>Pres</v>
          </cell>
          <cell r="Z5867">
            <v>4.7300000000000004</v>
          </cell>
          <cell r="AA5867">
            <v>0</v>
          </cell>
          <cell r="AB5867">
            <v>0</v>
          </cell>
        </row>
        <row r="5868">
          <cell r="G5868" t="str">
            <v>X2204_0</v>
          </cell>
          <cell r="H5868" t="str">
            <v>as-as</v>
          </cell>
          <cell r="I5868" t="str">
            <v>sim</v>
          </cell>
          <cell r="V5868" t="str">
            <v>not neg pair</v>
          </cell>
          <cell r="Y5868" t="str">
            <v>Past</v>
          </cell>
          <cell r="Z5868">
            <v>4.45</v>
          </cell>
          <cell r="AA5868">
            <v>0</v>
          </cell>
          <cell r="AB5868">
            <v>0</v>
          </cell>
        </row>
        <row r="5869">
          <cell r="G5869" t="str">
            <v>X2204_1</v>
          </cell>
          <cell r="H5869" t="str">
            <v>as-as</v>
          </cell>
          <cell r="I5869" t="str">
            <v>sim</v>
          </cell>
          <cell r="V5869" t="str">
            <v>not neg pair</v>
          </cell>
          <cell r="Y5869" t="str">
            <v>Past</v>
          </cell>
          <cell r="Z5869">
            <v>4.45</v>
          </cell>
          <cell r="AA5869">
            <v>0</v>
          </cell>
          <cell r="AB5869">
            <v>0</v>
          </cell>
        </row>
        <row r="5870">
          <cell r="G5870" t="str">
            <v>X2205_0</v>
          </cell>
          <cell r="H5870" t="str">
            <v>as-as</v>
          </cell>
          <cell r="I5870" t="str">
            <v>sim</v>
          </cell>
          <cell r="V5870" t="str">
            <v>antonym</v>
          </cell>
          <cell r="Y5870" t="str">
            <v>Past</v>
          </cell>
          <cell r="Z5870">
            <v>4.3099999999999996</v>
          </cell>
          <cell r="AA5870">
            <v>0</v>
          </cell>
          <cell r="AB5870">
            <v>0</v>
          </cell>
        </row>
        <row r="5871">
          <cell r="G5871" t="str">
            <v>X2205_1</v>
          </cell>
          <cell r="H5871" t="str">
            <v>as-as</v>
          </cell>
          <cell r="I5871" t="str">
            <v>sim</v>
          </cell>
          <cell r="V5871" t="str">
            <v>antonym</v>
          </cell>
          <cell r="Y5871" t="str">
            <v>Past</v>
          </cell>
          <cell r="Z5871">
            <v>4.3099999999999996</v>
          </cell>
          <cell r="AA5871">
            <v>0</v>
          </cell>
          <cell r="AB5871">
            <v>0</v>
          </cell>
        </row>
        <row r="5872">
          <cell r="G5872" t="str">
            <v>X2206_0</v>
          </cell>
          <cell r="H5872" t="str">
            <v>like</v>
          </cell>
          <cell r="I5872" t="str">
            <v>sim</v>
          </cell>
          <cell r="V5872" t="str">
            <v>not</v>
          </cell>
          <cell r="Y5872" t="str">
            <v>Past</v>
          </cell>
          <cell r="Z5872">
            <v>2.81</v>
          </cell>
          <cell r="AA5872">
            <v>0</v>
          </cell>
          <cell r="AB5872">
            <v>0</v>
          </cell>
        </row>
        <row r="5873">
          <cell r="G5873" t="str">
            <v>X2206_1</v>
          </cell>
          <cell r="H5873" t="str">
            <v>like</v>
          </cell>
          <cell r="I5873" t="str">
            <v>sim</v>
          </cell>
          <cell r="V5873" t="str">
            <v>not</v>
          </cell>
          <cell r="Y5873" t="str">
            <v>Past</v>
          </cell>
          <cell r="Z5873">
            <v>2.81</v>
          </cell>
          <cell r="AA5873">
            <v>0</v>
          </cell>
          <cell r="AB5873">
            <v>0</v>
          </cell>
        </row>
        <row r="5874">
          <cell r="G5874" t="str">
            <v>X2207_0</v>
          </cell>
          <cell r="H5874" t="str">
            <v>like</v>
          </cell>
          <cell r="I5874" t="str">
            <v>sim</v>
          </cell>
          <cell r="V5874" t="str">
            <v>not</v>
          </cell>
          <cell r="Y5874" t="str">
            <v>Past</v>
          </cell>
          <cell r="Z5874">
            <v>2.81</v>
          </cell>
          <cell r="AA5874">
            <v>0</v>
          </cell>
          <cell r="AB5874">
            <v>0</v>
          </cell>
        </row>
        <row r="5875">
          <cell r="G5875" t="str">
            <v>X2207_1</v>
          </cell>
          <cell r="H5875" t="str">
            <v>like</v>
          </cell>
          <cell r="I5875" t="str">
            <v>sim</v>
          </cell>
          <cell r="V5875" t="str">
            <v>not</v>
          </cell>
          <cell r="Y5875" t="str">
            <v>Past</v>
          </cell>
          <cell r="Z5875">
            <v>2.81</v>
          </cell>
          <cell r="AA5875">
            <v>0</v>
          </cell>
          <cell r="AB5875">
            <v>0</v>
          </cell>
        </row>
        <row r="5876">
          <cell r="G5876" t="str">
            <v>X2208_0</v>
          </cell>
          <cell r="H5876" t="str">
            <v>like</v>
          </cell>
          <cell r="I5876" t="str">
            <v>sim</v>
          </cell>
          <cell r="V5876" t="str">
            <v>not</v>
          </cell>
          <cell r="Y5876" t="str">
            <v>Past</v>
          </cell>
          <cell r="Z5876">
            <v>2.81</v>
          </cell>
          <cell r="AA5876">
            <v>0</v>
          </cell>
          <cell r="AB5876">
            <v>0</v>
          </cell>
        </row>
        <row r="5877">
          <cell r="G5877" t="str">
            <v>X2208_1</v>
          </cell>
          <cell r="H5877" t="str">
            <v>like</v>
          </cell>
          <cell r="I5877" t="str">
            <v>sim</v>
          </cell>
          <cell r="V5877" t="str">
            <v>not</v>
          </cell>
          <cell r="Y5877" t="str">
            <v>Past</v>
          </cell>
          <cell r="Z5877">
            <v>2.81</v>
          </cell>
          <cell r="AA5877">
            <v>0</v>
          </cell>
          <cell r="AB5877">
            <v>0</v>
          </cell>
        </row>
        <row r="5878">
          <cell r="G5878" t="str">
            <v>X2209_0</v>
          </cell>
          <cell r="H5878" t="str">
            <v>the-of</v>
          </cell>
          <cell r="I5878" t="str">
            <v>sim</v>
          </cell>
          <cell r="V5878" t="str">
            <v>not neg pair</v>
          </cell>
          <cell r="Y5878" t="str">
            <v>Past</v>
          </cell>
          <cell r="Z5878">
            <v>3.36</v>
          </cell>
          <cell r="AA5878">
            <v>0</v>
          </cell>
          <cell r="AB5878">
            <v>0</v>
          </cell>
        </row>
        <row r="5879">
          <cell r="G5879" t="str">
            <v>X2209_1</v>
          </cell>
          <cell r="H5879" t="str">
            <v>the-of</v>
          </cell>
          <cell r="I5879" t="str">
            <v>sim</v>
          </cell>
          <cell r="V5879" t="str">
            <v>not neg pair</v>
          </cell>
          <cell r="Y5879" t="str">
            <v>Past</v>
          </cell>
          <cell r="Z5879">
            <v>3.36</v>
          </cell>
          <cell r="AA5879">
            <v>0</v>
          </cell>
          <cell r="AB5879">
            <v>0</v>
          </cell>
        </row>
        <row r="5880">
          <cell r="G5880" t="str">
            <v>X2210_0</v>
          </cell>
          <cell r="H5880" t="str">
            <v>as-as</v>
          </cell>
          <cell r="I5880" t="str">
            <v>sim</v>
          </cell>
          <cell r="V5880" t="str">
            <v>not</v>
          </cell>
          <cell r="Y5880" t="str">
            <v>Past</v>
          </cell>
          <cell r="Z5880">
            <v>4.79</v>
          </cell>
          <cell r="AA5880">
            <v>0</v>
          </cell>
          <cell r="AB5880">
            <v>0</v>
          </cell>
        </row>
        <row r="5881">
          <cell r="G5881" t="str">
            <v>X2210_1</v>
          </cell>
          <cell r="H5881" t="str">
            <v>as-as</v>
          </cell>
          <cell r="I5881" t="str">
            <v>sim</v>
          </cell>
          <cell r="V5881" t="str">
            <v>not</v>
          </cell>
          <cell r="Y5881" t="str">
            <v>Past</v>
          </cell>
          <cell r="Z5881">
            <v>0</v>
          </cell>
          <cell r="AA5881">
            <v>0</v>
          </cell>
          <cell r="AB5881">
            <v>0</v>
          </cell>
        </row>
        <row r="5882">
          <cell r="G5882" t="str">
            <v>X2211_0</v>
          </cell>
          <cell r="H5882" t="str">
            <v>as-as</v>
          </cell>
          <cell r="I5882" t="str">
            <v>sim</v>
          </cell>
          <cell r="V5882" t="str">
            <v>antonym</v>
          </cell>
          <cell r="Y5882" t="str">
            <v>Pres</v>
          </cell>
          <cell r="Z5882">
            <v>4.9000000000000004</v>
          </cell>
          <cell r="AA5882">
            <v>0</v>
          </cell>
          <cell r="AB5882">
            <v>0</v>
          </cell>
        </row>
        <row r="5883">
          <cell r="G5883" t="str">
            <v>X2211_1</v>
          </cell>
          <cell r="H5883" t="str">
            <v>as-as</v>
          </cell>
          <cell r="I5883" t="str">
            <v>sim</v>
          </cell>
          <cell r="V5883" t="str">
            <v>antonym</v>
          </cell>
          <cell r="Y5883" t="str">
            <v>Pres</v>
          </cell>
          <cell r="Z5883">
            <v>4.9000000000000004</v>
          </cell>
          <cell r="AA5883">
            <v>0</v>
          </cell>
          <cell r="AB5883">
            <v>0</v>
          </cell>
        </row>
        <row r="5884">
          <cell r="G5884" t="str">
            <v>X2212_0</v>
          </cell>
          <cell r="H5884" t="str">
            <v>as-as</v>
          </cell>
          <cell r="I5884" t="str">
            <v>sim</v>
          </cell>
          <cell r="V5884" t="str">
            <v>not neg pair</v>
          </cell>
          <cell r="Y5884" t="str">
            <v>Pres</v>
          </cell>
          <cell r="Z5884">
            <v>3</v>
          </cell>
          <cell r="AA5884">
            <v>0</v>
          </cell>
          <cell r="AB5884">
            <v>0</v>
          </cell>
        </row>
        <row r="5885">
          <cell r="G5885" t="str">
            <v>X2212_1</v>
          </cell>
          <cell r="H5885" t="str">
            <v>as-as</v>
          </cell>
          <cell r="I5885" t="str">
            <v>sim</v>
          </cell>
          <cell r="V5885" t="str">
            <v>not neg pair</v>
          </cell>
          <cell r="Y5885" t="str">
            <v>Pres</v>
          </cell>
          <cell r="Z5885">
            <v>3</v>
          </cell>
          <cell r="AA5885">
            <v>0</v>
          </cell>
          <cell r="AB5885">
            <v>0</v>
          </cell>
        </row>
        <row r="5886">
          <cell r="G5886" t="str">
            <v>X2213_0</v>
          </cell>
          <cell r="H5886" t="str">
            <v>the-of</v>
          </cell>
          <cell r="I5886" t="str">
            <v>sim</v>
          </cell>
          <cell r="V5886" t="str">
            <v>not neg pair</v>
          </cell>
          <cell r="Y5886" t="str">
            <v>Past</v>
          </cell>
          <cell r="Z5886">
            <v>4.8499999999999996</v>
          </cell>
          <cell r="AA5886">
            <v>0</v>
          </cell>
          <cell r="AB5886">
            <v>0</v>
          </cell>
        </row>
        <row r="5887">
          <cell r="G5887" t="str">
            <v>X2213_1</v>
          </cell>
          <cell r="H5887" t="str">
            <v>the-of</v>
          </cell>
          <cell r="I5887" t="str">
            <v>sim</v>
          </cell>
          <cell r="V5887" t="str">
            <v>not neg pair</v>
          </cell>
          <cell r="Y5887" t="str">
            <v>Past</v>
          </cell>
          <cell r="Z5887">
            <v>4.8499999999999996</v>
          </cell>
          <cell r="AA5887">
            <v>0</v>
          </cell>
          <cell r="AB5887">
            <v>0</v>
          </cell>
        </row>
        <row r="5888">
          <cell r="G5888" t="str">
            <v>X2214_0</v>
          </cell>
          <cell r="H5888" t="str">
            <v/>
          </cell>
          <cell r="I5888" t="str">
            <v>met</v>
          </cell>
          <cell r="V5888" t="str">
            <v>0</v>
          </cell>
          <cell r="Y5888" t="str">
            <v>Past</v>
          </cell>
          <cell r="Z5888">
            <v>4.91</v>
          </cell>
          <cell r="AA5888" t="str">
            <v>H</v>
          </cell>
          <cell r="AB5888">
            <v>0</v>
          </cell>
        </row>
        <row r="5889">
          <cell r="G5889" t="str">
            <v>X2214_1</v>
          </cell>
          <cell r="H5889" t="str">
            <v/>
          </cell>
          <cell r="I5889" t="str">
            <v>met</v>
          </cell>
          <cell r="V5889" t="str">
            <v>0</v>
          </cell>
          <cell r="Y5889" t="str">
            <v>Past</v>
          </cell>
          <cell r="Z5889">
            <v>4.91</v>
          </cell>
          <cell r="AA5889" t="str">
            <v>H</v>
          </cell>
          <cell r="AB5889">
            <v>0</v>
          </cell>
        </row>
        <row r="5890">
          <cell r="G5890" t="str">
            <v>X2215_0</v>
          </cell>
          <cell r="H5890" t="str">
            <v>the-of</v>
          </cell>
          <cell r="I5890" t="str">
            <v>sim</v>
          </cell>
          <cell r="V5890" t="str">
            <v>not neg pair</v>
          </cell>
          <cell r="Y5890" t="str">
            <v>Past</v>
          </cell>
          <cell r="Z5890">
            <v>4.75</v>
          </cell>
          <cell r="AA5890">
            <v>0</v>
          </cell>
          <cell r="AB5890">
            <v>0</v>
          </cell>
        </row>
        <row r="5891">
          <cell r="G5891" t="str">
            <v>X2215_1</v>
          </cell>
          <cell r="H5891" t="str">
            <v>the-of</v>
          </cell>
          <cell r="I5891" t="str">
            <v>sim</v>
          </cell>
          <cell r="V5891" t="str">
            <v>not neg pair</v>
          </cell>
          <cell r="Y5891" t="str">
            <v>Past</v>
          </cell>
          <cell r="Z5891">
            <v>4.75</v>
          </cell>
          <cell r="AA5891">
            <v>0</v>
          </cell>
          <cell r="AB5891">
            <v>0</v>
          </cell>
        </row>
        <row r="5892">
          <cell r="G5892" t="str">
            <v>X2216_0</v>
          </cell>
          <cell r="H5892" t="str">
            <v/>
          </cell>
          <cell r="I5892" t="str">
            <v>met</v>
          </cell>
          <cell r="V5892" t="str">
            <v>0</v>
          </cell>
          <cell r="Y5892" t="str">
            <v>Past</v>
          </cell>
          <cell r="Z5892">
            <v>3.93</v>
          </cell>
          <cell r="AA5892">
            <v>0</v>
          </cell>
          <cell r="AB5892">
            <v>0</v>
          </cell>
        </row>
        <row r="5893">
          <cell r="G5893" t="str">
            <v>X2216_1</v>
          </cell>
          <cell r="H5893" t="str">
            <v/>
          </cell>
          <cell r="I5893" t="str">
            <v>met</v>
          </cell>
          <cell r="V5893" t="str">
            <v>0</v>
          </cell>
          <cell r="Y5893" t="str">
            <v>Past</v>
          </cell>
          <cell r="Z5893">
            <v>3.93</v>
          </cell>
          <cell r="AA5893">
            <v>0</v>
          </cell>
          <cell r="AB5893">
            <v>0</v>
          </cell>
        </row>
        <row r="5894">
          <cell r="G5894" t="str">
            <v>X2217_0</v>
          </cell>
          <cell r="H5894" t="str">
            <v/>
          </cell>
          <cell r="I5894" t="str">
            <v>met</v>
          </cell>
          <cell r="V5894" t="str">
            <v>0</v>
          </cell>
          <cell r="Y5894" t="str">
            <v>Pres</v>
          </cell>
          <cell r="Z5894">
            <v>3.93</v>
          </cell>
          <cell r="AA5894">
            <v>0</v>
          </cell>
          <cell r="AB5894">
            <v>0</v>
          </cell>
        </row>
        <row r="5895">
          <cell r="G5895" t="str">
            <v>X2217_1</v>
          </cell>
          <cell r="H5895" t="str">
            <v/>
          </cell>
          <cell r="I5895" t="str">
            <v>met</v>
          </cell>
          <cell r="V5895" t="str">
            <v>0</v>
          </cell>
          <cell r="Y5895" t="str">
            <v>Pres</v>
          </cell>
          <cell r="Z5895">
            <v>3.93</v>
          </cell>
          <cell r="AA5895">
            <v>0</v>
          </cell>
          <cell r="AB5895">
            <v>0</v>
          </cell>
        </row>
        <row r="5896">
          <cell r="G5896" t="str">
            <v>X2218_0</v>
          </cell>
          <cell r="H5896" t="str">
            <v/>
          </cell>
          <cell r="I5896" t="str">
            <v>met</v>
          </cell>
          <cell r="V5896" t="str">
            <v>0</v>
          </cell>
          <cell r="Y5896" t="str">
            <v>Pres</v>
          </cell>
          <cell r="Z5896">
            <v>3.36</v>
          </cell>
          <cell r="AA5896">
            <v>0</v>
          </cell>
          <cell r="AB5896">
            <v>0</v>
          </cell>
        </row>
        <row r="5897">
          <cell r="G5897" t="str">
            <v>X2218_1</v>
          </cell>
          <cell r="H5897" t="str">
            <v/>
          </cell>
          <cell r="I5897" t="str">
            <v>met</v>
          </cell>
          <cell r="V5897" t="str">
            <v>0</v>
          </cell>
          <cell r="Y5897" t="str">
            <v>Past</v>
          </cell>
          <cell r="Z5897">
            <v>3.36</v>
          </cell>
          <cell r="AA5897">
            <v>0</v>
          </cell>
          <cell r="AB5897">
            <v>0</v>
          </cell>
        </row>
        <row r="5898">
          <cell r="G5898" t="str">
            <v>X2219_0</v>
          </cell>
          <cell r="H5898" t="str">
            <v>as-as</v>
          </cell>
          <cell r="I5898" t="str">
            <v>sim</v>
          </cell>
          <cell r="V5898" t="str">
            <v>not</v>
          </cell>
          <cell r="Y5898" t="str">
            <v>Past</v>
          </cell>
          <cell r="Z5898">
            <v>4.79</v>
          </cell>
          <cell r="AA5898">
            <v>0</v>
          </cell>
          <cell r="AB5898">
            <v>0</v>
          </cell>
        </row>
        <row r="5899">
          <cell r="G5899" t="str">
            <v>X2219_1</v>
          </cell>
          <cell r="H5899" t="str">
            <v>as-as</v>
          </cell>
          <cell r="I5899" t="str">
            <v>sim</v>
          </cell>
          <cell r="V5899" t="str">
            <v>not</v>
          </cell>
          <cell r="Y5899" t="str">
            <v>Past</v>
          </cell>
          <cell r="Z5899">
            <v>4.79</v>
          </cell>
          <cell r="AA5899">
            <v>0</v>
          </cell>
          <cell r="AB5899">
            <v>0</v>
          </cell>
        </row>
        <row r="5900">
          <cell r="G5900" t="str">
            <v>X2220_0</v>
          </cell>
          <cell r="H5900" t="str">
            <v>like</v>
          </cell>
          <cell r="I5900" t="str">
            <v>sim</v>
          </cell>
          <cell r="V5900" t="str">
            <v>not neg pair</v>
          </cell>
          <cell r="Y5900" t="str">
            <v>Past</v>
          </cell>
          <cell r="Z5900">
            <v>4.91</v>
          </cell>
          <cell r="AA5900" t="str">
            <v>H</v>
          </cell>
          <cell r="AB5900">
            <v>0</v>
          </cell>
        </row>
        <row r="5901">
          <cell r="G5901" t="str">
            <v>X2220_1</v>
          </cell>
          <cell r="H5901" t="str">
            <v>like</v>
          </cell>
          <cell r="I5901" t="str">
            <v>sim</v>
          </cell>
          <cell r="V5901" t="str">
            <v>not neg pair</v>
          </cell>
          <cell r="Y5901" t="str">
            <v>Past</v>
          </cell>
          <cell r="Z5901">
            <v>4.91</v>
          </cell>
          <cell r="AA5901" t="str">
            <v>H</v>
          </cell>
          <cell r="AB5901">
            <v>0</v>
          </cell>
        </row>
        <row r="5902">
          <cell r="G5902" t="str">
            <v>X2221_0</v>
          </cell>
          <cell r="H5902" t="str">
            <v>as-as</v>
          </cell>
          <cell r="I5902" t="str">
            <v>sim</v>
          </cell>
          <cell r="V5902" t="str">
            <v>not neg pair</v>
          </cell>
          <cell r="Y5902" t="str">
            <v>Past</v>
          </cell>
          <cell r="Z5902">
            <v>4.75</v>
          </cell>
          <cell r="AA5902">
            <v>0</v>
          </cell>
          <cell r="AB5902">
            <v>0</v>
          </cell>
        </row>
        <row r="5903">
          <cell r="G5903" t="str">
            <v>X2221_1</v>
          </cell>
          <cell r="H5903" t="str">
            <v>as-as</v>
          </cell>
          <cell r="I5903" t="str">
            <v>sim</v>
          </cell>
          <cell r="V5903" t="str">
            <v>not neg pair</v>
          </cell>
          <cell r="Y5903" t="str">
            <v>Past</v>
          </cell>
          <cell r="Z5903">
            <v>4.75</v>
          </cell>
          <cell r="AA5903">
            <v>0</v>
          </cell>
          <cell r="AB5903">
            <v>0</v>
          </cell>
        </row>
        <row r="5904">
          <cell r="G5904" t="str">
            <v>X2222_0</v>
          </cell>
          <cell r="H5904" t="str">
            <v>the-of</v>
          </cell>
          <cell r="I5904" t="str">
            <v>sim</v>
          </cell>
          <cell r="V5904" t="str">
            <v>not neg pair</v>
          </cell>
          <cell r="Y5904" t="str">
            <v>Pres</v>
          </cell>
          <cell r="Z5904">
            <v>4.8899999999999997</v>
          </cell>
          <cell r="AA5904">
            <v>0</v>
          </cell>
          <cell r="AB5904">
            <v>0</v>
          </cell>
        </row>
        <row r="5905">
          <cell r="G5905" t="str">
            <v>X2222_1</v>
          </cell>
          <cell r="H5905" t="str">
            <v>the-of</v>
          </cell>
          <cell r="I5905" t="str">
            <v>sim</v>
          </cell>
          <cell r="V5905" t="str">
            <v>not neg pair</v>
          </cell>
          <cell r="Y5905" t="str">
            <v>Pres</v>
          </cell>
          <cell r="Z5905">
            <v>4.8899999999999997</v>
          </cell>
          <cell r="AA5905">
            <v>0</v>
          </cell>
          <cell r="AB5905">
            <v>0</v>
          </cell>
        </row>
        <row r="5906">
          <cell r="G5906" t="str">
            <v>X2223_0</v>
          </cell>
          <cell r="H5906" t="str">
            <v>the-of</v>
          </cell>
          <cell r="I5906" t="str">
            <v>sim</v>
          </cell>
          <cell r="V5906" t="str">
            <v>not neg pair</v>
          </cell>
          <cell r="Y5906" t="str">
            <v>Pres</v>
          </cell>
          <cell r="Z5906">
            <v>4.75</v>
          </cell>
          <cell r="AA5906">
            <v>0</v>
          </cell>
          <cell r="AB5906">
            <v>0</v>
          </cell>
        </row>
        <row r="5907">
          <cell r="G5907" t="str">
            <v>X2223_1</v>
          </cell>
          <cell r="H5907" t="str">
            <v>the-of</v>
          </cell>
          <cell r="I5907" t="str">
            <v>sim</v>
          </cell>
          <cell r="V5907" t="str">
            <v>not neg pair</v>
          </cell>
          <cell r="Y5907" t="str">
            <v>Pres</v>
          </cell>
          <cell r="Z5907">
            <v>4.75</v>
          </cell>
          <cell r="AA5907">
            <v>0</v>
          </cell>
          <cell r="AB5907">
            <v>0</v>
          </cell>
        </row>
        <row r="5908">
          <cell r="G5908" t="str">
            <v>X2224_0</v>
          </cell>
          <cell r="H5908" t="str">
            <v>as-as</v>
          </cell>
          <cell r="I5908" t="str">
            <v>sim</v>
          </cell>
          <cell r="V5908" t="str">
            <v>antonym</v>
          </cell>
          <cell r="Y5908" t="str">
            <v>Pres</v>
          </cell>
          <cell r="Z5908">
            <v>4.82</v>
          </cell>
          <cell r="AA5908">
            <v>0</v>
          </cell>
          <cell r="AB5908">
            <v>0</v>
          </cell>
        </row>
        <row r="5909">
          <cell r="G5909" t="str">
            <v>X2224_1</v>
          </cell>
          <cell r="H5909" t="str">
            <v>as-as</v>
          </cell>
          <cell r="I5909" t="str">
            <v>sim</v>
          </cell>
          <cell r="V5909" t="str">
            <v>antonym</v>
          </cell>
          <cell r="Y5909" t="str">
            <v>Pres</v>
          </cell>
          <cell r="Z5909">
            <v>4.82</v>
          </cell>
          <cell r="AA5909">
            <v>0</v>
          </cell>
          <cell r="AB5909">
            <v>0</v>
          </cell>
        </row>
        <row r="5910">
          <cell r="G5910" t="str">
            <v>X2225_0</v>
          </cell>
          <cell r="H5910" t="str">
            <v>the-of</v>
          </cell>
          <cell r="I5910" t="str">
            <v>sim</v>
          </cell>
          <cell r="V5910" t="str">
            <v>not neg pair</v>
          </cell>
          <cell r="Y5910" t="str">
            <v>Pres</v>
          </cell>
          <cell r="Z5910">
            <v>3.22</v>
          </cell>
          <cell r="AA5910">
            <v>0</v>
          </cell>
          <cell r="AB5910">
            <v>0</v>
          </cell>
        </row>
        <row r="5911">
          <cell r="G5911" t="str">
            <v>X2225_1</v>
          </cell>
          <cell r="H5911" t="str">
            <v>the-of</v>
          </cell>
          <cell r="I5911" t="str">
            <v>sim</v>
          </cell>
          <cell r="V5911" t="str">
            <v>not neg pair</v>
          </cell>
          <cell r="Y5911" t="str">
            <v>Pres</v>
          </cell>
          <cell r="Z5911">
            <v>3.22</v>
          </cell>
          <cell r="AA5911">
            <v>0</v>
          </cell>
          <cell r="AB5911">
            <v>0</v>
          </cell>
        </row>
        <row r="5912">
          <cell r="G5912" t="str">
            <v>X2226_0</v>
          </cell>
          <cell r="H5912" t="str">
            <v>as-as</v>
          </cell>
          <cell r="I5912" t="str">
            <v>sim</v>
          </cell>
          <cell r="V5912" t="str">
            <v>antonym</v>
          </cell>
          <cell r="Y5912" t="str">
            <v>Past</v>
          </cell>
          <cell r="Z5912">
            <v>4.59</v>
          </cell>
          <cell r="AA5912">
            <v>0</v>
          </cell>
          <cell r="AB5912">
            <v>0</v>
          </cell>
        </row>
        <row r="5913">
          <cell r="G5913" t="str">
            <v>X2226_1</v>
          </cell>
          <cell r="H5913" t="str">
            <v>as-as</v>
          </cell>
          <cell r="I5913" t="str">
            <v>sim</v>
          </cell>
          <cell r="V5913" t="str">
            <v>antonym</v>
          </cell>
          <cell r="Y5913" t="str">
            <v>Past</v>
          </cell>
          <cell r="Z5913">
            <v>0</v>
          </cell>
          <cell r="AA5913">
            <v>0</v>
          </cell>
          <cell r="AB5913">
            <v>0</v>
          </cell>
        </row>
        <row r="5914">
          <cell r="G5914" t="str">
            <v>X2227_0</v>
          </cell>
          <cell r="H5914" t="str">
            <v>as-as</v>
          </cell>
          <cell r="I5914" t="str">
            <v>sim</v>
          </cell>
          <cell r="V5914" t="str">
            <v>antonym</v>
          </cell>
          <cell r="Y5914" t="str">
            <v>Past</v>
          </cell>
          <cell r="Z5914">
            <v>3.14</v>
          </cell>
          <cell r="AA5914">
            <v>0</v>
          </cell>
          <cell r="AB5914">
            <v>0</v>
          </cell>
        </row>
        <row r="5915">
          <cell r="G5915" t="str">
            <v>X2227_1</v>
          </cell>
          <cell r="H5915" t="str">
            <v>as-as</v>
          </cell>
          <cell r="I5915" t="str">
            <v>sim</v>
          </cell>
          <cell r="V5915" t="str">
            <v>antonym</v>
          </cell>
          <cell r="Y5915" t="str">
            <v>Past</v>
          </cell>
          <cell r="Z5915">
            <v>3.14</v>
          </cell>
          <cell r="AA5915">
            <v>0</v>
          </cell>
          <cell r="AB5915">
            <v>0</v>
          </cell>
        </row>
        <row r="5916">
          <cell r="G5916" t="str">
            <v>X2228_0</v>
          </cell>
          <cell r="H5916" t="str">
            <v>as-as</v>
          </cell>
          <cell r="I5916" t="str">
            <v>sim</v>
          </cell>
          <cell r="V5916" t="str">
            <v>antonym</v>
          </cell>
          <cell r="Y5916">
            <v>0</v>
          </cell>
          <cell r="Z5916">
            <v>2.5</v>
          </cell>
          <cell r="AA5916" t="str">
            <v>L</v>
          </cell>
          <cell r="AB5916">
            <v>0</v>
          </cell>
        </row>
        <row r="5917">
          <cell r="G5917" t="str">
            <v>X2228_1</v>
          </cell>
          <cell r="H5917" t="str">
            <v>as-as</v>
          </cell>
          <cell r="I5917" t="str">
            <v>sim</v>
          </cell>
          <cell r="V5917" t="str">
            <v>antonym</v>
          </cell>
          <cell r="Y5917">
            <v>0</v>
          </cell>
          <cell r="Z5917">
            <v>2.81</v>
          </cell>
          <cell r="AA5917">
            <v>0</v>
          </cell>
          <cell r="AB5917">
            <v>0</v>
          </cell>
        </row>
        <row r="5918">
          <cell r="G5918" t="str">
            <v>X2229_0</v>
          </cell>
          <cell r="H5918" t="str">
            <v>as-as</v>
          </cell>
          <cell r="I5918" t="str">
            <v>sim</v>
          </cell>
          <cell r="V5918" t="str">
            <v>not</v>
          </cell>
          <cell r="Y5918" t="str">
            <v>Past</v>
          </cell>
          <cell r="Z5918">
            <v>4.76</v>
          </cell>
          <cell r="AA5918">
            <v>0</v>
          </cell>
          <cell r="AB5918">
            <v>0</v>
          </cell>
        </row>
        <row r="5919">
          <cell r="G5919" t="str">
            <v>X2229_1</v>
          </cell>
          <cell r="H5919" t="str">
            <v>as-as</v>
          </cell>
          <cell r="I5919" t="str">
            <v>sim</v>
          </cell>
          <cell r="V5919" t="str">
            <v>not</v>
          </cell>
          <cell r="Y5919" t="str">
            <v>Past</v>
          </cell>
          <cell r="Z5919">
            <v>4.76</v>
          </cell>
          <cell r="AA5919">
            <v>0</v>
          </cell>
          <cell r="AB5919">
            <v>0</v>
          </cell>
        </row>
        <row r="5920">
          <cell r="G5920" t="str">
            <v>X2230_0</v>
          </cell>
          <cell r="H5920" t="str">
            <v>as-as</v>
          </cell>
          <cell r="I5920" t="str">
            <v>sim</v>
          </cell>
          <cell r="V5920" t="str">
            <v>not</v>
          </cell>
          <cell r="Y5920" t="str">
            <v>Past</v>
          </cell>
          <cell r="Z5920">
            <v>4.91</v>
          </cell>
          <cell r="AA5920" t="str">
            <v>H</v>
          </cell>
          <cell r="AB5920">
            <v>0</v>
          </cell>
        </row>
        <row r="5921">
          <cell r="G5921" t="str">
            <v>X2230_1</v>
          </cell>
          <cell r="H5921" t="str">
            <v>as-as</v>
          </cell>
          <cell r="I5921" t="str">
            <v>sim</v>
          </cell>
          <cell r="V5921" t="str">
            <v>not</v>
          </cell>
          <cell r="Y5921" t="str">
            <v>Past</v>
          </cell>
          <cell r="Z5921">
            <v>4.91</v>
          </cell>
          <cell r="AA5921" t="str">
            <v>H</v>
          </cell>
          <cell r="AB5921">
            <v>0</v>
          </cell>
        </row>
        <row r="5922">
          <cell r="G5922" t="str">
            <v>X2231_0</v>
          </cell>
          <cell r="H5922" t="str">
            <v>as-as</v>
          </cell>
          <cell r="I5922" t="str">
            <v>sim</v>
          </cell>
          <cell r="V5922" t="str">
            <v>not</v>
          </cell>
          <cell r="Y5922" t="str">
            <v>Past</v>
          </cell>
          <cell r="Z5922">
            <v>2.1</v>
          </cell>
          <cell r="AA5922" t="str">
            <v>L</v>
          </cell>
          <cell r="AB5922">
            <v>0</v>
          </cell>
        </row>
        <row r="5923">
          <cell r="G5923" t="str">
            <v>X2231_1</v>
          </cell>
          <cell r="H5923" t="str">
            <v>as-as</v>
          </cell>
          <cell r="I5923" t="str">
            <v>sim</v>
          </cell>
          <cell r="V5923" t="str">
            <v>not</v>
          </cell>
          <cell r="Y5923" t="str">
            <v>Past</v>
          </cell>
          <cell r="Z5923">
            <v>2.1</v>
          </cell>
          <cell r="AA5923" t="str">
            <v>L</v>
          </cell>
          <cell r="AB5923">
            <v>0</v>
          </cell>
        </row>
        <row r="5924">
          <cell r="G5924" t="str">
            <v>X2232_0</v>
          </cell>
          <cell r="H5924" t="str">
            <v>like</v>
          </cell>
          <cell r="I5924" t="str">
            <v>sim</v>
          </cell>
          <cell r="V5924" t="str">
            <v>not neg pair</v>
          </cell>
          <cell r="Y5924" t="str">
            <v>Past</v>
          </cell>
          <cell r="Z5924">
            <v>4.3</v>
          </cell>
          <cell r="AA5924">
            <v>0</v>
          </cell>
          <cell r="AB5924">
            <v>0</v>
          </cell>
        </row>
        <row r="5925">
          <cell r="G5925" t="str">
            <v>X2232_1</v>
          </cell>
          <cell r="H5925" t="str">
            <v>like</v>
          </cell>
          <cell r="I5925" t="str">
            <v>sim</v>
          </cell>
          <cell r="V5925" t="str">
            <v>not neg pair</v>
          </cell>
          <cell r="Y5925" t="str">
            <v>Past</v>
          </cell>
          <cell r="Z5925">
            <v>4.3</v>
          </cell>
          <cell r="AA5925">
            <v>0</v>
          </cell>
          <cell r="AB5925">
            <v>0</v>
          </cell>
        </row>
        <row r="5926">
          <cell r="G5926" t="str">
            <v>X2233_0</v>
          </cell>
          <cell r="H5926" t="str">
            <v>the-of</v>
          </cell>
          <cell r="I5926" t="str">
            <v>sim</v>
          </cell>
          <cell r="V5926" t="str">
            <v>not neg pair</v>
          </cell>
          <cell r="Y5926" t="str">
            <v>Past</v>
          </cell>
          <cell r="Z5926">
            <v>4.93</v>
          </cell>
          <cell r="AA5926" t="str">
            <v>H</v>
          </cell>
          <cell r="AB5926">
            <v>0</v>
          </cell>
        </row>
        <row r="5927">
          <cell r="G5927" t="str">
            <v>X2233_1</v>
          </cell>
          <cell r="H5927" t="str">
            <v>the-of</v>
          </cell>
          <cell r="I5927" t="str">
            <v>sim</v>
          </cell>
          <cell r="V5927" t="str">
            <v>not neg pair</v>
          </cell>
          <cell r="Y5927" t="str">
            <v>Past</v>
          </cell>
          <cell r="Z5927">
            <v>4.93</v>
          </cell>
          <cell r="AA5927" t="str">
            <v>H</v>
          </cell>
          <cell r="AB5927">
            <v>0</v>
          </cell>
        </row>
        <row r="5928">
          <cell r="G5928" t="str">
            <v>X2234_0</v>
          </cell>
          <cell r="H5928" t="str">
            <v>like</v>
          </cell>
          <cell r="I5928" t="str">
            <v>sim</v>
          </cell>
          <cell r="V5928" t="str">
            <v>not neg pair</v>
          </cell>
          <cell r="Y5928" t="str">
            <v>Past</v>
          </cell>
          <cell r="Z5928">
            <v>3.48</v>
          </cell>
          <cell r="AA5928">
            <v>0</v>
          </cell>
          <cell r="AB5928">
            <v>0</v>
          </cell>
        </row>
        <row r="5929">
          <cell r="G5929" t="str">
            <v>X2234_1</v>
          </cell>
          <cell r="H5929" t="str">
            <v>like</v>
          </cell>
          <cell r="I5929" t="str">
            <v>sim</v>
          </cell>
          <cell r="V5929" t="str">
            <v>not neg pair</v>
          </cell>
          <cell r="Y5929" t="str">
            <v>Past</v>
          </cell>
          <cell r="Z5929">
            <v>3.48</v>
          </cell>
          <cell r="AA5929">
            <v>0</v>
          </cell>
          <cell r="AB5929">
            <v>0</v>
          </cell>
        </row>
        <row r="5930">
          <cell r="G5930" t="str">
            <v>X2235_0</v>
          </cell>
          <cell r="H5930" t="str">
            <v>as-as</v>
          </cell>
          <cell r="I5930" t="str">
            <v>sim</v>
          </cell>
          <cell r="V5930" t="str">
            <v>not neg pair</v>
          </cell>
          <cell r="Y5930" t="str">
            <v>Past</v>
          </cell>
          <cell r="Z5930">
            <v>3.07</v>
          </cell>
          <cell r="AA5930">
            <v>0</v>
          </cell>
          <cell r="AB5930">
            <v>0</v>
          </cell>
        </row>
        <row r="5931">
          <cell r="G5931" t="str">
            <v>X2235_1</v>
          </cell>
          <cell r="H5931" t="str">
            <v>as-as</v>
          </cell>
          <cell r="I5931" t="str">
            <v>sim</v>
          </cell>
          <cell r="V5931" t="str">
            <v>not neg pair</v>
          </cell>
          <cell r="Y5931" t="str">
            <v>Past</v>
          </cell>
          <cell r="Z5931">
            <v>3.07</v>
          </cell>
          <cell r="AA5931">
            <v>0</v>
          </cell>
          <cell r="AB5931">
            <v>0</v>
          </cell>
        </row>
        <row r="5932">
          <cell r="G5932" t="str">
            <v>X2236_0</v>
          </cell>
          <cell r="H5932" t="str">
            <v>as-as</v>
          </cell>
          <cell r="I5932" t="str">
            <v>sim</v>
          </cell>
          <cell r="V5932" t="str">
            <v>not neg pair</v>
          </cell>
          <cell r="Y5932" t="str">
            <v>Past</v>
          </cell>
          <cell r="Z5932">
            <v>4.8499999999999996</v>
          </cell>
          <cell r="AA5932">
            <v>0</v>
          </cell>
          <cell r="AB5932">
            <v>0</v>
          </cell>
        </row>
        <row r="5933">
          <cell r="G5933" t="str">
            <v>X2236_1</v>
          </cell>
          <cell r="H5933" t="str">
            <v>as-as</v>
          </cell>
          <cell r="I5933" t="str">
            <v>sim</v>
          </cell>
          <cell r="V5933" t="str">
            <v>not neg pair</v>
          </cell>
          <cell r="Y5933" t="str">
            <v>Past</v>
          </cell>
          <cell r="Z5933">
            <v>4.8499999999999996</v>
          </cell>
          <cell r="AA5933">
            <v>0</v>
          </cell>
          <cell r="AB5933">
            <v>0</v>
          </cell>
        </row>
        <row r="5934">
          <cell r="G5934" t="str">
            <v>X2237_0</v>
          </cell>
          <cell r="H5934" t="str">
            <v>as-as</v>
          </cell>
          <cell r="I5934" t="str">
            <v>sim</v>
          </cell>
          <cell r="V5934" t="str">
            <v>antonym</v>
          </cell>
          <cell r="Y5934" t="str">
            <v>Past</v>
          </cell>
          <cell r="Z5934">
            <v>2.81</v>
          </cell>
          <cell r="AA5934">
            <v>0</v>
          </cell>
          <cell r="AB5934">
            <v>0</v>
          </cell>
        </row>
        <row r="5935">
          <cell r="G5935" t="str">
            <v>X2237_1</v>
          </cell>
          <cell r="H5935" t="str">
            <v>as-as</v>
          </cell>
          <cell r="I5935" t="str">
            <v>sim</v>
          </cell>
          <cell r="V5935" t="str">
            <v>antonym</v>
          </cell>
          <cell r="Y5935" t="str">
            <v>Past</v>
          </cell>
          <cell r="Z5935">
            <v>2.81</v>
          </cell>
          <cell r="AA5935">
            <v>0</v>
          </cell>
          <cell r="AB5935">
            <v>0</v>
          </cell>
        </row>
        <row r="5936">
          <cell r="G5936" t="str">
            <v>X2238_0</v>
          </cell>
          <cell r="H5936" t="str">
            <v>like</v>
          </cell>
          <cell r="I5936" t="str">
            <v>sim</v>
          </cell>
          <cell r="V5936" t="str">
            <v>not</v>
          </cell>
          <cell r="Y5936" t="str">
            <v>Pres</v>
          </cell>
          <cell r="Z5936">
            <v>2.81</v>
          </cell>
          <cell r="AA5936">
            <v>0</v>
          </cell>
          <cell r="AB5936">
            <v>0</v>
          </cell>
        </row>
        <row r="5937">
          <cell r="G5937" t="str">
            <v>X2238_1</v>
          </cell>
          <cell r="H5937" t="str">
            <v>like</v>
          </cell>
          <cell r="I5937" t="str">
            <v>sim</v>
          </cell>
          <cell r="V5937" t="str">
            <v>not</v>
          </cell>
          <cell r="Y5937" t="str">
            <v>Pres</v>
          </cell>
          <cell r="Z5937">
            <v>2.81</v>
          </cell>
          <cell r="AA5937">
            <v>0</v>
          </cell>
          <cell r="AB5937">
            <v>0</v>
          </cell>
        </row>
        <row r="5938">
          <cell r="G5938" t="str">
            <v>X2239_0</v>
          </cell>
          <cell r="H5938" t="str">
            <v>as-as</v>
          </cell>
          <cell r="I5938" t="str">
            <v>sim</v>
          </cell>
          <cell r="V5938" t="str">
            <v>not</v>
          </cell>
          <cell r="Y5938" t="str">
            <v>Pres</v>
          </cell>
          <cell r="Z5938">
            <v>2.93</v>
          </cell>
          <cell r="AA5938">
            <v>0</v>
          </cell>
          <cell r="AB5938">
            <v>0</v>
          </cell>
        </row>
        <row r="5939">
          <cell r="G5939" t="str">
            <v>X2239_1</v>
          </cell>
          <cell r="H5939" t="str">
            <v>as-as</v>
          </cell>
          <cell r="I5939" t="str">
            <v>sim</v>
          </cell>
          <cell r="V5939" t="str">
            <v>not</v>
          </cell>
          <cell r="Y5939" t="str">
            <v>Pres</v>
          </cell>
          <cell r="Z5939">
            <v>2.93</v>
          </cell>
          <cell r="AA5939">
            <v>0</v>
          </cell>
          <cell r="AB5939">
            <v>0</v>
          </cell>
        </row>
        <row r="5940">
          <cell r="G5940" t="str">
            <v>X2240_0</v>
          </cell>
          <cell r="H5940" t="str">
            <v/>
          </cell>
          <cell r="I5940" t="str">
            <v>met</v>
          </cell>
          <cell r="V5940" t="str">
            <v>0</v>
          </cell>
          <cell r="Y5940">
            <v>0</v>
          </cell>
          <cell r="Z5940">
            <v>4.8899999999999997</v>
          </cell>
          <cell r="AA5940">
            <v>0</v>
          </cell>
          <cell r="AB5940">
            <v>0</v>
          </cell>
        </row>
        <row r="5941">
          <cell r="G5941" t="str">
            <v>X2240_1</v>
          </cell>
          <cell r="H5941" t="str">
            <v>like</v>
          </cell>
          <cell r="I5941" t="str">
            <v>sim</v>
          </cell>
          <cell r="V5941" t="str">
            <v>0</v>
          </cell>
          <cell r="Y5941">
            <v>0</v>
          </cell>
          <cell r="Z5941">
            <v>4.8899999999999997</v>
          </cell>
          <cell r="AA5941">
            <v>0</v>
          </cell>
          <cell r="AB5941">
            <v>0</v>
          </cell>
        </row>
        <row r="5942">
          <cell r="G5942" t="str">
            <v>X2241_0</v>
          </cell>
          <cell r="H5942" t="str">
            <v>as-as</v>
          </cell>
          <cell r="I5942" t="str">
            <v>sim</v>
          </cell>
          <cell r="V5942" t="str">
            <v>not</v>
          </cell>
          <cell r="Y5942" t="str">
            <v>Pres</v>
          </cell>
          <cell r="Z5942">
            <v>2.79</v>
          </cell>
          <cell r="AA5942" t="str">
            <v>L</v>
          </cell>
          <cell r="AB5942">
            <v>0</v>
          </cell>
        </row>
        <row r="5943">
          <cell r="G5943" t="str">
            <v>X2241_1</v>
          </cell>
          <cell r="H5943" t="str">
            <v>as-as</v>
          </cell>
          <cell r="I5943" t="str">
            <v>sim</v>
          </cell>
          <cell r="V5943" t="str">
            <v>not</v>
          </cell>
          <cell r="Y5943" t="str">
            <v>Pres</v>
          </cell>
          <cell r="Z5943">
            <v>2.79</v>
          </cell>
          <cell r="AA5943" t="str">
            <v>L</v>
          </cell>
          <cell r="AB5943">
            <v>0</v>
          </cell>
        </row>
        <row r="5944">
          <cell r="G5944" t="str">
            <v>X2242_0</v>
          </cell>
          <cell r="H5944" t="str">
            <v>the-of</v>
          </cell>
          <cell r="I5944" t="str">
            <v>sim</v>
          </cell>
          <cell r="V5944" t="str">
            <v>not neg pair</v>
          </cell>
          <cell r="Y5944" t="str">
            <v>Past</v>
          </cell>
          <cell r="Z5944">
            <v>3.36</v>
          </cell>
          <cell r="AA5944">
            <v>0</v>
          </cell>
          <cell r="AB5944">
            <v>0</v>
          </cell>
        </row>
        <row r="5945">
          <cell r="G5945" t="str">
            <v>X2242_1</v>
          </cell>
          <cell r="H5945" t="str">
            <v>the-of</v>
          </cell>
          <cell r="I5945" t="str">
            <v>sim</v>
          </cell>
          <cell r="V5945" t="str">
            <v>not neg pair</v>
          </cell>
          <cell r="Y5945" t="str">
            <v>Past</v>
          </cell>
          <cell r="Z5945">
            <v>3.36</v>
          </cell>
          <cell r="AA5945">
            <v>0</v>
          </cell>
          <cell r="AB5945">
            <v>0</v>
          </cell>
        </row>
        <row r="5946">
          <cell r="G5946" t="str">
            <v>X2243_0</v>
          </cell>
          <cell r="H5946" t="str">
            <v>as-as</v>
          </cell>
          <cell r="I5946" t="str">
            <v>sim</v>
          </cell>
          <cell r="V5946" t="str">
            <v>not</v>
          </cell>
          <cell r="Y5946" t="str">
            <v>Past</v>
          </cell>
          <cell r="Z5946">
            <v>3.93</v>
          </cell>
          <cell r="AA5946">
            <v>0</v>
          </cell>
          <cell r="AB5946">
            <v>0</v>
          </cell>
        </row>
        <row r="5947">
          <cell r="G5947" t="str">
            <v>X2243_1</v>
          </cell>
          <cell r="H5947" t="str">
            <v>as-as</v>
          </cell>
          <cell r="I5947" t="str">
            <v>sim</v>
          </cell>
          <cell r="V5947" t="str">
            <v>not</v>
          </cell>
          <cell r="Y5947" t="str">
            <v>Past</v>
          </cell>
          <cell r="Z5947">
            <v>3.93</v>
          </cell>
          <cell r="AA5947">
            <v>0</v>
          </cell>
          <cell r="AB5947">
            <v>0</v>
          </cell>
        </row>
        <row r="5948">
          <cell r="G5948" t="str">
            <v>X2244_0</v>
          </cell>
          <cell r="H5948" t="str">
            <v>as-as</v>
          </cell>
          <cell r="I5948" t="str">
            <v>sim</v>
          </cell>
          <cell r="V5948" t="str">
            <v>antonym</v>
          </cell>
          <cell r="Y5948" t="str">
            <v>Pres</v>
          </cell>
          <cell r="Z5948">
            <v>1.68</v>
          </cell>
          <cell r="AA5948" t="str">
            <v>L</v>
          </cell>
          <cell r="AB5948">
            <v>0</v>
          </cell>
        </row>
        <row r="5949">
          <cell r="G5949" t="str">
            <v>X2244_1</v>
          </cell>
          <cell r="H5949" t="str">
            <v>as-as</v>
          </cell>
          <cell r="I5949" t="str">
            <v>sim</v>
          </cell>
          <cell r="V5949" t="str">
            <v>antonym</v>
          </cell>
          <cell r="Y5949" t="str">
            <v>Past</v>
          </cell>
          <cell r="Z5949">
            <v>1.68</v>
          </cell>
          <cell r="AA5949" t="str">
            <v>L</v>
          </cell>
          <cell r="AB5949">
            <v>0</v>
          </cell>
        </row>
        <row r="5950">
          <cell r="G5950" t="str">
            <v>X2245_0</v>
          </cell>
          <cell r="H5950" t="str">
            <v>as-as</v>
          </cell>
          <cell r="I5950" t="str">
            <v>sim</v>
          </cell>
          <cell r="V5950" t="str">
            <v>not</v>
          </cell>
          <cell r="Y5950" t="str">
            <v>Pres</v>
          </cell>
          <cell r="Z5950">
            <v>3.36</v>
          </cell>
          <cell r="AA5950">
            <v>0</v>
          </cell>
          <cell r="AB5950">
            <v>0</v>
          </cell>
        </row>
        <row r="5951">
          <cell r="G5951" t="str">
            <v>X2245_1</v>
          </cell>
          <cell r="H5951" t="str">
            <v>as-as</v>
          </cell>
          <cell r="I5951" t="str">
            <v>sim</v>
          </cell>
          <cell r="V5951" t="str">
            <v>not</v>
          </cell>
          <cell r="Y5951" t="str">
            <v>Pres</v>
          </cell>
          <cell r="Z5951">
            <v>3.36</v>
          </cell>
          <cell r="AA5951">
            <v>0</v>
          </cell>
          <cell r="AB5951">
            <v>0</v>
          </cell>
        </row>
        <row r="5952">
          <cell r="G5952" t="str">
            <v>X2246_0</v>
          </cell>
          <cell r="H5952" t="str">
            <v>the-of</v>
          </cell>
          <cell r="I5952" t="str">
            <v>sim</v>
          </cell>
          <cell r="V5952" t="str">
            <v>not neg pair</v>
          </cell>
          <cell r="Y5952" t="str">
            <v>Pres</v>
          </cell>
          <cell r="Z5952">
            <v>4.8499999999999996</v>
          </cell>
          <cell r="AA5952">
            <v>0</v>
          </cell>
          <cell r="AB5952">
            <v>0</v>
          </cell>
        </row>
        <row r="5953">
          <cell r="G5953" t="str">
            <v>X2246_1</v>
          </cell>
          <cell r="H5953" t="str">
            <v>the-of</v>
          </cell>
          <cell r="I5953" t="str">
            <v>sim</v>
          </cell>
          <cell r="V5953" t="str">
            <v>not neg pair</v>
          </cell>
          <cell r="Y5953" t="str">
            <v>Pres</v>
          </cell>
          <cell r="Z5953">
            <v>4.8499999999999996</v>
          </cell>
          <cell r="AA5953">
            <v>0</v>
          </cell>
          <cell r="AB5953">
            <v>0</v>
          </cell>
        </row>
        <row r="5954">
          <cell r="G5954" t="str">
            <v>X2247_0</v>
          </cell>
          <cell r="H5954" t="str">
            <v>as-as</v>
          </cell>
          <cell r="I5954" t="str">
            <v>sim</v>
          </cell>
          <cell r="V5954" t="str">
            <v>antonym</v>
          </cell>
          <cell r="Y5954" t="str">
            <v>Pres</v>
          </cell>
          <cell r="Z5954">
            <v>4.46</v>
          </cell>
          <cell r="AA5954">
            <v>0</v>
          </cell>
          <cell r="AB5954">
            <v>0</v>
          </cell>
        </row>
        <row r="5955">
          <cell r="G5955" t="str">
            <v>X2247_1</v>
          </cell>
          <cell r="H5955" t="str">
            <v>as-as</v>
          </cell>
          <cell r="I5955" t="str">
            <v>sim</v>
          </cell>
          <cell r="V5955" t="str">
            <v>antonym</v>
          </cell>
          <cell r="Y5955" t="str">
            <v>Pres</v>
          </cell>
          <cell r="Z5955">
            <v>4.46</v>
          </cell>
          <cell r="AA5955">
            <v>0</v>
          </cell>
          <cell r="AB5955">
            <v>0</v>
          </cell>
        </row>
        <row r="5956">
          <cell r="G5956" t="str">
            <v>X2248_0</v>
          </cell>
          <cell r="H5956" t="str">
            <v>the-of</v>
          </cell>
          <cell r="I5956" t="str">
            <v>sim</v>
          </cell>
          <cell r="V5956" t="str">
            <v>not</v>
          </cell>
          <cell r="Y5956" t="str">
            <v>Pres</v>
          </cell>
          <cell r="Z5956">
            <v>4.76</v>
          </cell>
          <cell r="AA5956">
            <v>0</v>
          </cell>
          <cell r="AB5956">
            <v>0</v>
          </cell>
        </row>
        <row r="5957">
          <cell r="G5957" t="str">
            <v>X2248_1</v>
          </cell>
          <cell r="H5957" t="str">
            <v>the-of</v>
          </cell>
          <cell r="I5957" t="str">
            <v>sim</v>
          </cell>
          <cell r="V5957" t="str">
            <v>not</v>
          </cell>
          <cell r="Y5957" t="str">
            <v>Pres</v>
          </cell>
          <cell r="Z5957">
            <v>4.76</v>
          </cell>
          <cell r="AA5957">
            <v>0</v>
          </cell>
          <cell r="AB5957">
            <v>0</v>
          </cell>
        </row>
        <row r="5958">
          <cell r="G5958" t="str">
            <v>X2249_0</v>
          </cell>
          <cell r="H5958" t="str">
            <v>the-of</v>
          </cell>
          <cell r="I5958" t="str">
            <v>sim</v>
          </cell>
          <cell r="V5958" t="str">
            <v>not neg pair</v>
          </cell>
          <cell r="Y5958" t="str">
            <v>Pres</v>
          </cell>
          <cell r="Z5958">
            <v>4.13</v>
          </cell>
          <cell r="AA5958">
            <v>0</v>
          </cell>
          <cell r="AB5958">
            <v>0</v>
          </cell>
        </row>
        <row r="5959">
          <cell r="G5959" t="str">
            <v>X2249_1</v>
          </cell>
          <cell r="H5959" t="str">
            <v>the-of</v>
          </cell>
          <cell r="I5959" t="str">
            <v>sim</v>
          </cell>
          <cell r="V5959" t="str">
            <v>not neg pair</v>
          </cell>
          <cell r="Y5959" t="str">
            <v>Pres</v>
          </cell>
          <cell r="Z5959">
            <v>4.13</v>
          </cell>
          <cell r="AA5959">
            <v>0</v>
          </cell>
          <cell r="AB5959">
            <v>0</v>
          </cell>
        </row>
        <row r="5960">
          <cell r="G5960" t="str">
            <v>X2250_0</v>
          </cell>
          <cell r="H5960" t="str">
            <v>as-as</v>
          </cell>
          <cell r="I5960" t="str">
            <v>sim</v>
          </cell>
          <cell r="V5960" t="str">
            <v>antonym</v>
          </cell>
          <cell r="Y5960" t="str">
            <v>Pres</v>
          </cell>
          <cell r="Z5960">
            <v>3.93</v>
          </cell>
          <cell r="AA5960">
            <v>0</v>
          </cell>
          <cell r="AB5960">
            <v>0</v>
          </cell>
        </row>
        <row r="5961">
          <cell r="G5961" t="str">
            <v>X2250_1</v>
          </cell>
          <cell r="H5961" t="str">
            <v>as-as</v>
          </cell>
          <cell r="I5961" t="str">
            <v>sim</v>
          </cell>
          <cell r="V5961" t="str">
            <v>antonym</v>
          </cell>
          <cell r="Y5961" t="str">
            <v>Pres</v>
          </cell>
          <cell r="Z5961">
            <v>3.93</v>
          </cell>
          <cell r="AA5961">
            <v>0</v>
          </cell>
          <cell r="AB5961">
            <v>0</v>
          </cell>
        </row>
        <row r="5962">
          <cell r="G5962" t="str">
            <v>X2251_0</v>
          </cell>
          <cell r="H5962" t="str">
            <v>as-as</v>
          </cell>
          <cell r="I5962" t="str">
            <v>sim</v>
          </cell>
          <cell r="V5962" t="str">
            <v>not</v>
          </cell>
          <cell r="Y5962" t="str">
            <v>Pres</v>
          </cell>
          <cell r="Z5962">
            <v>3.93</v>
          </cell>
          <cell r="AA5962">
            <v>0</v>
          </cell>
          <cell r="AB5962">
            <v>0</v>
          </cell>
        </row>
        <row r="5963">
          <cell r="G5963" t="str">
            <v>X2251_1</v>
          </cell>
          <cell r="H5963" t="str">
            <v>as-as</v>
          </cell>
          <cell r="I5963" t="str">
            <v>sim</v>
          </cell>
          <cell r="V5963" t="str">
            <v>not</v>
          </cell>
          <cell r="Y5963" t="str">
            <v>Pres</v>
          </cell>
          <cell r="Z5963">
            <v>3.93</v>
          </cell>
          <cell r="AA5963">
            <v>0</v>
          </cell>
          <cell r="AB5963">
            <v>0</v>
          </cell>
        </row>
        <row r="5964">
          <cell r="G5964" t="str">
            <v>X2252_0</v>
          </cell>
          <cell r="H5964" t="str">
            <v>the-of</v>
          </cell>
          <cell r="I5964" t="str">
            <v>sim</v>
          </cell>
          <cell r="V5964" t="str">
            <v>not neg pair</v>
          </cell>
          <cell r="Y5964" t="str">
            <v>Pres</v>
          </cell>
          <cell r="Z5964">
            <v>4.72</v>
          </cell>
          <cell r="AA5964">
            <v>0</v>
          </cell>
          <cell r="AB5964">
            <v>0</v>
          </cell>
        </row>
        <row r="5965">
          <cell r="G5965" t="str">
            <v>X2252_1</v>
          </cell>
          <cell r="H5965" t="str">
            <v>the-of</v>
          </cell>
          <cell r="I5965" t="str">
            <v>sim</v>
          </cell>
          <cell r="V5965" t="str">
            <v>not neg pair</v>
          </cell>
          <cell r="Y5965" t="str">
            <v>Pres</v>
          </cell>
          <cell r="Z5965">
            <v>4.72</v>
          </cell>
          <cell r="AA5965">
            <v>0</v>
          </cell>
          <cell r="AB5965">
            <v>0</v>
          </cell>
        </row>
        <row r="5966">
          <cell r="G5966" t="str">
            <v>X2253_0</v>
          </cell>
          <cell r="H5966" t="str">
            <v>the-of</v>
          </cell>
          <cell r="I5966" t="str">
            <v>sim</v>
          </cell>
          <cell r="V5966" t="str">
            <v>not neg pair</v>
          </cell>
          <cell r="Y5966" t="str">
            <v>Pres</v>
          </cell>
          <cell r="Z5966">
            <v>4.8600000000000003</v>
          </cell>
          <cell r="AA5966">
            <v>0</v>
          </cell>
          <cell r="AB5966">
            <v>0</v>
          </cell>
        </row>
        <row r="5967">
          <cell r="G5967" t="str">
            <v>X2253_1</v>
          </cell>
          <cell r="H5967" t="str">
            <v>the-of</v>
          </cell>
          <cell r="I5967" t="str">
            <v>sim</v>
          </cell>
          <cell r="V5967" t="str">
            <v>not neg pair</v>
          </cell>
          <cell r="Y5967" t="str">
            <v>Pres</v>
          </cell>
          <cell r="Z5967">
            <v>4.8600000000000003</v>
          </cell>
          <cell r="AA5967">
            <v>0</v>
          </cell>
          <cell r="AB5967">
            <v>0</v>
          </cell>
        </row>
        <row r="5968">
          <cell r="G5968" t="str">
            <v>X2254_0</v>
          </cell>
          <cell r="H5968" t="str">
            <v/>
          </cell>
          <cell r="I5968" t="str">
            <v>met</v>
          </cell>
          <cell r="V5968" t="str">
            <v>0</v>
          </cell>
          <cell r="Y5968" t="str">
            <v>Pres</v>
          </cell>
          <cell r="Z5968">
            <v>4.5199999999999996</v>
          </cell>
          <cell r="AA5968">
            <v>0</v>
          </cell>
          <cell r="AB5968">
            <v>0</v>
          </cell>
        </row>
        <row r="5969">
          <cell r="G5969" t="str">
            <v>X2254_1</v>
          </cell>
          <cell r="H5969" t="str">
            <v>the-of</v>
          </cell>
          <cell r="I5969" t="str">
            <v>sim</v>
          </cell>
          <cell r="V5969" t="str">
            <v>0</v>
          </cell>
          <cell r="Y5969" t="str">
            <v>Pres</v>
          </cell>
          <cell r="Z5969">
            <v>4.5199999999999996</v>
          </cell>
          <cell r="AA5969">
            <v>0</v>
          </cell>
          <cell r="AB5969">
            <v>0</v>
          </cell>
        </row>
        <row r="5970">
          <cell r="G5970" t="str">
            <v>X2255_0</v>
          </cell>
          <cell r="H5970" t="str">
            <v>as-as</v>
          </cell>
          <cell r="I5970" t="str">
            <v>sim</v>
          </cell>
          <cell r="V5970" t="str">
            <v>antonym</v>
          </cell>
          <cell r="Y5970" t="str">
            <v>Past</v>
          </cell>
          <cell r="Z5970">
            <v>3.36</v>
          </cell>
          <cell r="AA5970">
            <v>0</v>
          </cell>
          <cell r="AB5970">
            <v>0</v>
          </cell>
        </row>
        <row r="5971">
          <cell r="G5971" t="str">
            <v>X2255_1</v>
          </cell>
          <cell r="H5971" t="str">
            <v>as-as</v>
          </cell>
          <cell r="I5971" t="str">
            <v>sim</v>
          </cell>
          <cell r="V5971" t="str">
            <v>antonym</v>
          </cell>
          <cell r="Y5971" t="str">
            <v>Past</v>
          </cell>
          <cell r="Z5971">
            <v>3.36</v>
          </cell>
          <cell r="AA5971">
            <v>0</v>
          </cell>
          <cell r="AB5971">
            <v>0</v>
          </cell>
        </row>
        <row r="5972">
          <cell r="G5972" t="str">
            <v>X2256_0</v>
          </cell>
          <cell r="H5972" t="str">
            <v/>
          </cell>
          <cell r="I5972" t="str">
            <v>met</v>
          </cell>
          <cell r="V5972" t="str">
            <v>0</v>
          </cell>
          <cell r="Y5972" t="str">
            <v>Past</v>
          </cell>
          <cell r="Z5972">
            <v>4.8600000000000003</v>
          </cell>
          <cell r="AA5972">
            <v>0</v>
          </cell>
          <cell r="AB5972">
            <v>0</v>
          </cell>
        </row>
        <row r="5973">
          <cell r="G5973" t="str">
            <v>X2256_1</v>
          </cell>
          <cell r="H5973" t="str">
            <v/>
          </cell>
          <cell r="I5973" t="str">
            <v>met</v>
          </cell>
          <cell r="V5973" t="str">
            <v>0</v>
          </cell>
          <cell r="Y5973" t="str">
            <v>Past</v>
          </cell>
          <cell r="Z5973">
            <v>4.8600000000000003</v>
          </cell>
          <cell r="AA5973">
            <v>0</v>
          </cell>
          <cell r="AB5973">
            <v>0</v>
          </cell>
        </row>
        <row r="5974">
          <cell r="G5974" t="str">
            <v>X2257_0</v>
          </cell>
          <cell r="H5974" t="str">
            <v>as-as</v>
          </cell>
          <cell r="I5974" t="str">
            <v>sim</v>
          </cell>
          <cell r="V5974" t="str">
            <v>not neg pair</v>
          </cell>
          <cell r="Y5974" t="str">
            <v>Past</v>
          </cell>
          <cell r="Z5974">
            <v>2.81</v>
          </cell>
          <cell r="AA5974">
            <v>0</v>
          </cell>
          <cell r="AB5974">
            <v>0</v>
          </cell>
        </row>
        <row r="5975">
          <cell r="G5975" t="str">
            <v>X2257_1</v>
          </cell>
          <cell r="H5975" t="str">
            <v>as-as</v>
          </cell>
          <cell r="I5975" t="str">
            <v>sim</v>
          </cell>
          <cell r="V5975" t="str">
            <v>not neg pair</v>
          </cell>
          <cell r="Y5975" t="str">
            <v>Past</v>
          </cell>
          <cell r="Z5975">
            <v>2.81</v>
          </cell>
          <cell r="AA5975">
            <v>0</v>
          </cell>
          <cell r="AB5975">
            <v>0</v>
          </cell>
        </row>
        <row r="5976">
          <cell r="G5976" t="str">
            <v>X2258_0</v>
          </cell>
          <cell r="H5976" t="str">
            <v>the-of</v>
          </cell>
          <cell r="I5976" t="str">
            <v>sim</v>
          </cell>
          <cell r="V5976" t="str">
            <v>not</v>
          </cell>
          <cell r="Y5976" t="str">
            <v>Past</v>
          </cell>
          <cell r="Z5976">
            <v>4.76</v>
          </cell>
          <cell r="AA5976">
            <v>0</v>
          </cell>
          <cell r="AB5976">
            <v>0</v>
          </cell>
        </row>
        <row r="5977">
          <cell r="G5977" t="str">
            <v>X2258_1</v>
          </cell>
          <cell r="H5977" t="str">
            <v>the-of</v>
          </cell>
          <cell r="I5977" t="str">
            <v>sim</v>
          </cell>
          <cell r="V5977" t="str">
            <v>not</v>
          </cell>
          <cell r="Y5977" t="str">
            <v>Past</v>
          </cell>
          <cell r="Z5977">
            <v>4.76</v>
          </cell>
          <cell r="AA5977">
            <v>0</v>
          </cell>
          <cell r="AB5977">
            <v>0</v>
          </cell>
        </row>
        <row r="5978">
          <cell r="G5978" t="str">
            <v>X2259_0</v>
          </cell>
          <cell r="H5978" t="str">
            <v>the-of</v>
          </cell>
          <cell r="I5978" t="str">
            <v>sim</v>
          </cell>
          <cell r="V5978" t="str">
            <v>not neg pair</v>
          </cell>
          <cell r="Y5978" t="str">
            <v>Past</v>
          </cell>
          <cell r="Z5978">
            <v>4.5</v>
          </cell>
          <cell r="AA5978">
            <v>0</v>
          </cell>
          <cell r="AB5978">
            <v>0</v>
          </cell>
        </row>
        <row r="5979">
          <cell r="G5979" t="str">
            <v>X2259_1</v>
          </cell>
          <cell r="H5979" t="str">
            <v>the-of</v>
          </cell>
          <cell r="I5979" t="str">
            <v>sim</v>
          </cell>
          <cell r="V5979" t="str">
            <v>not neg pair</v>
          </cell>
          <cell r="Y5979" t="str">
            <v>Past</v>
          </cell>
          <cell r="Z5979">
            <v>4.5</v>
          </cell>
          <cell r="AA5979">
            <v>0</v>
          </cell>
          <cell r="AB5979">
            <v>0</v>
          </cell>
        </row>
        <row r="5980">
          <cell r="G5980" t="str">
            <v>X2260_0</v>
          </cell>
          <cell r="H5980" t="str">
            <v>as-as</v>
          </cell>
          <cell r="I5980" t="str">
            <v>sim</v>
          </cell>
          <cell r="V5980" t="str">
            <v>antonym</v>
          </cell>
          <cell r="Y5980" t="str">
            <v>Past</v>
          </cell>
          <cell r="Z5980">
            <v>3.93</v>
          </cell>
          <cell r="AA5980">
            <v>0</v>
          </cell>
          <cell r="AB5980">
            <v>0</v>
          </cell>
        </row>
        <row r="5981">
          <cell r="G5981" t="str">
            <v>X2260_1</v>
          </cell>
          <cell r="H5981" t="str">
            <v>as-as</v>
          </cell>
          <cell r="I5981" t="str">
            <v>sim</v>
          </cell>
          <cell r="V5981" t="str">
            <v>antonym</v>
          </cell>
          <cell r="Y5981" t="str">
            <v>Past</v>
          </cell>
          <cell r="Z5981">
            <v>3.93</v>
          </cell>
          <cell r="AA5981">
            <v>0</v>
          </cell>
          <cell r="AB5981">
            <v>0</v>
          </cell>
        </row>
        <row r="5982">
          <cell r="G5982" t="str">
            <v>X2261_0</v>
          </cell>
          <cell r="H5982" t="str">
            <v>the-of</v>
          </cell>
          <cell r="I5982" t="str">
            <v>sim</v>
          </cell>
          <cell r="V5982" t="str">
            <v>not neg pair</v>
          </cell>
          <cell r="Y5982" t="str">
            <v>Past</v>
          </cell>
          <cell r="Z5982">
            <v>3.93</v>
          </cell>
          <cell r="AA5982">
            <v>0</v>
          </cell>
          <cell r="AB5982">
            <v>0</v>
          </cell>
        </row>
        <row r="5983">
          <cell r="G5983" t="str">
            <v>X2261_1</v>
          </cell>
          <cell r="H5983" t="str">
            <v>the-of</v>
          </cell>
          <cell r="I5983" t="str">
            <v>sim</v>
          </cell>
          <cell r="V5983" t="str">
            <v>not neg pair</v>
          </cell>
          <cell r="Y5983" t="str">
            <v>Past</v>
          </cell>
          <cell r="Z5983">
            <v>3.93</v>
          </cell>
          <cell r="AA5983">
            <v>0</v>
          </cell>
          <cell r="AB5983">
            <v>0</v>
          </cell>
        </row>
        <row r="5984">
          <cell r="G5984" t="str">
            <v>X2262_0</v>
          </cell>
          <cell r="H5984" t="str">
            <v>as-as</v>
          </cell>
          <cell r="I5984" t="str">
            <v>sim</v>
          </cell>
          <cell r="V5984" t="str">
            <v>antonym</v>
          </cell>
          <cell r="Y5984" t="str">
            <v>Past</v>
          </cell>
          <cell r="Z5984">
            <v>5</v>
          </cell>
          <cell r="AA5984" t="str">
            <v>H</v>
          </cell>
          <cell r="AB5984">
            <v>0</v>
          </cell>
        </row>
        <row r="5985">
          <cell r="G5985" t="str">
            <v>X2262_1</v>
          </cell>
          <cell r="H5985" t="str">
            <v>as-as</v>
          </cell>
          <cell r="I5985" t="str">
            <v>sim</v>
          </cell>
          <cell r="V5985" t="str">
            <v>antonym</v>
          </cell>
          <cell r="Y5985" t="str">
            <v>Past</v>
          </cell>
          <cell r="Z5985">
            <v>5</v>
          </cell>
          <cell r="AA5985" t="str">
            <v>H</v>
          </cell>
          <cell r="AB5985">
            <v>0</v>
          </cell>
        </row>
        <row r="5986">
          <cell r="G5986" t="str">
            <v>X2263_0</v>
          </cell>
          <cell r="H5986" t="str">
            <v>like</v>
          </cell>
          <cell r="I5986" t="str">
            <v>sim</v>
          </cell>
          <cell r="V5986" t="str">
            <v>not</v>
          </cell>
          <cell r="Y5986" t="str">
            <v>Past</v>
          </cell>
          <cell r="Z5986">
            <v>4.96</v>
          </cell>
          <cell r="AA5986" t="str">
            <v>H</v>
          </cell>
          <cell r="AB5986">
            <v>0</v>
          </cell>
        </row>
        <row r="5987">
          <cell r="G5987" t="str">
            <v>X2263_1</v>
          </cell>
          <cell r="H5987" t="str">
            <v>like</v>
          </cell>
          <cell r="I5987" t="str">
            <v>sim</v>
          </cell>
          <cell r="V5987" t="str">
            <v>not</v>
          </cell>
          <cell r="Y5987" t="str">
            <v>Past</v>
          </cell>
          <cell r="Z5987">
            <v>4.96</v>
          </cell>
          <cell r="AA5987" t="str">
            <v>H</v>
          </cell>
          <cell r="AB5987">
            <v>0</v>
          </cell>
        </row>
        <row r="5988">
          <cell r="G5988" t="str">
            <v>X2264_0</v>
          </cell>
          <cell r="H5988" t="str">
            <v>the-of</v>
          </cell>
          <cell r="I5988" t="str">
            <v>sim</v>
          </cell>
          <cell r="V5988" t="str">
            <v>not neg pair</v>
          </cell>
          <cell r="Y5988" t="str">
            <v>Past</v>
          </cell>
          <cell r="Z5988">
            <v>3.93</v>
          </cell>
          <cell r="AA5988">
            <v>0</v>
          </cell>
          <cell r="AB5988">
            <v>0</v>
          </cell>
        </row>
        <row r="5989">
          <cell r="G5989" t="str">
            <v>X2264_1</v>
          </cell>
          <cell r="H5989" t="str">
            <v>the-of</v>
          </cell>
          <cell r="I5989" t="str">
            <v>sim</v>
          </cell>
          <cell r="V5989" t="str">
            <v>not neg pair</v>
          </cell>
          <cell r="Y5989" t="str">
            <v>Past</v>
          </cell>
          <cell r="Z5989">
            <v>3.93</v>
          </cell>
          <cell r="AA5989">
            <v>0</v>
          </cell>
          <cell r="AB5989">
            <v>0</v>
          </cell>
        </row>
        <row r="5990">
          <cell r="G5990" t="str">
            <v>X2265_0</v>
          </cell>
          <cell r="H5990" t="str">
            <v>the-of</v>
          </cell>
          <cell r="I5990" t="str">
            <v>sim</v>
          </cell>
          <cell r="V5990" t="str">
            <v>not neg pair</v>
          </cell>
          <cell r="Y5990" t="str">
            <v>Pres</v>
          </cell>
          <cell r="Z5990">
            <v>2.69</v>
          </cell>
          <cell r="AA5990" t="str">
            <v>L</v>
          </cell>
          <cell r="AB5990">
            <v>0</v>
          </cell>
        </row>
        <row r="5991">
          <cell r="G5991" t="str">
            <v>X2265_1</v>
          </cell>
          <cell r="H5991" t="str">
            <v>the-of</v>
          </cell>
          <cell r="I5991" t="str">
            <v>sim</v>
          </cell>
          <cell r="V5991" t="str">
            <v>not neg pair</v>
          </cell>
          <cell r="Y5991" t="str">
            <v>Pres</v>
          </cell>
          <cell r="Z5991">
            <v>2.69</v>
          </cell>
          <cell r="AA5991" t="str">
            <v>L</v>
          </cell>
          <cell r="AB5991">
            <v>0</v>
          </cell>
        </row>
        <row r="5992">
          <cell r="G5992" t="str">
            <v>X2266_0</v>
          </cell>
          <cell r="H5992" t="str">
            <v>the-of</v>
          </cell>
          <cell r="I5992" t="str">
            <v>sim</v>
          </cell>
          <cell r="V5992" t="str">
            <v>not neg pair</v>
          </cell>
          <cell r="Y5992" t="str">
            <v>Past</v>
          </cell>
          <cell r="Z5992">
            <v>3.07</v>
          </cell>
          <cell r="AA5992">
            <v>0</v>
          </cell>
          <cell r="AB5992">
            <v>0</v>
          </cell>
        </row>
        <row r="5993">
          <cell r="G5993" t="str">
            <v>X2266_1</v>
          </cell>
          <cell r="H5993" t="str">
            <v>the-of</v>
          </cell>
          <cell r="I5993" t="str">
            <v>sim</v>
          </cell>
          <cell r="V5993" t="str">
            <v>not neg pair</v>
          </cell>
          <cell r="Y5993" t="str">
            <v>Past</v>
          </cell>
          <cell r="Z5993">
            <v>3.07</v>
          </cell>
          <cell r="AA5993">
            <v>0</v>
          </cell>
          <cell r="AB5993">
            <v>0</v>
          </cell>
        </row>
        <row r="5994">
          <cell r="G5994" t="str">
            <v>X2267_0</v>
          </cell>
          <cell r="H5994" t="str">
            <v>as-as</v>
          </cell>
          <cell r="I5994" t="str">
            <v>sim</v>
          </cell>
          <cell r="V5994" t="str">
            <v>not neg pair</v>
          </cell>
          <cell r="Y5994" t="str">
            <v>Past</v>
          </cell>
          <cell r="Z5994">
            <v>3.36</v>
          </cell>
          <cell r="AA5994">
            <v>0</v>
          </cell>
          <cell r="AB5994">
            <v>0</v>
          </cell>
        </row>
        <row r="5995">
          <cell r="G5995" t="str">
            <v>X2267_1</v>
          </cell>
          <cell r="H5995" t="str">
            <v>as-as</v>
          </cell>
          <cell r="I5995" t="str">
            <v>sim</v>
          </cell>
          <cell r="V5995" t="str">
            <v>not neg pair</v>
          </cell>
          <cell r="Y5995" t="str">
            <v>Past</v>
          </cell>
          <cell r="Z5995">
            <v>3.36</v>
          </cell>
          <cell r="AA5995">
            <v>0</v>
          </cell>
          <cell r="AB5995">
            <v>0</v>
          </cell>
        </row>
        <row r="5996">
          <cell r="G5996" t="str">
            <v>X2268_0</v>
          </cell>
          <cell r="H5996" t="str">
            <v>as-as</v>
          </cell>
          <cell r="I5996" t="str">
            <v>sim</v>
          </cell>
          <cell r="V5996" t="str">
            <v>antonym</v>
          </cell>
          <cell r="Y5996" t="str">
            <v>Past</v>
          </cell>
          <cell r="Z5996">
            <v>4.46</v>
          </cell>
          <cell r="AA5996">
            <v>0</v>
          </cell>
          <cell r="AB5996">
            <v>0</v>
          </cell>
        </row>
        <row r="5997">
          <cell r="G5997" t="str">
            <v>X2268_1</v>
          </cell>
          <cell r="H5997" t="str">
            <v>as-as</v>
          </cell>
          <cell r="I5997" t="str">
            <v>sim</v>
          </cell>
          <cell r="V5997" t="str">
            <v>antonym</v>
          </cell>
          <cell r="Y5997" t="str">
            <v>Past</v>
          </cell>
          <cell r="Z5997">
            <v>4.46</v>
          </cell>
          <cell r="AA5997">
            <v>0</v>
          </cell>
          <cell r="AB5997">
            <v>0</v>
          </cell>
        </row>
        <row r="5998">
          <cell r="G5998" t="str">
            <v>X2269_0</v>
          </cell>
          <cell r="H5998" t="str">
            <v>as-as</v>
          </cell>
          <cell r="I5998" t="str">
            <v>sim</v>
          </cell>
          <cell r="V5998" t="str">
            <v>antonym</v>
          </cell>
          <cell r="Y5998" t="str">
            <v>Past</v>
          </cell>
          <cell r="Z5998">
            <v>2.08</v>
          </cell>
          <cell r="AA5998" t="str">
            <v>L</v>
          </cell>
          <cell r="AB5998">
            <v>0</v>
          </cell>
        </row>
        <row r="5999">
          <cell r="G5999" t="str">
            <v>X2269_1</v>
          </cell>
          <cell r="H5999" t="str">
            <v>as-as</v>
          </cell>
          <cell r="I5999" t="str">
            <v>sim</v>
          </cell>
          <cell r="V5999" t="str">
            <v>antonym</v>
          </cell>
          <cell r="Y5999" t="str">
            <v>Past</v>
          </cell>
          <cell r="Z5999">
            <v>2.08</v>
          </cell>
          <cell r="AA5999" t="str">
            <v>L</v>
          </cell>
          <cell r="AB5999">
            <v>0</v>
          </cell>
        </row>
        <row r="6000">
          <cell r="G6000" t="str">
            <v>X2270_0</v>
          </cell>
          <cell r="H6000" t="str">
            <v>the-of</v>
          </cell>
          <cell r="I6000" t="str">
            <v>sim</v>
          </cell>
          <cell r="V6000" t="str">
            <v>not neg pair</v>
          </cell>
          <cell r="Y6000" t="str">
            <v>Past</v>
          </cell>
          <cell r="Z6000">
            <v>3.79</v>
          </cell>
          <cell r="AA6000">
            <v>0</v>
          </cell>
          <cell r="AB6000">
            <v>0</v>
          </cell>
        </row>
        <row r="6001">
          <cell r="G6001" t="str">
            <v>X2270_1</v>
          </cell>
          <cell r="H6001" t="str">
            <v>the-of</v>
          </cell>
          <cell r="I6001" t="str">
            <v>sim</v>
          </cell>
          <cell r="V6001" t="str">
            <v>not neg pair</v>
          </cell>
          <cell r="Y6001" t="str">
            <v>Past</v>
          </cell>
          <cell r="Z6001">
            <v>3.79</v>
          </cell>
          <cell r="AA6001">
            <v>0</v>
          </cell>
          <cell r="AB6001">
            <v>0</v>
          </cell>
        </row>
        <row r="6002">
          <cell r="G6002" t="str">
            <v>X2271_0</v>
          </cell>
          <cell r="H6002" t="str">
            <v>as-as</v>
          </cell>
          <cell r="I6002" t="str">
            <v>sim</v>
          </cell>
          <cell r="V6002" t="str">
            <v>not neg pair</v>
          </cell>
          <cell r="Y6002" t="str">
            <v>Pres</v>
          </cell>
          <cell r="Z6002">
            <v>4.75</v>
          </cell>
          <cell r="AA6002">
            <v>0</v>
          </cell>
          <cell r="AB6002">
            <v>0</v>
          </cell>
        </row>
        <row r="6003">
          <cell r="G6003" t="str">
            <v>X2271_1</v>
          </cell>
          <cell r="H6003" t="str">
            <v>as-as</v>
          </cell>
          <cell r="I6003" t="str">
            <v>sim</v>
          </cell>
          <cell r="V6003" t="str">
            <v>not neg pair</v>
          </cell>
          <cell r="Y6003" t="str">
            <v>Pres</v>
          </cell>
          <cell r="Z6003">
            <v>4.75</v>
          </cell>
          <cell r="AA6003">
            <v>0</v>
          </cell>
          <cell r="AB6003">
            <v>0</v>
          </cell>
        </row>
        <row r="6004">
          <cell r="G6004" t="str">
            <v>X2272_0</v>
          </cell>
          <cell r="H6004" t="str">
            <v>as-as</v>
          </cell>
          <cell r="I6004" t="str">
            <v>sim</v>
          </cell>
          <cell r="V6004" t="str">
            <v>antonym</v>
          </cell>
          <cell r="Y6004" t="str">
            <v>Past</v>
          </cell>
          <cell r="Z6004">
            <v>4.88</v>
          </cell>
          <cell r="AA6004">
            <v>0</v>
          </cell>
          <cell r="AB6004">
            <v>0</v>
          </cell>
        </row>
        <row r="6005">
          <cell r="G6005" t="str">
            <v>X2272_1</v>
          </cell>
          <cell r="H6005" t="str">
            <v>as-as</v>
          </cell>
          <cell r="I6005" t="str">
            <v>sim</v>
          </cell>
          <cell r="V6005" t="str">
            <v>antonym</v>
          </cell>
          <cell r="Y6005" t="str">
            <v>Past</v>
          </cell>
          <cell r="Z6005">
            <v>4.88</v>
          </cell>
          <cell r="AA6005">
            <v>0</v>
          </cell>
          <cell r="AB6005">
            <v>0</v>
          </cell>
        </row>
        <row r="6006">
          <cell r="G6006" t="str">
            <v>X2273_0</v>
          </cell>
          <cell r="H6006" t="str">
            <v>as-as</v>
          </cell>
          <cell r="I6006" t="str">
            <v>sim</v>
          </cell>
          <cell r="V6006" t="str">
            <v>not neg pair</v>
          </cell>
          <cell r="Y6006" t="str">
            <v>Past</v>
          </cell>
          <cell r="Z6006">
            <v>4.2</v>
          </cell>
          <cell r="AA6006">
            <v>0</v>
          </cell>
          <cell r="AB6006">
            <v>0</v>
          </cell>
        </row>
        <row r="6007">
          <cell r="G6007" t="str">
            <v>X2273_1</v>
          </cell>
          <cell r="H6007" t="str">
            <v>as-as</v>
          </cell>
          <cell r="I6007" t="str">
            <v>sim</v>
          </cell>
          <cell r="V6007" t="str">
            <v>not neg pair</v>
          </cell>
          <cell r="Y6007" t="str">
            <v>Past</v>
          </cell>
          <cell r="Z6007">
            <v>4.2</v>
          </cell>
          <cell r="AA6007">
            <v>0</v>
          </cell>
          <cell r="AB6007">
            <v>0</v>
          </cell>
        </row>
        <row r="6008">
          <cell r="G6008" t="str">
            <v>X2274_0</v>
          </cell>
          <cell r="H6008" t="str">
            <v/>
          </cell>
          <cell r="I6008" t="str">
            <v>met</v>
          </cell>
          <cell r="V6008" t="str">
            <v>0</v>
          </cell>
          <cell r="Y6008" t="str">
            <v>Pres</v>
          </cell>
          <cell r="Z6008">
            <v>4.75</v>
          </cell>
          <cell r="AA6008">
            <v>0</v>
          </cell>
          <cell r="AB6008">
            <v>0</v>
          </cell>
        </row>
        <row r="6009">
          <cell r="G6009" t="str">
            <v>X2274_1</v>
          </cell>
          <cell r="H6009" t="str">
            <v/>
          </cell>
          <cell r="I6009" t="str">
            <v>met</v>
          </cell>
          <cell r="V6009" t="str">
            <v>0</v>
          </cell>
          <cell r="Y6009" t="str">
            <v>Pres</v>
          </cell>
          <cell r="Z6009">
            <v>4.75</v>
          </cell>
          <cell r="AA6009">
            <v>0</v>
          </cell>
          <cell r="AB6009">
            <v>0</v>
          </cell>
        </row>
        <row r="6010">
          <cell r="G6010" t="str">
            <v>X2275_0</v>
          </cell>
          <cell r="H6010" t="str">
            <v/>
          </cell>
          <cell r="I6010" t="str">
            <v>met</v>
          </cell>
          <cell r="V6010" t="str">
            <v>0</v>
          </cell>
          <cell r="Y6010" t="str">
            <v>Pres</v>
          </cell>
          <cell r="Z6010">
            <v>4.38</v>
          </cell>
          <cell r="AA6010">
            <v>0</v>
          </cell>
          <cell r="AB6010">
            <v>0</v>
          </cell>
        </row>
        <row r="6011">
          <cell r="G6011" t="str">
            <v>X2275_1</v>
          </cell>
          <cell r="H6011" t="str">
            <v/>
          </cell>
          <cell r="I6011" t="str">
            <v>met</v>
          </cell>
          <cell r="V6011" t="str">
            <v>0</v>
          </cell>
          <cell r="Y6011" t="str">
            <v>Pres</v>
          </cell>
          <cell r="Z6011">
            <v>4.38</v>
          </cell>
          <cell r="AA6011">
            <v>0</v>
          </cell>
          <cell r="AB6011">
            <v>0</v>
          </cell>
        </row>
        <row r="6012">
          <cell r="G6012" t="str">
            <v>X2276_0</v>
          </cell>
          <cell r="H6012" t="str">
            <v>the-of</v>
          </cell>
          <cell r="I6012" t="str">
            <v>sim</v>
          </cell>
          <cell r="V6012" t="str">
            <v>not neg pair</v>
          </cell>
          <cell r="Y6012" t="str">
            <v>Past</v>
          </cell>
          <cell r="Z6012">
            <v>4.75</v>
          </cell>
          <cell r="AA6012">
            <v>0</v>
          </cell>
          <cell r="AB6012">
            <v>0</v>
          </cell>
        </row>
        <row r="6013">
          <cell r="G6013" t="str">
            <v>X2276_1</v>
          </cell>
          <cell r="H6013" t="str">
            <v>the-of</v>
          </cell>
          <cell r="I6013" t="str">
            <v>sim</v>
          </cell>
          <cell r="V6013" t="str">
            <v>not neg pair</v>
          </cell>
          <cell r="Y6013" t="str">
            <v>Past</v>
          </cell>
          <cell r="Z6013">
            <v>4.75</v>
          </cell>
          <cell r="AA6013">
            <v>0</v>
          </cell>
          <cell r="AB6013">
            <v>0</v>
          </cell>
        </row>
        <row r="6014">
          <cell r="G6014" t="str">
            <v>X2277_0</v>
          </cell>
          <cell r="H6014" t="str">
            <v>as-as</v>
          </cell>
          <cell r="I6014" t="str">
            <v>sim</v>
          </cell>
          <cell r="V6014" t="str">
            <v>not</v>
          </cell>
          <cell r="Y6014" t="str">
            <v>Past</v>
          </cell>
          <cell r="Z6014">
            <v>4.62</v>
          </cell>
          <cell r="AA6014">
            <v>0</v>
          </cell>
          <cell r="AB6014">
            <v>0</v>
          </cell>
        </row>
        <row r="6015">
          <cell r="G6015" t="str">
            <v>X2277_1</v>
          </cell>
          <cell r="H6015" t="str">
            <v>as-as</v>
          </cell>
          <cell r="I6015" t="str">
            <v>sim</v>
          </cell>
          <cell r="V6015" t="str">
            <v>not</v>
          </cell>
          <cell r="Y6015" t="str">
            <v>Past</v>
          </cell>
          <cell r="Z6015">
            <v>4.62</v>
          </cell>
          <cell r="AA6015">
            <v>0</v>
          </cell>
          <cell r="AB6015">
            <v>0</v>
          </cell>
        </row>
        <row r="6016">
          <cell r="G6016" t="str">
            <v>X2278_0</v>
          </cell>
          <cell r="H6016" t="str">
            <v>as-as</v>
          </cell>
          <cell r="I6016" t="str">
            <v>sim</v>
          </cell>
          <cell r="V6016" t="str">
            <v>not</v>
          </cell>
          <cell r="Y6016" t="str">
            <v>Past</v>
          </cell>
          <cell r="Z6016">
            <v>4.78</v>
          </cell>
          <cell r="AA6016">
            <v>0</v>
          </cell>
          <cell r="AB6016">
            <v>0</v>
          </cell>
        </row>
        <row r="6017">
          <cell r="G6017" t="str">
            <v>X2278_1</v>
          </cell>
          <cell r="H6017" t="str">
            <v>as-as</v>
          </cell>
          <cell r="I6017" t="str">
            <v>sim</v>
          </cell>
          <cell r="V6017" t="str">
            <v>not</v>
          </cell>
          <cell r="Y6017" t="str">
            <v>Past</v>
          </cell>
          <cell r="Z6017">
            <v>4.78</v>
          </cell>
          <cell r="AA6017">
            <v>0</v>
          </cell>
          <cell r="AB6017">
            <v>0</v>
          </cell>
        </row>
        <row r="6018">
          <cell r="G6018" t="str">
            <v>X2279_0</v>
          </cell>
          <cell r="H6018" t="str">
            <v>like</v>
          </cell>
          <cell r="I6018" t="str">
            <v>sim</v>
          </cell>
          <cell r="V6018" t="str">
            <v>not neg pair</v>
          </cell>
          <cell r="Y6018" t="str">
            <v>Past</v>
          </cell>
          <cell r="Z6018">
            <v>3.36</v>
          </cell>
          <cell r="AA6018">
            <v>0</v>
          </cell>
          <cell r="AB6018">
            <v>0</v>
          </cell>
        </row>
        <row r="6019">
          <cell r="G6019" t="str">
            <v>X2279_1</v>
          </cell>
          <cell r="H6019" t="str">
            <v>like</v>
          </cell>
          <cell r="I6019" t="str">
            <v>sim</v>
          </cell>
          <cell r="V6019" t="str">
            <v>not neg pair</v>
          </cell>
          <cell r="Y6019" t="str">
            <v>Past</v>
          </cell>
          <cell r="Z6019">
            <v>3.36</v>
          </cell>
          <cell r="AA6019">
            <v>0</v>
          </cell>
          <cell r="AB6019">
            <v>0</v>
          </cell>
        </row>
        <row r="6020">
          <cell r="G6020" t="str">
            <v>X2280_0</v>
          </cell>
          <cell r="H6020" t="str">
            <v>like</v>
          </cell>
          <cell r="I6020" t="str">
            <v>sim</v>
          </cell>
          <cell r="V6020" t="str">
            <v>not</v>
          </cell>
          <cell r="Y6020" t="str">
            <v>Past</v>
          </cell>
          <cell r="Z6020">
            <v>3.93</v>
          </cell>
          <cell r="AA6020">
            <v>0</v>
          </cell>
          <cell r="AB6020">
            <v>0</v>
          </cell>
        </row>
        <row r="6021">
          <cell r="G6021" t="str">
            <v>X2280_1</v>
          </cell>
          <cell r="H6021" t="str">
            <v>like</v>
          </cell>
          <cell r="I6021" t="str">
            <v>sim</v>
          </cell>
          <cell r="V6021" t="str">
            <v>not</v>
          </cell>
          <cell r="Y6021" t="str">
            <v>Past</v>
          </cell>
          <cell r="Z6021">
            <v>3.93</v>
          </cell>
          <cell r="AA6021">
            <v>0</v>
          </cell>
          <cell r="AB6021">
            <v>0</v>
          </cell>
        </row>
        <row r="6022">
          <cell r="G6022" t="str">
            <v>X2281_0</v>
          </cell>
          <cell r="H6022" t="str">
            <v/>
          </cell>
          <cell r="I6022" t="str">
            <v>met</v>
          </cell>
          <cell r="V6022" t="str">
            <v>0</v>
          </cell>
          <cell r="Y6022" t="str">
            <v>Pres</v>
          </cell>
          <cell r="Z6022">
            <v>4.97</v>
          </cell>
          <cell r="AA6022" t="str">
            <v>H</v>
          </cell>
          <cell r="AB6022">
            <v>0</v>
          </cell>
        </row>
        <row r="6023">
          <cell r="G6023" t="str">
            <v>X2281_1</v>
          </cell>
          <cell r="H6023" t="str">
            <v/>
          </cell>
          <cell r="I6023" t="str">
            <v>met</v>
          </cell>
          <cell r="V6023" t="str">
            <v>0</v>
          </cell>
          <cell r="Y6023" t="str">
            <v>Pres</v>
          </cell>
          <cell r="Z6023">
            <v>4.97</v>
          </cell>
          <cell r="AA6023" t="str">
            <v>H</v>
          </cell>
          <cell r="AB6023">
            <v>0</v>
          </cell>
        </row>
        <row r="6024">
          <cell r="G6024" t="str">
            <v>X2282_0</v>
          </cell>
          <cell r="H6024" t="str">
            <v>the-of</v>
          </cell>
          <cell r="I6024" t="str">
            <v>sim</v>
          </cell>
          <cell r="V6024" t="str">
            <v>not neg pair</v>
          </cell>
          <cell r="Y6024" t="str">
            <v>Pres</v>
          </cell>
          <cell r="Z6024">
            <v>4.5599999999999996</v>
          </cell>
          <cell r="AA6024">
            <v>0</v>
          </cell>
          <cell r="AB6024">
            <v>0</v>
          </cell>
        </row>
        <row r="6025">
          <cell r="G6025" t="str">
            <v>X2282_1</v>
          </cell>
          <cell r="H6025" t="str">
            <v>the-of</v>
          </cell>
          <cell r="I6025" t="str">
            <v>sim</v>
          </cell>
          <cell r="V6025" t="str">
            <v>not neg pair</v>
          </cell>
          <cell r="Y6025" t="str">
            <v>Pres</v>
          </cell>
          <cell r="Z6025">
            <v>4.5599999999999996</v>
          </cell>
          <cell r="AA6025">
            <v>0</v>
          </cell>
          <cell r="AB6025">
            <v>0</v>
          </cell>
        </row>
        <row r="6026">
          <cell r="G6026" t="str">
            <v>X2283_0</v>
          </cell>
          <cell r="H6026" t="str">
            <v/>
          </cell>
          <cell r="I6026" t="str">
            <v>met</v>
          </cell>
          <cell r="V6026" t="str">
            <v>0</v>
          </cell>
          <cell r="Y6026" t="str">
            <v>Pres</v>
          </cell>
          <cell r="Z6026">
            <v>3.83</v>
          </cell>
          <cell r="AA6026">
            <v>0</v>
          </cell>
          <cell r="AB6026">
            <v>0</v>
          </cell>
        </row>
        <row r="6027">
          <cell r="G6027" t="str">
            <v>X2283_1</v>
          </cell>
          <cell r="H6027" t="str">
            <v/>
          </cell>
          <cell r="I6027" t="str">
            <v>met</v>
          </cell>
          <cell r="V6027" t="str">
            <v>0</v>
          </cell>
          <cell r="Y6027" t="str">
            <v>Pres</v>
          </cell>
          <cell r="Z6027">
            <v>3.83</v>
          </cell>
          <cell r="AA6027">
            <v>0</v>
          </cell>
          <cell r="AB6027">
            <v>0</v>
          </cell>
        </row>
        <row r="6028">
          <cell r="G6028" t="str">
            <v>X2284_0</v>
          </cell>
          <cell r="H6028" t="str">
            <v/>
          </cell>
          <cell r="I6028" t="str">
            <v>met</v>
          </cell>
          <cell r="V6028" t="str">
            <v>0</v>
          </cell>
          <cell r="Y6028" t="str">
            <v>Pres</v>
          </cell>
          <cell r="Z6028">
            <v>4.93</v>
          </cell>
          <cell r="AA6028" t="str">
            <v>H</v>
          </cell>
          <cell r="AB6028">
            <v>0</v>
          </cell>
        </row>
        <row r="6029">
          <cell r="G6029" t="str">
            <v>X2284_1</v>
          </cell>
          <cell r="H6029" t="str">
            <v/>
          </cell>
          <cell r="I6029" t="str">
            <v>met</v>
          </cell>
          <cell r="V6029" t="str">
            <v>0</v>
          </cell>
          <cell r="Y6029" t="str">
            <v>Pres</v>
          </cell>
          <cell r="Z6029">
            <v>4.93</v>
          </cell>
          <cell r="AA6029" t="str">
            <v>H</v>
          </cell>
          <cell r="AB6029">
            <v>0</v>
          </cell>
        </row>
        <row r="6030">
          <cell r="G6030" t="str">
            <v>X2285_0</v>
          </cell>
          <cell r="H6030" t="str">
            <v>as-as</v>
          </cell>
          <cell r="I6030" t="str">
            <v>sim</v>
          </cell>
          <cell r="V6030" t="str">
            <v>antonym</v>
          </cell>
          <cell r="Y6030" t="str">
            <v>Pres</v>
          </cell>
          <cell r="Z6030">
            <v>4.58</v>
          </cell>
          <cell r="AA6030">
            <v>0</v>
          </cell>
          <cell r="AB6030">
            <v>0</v>
          </cell>
        </row>
        <row r="6031">
          <cell r="G6031" t="str">
            <v>X2285_1</v>
          </cell>
          <cell r="H6031" t="str">
            <v>as-as</v>
          </cell>
          <cell r="I6031" t="str">
            <v>sim</v>
          </cell>
          <cell r="V6031" t="str">
            <v>antonym</v>
          </cell>
          <cell r="Y6031" t="str">
            <v>Pres</v>
          </cell>
          <cell r="Z6031">
            <v>4.58</v>
          </cell>
          <cell r="AA6031">
            <v>0</v>
          </cell>
          <cell r="AB6031">
            <v>0</v>
          </cell>
        </row>
        <row r="6032">
          <cell r="G6032" t="str">
            <v>X2286_0</v>
          </cell>
          <cell r="H6032" t="str">
            <v>as-as</v>
          </cell>
          <cell r="I6032" t="str">
            <v>sim</v>
          </cell>
          <cell r="V6032" t="str">
            <v>antonym</v>
          </cell>
          <cell r="Y6032" t="str">
            <v>Pres</v>
          </cell>
          <cell r="Z6032">
            <v>3.14</v>
          </cell>
          <cell r="AA6032">
            <v>0</v>
          </cell>
          <cell r="AB6032">
            <v>0</v>
          </cell>
        </row>
        <row r="6033">
          <cell r="G6033" t="str">
            <v>X2286_1</v>
          </cell>
          <cell r="H6033" t="str">
            <v>as-as</v>
          </cell>
          <cell r="I6033" t="str">
            <v>sim</v>
          </cell>
          <cell r="V6033" t="str">
            <v>antonym</v>
          </cell>
          <cell r="Y6033" t="str">
            <v>Pres</v>
          </cell>
          <cell r="Z6033">
            <v>3.14</v>
          </cell>
          <cell r="AA6033">
            <v>0</v>
          </cell>
          <cell r="AB6033">
            <v>0</v>
          </cell>
        </row>
        <row r="6034">
          <cell r="G6034" t="str">
            <v>X2287_0</v>
          </cell>
          <cell r="H6034" t="str">
            <v>as-as</v>
          </cell>
          <cell r="I6034" t="str">
            <v>sim</v>
          </cell>
          <cell r="V6034" t="str">
            <v>not neg pair</v>
          </cell>
          <cell r="Y6034" t="str">
            <v>Past</v>
          </cell>
          <cell r="Z6034">
            <v>3.13</v>
          </cell>
          <cell r="AA6034">
            <v>0</v>
          </cell>
          <cell r="AB6034">
            <v>0</v>
          </cell>
        </row>
        <row r="6035">
          <cell r="G6035" t="str">
            <v>X2287_1</v>
          </cell>
          <cell r="H6035" t="str">
            <v>as-as</v>
          </cell>
          <cell r="I6035" t="str">
            <v>sim</v>
          </cell>
          <cell r="V6035" t="str">
            <v>not neg pair</v>
          </cell>
          <cell r="Y6035" t="str">
            <v>Past</v>
          </cell>
          <cell r="Z6035">
            <v>3.13</v>
          </cell>
          <cell r="AA6035">
            <v>0</v>
          </cell>
          <cell r="AB6035">
            <v>0</v>
          </cell>
        </row>
        <row r="6036">
          <cell r="G6036" t="str">
            <v>X2288_0</v>
          </cell>
          <cell r="H6036" t="str">
            <v/>
          </cell>
          <cell r="I6036" t="str">
            <v>met</v>
          </cell>
          <cell r="V6036" t="str">
            <v>0</v>
          </cell>
          <cell r="Y6036" t="str">
            <v>Pres</v>
          </cell>
          <cell r="Z6036">
            <v>2.69</v>
          </cell>
          <cell r="AA6036" t="str">
            <v>L</v>
          </cell>
          <cell r="AB6036">
            <v>0</v>
          </cell>
        </row>
        <row r="6037">
          <cell r="G6037" t="str">
            <v>X2288_1</v>
          </cell>
          <cell r="H6037" t="str">
            <v/>
          </cell>
          <cell r="I6037" t="str">
            <v>met</v>
          </cell>
          <cell r="V6037" t="str">
            <v>0</v>
          </cell>
          <cell r="Y6037" t="str">
            <v>Pres</v>
          </cell>
          <cell r="Z6037">
            <v>2.69</v>
          </cell>
          <cell r="AA6037" t="str">
            <v>L</v>
          </cell>
          <cell r="AB6037">
            <v>0</v>
          </cell>
        </row>
        <row r="6038">
          <cell r="G6038" t="str">
            <v>X2289_0</v>
          </cell>
          <cell r="H6038" t="str">
            <v/>
          </cell>
          <cell r="I6038" t="str">
            <v>met</v>
          </cell>
          <cell r="V6038" t="str">
            <v>0</v>
          </cell>
          <cell r="Y6038" t="str">
            <v>Pres</v>
          </cell>
          <cell r="Z6038">
            <v>2.69</v>
          </cell>
          <cell r="AA6038" t="str">
            <v>L</v>
          </cell>
          <cell r="AB6038">
            <v>0</v>
          </cell>
        </row>
        <row r="6039">
          <cell r="G6039" t="str">
            <v>X2289_1</v>
          </cell>
          <cell r="H6039" t="str">
            <v/>
          </cell>
          <cell r="I6039" t="str">
            <v>met</v>
          </cell>
          <cell r="V6039" t="str">
            <v>0</v>
          </cell>
          <cell r="Y6039" t="str">
            <v>Pres</v>
          </cell>
          <cell r="Z6039">
            <v>2.69</v>
          </cell>
          <cell r="AA6039" t="str">
            <v>L</v>
          </cell>
          <cell r="AB6039">
            <v>0</v>
          </cell>
        </row>
        <row r="6040">
          <cell r="G6040" t="str">
            <v>X2290_0</v>
          </cell>
          <cell r="H6040" t="str">
            <v>as-as</v>
          </cell>
          <cell r="I6040" t="str">
            <v>sim</v>
          </cell>
          <cell r="V6040" t="str">
            <v>not neg pair</v>
          </cell>
          <cell r="Y6040" t="str">
            <v>Past</v>
          </cell>
          <cell r="Z6040">
            <v>4.63</v>
          </cell>
          <cell r="AA6040">
            <v>0</v>
          </cell>
          <cell r="AB6040">
            <v>0</v>
          </cell>
        </row>
        <row r="6041">
          <cell r="G6041" t="str">
            <v>X2290_1</v>
          </cell>
          <cell r="H6041" t="str">
            <v>as-as</v>
          </cell>
          <cell r="I6041" t="str">
            <v>sim</v>
          </cell>
          <cell r="V6041" t="str">
            <v>not neg pair</v>
          </cell>
          <cell r="Y6041" t="str">
            <v>Past</v>
          </cell>
          <cell r="Z6041">
            <v>4.63</v>
          </cell>
          <cell r="AA6041">
            <v>0</v>
          </cell>
          <cell r="AB6041">
            <v>0</v>
          </cell>
        </row>
        <row r="6042">
          <cell r="G6042" t="str">
            <v>X2291_0</v>
          </cell>
          <cell r="H6042" t="str">
            <v>the-of</v>
          </cell>
          <cell r="I6042" t="str">
            <v>sim</v>
          </cell>
          <cell r="V6042" t="str">
            <v>not neg pair</v>
          </cell>
          <cell r="Y6042" t="str">
            <v>Past</v>
          </cell>
          <cell r="Z6042">
            <v>0</v>
          </cell>
          <cell r="AA6042">
            <v>0</v>
          </cell>
          <cell r="AB6042">
            <v>0</v>
          </cell>
        </row>
        <row r="6043">
          <cell r="G6043" t="str">
            <v>X2291_1</v>
          </cell>
          <cell r="H6043" t="str">
            <v>the-of</v>
          </cell>
          <cell r="I6043" t="str">
            <v>sim</v>
          </cell>
          <cell r="V6043" t="str">
            <v>not neg pair</v>
          </cell>
          <cell r="Y6043" t="str">
            <v>Past</v>
          </cell>
          <cell r="Z6043">
            <v>0</v>
          </cell>
          <cell r="AA6043">
            <v>0</v>
          </cell>
          <cell r="AB6043">
            <v>0</v>
          </cell>
        </row>
        <row r="6044">
          <cell r="G6044" t="str">
            <v>X2292_0</v>
          </cell>
          <cell r="H6044" t="str">
            <v>like</v>
          </cell>
          <cell r="I6044" t="str">
            <v>sim</v>
          </cell>
          <cell r="V6044" t="str">
            <v>not neg pair</v>
          </cell>
          <cell r="Y6044" t="str">
            <v>Past</v>
          </cell>
          <cell r="Z6044">
            <v>4.8899999999999997</v>
          </cell>
          <cell r="AA6044">
            <v>0</v>
          </cell>
          <cell r="AB6044">
            <v>0</v>
          </cell>
        </row>
        <row r="6045">
          <cell r="G6045" t="str">
            <v>X2292_1</v>
          </cell>
          <cell r="H6045" t="str">
            <v>like</v>
          </cell>
          <cell r="I6045" t="str">
            <v>sim</v>
          </cell>
          <cell r="V6045" t="str">
            <v>not neg pair</v>
          </cell>
          <cell r="Y6045" t="str">
            <v>Past</v>
          </cell>
          <cell r="Z6045">
            <v>4.8899999999999997</v>
          </cell>
          <cell r="AA6045">
            <v>0</v>
          </cell>
          <cell r="AB6045">
            <v>0</v>
          </cell>
        </row>
        <row r="6046">
          <cell r="G6046" t="str">
            <v>X2293_0</v>
          </cell>
          <cell r="H6046" t="str">
            <v>as-as</v>
          </cell>
          <cell r="I6046" t="str">
            <v>sim</v>
          </cell>
          <cell r="V6046" t="str">
            <v>antonym</v>
          </cell>
          <cell r="Y6046" t="str">
            <v>Past</v>
          </cell>
          <cell r="Z6046">
            <v>5</v>
          </cell>
          <cell r="AA6046" t="str">
            <v>H</v>
          </cell>
          <cell r="AB6046">
            <v>0</v>
          </cell>
        </row>
        <row r="6047">
          <cell r="G6047" t="str">
            <v>X2293_1</v>
          </cell>
          <cell r="H6047" t="str">
            <v>as-as</v>
          </cell>
          <cell r="I6047" t="str">
            <v>sim</v>
          </cell>
          <cell r="V6047" t="str">
            <v>antonym</v>
          </cell>
          <cell r="Y6047" t="str">
            <v>Past</v>
          </cell>
          <cell r="Z6047">
            <v>5</v>
          </cell>
          <cell r="AA6047" t="str">
            <v>H</v>
          </cell>
          <cell r="AB6047">
            <v>0</v>
          </cell>
        </row>
        <row r="6048">
          <cell r="G6048" t="str">
            <v>X2294_0</v>
          </cell>
          <cell r="H6048" t="str">
            <v>as-as</v>
          </cell>
          <cell r="I6048" t="str">
            <v>sim</v>
          </cell>
          <cell r="V6048" t="str">
            <v>antonym</v>
          </cell>
          <cell r="Y6048" t="str">
            <v>Past</v>
          </cell>
          <cell r="Z6048">
            <v>3.3</v>
          </cell>
          <cell r="AA6048">
            <v>0</v>
          </cell>
          <cell r="AB6048">
            <v>0</v>
          </cell>
        </row>
        <row r="6049">
          <cell r="G6049" t="str">
            <v>X2294_1</v>
          </cell>
          <cell r="H6049" t="str">
            <v>as-as</v>
          </cell>
          <cell r="I6049" t="str">
            <v>sim</v>
          </cell>
          <cell r="V6049" t="str">
            <v>antonym</v>
          </cell>
          <cell r="Y6049" t="str">
            <v>Past</v>
          </cell>
          <cell r="Z6049">
            <v>3.3</v>
          </cell>
          <cell r="AA6049">
            <v>0</v>
          </cell>
          <cell r="AB6049">
            <v>0</v>
          </cell>
        </row>
        <row r="6050">
          <cell r="G6050" t="str">
            <v>X2295_0</v>
          </cell>
          <cell r="H6050" t="str">
            <v>as-as</v>
          </cell>
          <cell r="I6050" t="str">
            <v>sim</v>
          </cell>
          <cell r="V6050" t="str">
            <v>not</v>
          </cell>
          <cell r="Y6050" t="str">
            <v>Past</v>
          </cell>
          <cell r="Z6050">
            <v>3.36</v>
          </cell>
          <cell r="AA6050">
            <v>0</v>
          </cell>
          <cell r="AB6050">
            <v>0</v>
          </cell>
        </row>
        <row r="6051">
          <cell r="G6051" t="str">
            <v>X2295_1</v>
          </cell>
          <cell r="H6051" t="str">
            <v>as-as</v>
          </cell>
          <cell r="I6051" t="str">
            <v>sim</v>
          </cell>
          <cell r="V6051" t="str">
            <v>not</v>
          </cell>
          <cell r="Y6051" t="str">
            <v>Past</v>
          </cell>
          <cell r="Z6051">
            <v>3.36</v>
          </cell>
          <cell r="AA6051">
            <v>0</v>
          </cell>
          <cell r="AB6051">
            <v>0</v>
          </cell>
        </row>
        <row r="6052">
          <cell r="G6052" t="str">
            <v>X2296_0</v>
          </cell>
          <cell r="H6052" t="str">
            <v>like</v>
          </cell>
          <cell r="I6052" t="str">
            <v>sim</v>
          </cell>
          <cell r="V6052" t="str">
            <v>not neg pair</v>
          </cell>
          <cell r="Y6052" t="str">
            <v>Past</v>
          </cell>
          <cell r="Z6052">
            <v>4.63</v>
          </cell>
          <cell r="AA6052">
            <v>0</v>
          </cell>
          <cell r="AB6052">
            <v>0</v>
          </cell>
        </row>
        <row r="6053">
          <cell r="G6053" t="str">
            <v>X2296_1</v>
          </cell>
          <cell r="H6053" t="str">
            <v>like</v>
          </cell>
          <cell r="I6053" t="str">
            <v>sim</v>
          </cell>
          <cell r="V6053" t="str">
            <v>not neg pair</v>
          </cell>
          <cell r="Y6053" t="str">
            <v>Past</v>
          </cell>
          <cell r="Z6053">
            <v>4.63</v>
          </cell>
          <cell r="AA6053">
            <v>0</v>
          </cell>
          <cell r="AB6053">
            <v>0</v>
          </cell>
        </row>
        <row r="6054">
          <cell r="G6054" t="str">
            <v>X2297_0</v>
          </cell>
          <cell r="H6054" t="str">
            <v>as-as</v>
          </cell>
          <cell r="I6054" t="str">
            <v>sim</v>
          </cell>
          <cell r="V6054" t="str">
            <v>antonym</v>
          </cell>
          <cell r="Y6054" t="str">
            <v>Pres</v>
          </cell>
          <cell r="Z6054">
            <v>1.86</v>
          </cell>
          <cell r="AA6054" t="str">
            <v>L</v>
          </cell>
          <cell r="AB6054">
            <v>0</v>
          </cell>
        </row>
        <row r="6055">
          <cell r="G6055" t="str">
            <v>X2297_1</v>
          </cell>
          <cell r="H6055" t="str">
            <v>as-as</v>
          </cell>
          <cell r="I6055" t="str">
            <v>sim</v>
          </cell>
          <cell r="V6055" t="str">
            <v>antonym</v>
          </cell>
          <cell r="Y6055" t="str">
            <v>Pres</v>
          </cell>
          <cell r="Z6055">
            <v>1.86</v>
          </cell>
          <cell r="AA6055" t="str">
            <v>L</v>
          </cell>
          <cell r="AB6055">
            <v>0</v>
          </cell>
        </row>
        <row r="6056">
          <cell r="G6056" t="str">
            <v>X2298_0</v>
          </cell>
          <cell r="H6056" t="str">
            <v/>
          </cell>
          <cell r="I6056" t="str">
            <v>met</v>
          </cell>
          <cell r="V6056" t="str">
            <v>0</v>
          </cell>
          <cell r="Y6056" t="str">
            <v>Past</v>
          </cell>
          <cell r="Z6056">
            <v>4.1500000000000004</v>
          </cell>
          <cell r="AA6056">
            <v>0</v>
          </cell>
          <cell r="AB6056">
            <v>0</v>
          </cell>
        </row>
        <row r="6057">
          <cell r="G6057" t="str">
            <v>X2298_1</v>
          </cell>
          <cell r="H6057" t="str">
            <v/>
          </cell>
          <cell r="I6057" t="str">
            <v>met</v>
          </cell>
          <cell r="V6057" t="str">
            <v>0</v>
          </cell>
          <cell r="Y6057" t="str">
            <v>Past</v>
          </cell>
          <cell r="Z6057">
            <v>4.1500000000000004</v>
          </cell>
          <cell r="AA6057">
            <v>0</v>
          </cell>
          <cell r="AB6057">
            <v>0</v>
          </cell>
        </row>
        <row r="6058">
          <cell r="G6058" t="str">
            <v>X2299_0</v>
          </cell>
          <cell r="H6058" t="str">
            <v/>
          </cell>
          <cell r="I6058" t="str">
            <v>met</v>
          </cell>
          <cell r="V6058" t="str">
            <v>0</v>
          </cell>
          <cell r="Y6058" t="str">
            <v>Past</v>
          </cell>
          <cell r="Z6058">
            <v>4.9000000000000004</v>
          </cell>
          <cell r="AA6058">
            <v>0</v>
          </cell>
          <cell r="AB6058">
            <v>0</v>
          </cell>
        </row>
        <row r="6059">
          <cell r="G6059" t="str">
            <v>X2299_1</v>
          </cell>
          <cell r="H6059" t="str">
            <v/>
          </cell>
          <cell r="I6059" t="str">
            <v>met</v>
          </cell>
          <cell r="V6059" t="str">
            <v>0</v>
          </cell>
          <cell r="Y6059" t="str">
            <v>Past</v>
          </cell>
          <cell r="Z6059">
            <v>4.9000000000000004</v>
          </cell>
          <cell r="AA6059">
            <v>0</v>
          </cell>
          <cell r="AB6059">
            <v>0</v>
          </cell>
        </row>
        <row r="6060">
          <cell r="G6060" t="str">
            <v>X2300_0</v>
          </cell>
          <cell r="H6060" t="str">
            <v/>
          </cell>
          <cell r="I6060" t="str">
            <v>met</v>
          </cell>
          <cell r="V6060" t="str">
            <v>0</v>
          </cell>
          <cell r="Y6060" t="str">
            <v>Pres</v>
          </cell>
          <cell r="Z6060">
            <v>3.52</v>
          </cell>
          <cell r="AA6060">
            <v>0</v>
          </cell>
          <cell r="AB6060">
            <v>0</v>
          </cell>
        </row>
        <row r="6061">
          <cell r="G6061" t="str">
            <v>X2300_1</v>
          </cell>
          <cell r="H6061" t="str">
            <v/>
          </cell>
          <cell r="I6061" t="str">
            <v>met</v>
          </cell>
          <cell r="V6061" t="str">
            <v>0</v>
          </cell>
          <cell r="Y6061" t="str">
            <v>Pres</v>
          </cell>
          <cell r="Z6061">
            <v>3.52</v>
          </cell>
          <cell r="AA6061">
            <v>0</v>
          </cell>
          <cell r="AB6061">
            <v>0</v>
          </cell>
        </row>
        <row r="6062">
          <cell r="G6062" t="str">
            <v>X2301_0</v>
          </cell>
          <cell r="H6062" t="str">
            <v/>
          </cell>
          <cell r="I6062" t="str">
            <v>met</v>
          </cell>
          <cell r="V6062" t="str">
            <v>0</v>
          </cell>
          <cell r="Y6062" t="str">
            <v>Pres</v>
          </cell>
          <cell r="Z6062">
            <v>2.69</v>
          </cell>
          <cell r="AA6062" t="str">
            <v>L</v>
          </cell>
          <cell r="AB6062">
            <v>0</v>
          </cell>
        </row>
        <row r="6063">
          <cell r="G6063" t="str">
            <v>X2301_1</v>
          </cell>
          <cell r="H6063" t="str">
            <v/>
          </cell>
          <cell r="I6063" t="str">
            <v>met</v>
          </cell>
          <cell r="V6063" t="str">
            <v>0</v>
          </cell>
          <cell r="Y6063" t="str">
            <v>Pres</v>
          </cell>
          <cell r="Z6063">
            <v>2.69</v>
          </cell>
          <cell r="AA6063" t="str">
            <v>L</v>
          </cell>
          <cell r="AB6063">
            <v>0</v>
          </cell>
        </row>
        <row r="6064">
          <cell r="G6064" t="str">
            <v>X2302_0</v>
          </cell>
          <cell r="H6064" t="str">
            <v/>
          </cell>
          <cell r="I6064" t="str">
            <v>met</v>
          </cell>
          <cell r="V6064" t="str">
            <v>0</v>
          </cell>
          <cell r="Y6064" t="str">
            <v>Past</v>
          </cell>
          <cell r="Z6064">
            <v>4.13</v>
          </cell>
          <cell r="AA6064">
            <v>0</v>
          </cell>
          <cell r="AB6064">
            <v>0</v>
          </cell>
        </row>
        <row r="6065">
          <cell r="G6065" t="str">
            <v>X2302_1</v>
          </cell>
          <cell r="H6065" t="str">
            <v/>
          </cell>
          <cell r="I6065" t="str">
            <v>met</v>
          </cell>
          <cell r="V6065" t="str">
            <v>0</v>
          </cell>
          <cell r="Y6065" t="str">
            <v>Pres</v>
          </cell>
          <cell r="Z6065">
            <v>4.13</v>
          </cell>
          <cell r="AA6065">
            <v>0</v>
          </cell>
          <cell r="AB6065">
            <v>0</v>
          </cell>
        </row>
        <row r="6066">
          <cell r="G6066" t="str">
            <v>X2303_0</v>
          </cell>
          <cell r="H6066" t="str">
            <v/>
          </cell>
          <cell r="I6066" t="str">
            <v>met</v>
          </cell>
          <cell r="V6066" t="str">
            <v>0</v>
          </cell>
          <cell r="Y6066" t="str">
            <v>Past</v>
          </cell>
          <cell r="Z6066">
            <v>1.43</v>
          </cell>
          <cell r="AA6066" t="str">
            <v>L</v>
          </cell>
          <cell r="AB6066">
            <v>0</v>
          </cell>
        </row>
        <row r="6067">
          <cell r="G6067" t="str">
            <v>X2303_1</v>
          </cell>
          <cell r="H6067" t="str">
            <v/>
          </cell>
          <cell r="I6067" t="str">
            <v>met</v>
          </cell>
          <cell r="V6067" t="str">
            <v>0</v>
          </cell>
          <cell r="Y6067" t="str">
            <v>Past</v>
          </cell>
          <cell r="Z6067">
            <v>1.43</v>
          </cell>
          <cell r="AA6067" t="str">
            <v>L</v>
          </cell>
          <cell r="AB6067">
            <v>0</v>
          </cell>
        </row>
        <row r="6068">
          <cell r="G6068" t="str">
            <v>X2304_0</v>
          </cell>
          <cell r="H6068" t="str">
            <v/>
          </cell>
          <cell r="I6068" t="str">
            <v>met</v>
          </cell>
          <cell r="V6068" t="str">
            <v>0</v>
          </cell>
          <cell r="Y6068" t="str">
            <v>Past</v>
          </cell>
          <cell r="Z6068">
            <v>4.63</v>
          </cell>
          <cell r="AA6068">
            <v>0</v>
          </cell>
          <cell r="AB6068">
            <v>0</v>
          </cell>
        </row>
        <row r="6069">
          <cell r="G6069" t="str">
            <v>X2304_1</v>
          </cell>
          <cell r="H6069" t="str">
            <v/>
          </cell>
          <cell r="I6069" t="str">
            <v>met</v>
          </cell>
          <cell r="V6069" t="str">
            <v>0</v>
          </cell>
          <cell r="Y6069" t="str">
            <v>Past</v>
          </cell>
          <cell r="Z6069">
            <v>4.63</v>
          </cell>
          <cell r="AA6069">
            <v>0</v>
          </cell>
          <cell r="AB6069">
            <v>0</v>
          </cell>
        </row>
        <row r="6070">
          <cell r="G6070" t="str">
            <v>X2305_0</v>
          </cell>
          <cell r="H6070" t="str">
            <v/>
          </cell>
          <cell r="I6070" t="str">
            <v>met</v>
          </cell>
          <cell r="V6070" t="str">
            <v>0</v>
          </cell>
          <cell r="Y6070" t="str">
            <v>Past</v>
          </cell>
          <cell r="Z6070">
            <v>1.86</v>
          </cell>
          <cell r="AA6070" t="str">
            <v>L</v>
          </cell>
          <cell r="AB6070">
            <v>0</v>
          </cell>
        </row>
        <row r="6071">
          <cell r="G6071" t="str">
            <v>X2305_1</v>
          </cell>
          <cell r="H6071" t="str">
            <v/>
          </cell>
          <cell r="I6071" t="str">
            <v>met</v>
          </cell>
          <cell r="V6071" t="str">
            <v>0</v>
          </cell>
          <cell r="Y6071" t="str">
            <v>Past</v>
          </cell>
          <cell r="Z6071">
            <v>1.86</v>
          </cell>
          <cell r="AA6071" t="str">
            <v>L</v>
          </cell>
          <cell r="AB6071">
            <v>0</v>
          </cell>
        </row>
        <row r="6072">
          <cell r="G6072" t="str">
            <v>X2306_0</v>
          </cell>
          <cell r="H6072" t="str">
            <v>like</v>
          </cell>
          <cell r="I6072" t="str">
            <v>sim</v>
          </cell>
          <cell r="V6072" t="str">
            <v>not neg pair</v>
          </cell>
          <cell r="Y6072" t="str">
            <v>Pres</v>
          </cell>
          <cell r="Z6072">
            <v>3.93</v>
          </cell>
          <cell r="AA6072">
            <v>0</v>
          </cell>
          <cell r="AB6072">
            <v>0</v>
          </cell>
        </row>
        <row r="6073">
          <cell r="G6073" t="str">
            <v>X2306_1</v>
          </cell>
          <cell r="H6073" t="str">
            <v>like</v>
          </cell>
          <cell r="I6073" t="str">
            <v>sim</v>
          </cell>
          <cell r="V6073" t="str">
            <v>not neg pair</v>
          </cell>
          <cell r="Y6073" t="str">
            <v>Pres</v>
          </cell>
          <cell r="Z6073">
            <v>3.93</v>
          </cell>
          <cell r="AA6073">
            <v>0</v>
          </cell>
          <cell r="AB6073">
            <v>0</v>
          </cell>
        </row>
        <row r="6074">
          <cell r="G6074" t="str">
            <v>X2307_0</v>
          </cell>
          <cell r="H6074" t="str">
            <v>like</v>
          </cell>
          <cell r="I6074" t="str">
            <v>sim</v>
          </cell>
          <cell r="V6074" t="str">
            <v>not neg pair</v>
          </cell>
          <cell r="Y6074" t="str">
            <v>Past</v>
          </cell>
          <cell r="Z6074">
            <v>4.6100000000000003</v>
          </cell>
          <cell r="AA6074">
            <v>0</v>
          </cell>
          <cell r="AB6074">
            <v>0</v>
          </cell>
        </row>
        <row r="6075">
          <cell r="G6075" t="str">
            <v>X2307_1</v>
          </cell>
          <cell r="H6075" t="str">
            <v>like</v>
          </cell>
          <cell r="I6075" t="str">
            <v>sim</v>
          </cell>
          <cell r="V6075" t="str">
            <v>not neg pair</v>
          </cell>
          <cell r="Y6075" t="str">
            <v>Past</v>
          </cell>
          <cell r="Z6075">
            <v>4.6100000000000003</v>
          </cell>
          <cell r="AA6075">
            <v>0</v>
          </cell>
          <cell r="AB6075">
            <v>0</v>
          </cell>
        </row>
        <row r="6076">
          <cell r="G6076" t="str">
            <v>X2308_0</v>
          </cell>
          <cell r="H6076" t="str">
            <v>as-as</v>
          </cell>
          <cell r="I6076" t="str">
            <v>sim</v>
          </cell>
          <cell r="V6076" t="str">
            <v>not</v>
          </cell>
          <cell r="Y6076" t="str">
            <v>Pres</v>
          </cell>
          <cell r="Z6076">
            <v>4.79</v>
          </cell>
          <cell r="AA6076">
            <v>0</v>
          </cell>
          <cell r="AB6076">
            <v>0</v>
          </cell>
        </row>
        <row r="6077">
          <cell r="G6077" t="str">
            <v>X2308_1</v>
          </cell>
          <cell r="H6077" t="str">
            <v>as-as</v>
          </cell>
          <cell r="I6077" t="str">
            <v>sim</v>
          </cell>
          <cell r="V6077" t="str">
            <v>not</v>
          </cell>
          <cell r="Y6077" t="str">
            <v>Pres</v>
          </cell>
          <cell r="Z6077">
            <v>4.79</v>
          </cell>
          <cell r="AA6077">
            <v>0</v>
          </cell>
          <cell r="AB6077">
            <v>0</v>
          </cell>
        </row>
        <row r="6078">
          <cell r="G6078" t="str">
            <v>X2309_0</v>
          </cell>
          <cell r="H6078" t="str">
            <v>as-as</v>
          </cell>
          <cell r="I6078" t="str">
            <v>sim</v>
          </cell>
          <cell r="V6078" t="str">
            <v>not</v>
          </cell>
          <cell r="Y6078" t="str">
            <v>Pres</v>
          </cell>
          <cell r="Z6078">
            <v>4.76</v>
          </cell>
          <cell r="AA6078">
            <v>0</v>
          </cell>
          <cell r="AB6078">
            <v>0</v>
          </cell>
        </row>
        <row r="6079">
          <cell r="G6079" t="str">
            <v>X2309_1</v>
          </cell>
          <cell r="H6079" t="str">
            <v>as-as</v>
          </cell>
          <cell r="I6079" t="str">
            <v>sim</v>
          </cell>
          <cell r="V6079" t="str">
            <v>not</v>
          </cell>
          <cell r="Y6079" t="str">
            <v>Pres</v>
          </cell>
          <cell r="Z6079">
            <v>4.76</v>
          </cell>
          <cell r="AA6079">
            <v>0</v>
          </cell>
          <cell r="AB6079">
            <v>0</v>
          </cell>
        </row>
        <row r="6080">
          <cell r="G6080" t="str">
            <v>X2310_0</v>
          </cell>
          <cell r="H6080" t="str">
            <v>as-as</v>
          </cell>
          <cell r="I6080" t="str">
            <v>sim</v>
          </cell>
          <cell r="V6080" t="str">
            <v>not</v>
          </cell>
          <cell r="Y6080" t="str">
            <v>Past</v>
          </cell>
          <cell r="Z6080">
            <v>4.59</v>
          </cell>
          <cell r="AA6080">
            <v>0</v>
          </cell>
          <cell r="AB6080">
            <v>0</v>
          </cell>
        </row>
        <row r="6081">
          <cell r="G6081" t="str">
            <v>X2310_1</v>
          </cell>
          <cell r="H6081" t="str">
            <v>as-as</v>
          </cell>
          <cell r="I6081" t="str">
            <v>sim</v>
          </cell>
          <cell r="V6081" t="str">
            <v>not</v>
          </cell>
          <cell r="Y6081" t="str">
            <v>Past</v>
          </cell>
          <cell r="Z6081">
            <v>4.59</v>
          </cell>
          <cell r="AA6081">
            <v>0</v>
          </cell>
          <cell r="AB6081">
            <v>0</v>
          </cell>
        </row>
        <row r="6082">
          <cell r="G6082" t="str">
            <v>X2311_0</v>
          </cell>
          <cell r="H6082" t="str">
            <v>like</v>
          </cell>
          <cell r="I6082" t="str">
            <v>sim</v>
          </cell>
          <cell r="V6082" t="str">
            <v>not neg pair</v>
          </cell>
          <cell r="Y6082" t="str">
            <v>Pres</v>
          </cell>
          <cell r="Z6082">
            <v>2.93</v>
          </cell>
          <cell r="AA6082">
            <v>0</v>
          </cell>
          <cell r="AB6082">
            <v>0</v>
          </cell>
        </row>
        <row r="6083">
          <cell r="G6083" t="str">
            <v>X2311_1</v>
          </cell>
          <cell r="H6083" t="str">
            <v>like</v>
          </cell>
          <cell r="I6083" t="str">
            <v>sim</v>
          </cell>
          <cell r="V6083" t="str">
            <v>not neg pair</v>
          </cell>
          <cell r="Y6083" t="str">
            <v>Past</v>
          </cell>
          <cell r="Z6083">
            <v>4.8899999999999997</v>
          </cell>
          <cell r="AA6083">
            <v>0</v>
          </cell>
          <cell r="AB6083">
            <v>0</v>
          </cell>
        </row>
        <row r="6084">
          <cell r="G6084" t="str">
            <v>X2312_0</v>
          </cell>
          <cell r="H6084" t="str">
            <v>like</v>
          </cell>
          <cell r="I6084" t="str">
            <v>sim</v>
          </cell>
          <cell r="V6084" t="str">
            <v>not</v>
          </cell>
          <cell r="Y6084" t="str">
            <v>Past</v>
          </cell>
          <cell r="Z6084">
            <v>3.07</v>
          </cell>
          <cell r="AA6084">
            <v>0</v>
          </cell>
          <cell r="AB6084">
            <v>0</v>
          </cell>
        </row>
        <row r="6085">
          <cell r="G6085" t="str">
            <v>X2312_1</v>
          </cell>
          <cell r="H6085" t="str">
            <v>like</v>
          </cell>
          <cell r="I6085" t="str">
            <v>sim</v>
          </cell>
          <cell r="V6085" t="str">
            <v>not</v>
          </cell>
          <cell r="Y6085">
            <v>0</v>
          </cell>
          <cell r="Z6085">
            <v>3.08</v>
          </cell>
          <cell r="AA6085">
            <v>0</v>
          </cell>
          <cell r="AB6085">
            <v>0</v>
          </cell>
        </row>
        <row r="6086">
          <cell r="G6086" t="str">
            <v>X2313_0</v>
          </cell>
          <cell r="H6086" t="str">
            <v/>
          </cell>
          <cell r="I6086" t="str">
            <v>met</v>
          </cell>
          <cell r="V6086" t="str">
            <v>0</v>
          </cell>
          <cell r="Y6086" t="str">
            <v>Pres</v>
          </cell>
          <cell r="Z6086">
            <v>3.37</v>
          </cell>
          <cell r="AA6086">
            <v>0</v>
          </cell>
          <cell r="AB6086">
            <v>0</v>
          </cell>
        </row>
        <row r="6087">
          <cell r="G6087" t="str">
            <v>X2313_1</v>
          </cell>
          <cell r="H6087" t="str">
            <v/>
          </cell>
          <cell r="I6087" t="str">
            <v>met</v>
          </cell>
          <cell r="V6087" t="str">
            <v>0</v>
          </cell>
          <cell r="Y6087" t="str">
            <v>Past</v>
          </cell>
          <cell r="Z6087">
            <v>3.37</v>
          </cell>
          <cell r="AA6087">
            <v>0</v>
          </cell>
          <cell r="AB6087">
            <v>0</v>
          </cell>
        </row>
        <row r="6088">
          <cell r="G6088" t="str">
            <v>X2314_0</v>
          </cell>
          <cell r="H6088" t="str">
            <v/>
          </cell>
          <cell r="I6088" t="str">
            <v>met</v>
          </cell>
          <cell r="V6088" t="str">
            <v>0</v>
          </cell>
          <cell r="Y6088" t="str">
            <v>Past</v>
          </cell>
          <cell r="Z6088">
            <v>4.8899999999999997</v>
          </cell>
          <cell r="AA6088">
            <v>0</v>
          </cell>
          <cell r="AB6088">
            <v>0</v>
          </cell>
        </row>
        <row r="6089">
          <cell r="G6089" t="str">
            <v>X2314_1</v>
          </cell>
          <cell r="H6089" t="str">
            <v/>
          </cell>
          <cell r="I6089" t="str">
            <v>met</v>
          </cell>
          <cell r="V6089" t="str">
            <v>0</v>
          </cell>
          <cell r="Y6089" t="str">
            <v>Pres</v>
          </cell>
          <cell r="Z6089">
            <v>4.8899999999999997</v>
          </cell>
          <cell r="AA6089">
            <v>0</v>
          </cell>
          <cell r="AB6089">
            <v>0</v>
          </cell>
        </row>
        <row r="6090">
          <cell r="G6090" t="str">
            <v>X2315_0</v>
          </cell>
          <cell r="H6090" t="str">
            <v>as-as</v>
          </cell>
          <cell r="I6090" t="str">
            <v>sim</v>
          </cell>
          <cell r="V6090" t="str">
            <v>not neg pair</v>
          </cell>
          <cell r="Y6090" t="str">
            <v>Past</v>
          </cell>
          <cell r="Z6090">
            <v>5</v>
          </cell>
          <cell r="AA6090" t="str">
            <v>H</v>
          </cell>
          <cell r="AB6090">
            <v>0</v>
          </cell>
        </row>
        <row r="6091">
          <cell r="G6091" t="str">
            <v>X2315_1</v>
          </cell>
          <cell r="H6091" t="str">
            <v>as-as</v>
          </cell>
          <cell r="I6091" t="str">
            <v>sim</v>
          </cell>
          <cell r="V6091" t="str">
            <v>not neg pair</v>
          </cell>
          <cell r="Y6091" t="str">
            <v>Past</v>
          </cell>
          <cell r="Z6091">
            <v>5</v>
          </cell>
          <cell r="AA6091" t="str">
            <v>H</v>
          </cell>
          <cell r="AB6091">
            <v>0</v>
          </cell>
        </row>
        <row r="6092">
          <cell r="G6092" t="str">
            <v>X2316_0</v>
          </cell>
          <cell r="H6092" t="str">
            <v>as-as</v>
          </cell>
          <cell r="I6092" t="str">
            <v>sim</v>
          </cell>
          <cell r="V6092" t="str">
            <v>antonym</v>
          </cell>
          <cell r="Y6092" t="str">
            <v>Past</v>
          </cell>
          <cell r="Z6092">
            <v>4.92</v>
          </cell>
          <cell r="AA6092" t="str">
            <v>H</v>
          </cell>
          <cell r="AB6092">
            <v>0</v>
          </cell>
        </row>
        <row r="6093">
          <cell r="G6093" t="str">
            <v>X2316_1</v>
          </cell>
          <cell r="H6093" t="str">
            <v>as-as</v>
          </cell>
          <cell r="I6093" t="str">
            <v>sim</v>
          </cell>
          <cell r="V6093" t="str">
            <v>antonym</v>
          </cell>
          <cell r="Y6093" t="str">
            <v>Past</v>
          </cell>
          <cell r="Z6093">
            <v>4.92</v>
          </cell>
          <cell r="AA6093" t="str">
            <v>H</v>
          </cell>
          <cell r="AB6093">
            <v>0</v>
          </cell>
        </row>
        <row r="6094">
          <cell r="G6094" t="str">
            <v>X2317_0</v>
          </cell>
          <cell r="H6094" t="str">
            <v>as-as</v>
          </cell>
          <cell r="I6094" t="str">
            <v>sim</v>
          </cell>
          <cell r="V6094" t="str">
            <v>antonym</v>
          </cell>
          <cell r="Y6094" t="str">
            <v>Past</v>
          </cell>
          <cell r="Z6094">
            <v>4.68</v>
          </cell>
          <cell r="AA6094">
            <v>0</v>
          </cell>
          <cell r="AB6094">
            <v>0</v>
          </cell>
        </row>
        <row r="6095">
          <cell r="G6095" t="str">
            <v>X2317_1</v>
          </cell>
          <cell r="H6095" t="str">
            <v>as-as</v>
          </cell>
          <cell r="I6095" t="str">
            <v>sim</v>
          </cell>
          <cell r="V6095" t="str">
            <v>antonym</v>
          </cell>
          <cell r="Y6095" t="str">
            <v>Past</v>
          </cell>
          <cell r="Z6095">
            <v>4.68</v>
          </cell>
          <cell r="AA6095">
            <v>0</v>
          </cell>
          <cell r="AB6095">
            <v>0</v>
          </cell>
        </row>
        <row r="6096">
          <cell r="G6096" t="str">
            <v>X2318_0</v>
          </cell>
          <cell r="H6096" t="str">
            <v>the-of</v>
          </cell>
          <cell r="I6096" t="str">
            <v>sim</v>
          </cell>
          <cell r="V6096" t="str">
            <v>not neg pair</v>
          </cell>
          <cell r="Y6096" t="str">
            <v>Pres</v>
          </cell>
          <cell r="Z6096">
            <v>3.85</v>
          </cell>
          <cell r="AA6096">
            <v>0</v>
          </cell>
          <cell r="AB6096">
            <v>0</v>
          </cell>
        </row>
        <row r="6097">
          <cell r="G6097" t="str">
            <v>X2318_1</v>
          </cell>
          <cell r="H6097" t="str">
            <v>the-of</v>
          </cell>
          <cell r="I6097" t="str">
            <v>sim</v>
          </cell>
          <cell r="V6097" t="str">
            <v>not neg pair</v>
          </cell>
          <cell r="Y6097" t="str">
            <v>Pres</v>
          </cell>
          <cell r="Z6097">
            <v>3.85</v>
          </cell>
          <cell r="AA6097">
            <v>0</v>
          </cell>
          <cell r="AB6097">
            <v>0</v>
          </cell>
        </row>
        <row r="6098">
          <cell r="G6098" t="str">
            <v>X2319_0</v>
          </cell>
          <cell r="H6098" t="str">
            <v/>
          </cell>
          <cell r="I6098" t="str">
            <v>met</v>
          </cell>
          <cell r="V6098" t="str">
            <v>0</v>
          </cell>
          <cell r="Y6098" t="str">
            <v>Past</v>
          </cell>
          <cell r="Z6098">
            <v>3.93</v>
          </cell>
          <cell r="AA6098">
            <v>0</v>
          </cell>
          <cell r="AB6098">
            <v>0</v>
          </cell>
        </row>
        <row r="6099">
          <cell r="G6099" t="str">
            <v>X2319_1</v>
          </cell>
          <cell r="H6099" t="str">
            <v/>
          </cell>
          <cell r="I6099" t="str">
            <v>met</v>
          </cell>
          <cell r="V6099" t="str">
            <v>0</v>
          </cell>
          <cell r="Y6099" t="str">
            <v>Past</v>
          </cell>
          <cell r="Z6099">
            <v>3.93</v>
          </cell>
          <cell r="AA6099">
            <v>0</v>
          </cell>
          <cell r="AB6099">
            <v>0</v>
          </cell>
        </row>
        <row r="6100">
          <cell r="G6100" t="str">
            <v>X2320_0</v>
          </cell>
          <cell r="H6100" t="str">
            <v>the-of</v>
          </cell>
          <cell r="I6100" t="str">
            <v>sim</v>
          </cell>
          <cell r="V6100" t="str">
            <v>not neg pair</v>
          </cell>
          <cell r="Y6100" t="str">
            <v>Past</v>
          </cell>
          <cell r="Z6100">
            <v>3.93</v>
          </cell>
          <cell r="AA6100">
            <v>0</v>
          </cell>
          <cell r="AB6100">
            <v>0</v>
          </cell>
        </row>
        <row r="6101">
          <cell r="G6101" t="str">
            <v>X2320_1</v>
          </cell>
          <cell r="H6101" t="str">
            <v>the-of</v>
          </cell>
          <cell r="I6101" t="str">
            <v>sim</v>
          </cell>
          <cell r="V6101" t="str">
            <v>not neg pair</v>
          </cell>
          <cell r="Y6101" t="str">
            <v>Pres</v>
          </cell>
          <cell r="Z6101">
            <v>3.93</v>
          </cell>
          <cell r="AA6101">
            <v>0</v>
          </cell>
          <cell r="AB6101">
            <v>0</v>
          </cell>
        </row>
        <row r="6102">
          <cell r="G6102" t="str">
            <v>X2321_0</v>
          </cell>
          <cell r="H6102" t="str">
            <v>the-of</v>
          </cell>
          <cell r="I6102" t="str">
            <v>sim</v>
          </cell>
          <cell r="V6102" t="str">
            <v>not neg pair</v>
          </cell>
          <cell r="Y6102" t="str">
            <v>Pres</v>
          </cell>
          <cell r="Z6102">
            <v>3.93</v>
          </cell>
          <cell r="AA6102">
            <v>0</v>
          </cell>
          <cell r="AB6102">
            <v>0</v>
          </cell>
        </row>
        <row r="6103">
          <cell r="G6103" t="str">
            <v>X2321_1</v>
          </cell>
          <cell r="H6103" t="str">
            <v>the-of</v>
          </cell>
          <cell r="I6103" t="str">
            <v>sim</v>
          </cell>
          <cell r="V6103" t="str">
            <v>not neg pair</v>
          </cell>
          <cell r="Y6103" t="str">
            <v>Pres</v>
          </cell>
          <cell r="Z6103">
            <v>3.93</v>
          </cell>
          <cell r="AA6103">
            <v>0</v>
          </cell>
          <cell r="AB6103">
            <v>0</v>
          </cell>
        </row>
        <row r="6104">
          <cell r="G6104" t="str">
            <v>X2322_0</v>
          </cell>
          <cell r="H6104" t="str">
            <v>the-of</v>
          </cell>
          <cell r="I6104" t="str">
            <v>sim</v>
          </cell>
          <cell r="V6104" t="str">
            <v>not</v>
          </cell>
          <cell r="Y6104" t="str">
            <v>Pres</v>
          </cell>
          <cell r="Z6104">
            <v>3.93</v>
          </cell>
          <cell r="AA6104">
            <v>0</v>
          </cell>
          <cell r="AB6104">
            <v>0</v>
          </cell>
        </row>
        <row r="6105">
          <cell r="G6105" t="str">
            <v>X2322_1</v>
          </cell>
          <cell r="H6105" t="str">
            <v>the-of</v>
          </cell>
          <cell r="I6105" t="str">
            <v>sim</v>
          </cell>
          <cell r="V6105" t="str">
            <v>not</v>
          </cell>
          <cell r="Y6105" t="str">
            <v>Pres</v>
          </cell>
          <cell r="Z6105">
            <v>3.93</v>
          </cell>
          <cell r="AA6105">
            <v>0</v>
          </cell>
          <cell r="AB6105">
            <v>0</v>
          </cell>
        </row>
        <row r="6106">
          <cell r="G6106" t="str">
            <v>X2323_0</v>
          </cell>
          <cell r="H6106" t="str">
            <v>the-of</v>
          </cell>
          <cell r="I6106" t="str">
            <v>sim</v>
          </cell>
          <cell r="V6106" t="str">
            <v>not neg pair</v>
          </cell>
          <cell r="Y6106" t="str">
            <v>Pres</v>
          </cell>
          <cell r="Z6106">
            <v>4.21</v>
          </cell>
          <cell r="AA6106">
            <v>0</v>
          </cell>
          <cell r="AB6106">
            <v>0</v>
          </cell>
        </row>
        <row r="6107">
          <cell r="G6107" t="str">
            <v>X2323_1</v>
          </cell>
          <cell r="H6107" t="str">
            <v>the-of</v>
          </cell>
          <cell r="I6107" t="str">
            <v>sim</v>
          </cell>
          <cell r="V6107" t="str">
            <v>not neg pair</v>
          </cell>
          <cell r="Y6107" t="str">
            <v>Pres</v>
          </cell>
          <cell r="Z6107">
            <v>4.21</v>
          </cell>
          <cell r="AA6107">
            <v>0</v>
          </cell>
          <cell r="AB6107">
            <v>0</v>
          </cell>
        </row>
        <row r="6108">
          <cell r="G6108" t="str">
            <v>X2324_0</v>
          </cell>
          <cell r="H6108" t="str">
            <v/>
          </cell>
          <cell r="I6108" t="str">
            <v>met</v>
          </cell>
          <cell r="V6108" t="str">
            <v>0</v>
          </cell>
          <cell r="Y6108" t="str">
            <v>Pres</v>
          </cell>
          <cell r="Z6108">
            <v>4.45</v>
          </cell>
          <cell r="AA6108">
            <v>0</v>
          </cell>
          <cell r="AB6108">
            <v>0</v>
          </cell>
        </row>
        <row r="6109">
          <cell r="G6109" t="str">
            <v>X2324_1</v>
          </cell>
          <cell r="H6109" t="str">
            <v/>
          </cell>
          <cell r="I6109" t="str">
            <v>met</v>
          </cell>
          <cell r="V6109" t="str">
            <v>0</v>
          </cell>
          <cell r="Y6109" t="str">
            <v>Pres</v>
          </cell>
          <cell r="Z6109">
            <v>4.45</v>
          </cell>
          <cell r="AA6109">
            <v>0</v>
          </cell>
          <cell r="AB6109">
            <v>0</v>
          </cell>
        </row>
        <row r="6110">
          <cell r="G6110" t="str">
            <v>X2325_0</v>
          </cell>
          <cell r="H6110" t="str">
            <v/>
          </cell>
          <cell r="I6110" t="str">
            <v>met</v>
          </cell>
          <cell r="V6110" t="str">
            <v>0</v>
          </cell>
          <cell r="Y6110" t="str">
            <v>Pres</v>
          </cell>
          <cell r="Z6110">
            <v>4.97</v>
          </cell>
          <cell r="AA6110" t="str">
            <v>H</v>
          </cell>
          <cell r="AB6110">
            <v>0</v>
          </cell>
        </row>
        <row r="6111">
          <cell r="G6111" t="str">
            <v>X2325_1</v>
          </cell>
          <cell r="H6111" t="str">
            <v/>
          </cell>
          <cell r="I6111" t="str">
            <v>met</v>
          </cell>
          <cell r="V6111" t="str">
            <v>0</v>
          </cell>
          <cell r="Y6111" t="str">
            <v>Pres</v>
          </cell>
          <cell r="Z6111">
            <v>4.97</v>
          </cell>
          <cell r="AA6111" t="str">
            <v>H</v>
          </cell>
          <cell r="AB6111">
            <v>0</v>
          </cell>
        </row>
        <row r="6112">
          <cell r="G6112" t="str">
            <v>X2326_0</v>
          </cell>
          <cell r="H6112" t="str">
            <v/>
          </cell>
          <cell r="I6112" t="str">
            <v>met</v>
          </cell>
          <cell r="V6112" t="str">
            <v>0</v>
          </cell>
          <cell r="Y6112" t="str">
            <v>Past</v>
          </cell>
          <cell r="Z6112">
            <v>2.57</v>
          </cell>
          <cell r="AA6112" t="str">
            <v>L</v>
          </cell>
          <cell r="AB6112">
            <v>0</v>
          </cell>
        </row>
        <row r="6113">
          <cell r="G6113" t="str">
            <v>X2326_1</v>
          </cell>
          <cell r="H6113" t="str">
            <v/>
          </cell>
          <cell r="I6113" t="str">
            <v>met</v>
          </cell>
          <cell r="V6113" t="str">
            <v>0</v>
          </cell>
          <cell r="Y6113" t="str">
            <v>Past</v>
          </cell>
          <cell r="Z6113">
            <v>2.57</v>
          </cell>
          <cell r="AA6113" t="str">
            <v>L</v>
          </cell>
          <cell r="AB6113">
            <v>0</v>
          </cell>
        </row>
        <row r="6114">
          <cell r="G6114" t="str">
            <v>X2327_0</v>
          </cell>
          <cell r="H6114" t="str">
            <v>the-of</v>
          </cell>
          <cell r="I6114" t="str">
            <v>sim</v>
          </cell>
          <cell r="V6114" t="str">
            <v>not neg pair</v>
          </cell>
          <cell r="Y6114" t="str">
            <v>Pres</v>
          </cell>
          <cell r="Z6114">
            <v>3.93</v>
          </cell>
          <cell r="AA6114">
            <v>0</v>
          </cell>
          <cell r="AB6114">
            <v>0</v>
          </cell>
        </row>
        <row r="6115">
          <cell r="G6115" t="str">
            <v>X2327_1</v>
          </cell>
          <cell r="H6115" t="str">
            <v>the-of</v>
          </cell>
          <cell r="I6115" t="str">
            <v>sim</v>
          </cell>
          <cell r="V6115" t="str">
            <v>not neg pair</v>
          </cell>
          <cell r="Y6115" t="str">
            <v>Pres</v>
          </cell>
          <cell r="Z6115">
            <v>3.93</v>
          </cell>
          <cell r="AA6115">
            <v>0</v>
          </cell>
          <cell r="AB6115">
            <v>0</v>
          </cell>
        </row>
        <row r="6116">
          <cell r="G6116" t="str">
            <v>X2328_0</v>
          </cell>
          <cell r="H6116" t="str">
            <v/>
          </cell>
          <cell r="I6116" t="str">
            <v>met</v>
          </cell>
          <cell r="V6116" t="str">
            <v>0</v>
          </cell>
          <cell r="Y6116" t="str">
            <v>Past</v>
          </cell>
          <cell r="Z6116">
            <v>4.76</v>
          </cell>
          <cell r="AA6116">
            <v>0</v>
          </cell>
          <cell r="AB6116">
            <v>0</v>
          </cell>
        </row>
        <row r="6117">
          <cell r="G6117" t="str">
            <v>X2328_1</v>
          </cell>
          <cell r="H6117" t="str">
            <v/>
          </cell>
          <cell r="I6117" t="str">
            <v>met</v>
          </cell>
          <cell r="V6117" t="str">
            <v>0</v>
          </cell>
          <cell r="Y6117" t="str">
            <v>Past</v>
          </cell>
          <cell r="Z6117">
            <v>4.76</v>
          </cell>
          <cell r="AA6117">
            <v>0</v>
          </cell>
          <cell r="AB6117">
            <v>0</v>
          </cell>
        </row>
        <row r="6118">
          <cell r="G6118" t="str">
            <v>X2329_0</v>
          </cell>
          <cell r="H6118" t="str">
            <v>like</v>
          </cell>
          <cell r="I6118" t="str">
            <v>sim</v>
          </cell>
          <cell r="V6118" t="str">
            <v>not neg pair</v>
          </cell>
          <cell r="Y6118">
            <v>0</v>
          </cell>
          <cell r="Z6118">
            <v>4.92</v>
          </cell>
          <cell r="AA6118" t="str">
            <v>H</v>
          </cell>
          <cell r="AB6118">
            <v>0</v>
          </cell>
        </row>
        <row r="6119">
          <cell r="G6119" t="str">
            <v>X2329_1</v>
          </cell>
          <cell r="H6119" t="str">
            <v>like</v>
          </cell>
          <cell r="I6119" t="str">
            <v>sim</v>
          </cell>
          <cell r="V6119" t="str">
            <v>not neg pair</v>
          </cell>
          <cell r="Y6119">
            <v>0</v>
          </cell>
          <cell r="Z6119">
            <v>4.92</v>
          </cell>
          <cell r="AA6119" t="str">
            <v>H</v>
          </cell>
          <cell r="AB6119">
            <v>0</v>
          </cell>
        </row>
        <row r="6120">
          <cell r="G6120" t="str">
            <v>X2330_0</v>
          </cell>
          <cell r="H6120" t="str">
            <v>as-as</v>
          </cell>
          <cell r="I6120" t="str">
            <v>sim</v>
          </cell>
          <cell r="V6120" t="str">
            <v>antonym</v>
          </cell>
          <cell r="Y6120" t="str">
            <v>Pres</v>
          </cell>
          <cell r="Z6120">
            <v>3.93</v>
          </cell>
          <cell r="AA6120">
            <v>0</v>
          </cell>
          <cell r="AB6120">
            <v>0</v>
          </cell>
        </row>
        <row r="6121">
          <cell r="G6121" t="str">
            <v>X2330_1</v>
          </cell>
          <cell r="H6121" t="str">
            <v>as-as</v>
          </cell>
          <cell r="I6121" t="str">
            <v>sim</v>
          </cell>
          <cell r="V6121" t="str">
            <v>antonym</v>
          </cell>
          <cell r="Y6121" t="str">
            <v>Pres</v>
          </cell>
          <cell r="Z6121">
            <v>3.93</v>
          </cell>
          <cell r="AA6121">
            <v>0</v>
          </cell>
          <cell r="AB6121">
            <v>0</v>
          </cell>
        </row>
        <row r="6122">
          <cell r="G6122" t="str">
            <v>X2331_0</v>
          </cell>
          <cell r="H6122" t="str">
            <v>as-as</v>
          </cell>
          <cell r="I6122" t="str">
            <v>sim</v>
          </cell>
          <cell r="V6122" t="str">
            <v>antonym</v>
          </cell>
          <cell r="Y6122" t="str">
            <v>Past</v>
          </cell>
          <cell r="Z6122">
            <v>2.5</v>
          </cell>
          <cell r="AA6122" t="str">
            <v>L</v>
          </cell>
          <cell r="AB6122">
            <v>0</v>
          </cell>
        </row>
        <row r="6123">
          <cell r="G6123" t="str">
            <v>X2331_1</v>
          </cell>
          <cell r="H6123" t="str">
            <v>as-as</v>
          </cell>
          <cell r="I6123" t="str">
            <v>sim</v>
          </cell>
          <cell r="V6123" t="str">
            <v>antonym</v>
          </cell>
          <cell r="Y6123" t="str">
            <v>Past</v>
          </cell>
          <cell r="Z6123">
            <v>2.5</v>
          </cell>
          <cell r="AA6123" t="str">
            <v>L</v>
          </cell>
          <cell r="AB6123">
            <v>0</v>
          </cell>
        </row>
        <row r="6124">
          <cell r="G6124" t="str">
            <v>X2332_0</v>
          </cell>
          <cell r="H6124" t="str">
            <v>as</v>
          </cell>
          <cell r="I6124" t="str">
            <v>sim</v>
          </cell>
          <cell r="V6124" t="str">
            <v>not neg pair</v>
          </cell>
          <cell r="Y6124" t="str">
            <v>Past</v>
          </cell>
          <cell r="Z6124">
            <v>4.24</v>
          </cell>
          <cell r="AA6124">
            <v>0</v>
          </cell>
          <cell r="AB6124">
            <v>0</v>
          </cell>
        </row>
        <row r="6125">
          <cell r="G6125" t="str">
            <v>X2332_1</v>
          </cell>
          <cell r="H6125" t="str">
            <v>as</v>
          </cell>
          <cell r="I6125" t="str">
            <v>sim</v>
          </cell>
          <cell r="V6125" t="str">
            <v>not neg pair</v>
          </cell>
          <cell r="Y6125" t="str">
            <v>Past</v>
          </cell>
          <cell r="Z6125">
            <v>4.24</v>
          </cell>
          <cell r="AA6125">
            <v>0</v>
          </cell>
          <cell r="AB6125">
            <v>0</v>
          </cell>
        </row>
        <row r="6126">
          <cell r="G6126" t="str">
            <v>X2333_0</v>
          </cell>
          <cell r="H6126" t="str">
            <v>like</v>
          </cell>
          <cell r="I6126" t="str">
            <v>sim</v>
          </cell>
          <cell r="V6126" t="str">
            <v>not neg pair</v>
          </cell>
          <cell r="Y6126" t="str">
            <v>Past</v>
          </cell>
          <cell r="Z6126">
            <v>3.93</v>
          </cell>
          <cell r="AA6126">
            <v>0</v>
          </cell>
          <cell r="AB6126">
            <v>0</v>
          </cell>
        </row>
        <row r="6127">
          <cell r="G6127" t="str">
            <v>X2333_1</v>
          </cell>
          <cell r="H6127" t="str">
            <v>like</v>
          </cell>
          <cell r="I6127" t="str">
            <v>sim</v>
          </cell>
          <cell r="V6127" t="str">
            <v>not neg pair</v>
          </cell>
          <cell r="Y6127" t="str">
            <v>Past</v>
          </cell>
          <cell r="Z6127">
            <v>3.93</v>
          </cell>
          <cell r="AA6127">
            <v>0</v>
          </cell>
          <cell r="AB6127">
            <v>0</v>
          </cell>
        </row>
        <row r="6128">
          <cell r="G6128" t="str">
            <v>X2334_0</v>
          </cell>
          <cell r="H6128" t="str">
            <v>the-of</v>
          </cell>
          <cell r="I6128" t="str">
            <v>sim</v>
          </cell>
          <cell r="V6128" t="str">
            <v>not neg pair</v>
          </cell>
          <cell r="Y6128" t="str">
            <v>Pres</v>
          </cell>
          <cell r="Z6128">
            <v>2.68</v>
          </cell>
          <cell r="AA6128" t="str">
            <v>L</v>
          </cell>
          <cell r="AB6128">
            <v>0</v>
          </cell>
        </row>
        <row r="6129">
          <cell r="G6129" t="str">
            <v>X2334_1</v>
          </cell>
          <cell r="H6129" t="str">
            <v>the-of</v>
          </cell>
          <cell r="I6129" t="str">
            <v>sim</v>
          </cell>
          <cell r="V6129" t="str">
            <v>not neg pair</v>
          </cell>
          <cell r="Y6129" t="str">
            <v>Pres</v>
          </cell>
          <cell r="Z6129">
            <v>2.68</v>
          </cell>
          <cell r="AA6129" t="str">
            <v>L</v>
          </cell>
          <cell r="AB6129">
            <v>0</v>
          </cell>
        </row>
        <row r="6130">
          <cell r="G6130" t="str">
            <v>X2335_0</v>
          </cell>
          <cell r="H6130" t="str">
            <v>the-of</v>
          </cell>
          <cell r="I6130" t="str">
            <v>sim</v>
          </cell>
          <cell r="V6130" t="str">
            <v>0</v>
          </cell>
          <cell r="Y6130" t="str">
            <v>Pres</v>
          </cell>
          <cell r="Z6130">
            <v>3.93</v>
          </cell>
          <cell r="AA6130">
            <v>0</v>
          </cell>
          <cell r="AB6130">
            <v>0</v>
          </cell>
        </row>
        <row r="6131">
          <cell r="G6131" t="str">
            <v>X2335_1</v>
          </cell>
          <cell r="H6131" t="str">
            <v/>
          </cell>
          <cell r="I6131" t="str">
            <v>met</v>
          </cell>
          <cell r="V6131" t="str">
            <v>0</v>
          </cell>
          <cell r="Y6131" t="str">
            <v>Pres</v>
          </cell>
          <cell r="Z6131">
            <v>3.93</v>
          </cell>
          <cell r="AA6131">
            <v>0</v>
          </cell>
          <cell r="AB6131">
            <v>0</v>
          </cell>
        </row>
        <row r="6132">
          <cell r="G6132" t="str">
            <v>X2336_0</v>
          </cell>
          <cell r="H6132" t="str">
            <v>the-of</v>
          </cell>
          <cell r="I6132" t="str">
            <v>sim</v>
          </cell>
          <cell r="V6132" t="str">
            <v>not neg pair</v>
          </cell>
          <cell r="Y6132" t="str">
            <v>Pres</v>
          </cell>
          <cell r="Z6132">
            <v>4.84</v>
          </cell>
          <cell r="AA6132">
            <v>0</v>
          </cell>
          <cell r="AB6132">
            <v>0</v>
          </cell>
        </row>
        <row r="6133">
          <cell r="G6133" t="str">
            <v>X2336_1</v>
          </cell>
          <cell r="H6133" t="str">
            <v>the-of</v>
          </cell>
          <cell r="I6133" t="str">
            <v>sim</v>
          </cell>
          <cell r="V6133" t="str">
            <v>not neg pair</v>
          </cell>
          <cell r="Y6133" t="str">
            <v>Pres</v>
          </cell>
          <cell r="Z6133">
            <v>4.84</v>
          </cell>
          <cell r="AA6133">
            <v>0</v>
          </cell>
          <cell r="AB6133">
            <v>0</v>
          </cell>
        </row>
        <row r="6134">
          <cell r="G6134" t="str">
            <v>X2337_0</v>
          </cell>
          <cell r="H6134" t="str">
            <v>as-as</v>
          </cell>
          <cell r="I6134" t="str">
            <v>sim</v>
          </cell>
          <cell r="V6134" t="str">
            <v>not neg pair</v>
          </cell>
          <cell r="Y6134" t="str">
            <v>Past</v>
          </cell>
          <cell r="Z6134">
            <v>4.0999999999999996</v>
          </cell>
          <cell r="AA6134">
            <v>0</v>
          </cell>
          <cell r="AB6134">
            <v>0</v>
          </cell>
        </row>
        <row r="6135">
          <cell r="G6135" t="str">
            <v>X2337_1</v>
          </cell>
          <cell r="H6135" t="str">
            <v>as-as</v>
          </cell>
          <cell r="I6135" t="str">
            <v>sim</v>
          </cell>
          <cell r="V6135" t="str">
            <v>not neg pair</v>
          </cell>
          <cell r="Y6135" t="str">
            <v>Past</v>
          </cell>
          <cell r="Z6135">
            <v>4.0999999999999996</v>
          </cell>
          <cell r="AA6135">
            <v>0</v>
          </cell>
          <cell r="AB6135">
            <v>0</v>
          </cell>
        </row>
        <row r="6136">
          <cell r="G6136" t="str">
            <v>X2338_0</v>
          </cell>
          <cell r="H6136" t="str">
            <v/>
          </cell>
          <cell r="I6136" t="str">
            <v>met</v>
          </cell>
          <cell r="V6136" t="str">
            <v>0</v>
          </cell>
          <cell r="Y6136" t="str">
            <v>Past</v>
          </cell>
          <cell r="Z6136">
            <v>4.1900000000000004</v>
          </cell>
          <cell r="AA6136">
            <v>0</v>
          </cell>
          <cell r="AB6136">
            <v>0</v>
          </cell>
        </row>
        <row r="6137">
          <cell r="G6137" t="str">
            <v>X2338_1</v>
          </cell>
          <cell r="H6137" t="str">
            <v/>
          </cell>
          <cell r="I6137" t="str">
            <v>met</v>
          </cell>
          <cell r="V6137" t="str">
            <v>0</v>
          </cell>
          <cell r="Y6137" t="str">
            <v>Past</v>
          </cell>
          <cell r="Z6137">
            <v>4.1900000000000004</v>
          </cell>
          <cell r="AA6137">
            <v>0</v>
          </cell>
          <cell r="AB6137">
            <v>0</v>
          </cell>
        </row>
        <row r="6138">
          <cell r="G6138" t="str">
            <v>X2339_0</v>
          </cell>
          <cell r="H6138" t="str">
            <v/>
          </cell>
          <cell r="I6138" t="str">
            <v>met</v>
          </cell>
          <cell r="V6138" t="str">
            <v>0</v>
          </cell>
          <cell r="Y6138" t="str">
            <v>Pres</v>
          </cell>
          <cell r="Z6138">
            <v>5</v>
          </cell>
          <cell r="AA6138" t="str">
            <v>H</v>
          </cell>
          <cell r="AB6138">
            <v>0</v>
          </cell>
        </row>
        <row r="6139">
          <cell r="G6139" t="str">
            <v>X2339_1</v>
          </cell>
          <cell r="H6139" t="str">
            <v/>
          </cell>
          <cell r="I6139" t="str">
            <v>met</v>
          </cell>
          <cell r="V6139" t="str">
            <v>0</v>
          </cell>
          <cell r="Y6139" t="str">
            <v>Pres</v>
          </cell>
          <cell r="Z6139">
            <v>5</v>
          </cell>
          <cell r="AA6139" t="str">
            <v>H</v>
          </cell>
          <cell r="AB6139">
            <v>0</v>
          </cell>
        </row>
        <row r="6140">
          <cell r="G6140" t="str">
            <v>X2340_0</v>
          </cell>
          <cell r="H6140" t="str">
            <v/>
          </cell>
          <cell r="I6140" t="str">
            <v>met</v>
          </cell>
          <cell r="V6140" t="str">
            <v>0</v>
          </cell>
          <cell r="Y6140" t="str">
            <v>Pres</v>
          </cell>
          <cell r="Z6140">
            <v>4.3600000000000003</v>
          </cell>
          <cell r="AA6140">
            <v>0</v>
          </cell>
          <cell r="AB6140">
            <v>0</v>
          </cell>
        </row>
        <row r="6141">
          <cell r="G6141" t="str">
            <v>X2340_1</v>
          </cell>
          <cell r="H6141" t="str">
            <v/>
          </cell>
          <cell r="I6141" t="str">
            <v>met</v>
          </cell>
          <cell r="V6141" t="str">
            <v>0</v>
          </cell>
          <cell r="Y6141" t="str">
            <v>Pres</v>
          </cell>
          <cell r="Z6141">
            <v>4.3600000000000003</v>
          </cell>
          <cell r="AA6141">
            <v>0</v>
          </cell>
          <cell r="AB6141">
            <v>0</v>
          </cell>
        </row>
        <row r="6142">
          <cell r="G6142" t="str">
            <v>X2341_0</v>
          </cell>
          <cell r="H6142" t="str">
            <v>as-as</v>
          </cell>
          <cell r="I6142" t="str">
            <v>sim</v>
          </cell>
          <cell r="V6142" t="str">
            <v>not</v>
          </cell>
          <cell r="Y6142" t="str">
            <v>Past</v>
          </cell>
          <cell r="Z6142">
            <v>2.69</v>
          </cell>
          <cell r="AA6142" t="str">
            <v>L</v>
          </cell>
          <cell r="AB6142">
            <v>0</v>
          </cell>
        </row>
        <row r="6143">
          <cell r="G6143" t="str">
            <v>X2341_1</v>
          </cell>
          <cell r="H6143" t="str">
            <v>as-as</v>
          </cell>
          <cell r="I6143" t="str">
            <v>sim</v>
          </cell>
          <cell r="V6143" t="str">
            <v>not</v>
          </cell>
          <cell r="Y6143" t="str">
            <v>Past</v>
          </cell>
          <cell r="Z6143">
            <v>2.69</v>
          </cell>
          <cell r="AA6143" t="str">
            <v>L</v>
          </cell>
          <cell r="AB6143">
            <v>0</v>
          </cell>
        </row>
        <row r="6144">
          <cell r="G6144" t="str">
            <v>X2342_0</v>
          </cell>
          <cell r="H6144" t="str">
            <v>the-of</v>
          </cell>
          <cell r="I6144" t="str">
            <v>sim</v>
          </cell>
          <cell r="V6144" t="str">
            <v>not neg pair</v>
          </cell>
          <cell r="Y6144" t="str">
            <v>Past</v>
          </cell>
          <cell r="Z6144">
            <v>4.9000000000000004</v>
          </cell>
          <cell r="AA6144">
            <v>0</v>
          </cell>
          <cell r="AB6144">
            <v>0</v>
          </cell>
        </row>
        <row r="6145">
          <cell r="G6145" t="str">
            <v>X2342_1</v>
          </cell>
          <cell r="H6145" t="str">
            <v>the-of</v>
          </cell>
          <cell r="I6145" t="str">
            <v>sim</v>
          </cell>
          <cell r="V6145" t="str">
            <v>not neg pair</v>
          </cell>
          <cell r="Y6145" t="str">
            <v>Past</v>
          </cell>
          <cell r="Z6145">
            <v>4.9000000000000004</v>
          </cell>
          <cell r="AA6145">
            <v>0</v>
          </cell>
          <cell r="AB6145">
            <v>0</v>
          </cell>
        </row>
        <row r="6146">
          <cell r="G6146" t="str">
            <v>X2343_0</v>
          </cell>
          <cell r="H6146" t="str">
            <v>as-as</v>
          </cell>
          <cell r="I6146" t="str">
            <v>sim</v>
          </cell>
          <cell r="V6146" t="str">
            <v>not neg pair</v>
          </cell>
          <cell r="Y6146" t="str">
            <v>Past</v>
          </cell>
          <cell r="Z6146">
            <v>4.71</v>
          </cell>
          <cell r="AA6146">
            <v>0</v>
          </cell>
          <cell r="AB6146">
            <v>0</v>
          </cell>
        </row>
        <row r="6147">
          <cell r="G6147" t="str">
            <v>X2343_1</v>
          </cell>
          <cell r="H6147" t="str">
            <v>as-as</v>
          </cell>
          <cell r="I6147" t="str">
            <v>sim</v>
          </cell>
          <cell r="V6147" t="str">
            <v>not neg pair</v>
          </cell>
          <cell r="Y6147" t="str">
            <v>Past</v>
          </cell>
          <cell r="Z6147">
            <v>4.71</v>
          </cell>
          <cell r="AA6147">
            <v>0</v>
          </cell>
          <cell r="AB6147">
            <v>0</v>
          </cell>
        </row>
        <row r="6148">
          <cell r="G6148" t="str">
            <v>X2344_0</v>
          </cell>
          <cell r="H6148" t="str">
            <v>as-as</v>
          </cell>
          <cell r="I6148" t="str">
            <v>sim</v>
          </cell>
          <cell r="V6148" t="str">
            <v>not neg pair</v>
          </cell>
          <cell r="Y6148" t="str">
            <v>Past</v>
          </cell>
          <cell r="Z6148">
            <v>3.97</v>
          </cell>
          <cell r="AA6148">
            <v>0</v>
          </cell>
          <cell r="AB6148">
            <v>0</v>
          </cell>
        </row>
        <row r="6149">
          <cell r="G6149" t="str">
            <v>X2344_1</v>
          </cell>
          <cell r="H6149" t="str">
            <v>as-as</v>
          </cell>
          <cell r="I6149" t="str">
            <v>sim</v>
          </cell>
          <cell r="V6149" t="str">
            <v>not neg pair</v>
          </cell>
          <cell r="Y6149" t="str">
            <v>Past</v>
          </cell>
          <cell r="Z6149">
            <v>3.97</v>
          </cell>
          <cell r="AA6149">
            <v>0</v>
          </cell>
          <cell r="AB6149">
            <v>0</v>
          </cell>
        </row>
        <row r="6150">
          <cell r="G6150" t="str">
            <v>X2345_0</v>
          </cell>
          <cell r="H6150" t="str">
            <v>as-as</v>
          </cell>
          <cell r="I6150" t="str">
            <v>sim</v>
          </cell>
          <cell r="V6150" t="str">
            <v>antonym</v>
          </cell>
          <cell r="Y6150" t="str">
            <v>Past</v>
          </cell>
          <cell r="Z6150">
            <v>3.36</v>
          </cell>
          <cell r="AA6150">
            <v>0</v>
          </cell>
          <cell r="AB6150">
            <v>0</v>
          </cell>
        </row>
        <row r="6151">
          <cell r="G6151" t="str">
            <v>X2345_1</v>
          </cell>
          <cell r="H6151" t="str">
            <v>as-as</v>
          </cell>
          <cell r="I6151" t="str">
            <v>sim</v>
          </cell>
          <cell r="V6151" t="str">
            <v>antonym</v>
          </cell>
          <cell r="Y6151" t="str">
            <v>Past</v>
          </cell>
          <cell r="Z6151">
            <v>3.36</v>
          </cell>
          <cell r="AA6151">
            <v>0</v>
          </cell>
          <cell r="AB6151">
            <v>0</v>
          </cell>
        </row>
        <row r="6152">
          <cell r="G6152" t="str">
            <v>X2346_0</v>
          </cell>
          <cell r="H6152" t="str">
            <v>as-as</v>
          </cell>
          <cell r="I6152" t="str">
            <v>sim</v>
          </cell>
          <cell r="V6152" t="str">
            <v>not</v>
          </cell>
          <cell r="Y6152">
            <v>0</v>
          </cell>
          <cell r="Z6152">
            <v>4.1100000000000003</v>
          </cell>
          <cell r="AA6152">
            <v>0</v>
          </cell>
          <cell r="AB6152">
            <v>0</v>
          </cell>
        </row>
        <row r="6153">
          <cell r="G6153" t="str">
            <v>X2346_1</v>
          </cell>
          <cell r="H6153" t="str">
            <v>as-as</v>
          </cell>
          <cell r="I6153" t="str">
            <v>sim</v>
          </cell>
          <cell r="V6153" t="str">
            <v>not</v>
          </cell>
          <cell r="Y6153">
            <v>0</v>
          </cell>
          <cell r="Z6153">
            <v>4.1100000000000003</v>
          </cell>
          <cell r="AA6153">
            <v>0</v>
          </cell>
          <cell r="AB6153">
            <v>0</v>
          </cell>
        </row>
        <row r="6154">
          <cell r="G6154" t="str">
            <v>X2347_0</v>
          </cell>
          <cell r="H6154" t="str">
            <v>as-as</v>
          </cell>
          <cell r="I6154" t="str">
            <v>sim</v>
          </cell>
          <cell r="V6154" t="str">
            <v>not</v>
          </cell>
          <cell r="Y6154" t="str">
            <v>Past</v>
          </cell>
          <cell r="Z6154">
            <v>4.75</v>
          </cell>
          <cell r="AA6154">
            <v>0</v>
          </cell>
          <cell r="AB6154">
            <v>0</v>
          </cell>
        </row>
        <row r="6155">
          <cell r="G6155" t="str">
            <v>X2347_1</v>
          </cell>
          <cell r="H6155" t="str">
            <v>as-as</v>
          </cell>
          <cell r="I6155" t="str">
            <v>sim</v>
          </cell>
          <cell r="V6155" t="str">
            <v>not</v>
          </cell>
          <cell r="Y6155" t="str">
            <v>Past</v>
          </cell>
          <cell r="Z6155">
            <v>4.75</v>
          </cell>
          <cell r="AA6155">
            <v>0</v>
          </cell>
          <cell r="AB6155">
            <v>0</v>
          </cell>
        </row>
        <row r="6156">
          <cell r="G6156" t="str">
            <v>X2348_0</v>
          </cell>
          <cell r="H6156" t="str">
            <v/>
          </cell>
          <cell r="I6156" t="str">
            <v>met</v>
          </cell>
          <cell r="V6156" t="str">
            <v>0</v>
          </cell>
          <cell r="Y6156" t="str">
            <v>Pres</v>
          </cell>
          <cell r="Z6156">
            <v>2.69</v>
          </cell>
          <cell r="AA6156" t="str">
            <v>L</v>
          </cell>
          <cell r="AB6156">
            <v>0</v>
          </cell>
        </row>
        <row r="6157">
          <cell r="G6157" t="str">
            <v>X2348_1</v>
          </cell>
          <cell r="H6157" t="str">
            <v/>
          </cell>
          <cell r="I6157" t="str">
            <v>met</v>
          </cell>
          <cell r="V6157" t="str">
            <v>0</v>
          </cell>
          <cell r="Y6157" t="str">
            <v>Pres</v>
          </cell>
          <cell r="Z6157">
            <v>2.69</v>
          </cell>
          <cell r="AA6157" t="str">
            <v>L</v>
          </cell>
          <cell r="AB6157">
            <v>0</v>
          </cell>
        </row>
        <row r="6158">
          <cell r="G6158" t="str">
            <v>X2349_0</v>
          </cell>
          <cell r="H6158" t="str">
            <v/>
          </cell>
          <cell r="I6158" t="str">
            <v>met</v>
          </cell>
          <cell r="V6158" t="str">
            <v>0</v>
          </cell>
          <cell r="Y6158">
            <v>0</v>
          </cell>
          <cell r="Z6158">
            <v>2.19</v>
          </cell>
          <cell r="AA6158" t="str">
            <v>L</v>
          </cell>
          <cell r="AB6158">
            <v>0</v>
          </cell>
        </row>
        <row r="6159">
          <cell r="G6159" t="str">
            <v>X2349_1</v>
          </cell>
          <cell r="H6159" t="str">
            <v/>
          </cell>
          <cell r="I6159" t="str">
            <v>met</v>
          </cell>
          <cell r="V6159" t="str">
            <v>0</v>
          </cell>
          <cell r="Y6159">
            <v>0</v>
          </cell>
          <cell r="Z6159">
            <v>2.19</v>
          </cell>
          <cell r="AA6159" t="str">
            <v>L</v>
          </cell>
          <cell r="AB6159">
            <v>0</v>
          </cell>
        </row>
        <row r="6160">
          <cell r="G6160" t="str">
            <v>X2350_0</v>
          </cell>
          <cell r="H6160" t="str">
            <v/>
          </cell>
          <cell r="I6160" t="str">
            <v>met</v>
          </cell>
          <cell r="V6160" t="str">
            <v>0</v>
          </cell>
          <cell r="Y6160" t="str">
            <v>Past</v>
          </cell>
          <cell r="Z6160">
            <v>2.57</v>
          </cell>
          <cell r="AA6160" t="str">
            <v>L</v>
          </cell>
          <cell r="AB6160">
            <v>0</v>
          </cell>
        </row>
        <row r="6161">
          <cell r="G6161" t="str">
            <v>X2350_1</v>
          </cell>
          <cell r="H6161" t="str">
            <v/>
          </cell>
          <cell r="I6161" t="str">
            <v>met</v>
          </cell>
          <cell r="V6161" t="str">
            <v>0</v>
          </cell>
          <cell r="Y6161" t="str">
            <v>Pres</v>
          </cell>
          <cell r="Z6161">
            <v>2.57</v>
          </cell>
          <cell r="AA6161" t="str">
            <v>L</v>
          </cell>
          <cell r="AB6161">
            <v>0</v>
          </cell>
        </row>
        <row r="6162">
          <cell r="G6162" t="str">
            <v>X2351_0</v>
          </cell>
          <cell r="H6162" t="str">
            <v/>
          </cell>
          <cell r="I6162" t="str">
            <v>met</v>
          </cell>
          <cell r="V6162" t="str">
            <v>0</v>
          </cell>
          <cell r="Y6162" t="str">
            <v>Pres</v>
          </cell>
          <cell r="Z6162">
            <v>2.44</v>
          </cell>
          <cell r="AA6162" t="str">
            <v>L</v>
          </cell>
          <cell r="AB6162">
            <v>0</v>
          </cell>
        </row>
        <row r="6163">
          <cell r="G6163" t="str">
            <v>X2351_1</v>
          </cell>
          <cell r="H6163" t="str">
            <v/>
          </cell>
          <cell r="I6163" t="str">
            <v>met</v>
          </cell>
          <cell r="V6163" t="str">
            <v>0</v>
          </cell>
          <cell r="Y6163" t="str">
            <v>Past</v>
          </cell>
          <cell r="Z6163">
            <v>2.44</v>
          </cell>
          <cell r="AA6163" t="str">
            <v>L</v>
          </cell>
          <cell r="AB6163">
            <v>0</v>
          </cell>
        </row>
        <row r="6164">
          <cell r="G6164" t="str">
            <v>X2352_0</v>
          </cell>
          <cell r="H6164" t="str">
            <v>as</v>
          </cell>
          <cell r="I6164" t="str">
            <v>sim</v>
          </cell>
          <cell r="V6164" t="str">
            <v>not neg pair</v>
          </cell>
          <cell r="Y6164" t="str">
            <v>Past</v>
          </cell>
          <cell r="Z6164">
            <v>2.12</v>
          </cell>
          <cell r="AA6164" t="str">
            <v>L</v>
          </cell>
          <cell r="AB6164">
            <v>0</v>
          </cell>
        </row>
        <row r="6165">
          <cell r="G6165" t="str">
            <v>X2352_1</v>
          </cell>
          <cell r="H6165" t="str">
            <v>as</v>
          </cell>
          <cell r="I6165" t="str">
            <v>sim</v>
          </cell>
          <cell r="V6165" t="str">
            <v>not neg pair</v>
          </cell>
          <cell r="Y6165" t="str">
            <v>Past</v>
          </cell>
          <cell r="Z6165">
            <v>2.12</v>
          </cell>
          <cell r="AA6165" t="str">
            <v>L</v>
          </cell>
          <cell r="AB6165">
            <v>0</v>
          </cell>
        </row>
        <row r="6166">
          <cell r="G6166" t="str">
            <v>X2353_0</v>
          </cell>
          <cell r="H6166" t="str">
            <v>as</v>
          </cell>
          <cell r="I6166" t="str">
            <v>sim</v>
          </cell>
          <cell r="V6166" t="str">
            <v>not neg pair</v>
          </cell>
          <cell r="Y6166" t="str">
            <v>Past</v>
          </cell>
          <cell r="Z6166">
            <v>4.67</v>
          </cell>
          <cell r="AA6166">
            <v>0</v>
          </cell>
          <cell r="AB6166">
            <v>0</v>
          </cell>
        </row>
        <row r="6167">
          <cell r="G6167" t="str">
            <v>X2353_1</v>
          </cell>
          <cell r="H6167" t="str">
            <v>the-of</v>
          </cell>
          <cell r="I6167" t="str">
            <v>sim</v>
          </cell>
          <cell r="V6167" t="str">
            <v>not neg pair</v>
          </cell>
          <cell r="Y6167" t="str">
            <v>Past</v>
          </cell>
          <cell r="Z6167">
            <v>4.67</v>
          </cell>
          <cell r="AA6167">
            <v>0</v>
          </cell>
          <cell r="AB6167">
            <v>0</v>
          </cell>
        </row>
        <row r="6168">
          <cell r="G6168" t="str">
            <v>X2354_0</v>
          </cell>
          <cell r="H6168" t="str">
            <v>the-of</v>
          </cell>
          <cell r="I6168" t="str">
            <v>sim</v>
          </cell>
          <cell r="V6168" t="str">
            <v>not neg pair</v>
          </cell>
          <cell r="Y6168" t="str">
            <v>Pres</v>
          </cell>
          <cell r="Z6168">
            <v>5</v>
          </cell>
          <cell r="AA6168" t="str">
            <v>H</v>
          </cell>
          <cell r="AB6168">
            <v>0</v>
          </cell>
        </row>
        <row r="6169">
          <cell r="G6169" t="str">
            <v>X2354_1</v>
          </cell>
          <cell r="H6169" t="str">
            <v>the-of</v>
          </cell>
          <cell r="I6169" t="str">
            <v>sim</v>
          </cell>
          <cell r="V6169" t="str">
            <v>not neg pair</v>
          </cell>
          <cell r="Y6169" t="str">
            <v>Pres</v>
          </cell>
          <cell r="Z6169">
            <v>5</v>
          </cell>
          <cell r="AA6169" t="str">
            <v>H</v>
          </cell>
          <cell r="AB6169">
            <v>0</v>
          </cell>
        </row>
        <row r="6170">
          <cell r="G6170" t="str">
            <v>X2355_0</v>
          </cell>
          <cell r="H6170" t="str">
            <v>as-as</v>
          </cell>
          <cell r="I6170" t="str">
            <v>sim</v>
          </cell>
          <cell r="V6170" t="str">
            <v>not</v>
          </cell>
          <cell r="Y6170" t="str">
            <v>Pres</v>
          </cell>
          <cell r="Z6170">
            <v>4.5199999999999996</v>
          </cell>
          <cell r="AA6170">
            <v>0</v>
          </cell>
          <cell r="AB6170">
            <v>0</v>
          </cell>
        </row>
        <row r="6171">
          <cell r="G6171" t="str">
            <v>X2355_1</v>
          </cell>
          <cell r="H6171" t="str">
            <v>as-as</v>
          </cell>
          <cell r="I6171" t="str">
            <v>sim</v>
          </cell>
          <cell r="V6171" t="str">
            <v>not</v>
          </cell>
          <cell r="Y6171" t="str">
            <v>Pres</v>
          </cell>
          <cell r="Z6171">
            <v>4.5199999999999996</v>
          </cell>
          <cell r="AA6171">
            <v>0</v>
          </cell>
          <cell r="AB6171">
            <v>0</v>
          </cell>
        </row>
        <row r="6172">
          <cell r="G6172" t="str">
            <v>X2356_0</v>
          </cell>
          <cell r="H6172" t="str">
            <v/>
          </cell>
          <cell r="I6172" t="str">
            <v>met</v>
          </cell>
          <cell r="V6172" t="str">
            <v>0</v>
          </cell>
          <cell r="Y6172" t="str">
            <v>Pres</v>
          </cell>
          <cell r="Z6172">
            <v>1.63</v>
          </cell>
          <cell r="AA6172" t="str">
            <v>L</v>
          </cell>
          <cell r="AB6172">
            <v>0</v>
          </cell>
        </row>
        <row r="6173">
          <cell r="G6173" t="str">
            <v>X2356_1</v>
          </cell>
          <cell r="H6173" t="str">
            <v/>
          </cell>
          <cell r="I6173" t="str">
            <v>met</v>
          </cell>
          <cell r="V6173" t="str">
            <v>0</v>
          </cell>
          <cell r="Y6173" t="str">
            <v>Pres</v>
          </cell>
          <cell r="Z6173">
            <v>1.63</v>
          </cell>
          <cell r="AA6173" t="str">
            <v>L</v>
          </cell>
          <cell r="AB6173">
            <v>0</v>
          </cell>
        </row>
        <row r="6174">
          <cell r="G6174" t="str">
            <v>X2357_0</v>
          </cell>
          <cell r="H6174" t="str">
            <v>as-as</v>
          </cell>
          <cell r="I6174" t="str">
            <v>sim</v>
          </cell>
          <cell r="V6174" t="str">
            <v>antonym</v>
          </cell>
          <cell r="Y6174" t="str">
            <v>Past</v>
          </cell>
          <cell r="Z6174">
            <v>3.36</v>
          </cell>
          <cell r="AA6174">
            <v>0</v>
          </cell>
          <cell r="AB6174">
            <v>0</v>
          </cell>
        </row>
        <row r="6175">
          <cell r="G6175" t="str">
            <v>X2357_1</v>
          </cell>
          <cell r="H6175" t="str">
            <v>as-as</v>
          </cell>
          <cell r="I6175" t="str">
            <v>sim</v>
          </cell>
          <cell r="V6175" t="str">
            <v>antonym</v>
          </cell>
          <cell r="Y6175" t="str">
            <v>Past</v>
          </cell>
          <cell r="Z6175">
            <v>3.36</v>
          </cell>
          <cell r="AA6175">
            <v>0</v>
          </cell>
          <cell r="AB6175">
            <v>0</v>
          </cell>
        </row>
        <row r="6176">
          <cell r="G6176" t="str">
            <v>X2358_0</v>
          </cell>
          <cell r="H6176" t="str">
            <v>as-as</v>
          </cell>
          <cell r="I6176" t="str">
            <v>sim</v>
          </cell>
          <cell r="V6176" t="str">
            <v>antonym</v>
          </cell>
          <cell r="Y6176" t="str">
            <v>Past</v>
          </cell>
          <cell r="Z6176">
            <v>4.97</v>
          </cell>
          <cell r="AA6176" t="str">
            <v>H</v>
          </cell>
          <cell r="AB6176">
            <v>0</v>
          </cell>
        </row>
        <row r="6177">
          <cell r="G6177" t="str">
            <v>X2358_1</v>
          </cell>
          <cell r="H6177" t="str">
            <v>as-as</v>
          </cell>
          <cell r="I6177" t="str">
            <v>sim</v>
          </cell>
          <cell r="V6177" t="str">
            <v>antonym</v>
          </cell>
          <cell r="Y6177" t="str">
            <v>Past</v>
          </cell>
          <cell r="Z6177">
            <v>4.97</v>
          </cell>
          <cell r="AA6177" t="str">
            <v>H</v>
          </cell>
          <cell r="AB6177">
            <v>0</v>
          </cell>
        </row>
        <row r="6178">
          <cell r="G6178" t="str">
            <v>X2359_0</v>
          </cell>
          <cell r="H6178" t="str">
            <v>as-as</v>
          </cell>
          <cell r="I6178" t="str">
            <v>sim</v>
          </cell>
          <cell r="V6178" t="str">
            <v>antonym</v>
          </cell>
          <cell r="Y6178" t="str">
            <v>Past</v>
          </cell>
          <cell r="Z6178">
            <v>4.8499999999999996</v>
          </cell>
          <cell r="AA6178">
            <v>0</v>
          </cell>
          <cell r="AB6178">
            <v>0</v>
          </cell>
        </row>
        <row r="6179">
          <cell r="G6179" t="str">
            <v>X2359_1</v>
          </cell>
          <cell r="H6179" t="str">
            <v>as-as</v>
          </cell>
          <cell r="I6179" t="str">
            <v>sim</v>
          </cell>
          <cell r="V6179" t="str">
            <v>antonym</v>
          </cell>
          <cell r="Y6179" t="str">
            <v>Past</v>
          </cell>
          <cell r="Z6179">
            <v>4.8499999999999996</v>
          </cell>
          <cell r="AA6179">
            <v>0</v>
          </cell>
          <cell r="AB6179">
            <v>0</v>
          </cell>
        </row>
        <row r="6180">
          <cell r="G6180" t="str">
            <v>X2360_0</v>
          </cell>
          <cell r="H6180" t="str">
            <v>as-as</v>
          </cell>
          <cell r="I6180" t="str">
            <v>sim</v>
          </cell>
          <cell r="V6180" t="str">
            <v>not neg pair</v>
          </cell>
          <cell r="Y6180" t="str">
            <v>Past</v>
          </cell>
          <cell r="Z6180">
            <v>4.8600000000000003</v>
          </cell>
          <cell r="AA6180">
            <v>0</v>
          </cell>
          <cell r="AB6180">
            <v>0</v>
          </cell>
        </row>
        <row r="6181">
          <cell r="G6181" t="str">
            <v>X2360_1</v>
          </cell>
          <cell r="H6181" t="str">
            <v>as-as</v>
          </cell>
          <cell r="I6181" t="str">
            <v>sim</v>
          </cell>
          <cell r="V6181" t="str">
            <v>not neg pair</v>
          </cell>
          <cell r="Y6181" t="str">
            <v>Past</v>
          </cell>
          <cell r="Z6181">
            <v>4.8600000000000003</v>
          </cell>
          <cell r="AA6181">
            <v>0</v>
          </cell>
          <cell r="AB6181">
            <v>0</v>
          </cell>
        </row>
        <row r="6182">
          <cell r="G6182" t="str">
            <v>X2361_0</v>
          </cell>
          <cell r="H6182" t="str">
            <v>as-as</v>
          </cell>
          <cell r="I6182" t="str">
            <v>sim</v>
          </cell>
          <cell r="V6182" t="str">
            <v>antonym</v>
          </cell>
          <cell r="Y6182" t="str">
            <v>Past</v>
          </cell>
          <cell r="Z6182">
            <v>3.24</v>
          </cell>
          <cell r="AA6182">
            <v>0</v>
          </cell>
          <cell r="AB6182">
            <v>0</v>
          </cell>
        </row>
        <row r="6183">
          <cell r="G6183" t="str">
            <v>X2361_1</v>
          </cell>
          <cell r="H6183" t="str">
            <v>as-as</v>
          </cell>
          <cell r="I6183" t="str">
            <v>sim</v>
          </cell>
          <cell r="V6183" t="str">
            <v>antonym</v>
          </cell>
          <cell r="Y6183" t="str">
            <v>Past</v>
          </cell>
          <cell r="Z6183">
            <v>3.24</v>
          </cell>
          <cell r="AA6183">
            <v>0</v>
          </cell>
          <cell r="AB6183">
            <v>0</v>
          </cell>
        </row>
        <row r="6184">
          <cell r="G6184" t="str">
            <v>X2362_0</v>
          </cell>
          <cell r="H6184" t="str">
            <v>as-as</v>
          </cell>
          <cell r="I6184" t="str">
            <v>sim</v>
          </cell>
          <cell r="V6184" t="str">
            <v>not neg pair</v>
          </cell>
          <cell r="Y6184" t="str">
            <v>Past</v>
          </cell>
          <cell r="Z6184">
            <v>2.81</v>
          </cell>
          <cell r="AA6184">
            <v>0</v>
          </cell>
          <cell r="AB6184">
            <v>0</v>
          </cell>
        </row>
        <row r="6185">
          <cell r="G6185" t="str">
            <v>X2362_1</v>
          </cell>
          <cell r="H6185" t="str">
            <v>as-as</v>
          </cell>
          <cell r="I6185" t="str">
            <v>sim</v>
          </cell>
          <cell r="V6185" t="str">
            <v>not neg pair</v>
          </cell>
          <cell r="Y6185" t="str">
            <v>Past</v>
          </cell>
          <cell r="Z6185">
            <v>2.81</v>
          </cell>
          <cell r="AA6185">
            <v>0</v>
          </cell>
          <cell r="AB6185">
            <v>0</v>
          </cell>
        </row>
        <row r="6186">
          <cell r="G6186" t="str">
            <v>X2363_0</v>
          </cell>
          <cell r="H6186" t="str">
            <v/>
          </cell>
          <cell r="I6186" t="str">
            <v>met</v>
          </cell>
          <cell r="V6186" t="str">
            <v>0</v>
          </cell>
          <cell r="Y6186" t="str">
            <v>Past</v>
          </cell>
          <cell r="Z6186">
            <v>3.32</v>
          </cell>
          <cell r="AA6186">
            <v>0</v>
          </cell>
          <cell r="AB6186">
            <v>0</v>
          </cell>
        </row>
        <row r="6187">
          <cell r="G6187" t="str">
            <v>X2363_1</v>
          </cell>
          <cell r="H6187" t="str">
            <v/>
          </cell>
          <cell r="I6187" t="str">
            <v>met</v>
          </cell>
          <cell r="V6187" t="str">
            <v>0</v>
          </cell>
          <cell r="Y6187" t="str">
            <v>Past</v>
          </cell>
          <cell r="Z6187">
            <v>3.32</v>
          </cell>
          <cell r="AA6187">
            <v>0</v>
          </cell>
          <cell r="AB6187">
            <v>0</v>
          </cell>
        </row>
        <row r="6188">
          <cell r="G6188" t="str">
            <v>X2364_0</v>
          </cell>
          <cell r="H6188" t="str">
            <v/>
          </cell>
          <cell r="I6188" t="str">
            <v>met</v>
          </cell>
          <cell r="V6188" t="str">
            <v>0</v>
          </cell>
          <cell r="Y6188" t="str">
            <v>Past</v>
          </cell>
          <cell r="Z6188">
            <v>4.97</v>
          </cell>
          <cell r="AA6188" t="str">
            <v>H</v>
          </cell>
          <cell r="AB6188">
            <v>0</v>
          </cell>
        </row>
        <row r="6189">
          <cell r="G6189" t="str">
            <v>X2364_1</v>
          </cell>
          <cell r="H6189" t="str">
            <v/>
          </cell>
          <cell r="I6189" t="str">
            <v>met</v>
          </cell>
          <cell r="V6189" t="str">
            <v>0</v>
          </cell>
          <cell r="Y6189" t="str">
            <v>Past</v>
          </cell>
          <cell r="Z6189">
            <v>4.97</v>
          </cell>
          <cell r="AA6189" t="str">
            <v>H</v>
          </cell>
          <cell r="AB6189">
            <v>0</v>
          </cell>
        </row>
        <row r="6190">
          <cell r="G6190" t="str">
            <v>X2365_0</v>
          </cell>
          <cell r="H6190" t="str">
            <v/>
          </cell>
          <cell r="I6190" t="str">
            <v>met</v>
          </cell>
          <cell r="V6190" t="str">
            <v>0</v>
          </cell>
          <cell r="Y6190" t="str">
            <v>Past</v>
          </cell>
          <cell r="Z6190">
            <v>3.39</v>
          </cell>
          <cell r="AA6190">
            <v>0</v>
          </cell>
          <cell r="AB6190">
            <v>0</v>
          </cell>
        </row>
        <row r="6191">
          <cell r="G6191" t="str">
            <v>X2365_1</v>
          </cell>
          <cell r="H6191" t="str">
            <v/>
          </cell>
          <cell r="I6191" t="str">
            <v>met</v>
          </cell>
          <cell r="V6191" t="str">
            <v>0</v>
          </cell>
          <cell r="Y6191" t="str">
            <v>Pres</v>
          </cell>
          <cell r="Z6191">
            <v>3.79</v>
          </cell>
          <cell r="AA6191">
            <v>0</v>
          </cell>
          <cell r="AB6191">
            <v>0</v>
          </cell>
        </row>
        <row r="6192">
          <cell r="G6192" t="str">
            <v>X2366_0</v>
          </cell>
          <cell r="H6192" t="str">
            <v/>
          </cell>
          <cell r="I6192" t="str">
            <v>met</v>
          </cell>
          <cell r="V6192" t="str">
            <v>0</v>
          </cell>
          <cell r="Y6192" t="str">
            <v>Pres</v>
          </cell>
          <cell r="Z6192">
            <v>4.62</v>
          </cell>
          <cell r="AA6192">
            <v>0</v>
          </cell>
          <cell r="AB6192">
            <v>0</v>
          </cell>
        </row>
        <row r="6193">
          <cell r="G6193" t="str">
            <v>X2366_1</v>
          </cell>
          <cell r="H6193" t="str">
            <v/>
          </cell>
          <cell r="I6193" t="str">
            <v>met</v>
          </cell>
          <cell r="V6193" t="str">
            <v>0</v>
          </cell>
          <cell r="Y6193" t="str">
            <v>Pres</v>
          </cell>
          <cell r="Z6193">
            <v>4.62</v>
          </cell>
          <cell r="AA6193">
            <v>0</v>
          </cell>
          <cell r="AB6193">
            <v>0</v>
          </cell>
        </row>
        <row r="6194">
          <cell r="G6194" t="str">
            <v>X2367_0</v>
          </cell>
          <cell r="H6194" t="str">
            <v>like</v>
          </cell>
          <cell r="I6194" t="str">
            <v>sim</v>
          </cell>
          <cell r="V6194" t="str">
            <v>not neg pair</v>
          </cell>
          <cell r="Y6194" t="str">
            <v>Pres</v>
          </cell>
          <cell r="Z6194">
            <v>3.63</v>
          </cell>
          <cell r="AA6194">
            <v>0</v>
          </cell>
          <cell r="AB6194">
            <v>0</v>
          </cell>
        </row>
        <row r="6195">
          <cell r="G6195" t="str">
            <v>X2367_1</v>
          </cell>
          <cell r="H6195" t="str">
            <v>like</v>
          </cell>
          <cell r="I6195" t="str">
            <v>sim</v>
          </cell>
          <cell r="V6195" t="str">
            <v>not neg pair</v>
          </cell>
          <cell r="Y6195" t="str">
            <v>Pres</v>
          </cell>
          <cell r="Z6195">
            <v>3.63</v>
          </cell>
          <cell r="AA6195">
            <v>0</v>
          </cell>
          <cell r="AB6195">
            <v>0</v>
          </cell>
        </row>
        <row r="6196">
          <cell r="G6196" t="str">
            <v>X2368_0</v>
          </cell>
          <cell r="H6196" t="str">
            <v>the-of</v>
          </cell>
          <cell r="I6196" t="str">
            <v>sim</v>
          </cell>
          <cell r="V6196" t="str">
            <v>not</v>
          </cell>
          <cell r="Y6196" t="str">
            <v>Pres</v>
          </cell>
          <cell r="Z6196">
            <v>3.54</v>
          </cell>
          <cell r="AA6196">
            <v>0</v>
          </cell>
          <cell r="AB6196">
            <v>0</v>
          </cell>
        </row>
        <row r="6197">
          <cell r="G6197" t="str">
            <v>X2368_1</v>
          </cell>
          <cell r="H6197" t="str">
            <v>the-of</v>
          </cell>
          <cell r="I6197" t="str">
            <v>sim</v>
          </cell>
          <cell r="V6197" t="str">
            <v>not</v>
          </cell>
          <cell r="Y6197" t="str">
            <v>Past</v>
          </cell>
          <cell r="Z6197">
            <v>3.54</v>
          </cell>
          <cell r="AA6197">
            <v>0</v>
          </cell>
          <cell r="AB6197">
            <v>0</v>
          </cell>
        </row>
        <row r="6198">
          <cell r="G6198" t="str">
            <v>X2369_0</v>
          </cell>
          <cell r="H6198" t="str">
            <v>the-of</v>
          </cell>
          <cell r="I6198" t="str">
            <v>sim</v>
          </cell>
          <cell r="V6198" t="str">
            <v>not neg pair</v>
          </cell>
          <cell r="Y6198" t="str">
            <v>Pres</v>
          </cell>
          <cell r="Z6198">
            <v>2.96</v>
          </cell>
          <cell r="AA6198">
            <v>0</v>
          </cell>
          <cell r="AB6198">
            <v>0</v>
          </cell>
        </row>
        <row r="6199">
          <cell r="G6199" t="str">
            <v>X2369_1</v>
          </cell>
          <cell r="H6199" t="str">
            <v>the-of</v>
          </cell>
          <cell r="I6199" t="str">
            <v>sim</v>
          </cell>
          <cell r="V6199" t="str">
            <v>not neg pair</v>
          </cell>
          <cell r="Y6199" t="str">
            <v>Pres</v>
          </cell>
          <cell r="Z6199">
            <v>2.96</v>
          </cell>
          <cell r="AA6199">
            <v>0</v>
          </cell>
          <cell r="AB6199">
            <v>0</v>
          </cell>
        </row>
        <row r="6200">
          <cell r="G6200" t="str">
            <v>X2370_0</v>
          </cell>
          <cell r="H6200" t="str">
            <v>the-of</v>
          </cell>
          <cell r="I6200" t="str">
            <v>sim</v>
          </cell>
          <cell r="V6200" t="str">
            <v>not neg pair</v>
          </cell>
          <cell r="Y6200" t="str">
            <v>Past</v>
          </cell>
          <cell r="Z6200">
            <v>3.93</v>
          </cell>
          <cell r="AA6200">
            <v>0</v>
          </cell>
          <cell r="AB6200">
            <v>0</v>
          </cell>
        </row>
        <row r="6201">
          <cell r="G6201" t="str">
            <v>X2370_1</v>
          </cell>
          <cell r="H6201" t="str">
            <v>the-of</v>
          </cell>
          <cell r="I6201" t="str">
            <v>sim</v>
          </cell>
          <cell r="V6201" t="str">
            <v>not neg pair</v>
          </cell>
          <cell r="Y6201" t="str">
            <v>Past</v>
          </cell>
          <cell r="Z6201">
            <v>3.93</v>
          </cell>
          <cell r="AA6201">
            <v>0</v>
          </cell>
          <cell r="AB6201">
            <v>0</v>
          </cell>
        </row>
        <row r="6202">
          <cell r="G6202" t="str">
            <v>X2371_0</v>
          </cell>
          <cell r="H6202" t="str">
            <v/>
          </cell>
          <cell r="I6202" t="str">
            <v>met</v>
          </cell>
          <cell r="V6202" t="str">
            <v>0</v>
          </cell>
          <cell r="Y6202" t="str">
            <v>Pres</v>
          </cell>
          <cell r="Z6202">
            <v>1.63</v>
          </cell>
          <cell r="AA6202" t="str">
            <v>L</v>
          </cell>
          <cell r="AB6202">
            <v>0</v>
          </cell>
        </row>
        <row r="6203">
          <cell r="G6203" t="str">
            <v>X2371_1</v>
          </cell>
          <cell r="H6203" t="str">
            <v/>
          </cell>
          <cell r="I6203" t="str">
            <v>met</v>
          </cell>
          <cell r="V6203" t="str">
            <v>0</v>
          </cell>
          <cell r="Y6203" t="str">
            <v>Pres</v>
          </cell>
          <cell r="Z6203">
            <v>1.63</v>
          </cell>
          <cell r="AA6203" t="str">
            <v>L</v>
          </cell>
          <cell r="AB6203">
            <v>0</v>
          </cell>
        </row>
        <row r="6204">
          <cell r="G6204" t="str">
            <v>X2372_0</v>
          </cell>
          <cell r="H6204" t="str">
            <v>the-of</v>
          </cell>
          <cell r="I6204" t="str">
            <v>sim</v>
          </cell>
          <cell r="V6204" t="str">
            <v>not</v>
          </cell>
          <cell r="Y6204" t="str">
            <v>Pres</v>
          </cell>
          <cell r="Z6204">
            <v>3.93</v>
          </cell>
          <cell r="AA6204">
            <v>0</v>
          </cell>
          <cell r="AB6204">
            <v>0</v>
          </cell>
        </row>
        <row r="6205">
          <cell r="G6205" t="str">
            <v>X2372_1</v>
          </cell>
          <cell r="H6205" t="str">
            <v>the-of</v>
          </cell>
          <cell r="I6205" t="str">
            <v>sim</v>
          </cell>
          <cell r="V6205" t="str">
            <v>not</v>
          </cell>
          <cell r="Y6205" t="str">
            <v>Past</v>
          </cell>
          <cell r="Z6205">
            <v>3.93</v>
          </cell>
          <cell r="AA6205">
            <v>0</v>
          </cell>
          <cell r="AB6205">
            <v>0</v>
          </cell>
        </row>
        <row r="6206">
          <cell r="G6206" t="str">
            <v>X2373_0</v>
          </cell>
          <cell r="H6206" t="str">
            <v>the-of</v>
          </cell>
          <cell r="I6206" t="str">
            <v>sim</v>
          </cell>
          <cell r="V6206" t="str">
            <v>not neg pair</v>
          </cell>
          <cell r="Y6206" t="str">
            <v>Past</v>
          </cell>
          <cell r="Z6206">
            <v>3.59</v>
          </cell>
          <cell r="AA6206">
            <v>0</v>
          </cell>
          <cell r="AB6206">
            <v>0</v>
          </cell>
        </row>
        <row r="6207">
          <cell r="G6207" t="str">
            <v>X2373_1</v>
          </cell>
          <cell r="H6207" t="str">
            <v>the-of</v>
          </cell>
          <cell r="I6207" t="str">
            <v>sim</v>
          </cell>
          <cell r="V6207" t="str">
            <v>not neg pair</v>
          </cell>
          <cell r="Y6207" t="str">
            <v>Pres</v>
          </cell>
          <cell r="Z6207">
            <v>3.59</v>
          </cell>
          <cell r="AA6207">
            <v>0</v>
          </cell>
          <cell r="AB6207">
            <v>0</v>
          </cell>
        </row>
        <row r="6208">
          <cell r="G6208" t="str">
            <v>X2374_0</v>
          </cell>
          <cell r="H6208" t="str">
            <v>as-as</v>
          </cell>
          <cell r="I6208" t="str">
            <v>sim</v>
          </cell>
          <cell r="V6208" t="str">
            <v>antonym</v>
          </cell>
          <cell r="Y6208" t="str">
            <v>Past</v>
          </cell>
          <cell r="Z6208">
            <v>3.93</v>
          </cell>
          <cell r="AA6208">
            <v>0</v>
          </cell>
          <cell r="AB6208">
            <v>0</v>
          </cell>
        </row>
        <row r="6209">
          <cell r="G6209" t="str">
            <v>X2374_1</v>
          </cell>
          <cell r="H6209" t="str">
            <v>as-as</v>
          </cell>
          <cell r="I6209" t="str">
            <v>sim</v>
          </cell>
          <cell r="V6209" t="str">
            <v>antonym</v>
          </cell>
          <cell r="Y6209" t="str">
            <v>Past</v>
          </cell>
          <cell r="Z6209">
            <v>3.93</v>
          </cell>
          <cell r="AA6209">
            <v>0</v>
          </cell>
          <cell r="AB6209">
            <v>0</v>
          </cell>
        </row>
        <row r="6210">
          <cell r="G6210" t="str">
            <v>X2375_0</v>
          </cell>
          <cell r="H6210" t="str">
            <v>as-as</v>
          </cell>
          <cell r="I6210" t="str">
            <v>sim</v>
          </cell>
          <cell r="V6210" t="str">
            <v>not neg pair</v>
          </cell>
          <cell r="Y6210" t="str">
            <v>Past</v>
          </cell>
          <cell r="Z6210">
            <v>4.8099999999999996</v>
          </cell>
          <cell r="AA6210">
            <v>0</v>
          </cell>
          <cell r="AB6210">
            <v>0</v>
          </cell>
        </row>
        <row r="6211">
          <cell r="G6211" t="str">
            <v>X2375_1</v>
          </cell>
          <cell r="H6211" t="str">
            <v>as-as</v>
          </cell>
          <cell r="I6211" t="str">
            <v>sim</v>
          </cell>
          <cell r="V6211" t="str">
            <v>not neg pair</v>
          </cell>
          <cell r="Y6211" t="str">
            <v>Past</v>
          </cell>
          <cell r="Z6211">
            <v>4.8099999999999996</v>
          </cell>
          <cell r="AA6211">
            <v>0</v>
          </cell>
          <cell r="AB6211">
            <v>0</v>
          </cell>
        </row>
        <row r="6212">
          <cell r="G6212" t="str">
            <v>X2376_0</v>
          </cell>
          <cell r="H6212" t="str">
            <v>as-as</v>
          </cell>
          <cell r="I6212" t="str">
            <v>sim</v>
          </cell>
          <cell r="V6212" t="str">
            <v>antonym</v>
          </cell>
          <cell r="Y6212" t="str">
            <v>Past</v>
          </cell>
          <cell r="Z6212">
            <v>4.8899999999999997</v>
          </cell>
          <cell r="AA6212">
            <v>0</v>
          </cell>
          <cell r="AB6212">
            <v>0</v>
          </cell>
        </row>
        <row r="6213">
          <cell r="G6213" t="str">
            <v>X2376_1</v>
          </cell>
          <cell r="H6213" t="str">
            <v>as-as</v>
          </cell>
          <cell r="I6213" t="str">
            <v>sim</v>
          </cell>
          <cell r="V6213" t="str">
            <v>antonym</v>
          </cell>
          <cell r="Y6213" t="str">
            <v>Past</v>
          </cell>
          <cell r="Z6213">
            <v>4.8899999999999997</v>
          </cell>
          <cell r="AA6213">
            <v>0</v>
          </cell>
          <cell r="AB6213">
            <v>0</v>
          </cell>
        </row>
        <row r="6214">
          <cell r="G6214" t="str">
            <v>X2377_0</v>
          </cell>
          <cell r="H6214" t="str">
            <v>as-as</v>
          </cell>
          <cell r="I6214" t="str">
            <v>sim</v>
          </cell>
          <cell r="V6214" t="str">
            <v>not</v>
          </cell>
          <cell r="Y6214" t="str">
            <v>Past</v>
          </cell>
          <cell r="Z6214">
            <v>3.93</v>
          </cell>
          <cell r="AA6214">
            <v>0</v>
          </cell>
          <cell r="AB6214">
            <v>0</v>
          </cell>
        </row>
        <row r="6215">
          <cell r="G6215" t="str">
            <v>X2377_1</v>
          </cell>
          <cell r="H6215" t="str">
            <v>as-as</v>
          </cell>
          <cell r="I6215" t="str">
            <v>sim</v>
          </cell>
          <cell r="V6215" t="str">
            <v>not</v>
          </cell>
          <cell r="Y6215" t="str">
            <v>Past</v>
          </cell>
          <cell r="Z6215">
            <v>3.93</v>
          </cell>
          <cell r="AA6215">
            <v>0</v>
          </cell>
          <cell r="AB6215">
            <v>0</v>
          </cell>
        </row>
        <row r="6216">
          <cell r="G6216" t="str">
            <v>X2378_0</v>
          </cell>
          <cell r="H6216" t="str">
            <v>as-as</v>
          </cell>
          <cell r="I6216" t="str">
            <v>sim</v>
          </cell>
          <cell r="V6216" t="str">
            <v>not</v>
          </cell>
          <cell r="Y6216" t="str">
            <v>Past</v>
          </cell>
          <cell r="Z6216">
            <v>3.93</v>
          </cell>
          <cell r="AA6216">
            <v>0</v>
          </cell>
          <cell r="AB6216">
            <v>0</v>
          </cell>
        </row>
        <row r="6217">
          <cell r="G6217" t="str">
            <v>X2378_1</v>
          </cell>
          <cell r="H6217" t="str">
            <v>as-as</v>
          </cell>
          <cell r="I6217" t="str">
            <v>sim</v>
          </cell>
          <cell r="V6217" t="str">
            <v>not</v>
          </cell>
          <cell r="Y6217" t="str">
            <v>Past</v>
          </cell>
          <cell r="Z6217">
            <v>3.93</v>
          </cell>
          <cell r="AA6217">
            <v>0</v>
          </cell>
          <cell r="AB6217">
            <v>0</v>
          </cell>
        </row>
        <row r="6218">
          <cell r="G6218" t="str">
            <v>X2379_0</v>
          </cell>
          <cell r="H6218" t="str">
            <v>like</v>
          </cell>
          <cell r="I6218" t="str">
            <v>sim</v>
          </cell>
          <cell r="V6218" t="str">
            <v>not</v>
          </cell>
          <cell r="Y6218" t="str">
            <v>Past</v>
          </cell>
          <cell r="Z6218">
            <v>2.81</v>
          </cell>
          <cell r="AA6218">
            <v>0</v>
          </cell>
          <cell r="AB6218">
            <v>0</v>
          </cell>
        </row>
        <row r="6219">
          <cell r="G6219" t="str">
            <v>X2379_1</v>
          </cell>
          <cell r="H6219" t="str">
            <v>like</v>
          </cell>
          <cell r="I6219" t="str">
            <v>sim</v>
          </cell>
          <cell r="V6219" t="str">
            <v>not</v>
          </cell>
          <cell r="Y6219" t="str">
            <v>Past</v>
          </cell>
          <cell r="Z6219">
            <v>2.81</v>
          </cell>
          <cell r="AA6219">
            <v>0</v>
          </cell>
          <cell r="AB6219">
            <v>0</v>
          </cell>
        </row>
        <row r="6220">
          <cell r="G6220" t="str">
            <v>X2380_0</v>
          </cell>
          <cell r="H6220" t="str">
            <v>as-as</v>
          </cell>
          <cell r="I6220" t="str">
            <v>sim</v>
          </cell>
          <cell r="V6220" t="str">
            <v>not</v>
          </cell>
          <cell r="Y6220" t="str">
            <v>Past</v>
          </cell>
          <cell r="Z6220">
            <v>3.36</v>
          </cell>
          <cell r="AA6220">
            <v>0</v>
          </cell>
          <cell r="AB6220">
            <v>0</v>
          </cell>
        </row>
        <row r="6221">
          <cell r="G6221" t="str">
            <v>X2380_1</v>
          </cell>
          <cell r="H6221" t="str">
            <v>as-as</v>
          </cell>
          <cell r="I6221" t="str">
            <v>sim</v>
          </cell>
          <cell r="V6221" t="str">
            <v>not</v>
          </cell>
          <cell r="Y6221" t="str">
            <v>Past</v>
          </cell>
          <cell r="Z6221">
            <v>3.36</v>
          </cell>
          <cell r="AA6221">
            <v>0</v>
          </cell>
          <cell r="AB6221">
            <v>0</v>
          </cell>
        </row>
        <row r="6222">
          <cell r="G6222" t="str">
            <v>X2381_0</v>
          </cell>
          <cell r="H6222" t="str">
            <v>the-of</v>
          </cell>
          <cell r="I6222" t="str">
            <v>sim</v>
          </cell>
          <cell r="V6222" t="str">
            <v>not neg pair</v>
          </cell>
          <cell r="Y6222" t="str">
            <v>Pres</v>
          </cell>
          <cell r="Z6222">
            <v>4.13</v>
          </cell>
          <cell r="AA6222">
            <v>0</v>
          </cell>
          <cell r="AB6222">
            <v>0</v>
          </cell>
        </row>
        <row r="6223">
          <cell r="G6223" t="str">
            <v>X2381_1</v>
          </cell>
          <cell r="H6223" t="str">
            <v>the-of</v>
          </cell>
          <cell r="I6223" t="str">
            <v>sim</v>
          </cell>
          <cell r="V6223" t="str">
            <v>not neg pair</v>
          </cell>
          <cell r="Y6223" t="str">
            <v>Pres</v>
          </cell>
          <cell r="Z6223">
            <v>4.13</v>
          </cell>
          <cell r="AA6223">
            <v>0</v>
          </cell>
          <cell r="AB6223">
            <v>0</v>
          </cell>
        </row>
        <row r="6224">
          <cell r="G6224" t="str">
            <v>X2382_0</v>
          </cell>
          <cell r="H6224" t="str">
            <v>the-of</v>
          </cell>
          <cell r="I6224" t="str">
            <v>sim</v>
          </cell>
          <cell r="V6224" t="str">
            <v>not neg pair</v>
          </cell>
          <cell r="Y6224" t="str">
            <v>Pres</v>
          </cell>
          <cell r="Z6224">
            <v>4.8499999999999996</v>
          </cell>
          <cell r="AA6224">
            <v>0</v>
          </cell>
          <cell r="AB6224">
            <v>0</v>
          </cell>
        </row>
        <row r="6225">
          <cell r="G6225" t="str">
            <v>X2382_1</v>
          </cell>
          <cell r="H6225" t="str">
            <v>the-of</v>
          </cell>
          <cell r="I6225" t="str">
            <v>sim</v>
          </cell>
          <cell r="V6225" t="str">
            <v>not neg pair</v>
          </cell>
          <cell r="Y6225" t="str">
            <v>Pres</v>
          </cell>
          <cell r="Z6225">
            <v>4.8499999999999996</v>
          </cell>
          <cell r="AA6225">
            <v>0</v>
          </cell>
          <cell r="AB6225">
            <v>0</v>
          </cell>
        </row>
        <row r="6226">
          <cell r="G6226" t="str">
            <v>X2383_0</v>
          </cell>
          <cell r="H6226" t="str">
            <v/>
          </cell>
          <cell r="I6226" t="str">
            <v>met</v>
          </cell>
          <cell r="V6226" t="str">
            <v>0</v>
          </cell>
          <cell r="Y6226" t="str">
            <v>Past</v>
          </cell>
          <cell r="Z6226">
            <v>4.79</v>
          </cell>
          <cell r="AA6226">
            <v>0</v>
          </cell>
          <cell r="AB6226">
            <v>0</v>
          </cell>
        </row>
        <row r="6227">
          <cell r="G6227" t="str">
            <v>X2383_1</v>
          </cell>
          <cell r="H6227" t="str">
            <v/>
          </cell>
          <cell r="I6227" t="str">
            <v>met</v>
          </cell>
          <cell r="V6227" t="str">
            <v>0</v>
          </cell>
          <cell r="Y6227" t="str">
            <v>Pres</v>
          </cell>
          <cell r="Z6227">
            <v>4.79</v>
          </cell>
          <cell r="AA6227">
            <v>0</v>
          </cell>
          <cell r="AB6227">
            <v>0</v>
          </cell>
        </row>
        <row r="6228">
          <cell r="G6228" t="str">
            <v>X2384_0</v>
          </cell>
          <cell r="H6228" t="str">
            <v>as-as</v>
          </cell>
          <cell r="I6228" t="str">
            <v>sim</v>
          </cell>
          <cell r="V6228" t="str">
            <v>not neg pair</v>
          </cell>
          <cell r="Y6228" t="str">
            <v>Pres</v>
          </cell>
          <cell r="Z6228">
            <v>4.54</v>
          </cell>
          <cell r="AA6228">
            <v>0</v>
          </cell>
          <cell r="AB6228">
            <v>0</v>
          </cell>
        </row>
        <row r="6229">
          <cell r="G6229" t="str">
            <v>X2384_1</v>
          </cell>
          <cell r="H6229" t="str">
            <v>as-as</v>
          </cell>
          <cell r="I6229" t="str">
            <v>sim</v>
          </cell>
          <cell r="V6229" t="str">
            <v>not neg pair</v>
          </cell>
          <cell r="Y6229" t="str">
            <v>Pres</v>
          </cell>
          <cell r="Z6229">
            <v>4.54</v>
          </cell>
          <cell r="AA6229">
            <v>0</v>
          </cell>
          <cell r="AB6229">
            <v>0</v>
          </cell>
        </row>
        <row r="6230">
          <cell r="G6230" t="str">
            <v>X2385_0</v>
          </cell>
          <cell r="H6230" t="str">
            <v>as-as</v>
          </cell>
          <cell r="I6230" t="str">
            <v>sim</v>
          </cell>
          <cell r="V6230" t="str">
            <v>antonym</v>
          </cell>
          <cell r="Y6230" t="str">
            <v>Pres</v>
          </cell>
          <cell r="Z6230">
            <v>4.75</v>
          </cell>
          <cell r="AA6230">
            <v>0</v>
          </cell>
          <cell r="AB6230">
            <v>0</v>
          </cell>
        </row>
        <row r="6231">
          <cell r="G6231" t="str">
            <v>X2385_1</v>
          </cell>
          <cell r="H6231" t="str">
            <v>as-as</v>
          </cell>
          <cell r="I6231" t="str">
            <v>sim</v>
          </cell>
          <cell r="V6231" t="str">
            <v>antonym</v>
          </cell>
          <cell r="Y6231" t="str">
            <v>Pres</v>
          </cell>
          <cell r="Z6231">
            <v>4.75</v>
          </cell>
          <cell r="AA6231">
            <v>0</v>
          </cell>
          <cell r="AB6231">
            <v>0</v>
          </cell>
        </row>
        <row r="6232">
          <cell r="G6232" t="str">
            <v>X2386_0</v>
          </cell>
          <cell r="H6232" t="str">
            <v>as-as</v>
          </cell>
          <cell r="I6232" t="str">
            <v>sim</v>
          </cell>
          <cell r="V6232" t="str">
            <v>not</v>
          </cell>
          <cell r="Y6232" t="str">
            <v>Past</v>
          </cell>
          <cell r="Z6232">
            <v>4.72</v>
          </cell>
          <cell r="AA6232">
            <v>0</v>
          </cell>
          <cell r="AB6232">
            <v>0</v>
          </cell>
        </row>
        <row r="6233">
          <cell r="G6233" t="str">
            <v>X2386_1</v>
          </cell>
          <cell r="H6233" t="str">
            <v>as-as</v>
          </cell>
          <cell r="I6233" t="str">
            <v>sim</v>
          </cell>
          <cell r="V6233" t="str">
            <v>not</v>
          </cell>
          <cell r="Y6233" t="str">
            <v>Past</v>
          </cell>
          <cell r="Z6233">
            <v>4.72</v>
          </cell>
          <cell r="AA6233">
            <v>0</v>
          </cell>
          <cell r="AB6233">
            <v>0</v>
          </cell>
        </row>
        <row r="6234">
          <cell r="G6234" t="str">
            <v>X2387_0</v>
          </cell>
          <cell r="H6234" t="str">
            <v>as-as</v>
          </cell>
          <cell r="I6234" t="str">
            <v>sim</v>
          </cell>
          <cell r="V6234" t="str">
            <v>not neg pair</v>
          </cell>
          <cell r="Y6234" t="str">
            <v>Past</v>
          </cell>
          <cell r="Z6234">
            <v>4.79</v>
          </cell>
          <cell r="AA6234">
            <v>0</v>
          </cell>
          <cell r="AB6234">
            <v>0</v>
          </cell>
        </row>
        <row r="6235">
          <cell r="G6235" t="str">
            <v>X2387_1</v>
          </cell>
          <cell r="H6235" t="str">
            <v>as-as</v>
          </cell>
          <cell r="I6235" t="str">
            <v>sim</v>
          </cell>
          <cell r="V6235" t="str">
            <v>not neg pair</v>
          </cell>
          <cell r="Y6235" t="str">
            <v>Past</v>
          </cell>
          <cell r="Z6235">
            <v>4.79</v>
          </cell>
          <cell r="AA6235">
            <v>0</v>
          </cell>
          <cell r="AB6235">
            <v>0</v>
          </cell>
        </row>
        <row r="6236">
          <cell r="G6236" t="str">
            <v>X2388_0</v>
          </cell>
          <cell r="H6236" t="str">
            <v>as-as</v>
          </cell>
          <cell r="I6236" t="str">
            <v>sim</v>
          </cell>
          <cell r="V6236" t="str">
            <v>antonym</v>
          </cell>
          <cell r="Y6236" t="str">
            <v>Past</v>
          </cell>
          <cell r="Z6236">
            <v>4.93</v>
          </cell>
          <cell r="AA6236" t="str">
            <v>H</v>
          </cell>
          <cell r="AB6236">
            <v>0</v>
          </cell>
        </row>
        <row r="6237">
          <cell r="G6237" t="str">
            <v>X2388_1</v>
          </cell>
          <cell r="H6237" t="str">
            <v>as-as</v>
          </cell>
          <cell r="I6237" t="str">
            <v>sim</v>
          </cell>
          <cell r="V6237" t="str">
            <v>antonym</v>
          </cell>
          <cell r="Y6237" t="str">
            <v>Past</v>
          </cell>
          <cell r="Z6237">
            <v>4.93</v>
          </cell>
          <cell r="AA6237" t="str">
            <v>H</v>
          </cell>
          <cell r="AB6237">
            <v>0</v>
          </cell>
        </row>
        <row r="6238">
          <cell r="G6238" t="str">
            <v>X2389_0</v>
          </cell>
          <cell r="H6238" t="str">
            <v>like</v>
          </cell>
          <cell r="I6238" t="str">
            <v>sim</v>
          </cell>
          <cell r="V6238" t="str">
            <v>not neg pair</v>
          </cell>
          <cell r="Y6238" t="str">
            <v>Past</v>
          </cell>
          <cell r="Z6238">
            <v>4.5</v>
          </cell>
          <cell r="AA6238">
            <v>0</v>
          </cell>
          <cell r="AB6238">
            <v>0</v>
          </cell>
        </row>
        <row r="6239">
          <cell r="G6239" t="str">
            <v>X2389_1</v>
          </cell>
          <cell r="H6239" t="str">
            <v>like</v>
          </cell>
          <cell r="I6239" t="str">
            <v>sim</v>
          </cell>
          <cell r="V6239" t="str">
            <v>not neg pair</v>
          </cell>
          <cell r="Y6239" t="str">
            <v>Past</v>
          </cell>
          <cell r="Z6239">
            <v>4.5</v>
          </cell>
          <cell r="AA6239">
            <v>0</v>
          </cell>
          <cell r="AB6239">
            <v>0</v>
          </cell>
        </row>
        <row r="6240">
          <cell r="G6240" t="str">
            <v>X2390_0</v>
          </cell>
          <cell r="H6240" t="str">
            <v>like</v>
          </cell>
          <cell r="I6240" t="str">
            <v>sim</v>
          </cell>
          <cell r="V6240" t="str">
            <v>not</v>
          </cell>
          <cell r="Y6240" t="str">
            <v>Past</v>
          </cell>
          <cell r="Z6240">
            <v>2.93</v>
          </cell>
          <cell r="AA6240">
            <v>0</v>
          </cell>
          <cell r="AB6240">
            <v>0</v>
          </cell>
        </row>
        <row r="6241">
          <cell r="G6241" t="str">
            <v>X2390_1</v>
          </cell>
          <cell r="H6241" t="str">
            <v>like</v>
          </cell>
          <cell r="I6241" t="str">
            <v>sim</v>
          </cell>
          <cell r="V6241" t="str">
            <v>not</v>
          </cell>
          <cell r="Y6241" t="str">
            <v>Past</v>
          </cell>
          <cell r="Z6241">
            <v>2.93</v>
          </cell>
          <cell r="AA6241">
            <v>0</v>
          </cell>
          <cell r="AB6241">
            <v>0</v>
          </cell>
        </row>
        <row r="6242">
          <cell r="G6242" t="str">
            <v>X2391_0</v>
          </cell>
          <cell r="H6242" t="str">
            <v>the-of</v>
          </cell>
          <cell r="I6242" t="str">
            <v>sim</v>
          </cell>
          <cell r="V6242" t="str">
            <v>not neg pair</v>
          </cell>
          <cell r="Y6242" t="str">
            <v>Pres</v>
          </cell>
          <cell r="Z6242">
            <v>3.93</v>
          </cell>
          <cell r="AA6242">
            <v>0</v>
          </cell>
          <cell r="AB6242">
            <v>0</v>
          </cell>
        </row>
        <row r="6243">
          <cell r="G6243" t="str">
            <v>X2391_1</v>
          </cell>
          <cell r="H6243" t="str">
            <v>the-of</v>
          </cell>
          <cell r="I6243" t="str">
            <v>sim</v>
          </cell>
          <cell r="V6243" t="str">
            <v>not neg pair</v>
          </cell>
          <cell r="Y6243" t="str">
            <v>Pres</v>
          </cell>
          <cell r="Z6243">
            <v>3.93</v>
          </cell>
          <cell r="AA6243">
            <v>0</v>
          </cell>
          <cell r="AB6243">
            <v>0</v>
          </cell>
        </row>
        <row r="6244">
          <cell r="G6244" t="str">
            <v>X2392_0</v>
          </cell>
          <cell r="H6244" t="str">
            <v>the-of</v>
          </cell>
          <cell r="I6244" t="str">
            <v>sim</v>
          </cell>
          <cell r="V6244" t="str">
            <v>not neg pair</v>
          </cell>
          <cell r="Y6244" t="str">
            <v>Pres</v>
          </cell>
          <cell r="Z6244">
            <v>5</v>
          </cell>
          <cell r="AA6244" t="str">
            <v>H</v>
          </cell>
          <cell r="AB6244">
            <v>0</v>
          </cell>
        </row>
        <row r="6245">
          <cell r="G6245" t="str">
            <v>X2392_1</v>
          </cell>
          <cell r="H6245" t="str">
            <v>the-of</v>
          </cell>
          <cell r="I6245" t="str">
            <v>sim</v>
          </cell>
          <cell r="V6245" t="str">
            <v>not neg pair</v>
          </cell>
          <cell r="Y6245" t="str">
            <v>Pres</v>
          </cell>
          <cell r="Z6245">
            <v>5</v>
          </cell>
          <cell r="AA6245" t="str">
            <v>H</v>
          </cell>
          <cell r="AB6245">
            <v>0</v>
          </cell>
        </row>
        <row r="6246">
          <cell r="G6246" t="str">
            <v>X2393_0</v>
          </cell>
          <cell r="H6246" t="str">
            <v>the-of</v>
          </cell>
          <cell r="I6246" t="str">
            <v>sim</v>
          </cell>
          <cell r="V6246" t="str">
            <v>not neg pair</v>
          </cell>
          <cell r="Y6246" t="str">
            <v>Past</v>
          </cell>
          <cell r="Z6246">
            <v>4.8499999999999996</v>
          </cell>
          <cell r="AA6246">
            <v>0</v>
          </cell>
          <cell r="AB6246">
            <v>0</v>
          </cell>
        </row>
        <row r="6247">
          <cell r="G6247" t="str">
            <v>X2393_1</v>
          </cell>
          <cell r="H6247" t="str">
            <v>the-of</v>
          </cell>
          <cell r="I6247" t="str">
            <v>sim</v>
          </cell>
          <cell r="V6247" t="str">
            <v>not neg pair</v>
          </cell>
          <cell r="Y6247" t="str">
            <v>Past</v>
          </cell>
          <cell r="Z6247">
            <v>4.8499999999999996</v>
          </cell>
          <cell r="AA6247">
            <v>0</v>
          </cell>
          <cell r="AB6247">
            <v>0</v>
          </cell>
        </row>
        <row r="6248">
          <cell r="G6248" t="str">
            <v>X2394_0</v>
          </cell>
          <cell r="H6248" t="str">
            <v>the-of</v>
          </cell>
          <cell r="I6248" t="str">
            <v>sim</v>
          </cell>
          <cell r="V6248" t="str">
            <v>not neg pair</v>
          </cell>
          <cell r="Y6248" t="str">
            <v>Pres</v>
          </cell>
          <cell r="Z6248">
            <v>4.72</v>
          </cell>
          <cell r="AA6248">
            <v>0</v>
          </cell>
          <cell r="AB6248">
            <v>0</v>
          </cell>
        </row>
        <row r="6249">
          <cell r="G6249" t="str">
            <v>X2394_1</v>
          </cell>
          <cell r="H6249" t="str">
            <v>the-of</v>
          </cell>
          <cell r="I6249" t="str">
            <v>sim</v>
          </cell>
          <cell r="V6249" t="str">
            <v>not neg pair</v>
          </cell>
          <cell r="Y6249" t="str">
            <v>Pres</v>
          </cell>
          <cell r="Z6249">
            <v>4.72</v>
          </cell>
          <cell r="AA6249">
            <v>0</v>
          </cell>
          <cell r="AB6249">
            <v>0</v>
          </cell>
        </row>
        <row r="6250">
          <cell r="G6250" t="str">
            <v>X2395_0</v>
          </cell>
          <cell r="H6250" t="str">
            <v>as-as</v>
          </cell>
          <cell r="I6250" t="str">
            <v>sim</v>
          </cell>
          <cell r="V6250" t="str">
            <v>not neg pair</v>
          </cell>
          <cell r="Y6250" t="str">
            <v>Past</v>
          </cell>
          <cell r="Z6250">
            <v>4.45</v>
          </cell>
          <cell r="AA6250">
            <v>0</v>
          </cell>
          <cell r="AB6250">
            <v>0</v>
          </cell>
        </row>
        <row r="6251">
          <cell r="G6251" t="str">
            <v>X2395_1</v>
          </cell>
          <cell r="H6251" t="str">
            <v>as-as</v>
          </cell>
          <cell r="I6251" t="str">
            <v>sim</v>
          </cell>
          <cell r="V6251" t="str">
            <v>not neg pair</v>
          </cell>
          <cell r="Y6251" t="str">
            <v>Past</v>
          </cell>
          <cell r="Z6251">
            <v>4.45</v>
          </cell>
          <cell r="AA6251">
            <v>0</v>
          </cell>
          <cell r="AB6251">
            <v>0</v>
          </cell>
        </row>
        <row r="6252">
          <cell r="G6252" t="str">
            <v>X2396_0</v>
          </cell>
          <cell r="H6252" t="str">
            <v>as-as</v>
          </cell>
          <cell r="I6252" t="str">
            <v>sim</v>
          </cell>
          <cell r="V6252" t="str">
            <v>not neg pair</v>
          </cell>
          <cell r="Y6252" t="str">
            <v>Past</v>
          </cell>
          <cell r="Z6252">
            <v>4.59</v>
          </cell>
          <cell r="AA6252">
            <v>0</v>
          </cell>
          <cell r="AB6252">
            <v>0</v>
          </cell>
        </row>
        <row r="6253">
          <cell r="G6253" t="str">
            <v>X2396_1</v>
          </cell>
          <cell r="H6253" t="str">
            <v>as-as</v>
          </cell>
          <cell r="I6253" t="str">
            <v>sim</v>
          </cell>
          <cell r="V6253" t="str">
            <v>not neg pair</v>
          </cell>
          <cell r="Y6253" t="str">
            <v>Past</v>
          </cell>
          <cell r="Z6253">
            <v>4.59</v>
          </cell>
          <cell r="AA6253">
            <v>0</v>
          </cell>
          <cell r="AB6253">
            <v>0</v>
          </cell>
        </row>
        <row r="6254">
          <cell r="G6254" t="str">
            <v>X2397_0</v>
          </cell>
          <cell r="H6254" t="str">
            <v/>
          </cell>
          <cell r="I6254" t="str">
            <v>met</v>
          </cell>
          <cell r="V6254" t="str">
            <v>0</v>
          </cell>
          <cell r="Y6254" t="str">
            <v>Past</v>
          </cell>
          <cell r="Z6254">
            <v>2.93</v>
          </cell>
          <cell r="AA6254">
            <v>0</v>
          </cell>
          <cell r="AB6254">
            <v>0</v>
          </cell>
        </row>
        <row r="6255">
          <cell r="G6255" t="str">
            <v>X2397_1</v>
          </cell>
          <cell r="H6255" t="str">
            <v/>
          </cell>
          <cell r="I6255" t="str">
            <v>met</v>
          </cell>
          <cell r="V6255" t="str">
            <v>0</v>
          </cell>
          <cell r="Y6255" t="str">
            <v>Past</v>
          </cell>
          <cell r="Z6255">
            <v>1.7</v>
          </cell>
          <cell r="AA6255" t="str">
            <v>L</v>
          </cell>
          <cell r="AB6255">
            <v>0</v>
          </cell>
        </row>
        <row r="6256">
          <cell r="G6256" t="str">
            <v>X2398_0</v>
          </cell>
          <cell r="H6256" t="str">
            <v/>
          </cell>
          <cell r="I6256" t="str">
            <v>met</v>
          </cell>
          <cell r="V6256" t="str">
            <v>0</v>
          </cell>
          <cell r="Y6256" t="str">
            <v>Past</v>
          </cell>
          <cell r="Z6256">
            <v>1.61</v>
          </cell>
          <cell r="AA6256" t="str">
            <v>L</v>
          </cell>
          <cell r="AB6256">
            <v>0</v>
          </cell>
        </row>
        <row r="6257">
          <cell r="G6257" t="str">
            <v>X2398_1</v>
          </cell>
          <cell r="H6257" t="str">
            <v/>
          </cell>
          <cell r="I6257" t="str">
            <v>met</v>
          </cell>
          <cell r="V6257" t="str">
            <v>0</v>
          </cell>
          <cell r="Y6257" t="str">
            <v>Past</v>
          </cell>
          <cell r="Z6257">
            <v>1.61</v>
          </cell>
          <cell r="AA6257" t="str">
            <v>L</v>
          </cell>
          <cell r="AB6257">
            <v>0</v>
          </cell>
        </row>
        <row r="6258">
          <cell r="G6258" t="str">
            <v>X2399_0</v>
          </cell>
          <cell r="H6258" t="str">
            <v/>
          </cell>
          <cell r="I6258" t="str">
            <v>met</v>
          </cell>
          <cell r="V6258" t="str">
            <v>0</v>
          </cell>
          <cell r="Y6258" t="str">
            <v>Past</v>
          </cell>
          <cell r="Z6258">
            <v>3.36</v>
          </cell>
          <cell r="AA6258">
            <v>0</v>
          </cell>
          <cell r="AB6258">
            <v>0</v>
          </cell>
        </row>
        <row r="6259">
          <cell r="G6259" t="str">
            <v>X2399_1</v>
          </cell>
          <cell r="H6259" t="str">
            <v/>
          </cell>
          <cell r="I6259" t="str">
            <v>met</v>
          </cell>
          <cell r="V6259" t="str">
            <v>0</v>
          </cell>
          <cell r="Y6259" t="str">
            <v>Past</v>
          </cell>
          <cell r="Z6259">
            <v>3.36</v>
          </cell>
          <cell r="AA6259">
            <v>0</v>
          </cell>
          <cell r="AB6259">
            <v>0</v>
          </cell>
        </row>
        <row r="6260">
          <cell r="G6260" t="str">
            <v>X2400_0</v>
          </cell>
          <cell r="H6260" t="str">
            <v/>
          </cell>
          <cell r="I6260" t="str">
            <v>met</v>
          </cell>
          <cell r="V6260" t="str">
            <v>0</v>
          </cell>
          <cell r="Y6260" t="str">
            <v>Past</v>
          </cell>
          <cell r="Z6260">
            <v>3.19</v>
          </cell>
          <cell r="AA6260">
            <v>0</v>
          </cell>
          <cell r="AB6260">
            <v>0</v>
          </cell>
        </row>
        <row r="6261">
          <cell r="G6261" t="str">
            <v>X2400_1</v>
          </cell>
          <cell r="H6261" t="str">
            <v/>
          </cell>
          <cell r="I6261" t="str">
            <v>met</v>
          </cell>
          <cell r="V6261" t="str">
            <v>0</v>
          </cell>
          <cell r="Y6261" t="str">
            <v>Past</v>
          </cell>
          <cell r="Z6261">
            <v>3.19</v>
          </cell>
          <cell r="AA6261">
            <v>0</v>
          </cell>
          <cell r="AB6261">
            <v>0</v>
          </cell>
        </row>
        <row r="6262">
          <cell r="G6262" t="str">
            <v>X2401_0</v>
          </cell>
          <cell r="H6262" t="str">
            <v/>
          </cell>
          <cell r="I6262" t="str">
            <v>met</v>
          </cell>
          <cell r="V6262" t="str">
            <v>0</v>
          </cell>
          <cell r="Y6262" t="str">
            <v>Pres</v>
          </cell>
          <cell r="Z6262">
            <v>4.5199999999999996</v>
          </cell>
          <cell r="AA6262">
            <v>0</v>
          </cell>
          <cell r="AB6262">
            <v>0</v>
          </cell>
        </row>
        <row r="6263">
          <cell r="G6263" t="str">
            <v>X2401_1</v>
          </cell>
          <cell r="H6263" t="str">
            <v/>
          </cell>
          <cell r="I6263" t="str">
            <v>met</v>
          </cell>
          <cell r="V6263" t="str">
            <v>0</v>
          </cell>
          <cell r="Y6263" t="str">
            <v>Pres</v>
          </cell>
          <cell r="Z6263">
            <v>4.5199999999999996</v>
          </cell>
          <cell r="AA6263">
            <v>0</v>
          </cell>
          <cell r="AB6263">
            <v>0</v>
          </cell>
        </row>
        <row r="6264">
          <cell r="G6264" t="str">
            <v>X2402_0</v>
          </cell>
          <cell r="H6264" t="str">
            <v/>
          </cell>
          <cell r="I6264" t="str">
            <v>met</v>
          </cell>
          <cell r="V6264" t="str">
            <v>0</v>
          </cell>
          <cell r="Y6264" t="str">
            <v>Pres</v>
          </cell>
          <cell r="Z6264">
            <v>3.77</v>
          </cell>
          <cell r="AA6264">
            <v>0</v>
          </cell>
          <cell r="AB6264">
            <v>0</v>
          </cell>
        </row>
        <row r="6265">
          <cell r="G6265" t="str">
            <v>X2402_1</v>
          </cell>
          <cell r="H6265" t="str">
            <v/>
          </cell>
          <cell r="I6265" t="str">
            <v>met</v>
          </cell>
          <cell r="V6265" t="str">
            <v>0</v>
          </cell>
          <cell r="Y6265" t="str">
            <v>Pres</v>
          </cell>
          <cell r="Z6265">
            <v>3.77</v>
          </cell>
          <cell r="AA6265">
            <v>0</v>
          </cell>
          <cell r="AB6265">
            <v>0</v>
          </cell>
        </row>
        <row r="6266">
          <cell r="G6266" t="str">
            <v>X2403_0</v>
          </cell>
          <cell r="H6266" t="str">
            <v>like</v>
          </cell>
          <cell r="I6266" t="str">
            <v>sim</v>
          </cell>
          <cell r="V6266" t="str">
            <v>not neg pair</v>
          </cell>
          <cell r="Y6266" t="str">
            <v>Pres</v>
          </cell>
          <cell r="Z6266">
            <v>4.46</v>
          </cell>
          <cell r="AA6266">
            <v>0</v>
          </cell>
          <cell r="AB6266">
            <v>0</v>
          </cell>
        </row>
        <row r="6267">
          <cell r="G6267" t="str">
            <v>X2403_1</v>
          </cell>
          <cell r="H6267" t="str">
            <v>like</v>
          </cell>
          <cell r="I6267" t="str">
            <v>sim</v>
          </cell>
          <cell r="V6267" t="str">
            <v>not neg pair</v>
          </cell>
          <cell r="Y6267" t="str">
            <v>Pres</v>
          </cell>
          <cell r="Z6267">
            <v>4.46</v>
          </cell>
          <cell r="AA6267">
            <v>0</v>
          </cell>
          <cell r="AB6267">
            <v>0</v>
          </cell>
        </row>
        <row r="6268">
          <cell r="G6268" t="str">
            <v>X2404_0</v>
          </cell>
          <cell r="H6268" t="str">
            <v>the-of</v>
          </cell>
          <cell r="I6268" t="str">
            <v>sim</v>
          </cell>
          <cell r="V6268" t="str">
            <v>not neg pair</v>
          </cell>
          <cell r="Y6268" t="str">
            <v>Pres</v>
          </cell>
          <cell r="Z6268">
            <v>4.5999999999999996</v>
          </cell>
          <cell r="AA6268">
            <v>0</v>
          </cell>
          <cell r="AB6268">
            <v>0</v>
          </cell>
        </row>
        <row r="6269">
          <cell r="G6269" t="str">
            <v>X2404_1</v>
          </cell>
          <cell r="H6269" t="str">
            <v>the-of</v>
          </cell>
          <cell r="I6269" t="str">
            <v>sim</v>
          </cell>
          <cell r="V6269" t="str">
            <v>not neg pair</v>
          </cell>
          <cell r="Y6269" t="str">
            <v>Pres</v>
          </cell>
          <cell r="Z6269">
            <v>4.5999999999999996</v>
          </cell>
          <cell r="AA6269">
            <v>0</v>
          </cell>
          <cell r="AB6269">
            <v>0</v>
          </cell>
        </row>
        <row r="6270">
          <cell r="G6270" t="str">
            <v>X2405_0</v>
          </cell>
          <cell r="H6270" t="str">
            <v/>
          </cell>
          <cell r="I6270" t="str">
            <v>met</v>
          </cell>
          <cell r="V6270" t="str">
            <v>0</v>
          </cell>
          <cell r="Y6270" t="str">
            <v>Pres</v>
          </cell>
          <cell r="Z6270">
            <v>0</v>
          </cell>
          <cell r="AA6270">
            <v>0</v>
          </cell>
          <cell r="AB6270">
            <v>0</v>
          </cell>
        </row>
        <row r="6271">
          <cell r="G6271" t="str">
            <v>X2405_1</v>
          </cell>
          <cell r="H6271" t="str">
            <v/>
          </cell>
          <cell r="I6271" t="str">
            <v>met</v>
          </cell>
          <cell r="V6271" t="str">
            <v>0</v>
          </cell>
          <cell r="Y6271" t="str">
            <v>Pres</v>
          </cell>
          <cell r="Z6271">
            <v>0</v>
          </cell>
          <cell r="AA6271">
            <v>0</v>
          </cell>
          <cell r="AB6271">
            <v>0</v>
          </cell>
        </row>
        <row r="6272">
          <cell r="G6272" t="str">
            <v>X2406_0</v>
          </cell>
          <cell r="H6272" t="str">
            <v/>
          </cell>
          <cell r="I6272" t="str">
            <v>met</v>
          </cell>
          <cell r="V6272" t="str">
            <v>0</v>
          </cell>
          <cell r="Y6272" t="str">
            <v>Pres</v>
          </cell>
          <cell r="Z6272">
            <v>3.48</v>
          </cell>
          <cell r="AA6272">
            <v>0</v>
          </cell>
          <cell r="AB6272">
            <v>0</v>
          </cell>
        </row>
        <row r="6273">
          <cell r="G6273" t="str">
            <v>X2406_1</v>
          </cell>
          <cell r="H6273" t="str">
            <v/>
          </cell>
          <cell r="I6273" t="str">
            <v>met</v>
          </cell>
          <cell r="V6273" t="str">
            <v>0</v>
          </cell>
          <cell r="Y6273" t="str">
            <v>Pres</v>
          </cell>
          <cell r="Z6273">
            <v>3.48</v>
          </cell>
          <cell r="AA6273">
            <v>0</v>
          </cell>
          <cell r="AB6273">
            <v>0</v>
          </cell>
        </row>
        <row r="6274">
          <cell r="G6274" t="str">
            <v>X2407_0</v>
          </cell>
          <cell r="H6274" t="str">
            <v>the-of</v>
          </cell>
          <cell r="I6274" t="str">
            <v>sim</v>
          </cell>
          <cell r="V6274" t="str">
            <v>not</v>
          </cell>
          <cell r="Y6274" t="str">
            <v>Pres</v>
          </cell>
          <cell r="Z6274">
            <v>3.36</v>
          </cell>
          <cell r="AA6274">
            <v>0</v>
          </cell>
          <cell r="AB6274">
            <v>0</v>
          </cell>
        </row>
        <row r="6275">
          <cell r="G6275" t="str">
            <v>X2407_1</v>
          </cell>
          <cell r="H6275" t="str">
            <v>the-of</v>
          </cell>
          <cell r="I6275" t="str">
            <v>sim</v>
          </cell>
          <cell r="V6275" t="str">
            <v>not</v>
          </cell>
          <cell r="Y6275" t="str">
            <v>Pres</v>
          </cell>
          <cell r="Z6275">
            <v>3.36</v>
          </cell>
          <cell r="AA6275">
            <v>0</v>
          </cell>
          <cell r="AB6275">
            <v>0</v>
          </cell>
        </row>
        <row r="6276">
          <cell r="G6276" t="str">
            <v>X2408_0</v>
          </cell>
          <cell r="H6276" t="str">
            <v>like</v>
          </cell>
          <cell r="I6276" t="str">
            <v>sim</v>
          </cell>
          <cell r="V6276" t="str">
            <v>not neg pair</v>
          </cell>
          <cell r="Y6276" t="str">
            <v>Pres</v>
          </cell>
          <cell r="Z6276">
            <v>4.9000000000000004</v>
          </cell>
          <cell r="AA6276">
            <v>0</v>
          </cell>
          <cell r="AB6276">
            <v>0</v>
          </cell>
        </row>
        <row r="6277">
          <cell r="G6277" t="str">
            <v>X2408_1</v>
          </cell>
          <cell r="H6277" t="str">
            <v>like</v>
          </cell>
          <cell r="I6277" t="str">
            <v>sim</v>
          </cell>
          <cell r="V6277" t="str">
            <v>not neg pair</v>
          </cell>
          <cell r="Y6277" t="str">
            <v>Pres</v>
          </cell>
          <cell r="Z6277">
            <v>4.9000000000000004</v>
          </cell>
          <cell r="AA6277">
            <v>0</v>
          </cell>
          <cell r="AB6277">
            <v>0</v>
          </cell>
        </row>
        <row r="6278">
          <cell r="G6278" t="str">
            <v>X2409_0</v>
          </cell>
          <cell r="H6278" t="str">
            <v/>
          </cell>
          <cell r="I6278" t="str">
            <v>met</v>
          </cell>
          <cell r="V6278" t="str">
            <v>0</v>
          </cell>
          <cell r="Y6278" t="str">
            <v>Pres</v>
          </cell>
          <cell r="Z6278">
            <v>3.36</v>
          </cell>
          <cell r="AA6278">
            <v>0</v>
          </cell>
          <cell r="AB6278">
            <v>0</v>
          </cell>
        </row>
        <row r="6279">
          <cell r="G6279" t="str">
            <v>X2409_1</v>
          </cell>
          <cell r="H6279" t="str">
            <v/>
          </cell>
          <cell r="I6279" t="str">
            <v>met</v>
          </cell>
          <cell r="V6279" t="str">
            <v>0</v>
          </cell>
          <cell r="Y6279" t="str">
            <v>Pres</v>
          </cell>
          <cell r="Z6279">
            <v>3.36</v>
          </cell>
          <cell r="AA6279">
            <v>0</v>
          </cell>
          <cell r="AB6279">
            <v>0</v>
          </cell>
        </row>
        <row r="6280">
          <cell r="G6280" t="str">
            <v>X2410_0</v>
          </cell>
          <cell r="H6280" t="str">
            <v/>
          </cell>
          <cell r="I6280" t="str">
            <v>met</v>
          </cell>
          <cell r="V6280" t="str">
            <v>0</v>
          </cell>
          <cell r="Y6280" t="str">
            <v>Past</v>
          </cell>
          <cell r="Z6280">
            <v>4.1399999999999997</v>
          </cell>
          <cell r="AA6280">
            <v>0</v>
          </cell>
          <cell r="AB6280">
            <v>0</v>
          </cell>
        </row>
        <row r="6281">
          <cell r="G6281" t="str">
            <v>X2410_1</v>
          </cell>
          <cell r="H6281" t="str">
            <v/>
          </cell>
          <cell r="I6281" t="str">
            <v>met</v>
          </cell>
          <cell r="V6281" t="str">
            <v>0</v>
          </cell>
          <cell r="Y6281" t="str">
            <v>Past</v>
          </cell>
          <cell r="Z6281">
            <v>4.1399999999999997</v>
          </cell>
          <cell r="AA6281">
            <v>0</v>
          </cell>
          <cell r="AB6281">
            <v>0</v>
          </cell>
        </row>
        <row r="6282">
          <cell r="G6282" t="str">
            <v>X2411_0</v>
          </cell>
          <cell r="H6282" t="str">
            <v>as-as</v>
          </cell>
          <cell r="I6282" t="str">
            <v>sim</v>
          </cell>
          <cell r="V6282" t="str">
            <v>not</v>
          </cell>
          <cell r="Y6282" t="str">
            <v>Past</v>
          </cell>
          <cell r="Z6282">
            <v>2.14</v>
          </cell>
          <cell r="AA6282" t="str">
            <v>L</v>
          </cell>
          <cell r="AB6282">
            <v>0</v>
          </cell>
        </row>
        <row r="6283">
          <cell r="G6283" t="str">
            <v>X2411_1</v>
          </cell>
          <cell r="H6283" t="str">
            <v>as-as</v>
          </cell>
          <cell r="I6283" t="str">
            <v>sim</v>
          </cell>
          <cell r="V6283" t="str">
            <v>not</v>
          </cell>
          <cell r="Y6283" t="str">
            <v>Past</v>
          </cell>
          <cell r="Z6283">
            <v>2.14</v>
          </cell>
          <cell r="AA6283" t="str">
            <v>L</v>
          </cell>
          <cell r="AB6283">
            <v>0</v>
          </cell>
        </row>
        <row r="6284">
          <cell r="G6284" t="str">
            <v>X2412_0</v>
          </cell>
          <cell r="H6284" t="str">
            <v>as-as</v>
          </cell>
          <cell r="I6284" t="str">
            <v>sim</v>
          </cell>
          <cell r="V6284" t="str">
            <v>not</v>
          </cell>
          <cell r="Y6284" t="str">
            <v>Past</v>
          </cell>
          <cell r="Z6284">
            <v>4.03</v>
          </cell>
          <cell r="AA6284">
            <v>0</v>
          </cell>
          <cell r="AB6284">
            <v>0</v>
          </cell>
        </row>
        <row r="6285">
          <cell r="G6285" t="str">
            <v>X2412_1</v>
          </cell>
          <cell r="H6285" t="str">
            <v>as-as</v>
          </cell>
          <cell r="I6285" t="str">
            <v>sim</v>
          </cell>
          <cell r="V6285" t="str">
            <v>not</v>
          </cell>
          <cell r="Y6285" t="str">
            <v>Past</v>
          </cell>
          <cell r="Z6285">
            <v>4.03</v>
          </cell>
          <cell r="AA6285">
            <v>0</v>
          </cell>
          <cell r="AB6285">
            <v>0</v>
          </cell>
        </row>
        <row r="6286">
          <cell r="G6286" t="str">
            <v>X2413_0</v>
          </cell>
          <cell r="H6286" t="str">
            <v/>
          </cell>
          <cell r="I6286" t="str">
            <v>met</v>
          </cell>
          <cell r="V6286" t="str">
            <v>0</v>
          </cell>
          <cell r="Y6286" t="str">
            <v>Pres</v>
          </cell>
          <cell r="Z6286">
            <v>4.5999999999999996</v>
          </cell>
          <cell r="AA6286">
            <v>0</v>
          </cell>
          <cell r="AB6286">
            <v>0</v>
          </cell>
        </row>
        <row r="6287">
          <cell r="G6287" t="str">
            <v>X2413_1</v>
          </cell>
          <cell r="H6287" t="str">
            <v/>
          </cell>
          <cell r="I6287" t="str">
            <v>met</v>
          </cell>
          <cell r="V6287" t="str">
            <v>0</v>
          </cell>
          <cell r="Y6287" t="str">
            <v>Pres</v>
          </cell>
          <cell r="Z6287">
            <v>4.5999999999999996</v>
          </cell>
          <cell r="AA6287">
            <v>0</v>
          </cell>
          <cell r="AB6287">
            <v>0</v>
          </cell>
        </row>
        <row r="6288">
          <cell r="G6288" t="str">
            <v>X2414_0</v>
          </cell>
          <cell r="H6288" t="str">
            <v>like</v>
          </cell>
          <cell r="I6288" t="str">
            <v>sim</v>
          </cell>
          <cell r="V6288" t="str">
            <v>not neg pair</v>
          </cell>
          <cell r="Y6288" t="str">
            <v>Pres</v>
          </cell>
          <cell r="Z6288">
            <v>3.93</v>
          </cell>
          <cell r="AA6288">
            <v>0</v>
          </cell>
          <cell r="AB6288">
            <v>0</v>
          </cell>
        </row>
        <row r="6289">
          <cell r="G6289" t="str">
            <v>X2414_1</v>
          </cell>
          <cell r="H6289" t="str">
            <v>like</v>
          </cell>
          <cell r="I6289" t="str">
            <v>sim</v>
          </cell>
          <cell r="V6289" t="str">
            <v>not neg pair</v>
          </cell>
          <cell r="Y6289" t="str">
            <v>Pres</v>
          </cell>
          <cell r="Z6289">
            <v>3.93</v>
          </cell>
          <cell r="AA6289">
            <v>0</v>
          </cell>
          <cell r="AB6289">
            <v>0</v>
          </cell>
        </row>
        <row r="6290">
          <cell r="G6290" t="str">
            <v>X2415_0</v>
          </cell>
          <cell r="H6290" t="str">
            <v>like</v>
          </cell>
          <cell r="I6290" t="str">
            <v>sim</v>
          </cell>
          <cell r="V6290" t="str">
            <v>not neg pair</v>
          </cell>
          <cell r="Y6290" t="str">
            <v>Pres</v>
          </cell>
          <cell r="Z6290">
            <v>3.31</v>
          </cell>
          <cell r="AA6290">
            <v>0</v>
          </cell>
          <cell r="AB6290">
            <v>0</v>
          </cell>
        </row>
        <row r="6291">
          <cell r="G6291" t="str">
            <v>X2415_1</v>
          </cell>
          <cell r="H6291" t="str">
            <v>like</v>
          </cell>
          <cell r="I6291" t="str">
            <v>sim</v>
          </cell>
          <cell r="V6291" t="str">
            <v>not neg pair</v>
          </cell>
          <cell r="Y6291" t="str">
            <v>Pres</v>
          </cell>
          <cell r="Z6291">
            <v>0</v>
          </cell>
          <cell r="AA6291">
            <v>0</v>
          </cell>
          <cell r="AB6291">
            <v>0</v>
          </cell>
        </row>
        <row r="6292">
          <cell r="G6292" t="str">
            <v>X2416_0</v>
          </cell>
          <cell r="H6292" t="str">
            <v>like</v>
          </cell>
          <cell r="I6292" t="str">
            <v>sim</v>
          </cell>
          <cell r="V6292" t="str">
            <v>not neg pair</v>
          </cell>
          <cell r="Y6292" t="str">
            <v>Pres</v>
          </cell>
          <cell r="Z6292">
            <v>4.8600000000000003</v>
          </cell>
          <cell r="AA6292">
            <v>0</v>
          </cell>
          <cell r="AB6292">
            <v>0</v>
          </cell>
        </row>
        <row r="6293">
          <cell r="G6293" t="str">
            <v>X2416_1</v>
          </cell>
          <cell r="H6293" t="str">
            <v>like</v>
          </cell>
          <cell r="I6293" t="str">
            <v>sim</v>
          </cell>
          <cell r="V6293" t="str">
            <v>not neg pair</v>
          </cell>
          <cell r="Y6293" t="str">
            <v>Pres</v>
          </cell>
          <cell r="Z6293">
            <v>4.8600000000000003</v>
          </cell>
          <cell r="AA6293">
            <v>0</v>
          </cell>
          <cell r="AB6293">
            <v>0</v>
          </cell>
        </row>
        <row r="6294">
          <cell r="G6294" t="str">
            <v>X2417_0</v>
          </cell>
          <cell r="H6294" t="str">
            <v>the-of</v>
          </cell>
          <cell r="I6294" t="str">
            <v>sim</v>
          </cell>
          <cell r="V6294" t="str">
            <v>not neg pair</v>
          </cell>
          <cell r="Y6294" t="str">
            <v>Past</v>
          </cell>
          <cell r="Z6294">
            <v>4.78</v>
          </cell>
          <cell r="AA6294">
            <v>0</v>
          </cell>
          <cell r="AB6294">
            <v>0</v>
          </cell>
        </row>
        <row r="6295">
          <cell r="G6295" t="str">
            <v>X2417_1</v>
          </cell>
          <cell r="H6295" t="str">
            <v>the-of</v>
          </cell>
          <cell r="I6295" t="str">
            <v>sim</v>
          </cell>
          <cell r="V6295" t="str">
            <v>not neg pair</v>
          </cell>
          <cell r="Y6295" t="str">
            <v>Past</v>
          </cell>
          <cell r="Z6295">
            <v>4.78</v>
          </cell>
          <cell r="AA6295">
            <v>0</v>
          </cell>
          <cell r="AB6295">
            <v>0</v>
          </cell>
        </row>
        <row r="6296">
          <cell r="G6296" t="str">
            <v>X2418_0</v>
          </cell>
          <cell r="H6296" t="str">
            <v>as-as</v>
          </cell>
          <cell r="I6296" t="str">
            <v>sim</v>
          </cell>
          <cell r="V6296" t="str">
            <v>antonym</v>
          </cell>
          <cell r="Y6296" t="str">
            <v>Past</v>
          </cell>
          <cell r="Z6296">
            <v>2.08</v>
          </cell>
          <cell r="AA6296" t="str">
            <v>L</v>
          </cell>
          <cell r="AB6296">
            <v>0</v>
          </cell>
        </row>
        <row r="6297">
          <cell r="G6297" t="str">
            <v>X2418_1</v>
          </cell>
          <cell r="H6297" t="str">
            <v>as-as</v>
          </cell>
          <cell r="I6297" t="str">
            <v>sim</v>
          </cell>
          <cell r="V6297" t="str">
            <v>antonym</v>
          </cell>
          <cell r="Y6297" t="str">
            <v>Past</v>
          </cell>
          <cell r="Z6297">
            <v>2.08</v>
          </cell>
          <cell r="AA6297" t="str">
            <v>L</v>
          </cell>
          <cell r="AB6297">
            <v>0</v>
          </cell>
        </row>
        <row r="6298">
          <cell r="G6298" t="str">
            <v>X2419_0</v>
          </cell>
          <cell r="H6298" t="str">
            <v>like</v>
          </cell>
          <cell r="I6298" t="str">
            <v>sim</v>
          </cell>
          <cell r="V6298" t="str">
            <v>not neg pair</v>
          </cell>
          <cell r="Y6298" t="str">
            <v>Past</v>
          </cell>
          <cell r="Z6298">
            <v>4.76</v>
          </cell>
          <cell r="AA6298">
            <v>0</v>
          </cell>
          <cell r="AB6298">
            <v>0</v>
          </cell>
        </row>
        <row r="6299">
          <cell r="G6299" t="str">
            <v>X2419_1</v>
          </cell>
          <cell r="H6299" t="str">
            <v>like</v>
          </cell>
          <cell r="I6299" t="str">
            <v>sim</v>
          </cell>
          <cell r="V6299" t="str">
            <v>not neg pair</v>
          </cell>
          <cell r="Y6299" t="str">
            <v>Past</v>
          </cell>
          <cell r="Z6299">
            <v>4.76</v>
          </cell>
          <cell r="AA6299">
            <v>0</v>
          </cell>
          <cell r="AB6299">
            <v>0</v>
          </cell>
        </row>
        <row r="6300">
          <cell r="G6300" t="str">
            <v>X2420_0</v>
          </cell>
          <cell r="H6300" t="str">
            <v>the-of</v>
          </cell>
          <cell r="I6300" t="str">
            <v>sim</v>
          </cell>
          <cell r="V6300" t="str">
            <v>not neg pair</v>
          </cell>
          <cell r="Y6300" t="str">
            <v>Past</v>
          </cell>
          <cell r="Z6300">
            <v>4.13</v>
          </cell>
          <cell r="AA6300">
            <v>0</v>
          </cell>
          <cell r="AB6300">
            <v>0</v>
          </cell>
        </row>
        <row r="6301">
          <cell r="G6301" t="str">
            <v>X2420_1</v>
          </cell>
          <cell r="H6301" t="str">
            <v>the-of</v>
          </cell>
          <cell r="I6301" t="str">
            <v>sim</v>
          </cell>
          <cell r="V6301" t="str">
            <v>not neg pair</v>
          </cell>
          <cell r="Y6301" t="str">
            <v>Past</v>
          </cell>
          <cell r="Z6301">
            <v>4.13</v>
          </cell>
          <cell r="AA6301">
            <v>0</v>
          </cell>
          <cell r="AB6301">
            <v>0</v>
          </cell>
        </row>
        <row r="6302">
          <cell r="G6302" t="str">
            <v>X2421_0</v>
          </cell>
          <cell r="H6302" t="str">
            <v>as</v>
          </cell>
          <cell r="I6302" t="str">
            <v>sim</v>
          </cell>
          <cell r="V6302" t="str">
            <v>not neg pair</v>
          </cell>
          <cell r="Y6302" t="str">
            <v>Past</v>
          </cell>
          <cell r="Z6302">
            <v>4.92</v>
          </cell>
          <cell r="AA6302" t="str">
            <v>H</v>
          </cell>
          <cell r="AB6302">
            <v>0</v>
          </cell>
        </row>
        <row r="6303">
          <cell r="G6303" t="str">
            <v>X2421_1</v>
          </cell>
          <cell r="H6303" t="str">
            <v>as</v>
          </cell>
          <cell r="I6303" t="str">
            <v>sim</v>
          </cell>
          <cell r="V6303" t="str">
            <v>not neg pair</v>
          </cell>
          <cell r="Y6303" t="str">
            <v>Past</v>
          </cell>
          <cell r="Z6303">
            <v>4.92</v>
          </cell>
          <cell r="AA6303" t="str">
            <v>H</v>
          </cell>
          <cell r="AB6303">
            <v>0</v>
          </cell>
        </row>
        <row r="6304">
          <cell r="G6304" t="str">
            <v>X2422_0</v>
          </cell>
          <cell r="H6304" t="str">
            <v>as-as</v>
          </cell>
          <cell r="I6304" t="str">
            <v>sim</v>
          </cell>
          <cell r="V6304" t="str">
            <v>antonym</v>
          </cell>
          <cell r="Y6304" t="str">
            <v>Past</v>
          </cell>
          <cell r="Z6304">
            <v>4.03</v>
          </cell>
          <cell r="AA6304">
            <v>0</v>
          </cell>
          <cell r="AB6304">
            <v>0</v>
          </cell>
        </row>
        <row r="6305">
          <cell r="G6305" t="str">
            <v>X2422_1</v>
          </cell>
          <cell r="H6305" t="str">
            <v>as-as</v>
          </cell>
          <cell r="I6305" t="str">
            <v>sim</v>
          </cell>
          <cell r="V6305" t="str">
            <v>antonym</v>
          </cell>
          <cell r="Y6305" t="str">
            <v>Past</v>
          </cell>
          <cell r="Z6305">
            <v>4.03</v>
          </cell>
          <cell r="AA6305">
            <v>0</v>
          </cell>
          <cell r="AB6305">
            <v>0</v>
          </cell>
        </row>
        <row r="6306">
          <cell r="G6306" t="str">
            <v>X2423_0</v>
          </cell>
          <cell r="H6306" t="str">
            <v>like</v>
          </cell>
          <cell r="I6306" t="str">
            <v>sim</v>
          </cell>
          <cell r="V6306" t="str">
            <v>not neg pair</v>
          </cell>
          <cell r="Y6306" t="str">
            <v>Past</v>
          </cell>
          <cell r="Z6306">
            <v>3.36</v>
          </cell>
          <cell r="AA6306">
            <v>0</v>
          </cell>
          <cell r="AB6306">
            <v>0</v>
          </cell>
        </row>
        <row r="6307">
          <cell r="G6307" t="str">
            <v>X2423_1</v>
          </cell>
          <cell r="H6307" t="str">
            <v>like</v>
          </cell>
          <cell r="I6307" t="str">
            <v>sim</v>
          </cell>
          <cell r="V6307" t="str">
            <v>not neg pair</v>
          </cell>
          <cell r="Y6307" t="str">
            <v>Past</v>
          </cell>
          <cell r="Z6307">
            <v>3.36</v>
          </cell>
          <cell r="AA6307">
            <v>0</v>
          </cell>
          <cell r="AB6307">
            <v>0</v>
          </cell>
        </row>
        <row r="6308">
          <cell r="G6308" t="str">
            <v>X2424_0</v>
          </cell>
          <cell r="H6308" t="str">
            <v/>
          </cell>
          <cell r="I6308" t="str">
            <v>met</v>
          </cell>
          <cell r="V6308" t="str">
            <v>0</v>
          </cell>
          <cell r="Y6308" t="str">
            <v>Past</v>
          </cell>
          <cell r="Z6308">
            <v>3.5</v>
          </cell>
          <cell r="AA6308">
            <v>0</v>
          </cell>
          <cell r="AB6308">
            <v>0</v>
          </cell>
        </row>
        <row r="6309">
          <cell r="G6309" t="str">
            <v>X2424_1</v>
          </cell>
          <cell r="H6309" t="str">
            <v/>
          </cell>
          <cell r="I6309" t="str">
            <v>met</v>
          </cell>
          <cell r="V6309" t="str">
            <v>0</v>
          </cell>
          <cell r="Y6309" t="str">
            <v>Past</v>
          </cell>
          <cell r="Z6309">
            <v>3.5</v>
          </cell>
          <cell r="AA6309">
            <v>0</v>
          </cell>
          <cell r="AB6309">
            <v>0</v>
          </cell>
        </row>
        <row r="6310">
          <cell r="G6310" t="str">
            <v>X2425_0</v>
          </cell>
          <cell r="H6310" t="str">
            <v>the-of</v>
          </cell>
          <cell r="I6310" t="str">
            <v>sim</v>
          </cell>
          <cell r="V6310" t="str">
            <v>not</v>
          </cell>
          <cell r="Y6310" t="str">
            <v>Past</v>
          </cell>
          <cell r="Z6310">
            <v>3.93</v>
          </cell>
          <cell r="AA6310">
            <v>0</v>
          </cell>
          <cell r="AB6310">
            <v>0</v>
          </cell>
        </row>
        <row r="6311">
          <cell r="G6311" t="str">
            <v>X2425_1</v>
          </cell>
          <cell r="H6311" t="str">
            <v>the-of</v>
          </cell>
          <cell r="I6311" t="str">
            <v>sim</v>
          </cell>
          <cell r="V6311" t="str">
            <v>not</v>
          </cell>
          <cell r="Y6311" t="str">
            <v>Past</v>
          </cell>
          <cell r="Z6311">
            <v>3.93</v>
          </cell>
          <cell r="AA6311">
            <v>0</v>
          </cell>
          <cell r="AB6311">
            <v>0</v>
          </cell>
        </row>
        <row r="6312">
          <cell r="G6312" t="str">
            <v>X2426_0</v>
          </cell>
          <cell r="H6312" t="str">
            <v>the-of</v>
          </cell>
          <cell r="I6312" t="str">
            <v>sim</v>
          </cell>
          <cell r="V6312" t="str">
            <v>not neg pair</v>
          </cell>
          <cell r="Y6312" t="str">
            <v>Past</v>
          </cell>
          <cell r="Z6312">
            <v>2.19</v>
          </cell>
          <cell r="AA6312" t="str">
            <v>L</v>
          </cell>
          <cell r="AB6312">
            <v>0</v>
          </cell>
        </row>
        <row r="6313">
          <cell r="G6313" t="str">
            <v>X2426_1</v>
          </cell>
          <cell r="H6313" t="str">
            <v>the-of</v>
          </cell>
          <cell r="I6313" t="str">
            <v>sim</v>
          </cell>
          <cell r="V6313" t="str">
            <v>not neg pair</v>
          </cell>
          <cell r="Y6313" t="str">
            <v>Past</v>
          </cell>
          <cell r="Z6313">
            <v>2.19</v>
          </cell>
          <cell r="AA6313" t="str">
            <v>L</v>
          </cell>
          <cell r="AB6313">
            <v>0</v>
          </cell>
        </row>
        <row r="6314">
          <cell r="G6314" t="str">
            <v>X2427_0</v>
          </cell>
          <cell r="H6314" t="str">
            <v>the-of</v>
          </cell>
          <cell r="I6314" t="str">
            <v>sim</v>
          </cell>
          <cell r="V6314" t="str">
            <v>not</v>
          </cell>
          <cell r="Y6314" t="str">
            <v>Past</v>
          </cell>
          <cell r="Z6314">
            <v>4.96</v>
          </cell>
          <cell r="AA6314" t="str">
            <v>H</v>
          </cell>
          <cell r="AB6314">
            <v>0</v>
          </cell>
        </row>
        <row r="6315">
          <cell r="G6315" t="str">
            <v>X2427_1</v>
          </cell>
          <cell r="H6315" t="str">
            <v>the-of</v>
          </cell>
          <cell r="I6315" t="str">
            <v>sim</v>
          </cell>
          <cell r="V6315" t="str">
            <v>not</v>
          </cell>
          <cell r="Y6315" t="str">
            <v>Past</v>
          </cell>
          <cell r="Z6315">
            <v>3.93</v>
          </cell>
          <cell r="AA6315">
            <v>0</v>
          </cell>
          <cell r="AB6315">
            <v>0</v>
          </cell>
        </row>
        <row r="6316">
          <cell r="G6316" t="str">
            <v>X2428_0</v>
          </cell>
          <cell r="H6316" t="str">
            <v>like</v>
          </cell>
          <cell r="I6316" t="str">
            <v>sim</v>
          </cell>
          <cell r="V6316" t="str">
            <v>not neg pair</v>
          </cell>
          <cell r="Y6316" t="str">
            <v>Past</v>
          </cell>
          <cell r="Z6316">
            <v>5</v>
          </cell>
          <cell r="AA6316" t="str">
            <v>H</v>
          </cell>
          <cell r="AB6316">
            <v>0</v>
          </cell>
        </row>
        <row r="6317">
          <cell r="G6317" t="str">
            <v>X2428_1</v>
          </cell>
          <cell r="H6317" t="str">
            <v>like</v>
          </cell>
          <cell r="I6317" t="str">
            <v>sim</v>
          </cell>
          <cell r="V6317" t="str">
            <v>not neg pair</v>
          </cell>
          <cell r="Y6317" t="str">
            <v>Past</v>
          </cell>
          <cell r="Z6317">
            <v>5</v>
          </cell>
          <cell r="AA6317" t="str">
            <v>H</v>
          </cell>
          <cell r="AB6317">
            <v>0</v>
          </cell>
        </row>
        <row r="6318">
          <cell r="G6318" t="str">
            <v>X2429_0</v>
          </cell>
          <cell r="H6318" t="str">
            <v>the-of</v>
          </cell>
          <cell r="I6318" t="str">
            <v>sim</v>
          </cell>
          <cell r="V6318" t="str">
            <v>not neg pair</v>
          </cell>
          <cell r="Y6318" t="str">
            <v>Past</v>
          </cell>
          <cell r="Z6318">
            <v>4.43</v>
          </cell>
          <cell r="AA6318">
            <v>0</v>
          </cell>
          <cell r="AB6318">
            <v>0</v>
          </cell>
        </row>
        <row r="6319">
          <cell r="G6319" t="str">
            <v>X2429_1</v>
          </cell>
          <cell r="H6319" t="str">
            <v>the-of</v>
          </cell>
          <cell r="I6319" t="str">
            <v>sim</v>
          </cell>
          <cell r="V6319" t="str">
            <v>not neg pair</v>
          </cell>
          <cell r="Y6319" t="str">
            <v>Past</v>
          </cell>
          <cell r="Z6319">
            <v>4.43</v>
          </cell>
          <cell r="AA6319">
            <v>0</v>
          </cell>
          <cell r="AB6319">
            <v>0</v>
          </cell>
        </row>
        <row r="6320">
          <cell r="G6320" t="str">
            <v>X2430_0</v>
          </cell>
          <cell r="H6320" t="str">
            <v>the-of</v>
          </cell>
          <cell r="I6320" t="str">
            <v>sim</v>
          </cell>
          <cell r="V6320" t="str">
            <v>not</v>
          </cell>
          <cell r="Y6320" t="str">
            <v>Past</v>
          </cell>
          <cell r="Z6320">
            <v>4.93</v>
          </cell>
          <cell r="AA6320" t="str">
            <v>H</v>
          </cell>
          <cell r="AB6320">
            <v>0</v>
          </cell>
        </row>
        <row r="6321">
          <cell r="G6321" t="str">
            <v>X2430_1</v>
          </cell>
          <cell r="H6321" t="str">
            <v>the-of</v>
          </cell>
          <cell r="I6321" t="str">
            <v>sim</v>
          </cell>
          <cell r="V6321" t="str">
            <v>not</v>
          </cell>
          <cell r="Y6321" t="str">
            <v>Past</v>
          </cell>
          <cell r="Z6321">
            <v>4.93</v>
          </cell>
          <cell r="AA6321" t="str">
            <v>H</v>
          </cell>
          <cell r="AB6321">
            <v>0</v>
          </cell>
        </row>
        <row r="6322">
          <cell r="G6322" t="str">
            <v>X2431_0</v>
          </cell>
          <cell r="H6322" t="str">
            <v>as-as</v>
          </cell>
          <cell r="I6322" t="str">
            <v>sim</v>
          </cell>
          <cell r="V6322" t="str">
            <v>antonym</v>
          </cell>
          <cell r="Y6322" t="str">
            <v>Past</v>
          </cell>
          <cell r="Z6322">
            <v>5</v>
          </cell>
          <cell r="AA6322" t="str">
            <v>H</v>
          </cell>
          <cell r="AB6322">
            <v>0</v>
          </cell>
        </row>
        <row r="6323">
          <cell r="G6323" t="str">
            <v>X2431_1</v>
          </cell>
          <cell r="H6323" t="str">
            <v>as-as</v>
          </cell>
          <cell r="I6323" t="str">
            <v>sim</v>
          </cell>
          <cell r="V6323" t="str">
            <v>antonym</v>
          </cell>
          <cell r="Y6323" t="str">
            <v>Past</v>
          </cell>
          <cell r="Z6323">
            <v>5</v>
          </cell>
          <cell r="AA6323" t="str">
            <v>H</v>
          </cell>
          <cell r="AB6323">
            <v>0</v>
          </cell>
        </row>
        <row r="6324">
          <cell r="G6324" t="str">
            <v>X2432_0</v>
          </cell>
          <cell r="H6324" t="str">
            <v>as-as</v>
          </cell>
          <cell r="I6324" t="str">
            <v>sim</v>
          </cell>
          <cell r="V6324" t="str">
            <v>not neg pair</v>
          </cell>
          <cell r="Y6324" t="str">
            <v>Past</v>
          </cell>
          <cell r="Z6324">
            <v>2.08</v>
          </cell>
          <cell r="AA6324" t="str">
            <v>L</v>
          </cell>
          <cell r="AB6324">
            <v>0</v>
          </cell>
        </row>
        <row r="6325">
          <cell r="G6325" t="str">
            <v>X2432_1</v>
          </cell>
          <cell r="H6325" t="str">
            <v>as-as</v>
          </cell>
          <cell r="I6325" t="str">
            <v>sim</v>
          </cell>
          <cell r="V6325" t="str">
            <v>not neg pair</v>
          </cell>
          <cell r="Y6325" t="str">
            <v>Past</v>
          </cell>
          <cell r="Z6325">
            <v>2.08</v>
          </cell>
          <cell r="AA6325" t="str">
            <v>L</v>
          </cell>
          <cell r="AB6325">
            <v>0</v>
          </cell>
        </row>
        <row r="6326">
          <cell r="G6326" t="str">
            <v>X2433_0</v>
          </cell>
          <cell r="H6326" t="str">
            <v>as-as</v>
          </cell>
          <cell r="I6326" t="str">
            <v>sim</v>
          </cell>
          <cell r="V6326" t="str">
            <v>not neg pair</v>
          </cell>
          <cell r="Y6326" t="str">
            <v>Pres</v>
          </cell>
          <cell r="Z6326">
            <v>3.79</v>
          </cell>
          <cell r="AA6326">
            <v>0</v>
          </cell>
          <cell r="AB6326">
            <v>0</v>
          </cell>
        </row>
        <row r="6327">
          <cell r="G6327" t="str">
            <v>X2433_1</v>
          </cell>
          <cell r="H6327" t="str">
            <v>as-as</v>
          </cell>
          <cell r="I6327" t="str">
            <v>sim</v>
          </cell>
          <cell r="V6327" t="str">
            <v>not neg pair</v>
          </cell>
          <cell r="Y6327" t="str">
            <v>Past</v>
          </cell>
          <cell r="Z6327">
            <v>3.79</v>
          </cell>
          <cell r="AA6327">
            <v>0</v>
          </cell>
          <cell r="AB6327">
            <v>0</v>
          </cell>
        </row>
        <row r="6328">
          <cell r="G6328" t="str">
            <v>X2434_0</v>
          </cell>
          <cell r="H6328" t="str">
            <v>like</v>
          </cell>
          <cell r="I6328" t="str">
            <v>sim</v>
          </cell>
          <cell r="V6328" t="str">
            <v>not neg pair</v>
          </cell>
          <cell r="Y6328" t="str">
            <v>Past</v>
          </cell>
          <cell r="Z6328">
            <v>1.9</v>
          </cell>
          <cell r="AA6328" t="str">
            <v>L</v>
          </cell>
          <cell r="AB6328">
            <v>0</v>
          </cell>
        </row>
        <row r="6329">
          <cell r="G6329" t="str">
            <v>X2434_1</v>
          </cell>
          <cell r="H6329" t="str">
            <v>like</v>
          </cell>
          <cell r="I6329" t="str">
            <v>sim</v>
          </cell>
          <cell r="V6329" t="str">
            <v>not neg pair</v>
          </cell>
          <cell r="Y6329" t="str">
            <v>Past</v>
          </cell>
          <cell r="Z6329">
            <v>1.9</v>
          </cell>
          <cell r="AA6329" t="str">
            <v>L</v>
          </cell>
          <cell r="AB6329">
            <v>0</v>
          </cell>
        </row>
        <row r="6330">
          <cell r="G6330" t="str">
            <v>X2435_0</v>
          </cell>
          <cell r="H6330" t="str">
            <v>the-of</v>
          </cell>
          <cell r="I6330" t="str">
            <v>sim</v>
          </cell>
          <cell r="V6330" t="str">
            <v>not</v>
          </cell>
          <cell r="Y6330">
            <v>0</v>
          </cell>
          <cell r="Z6330">
            <v>4.8600000000000003</v>
          </cell>
          <cell r="AA6330">
            <v>0</v>
          </cell>
          <cell r="AB6330">
            <v>0</v>
          </cell>
        </row>
        <row r="6331">
          <cell r="G6331" t="str">
            <v>X2435_1</v>
          </cell>
          <cell r="H6331" t="str">
            <v>the-of</v>
          </cell>
          <cell r="I6331" t="str">
            <v>sim</v>
          </cell>
          <cell r="V6331" t="str">
            <v>not</v>
          </cell>
          <cell r="Y6331" t="str">
            <v>Pres</v>
          </cell>
          <cell r="Z6331">
            <v>4.8600000000000003</v>
          </cell>
          <cell r="AA6331">
            <v>0</v>
          </cell>
          <cell r="AB6331">
            <v>0</v>
          </cell>
        </row>
        <row r="6332">
          <cell r="G6332" t="str">
            <v>X2436_0</v>
          </cell>
          <cell r="H6332" t="str">
            <v>the-of</v>
          </cell>
          <cell r="I6332" t="str">
            <v>sim</v>
          </cell>
          <cell r="V6332" t="str">
            <v>not neg pair</v>
          </cell>
          <cell r="Y6332" t="str">
            <v>Pres</v>
          </cell>
          <cell r="Z6332">
            <v>4.8499999999999996</v>
          </cell>
          <cell r="AA6332">
            <v>0</v>
          </cell>
          <cell r="AB6332">
            <v>0</v>
          </cell>
        </row>
        <row r="6333">
          <cell r="G6333" t="str">
            <v>X2436_1</v>
          </cell>
          <cell r="H6333" t="str">
            <v>the-of</v>
          </cell>
          <cell r="I6333" t="str">
            <v>sim</v>
          </cell>
          <cell r="V6333" t="str">
            <v>not neg pair</v>
          </cell>
          <cell r="Y6333" t="str">
            <v>Pres</v>
          </cell>
          <cell r="Z6333">
            <v>4.8499999999999996</v>
          </cell>
          <cell r="AA6333">
            <v>0</v>
          </cell>
          <cell r="AB6333">
            <v>0</v>
          </cell>
        </row>
        <row r="6334">
          <cell r="G6334" t="str">
            <v>X2437_0</v>
          </cell>
          <cell r="H6334" t="str">
            <v>the-of</v>
          </cell>
          <cell r="I6334" t="str">
            <v>sim</v>
          </cell>
          <cell r="V6334" t="str">
            <v>not neg pair</v>
          </cell>
          <cell r="Y6334" t="str">
            <v>Past</v>
          </cell>
          <cell r="Z6334">
            <v>3.5</v>
          </cell>
          <cell r="AA6334">
            <v>0</v>
          </cell>
          <cell r="AB6334">
            <v>0</v>
          </cell>
        </row>
        <row r="6335">
          <cell r="G6335" t="str">
            <v>X2437_1</v>
          </cell>
          <cell r="H6335" t="str">
            <v>the-of</v>
          </cell>
          <cell r="I6335" t="str">
            <v>sim</v>
          </cell>
          <cell r="V6335" t="str">
            <v>not neg pair</v>
          </cell>
          <cell r="Y6335" t="str">
            <v>Past</v>
          </cell>
          <cell r="Z6335">
            <v>3.5</v>
          </cell>
          <cell r="AA6335">
            <v>0</v>
          </cell>
          <cell r="AB6335">
            <v>0</v>
          </cell>
        </row>
        <row r="6336">
          <cell r="G6336" t="str">
            <v>X2438_0</v>
          </cell>
          <cell r="H6336" t="str">
            <v/>
          </cell>
          <cell r="I6336" t="str">
            <v>met</v>
          </cell>
          <cell r="V6336" t="str">
            <v>0</v>
          </cell>
          <cell r="Y6336" t="str">
            <v>Pres</v>
          </cell>
          <cell r="Z6336">
            <v>3.93</v>
          </cell>
          <cell r="AA6336">
            <v>0</v>
          </cell>
          <cell r="AB6336">
            <v>0</v>
          </cell>
        </row>
        <row r="6337">
          <cell r="G6337" t="str">
            <v>X2438_1</v>
          </cell>
          <cell r="H6337" t="str">
            <v/>
          </cell>
          <cell r="I6337" t="str">
            <v>met</v>
          </cell>
          <cell r="V6337" t="str">
            <v>0</v>
          </cell>
          <cell r="Y6337" t="str">
            <v>Pres</v>
          </cell>
          <cell r="Z6337">
            <v>3.93</v>
          </cell>
          <cell r="AA6337">
            <v>0</v>
          </cell>
          <cell r="AB6337">
            <v>0</v>
          </cell>
        </row>
        <row r="6338">
          <cell r="G6338" t="str">
            <v>X2439_0</v>
          </cell>
          <cell r="H6338" t="str">
            <v>the-of</v>
          </cell>
          <cell r="I6338" t="str">
            <v>sim</v>
          </cell>
          <cell r="V6338" t="str">
            <v>not neg pair</v>
          </cell>
          <cell r="Y6338" t="str">
            <v>Pres</v>
          </cell>
          <cell r="Z6338">
            <v>4.1100000000000003</v>
          </cell>
          <cell r="AA6338">
            <v>0</v>
          </cell>
          <cell r="AB6338">
            <v>0</v>
          </cell>
        </row>
        <row r="6339">
          <cell r="G6339" t="str">
            <v>X2439_1</v>
          </cell>
          <cell r="H6339" t="str">
            <v>the-of</v>
          </cell>
          <cell r="I6339" t="str">
            <v>sim</v>
          </cell>
          <cell r="V6339" t="str">
            <v>not neg pair</v>
          </cell>
          <cell r="Y6339" t="str">
            <v>Pres</v>
          </cell>
          <cell r="Z6339">
            <v>4.1100000000000003</v>
          </cell>
          <cell r="AA6339">
            <v>0</v>
          </cell>
          <cell r="AB6339">
            <v>0</v>
          </cell>
        </row>
        <row r="6340">
          <cell r="G6340" t="str">
            <v>X2440_0</v>
          </cell>
          <cell r="H6340" t="str">
            <v/>
          </cell>
          <cell r="I6340" t="str">
            <v>met</v>
          </cell>
          <cell r="V6340" t="str">
            <v>0</v>
          </cell>
          <cell r="Y6340" t="str">
            <v>Pres</v>
          </cell>
          <cell r="Z6340">
            <v>3.36</v>
          </cell>
          <cell r="AA6340">
            <v>0</v>
          </cell>
          <cell r="AB6340">
            <v>0</v>
          </cell>
        </row>
        <row r="6341">
          <cell r="G6341" t="str">
            <v>X2440_1</v>
          </cell>
          <cell r="H6341" t="str">
            <v>the-of</v>
          </cell>
          <cell r="I6341" t="str">
            <v>sim</v>
          </cell>
          <cell r="V6341" t="str">
            <v>0</v>
          </cell>
          <cell r="Y6341" t="str">
            <v>Pres</v>
          </cell>
          <cell r="Z6341">
            <v>3.36</v>
          </cell>
          <cell r="AA6341">
            <v>0</v>
          </cell>
          <cell r="AB6341">
            <v>0</v>
          </cell>
        </row>
        <row r="6342">
          <cell r="G6342" t="str">
            <v>X2441_0</v>
          </cell>
          <cell r="H6342" t="str">
            <v/>
          </cell>
          <cell r="I6342" t="str">
            <v>met</v>
          </cell>
          <cell r="V6342" t="str">
            <v>0</v>
          </cell>
          <cell r="Y6342" t="str">
            <v>Pres</v>
          </cell>
          <cell r="Z6342">
            <v>4.8499999999999996</v>
          </cell>
          <cell r="AA6342">
            <v>0</v>
          </cell>
          <cell r="AB6342">
            <v>0</v>
          </cell>
        </row>
        <row r="6343">
          <cell r="G6343" t="str">
            <v>X2441_1</v>
          </cell>
          <cell r="H6343" t="str">
            <v/>
          </cell>
          <cell r="I6343" t="str">
            <v>met</v>
          </cell>
          <cell r="V6343" t="str">
            <v>0</v>
          </cell>
          <cell r="Y6343" t="str">
            <v>Pres</v>
          </cell>
          <cell r="Z6343">
            <v>4.8499999999999996</v>
          </cell>
          <cell r="AA6343">
            <v>0</v>
          </cell>
          <cell r="AB6343">
            <v>0</v>
          </cell>
        </row>
        <row r="6344">
          <cell r="G6344" t="str">
            <v>X2442_0</v>
          </cell>
          <cell r="H6344" t="str">
            <v/>
          </cell>
          <cell r="I6344" t="str">
            <v>met</v>
          </cell>
          <cell r="V6344" t="str">
            <v>0</v>
          </cell>
          <cell r="Y6344" t="str">
            <v>Past</v>
          </cell>
          <cell r="Z6344">
            <v>4.79</v>
          </cell>
          <cell r="AA6344">
            <v>0</v>
          </cell>
          <cell r="AB6344">
            <v>0</v>
          </cell>
        </row>
        <row r="6345">
          <cell r="G6345" t="str">
            <v>X2442_1</v>
          </cell>
          <cell r="H6345" t="str">
            <v/>
          </cell>
          <cell r="I6345" t="str">
            <v>met</v>
          </cell>
          <cell r="V6345" t="str">
            <v>0</v>
          </cell>
          <cell r="Y6345" t="str">
            <v>Past</v>
          </cell>
          <cell r="Z6345">
            <v>4.79</v>
          </cell>
          <cell r="AA6345">
            <v>0</v>
          </cell>
          <cell r="AB6345">
            <v>0</v>
          </cell>
        </row>
        <row r="6346">
          <cell r="G6346" t="str">
            <v>X2443_0</v>
          </cell>
          <cell r="H6346" t="str">
            <v/>
          </cell>
          <cell r="I6346" t="str">
            <v>met</v>
          </cell>
          <cell r="V6346" t="str">
            <v>0</v>
          </cell>
          <cell r="Y6346" t="str">
            <v>Past</v>
          </cell>
          <cell r="Z6346">
            <v>4.93</v>
          </cell>
          <cell r="AA6346" t="str">
            <v>H</v>
          </cell>
          <cell r="AB6346">
            <v>0</v>
          </cell>
        </row>
        <row r="6347">
          <cell r="G6347" t="str">
            <v>X2443_1</v>
          </cell>
          <cell r="H6347" t="str">
            <v/>
          </cell>
          <cell r="I6347" t="str">
            <v>met</v>
          </cell>
          <cell r="V6347" t="str">
            <v>0</v>
          </cell>
          <cell r="Y6347" t="str">
            <v>Past</v>
          </cell>
          <cell r="Z6347">
            <v>4.93</v>
          </cell>
          <cell r="AA6347" t="str">
            <v>H</v>
          </cell>
          <cell r="AB6347">
            <v>0</v>
          </cell>
        </row>
        <row r="6348">
          <cell r="G6348" t="str">
            <v>X2444_0</v>
          </cell>
          <cell r="H6348" t="str">
            <v>as-as</v>
          </cell>
          <cell r="I6348" t="str">
            <v>sim</v>
          </cell>
          <cell r="V6348" t="str">
            <v>antonym</v>
          </cell>
          <cell r="Y6348" t="str">
            <v>Past</v>
          </cell>
          <cell r="Z6348">
            <v>4.84</v>
          </cell>
          <cell r="AA6348">
            <v>0</v>
          </cell>
          <cell r="AB6348">
            <v>0</v>
          </cell>
        </row>
        <row r="6349">
          <cell r="G6349" t="str">
            <v>X2444_1</v>
          </cell>
          <cell r="H6349" t="str">
            <v>as-as</v>
          </cell>
          <cell r="I6349" t="str">
            <v>sim</v>
          </cell>
          <cell r="V6349" t="str">
            <v>antonym</v>
          </cell>
          <cell r="Y6349" t="str">
            <v>Past</v>
          </cell>
          <cell r="Z6349">
            <v>4.84</v>
          </cell>
          <cell r="AA6349">
            <v>0</v>
          </cell>
          <cell r="AB6349">
            <v>0</v>
          </cell>
        </row>
        <row r="6350">
          <cell r="G6350" t="str">
            <v>X2445_0</v>
          </cell>
          <cell r="H6350" t="str">
            <v>as-as</v>
          </cell>
          <cell r="I6350" t="str">
            <v>sim</v>
          </cell>
          <cell r="V6350" t="str">
            <v>not</v>
          </cell>
          <cell r="Y6350" t="str">
            <v>Past</v>
          </cell>
          <cell r="Z6350">
            <v>3.93</v>
          </cell>
          <cell r="AA6350">
            <v>0</v>
          </cell>
          <cell r="AB6350">
            <v>0</v>
          </cell>
        </row>
        <row r="6351">
          <cell r="G6351" t="str">
            <v>X2445_1</v>
          </cell>
          <cell r="H6351" t="str">
            <v>as-as</v>
          </cell>
          <cell r="I6351" t="str">
            <v>sim</v>
          </cell>
          <cell r="V6351" t="str">
            <v>not</v>
          </cell>
          <cell r="Y6351" t="str">
            <v>Past</v>
          </cell>
          <cell r="Z6351">
            <v>3.93</v>
          </cell>
          <cell r="AA6351">
            <v>0</v>
          </cell>
          <cell r="AB6351">
            <v>0</v>
          </cell>
        </row>
        <row r="6352">
          <cell r="G6352" t="str">
            <v>X2446_0</v>
          </cell>
          <cell r="H6352" t="str">
            <v/>
          </cell>
          <cell r="I6352" t="str">
            <v>met</v>
          </cell>
          <cell r="V6352" t="str">
            <v>0</v>
          </cell>
          <cell r="Y6352" t="str">
            <v>Past</v>
          </cell>
          <cell r="Z6352">
            <v>4.45</v>
          </cell>
          <cell r="AA6352">
            <v>0</v>
          </cell>
          <cell r="AB6352">
            <v>0</v>
          </cell>
        </row>
        <row r="6353">
          <cell r="G6353" t="str">
            <v>X2446_1</v>
          </cell>
          <cell r="H6353" t="str">
            <v/>
          </cell>
          <cell r="I6353" t="str">
            <v>met</v>
          </cell>
          <cell r="V6353" t="str">
            <v>0</v>
          </cell>
          <cell r="Y6353" t="str">
            <v>Past</v>
          </cell>
          <cell r="Z6353">
            <v>4.45</v>
          </cell>
          <cell r="AA6353">
            <v>0</v>
          </cell>
          <cell r="AB6353">
            <v>0</v>
          </cell>
        </row>
        <row r="6354">
          <cell r="G6354" t="str">
            <v>X2447_0</v>
          </cell>
          <cell r="H6354" t="str">
            <v/>
          </cell>
          <cell r="I6354" t="str">
            <v>met</v>
          </cell>
          <cell r="V6354" t="str">
            <v>0</v>
          </cell>
          <cell r="Y6354" t="str">
            <v>Pres</v>
          </cell>
          <cell r="Z6354">
            <v>4.59</v>
          </cell>
          <cell r="AA6354">
            <v>0</v>
          </cell>
          <cell r="AB6354">
            <v>0</v>
          </cell>
        </row>
        <row r="6355">
          <cell r="G6355" t="str">
            <v>X2447_1</v>
          </cell>
          <cell r="H6355" t="str">
            <v/>
          </cell>
          <cell r="I6355" t="str">
            <v>met</v>
          </cell>
          <cell r="V6355" t="str">
            <v>0</v>
          </cell>
          <cell r="Y6355" t="str">
            <v>Pres</v>
          </cell>
          <cell r="Z6355">
            <v>4.59</v>
          </cell>
          <cell r="AA6355">
            <v>0</v>
          </cell>
          <cell r="AB6355">
            <v>0</v>
          </cell>
        </row>
        <row r="6356">
          <cell r="G6356" t="str">
            <v>X2448_0</v>
          </cell>
          <cell r="H6356" t="str">
            <v/>
          </cell>
          <cell r="I6356" t="str">
            <v>met</v>
          </cell>
          <cell r="V6356" t="str">
            <v>0</v>
          </cell>
          <cell r="Y6356" t="str">
            <v>Past</v>
          </cell>
          <cell r="Z6356">
            <v>4.93</v>
          </cell>
          <cell r="AA6356" t="str">
            <v>H</v>
          </cell>
          <cell r="AB6356">
            <v>0</v>
          </cell>
        </row>
        <row r="6357">
          <cell r="G6357" t="str">
            <v>X2448_1</v>
          </cell>
          <cell r="H6357" t="str">
            <v/>
          </cell>
          <cell r="I6357" t="str">
            <v>met</v>
          </cell>
          <cell r="V6357" t="str">
            <v>0</v>
          </cell>
          <cell r="Y6357" t="str">
            <v>Past</v>
          </cell>
          <cell r="Z6357">
            <v>4.93</v>
          </cell>
          <cell r="AA6357" t="str">
            <v>H</v>
          </cell>
          <cell r="AB6357">
            <v>0</v>
          </cell>
        </row>
        <row r="6358">
          <cell r="G6358" t="str">
            <v>X2449_0</v>
          </cell>
          <cell r="H6358" t="str">
            <v>as-as</v>
          </cell>
          <cell r="I6358" t="str">
            <v>sim</v>
          </cell>
          <cell r="V6358" t="str">
            <v>antonym</v>
          </cell>
          <cell r="Y6358" t="str">
            <v>Pres</v>
          </cell>
          <cell r="Z6358">
            <v>1.93</v>
          </cell>
          <cell r="AA6358" t="str">
            <v>L</v>
          </cell>
          <cell r="AB6358">
            <v>0</v>
          </cell>
        </row>
        <row r="6359">
          <cell r="G6359" t="str">
            <v>X2449_1</v>
          </cell>
          <cell r="H6359" t="str">
            <v>as-as</v>
          </cell>
          <cell r="I6359" t="str">
            <v>sim</v>
          </cell>
          <cell r="V6359" t="str">
            <v>antonym</v>
          </cell>
          <cell r="Y6359" t="str">
            <v>Pres</v>
          </cell>
          <cell r="Z6359">
            <v>1.93</v>
          </cell>
          <cell r="AA6359" t="str">
            <v>L</v>
          </cell>
          <cell r="AB6359">
            <v>0</v>
          </cell>
        </row>
        <row r="6360">
          <cell r="G6360" t="str">
            <v>X2450_0</v>
          </cell>
          <cell r="H6360" t="str">
            <v>like</v>
          </cell>
          <cell r="I6360" t="str">
            <v>sim</v>
          </cell>
          <cell r="V6360" t="str">
            <v>not neg pair</v>
          </cell>
          <cell r="Y6360" t="str">
            <v>Pres</v>
          </cell>
          <cell r="Z6360">
            <v>4.8899999999999997</v>
          </cell>
          <cell r="AA6360">
            <v>0</v>
          </cell>
          <cell r="AB6360">
            <v>0</v>
          </cell>
        </row>
        <row r="6361">
          <cell r="G6361" t="str">
            <v>X2450_1</v>
          </cell>
          <cell r="H6361" t="str">
            <v>like</v>
          </cell>
          <cell r="I6361" t="str">
            <v>sim</v>
          </cell>
          <cell r="V6361" t="str">
            <v>not neg pair</v>
          </cell>
          <cell r="Y6361" t="str">
            <v>Pres</v>
          </cell>
          <cell r="Z6361">
            <v>4.8899999999999997</v>
          </cell>
          <cell r="AA6361">
            <v>0</v>
          </cell>
          <cell r="AB6361">
            <v>0</v>
          </cell>
        </row>
        <row r="6362">
          <cell r="G6362" t="str">
            <v>X2451_0</v>
          </cell>
          <cell r="H6362" t="str">
            <v>as</v>
          </cell>
          <cell r="I6362" t="str">
            <v>sim</v>
          </cell>
          <cell r="V6362" t="str">
            <v>not</v>
          </cell>
          <cell r="Y6362" t="str">
            <v>Pres</v>
          </cell>
          <cell r="Z6362">
            <v>4.83</v>
          </cell>
          <cell r="AA6362">
            <v>0</v>
          </cell>
          <cell r="AB6362">
            <v>0</v>
          </cell>
        </row>
        <row r="6363">
          <cell r="G6363" t="str">
            <v>X2451_1</v>
          </cell>
          <cell r="H6363" t="str">
            <v>as</v>
          </cell>
          <cell r="I6363" t="str">
            <v>sim</v>
          </cell>
          <cell r="V6363" t="str">
            <v>not</v>
          </cell>
          <cell r="Y6363" t="str">
            <v>Pres</v>
          </cell>
          <cell r="Z6363">
            <v>4.83</v>
          </cell>
          <cell r="AA6363">
            <v>0</v>
          </cell>
          <cell r="AB6363">
            <v>0</v>
          </cell>
        </row>
        <row r="6364">
          <cell r="G6364" t="str">
            <v>X2452_0</v>
          </cell>
          <cell r="H6364" t="str">
            <v/>
          </cell>
          <cell r="I6364" t="str">
            <v>met</v>
          </cell>
          <cell r="V6364" t="str">
            <v>0</v>
          </cell>
          <cell r="Y6364" t="str">
            <v>Pres</v>
          </cell>
          <cell r="Z6364">
            <v>4.1100000000000003</v>
          </cell>
          <cell r="AA6364">
            <v>0</v>
          </cell>
          <cell r="AB6364">
            <v>0</v>
          </cell>
        </row>
        <row r="6365">
          <cell r="G6365" t="str">
            <v>X2452_1</v>
          </cell>
          <cell r="H6365" t="str">
            <v/>
          </cell>
          <cell r="I6365" t="str">
            <v>met</v>
          </cell>
          <cell r="V6365" t="str">
            <v>0</v>
          </cell>
          <cell r="Y6365" t="str">
            <v>Pres</v>
          </cell>
          <cell r="Z6365">
            <v>4.1100000000000003</v>
          </cell>
          <cell r="AA6365">
            <v>0</v>
          </cell>
          <cell r="AB6365">
            <v>0</v>
          </cell>
        </row>
        <row r="6366">
          <cell r="G6366" t="str">
            <v>X2453_0</v>
          </cell>
          <cell r="H6366" t="str">
            <v>as-as</v>
          </cell>
          <cell r="I6366" t="str">
            <v>sim</v>
          </cell>
          <cell r="V6366" t="str">
            <v>not neg pair</v>
          </cell>
          <cell r="Y6366" t="str">
            <v>Pres</v>
          </cell>
          <cell r="Z6366">
            <v>4.59</v>
          </cell>
          <cell r="AA6366">
            <v>0</v>
          </cell>
          <cell r="AB6366">
            <v>0</v>
          </cell>
        </row>
        <row r="6367">
          <cell r="G6367" t="str">
            <v>X2453_1</v>
          </cell>
          <cell r="H6367" t="str">
            <v>as-as</v>
          </cell>
          <cell r="I6367" t="str">
            <v>sim</v>
          </cell>
          <cell r="V6367" t="str">
            <v>not neg pair</v>
          </cell>
          <cell r="Y6367" t="str">
            <v>Pres</v>
          </cell>
          <cell r="Z6367">
            <v>4.59</v>
          </cell>
          <cell r="AA6367">
            <v>0</v>
          </cell>
          <cell r="AB6367">
            <v>0</v>
          </cell>
        </row>
        <row r="6368">
          <cell r="G6368" t="str">
            <v>X2454_0</v>
          </cell>
          <cell r="H6368" t="str">
            <v/>
          </cell>
          <cell r="I6368" t="str">
            <v>met</v>
          </cell>
          <cell r="V6368" t="str">
            <v>0</v>
          </cell>
          <cell r="Y6368">
            <v>0</v>
          </cell>
          <cell r="Z6368">
            <v>0</v>
          </cell>
          <cell r="AA6368">
            <v>0</v>
          </cell>
          <cell r="AB6368">
            <v>0</v>
          </cell>
        </row>
        <row r="6369">
          <cell r="G6369" t="str">
            <v>X2454_1</v>
          </cell>
          <cell r="H6369" t="str">
            <v/>
          </cell>
          <cell r="I6369" t="str">
            <v>met</v>
          </cell>
          <cell r="V6369" t="str">
            <v>0</v>
          </cell>
          <cell r="Y6369">
            <v>0</v>
          </cell>
          <cell r="Z6369">
            <v>4.1100000000000003</v>
          </cell>
          <cell r="AA6369">
            <v>0</v>
          </cell>
          <cell r="AB6369">
            <v>0</v>
          </cell>
        </row>
        <row r="6370">
          <cell r="G6370" t="str">
            <v>X2455_0</v>
          </cell>
          <cell r="H6370" t="str">
            <v>the-of</v>
          </cell>
          <cell r="I6370" t="str">
            <v>sim</v>
          </cell>
          <cell r="V6370" t="str">
            <v>not neg pair</v>
          </cell>
          <cell r="Y6370" t="str">
            <v>Pres</v>
          </cell>
          <cell r="Z6370">
            <v>4.84</v>
          </cell>
          <cell r="AA6370">
            <v>0</v>
          </cell>
          <cell r="AB6370">
            <v>0</v>
          </cell>
        </row>
        <row r="6371">
          <cell r="G6371" t="str">
            <v>X2455_1</v>
          </cell>
          <cell r="H6371" t="str">
            <v>the-of</v>
          </cell>
          <cell r="I6371" t="str">
            <v>sim</v>
          </cell>
          <cell r="V6371" t="str">
            <v>not neg pair</v>
          </cell>
          <cell r="Y6371" t="str">
            <v>Pres</v>
          </cell>
          <cell r="Z6371">
            <v>4.84</v>
          </cell>
          <cell r="AA6371">
            <v>0</v>
          </cell>
          <cell r="AB6371">
            <v>0</v>
          </cell>
        </row>
        <row r="6372">
          <cell r="G6372" t="str">
            <v>X2456_0</v>
          </cell>
          <cell r="H6372" t="str">
            <v>like</v>
          </cell>
          <cell r="I6372" t="str">
            <v>sim</v>
          </cell>
          <cell r="V6372" t="str">
            <v>not neg pair</v>
          </cell>
          <cell r="Y6372" t="str">
            <v>Pres</v>
          </cell>
          <cell r="Z6372">
            <v>3.79</v>
          </cell>
          <cell r="AA6372">
            <v>0</v>
          </cell>
          <cell r="AB6372">
            <v>0</v>
          </cell>
        </row>
        <row r="6373">
          <cell r="G6373" t="str">
            <v>X2456_1</v>
          </cell>
          <cell r="H6373" t="str">
            <v>like</v>
          </cell>
          <cell r="I6373" t="str">
            <v>sim</v>
          </cell>
          <cell r="V6373" t="str">
            <v>not neg pair</v>
          </cell>
          <cell r="Y6373" t="str">
            <v>Pres</v>
          </cell>
          <cell r="Z6373">
            <v>3.79</v>
          </cell>
          <cell r="AA6373">
            <v>0</v>
          </cell>
          <cell r="AB6373">
            <v>0</v>
          </cell>
        </row>
        <row r="6374">
          <cell r="G6374" t="str">
            <v>X2457_0</v>
          </cell>
          <cell r="H6374" t="str">
            <v>like</v>
          </cell>
          <cell r="I6374" t="str">
            <v>sim</v>
          </cell>
          <cell r="V6374" t="str">
            <v>not neg pair</v>
          </cell>
          <cell r="Y6374" t="str">
            <v>Pres</v>
          </cell>
          <cell r="Z6374">
            <v>4.3099999999999996</v>
          </cell>
          <cell r="AA6374">
            <v>0</v>
          </cell>
          <cell r="AB6374">
            <v>0</v>
          </cell>
        </row>
        <row r="6375">
          <cell r="G6375" t="str">
            <v>X2457_1</v>
          </cell>
          <cell r="H6375" t="str">
            <v>like</v>
          </cell>
          <cell r="I6375" t="str">
            <v>sim</v>
          </cell>
          <cell r="V6375" t="str">
            <v>not neg pair</v>
          </cell>
          <cell r="Y6375" t="str">
            <v>Pres</v>
          </cell>
          <cell r="Z6375">
            <v>4.3099999999999996</v>
          </cell>
          <cell r="AA6375">
            <v>0</v>
          </cell>
          <cell r="AB6375">
            <v>0</v>
          </cell>
        </row>
        <row r="6376">
          <cell r="G6376" t="str">
            <v>X2458_0</v>
          </cell>
          <cell r="H6376" t="str">
            <v>as</v>
          </cell>
          <cell r="I6376" t="str">
            <v>sim</v>
          </cell>
          <cell r="V6376" t="str">
            <v>not</v>
          </cell>
          <cell r="Y6376" t="str">
            <v>Pres</v>
          </cell>
          <cell r="Z6376">
            <v>5</v>
          </cell>
          <cell r="AA6376" t="str">
            <v>H</v>
          </cell>
          <cell r="AB6376">
            <v>0</v>
          </cell>
        </row>
        <row r="6377">
          <cell r="G6377" t="str">
            <v>X2458_1</v>
          </cell>
          <cell r="H6377" t="str">
            <v>as</v>
          </cell>
          <cell r="I6377" t="str">
            <v>sim</v>
          </cell>
          <cell r="V6377" t="str">
            <v>not</v>
          </cell>
          <cell r="Y6377" t="str">
            <v>Pres</v>
          </cell>
          <cell r="Z6377">
            <v>5</v>
          </cell>
          <cell r="AA6377" t="str">
            <v>H</v>
          </cell>
          <cell r="AB6377">
            <v>0</v>
          </cell>
        </row>
        <row r="6378">
          <cell r="G6378" t="str">
            <v>X2459_0</v>
          </cell>
          <cell r="H6378" t="str">
            <v>as-as</v>
          </cell>
          <cell r="I6378" t="str">
            <v>sim</v>
          </cell>
          <cell r="V6378" t="str">
            <v>not</v>
          </cell>
          <cell r="Y6378" t="str">
            <v>Pres</v>
          </cell>
          <cell r="Z6378">
            <v>4.8600000000000003</v>
          </cell>
          <cell r="AA6378">
            <v>0</v>
          </cell>
          <cell r="AB6378">
            <v>0</v>
          </cell>
        </row>
        <row r="6379">
          <cell r="G6379" t="str">
            <v>X2459_1</v>
          </cell>
          <cell r="H6379" t="str">
            <v>as-as</v>
          </cell>
          <cell r="I6379" t="str">
            <v>sim</v>
          </cell>
          <cell r="V6379" t="str">
            <v>not</v>
          </cell>
          <cell r="Y6379" t="str">
            <v>Pres</v>
          </cell>
          <cell r="Z6379">
            <v>4.8600000000000003</v>
          </cell>
          <cell r="AA6379">
            <v>0</v>
          </cell>
          <cell r="AB6379">
            <v>0</v>
          </cell>
        </row>
        <row r="6380">
          <cell r="G6380" t="str">
            <v>X2460_0</v>
          </cell>
          <cell r="H6380" t="str">
            <v>as-as</v>
          </cell>
          <cell r="I6380" t="str">
            <v>sim</v>
          </cell>
          <cell r="V6380" t="str">
            <v>not neg pair</v>
          </cell>
          <cell r="Y6380" t="str">
            <v>Past</v>
          </cell>
          <cell r="Z6380">
            <v>2.81</v>
          </cell>
          <cell r="AA6380">
            <v>0</v>
          </cell>
          <cell r="AB6380">
            <v>0</v>
          </cell>
        </row>
        <row r="6381">
          <cell r="G6381" t="str">
            <v>X2460_1</v>
          </cell>
          <cell r="H6381" t="str">
            <v>as-as</v>
          </cell>
          <cell r="I6381" t="str">
            <v>sim</v>
          </cell>
          <cell r="V6381" t="str">
            <v>not neg pair</v>
          </cell>
          <cell r="Y6381" t="str">
            <v>Past</v>
          </cell>
          <cell r="Z6381">
            <v>2.81</v>
          </cell>
          <cell r="AA6381">
            <v>0</v>
          </cell>
          <cell r="AB6381">
            <v>0</v>
          </cell>
        </row>
        <row r="6382">
          <cell r="G6382" t="str">
            <v>X2461_0</v>
          </cell>
          <cell r="H6382" t="str">
            <v>as-as</v>
          </cell>
          <cell r="I6382" t="str">
            <v>sim</v>
          </cell>
          <cell r="V6382" t="str">
            <v>not neg pair</v>
          </cell>
          <cell r="Y6382" t="str">
            <v>Past</v>
          </cell>
          <cell r="Z6382">
            <v>2.81</v>
          </cell>
          <cell r="AA6382">
            <v>0</v>
          </cell>
          <cell r="AB6382">
            <v>0</v>
          </cell>
        </row>
        <row r="6383">
          <cell r="G6383" t="str">
            <v>X2461_1</v>
          </cell>
          <cell r="H6383" t="str">
            <v>as-as</v>
          </cell>
          <cell r="I6383" t="str">
            <v>sim</v>
          </cell>
          <cell r="V6383" t="str">
            <v>not neg pair</v>
          </cell>
          <cell r="Y6383" t="str">
            <v>Past</v>
          </cell>
          <cell r="Z6383">
            <v>2.81</v>
          </cell>
          <cell r="AA6383">
            <v>0</v>
          </cell>
          <cell r="AB6383">
            <v>0</v>
          </cell>
        </row>
        <row r="6384">
          <cell r="G6384" t="str">
            <v>X2462_0</v>
          </cell>
          <cell r="H6384" t="str">
            <v>as-as</v>
          </cell>
          <cell r="I6384" t="str">
            <v>sim</v>
          </cell>
          <cell r="V6384" t="str">
            <v>antonym</v>
          </cell>
          <cell r="Y6384" t="str">
            <v>Past</v>
          </cell>
          <cell r="Z6384">
            <v>2.81</v>
          </cell>
          <cell r="AA6384">
            <v>0</v>
          </cell>
          <cell r="AB6384">
            <v>0</v>
          </cell>
        </row>
        <row r="6385">
          <cell r="G6385" t="str">
            <v>X2462_1</v>
          </cell>
          <cell r="H6385" t="str">
            <v>as-as</v>
          </cell>
          <cell r="I6385" t="str">
            <v>sim</v>
          </cell>
          <cell r="V6385" t="str">
            <v>antonym</v>
          </cell>
          <cell r="Y6385" t="str">
            <v>Past</v>
          </cell>
          <cell r="Z6385">
            <v>2.81</v>
          </cell>
          <cell r="AA6385">
            <v>0</v>
          </cell>
          <cell r="AB6385">
            <v>0</v>
          </cell>
        </row>
        <row r="6386">
          <cell r="G6386" t="str">
            <v>X2463_0</v>
          </cell>
          <cell r="H6386" t="str">
            <v>the-of</v>
          </cell>
          <cell r="I6386" t="str">
            <v>sim</v>
          </cell>
          <cell r="V6386" t="str">
            <v>not</v>
          </cell>
          <cell r="Y6386" t="str">
            <v>Past</v>
          </cell>
          <cell r="Z6386">
            <v>5</v>
          </cell>
          <cell r="AA6386" t="str">
            <v>H</v>
          </cell>
          <cell r="AB6386">
            <v>0</v>
          </cell>
        </row>
        <row r="6387">
          <cell r="G6387" t="str">
            <v>X2463_1</v>
          </cell>
          <cell r="H6387" t="str">
            <v>the-of</v>
          </cell>
          <cell r="I6387" t="str">
            <v>sim</v>
          </cell>
          <cell r="V6387" t="str">
            <v>not</v>
          </cell>
          <cell r="Y6387" t="str">
            <v>Past</v>
          </cell>
          <cell r="Z6387">
            <v>5</v>
          </cell>
          <cell r="AA6387" t="str">
            <v>H</v>
          </cell>
          <cell r="AB6387">
            <v>0</v>
          </cell>
        </row>
        <row r="6388">
          <cell r="G6388" t="str">
            <v>X2464_0</v>
          </cell>
          <cell r="H6388" t="str">
            <v>as-as</v>
          </cell>
          <cell r="I6388" t="str">
            <v>sim</v>
          </cell>
          <cell r="V6388" t="str">
            <v>not</v>
          </cell>
          <cell r="Y6388" t="str">
            <v>Pres</v>
          </cell>
          <cell r="Z6388">
            <v>4.8499999999999996</v>
          </cell>
          <cell r="AA6388">
            <v>0</v>
          </cell>
          <cell r="AB6388">
            <v>0</v>
          </cell>
        </row>
        <row r="6389">
          <cell r="G6389" t="str">
            <v>X2464_1</v>
          </cell>
          <cell r="H6389" t="str">
            <v>as-as</v>
          </cell>
          <cell r="I6389" t="str">
            <v>sim</v>
          </cell>
          <cell r="V6389" t="str">
            <v>not</v>
          </cell>
          <cell r="Y6389" t="str">
            <v>Pres</v>
          </cell>
          <cell r="Z6389">
            <v>4.8499999999999996</v>
          </cell>
          <cell r="AA6389">
            <v>0</v>
          </cell>
          <cell r="AB6389">
            <v>0</v>
          </cell>
        </row>
        <row r="6390">
          <cell r="G6390" t="str">
            <v>X2465_0</v>
          </cell>
          <cell r="H6390" t="str">
            <v>the-of</v>
          </cell>
          <cell r="I6390" t="str">
            <v>sim</v>
          </cell>
          <cell r="V6390" t="str">
            <v>not neg pair</v>
          </cell>
          <cell r="Y6390" t="str">
            <v>Past</v>
          </cell>
          <cell r="Z6390">
            <v>4.2</v>
          </cell>
          <cell r="AA6390">
            <v>0</v>
          </cell>
          <cell r="AB6390">
            <v>0</v>
          </cell>
        </row>
        <row r="6391">
          <cell r="G6391" t="str">
            <v>X2465_1</v>
          </cell>
          <cell r="H6391" t="str">
            <v>the-of</v>
          </cell>
          <cell r="I6391" t="str">
            <v>sim</v>
          </cell>
          <cell r="V6391" t="str">
            <v>not neg pair</v>
          </cell>
          <cell r="Y6391" t="str">
            <v>Past</v>
          </cell>
          <cell r="Z6391">
            <v>4.2</v>
          </cell>
          <cell r="AA6391">
            <v>0</v>
          </cell>
          <cell r="AB6391">
            <v>0</v>
          </cell>
        </row>
        <row r="6392">
          <cell r="G6392" t="str">
            <v>X2466_0</v>
          </cell>
          <cell r="H6392" t="str">
            <v>the-of</v>
          </cell>
          <cell r="I6392" t="str">
            <v>sim</v>
          </cell>
          <cell r="V6392" t="str">
            <v>not neg pair</v>
          </cell>
          <cell r="Y6392" t="str">
            <v>Past</v>
          </cell>
          <cell r="Z6392">
            <v>5</v>
          </cell>
          <cell r="AA6392" t="str">
            <v>H</v>
          </cell>
          <cell r="AB6392">
            <v>0</v>
          </cell>
        </row>
        <row r="6393">
          <cell r="G6393" t="str">
            <v>X2466_1</v>
          </cell>
          <cell r="H6393" t="str">
            <v>the-of</v>
          </cell>
          <cell r="I6393" t="str">
            <v>sim</v>
          </cell>
          <cell r="V6393" t="str">
            <v>not neg pair</v>
          </cell>
          <cell r="Y6393" t="str">
            <v>Pres</v>
          </cell>
          <cell r="Z6393">
            <v>5</v>
          </cell>
          <cell r="AA6393" t="str">
            <v>H</v>
          </cell>
          <cell r="AB6393">
            <v>0</v>
          </cell>
        </row>
        <row r="6394">
          <cell r="G6394" t="str">
            <v>X2467_0</v>
          </cell>
          <cell r="H6394" t="str">
            <v>like</v>
          </cell>
          <cell r="I6394" t="str">
            <v>sim</v>
          </cell>
          <cell r="V6394" t="str">
            <v>not neg pair</v>
          </cell>
          <cell r="Y6394" t="str">
            <v>Pres</v>
          </cell>
          <cell r="Z6394">
            <v>5</v>
          </cell>
          <cell r="AA6394" t="str">
            <v>H</v>
          </cell>
          <cell r="AB6394">
            <v>0</v>
          </cell>
        </row>
        <row r="6395">
          <cell r="G6395" t="str">
            <v>X2467_1</v>
          </cell>
          <cell r="H6395" t="str">
            <v>like</v>
          </cell>
          <cell r="I6395" t="str">
            <v>sim</v>
          </cell>
          <cell r="V6395" t="str">
            <v>not neg pair</v>
          </cell>
          <cell r="Y6395" t="str">
            <v>Pres</v>
          </cell>
          <cell r="Z6395">
            <v>5</v>
          </cell>
          <cell r="AA6395" t="str">
            <v>H</v>
          </cell>
          <cell r="AB6395">
            <v>0</v>
          </cell>
        </row>
        <row r="6396">
          <cell r="G6396" t="str">
            <v>X2468_0</v>
          </cell>
          <cell r="H6396" t="str">
            <v>the-of</v>
          </cell>
          <cell r="I6396" t="str">
            <v>sim</v>
          </cell>
          <cell r="V6396" t="str">
            <v>not</v>
          </cell>
          <cell r="Y6396" t="str">
            <v>Pres</v>
          </cell>
          <cell r="Z6396">
            <v>4.6100000000000003</v>
          </cell>
          <cell r="AA6396">
            <v>0</v>
          </cell>
          <cell r="AB6396">
            <v>0</v>
          </cell>
        </row>
        <row r="6397">
          <cell r="G6397" t="str">
            <v>X2468_1</v>
          </cell>
          <cell r="H6397" t="str">
            <v>the-of</v>
          </cell>
          <cell r="I6397" t="str">
            <v>sim</v>
          </cell>
          <cell r="V6397" t="str">
            <v>not</v>
          </cell>
          <cell r="Y6397" t="str">
            <v>Pres</v>
          </cell>
          <cell r="Z6397">
            <v>4.6100000000000003</v>
          </cell>
          <cell r="AA6397">
            <v>0</v>
          </cell>
          <cell r="AB6397">
            <v>0</v>
          </cell>
        </row>
        <row r="6398">
          <cell r="G6398" t="str">
            <v>X2469_0</v>
          </cell>
          <cell r="H6398" t="str">
            <v/>
          </cell>
          <cell r="I6398" t="str">
            <v>met</v>
          </cell>
          <cell r="V6398" t="str">
            <v>0</v>
          </cell>
          <cell r="Y6398" t="str">
            <v>Past</v>
          </cell>
          <cell r="Z6398">
            <v>2</v>
          </cell>
          <cell r="AA6398" t="str">
            <v>L</v>
          </cell>
          <cell r="AB6398">
            <v>0</v>
          </cell>
        </row>
        <row r="6399">
          <cell r="G6399" t="str">
            <v>X2469_1</v>
          </cell>
          <cell r="H6399" t="str">
            <v/>
          </cell>
          <cell r="I6399" t="str">
            <v>met</v>
          </cell>
          <cell r="V6399" t="str">
            <v>0</v>
          </cell>
          <cell r="Y6399">
            <v>0</v>
          </cell>
          <cell r="Z6399">
            <v>2</v>
          </cell>
          <cell r="AA6399" t="str">
            <v>L</v>
          </cell>
          <cell r="AB6399">
            <v>0</v>
          </cell>
        </row>
        <row r="6400">
          <cell r="G6400" t="str">
            <v>X2470_0</v>
          </cell>
          <cell r="H6400" t="str">
            <v>as-as</v>
          </cell>
          <cell r="I6400" t="str">
            <v>sim</v>
          </cell>
          <cell r="V6400" t="str">
            <v>not neg pair</v>
          </cell>
          <cell r="Y6400" t="str">
            <v>Past</v>
          </cell>
          <cell r="Z6400">
            <v>4.67</v>
          </cell>
          <cell r="AA6400">
            <v>0</v>
          </cell>
          <cell r="AB6400">
            <v>0</v>
          </cell>
        </row>
        <row r="6401">
          <cell r="G6401" t="str">
            <v>X2470_1</v>
          </cell>
          <cell r="H6401" t="str">
            <v>as-as</v>
          </cell>
          <cell r="I6401" t="str">
            <v>sim</v>
          </cell>
          <cell r="V6401" t="str">
            <v>not neg pair</v>
          </cell>
          <cell r="Y6401" t="str">
            <v>Past</v>
          </cell>
          <cell r="Z6401">
            <v>4.67</v>
          </cell>
          <cell r="AA6401">
            <v>0</v>
          </cell>
          <cell r="AB6401">
            <v>0</v>
          </cell>
        </row>
        <row r="6402">
          <cell r="G6402" t="str">
            <v>X2471_0</v>
          </cell>
          <cell r="H6402" t="str">
            <v>as</v>
          </cell>
          <cell r="I6402" t="str">
            <v>sim</v>
          </cell>
          <cell r="V6402" t="str">
            <v>not neg pair</v>
          </cell>
          <cell r="Y6402" t="str">
            <v>Past</v>
          </cell>
          <cell r="Z6402">
            <v>3.3</v>
          </cell>
          <cell r="AA6402">
            <v>0</v>
          </cell>
          <cell r="AB6402">
            <v>0</v>
          </cell>
        </row>
        <row r="6403">
          <cell r="G6403" t="str">
            <v>X2471_1</v>
          </cell>
          <cell r="H6403" t="str">
            <v>as</v>
          </cell>
          <cell r="I6403" t="str">
            <v>sim</v>
          </cell>
          <cell r="V6403" t="str">
            <v>not neg pair</v>
          </cell>
          <cell r="Y6403" t="str">
            <v>Past</v>
          </cell>
          <cell r="Z6403">
            <v>3.3</v>
          </cell>
          <cell r="AA6403">
            <v>0</v>
          </cell>
          <cell r="AB6403">
            <v>0</v>
          </cell>
        </row>
        <row r="6404">
          <cell r="G6404" t="str">
            <v>X2472_0</v>
          </cell>
          <cell r="H6404" t="str">
            <v>as-as</v>
          </cell>
          <cell r="I6404" t="str">
            <v>sim</v>
          </cell>
          <cell r="V6404" t="str">
            <v>not</v>
          </cell>
          <cell r="Y6404" t="str">
            <v>Past</v>
          </cell>
          <cell r="Z6404">
            <v>5</v>
          </cell>
          <cell r="AA6404" t="str">
            <v>H</v>
          </cell>
          <cell r="AB6404">
            <v>0</v>
          </cell>
        </row>
        <row r="6405">
          <cell r="G6405" t="str">
            <v>X2472_1</v>
          </cell>
          <cell r="H6405" t="str">
            <v>as-as</v>
          </cell>
          <cell r="I6405" t="str">
            <v>sim</v>
          </cell>
          <cell r="V6405" t="str">
            <v>not</v>
          </cell>
          <cell r="Y6405" t="str">
            <v>Past</v>
          </cell>
          <cell r="Z6405">
            <v>5</v>
          </cell>
          <cell r="AA6405" t="str">
            <v>H</v>
          </cell>
          <cell r="AB6405">
            <v>0</v>
          </cell>
        </row>
        <row r="6406">
          <cell r="G6406" t="str">
            <v>X2473_0</v>
          </cell>
          <cell r="H6406" t="str">
            <v>as-as</v>
          </cell>
          <cell r="I6406" t="str">
            <v>sim</v>
          </cell>
          <cell r="V6406" t="str">
            <v>antonym</v>
          </cell>
          <cell r="Y6406" t="str">
            <v>Pres</v>
          </cell>
          <cell r="Z6406">
            <v>3.93</v>
          </cell>
          <cell r="AA6406">
            <v>0</v>
          </cell>
          <cell r="AB6406">
            <v>0</v>
          </cell>
        </row>
        <row r="6407">
          <cell r="G6407" t="str">
            <v>X2473_1</v>
          </cell>
          <cell r="H6407" t="str">
            <v>as-as</v>
          </cell>
          <cell r="I6407" t="str">
            <v>sim</v>
          </cell>
          <cell r="V6407" t="str">
            <v>antonym</v>
          </cell>
          <cell r="Y6407" t="str">
            <v>Pres</v>
          </cell>
          <cell r="Z6407">
            <v>3.93</v>
          </cell>
          <cell r="AA6407">
            <v>0</v>
          </cell>
          <cell r="AB6407">
            <v>0</v>
          </cell>
        </row>
        <row r="6408">
          <cell r="G6408" t="str">
            <v>X2474_0</v>
          </cell>
          <cell r="H6408" t="str">
            <v>the-of</v>
          </cell>
          <cell r="I6408" t="str">
            <v>sim</v>
          </cell>
          <cell r="V6408" t="str">
            <v>not neg pair</v>
          </cell>
          <cell r="Y6408" t="str">
            <v>Pres</v>
          </cell>
          <cell r="Z6408">
            <v>4.1100000000000003</v>
          </cell>
          <cell r="AA6408">
            <v>0</v>
          </cell>
          <cell r="AB6408">
            <v>0</v>
          </cell>
        </row>
        <row r="6409">
          <cell r="G6409" t="str">
            <v>X2474_1</v>
          </cell>
          <cell r="H6409" t="str">
            <v>the-of</v>
          </cell>
          <cell r="I6409" t="str">
            <v>sim</v>
          </cell>
          <cell r="V6409" t="str">
            <v>not neg pair</v>
          </cell>
          <cell r="Y6409" t="str">
            <v>Pres</v>
          </cell>
          <cell r="Z6409">
            <v>4.1100000000000003</v>
          </cell>
          <cell r="AA6409">
            <v>0</v>
          </cell>
          <cell r="AB6409">
            <v>0</v>
          </cell>
        </row>
        <row r="6410">
          <cell r="G6410" t="str">
            <v>X2475_0</v>
          </cell>
          <cell r="H6410" t="str">
            <v>like</v>
          </cell>
          <cell r="I6410" t="str">
            <v>sim</v>
          </cell>
          <cell r="V6410" t="str">
            <v>not neg pair</v>
          </cell>
          <cell r="Y6410" t="str">
            <v>Past</v>
          </cell>
          <cell r="Z6410">
            <v>4.9000000000000004</v>
          </cell>
          <cell r="AA6410">
            <v>0</v>
          </cell>
          <cell r="AB6410">
            <v>0</v>
          </cell>
        </row>
        <row r="6411">
          <cell r="G6411" t="str">
            <v>X2475_1</v>
          </cell>
          <cell r="H6411" t="str">
            <v>like</v>
          </cell>
          <cell r="I6411" t="str">
            <v>sim</v>
          </cell>
          <cell r="V6411" t="str">
            <v>not neg pair</v>
          </cell>
          <cell r="Y6411" t="str">
            <v>Past</v>
          </cell>
          <cell r="Z6411">
            <v>4.9000000000000004</v>
          </cell>
          <cell r="AA6411">
            <v>0</v>
          </cell>
          <cell r="AB6411">
            <v>0</v>
          </cell>
        </row>
        <row r="6412">
          <cell r="G6412" t="str">
            <v>X2476_0</v>
          </cell>
          <cell r="H6412" t="str">
            <v>as-as</v>
          </cell>
          <cell r="I6412" t="str">
            <v>sim</v>
          </cell>
          <cell r="V6412" t="str">
            <v>antonym</v>
          </cell>
          <cell r="Y6412" t="str">
            <v>Past</v>
          </cell>
          <cell r="Z6412">
            <v>5</v>
          </cell>
          <cell r="AA6412" t="str">
            <v>H</v>
          </cell>
          <cell r="AB6412">
            <v>0</v>
          </cell>
        </row>
        <row r="6413">
          <cell r="G6413" t="str">
            <v>X2476_1</v>
          </cell>
          <cell r="H6413" t="str">
            <v>as-as</v>
          </cell>
          <cell r="I6413" t="str">
            <v>sim</v>
          </cell>
          <cell r="V6413" t="str">
            <v>antonym</v>
          </cell>
          <cell r="Y6413" t="str">
            <v>Past</v>
          </cell>
          <cell r="Z6413">
            <v>5</v>
          </cell>
          <cell r="AA6413" t="str">
            <v>H</v>
          </cell>
          <cell r="AB6413">
            <v>0</v>
          </cell>
        </row>
        <row r="6414">
          <cell r="G6414" t="str">
            <v>X2477_0</v>
          </cell>
          <cell r="H6414" t="str">
            <v>as-as</v>
          </cell>
          <cell r="I6414" t="str">
            <v>sim</v>
          </cell>
          <cell r="V6414" t="str">
            <v>not neg pair</v>
          </cell>
          <cell r="Y6414" t="str">
            <v>Past</v>
          </cell>
          <cell r="Z6414">
            <v>2.81</v>
          </cell>
          <cell r="AA6414">
            <v>0</v>
          </cell>
          <cell r="AB6414">
            <v>0</v>
          </cell>
        </row>
        <row r="6415">
          <cell r="G6415" t="str">
            <v>X2477_1</v>
          </cell>
          <cell r="H6415" t="str">
            <v>as-as</v>
          </cell>
          <cell r="I6415" t="str">
            <v>sim</v>
          </cell>
          <cell r="V6415" t="str">
            <v>not neg pair</v>
          </cell>
          <cell r="Y6415" t="str">
            <v>Past</v>
          </cell>
          <cell r="Z6415">
            <v>2.81</v>
          </cell>
          <cell r="AA6415">
            <v>0</v>
          </cell>
          <cell r="AB6415">
            <v>0</v>
          </cell>
        </row>
        <row r="6416">
          <cell r="G6416" t="str">
            <v>X2478_0</v>
          </cell>
          <cell r="H6416" t="str">
            <v>as-as</v>
          </cell>
          <cell r="I6416" t="str">
            <v>sim</v>
          </cell>
          <cell r="V6416" t="str">
            <v>antonym</v>
          </cell>
          <cell r="Y6416" t="str">
            <v>Past</v>
          </cell>
          <cell r="Z6416">
            <v>2.81</v>
          </cell>
          <cell r="AA6416">
            <v>0</v>
          </cell>
          <cell r="AB6416">
            <v>0</v>
          </cell>
        </row>
        <row r="6417">
          <cell r="G6417" t="str">
            <v>X2478_1</v>
          </cell>
          <cell r="H6417" t="str">
            <v>as-as</v>
          </cell>
          <cell r="I6417" t="str">
            <v>sim</v>
          </cell>
          <cell r="V6417" t="str">
            <v>antonym</v>
          </cell>
          <cell r="Y6417" t="str">
            <v>Past</v>
          </cell>
          <cell r="Z6417">
            <v>2.81</v>
          </cell>
          <cell r="AA6417">
            <v>0</v>
          </cell>
          <cell r="AB6417">
            <v>0</v>
          </cell>
        </row>
        <row r="6418">
          <cell r="G6418" t="str">
            <v>X2479_0</v>
          </cell>
          <cell r="H6418" t="str">
            <v>as-as</v>
          </cell>
          <cell r="I6418" t="str">
            <v>sim</v>
          </cell>
          <cell r="V6418" t="str">
            <v>not neg pair</v>
          </cell>
          <cell r="Y6418" t="str">
            <v>Past</v>
          </cell>
          <cell r="Z6418">
            <v>2.81</v>
          </cell>
          <cell r="AA6418">
            <v>0</v>
          </cell>
          <cell r="AB6418">
            <v>0</v>
          </cell>
        </row>
        <row r="6419">
          <cell r="G6419" t="str">
            <v>X2479_1</v>
          </cell>
          <cell r="H6419" t="str">
            <v>as-as</v>
          </cell>
          <cell r="I6419" t="str">
            <v>sim</v>
          </cell>
          <cell r="V6419" t="str">
            <v>not neg pair</v>
          </cell>
          <cell r="Y6419" t="str">
            <v>Past</v>
          </cell>
          <cell r="Z6419">
            <v>2.81</v>
          </cell>
          <cell r="AA6419">
            <v>0</v>
          </cell>
          <cell r="AB6419">
            <v>0</v>
          </cell>
        </row>
        <row r="6420">
          <cell r="G6420" t="str">
            <v>X2480_0</v>
          </cell>
          <cell r="H6420" t="str">
            <v>like</v>
          </cell>
          <cell r="I6420" t="str">
            <v>sim</v>
          </cell>
          <cell r="V6420" t="str">
            <v>not neg pair</v>
          </cell>
          <cell r="Y6420" t="str">
            <v>Past</v>
          </cell>
          <cell r="Z6420">
            <v>4.3600000000000003</v>
          </cell>
          <cell r="AA6420">
            <v>0</v>
          </cell>
          <cell r="AB6420">
            <v>0</v>
          </cell>
        </row>
        <row r="6421">
          <cell r="G6421" t="str">
            <v>X2480_1</v>
          </cell>
          <cell r="H6421" t="str">
            <v>like</v>
          </cell>
          <cell r="I6421" t="str">
            <v>sim</v>
          </cell>
          <cell r="V6421" t="str">
            <v>not neg pair</v>
          </cell>
          <cell r="Y6421" t="str">
            <v>Past</v>
          </cell>
          <cell r="Z6421">
            <v>4.3600000000000003</v>
          </cell>
          <cell r="AA6421">
            <v>0</v>
          </cell>
          <cell r="AB6421">
            <v>0</v>
          </cell>
        </row>
        <row r="6422">
          <cell r="G6422" t="str">
            <v>X2481_0</v>
          </cell>
          <cell r="H6422" t="str">
            <v>as-as</v>
          </cell>
          <cell r="I6422" t="str">
            <v>sim</v>
          </cell>
          <cell r="V6422" t="str">
            <v>antonym</v>
          </cell>
          <cell r="Y6422" t="str">
            <v>Past</v>
          </cell>
          <cell r="Z6422">
            <v>2.81</v>
          </cell>
          <cell r="AA6422">
            <v>0</v>
          </cell>
          <cell r="AB6422">
            <v>0</v>
          </cell>
        </row>
        <row r="6423">
          <cell r="G6423" t="str">
            <v>X2481_1</v>
          </cell>
          <cell r="H6423" t="str">
            <v>as-as</v>
          </cell>
          <cell r="I6423" t="str">
            <v>sim</v>
          </cell>
          <cell r="V6423" t="str">
            <v>antonym</v>
          </cell>
          <cell r="Y6423" t="str">
            <v>Past</v>
          </cell>
          <cell r="Z6423">
            <v>2.81</v>
          </cell>
          <cell r="AA6423">
            <v>0</v>
          </cell>
          <cell r="AB6423">
            <v>0</v>
          </cell>
        </row>
        <row r="6424">
          <cell r="G6424" t="str">
            <v>X2482_0</v>
          </cell>
          <cell r="H6424" t="str">
            <v>as-as</v>
          </cell>
          <cell r="I6424" t="str">
            <v>sim</v>
          </cell>
          <cell r="V6424" t="str">
            <v>not neg pair</v>
          </cell>
          <cell r="Y6424" t="str">
            <v>Past</v>
          </cell>
          <cell r="Z6424">
            <v>2.81</v>
          </cell>
          <cell r="AA6424">
            <v>0</v>
          </cell>
          <cell r="AB6424">
            <v>0</v>
          </cell>
        </row>
        <row r="6425">
          <cell r="G6425" t="str">
            <v>X2482_1</v>
          </cell>
          <cell r="H6425" t="str">
            <v>as-as</v>
          </cell>
          <cell r="I6425" t="str">
            <v>sim</v>
          </cell>
          <cell r="V6425" t="str">
            <v>not neg pair</v>
          </cell>
          <cell r="Y6425" t="str">
            <v>Past</v>
          </cell>
          <cell r="Z6425">
            <v>2.81</v>
          </cell>
          <cell r="AA6425">
            <v>0</v>
          </cell>
          <cell r="AB6425">
            <v>0</v>
          </cell>
        </row>
        <row r="6426">
          <cell r="G6426" t="str">
            <v>X2483_0</v>
          </cell>
          <cell r="H6426" t="str">
            <v>as-as</v>
          </cell>
          <cell r="I6426" t="str">
            <v>sim</v>
          </cell>
          <cell r="V6426" t="str">
            <v>not</v>
          </cell>
          <cell r="Y6426" t="str">
            <v>Past</v>
          </cell>
          <cell r="Z6426">
            <v>2.81</v>
          </cell>
          <cell r="AA6426">
            <v>0</v>
          </cell>
          <cell r="AB6426">
            <v>0</v>
          </cell>
        </row>
        <row r="6427">
          <cell r="G6427" t="str">
            <v>X2483_1</v>
          </cell>
          <cell r="H6427" t="str">
            <v>as-as</v>
          </cell>
          <cell r="I6427" t="str">
            <v>sim</v>
          </cell>
          <cell r="V6427" t="str">
            <v>not</v>
          </cell>
          <cell r="Y6427" t="str">
            <v>Past</v>
          </cell>
          <cell r="Z6427">
            <v>2.81</v>
          </cell>
          <cell r="AA6427">
            <v>0</v>
          </cell>
          <cell r="AB6427">
            <v>0</v>
          </cell>
        </row>
        <row r="6428">
          <cell r="G6428" t="str">
            <v>X2484_0</v>
          </cell>
          <cell r="H6428" t="str">
            <v>the-of</v>
          </cell>
          <cell r="I6428" t="str">
            <v>sim</v>
          </cell>
          <cell r="V6428" t="str">
            <v>not neg pair</v>
          </cell>
          <cell r="Y6428" t="str">
            <v>Pres</v>
          </cell>
          <cell r="Z6428">
            <v>4.79</v>
          </cell>
          <cell r="AA6428">
            <v>0</v>
          </cell>
          <cell r="AB6428">
            <v>0</v>
          </cell>
        </row>
        <row r="6429">
          <cell r="G6429" t="str">
            <v>X2484_1</v>
          </cell>
          <cell r="H6429" t="str">
            <v>the-of</v>
          </cell>
          <cell r="I6429" t="str">
            <v>sim</v>
          </cell>
          <cell r="V6429" t="str">
            <v>not neg pair</v>
          </cell>
          <cell r="Y6429" t="str">
            <v>Pres</v>
          </cell>
          <cell r="Z6429">
            <v>4.79</v>
          </cell>
          <cell r="AA6429">
            <v>0</v>
          </cell>
          <cell r="AB6429">
            <v>0</v>
          </cell>
        </row>
        <row r="6430">
          <cell r="G6430" t="str">
            <v>X2485_0</v>
          </cell>
          <cell r="H6430" t="str">
            <v>as-as</v>
          </cell>
          <cell r="I6430" t="str">
            <v>sim</v>
          </cell>
          <cell r="V6430" t="str">
            <v>antonym</v>
          </cell>
          <cell r="Y6430" t="str">
            <v>Past</v>
          </cell>
          <cell r="Z6430">
            <v>4.9000000000000004</v>
          </cell>
          <cell r="AA6430">
            <v>0</v>
          </cell>
          <cell r="AB6430">
            <v>0</v>
          </cell>
        </row>
        <row r="6431">
          <cell r="G6431" t="str">
            <v>X2485_1</v>
          </cell>
          <cell r="H6431" t="str">
            <v>as-as</v>
          </cell>
          <cell r="I6431" t="str">
            <v>sim</v>
          </cell>
          <cell r="V6431" t="str">
            <v>antonym</v>
          </cell>
          <cell r="Y6431" t="str">
            <v>Past</v>
          </cell>
          <cell r="Z6431">
            <v>4.9000000000000004</v>
          </cell>
          <cell r="AA6431">
            <v>0</v>
          </cell>
          <cell r="AB6431">
            <v>0</v>
          </cell>
        </row>
        <row r="6432">
          <cell r="G6432" t="str">
            <v>X2486_0</v>
          </cell>
          <cell r="H6432" t="str">
            <v>as-as</v>
          </cell>
          <cell r="I6432" t="str">
            <v>sim</v>
          </cell>
          <cell r="V6432" t="str">
            <v>not neg pair</v>
          </cell>
          <cell r="Y6432" t="str">
            <v>Past</v>
          </cell>
          <cell r="Z6432">
            <v>4.8600000000000003</v>
          </cell>
          <cell r="AA6432">
            <v>0</v>
          </cell>
          <cell r="AB6432">
            <v>0</v>
          </cell>
        </row>
        <row r="6433">
          <cell r="G6433" t="str">
            <v>X2486_1</v>
          </cell>
          <cell r="H6433" t="str">
            <v>as-as</v>
          </cell>
          <cell r="I6433" t="str">
            <v>sim</v>
          </cell>
          <cell r="V6433" t="str">
            <v>not neg pair</v>
          </cell>
          <cell r="Y6433" t="str">
            <v>Past</v>
          </cell>
          <cell r="Z6433">
            <v>4.8600000000000003</v>
          </cell>
          <cell r="AA6433">
            <v>0</v>
          </cell>
          <cell r="AB6433">
            <v>0</v>
          </cell>
        </row>
        <row r="6434">
          <cell r="G6434" t="str">
            <v>X2487_0</v>
          </cell>
          <cell r="H6434" t="str">
            <v>the-of</v>
          </cell>
          <cell r="I6434" t="str">
            <v>sim</v>
          </cell>
          <cell r="V6434" t="str">
            <v>not</v>
          </cell>
          <cell r="Y6434" t="str">
            <v>Past</v>
          </cell>
          <cell r="Z6434">
            <v>3.36</v>
          </cell>
          <cell r="AA6434">
            <v>0</v>
          </cell>
          <cell r="AB6434">
            <v>0</v>
          </cell>
        </row>
        <row r="6435">
          <cell r="G6435" t="str">
            <v>X2487_1</v>
          </cell>
          <cell r="H6435" t="str">
            <v>the-of</v>
          </cell>
          <cell r="I6435" t="str">
            <v>sim</v>
          </cell>
          <cell r="V6435" t="str">
            <v>not</v>
          </cell>
          <cell r="Y6435" t="str">
            <v>Past</v>
          </cell>
          <cell r="Z6435">
            <v>3.36</v>
          </cell>
          <cell r="AA6435">
            <v>0</v>
          </cell>
          <cell r="AB6435">
            <v>0</v>
          </cell>
        </row>
        <row r="6436">
          <cell r="G6436" t="str">
            <v>X2488_0</v>
          </cell>
          <cell r="H6436" t="str">
            <v>as-as</v>
          </cell>
          <cell r="I6436" t="str">
            <v>sim</v>
          </cell>
          <cell r="V6436" t="str">
            <v>not</v>
          </cell>
          <cell r="Y6436" t="str">
            <v>Past</v>
          </cell>
          <cell r="Z6436">
            <v>2</v>
          </cell>
          <cell r="AA6436" t="str">
            <v>L</v>
          </cell>
          <cell r="AB6436">
            <v>0</v>
          </cell>
        </row>
        <row r="6437">
          <cell r="G6437" t="str">
            <v>X2488_1</v>
          </cell>
          <cell r="H6437" t="str">
            <v>as-as</v>
          </cell>
          <cell r="I6437" t="str">
            <v>sim</v>
          </cell>
          <cell r="V6437" t="str">
            <v>not</v>
          </cell>
          <cell r="Y6437" t="str">
            <v>Past</v>
          </cell>
          <cell r="Z6437">
            <v>2</v>
          </cell>
          <cell r="AA6437" t="str">
            <v>L</v>
          </cell>
          <cell r="AB6437">
            <v>0</v>
          </cell>
        </row>
        <row r="6438">
          <cell r="G6438" t="str">
            <v>X2489_0</v>
          </cell>
          <cell r="H6438" t="str">
            <v>the-of</v>
          </cell>
          <cell r="I6438" t="str">
            <v>sim</v>
          </cell>
          <cell r="V6438" t="str">
            <v>not</v>
          </cell>
          <cell r="Y6438" t="str">
            <v>Past</v>
          </cell>
          <cell r="Z6438">
            <v>3.36</v>
          </cell>
          <cell r="AA6438">
            <v>0</v>
          </cell>
          <cell r="AB6438">
            <v>0</v>
          </cell>
        </row>
        <row r="6439">
          <cell r="G6439" t="str">
            <v>X2489_1</v>
          </cell>
          <cell r="H6439" t="str">
            <v>the-of</v>
          </cell>
          <cell r="I6439" t="str">
            <v>sim</v>
          </cell>
          <cell r="V6439" t="str">
            <v>not</v>
          </cell>
          <cell r="Y6439" t="str">
            <v>Past</v>
          </cell>
          <cell r="Z6439">
            <v>3.36</v>
          </cell>
          <cell r="AA6439">
            <v>0</v>
          </cell>
          <cell r="AB6439">
            <v>0</v>
          </cell>
        </row>
        <row r="6440">
          <cell r="G6440" t="str">
            <v>X2490_0</v>
          </cell>
          <cell r="H6440" t="str">
            <v/>
          </cell>
          <cell r="I6440" t="str">
            <v>met</v>
          </cell>
          <cell r="V6440" t="str">
            <v>0</v>
          </cell>
          <cell r="Y6440" t="str">
            <v>Pres</v>
          </cell>
          <cell r="Z6440">
            <v>4.93</v>
          </cell>
          <cell r="AA6440" t="str">
            <v>H</v>
          </cell>
          <cell r="AB6440">
            <v>0</v>
          </cell>
        </row>
        <row r="6441">
          <cell r="G6441" t="str">
            <v>X2490_1</v>
          </cell>
          <cell r="H6441" t="str">
            <v/>
          </cell>
          <cell r="I6441" t="str">
            <v>met</v>
          </cell>
          <cell r="V6441" t="str">
            <v>0</v>
          </cell>
          <cell r="Y6441" t="str">
            <v>Pres</v>
          </cell>
          <cell r="Z6441">
            <v>4.93</v>
          </cell>
          <cell r="AA6441" t="str">
            <v>H</v>
          </cell>
          <cell r="AB6441">
            <v>0</v>
          </cell>
        </row>
        <row r="6442">
          <cell r="G6442" t="str">
            <v>X2491_0</v>
          </cell>
          <cell r="H6442" t="str">
            <v>like</v>
          </cell>
          <cell r="I6442" t="str">
            <v>sim</v>
          </cell>
          <cell r="V6442" t="str">
            <v>not neg pair</v>
          </cell>
          <cell r="Y6442" t="str">
            <v>Pres</v>
          </cell>
          <cell r="Z6442">
            <v>4.97</v>
          </cell>
          <cell r="AA6442" t="str">
            <v>H</v>
          </cell>
          <cell r="AB6442">
            <v>0</v>
          </cell>
        </row>
        <row r="6443">
          <cell r="G6443" t="str">
            <v>X2491_1</v>
          </cell>
          <cell r="H6443" t="str">
            <v>like</v>
          </cell>
          <cell r="I6443" t="str">
            <v>sim</v>
          </cell>
          <cell r="V6443" t="str">
            <v>not neg pair</v>
          </cell>
          <cell r="Y6443" t="str">
            <v>Pres</v>
          </cell>
          <cell r="Z6443">
            <v>4.97</v>
          </cell>
          <cell r="AA6443" t="str">
            <v>H</v>
          </cell>
          <cell r="AB6443">
            <v>0</v>
          </cell>
        </row>
        <row r="6444">
          <cell r="G6444" t="str">
            <v>X2492_0</v>
          </cell>
          <cell r="H6444" t="str">
            <v>the-of</v>
          </cell>
          <cell r="I6444" t="str">
            <v>sim</v>
          </cell>
          <cell r="V6444" t="str">
            <v>not neg pair</v>
          </cell>
          <cell r="Y6444" t="str">
            <v>Pres</v>
          </cell>
          <cell r="Z6444">
            <v>3.36</v>
          </cell>
          <cell r="AA6444">
            <v>0</v>
          </cell>
          <cell r="AB6444">
            <v>0</v>
          </cell>
        </row>
        <row r="6445">
          <cell r="G6445" t="str">
            <v>X2492_1</v>
          </cell>
          <cell r="H6445" t="str">
            <v>the-of</v>
          </cell>
          <cell r="I6445" t="str">
            <v>sim</v>
          </cell>
          <cell r="V6445" t="str">
            <v>not neg pair</v>
          </cell>
          <cell r="Y6445" t="str">
            <v>Pres</v>
          </cell>
          <cell r="Z6445">
            <v>3.36</v>
          </cell>
          <cell r="AA6445">
            <v>0</v>
          </cell>
          <cell r="AB6445">
            <v>0</v>
          </cell>
        </row>
        <row r="6446">
          <cell r="G6446" t="str">
            <v>X2493_0</v>
          </cell>
          <cell r="H6446" t="str">
            <v>the-of</v>
          </cell>
          <cell r="I6446" t="str">
            <v>sim</v>
          </cell>
          <cell r="V6446" t="str">
            <v>not neg pair</v>
          </cell>
          <cell r="Y6446" t="str">
            <v>Past</v>
          </cell>
          <cell r="Z6446">
            <v>4.46</v>
          </cell>
          <cell r="AA6446">
            <v>0</v>
          </cell>
          <cell r="AB6446">
            <v>0</v>
          </cell>
        </row>
        <row r="6447">
          <cell r="G6447" t="str">
            <v>X2493_1</v>
          </cell>
          <cell r="H6447" t="str">
            <v>the-of</v>
          </cell>
          <cell r="I6447" t="str">
            <v>sim</v>
          </cell>
          <cell r="V6447" t="str">
            <v>not neg pair</v>
          </cell>
          <cell r="Y6447" t="str">
            <v>Past</v>
          </cell>
          <cell r="Z6447">
            <v>4.46</v>
          </cell>
          <cell r="AA6447">
            <v>0</v>
          </cell>
          <cell r="AB6447">
            <v>0</v>
          </cell>
        </row>
        <row r="6448">
          <cell r="G6448" t="str">
            <v>X2494_0</v>
          </cell>
          <cell r="H6448" t="str">
            <v>as-as</v>
          </cell>
          <cell r="I6448" t="str">
            <v>sim</v>
          </cell>
          <cell r="V6448" t="str">
            <v>antonym</v>
          </cell>
          <cell r="Y6448" t="str">
            <v>Past</v>
          </cell>
          <cell r="Z6448">
            <v>4.16</v>
          </cell>
          <cell r="AA6448">
            <v>0</v>
          </cell>
          <cell r="AB6448">
            <v>0</v>
          </cell>
        </row>
        <row r="6449">
          <cell r="G6449" t="str">
            <v>X2494_1</v>
          </cell>
          <cell r="H6449" t="str">
            <v>as-as</v>
          </cell>
          <cell r="I6449" t="str">
            <v>sim</v>
          </cell>
          <cell r="V6449" t="str">
            <v>antonym</v>
          </cell>
          <cell r="Y6449" t="str">
            <v>Past</v>
          </cell>
          <cell r="Z6449">
            <v>4.16</v>
          </cell>
          <cell r="AA6449">
            <v>0</v>
          </cell>
          <cell r="AB6449">
            <v>0</v>
          </cell>
        </row>
        <row r="6450">
          <cell r="G6450" t="str">
            <v>X2495_0</v>
          </cell>
          <cell r="H6450" t="str">
            <v>as-as</v>
          </cell>
          <cell r="I6450" t="str">
            <v>sim</v>
          </cell>
          <cell r="V6450" t="str">
            <v>not neg pair</v>
          </cell>
          <cell r="Y6450" t="str">
            <v>Past</v>
          </cell>
          <cell r="Z6450">
            <v>4.79</v>
          </cell>
          <cell r="AA6450">
            <v>0</v>
          </cell>
          <cell r="AB6450">
            <v>0</v>
          </cell>
        </row>
        <row r="6451">
          <cell r="G6451" t="str">
            <v>X2495_1</v>
          </cell>
          <cell r="H6451" t="str">
            <v>as-as</v>
          </cell>
          <cell r="I6451" t="str">
            <v>sim</v>
          </cell>
          <cell r="V6451" t="str">
            <v>not neg pair</v>
          </cell>
          <cell r="Y6451" t="str">
            <v>Past</v>
          </cell>
          <cell r="Z6451">
            <v>4.79</v>
          </cell>
          <cell r="AA6451">
            <v>0</v>
          </cell>
          <cell r="AB6451">
            <v>0</v>
          </cell>
        </row>
        <row r="6452">
          <cell r="G6452" t="str">
            <v>X2496_0</v>
          </cell>
          <cell r="H6452" t="str">
            <v>as-as</v>
          </cell>
          <cell r="I6452" t="str">
            <v>sim</v>
          </cell>
          <cell r="V6452" t="str">
            <v>antonym</v>
          </cell>
          <cell r="Y6452" t="str">
            <v>Past</v>
          </cell>
          <cell r="Z6452">
            <v>3.36</v>
          </cell>
          <cell r="AA6452">
            <v>0</v>
          </cell>
          <cell r="AB6452">
            <v>0</v>
          </cell>
        </row>
        <row r="6453">
          <cell r="G6453" t="str">
            <v>X2496_1</v>
          </cell>
          <cell r="H6453" t="str">
            <v>as-as</v>
          </cell>
          <cell r="I6453" t="str">
            <v>sim</v>
          </cell>
          <cell r="V6453" t="str">
            <v>antonym</v>
          </cell>
          <cell r="Y6453" t="str">
            <v>Past</v>
          </cell>
          <cell r="Z6453">
            <v>3.36</v>
          </cell>
          <cell r="AA6453">
            <v>0</v>
          </cell>
          <cell r="AB6453">
            <v>0</v>
          </cell>
        </row>
        <row r="6454">
          <cell r="G6454" t="str">
            <v>X2497_0</v>
          </cell>
          <cell r="H6454" t="str">
            <v>as-as</v>
          </cell>
          <cell r="I6454" t="str">
            <v>sim</v>
          </cell>
          <cell r="V6454" t="str">
            <v>not</v>
          </cell>
          <cell r="Y6454" t="str">
            <v>Past</v>
          </cell>
          <cell r="Z6454">
            <v>4.59</v>
          </cell>
          <cell r="AA6454">
            <v>0</v>
          </cell>
          <cell r="AB6454">
            <v>0</v>
          </cell>
        </row>
        <row r="6455">
          <cell r="G6455" t="str">
            <v>X2497_1</v>
          </cell>
          <cell r="H6455" t="str">
            <v>as-as</v>
          </cell>
          <cell r="I6455" t="str">
            <v>sim</v>
          </cell>
          <cell r="V6455" t="str">
            <v>not</v>
          </cell>
          <cell r="Y6455" t="str">
            <v>Past</v>
          </cell>
          <cell r="Z6455">
            <v>4.59</v>
          </cell>
          <cell r="AA6455">
            <v>0</v>
          </cell>
          <cell r="AB6455">
            <v>0</v>
          </cell>
        </row>
        <row r="6456">
          <cell r="G6456" t="str">
            <v>X2498_0</v>
          </cell>
          <cell r="H6456" t="str">
            <v>the-of</v>
          </cell>
          <cell r="I6456" t="str">
            <v>sim</v>
          </cell>
          <cell r="V6456" t="str">
            <v>not</v>
          </cell>
          <cell r="Y6456" t="str">
            <v>Pres</v>
          </cell>
          <cell r="Z6456">
            <v>4.0999999999999996</v>
          </cell>
          <cell r="AA6456">
            <v>0</v>
          </cell>
          <cell r="AB6456">
            <v>0</v>
          </cell>
        </row>
        <row r="6457">
          <cell r="G6457" t="str">
            <v>X2498_1</v>
          </cell>
          <cell r="H6457" t="str">
            <v>the-of</v>
          </cell>
          <cell r="I6457" t="str">
            <v>sim</v>
          </cell>
          <cell r="V6457" t="str">
            <v>not</v>
          </cell>
          <cell r="Y6457" t="str">
            <v>Pres</v>
          </cell>
          <cell r="Z6457">
            <v>4.0999999999999996</v>
          </cell>
          <cell r="AA6457">
            <v>0</v>
          </cell>
          <cell r="AB6457">
            <v>0</v>
          </cell>
        </row>
        <row r="6458">
          <cell r="G6458" t="str">
            <v>X2499_0</v>
          </cell>
          <cell r="H6458" t="str">
            <v>like</v>
          </cell>
          <cell r="I6458" t="str">
            <v>sim</v>
          </cell>
          <cell r="V6458" t="str">
            <v>not neg pair</v>
          </cell>
          <cell r="Y6458" t="str">
            <v>Pres</v>
          </cell>
          <cell r="Z6458">
            <v>3.82</v>
          </cell>
          <cell r="AA6458">
            <v>0</v>
          </cell>
          <cell r="AB6458">
            <v>0</v>
          </cell>
        </row>
        <row r="6459">
          <cell r="G6459" t="str">
            <v>X2499_1</v>
          </cell>
          <cell r="H6459" t="str">
            <v>like</v>
          </cell>
          <cell r="I6459" t="str">
            <v>sim</v>
          </cell>
          <cell r="V6459" t="str">
            <v>not neg pair</v>
          </cell>
          <cell r="Y6459" t="str">
            <v>Pres</v>
          </cell>
          <cell r="Z6459">
            <v>3.82</v>
          </cell>
          <cell r="AA6459">
            <v>0</v>
          </cell>
          <cell r="AB6459">
            <v>0</v>
          </cell>
        </row>
        <row r="6460">
          <cell r="G6460" t="str">
            <v>X2500_0</v>
          </cell>
          <cell r="H6460" t="str">
            <v>the-of</v>
          </cell>
          <cell r="I6460" t="str">
            <v>sim</v>
          </cell>
          <cell r="V6460" t="str">
            <v>not neg pair</v>
          </cell>
          <cell r="Y6460" t="str">
            <v>Pres</v>
          </cell>
          <cell r="Z6460">
            <v>4.9000000000000004</v>
          </cell>
          <cell r="AA6460">
            <v>0</v>
          </cell>
          <cell r="AB6460">
            <v>0</v>
          </cell>
        </row>
        <row r="6461">
          <cell r="G6461" t="str">
            <v>X2500_1</v>
          </cell>
          <cell r="H6461" t="str">
            <v>the-of</v>
          </cell>
          <cell r="I6461" t="str">
            <v>sim</v>
          </cell>
          <cell r="V6461" t="str">
            <v>not neg pair</v>
          </cell>
          <cell r="Y6461" t="str">
            <v>Pres</v>
          </cell>
          <cell r="Z6461">
            <v>4.9000000000000004</v>
          </cell>
          <cell r="AA6461">
            <v>0</v>
          </cell>
          <cell r="AB6461">
            <v>0</v>
          </cell>
        </row>
        <row r="6462">
          <cell r="G6462" t="str">
            <v>X2501_0</v>
          </cell>
          <cell r="H6462" t="str">
            <v>as-as</v>
          </cell>
          <cell r="I6462" t="str">
            <v>sim</v>
          </cell>
          <cell r="V6462" t="str">
            <v>antonym</v>
          </cell>
          <cell r="Y6462" t="str">
            <v>Past</v>
          </cell>
          <cell r="Z6462">
            <v>4.83</v>
          </cell>
          <cell r="AA6462">
            <v>0</v>
          </cell>
          <cell r="AB6462">
            <v>0</v>
          </cell>
        </row>
        <row r="6463">
          <cell r="G6463" t="str">
            <v>X2501_1</v>
          </cell>
          <cell r="H6463" t="str">
            <v>as-as</v>
          </cell>
          <cell r="I6463" t="str">
            <v>sim</v>
          </cell>
          <cell r="V6463" t="str">
            <v>antonym</v>
          </cell>
          <cell r="Y6463" t="str">
            <v>Past</v>
          </cell>
          <cell r="Z6463">
            <v>4.83</v>
          </cell>
          <cell r="AA6463">
            <v>0</v>
          </cell>
          <cell r="AB6463">
            <v>0</v>
          </cell>
        </row>
        <row r="6464">
          <cell r="G6464" t="str">
            <v>X2502_0</v>
          </cell>
          <cell r="H6464" t="str">
            <v>as-as</v>
          </cell>
          <cell r="I6464" t="str">
            <v>sim</v>
          </cell>
          <cell r="V6464" t="str">
            <v>antonym</v>
          </cell>
          <cell r="Y6464" t="str">
            <v>Pres</v>
          </cell>
          <cell r="Z6464">
            <v>2.85</v>
          </cell>
          <cell r="AA6464">
            <v>0</v>
          </cell>
          <cell r="AB6464">
            <v>0</v>
          </cell>
        </row>
        <row r="6465">
          <cell r="G6465" t="str">
            <v>X2502_1</v>
          </cell>
          <cell r="H6465" t="str">
            <v>as-as</v>
          </cell>
          <cell r="I6465" t="str">
            <v>sim</v>
          </cell>
          <cell r="V6465" t="str">
            <v>antonym</v>
          </cell>
          <cell r="Y6465" t="str">
            <v>Pres</v>
          </cell>
          <cell r="Z6465">
            <v>2.85</v>
          </cell>
          <cell r="AA6465">
            <v>0</v>
          </cell>
          <cell r="AB6465">
            <v>0</v>
          </cell>
        </row>
        <row r="6466">
          <cell r="G6466" t="str">
            <v>X2503_0</v>
          </cell>
          <cell r="H6466" t="str">
            <v>as-as</v>
          </cell>
          <cell r="I6466" t="str">
            <v>sim</v>
          </cell>
          <cell r="V6466" t="str">
            <v>not</v>
          </cell>
          <cell r="Y6466" t="str">
            <v>Pres</v>
          </cell>
          <cell r="Z6466">
            <v>4.1100000000000003</v>
          </cell>
          <cell r="AA6466">
            <v>0</v>
          </cell>
          <cell r="AB6466">
            <v>0</v>
          </cell>
        </row>
        <row r="6467">
          <cell r="G6467" t="str">
            <v>X2503_1</v>
          </cell>
          <cell r="H6467" t="str">
            <v>as-as</v>
          </cell>
          <cell r="I6467" t="str">
            <v>sim</v>
          </cell>
          <cell r="V6467" t="str">
            <v>not</v>
          </cell>
          <cell r="Y6467" t="str">
            <v>Pres</v>
          </cell>
          <cell r="Z6467">
            <v>4.1100000000000003</v>
          </cell>
          <cell r="AA6467">
            <v>0</v>
          </cell>
          <cell r="AB6467">
            <v>0</v>
          </cell>
        </row>
        <row r="6468">
          <cell r="G6468" t="str">
            <v>X2504_0</v>
          </cell>
          <cell r="H6468" t="str">
            <v>as-as</v>
          </cell>
          <cell r="I6468" t="str">
            <v>sim</v>
          </cell>
          <cell r="V6468" t="str">
            <v>antonym</v>
          </cell>
          <cell r="Y6468" t="str">
            <v>Pres</v>
          </cell>
          <cell r="Z6468">
            <v>2.81</v>
          </cell>
          <cell r="AA6468">
            <v>0</v>
          </cell>
          <cell r="AB6468">
            <v>0</v>
          </cell>
        </row>
        <row r="6469">
          <cell r="G6469" t="str">
            <v>X2504_1</v>
          </cell>
          <cell r="H6469" t="str">
            <v>as-as</v>
          </cell>
          <cell r="I6469" t="str">
            <v>sim</v>
          </cell>
          <cell r="V6469" t="str">
            <v>antonym</v>
          </cell>
          <cell r="Y6469" t="str">
            <v>Pres</v>
          </cell>
          <cell r="Z6469">
            <v>2.81</v>
          </cell>
          <cell r="AA6469">
            <v>0</v>
          </cell>
          <cell r="AB6469">
            <v>0</v>
          </cell>
        </row>
        <row r="6470">
          <cell r="G6470" t="str">
            <v>X2505_0</v>
          </cell>
          <cell r="H6470" t="str">
            <v>the-of</v>
          </cell>
          <cell r="I6470" t="str">
            <v>sim</v>
          </cell>
          <cell r="V6470" t="str">
            <v>not</v>
          </cell>
          <cell r="Y6470" t="str">
            <v>Pres</v>
          </cell>
          <cell r="Z6470">
            <v>4.72</v>
          </cell>
          <cell r="AA6470">
            <v>0</v>
          </cell>
          <cell r="AB6470">
            <v>0</v>
          </cell>
        </row>
        <row r="6471">
          <cell r="G6471" t="str">
            <v>X2505_1</v>
          </cell>
          <cell r="H6471" t="str">
            <v>the-of</v>
          </cell>
          <cell r="I6471" t="str">
            <v>sim</v>
          </cell>
          <cell r="V6471" t="str">
            <v>not</v>
          </cell>
          <cell r="Y6471" t="str">
            <v>Pres</v>
          </cell>
          <cell r="Z6471">
            <v>4.72</v>
          </cell>
          <cell r="AA6471">
            <v>0</v>
          </cell>
          <cell r="AB6471">
            <v>0</v>
          </cell>
        </row>
        <row r="6472">
          <cell r="G6472" t="str">
            <v>X2506_0</v>
          </cell>
          <cell r="H6472" t="str">
            <v>the-of</v>
          </cell>
          <cell r="I6472" t="str">
            <v>sim</v>
          </cell>
          <cell r="V6472" t="str">
            <v>not neg pair</v>
          </cell>
          <cell r="Y6472" t="str">
            <v>Pres</v>
          </cell>
          <cell r="Z6472">
            <v>3.97</v>
          </cell>
          <cell r="AA6472">
            <v>0</v>
          </cell>
          <cell r="AB6472">
            <v>0</v>
          </cell>
        </row>
        <row r="6473">
          <cell r="G6473" t="str">
            <v>X2506_1</v>
          </cell>
          <cell r="H6473" t="str">
            <v>the-of</v>
          </cell>
          <cell r="I6473" t="str">
            <v>sim</v>
          </cell>
          <cell r="V6473" t="str">
            <v>not neg pair</v>
          </cell>
          <cell r="Y6473" t="str">
            <v>Pres</v>
          </cell>
          <cell r="Z6473">
            <v>2.92</v>
          </cell>
          <cell r="AA6473">
            <v>0</v>
          </cell>
          <cell r="AB6473">
            <v>0</v>
          </cell>
        </row>
        <row r="6474">
          <cell r="G6474" t="str">
            <v>X2507_0</v>
          </cell>
          <cell r="H6474" t="str">
            <v>the-of</v>
          </cell>
          <cell r="I6474" t="str">
            <v>sim</v>
          </cell>
          <cell r="V6474" t="str">
            <v>not neg pair</v>
          </cell>
          <cell r="Y6474" t="str">
            <v>Past</v>
          </cell>
          <cell r="Z6474">
            <v>3.41</v>
          </cell>
          <cell r="AA6474">
            <v>0</v>
          </cell>
          <cell r="AB6474">
            <v>0</v>
          </cell>
        </row>
        <row r="6475">
          <cell r="G6475" t="str">
            <v>X2507_1</v>
          </cell>
          <cell r="H6475" t="str">
            <v>the-of</v>
          </cell>
          <cell r="I6475" t="str">
            <v>sim</v>
          </cell>
          <cell r="V6475" t="str">
            <v>not neg pair</v>
          </cell>
          <cell r="Y6475" t="str">
            <v>Past</v>
          </cell>
          <cell r="Z6475">
            <v>3.41</v>
          </cell>
          <cell r="AA6475">
            <v>0</v>
          </cell>
          <cell r="AB6475">
            <v>0</v>
          </cell>
        </row>
        <row r="6476">
          <cell r="G6476" t="str">
            <v>X2508_0</v>
          </cell>
          <cell r="H6476" t="str">
            <v>the-of</v>
          </cell>
          <cell r="I6476" t="str">
            <v>sim</v>
          </cell>
          <cell r="V6476" t="str">
            <v>not</v>
          </cell>
          <cell r="Y6476" t="str">
            <v>Past</v>
          </cell>
          <cell r="Z6476">
            <v>2.93</v>
          </cell>
          <cell r="AA6476">
            <v>0</v>
          </cell>
          <cell r="AB6476">
            <v>0</v>
          </cell>
        </row>
        <row r="6477">
          <cell r="G6477" t="str">
            <v>X2508_1</v>
          </cell>
          <cell r="H6477" t="str">
            <v>the-of</v>
          </cell>
          <cell r="I6477" t="str">
            <v>sim</v>
          </cell>
          <cell r="V6477" t="str">
            <v>not</v>
          </cell>
          <cell r="Y6477" t="str">
            <v>Past</v>
          </cell>
          <cell r="Z6477">
            <v>0</v>
          </cell>
          <cell r="AA6477">
            <v>0</v>
          </cell>
          <cell r="AB6477">
            <v>0</v>
          </cell>
        </row>
        <row r="6478">
          <cell r="G6478" t="str">
            <v>X2509_0</v>
          </cell>
          <cell r="H6478" t="str">
            <v/>
          </cell>
          <cell r="I6478" t="str">
            <v>met</v>
          </cell>
          <cell r="V6478" t="str">
            <v>0</v>
          </cell>
          <cell r="Y6478" t="str">
            <v>Past</v>
          </cell>
          <cell r="Z6478">
            <v>4.8499999999999996</v>
          </cell>
          <cell r="AA6478">
            <v>0</v>
          </cell>
          <cell r="AB6478">
            <v>0</v>
          </cell>
        </row>
        <row r="6479">
          <cell r="G6479" t="str">
            <v>X2509_1</v>
          </cell>
          <cell r="H6479" t="str">
            <v/>
          </cell>
          <cell r="I6479" t="str">
            <v>met</v>
          </cell>
          <cell r="V6479" t="str">
            <v>0</v>
          </cell>
          <cell r="Y6479" t="str">
            <v>Past</v>
          </cell>
          <cell r="Z6479">
            <v>4.8499999999999996</v>
          </cell>
          <cell r="AA6479">
            <v>0</v>
          </cell>
          <cell r="AB6479">
            <v>0</v>
          </cell>
        </row>
        <row r="6480">
          <cell r="G6480" t="str">
            <v>X2510_0</v>
          </cell>
          <cell r="H6480" t="str">
            <v/>
          </cell>
          <cell r="I6480" t="str">
            <v>met</v>
          </cell>
          <cell r="V6480" t="str">
            <v>0</v>
          </cell>
          <cell r="Y6480" t="str">
            <v>Pres</v>
          </cell>
          <cell r="Z6480">
            <v>2.0699999999999998</v>
          </cell>
          <cell r="AA6480" t="str">
            <v>L</v>
          </cell>
          <cell r="AB6480">
            <v>0</v>
          </cell>
        </row>
        <row r="6481">
          <cell r="G6481" t="str">
            <v>X2510_1</v>
          </cell>
          <cell r="H6481" t="str">
            <v/>
          </cell>
          <cell r="I6481" t="str">
            <v>met</v>
          </cell>
          <cell r="V6481" t="str">
            <v>0</v>
          </cell>
          <cell r="Y6481" t="str">
            <v>Past</v>
          </cell>
          <cell r="Z6481">
            <v>2.0699999999999998</v>
          </cell>
          <cell r="AA6481" t="str">
            <v>L</v>
          </cell>
          <cell r="AB6481">
            <v>0</v>
          </cell>
        </row>
        <row r="6482">
          <cell r="G6482" t="str">
            <v>X2511_0</v>
          </cell>
          <cell r="H6482" t="str">
            <v>as-as</v>
          </cell>
          <cell r="I6482" t="str">
            <v>sim</v>
          </cell>
          <cell r="V6482" t="str">
            <v>antonym</v>
          </cell>
          <cell r="Y6482" t="str">
            <v>Past</v>
          </cell>
          <cell r="Z6482">
            <v>4.1100000000000003</v>
          </cell>
          <cell r="AA6482">
            <v>0</v>
          </cell>
          <cell r="AB6482">
            <v>0</v>
          </cell>
        </row>
        <row r="6483">
          <cell r="G6483" t="str">
            <v>X2511_1</v>
          </cell>
          <cell r="H6483" t="str">
            <v>as-as</v>
          </cell>
          <cell r="I6483" t="str">
            <v>sim</v>
          </cell>
          <cell r="V6483" t="str">
            <v>antonym</v>
          </cell>
          <cell r="Y6483" t="str">
            <v>Past</v>
          </cell>
          <cell r="Z6483">
            <v>4.1100000000000003</v>
          </cell>
          <cell r="AA6483">
            <v>0</v>
          </cell>
          <cell r="AB6483">
            <v>0</v>
          </cell>
        </row>
        <row r="6484">
          <cell r="G6484" t="str">
            <v>X2512_0</v>
          </cell>
          <cell r="H6484" t="str">
            <v>as-as</v>
          </cell>
          <cell r="I6484" t="str">
            <v>sim</v>
          </cell>
          <cell r="V6484" t="str">
            <v>not neg pair</v>
          </cell>
          <cell r="Y6484" t="str">
            <v>Pres</v>
          </cell>
          <cell r="Z6484">
            <v>3.93</v>
          </cell>
          <cell r="AA6484">
            <v>0</v>
          </cell>
          <cell r="AB6484">
            <v>0</v>
          </cell>
        </row>
        <row r="6485">
          <cell r="G6485" t="str">
            <v>X2512_1</v>
          </cell>
          <cell r="H6485" t="str">
            <v>as-as</v>
          </cell>
          <cell r="I6485" t="str">
            <v>sim</v>
          </cell>
          <cell r="V6485" t="str">
            <v>not neg pair</v>
          </cell>
          <cell r="Y6485" t="str">
            <v>Pres</v>
          </cell>
          <cell r="Z6485">
            <v>3.93</v>
          </cell>
          <cell r="AA6485">
            <v>0</v>
          </cell>
          <cell r="AB6485">
            <v>0</v>
          </cell>
        </row>
        <row r="6486">
          <cell r="G6486" t="str">
            <v>X2513_0</v>
          </cell>
          <cell r="H6486" t="str">
            <v>as-as</v>
          </cell>
          <cell r="I6486" t="str">
            <v>sim</v>
          </cell>
          <cell r="V6486" t="str">
            <v>not</v>
          </cell>
          <cell r="Y6486" t="str">
            <v>Past</v>
          </cell>
          <cell r="Z6486">
            <v>3.21</v>
          </cell>
          <cell r="AA6486">
            <v>0</v>
          </cell>
          <cell r="AB6486">
            <v>0</v>
          </cell>
        </row>
        <row r="6487">
          <cell r="G6487" t="str">
            <v>X2513_1</v>
          </cell>
          <cell r="H6487" t="str">
            <v>as-as</v>
          </cell>
          <cell r="I6487" t="str">
            <v>sim</v>
          </cell>
          <cell r="V6487" t="str">
            <v>not</v>
          </cell>
          <cell r="Y6487" t="str">
            <v>Past</v>
          </cell>
          <cell r="Z6487">
            <v>3.21</v>
          </cell>
          <cell r="AA6487">
            <v>0</v>
          </cell>
          <cell r="AB6487">
            <v>0</v>
          </cell>
        </row>
        <row r="6488">
          <cell r="G6488" t="str">
            <v>X2514_0</v>
          </cell>
          <cell r="H6488" t="str">
            <v>as-as</v>
          </cell>
          <cell r="I6488" t="str">
            <v>sim</v>
          </cell>
          <cell r="V6488" t="str">
            <v>not</v>
          </cell>
          <cell r="Y6488" t="str">
            <v>Pres</v>
          </cell>
          <cell r="Z6488">
            <v>4.76</v>
          </cell>
          <cell r="AA6488">
            <v>0</v>
          </cell>
          <cell r="AB6488">
            <v>0</v>
          </cell>
        </row>
        <row r="6489">
          <cell r="G6489" t="str">
            <v>X2514_1</v>
          </cell>
          <cell r="H6489" t="str">
            <v>as-as</v>
          </cell>
          <cell r="I6489" t="str">
            <v>sim</v>
          </cell>
          <cell r="V6489" t="str">
            <v>not</v>
          </cell>
          <cell r="Y6489" t="str">
            <v>Pres</v>
          </cell>
          <cell r="Z6489">
            <v>4.76</v>
          </cell>
          <cell r="AA6489">
            <v>0</v>
          </cell>
          <cell r="AB6489">
            <v>0</v>
          </cell>
        </row>
        <row r="6490">
          <cell r="G6490" t="str">
            <v>X2515_0</v>
          </cell>
          <cell r="H6490" t="str">
            <v>as-as</v>
          </cell>
          <cell r="I6490" t="str">
            <v>sim</v>
          </cell>
          <cell r="V6490" t="str">
            <v>not</v>
          </cell>
          <cell r="Y6490" t="str">
            <v>Pres</v>
          </cell>
          <cell r="Z6490">
            <v>4.78</v>
          </cell>
          <cell r="AA6490">
            <v>0</v>
          </cell>
          <cell r="AB6490">
            <v>0</v>
          </cell>
        </row>
        <row r="6491">
          <cell r="G6491" t="str">
            <v>X2515_1</v>
          </cell>
          <cell r="H6491" t="str">
            <v>as-as</v>
          </cell>
          <cell r="I6491" t="str">
            <v>sim</v>
          </cell>
          <cell r="V6491" t="str">
            <v>not</v>
          </cell>
          <cell r="Y6491" t="str">
            <v>Pres</v>
          </cell>
          <cell r="Z6491">
            <v>4.78</v>
          </cell>
          <cell r="AA6491">
            <v>0</v>
          </cell>
          <cell r="AB6491">
            <v>0</v>
          </cell>
        </row>
        <row r="6492">
          <cell r="G6492" t="str">
            <v>X2516_0</v>
          </cell>
          <cell r="H6492" t="str">
            <v>as-as</v>
          </cell>
          <cell r="I6492" t="str">
            <v>sim</v>
          </cell>
          <cell r="V6492" t="str">
            <v>not</v>
          </cell>
          <cell r="Y6492" t="str">
            <v>Pres</v>
          </cell>
          <cell r="Z6492">
            <v>4.8499999999999996</v>
          </cell>
          <cell r="AA6492">
            <v>0</v>
          </cell>
          <cell r="AB6492">
            <v>0</v>
          </cell>
        </row>
        <row r="6493">
          <cell r="G6493" t="str">
            <v>X2516_1</v>
          </cell>
          <cell r="H6493" t="str">
            <v>as-as</v>
          </cell>
          <cell r="I6493" t="str">
            <v>sim</v>
          </cell>
          <cell r="V6493" t="str">
            <v>not</v>
          </cell>
          <cell r="Y6493" t="str">
            <v>Pres</v>
          </cell>
          <cell r="Z6493">
            <v>4.8499999999999996</v>
          </cell>
          <cell r="AA6493">
            <v>0</v>
          </cell>
          <cell r="AB6493">
            <v>0</v>
          </cell>
        </row>
        <row r="6494">
          <cell r="G6494" t="str">
            <v>X2517_0</v>
          </cell>
          <cell r="H6494" t="str">
            <v>the-of</v>
          </cell>
          <cell r="I6494" t="str">
            <v>sim</v>
          </cell>
          <cell r="V6494" t="str">
            <v>not</v>
          </cell>
          <cell r="Y6494" t="str">
            <v>Pres</v>
          </cell>
          <cell r="Z6494">
            <v>4.72</v>
          </cell>
          <cell r="AA6494">
            <v>0</v>
          </cell>
          <cell r="AB6494">
            <v>0</v>
          </cell>
        </row>
        <row r="6495">
          <cell r="G6495" t="str">
            <v>X2517_1</v>
          </cell>
          <cell r="H6495" t="str">
            <v>the-of</v>
          </cell>
          <cell r="I6495" t="str">
            <v>sim</v>
          </cell>
          <cell r="V6495" t="str">
            <v>not</v>
          </cell>
          <cell r="Y6495" t="str">
            <v>Pres</v>
          </cell>
          <cell r="Z6495">
            <v>4.72</v>
          </cell>
          <cell r="AA6495">
            <v>0</v>
          </cell>
          <cell r="AB6495">
            <v>0</v>
          </cell>
        </row>
        <row r="6496">
          <cell r="G6496" t="str">
            <v>X2518_0</v>
          </cell>
          <cell r="H6496" t="str">
            <v>the-of</v>
          </cell>
          <cell r="I6496" t="str">
            <v>sim</v>
          </cell>
          <cell r="V6496" t="str">
            <v>not</v>
          </cell>
          <cell r="Y6496" t="str">
            <v>Pres</v>
          </cell>
          <cell r="Z6496">
            <v>5</v>
          </cell>
          <cell r="AA6496" t="str">
            <v>H</v>
          </cell>
          <cell r="AB6496">
            <v>0</v>
          </cell>
        </row>
        <row r="6497">
          <cell r="G6497" t="str">
            <v>X2518_1</v>
          </cell>
          <cell r="H6497" t="str">
            <v>the-of</v>
          </cell>
          <cell r="I6497" t="str">
            <v>sim</v>
          </cell>
          <cell r="V6497" t="str">
            <v>not</v>
          </cell>
          <cell r="Y6497" t="str">
            <v>Pres</v>
          </cell>
          <cell r="Z6497">
            <v>5</v>
          </cell>
          <cell r="AA6497" t="str">
            <v>H</v>
          </cell>
          <cell r="AB6497">
            <v>0</v>
          </cell>
        </row>
        <row r="6498">
          <cell r="G6498" t="str">
            <v>X2519_0</v>
          </cell>
          <cell r="H6498" t="str">
            <v>the-of</v>
          </cell>
          <cell r="I6498" t="str">
            <v>sim</v>
          </cell>
          <cell r="V6498" t="str">
            <v>not neg pair</v>
          </cell>
          <cell r="Y6498" t="str">
            <v>Pres</v>
          </cell>
          <cell r="Z6498">
            <v>5</v>
          </cell>
          <cell r="AA6498" t="str">
            <v>H</v>
          </cell>
          <cell r="AB6498">
            <v>0</v>
          </cell>
        </row>
        <row r="6499">
          <cell r="G6499" t="str">
            <v>X2519_1</v>
          </cell>
          <cell r="H6499" t="str">
            <v>the-of</v>
          </cell>
          <cell r="I6499" t="str">
            <v>sim</v>
          </cell>
          <cell r="V6499" t="str">
            <v>not neg pair</v>
          </cell>
          <cell r="Y6499" t="str">
            <v>Pres</v>
          </cell>
          <cell r="Z6499">
            <v>5</v>
          </cell>
          <cell r="AA6499" t="str">
            <v>H</v>
          </cell>
          <cell r="AB6499">
            <v>0</v>
          </cell>
        </row>
        <row r="6500">
          <cell r="G6500" t="str">
            <v>X2520_0</v>
          </cell>
          <cell r="H6500" t="str">
            <v>as-as</v>
          </cell>
          <cell r="I6500" t="str">
            <v>sim</v>
          </cell>
          <cell r="V6500" t="str">
            <v>not neg pair</v>
          </cell>
          <cell r="Y6500" t="str">
            <v>Past</v>
          </cell>
          <cell r="Z6500">
            <v>2.81</v>
          </cell>
          <cell r="AA6500">
            <v>0</v>
          </cell>
          <cell r="AB6500">
            <v>0</v>
          </cell>
        </row>
        <row r="6501">
          <cell r="G6501" t="str">
            <v>X2520_1</v>
          </cell>
          <cell r="H6501" t="str">
            <v>as-as</v>
          </cell>
          <cell r="I6501" t="str">
            <v>sim</v>
          </cell>
          <cell r="V6501" t="str">
            <v>not neg pair</v>
          </cell>
          <cell r="Y6501" t="str">
            <v>Past</v>
          </cell>
          <cell r="Z6501">
            <v>2.81</v>
          </cell>
          <cell r="AA6501">
            <v>0</v>
          </cell>
          <cell r="AB6501">
            <v>0</v>
          </cell>
        </row>
        <row r="6502">
          <cell r="G6502" t="str">
            <v>X2521_0</v>
          </cell>
          <cell r="H6502" t="str">
            <v>as-as</v>
          </cell>
          <cell r="I6502" t="str">
            <v>sim</v>
          </cell>
          <cell r="V6502" t="str">
            <v>not neg pair</v>
          </cell>
          <cell r="Y6502" t="str">
            <v>Past</v>
          </cell>
          <cell r="Z6502">
            <v>2.81</v>
          </cell>
          <cell r="AA6502">
            <v>0</v>
          </cell>
          <cell r="AB6502">
            <v>0</v>
          </cell>
        </row>
        <row r="6503">
          <cell r="G6503" t="str">
            <v>X2521_1</v>
          </cell>
          <cell r="H6503" t="str">
            <v>as-as</v>
          </cell>
          <cell r="I6503" t="str">
            <v>sim</v>
          </cell>
          <cell r="V6503" t="str">
            <v>not neg pair</v>
          </cell>
          <cell r="Y6503" t="str">
            <v>Past</v>
          </cell>
          <cell r="Z6503">
            <v>2.81</v>
          </cell>
          <cell r="AA6503">
            <v>0</v>
          </cell>
          <cell r="AB6503">
            <v>0</v>
          </cell>
        </row>
        <row r="6504">
          <cell r="G6504" t="str">
            <v>X2522_0</v>
          </cell>
          <cell r="H6504" t="str">
            <v>as-as</v>
          </cell>
          <cell r="I6504" t="str">
            <v>sim</v>
          </cell>
          <cell r="V6504" t="str">
            <v>not neg pair</v>
          </cell>
          <cell r="Y6504" t="str">
            <v>Past</v>
          </cell>
          <cell r="Z6504">
            <v>3.93</v>
          </cell>
          <cell r="AA6504">
            <v>0</v>
          </cell>
          <cell r="AB6504">
            <v>0</v>
          </cell>
        </row>
        <row r="6505">
          <cell r="G6505" t="str">
            <v>X2522_1</v>
          </cell>
          <cell r="H6505" t="str">
            <v>as-as</v>
          </cell>
          <cell r="I6505" t="str">
            <v>sim</v>
          </cell>
          <cell r="V6505" t="str">
            <v>not neg pair</v>
          </cell>
          <cell r="Y6505" t="str">
            <v>Past</v>
          </cell>
          <cell r="Z6505">
            <v>3.93</v>
          </cell>
          <cell r="AA6505">
            <v>0</v>
          </cell>
          <cell r="AB6505">
            <v>0</v>
          </cell>
        </row>
        <row r="6506">
          <cell r="G6506" t="str">
            <v>X2523_0</v>
          </cell>
          <cell r="H6506" t="str">
            <v>as-as</v>
          </cell>
          <cell r="I6506" t="str">
            <v>sim</v>
          </cell>
          <cell r="V6506" t="str">
            <v>not neg pair</v>
          </cell>
          <cell r="Y6506" t="str">
            <v>Past</v>
          </cell>
          <cell r="Z6506">
            <v>2.81</v>
          </cell>
          <cell r="AA6506">
            <v>0</v>
          </cell>
          <cell r="AB6506">
            <v>0</v>
          </cell>
        </row>
        <row r="6507">
          <cell r="G6507" t="str">
            <v>X2523_1</v>
          </cell>
          <cell r="H6507" t="str">
            <v>as-as</v>
          </cell>
          <cell r="I6507" t="str">
            <v>sim</v>
          </cell>
          <cell r="V6507" t="str">
            <v>not neg pair</v>
          </cell>
          <cell r="Y6507" t="str">
            <v>Past</v>
          </cell>
          <cell r="Z6507">
            <v>2.81</v>
          </cell>
          <cell r="AA6507">
            <v>0</v>
          </cell>
          <cell r="AB6507">
            <v>0</v>
          </cell>
        </row>
        <row r="6508">
          <cell r="G6508" t="str">
            <v>X2524_0</v>
          </cell>
          <cell r="H6508" t="str">
            <v>as-as</v>
          </cell>
          <cell r="I6508" t="str">
            <v>sim</v>
          </cell>
          <cell r="V6508" t="str">
            <v>not neg pair</v>
          </cell>
          <cell r="Y6508" t="str">
            <v>Past</v>
          </cell>
          <cell r="Z6508">
            <v>3.89</v>
          </cell>
          <cell r="AA6508">
            <v>0</v>
          </cell>
          <cell r="AB6508">
            <v>0</v>
          </cell>
        </row>
        <row r="6509">
          <cell r="G6509" t="str">
            <v>X2524_1</v>
          </cell>
          <cell r="H6509" t="str">
            <v>as-as</v>
          </cell>
          <cell r="I6509" t="str">
            <v>sim</v>
          </cell>
          <cell r="V6509" t="str">
            <v>not neg pair</v>
          </cell>
          <cell r="Y6509" t="str">
            <v>Past</v>
          </cell>
          <cell r="Z6509">
            <v>3.89</v>
          </cell>
          <cell r="AA6509">
            <v>0</v>
          </cell>
          <cell r="AB6509">
            <v>0</v>
          </cell>
        </row>
        <row r="6510">
          <cell r="G6510" t="str">
            <v>X2525_0</v>
          </cell>
          <cell r="H6510" t="str">
            <v>like</v>
          </cell>
          <cell r="I6510" t="str">
            <v>sim</v>
          </cell>
          <cell r="V6510" t="str">
            <v>not</v>
          </cell>
          <cell r="Y6510" t="str">
            <v>Past</v>
          </cell>
          <cell r="Z6510">
            <v>3.93</v>
          </cell>
          <cell r="AA6510">
            <v>0</v>
          </cell>
          <cell r="AB6510">
            <v>0</v>
          </cell>
        </row>
        <row r="6511">
          <cell r="G6511" t="str">
            <v>X2525_1</v>
          </cell>
          <cell r="H6511" t="str">
            <v>like</v>
          </cell>
          <cell r="I6511" t="str">
            <v>sim</v>
          </cell>
          <cell r="V6511" t="str">
            <v>not</v>
          </cell>
          <cell r="Y6511" t="str">
            <v>Past</v>
          </cell>
          <cell r="Z6511">
            <v>3.93</v>
          </cell>
          <cell r="AA6511">
            <v>0</v>
          </cell>
          <cell r="AB6511">
            <v>0</v>
          </cell>
        </row>
        <row r="6512">
          <cell r="G6512" t="str">
            <v>X2526_0</v>
          </cell>
          <cell r="H6512" t="str">
            <v>as-as</v>
          </cell>
          <cell r="I6512" t="str">
            <v>sim</v>
          </cell>
          <cell r="V6512" t="str">
            <v>antonym</v>
          </cell>
          <cell r="Y6512">
            <v>0</v>
          </cell>
          <cell r="Z6512">
            <v>3.93</v>
          </cell>
          <cell r="AA6512">
            <v>0</v>
          </cell>
          <cell r="AB6512">
            <v>0</v>
          </cell>
        </row>
        <row r="6513">
          <cell r="G6513" t="str">
            <v>X2526_1</v>
          </cell>
          <cell r="H6513" t="str">
            <v>as-as</v>
          </cell>
          <cell r="I6513" t="str">
            <v>sim</v>
          </cell>
          <cell r="V6513" t="str">
            <v>antonym</v>
          </cell>
          <cell r="Y6513">
            <v>0</v>
          </cell>
          <cell r="Z6513">
            <v>3.93</v>
          </cell>
          <cell r="AA6513">
            <v>0</v>
          </cell>
          <cell r="AB6513">
            <v>0</v>
          </cell>
        </row>
        <row r="6514">
          <cell r="G6514" t="str">
            <v>X2527_0</v>
          </cell>
          <cell r="H6514" t="str">
            <v>the-of</v>
          </cell>
          <cell r="I6514" t="str">
            <v>sim</v>
          </cell>
          <cell r="V6514" t="str">
            <v>not</v>
          </cell>
          <cell r="Y6514" t="str">
            <v>Pres</v>
          </cell>
          <cell r="Z6514">
            <v>4.1100000000000003</v>
          </cell>
          <cell r="AA6514">
            <v>0</v>
          </cell>
          <cell r="AB6514">
            <v>0</v>
          </cell>
        </row>
        <row r="6515">
          <cell r="G6515" t="str">
            <v>X2527_1</v>
          </cell>
          <cell r="H6515" t="str">
            <v>the-of</v>
          </cell>
          <cell r="I6515" t="str">
            <v>sim</v>
          </cell>
          <cell r="V6515" t="str">
            <v>not</v>
          </cell>
          <cell r="Y6515" t="str">
            <v>Pres</v>
          </cell>
          <cell r="Z6515">
            <v>4.1100000000000003</v>
          </cell>
          <cell r="AA6515">
            <v>0</v>
          </cell>
          <cell r="AB6515">
            <v>0</v>
          </cell>
        </row>
        <row r="6516">
          <cell r="G6516" t="str">
            <v>X2528_0</v>
          </cell>
          <cell r="H6516" t="str">
            <v>as-as</v>
          </cell>
          <cell r="I6516" t="str">
            <v>sim</v>
          </cell>
          <cell r="V6516" t="str">
            <v>antonym</v>
          </cell>
          <cell r="Y6516" t="str">
            <v>Pres</v>
          </cell>
          <cell r="Z6516">
            <v>4.8600000000000003</v>
          </cell>
          <cell r="AA6516">
            <v>0</v>
          </cell>
          <cell r="AB6516">
            <v>0</v>
          </cell>
        </row>
        <row r="6517">
          <cell r="G6517" t="str">
            <v>X2528_1</v>
          </cell>
          <cell r="H6517" t="str">
            <v>as-as</v>
          </cell>
          <cell r="I6517" t="str">
            <v>sim</v>
          </cell>
          <cell r="V6517" t="str">
            <v>antonym</v>
          </cell>
          <cell r="Y6517" t="str">
            <v>Pres</v>
          </cell>
          <cell r="Z6517">
            <v>4.8600000000000003</v>
          </cell>
          <cell r="AA6517">
            <v>0</v>
          </cell>
          <cell r="AB6517">
            <v>0</v>
          </cell>
        </row>
        <row r="6518">
          <cell r="G6518" t="str">
            <v>X2529_0</v>
          </cell>
          <cell r="H6518" t="str">
            <v>as-as</v>
          </cell>
          <cell r="I6518" t="str">
            <v>sim</v>
          </cell>
          <cell r="V6518" t="str">
            <v>not neg pair</v>
          </cell>
          <cell r="Y6518" t="str">
            <v>Past</v>
          </cell>
          <cell r="Z6518">
            <v>3.41</v>
          </cell>
          <cell r="AA6518">
            <v>0</v>
          </cell>
          <cell r="AB6518">
            <v>0</v>
          </cell>
        </row>
        <row r="6519">
          <cell r="G6519" t="str">
            <v>X2529_1</v>
          </cell>
          <cell r="H6519" t="str">
            <v>as-as</v>
          </cell>
          <cell r="I6519" t="str">
            <v>sim</v>
          </cell>
          <cell r="V6519" t="str">
            <v>not neg pair</v>
          </cell>
          <cell r="Y6519" t="str">
            <v>Past</v>
          </cell>
          <cell r="Z6519">
            <v>3.41</v>
          </cell>
          <cell r="AA6519">
            <v>0</v>
          </cell>
          <cell r="AB6519">
            <v>0</v>
          </cell>
        </row>
        <row r="6520">
          <cell r="G6520" t="str">
            <v>X2530_0</v>
          </cell>
          <cell r="H6520" t="str">
            <v>as-as</v>
          </cell>
          <cell r="I6520" t="str">
            <v>sim</v>
          </cell>
          <cell r="V6520" t="str">
            <v>not neg pair</v>
          </cell>
          <cell r="Y6520" t="str">
            <v>Past</v>
          </cell>
          <cell r="Z6520">
            <v>4.1500000000000004</v>
          </cell>
          <cell r="AA6520">
            <v>0</v>
          </cell>
          <cell r="AB6520">
            <v>0</v>
          </cell>
        </row>
        <row r="6521">
          <cell r="G6521" t="str">
            <v>X2530_1</v>
          </cell>
          <cell r="H6521" t="str">
            <v>as-as</v>
          </cell>
          <cell r="I6521" t="str">
            <v>sim</v>
          </cell>
          <cell r="V6521" t="str">
            <v>not neg pair</v>
          </cell>
          <cell r="Y6521" t="str">
            <v>Past</v>
          </cell>
          <cell r="Z6521">
            <v>4.1500000000000004</v>
          </cell>
          <cell r="AA6521">
            <v>0</v>
          </cell>
          <cell r="AB6521">
            <v>0</v>
          </cell>
        </row>
        <row r="6522">
          <cell r="G6522" t="str">
            <v>X2531_0</v>
          </cell>
          <cell r="H6522" t="str">
            <v>like</v>
          </cell>
          <cell r="I6522" t="str">
            <v>sim</v>
          </cell>
          <cell r="V6522" t="str">
            <v>not neg pair</v>
          </cell>
          <cell r="Y6522" t="str">
            <v>Past</v>
          </cell>
          <cell r="Z6522">
            <v>3.36</v>
          </cell>
          <cell r="AA6522">
            <v>0</v>
          </cell>
          <cell r="AB6522">
            <v>0</v>
          </cell>
        </row>
        <row r="6523">
          <cell r="G6523" t="str">
            <v>X2531_1</v>
          </cell>
          <cell r="H6523" t="str">
            <v>the-of</v>
          </cell>
          <cell r="I6523" t="str">
            <v>sim</v>
          </cell>
          <cell r="V6523" t="str">
            <v>not neg pair</v>
          </cell>
          <cell r="Y6523" t="str">
            <v>Past</v>
          </cell>
          <cell r="Z6523">
            <v>3.36</v>
          </cell>
          <cell r="AA6523">
            <v>0</v>
          </cell>
          <cell r="AB6523">
            <v>0</v>
          </cell>
        </row>
        <row r="6524">
          <cell r="G6524" t="str">
            <v>X2532_0</v>
          </cell>
          <cell r="H6524" t="str">
            <v>as-as</v>
          </cell>
          <cell r="I6524" t="str">
            <v>sim</v>
          </cell>
          <cell r="V6524" t="str">
            <v>not neg pair</v>
          </cell>
          <cell r="Y6524" t="str">
            <v>Pres</v>
          </cell>
          <cell r="Z6524">
            <v>2.81</v>
          </cell>
          <cell r="AA6524">
            <v>0</v>
          </cell>
          <cell r="AB6524">
            <v>0</v>
          </cell>
        </row>
        <row r="6525">
          <cell r="G6525" t="str">
            <v>X2532_1</v>
          </cell>
          <cell r="H6525" t="str">
            <v>as-as</v>
          </cell>
          <cell r="I6525" t="str">
            <v>sim</v>
          </cell>
          <cell r="V6525" t="str">
            <v>not neg pair</v>
          </cell>
          <cell r="Y6525" t="str">
            <v>Pres</v>
          </cell>
          <cell r="Z6525">
            <v>2.81</v>
          </cell>
          <cell r="AA6525">
            <v>0</v>
          </cell>
          <cell r="AB6525">
            <v>0</v>
          </cell>
        </row>
        <row r="6526">
          <cell r="G6526" t="str">
            <v>X2533_0</v>
          </cell>
          <cell r="H6526" t="str">
            <v>as-as</v>
          </cell>
          <cell r="I6526" t="str">
            <v>sim</v>
          </cell>
          <cell r="V6526" t="str">
            <v>not neg pair</v>
          </cell>
          <cell r="Y6526" t="str">
            <v>Pres</v>
          </cell>
          <cell r="Z6526">
            <v>2.81</v>
          </cell>
          <cell r="AA6526">
            <v>0</v>
          </cell>
          <cell r="AB6526">
            <v>0</v>
          </cell>
        </row>
        <row r="6527">
          <cell r="G6527" t="str">
            <v>X2533_1</v>
          </cell>
          <cell r="H6527" t="str">
            <v>as-as</v>
          </cell>
          <cell r="I6527" t="str">
            <v>sim</v>
          </cell>
          <cell r="V6527" t="str">
            <v>not neg pair</v>
          </cell>
          <cell r="Y6527" t="str">
            <v>Pres</v>
          </cell>
          <cell r="Z6527">
            <v>2.81</v>
          </cell>
          <cell r="AA6527">
            <v>0</v>
          </cell>
          <cell r="AB6527">
            <v>0</v>
          </cell>
        </row>
        <row r="6528">
          <cell r="G6528" t="str">
            <v>X2534_0</v>
          </cell>
          <cell r="H6528" t="str">
            <v>as-as</v>
          </cell>
          <cell r="I6528" t="str">
            <v>sim</v>
          </cell>
          <cell r="V6528" t="str">
            <v>not</v>
          </cell>
          <cell r="Y6528" t="str">
            <v>Past</v>
          </cell>
          <cell r="Z6528">
            <v>3.93</v>
          </cell>
          <cell r="AA6528">
            <v>0</v>
          </cell>
          <cell r="AB6528">
            <v>0</v>
          </cell>
        </row>
        <row r="6529">
          <cell r="G6529" t="str">
            <v>X2534_1</v>
          </cell>
          <cell r="H6529" t="str">
            <v>as-as</v>
          </cell>
          <cell r="I6529" t="str">
            <v>sim</v>
          </cell>
          <cell r="V6529" t="str">
            <v>not</v>
          </cell>
          <cell r="Y6529" t="str">
            <v>Past</v>
          </cell>
          <cell r="Z6529">
            <v>3.93</v>
          </cell>
          <cell r="AA6529">
            <v>0</v>
          </cell>
          <cell r="AB6529">
            <v>0</v>
          </cell>
        </row>
        <row r="6530">
          <cell r="G6530" t="str">
            <v>X2535_0</v>
          </cell>
          <cell r="H6530" t="str">
            <v>as-as</v>
          </cell>
          <cell r="I6530" t="str">
            <v>sim</v>
          </cell>
          <cell r="V6530" t="str">
            <v>not</v>
          </cell>
          <cell r="Y6530" t="str">
            <v>Past</v>
          </cell>
          <cell r="Z6530">
            <v>4.79</v>
          </cell>
          <cell r="AA6530">
            <v>0</v>
          </cell>
          <cell r="AB6530">
            <v>0</v>
          </cell>
        </row>
        <row r="6531">
          <cell r="G6531" t="str">
            <v>X2535_1</v>
          </cell>
          <cell r="H6531" t="str">
            <v>as-as</v>
          </cell>
          <cell r="I6531" t="str">
            <v>sim</v>
          </cell>
          <cell r="V6531" t="str">
            <v>not</v>
          </cell>
          <cell r="Y6531" t="str">
            <v>Past</v>
          </cell>
          <cell r="Z6531">
            <v>4.79</v>
          </cell>
          <cell r="AA6531">
            <v>0</v>
          </cell>
          <cell r="AB6531">
            <v>0</v>
          </cell>
        </row>
        <row r="6532">
          <cell r="G6532" t="str">
            <v>X2536_0</v>
          </cell>
          <cell r="H6532" t="str">
            <v>as</v>
          </cell>
          <cell r="I6532" t="str">
            <v>sim</v>
          </cell>
          <cell r="V6532" t="str">
            <v>not</v>
          </cell>
          <cell r="Y6532" t="str">
            <v>Pres</v>
          </cell>
          <cell r="Z6532">
            <v>2.34</v>
          </cell>
          <cell r="AA6532" t="str">
            <v>L</v>
          </cell>
          <cell r="AB6532">
            <v>0</v>
          </cell>
        </row>
        <row r="6533">
          <cell r="G6533" t="str">
            <v>X2536_1</v>
          </cell>
          <cell r="H6533" t="str">
            <v>as-as</v>
          </cell>
          <cell r="I6533" t="str">
            <v>sim</v>
          </cell>
          <cell r="V6533" t="str">
            <v>not</v>
          </cell>
          <cell r="Y6533" t="str">
            <v>Pres</v>
          </cell>
          <cell r="Z6533">
            <v>3.93</v>
          </cell>
          <cell r="AA6533">
            <v>0</v>
          </cell>
          <cell r="AB6533">
            <v>0</v>
          </cell>
        </row>
        <row r="6534">
          <cell r="G6534" t="str">
            <v>X2537_0</v>
          </cell>
          <cell r="H6534" t="str">
            <v/>
          </cell>
          <cell r="I6534" t="str">
            <v>met</v>
          </cell>
          <cell r="V6534" t="str">
            <v>0</v>
          </cell>
          <cell r="Y6534" t="str">
            <v>Past</v>
          </cell>
          <cell r="Z6534">
            <v>4.79</v>
          </cell>
          <cell r="AA6534">
            <v>0</v>
          </cell>
          <cell r="AB6534">
            <v>0</v>
          </cell>
        </row>
        <row r="6535">
          <cell r="G6535" t="str">
            <v>X2537_1</v>
          </cell>
          <cell r="H6535" t="str">
            <v/>
          </cell>
          <cell r="I6535" t="str">
            <v>met</v>
          </cell>
          <cell r="V6535" t="str">
            <v>0</v>
          </cell>
          <cell r="Y6535" t="str">
            <v>Past</v>
          </cell>
          <cell r="Z6535">
            <v>4.79</v>
          </cell>
          <cell r="AA6535">
            <v>0</v>
          </cell>
          <cell r="AB6535">
            <v>0</v>
          </cell>
        </row>
        <row r="6536">
          <cell r="G6536" t="str">
            <v>X2538_0</v>
          </cell>
          <cell r="H6536" t="str">
            <v>as-as</v>
          </cell>
          <cell r="I6536" t="str">
            <v>sim</v>
          </cell>
          <cell r="V6536" t="str">
            <v>antonym</v>
          </cell>
          <cell r="Y6536" t="str">
            <v>Pres</v>
          </cell>
          <cell r="Z6536">
            <v>4.62</v>
          </cell>
          <cell r="AA6536">
            <v>0</v>
          </cell>
          <cell r="AB6536">
            <v>0</v>
          </cell>
        </row>
        <row r="6537">
          <cell r="G6537" t="str">
            <v>X2538_1</v>
          </cell>
          <cell r="H6537" t="str">
            <v>as-as</v>
          </cell>
          <cell r="I6537" t="str">
            <v>sim</v>
          </cell>
          <cell r="V6537" t="str">
            <v>antonym</v>
          </cell>
          <cell r="Y6537" t="str">
            <v>Pres</v>
          </cell>
          <cell r="Z6537">
            <v>4.62</v>
          </cell>
          <cell r="AA6537">
            <v>0</v>
          </cell>
          <cell r="AB6537">
            <v>0</v>
          </cell>
        </row>
        <row r="6538">
          <cell r="G6538" t="str">
            <v>X2539_0</v>
          </cell>
          <cell r="H6538" t="str">
            <v>as-as</v>
          </cell>
          <cell r="I6538" t="str">
            <v>sim</v>
          </cell>
          <cell r="V6538" t="str">
            <v>not</v>
          </cell>
          <cell r="Y6538" t="str">
            <v>Past</v>
          </cell>
          <cell r="Z6538">
            <v>2.93</v>
          </cell>
          <cell r="AA6538">
            <v>0</v>
          </cell>
          <cell r="AB6538">
            <v>0</v>
          </cell>
        </row>
        <row r="6539">
          <cell r="G6539" t="str">
            <v>X2539_1</v>
          </cell>
          <cell r="H6539" t="str">
            <v>as-as</v>
          </cell>
          <cell r="I6539" t="str">
            <v>sim</v>
          </cell>
          <cell r="V6539" t="str">
            <v>not</v>
          </cell>
          <cell r="Y6539" t="str">
            <v>Past</v>
          </cell>
          <cell r="Z6539">
            <v>2.93</v>
          </cell>
          <cell r="AA6539">
            <v>0</v>
          </cell>
          <cell r="AB6539">
            <v>0</v>
          </cell>
        </row>
        <row r="6540">
          <cell r="G6540" t="str">
            <v>X2540_0</v>
          </cell>
          <cell r="H6540" t="str">
            <v>like</v>
          </cell>
          <cell r="I6540" t="str">
            <v>sim</v>
          </cell>
          <cell r="V6540" t="str">
            <v>not</v>
          </cell>
          <cell r="Y6540" t="str">
            <v>Pres</v>
          </cell>
          <cell r="Z6540">
            <v>5</v>
          </cell>
          <cell r="AA6540" t="str">
            <v>H</v>
          </cell>
          <cell r="AB6540">
            <v>0</v>
          </cell>
        </row>
        <row r="6541">
          <cell r="G6541" t="str">
            <v>X2540_1</v>
          </cell>
          <cell r="H6541" t="str">
            <v>like</v>
          </cell>
          <cell r="I6541" t="str">
            <v>sim</v>
          </cell>
          <cell r="V6541" t="str">
            <v>not</v>
          </cell>
          <cell r="Y6541" t="str">
            <v>Pres</v>
          </cell>
          <cell r="Z6541">
            <v>5</v>
          </cell>
          <cell r="AA6541" t="str">
            <v>H</v>
          </cell>
          <cell r="AB6541">
            <v>0</v>
          </cell>
        </row>
        <row r="6542">
          <cell r="G6542" t="str">
            <v>X2541_0</v>
          </cell>
          <cell r="H6542" t="str">
            <v>like</v>
          </cell>
          <cell r="I6542" t="str">
            <v>sim</v>
          </cell>
          <cell r="V6542" t="str">
            <v>not neg pair</v>
          </cell>
          <cell r="Y6542" t="str">
            <v>Pres</v>
          </cell>
          <cell r="Z6542">
            <v>4.79</v>
          </cell>
          <cell r="AA6542">
            <v>0</v>
          </cell>
          <cell r="AB6542">
            <v>0</v>
          </cell>
        </row>
        <row r="6543">
          <cell r="G6543" t="str">
            <v>X2541_1</v>
          </cell>
          <cell r="H6543" t="str">
            <v>like</v>
          </cell>
          <cell r="I6543" t="str">
            <v>sim</v>
          </cell>
          <cell r="V6543" t="str">
            <v>not neg pair</v>
          </cell>
          <cell r="Y6543" t="str">
            <v>Pres</v>
          </cell>
          <cell r="Z6543">
            <v>4.79</v>
          </cell>
          <cell r="AA6543">
            <v>0</v>
          </cell>
          <cell r="AB6543">
            <v>0</v>
          </cell>
        </row>
        <row r="6544">
          <cell r="G6544" t="str">
            <v>X2542_0</v>
          </cell>
          <cell r="H6544" t="str">
            <v>like</v>
          </cell>
          <cell r="I6544" t="str">
            <v>sim</v>
          </cell>
          <cell r="V6544" t="str">
            <v>not neg pair</v>
          </cell>
          <cell r="Y6544" t="str">
            <v>Pres</v>
          </cell>
          <cell r="Z6544">
            <v>0</v>
          </cell>
          <cell r="AA6544">
            <v>0</v>
          </cell>
          <cell r="AB6544">
            <v>0</v>
          </cell>
        </row>
        <row r="6545">
          <cell r="G6545" t="str">
            <v>X2542_1</v>
          </cell>
          <cell r="H6545" t="str">
            <v>like</v>
          </cell>
          <cell r="I6545" t="str">
            <v>sim</v>
          </cell>
          <cell r="V6545" t="str">
            <v>not neg pair</v>
          </cell>
          <cell r="Y6545" t="str">
            <v>Pres</v>
          </cell>
          <cell r="Z6545">
            <v>0</v>
          </cell>
          <cell r="AA6545">
            <v>0</v>
          </cell>
          <cell r="AB6545">
            <v>0</v>
          </cell>
        </row>
        <row r="6546">
          <cell r="G6546" t="str">
            <v>X2543_0</v>
          </cell>
          <cell r="H6546" t="str">
            <v>as-as</v>
          </cell>
          <cell r="I6546" t="str">
            <v>sim</v>
          </cell>
          <cell r="V6546" t="str">
            <v>antonym</v>
          </cell>
          <cell r="Y6546" t="str">
            <v>Pres</v>
          </cell>
          <cell r="Z6546">
            <v>4.6399999999999997</v>
          </cell>
          <cell r="AA6546">
            <v>0</v>
          </cell>
          <cell r="AB6546">
            <v>0</v>
          </cell>
        </row>
        <row r="6547">
          <cell r="G6547" t="str">
            <v>X2543_1</v>
          </cell>
          <cell r="H6547" t="str">
            <v>as-as</v>
          </cell>
          <cell r="I6547" t="str">
            <v>sim</v>
          </cell>
          <cell r="V6547" t="str">
            <v>antonym</v>
          </cell>
          <cell r="Y6547" t="str">
            <v>Pres</v>
          </cell>
          <cell r="Z6547">
            <v>4.6399999999999997</v>
          </cell>
          <cell r="AA6547">
            <v>0</v>
          </cell>
          <cell r="AB6547">
            <v>0</v>
          </cell>
        </row>
        <row r="6548">
          <cell r="G6548" t="str">
            <v>X2544_0</v>
          </cell>
          <cell r="H6548" t="str">
            <v>as-as</v>
          </cell>
          <cell r="I6548" t="str">
            <v>sim</v>
          </cell>
          <cell r="V6548" t="str">
            <v>antonym</v>
          </cell>
          <cell r="Y6548" t="str">
            <v>Pres</v>
          </cell>
          <cell r="Z6548">
            <v>4.79</v>
          </cell>
          <cell r="AA6548">
            <v>0</v>
          </cell>
          <cell r="AB6548">
            <v>0</v>
          </cell>
        </row>
        <row r="6549">
          <cell r="G6549" t="str">
            <v>X2544_1</v>
          </cell>
          <cell r="H6549" t="str">
            <v>as-as</v>
          </cell>
          <cell r="I6549" t="str">
            <v>sim</v>
          </cell>
          <cell r="V6549" t="str">
            <v>antonym</v>
          </cell>
          <cell r="Y6549" t="str">
            <v>Pres</v>
          </cell>
          <cell r="Z6549">
            <v>4.79</v>
          </cell>
          <cell r="AA6549">
            <v>0</v>
          </cell>
          <cell r="AB6549">
            <v>0</v>
          </cell>
        </row>
        <row r="6550">
          <cell r="G6550" t="str">
            <v>X2545_0</v>
          </cell>
          <cell r="H6550" t="str">
            <v>as-as</v>
          </cell>
          <cell r="I6550" t="str">
            <v>sim</v>
          </cell>
          <cell r="V6550" t="str">
            <v>antonym</v>
          </cell>
          <cell r="Y6550" t="str">
            <v>Pres</v>
          </cell>
          <cell r="Z6550">
            <v>0</v>
          </cell>
          <cell r="AA6550">
            <v>0</v>
          </cell>
          <cell r="AB6550">
            <v>0</v>
          </cell>
        </row>
        <row r="6551">
          <cell r="G6551" t="str">
            <v>X2545_1</v>
          </cell>
          <cell r="H6551" t="str">
            <v>as-as</v>
          </cell>
          <cell r="I6551" t="str">
            <v>sim</v>
          </cell>
          <cell r="V6551" t="str">
            <v>antonym</v>
          </cell>
          <cell r="Y6551" t="str">
            <v>Pres</v>
          </cell>
          <cell r="Z6551">
            <v>0</v>
          </cell>
          <cell r="AA6551">
            <v>0</v>
          </cell>
          <cell r="AB6551">
            <v>0</v>
          </cell>
        </row>
        <row r="6552">
          <cell r="G6552" t="str">
            <v>X2546_0</v>
          </cell>
          <cell r="H6552" t="str">
            <v>as-as</v>
          </cell>
          <cell r="I6552" t="str">
            <v>sim</v>
          </cell>
          <cell r="V6552" t="str">
            <v>not neg pair</v>
          </cell>
          <cell r="Y6552" t="str">
            <v>Past</v>
          </cell>
          <cell r="Z6552">
            <v>4.83</v>
          </cell>
          <cell r="AA6552">
            <v>0</v>
          </cell>
          <cell r="AB6552">
            <v>0</v>
          </cell>
        </row>
        <row r="6553">
          <cell r="G6553" t="str">
            <v>X2546_1</v>
          </cell>
          <cell r="H6553" t="str">
            <v>as-as</v>
          </cell>
          <cell r="I6553" t="str">
            <v>sim</v>
          </cell>
          <cell r="V6553" t="str">
            <v>not neg pair</v>
          </cell>
          <cell r="Y6553" t="str">
            <v>Past</v>
          </cell>
          <cell r="Z6553">
            <v>4.83</v>
          </cell>
          <cell r="AA6553">
            <v>0</v>
          </cell>
          <cell r="AB6553">
            <v>0</v>
          </cell>
        </row>
        <row r="6554">
          <cell r="G6554" t="str">
            <v>X2547_0</v>
          </cell>
          <cell r="H6554" t="str">
            <v>as-as</v>
          </cell>
          <cell r="I6554" t="str">
            <v>sim</v>
          </cell>
          <cell r="V6554" t="str">
            <v>antonym</v>
          </cell>
          <cell r="Y6554" t="str">
            <v>Pres</v>
          </cell>
          <cell r="Z6554">
            <v>4.6399999999999997</v>
          </cell>
          <cell r="AA6554">
            <v>0</v>
          </cell>
          <cell r="AB6554">
            <v>0</v>
          </cell>
        </row>
        <row r="6555">
          <cell r="G6555" t="str">
            <v>X2547_1</v>
          </cell>
          <cell r="H6555" t="str">
            <v>as-as</v>
          </cell>
          <cell r="I6555" t="str">
            <v>sim</v>
          </cell>
          <cell r="V6555" t="str">
            <v>antonym</v>
          </cell>
          <cell r="Y6555" t="str">
            <v>Pres</v>
          </cell>
          <cell r="Z6555">
            <v>3.71</v>
          </cell>
          <cell r="AA6555">
            <v>0</v>
          </cell>
          <cell r="AB6555">
            <v>0</v>
          </cell>
        </row>
        <row r="6556">
          <cell r="G6556" t="str">
            <v>X2548_0</v>
          </cell>
          <cell r="H6556" t="str">
            <v>like</v>
          </cell>
          <cell r="I6556" t="str">
            <v>sim</v>
          </cell>
          <cell r="V6556" t="str">
            <v>not</v>
          </cell>
          <cell r="Y6556" t="str">
            <v>Pres</v>
          </cell>
          <cell r="Z6556">
            <v>4.79</v>
          </cell>
          <cell r="AA6556">
            <v>0</v>
          </cell>
          <cell r="AB6556">
            <v>0</v>
          </cell>
        </row>
        <row r="6557">
          <cell r="G6557" t="str">
            <v>X2548_1</v>
          </cell>
          <cell r="H6557" t="str">
            <v>like</v>
          </cell>
          <cell r="I6557" t="str">
            <v>sim</v>
          </cell>
          <cell r="V6557" t="str">
            <v>not</v>
          </cell>
          <cell r="Y6557" t="str">
            <v>Pres</v>
          </cell>
          <cell r="Z6557">
            <v>4.79</v>
          </cell>
          <cell r="AA6557">
            <v>0</v>
          </cell>
          <cell r="AB6557">
            <v>0</v>
          </cell>
        </row>
        <row r="6558">
          <cell r="G6558" t="str">
            <v>X2549_0</v>
          </cell>
          <cell r="H6558" t="str">
            <v>as-as</v>
          </cell>
          <cell r="I6558" t="str">
            <v>sim</v>
          </cell>
          <cell r="V6558" t="str">
            <v>not</v>
          </cell>
          <cell r="Y6558" t="str">
            <v>Pres</v>
          </cell>
          <cell r="Z6558">
            <v>2.93</v>
          </cell>
          <cell r="AA6558">
            <v>0</v>
          </cell>
          <cell r="AB6558">
            <v>0</v>
          </cell>
        </row>
        <row r="6559">
          <cell r="G6559" t="str">
            <v>X2549_1</v>
          </cell>
          <cell r="H6559" t="str">
            <v>as-as</v>
          </cell>
          <cell r="I6559" t="str">
            <v>sim</v>
          </cell>
          <cell r="V6559" t="str">
            <v>not</v>
          </cell>
          <cell r="Y6559" t="str">
            <v>Pres</v>
          </cell>
          <cell r="Z6559">
            <v>2.93</v>
          </cell>
          <cell r="AA6559">
            <v>0</v>
          </cell>
          <cell r="AB6559">
            <v>0</v>
          </cell>
        </row>
        <row r="6560">
          <cell r="G6560" t="str">
            <v>X2550_0</v>
          </cell>
          <cell r="H6560" t="str">
            <v/>
          </cell>
          <cell r="I6560" t="str">
            <v>met</v>
          </cell>
          <cell r="V6560" t="str">
            <v>0</v>
          </cell>
          <cell r="Y6560" t="str">
            <v>Pres</v>
          </cell>
          <cell r="Z6560">
            <v>4.76</v>
          </cell>
          <cell r="AA6560">
            <v>0</v>
          </cell>
          <cell r="AB6560">
            <v>0</v>
          </cell>
        </row>
        <row r="6561">
          <cell r="G6561" t="str">
            <v>X2550_1</v>
          </cell>
          <cell r="H6561" t="str">
            <v/>
          </cell>
          <cell r="I6561" t="str">
            <v>met</v>
          </cell>
          <cell r="V6561" t="str">
            <v>0</v>
          </cell>
          <cell r="Y6561" t="str">
            <v>Pres</v>
          </cell>
          <cell r="Z6561">
            <v>4.76</v>
          </cell>
          <cell r="AA6561">
            <v>0</v>
          </cell>
          <cell r="AB6561">
            <v>0</v>
          </cell>
        </row>
        <row r="6562">
          <cell r="G6562" t="str">
            <v>X2551_0</v>
          </cell>
          <cell r="H6562" t="str">
            <v/>
          </cell>
          <cell r="I6562" t="str">
            <v>met</v>
          </cell>
          <cell r="V6562" t="str">
            <v>0</v>
          </cell>
          <cell r="Y6562" t="str">
            <v>Pres</v>
          </cell>
          <cell r="Z6562">
            <v>4.78</v>
          </cell>
          <cell r="AA6562">
            <v>0</v>
          </cell>
          <cell r="AB6562">
            <v>0</v>
          </cell>
        </row>
        <row r="6563">
          <cell r="G6563" t="str">
            <v>X2551_1</v>
          </cell>
          <cell r="H6563" t="str">
            <v/>
          </cell>
          <cell r="I6563" t="str">
            <v>met</v>
          </cell>
          <cell r="V6563" t="str">
            <v>0</v>
          </cell>
          <cell r="Y6563" t="str">
            <v>Pres</v>
          </cell>
          <cell r="Z6563">
            <v>4.78</v>
          </cell>
          <cell r="AA6563">
            <v>0</v>
          </cell>
          <cell r="AB6563">
            <v>0</v>
          </cell>
        </row>
        <row r="6564">
          <cell r="G6564" t="str">
            <v>X2552_0</v>
          </cell>
          <cell r="H6564" t="str">
            <v>like</v>
          </cell>
          <cell r="I6564" t="str">
            <v>sim</v>
          </cell>
          <cell r="V6564" t="str">
            <v>not</v>
          </cell>
          <cell r="Y6564" t="str">
            <v>Past</v>
          </cell>
          <cell r="Z6564">
            <v>3.93</v>
          </cell>
          <cell r="AA6564">
            <v>0</v>
          </cell>
          <cell r="AB6564">
            <v>0</v>
          </cell>
        </row>
        <row r="6565">
          <cell r="G6565" t="str">
            <v>X2552_1</v>
          </cell>
          <cell r="H6565" t="str">
            <v>like</v>
          </cell>
          <cell r="I6565" t="str">
            <v>sim</v>
          </cell>
          <cell r="V6565" t="str">
            <v>not</v>
          </cell>
          <cell r="Y6565" t="str">
            <v>Past</v>
          </cell>
          <cell r="Z6565">
            <v>3.93</v>
          </cell>
          <cell r="AA6565">
            <v>0</v>
          </cell>
          <cell r="AB6565">
            <v>0</v>
          </cell>
        </row>
        <row r="6566">
          <cell r="G6566" t="str">
            <v>X2553_0</v>
          </cell>
          <cell r="H6566" t="str">
            <v>like</v>
          </cell>
          <cell r="I6566" t="str">
            <v>sim</v>
          </cell>
          <cell r="V6566" t="str">
            <v>not</v>
          </cell>
          <cell r="Y6566" t="str">
            <v>Past</v>
          </cell>
          <cell r="Z6566">
            <v>2.81</v>
          </cell>
          <cell r="AA6566">
            <v>0</v>
          </cell>
          <cell r="AB6566">
            <v>0</v>
          </cell>
        </row>
        <row r="6567">
          <cell r="G6567" t="str">
            <v>X2553_1</v>
          </cell>
          <cell r="H6567" t="str">
            <v>like</v>
          </cell>
          <cell r="I6567" t="str">
            <v>sim</v>
          </cell>
          <cell r="V6567" t="str">
            <v>not</v>
          </cell>
          <cell r="Y6567" t="str">
            <v>Past</v>
          </cell>
          <cell r="Z6567">
            <v>2.81</v>
          </cell>
          <cell r="AA6567">
            <v>0</v>
          </cell>
          <cell r="AB6567">
            <v>0</v>
          </cell>
        </row>
        <row r="6568">
          <cell r="G6568" t="str">
            <v>X2554_0</v>
          </cell>
          <cell r="H6568" t="str">
            <v>like</v>
          </cell>
          <cell r="I6568" t="str">
            <v>sim</v>
          </cell>
          <cell r="V6568" t="str">
            <v>not neg pair</v>
          </cell>
          <cell r="Y6568" t="str">
            <v>Past</v>
          </cell>
          <cell r="Z6568">
            <v>2.81</v>
          </cell>
          <cell r="AA6568">
            <v>0</v>
          </cell>
          <cell r="AB6568">
            <v>0</v>
          </cell>
        </row>
        <row r="6569">
          <cell r="G6569" t="str">
            <v>X2554_1</v>
          </cell>
          <cell r="H6569" t="str">
            <v>like</v>
          </cell>
          <cell r="I6569" t="str">
            <v>sim</v>
          </cell>
          <cell r="V6569" t="str">
            <v>not neg pair</v>
          </cell>
          <cell r="Y6569" t="str">
            <v>Past</v>
          </cell>
          <cell r="Z6569">
            <v>2.81</v>
          </cell>
          <cell r="AA6569">
            <v>0</v>
          </cell>
          <cell r="AB6569">
            <v>0</v>
          </cell>
        </row>
        <row r="6570">
          <cell r="G6570" t="str">
            <v>X2555_0</v>
          </cell>
          <cell r="H6570" t="str">
            <v>like</v>
          </cell>
          <cell r="I6570" t="str">
            <v>sim</v>
          </cell>
          <cell r="V6570" t="str">
            <v>not neg pair</v>
          </cell>
          <cell r="Y6570" t="str">
            <v>Past</v>
          </cell>
          <cell r="Z6570">
            <v>4.45</v>
          </cell>
          <cell r="AA6570">
            <v>0</v>
          </cell>
          <cell r="AB6570">
            <v>0</v>
          </cell>
        </row>
        <row r="6571">
          <cell r="G6571" t="str">
            <v>X2555_1</v>
          </cell>
          <cell r="H6571" t="str">
            <v>like</v>
          </cell>
          <cell r="I6571" t="str">
            <v>sim</v>
          </cell>
          <cell r="V6571" t="str">
            <v>not neg pair</v>
          </cell>
          <cell r="Y6571" t="str">
            <v>Past</v>
          </cell>
          <cell r="Z6571">
            <v>4.45</v>
          </cell>
          <cell r="AA6571">
            <v>0</v>
          </cell>
          <cell r="AB6571">
            <v>0</v>
          </cell>
        </row>
        <row r="6572">
          <cell r="G6572" t="str">
            <v>X2556_0</v>
          </cell>
          <cell r="H6572" t="str">
            <v>like</v>
          </cell>
          <cell r="I6572" t="str">
            <v>sim</v>
          </cell>
          <cell r="V6572" t="str">
            <v>not</v>
          </cell>
          <cell r="Y6572" t="str">
            <v>Past</v>
          </cell>
          <cell r="Z6572">
            <v>3.93</v>
          </cell>
          <cell r="AA6572">
            <v>0</v>
          </cell>
          <cell r="AB6572">
            <v>0</v>
          </cell>
        </row>
        <row r="6573">
          <cell r="G6573" t="str">
            <v>X2556_1</v>
          </cell>
          <cell r="H6573" t="str">
            <v>like</v>
          </cell>
          <cell r="I6573" t="str">
            <v>sim</v>
          </cell>
          <cell r="V6573" t="str">
            <v>not</v>
          </cell>
          <cell r="Y6573" t="str">
            <v>Pres</v>
          </cell>
          <cell r="Z6573">
            <v>3.93</v>
          </cell>
          <cell r="AA6573">
            <v>0</v>
          </cell>
          <cell r="AB6573">
            <v>0</v>
          </cell>
        </row>
        <row r="6574">
          <cell r="G6574" t="str">
            <v>X2557_0</v>
          </cell>
          <cell r="H6574" t="str">
            <v>like</v>
          </cell>
          <cell r="I6574" t="str">
            <v>sim</v>
          </cell>
          <cell r="V6574" t="str">
            <v>not neg pair</v>
          </cell>
          <cell r="Y6574" t="str">
            <v>Pres</v>
          </cell>
          <cell r="Z6574">
            <v>4.76</v>
          </cell>
          <cell r="AA6574">
            <v>0</v>
          </cell>
          <cell r="AB6574">
            <v>0</v>
          </cell>
        </row>
        <row r="6575">
          <cell r="G6575" t="str">
            <v>X2557_1</v>
          </cell>
          <cell r="H6575" t="str">
            <v>like</v>
          </cell>
          <cell r="I6575" t="str">
            <v>sim</v>
          </cell>
          <cell r="V6575" t="str">
            <v>not neg pair</v>
          </cell>
          <cell r="Y6575" t="str">
            <v>Pres</v>
          </cell>
          <cell r="Z6575">
            <v>4.76</v>
          </cell>
          <cell r="AA6575">
            <v>0</v>
          </cell>
          <cell r="AB6575">
            <v>0</v>
          </cell>
        </row>
        <row r="6576">
          <cell r="G6576" t="str">
            <v>X2558_0</v>
          </cell>
          <cell r="H6576" t="str">
            <v>like</v>
          </cell>
          <cell r="I6576" t="str">
            <v>sim</v>
          </cell>
          <cell r="V6576" t="str">
            <v>not neg pair</v>
          </cell>
          <cell r="Y6576" t="str">
            <v>Pres</v>
          </cell>
          <cell r="Z6576">
            <v>4.68</v>
          </cell>
          <cell r="AA6576">
            <v>0</v>
          </cell>
          <cell r="AB6576">
            <v>0</v>
          </cell>
        </row>
        <row r="6577">
          <cell r="G6577" t="str">
            <v>X2558_1</v>
          </cell>
          <cell r="H6577" t="str">
            <v>like</v>
          </cell>
          <cell r="I6577" t="str">
            <v>sim</v>
          </cell>
          <cell r="V6577" t="str">
            <v>not neg pair</v>
          </cell>
          <cell r="Y6577" t="str">
            <v>Pres</v>
          </cell>
          <cell r="Z6577">
            <v>4.68</v>
          </cell>
          <cell r="AA6577">
            <v>0</v>
          </cell>
          <cell r="AB6577">
            <v>0</v>
          </cell>
        </row>
        <row r="6578">
          <cell r="G6578" t="str">
            <v>X2559_0</v>
          </cell>
          <cell r="H6578" t="str">
            <v>like</v>
          </cell>
          <cell r="I6578" t="str">
            <v>sim</v>
          </cell>
          <cell r="V6578" t="str">
            <v>not</v>
          </cell>
          <cell r="Y6578" t="str">
            <v>Past</v>
          </cell>
          <cell r="Z6578">
            <v>2.81</v>
          </cell>
          <cell r="AA6578">
            <v>0</v>
          </cell>
          <cell r="AB6578">
            <v>0</v>
          </cell>
        </row>
        <row r="6579">
          <cell r="G6579" t="str">
            <v>X2559_1</v>
          </cell>
          <cell r="H6579" t="str">
            <v>like</v>
          </cell>
          <cell r="I6579" t="str">
            <v>sim</v>
          </cell>
          <cell r="V6579" t="str">
            <v>not</v>
          </cell>
          <cell r="Y6579" t="str">
            <v>Past</v>
          </cell>
          <cell r="Z6579">
            <v>2.81</v>
          </cell>
          <cell r="AA6579">
            <v>0</v>
          </cell>
          <cell r="AB6579">
            <v>0</v>
          </cell>
        </row>
        <row r="6580">
          <cell r="G6580" t="str">
            <v>X2560_0</v>
          </cell>
          <cell r="H6580" t="str">
            <v>like</v>
          </cell>
          <cell r="I6580" t="str">
            <v>sim</v>
          </cell>
          <cell r="V6580" t="str">
            <v>not</v>
          </cell>
          <cell r="Y6580" t="str">
            <v>Past</v>
          </cell>
          <cell r="Z6580">
            <v>3.36</v>
          </cell>
          <cell r="AA6580">
            <v>0</v>
          </cell>
          <cell r="AB6580">
            <v>0</v>
          </cell>
        </row>
        <row r="6581">
          <cell r="G6581" t="str">
            <v>X2560_1</v>
          </cell>
          <cell r="H6581" t="str">
            <v>like</v>
          </cell>
          <cell r="I6581" t="str">
            <v>sim</v>
          </cell>
          <cell r="V6581" t="str">
            <v>not</v>
          </cell>
          <cell r="Y6581" t="str">
            <v>Past</v>
          </cell>
          <cell r="Z6581">
            <v>3.36</v>
          </cell>
          <cell r="AA6581">
            <v>0</v>
          </cell>
          <cell r="AB6581">
            <v>0</v>
          </cell>
        </row>
        <row r="6582">
          <cell r="G6582" t="str">
            <v>X2561_0</v>
          </cell>
          <cell r="H6582" t="str">
            <v/>
          </cell>
          <cell r="I6582" t="str">
            <v>met</v>
          </cell>
          <cell r="V6582" t="str">
            <v>0</v>
          </cell>
          <cell r="Y6582" t="str">
            <v>Past</v>
          </cell>
          <cell r="Z6582">
            <v>3.36</v>
          </cell>
          <cell r="AA6582">
            <v>0</v>
          </cell>
          <cell r="AB6582">
            <v>0</v>
          </cell>
        </row>
        <row r="6583">
          <cell r="G6583" t="str">
            <v>X2561_1</v>
          </cell>
          <cell r="H6583" t="str">
            <v/>
          </cell>
          <cell r="I6583" t="str">
            <v>met</v>
          </cell>
          <cell r="V6583" t="str">
            <v>0</v>
          </cell>
          <cell r="Y6583" t="str">
            <v>Past</v>
          </cell>
          <cell r="Z6583">
            <v>3.36</v>
          </cell>
          <cell r="AA6583">
            <v>0</v>
          </cell>
          <cell r="AB6583">
            <v>0</v>
          </cell>
        </row>
        <row r="6584">
          <cell r="G6584" t="str">
            <v>X2562_0</v>
          </cell>
          <cell r="H6584" t="str">
            <v>as-as</v>
          </cell>
          <cell r="I6584" t="str">
            <v>sim</v>
          </cell>
          <cell r="V6584" t="str">
            <v>antonym</v>
          </cell>
          <cell r="Y6584" t="str">
            <v>Past</v>
          </cell>
          <cell r="Z6584">
            <v>4.46</v>
          </cell>
          <cell r="AA6584">
            <v>0</v>
          </cell>
          <cell r="AB6584">
            <v>0</v>
          </cell>
        </row>
        <row r="6585">
          <cell r="G6585" t="str">
            <v>X2562_1</v>
          </cell>
          <cell r="H6585" t="str">
            <v>as-as</v>
          </cell>
          <cell r="I6585" t="str">
            <v>sim</v>
          </cell>
          <cell r="V6585" t="str">
            <v>antonym</v>
          </cell>
          <cell r="Y6585" t="str">
            <v>Past</v>
          </cell>
          <cell r="Z6585">
            <v>4.46</v>
          </cell>
          <cell r="AA6585">
            <v>0</v>
          </cell>
          <cell r="AB6585">
            <v>0</v>
          </cell>
        </row>
        <row r="6586">
          <cell r="G6586" t="str">
            <v>X2563_0</v>
          </cell>
          <cell r="H6586" t="str">
            <v>as-as</v>
          </cell>
          <cell r="I6586" t="str">
            <v>sim</v>
          </cell>
          <cell r="V6586" t="str">
            <v>antonym</v>
          </cell>
          <cell r="Y6586" t="str">
            <v>Past</v>
          </cell>
          <cell r="Z6586">
            <v>4.78</v>
          </cell>
          <cell r="AA6586">
            <v>0</v>
          </cell>
          <cell r="AB6586">
            <v>0</v>
          </cell>
        </row>
        <row r="6587">
          <cell r="G6587" t="str">
            <v>X2563_1</v>
          </cell>
          <cell r="H6587" t="str">
            <v>as-as</v>
          </cell>
          <cell r="I6587" t="str">
            <v>sim</v>
          </cell>
          <cell r="V6587" t="str">
            <v>antonym</v>
          </cell>
          <cell r="Y6587" t="str">
            <v>Past</v>
          </cell>
          <cell r="Z6587">
            <v>4.78</v>
          </cell>
          <cell r="AA6587">
            <v>0</v>
          </cell>
          <cell r="AB6587">
            <v>0</v>
          </cell>
        </row>
        <row r="6588">
          <cell r="G6588" t="str">
            <v>X2564_0</v>
          </cell>
          <cell r="H6588" t="str">
            <v/>
          </cell>
          <cell r="I6588" t="str">
            <v>met</v>
          </cell>
          <cell r="V6588" t="str">
            <v>0</v>
          </cell>
          <cell r="Y6588" t="str">
            <v>Pres</v>
          </cell>
          <cell r="Z6588">
            <v>4.3600000000000003</v>
          </cell>
          <cell r="AA6588">
            <v>0</v>
          </cell>
          <cell r="AB6588">
            <v>0</v>
          </cell>
        </row>
        <row r="6589">
          <cell r="G6589" t="str">
            <v>X2564_1</v>
          </cell>
          <cell r="H6589" t="str">
            <v/>
          </cell>
          <cell r="I6589" t="str">
            <v>met</v>
          </cell>
          <cell r="V6589" t="str">
            <v>0</v>
          </cell>
          <cell r="Y6589" t="str">
            <v>Pres</v>
          </cell>
          <cell r="Z6589">
            <v>4.3600000000000003</v>
          </cell>
          <cell r="AA6589">
            <v>0</v>
          </cell>
          <cell r="AB6589">
            <v>0</v>
          </cell>
        </row>
        <row r="6590">
          <cell r="G6590" t="str">
            <v>X2565_0</v>
          </cell>
          <cell r="H6590" t="str">
            <v>as</v>
          </cell>
          <cell r="I6590" t="str">
            <v>sim</v>
          </cell>
          <cell r="V6590" t="str">
            <v>not neg pair</v>
          </cell>
          <cell r="Y6590" t="str">
            <v>Past</v>
          </cell>
          <cell r="Z6590">
            <v>2.44</v>
          </cell>
          <cell r="AA6590" t="str">
            <v>L</v>
          </cell>
          <cell r="AB6590">
            <v>0</v>
          </cell>
        </row>
        <row r="6591">
          <cell r="G6591" t="str">
            <v>X2565_1</v>
          </cell>
          <cell r="H6591" t="str">
            <v>as</v>
          </cell>
          <cell r="I6591" t="str">
            <v>sim</v>
          </cell>
          <cell r="V6591" t="str">
            <v>not neg pair</v>
          </cell>
          <cell r="Y6591" t="str">
            <v>Past</v>
          </cell>
          <cell r="Z6591">
            <v>2.44</v>
          </cell>
          <cell r="AA6591" t="str">
            <v>L</v>
          </cell>
          <cell r="AB6591">
            <v>0</v>
          </cell>
        </row>
        <row r="6592">
          <cell r="G6592" t="str">
            <v>X2566_0</v>
          </cell>
          <cell r="H6592" t="str">
            <v>the-of</v>
          </cell>
          <cell r="I6592" t="str">
            <v>sim</v>
          </cell>
          <cell r="V6592" t="str">
            <v>not neg pair</v>
          </cell>
          <cell r="Y6592" t="str">
            <v>Pres</v>
          </cell>
          <cell r="Z6592">
            <v>4.33</v>
          </cell>
          <cell r="AA6592">
            <v>0</v>
          </cell>
          <cell r="AB6592">
            <v>0</v>
          </cell>
        </row>
        <row r="6593">
          <cell r="G6593" t="str">
            <v>X2566_1</v>
          </cell>
          <cell r="H6593" t="str">
            <v>the-of</v>
          </cell>
          <cell r="I6593" t="str">
            <v>sim</v>
          </cell>
          <cell r="V6593" t="str">
            <v>not neg pair</v>
          </cell>
          <cell r="Y6593" t="str">
            <v>Pres</v>
          </cell>
          <cell r="Z6593">
            <v>4.33</v>
          </cell>
          <cell r="AA6593">
            <v>0</v>
          </cell>
          <cell r="AB6593">
            <v>0</v>
          </cell>
        </row>
        <row r="6594">
          <cell r="G6594" t="str">
            <v>X2567_0</v>
          </cell>
          <cell r="H6594" t="str">
            <v>the-of</v>
          </cell>
          <cell r="I6594" t="str">
            <v>sim</v>
          </cell>
          <cell r="V6594" t="str">
            <v>0</v>
          </cell>
          <cell r="Y6594" t="str">
            <v>Pres</v>
          </cell>
          <cell r="Z6594">
            <v>4.93</v>
          </cell>
          <cell r="AA6594" t="str">
            <v>H</v>
          </cell>
          <cell r="AB6594">
            <v>0</v>
          </cell>
        </row>
        <row r="6595">
          <cell r="G6595" t="str">
            <v>X2567_1</v>
          </cell>
          <cell r="H6595" t="str">
            <v/>
          </cell>
          <cell r="I6595" t="str">
            <v>met</v>
          </cell>
          <cell r="V6595" t="str">
            <v>0</v>
          </cell>
          <cell r="Y6595" t="str">
            <v>Pres</v>
          </cell>
          <cell r="Z6595">
            <v>4.93</v>
          </cell>
          <cell r="AA6595" t="str">
            <v>H</v>
          </cell>
          <cell r="AB6595">
            <v>0</v>
          </cell>
        </row>
        <row r="6596">
          <cell r="G6596" t="str">
            <v>X2568_0</v>
          </cell>
          <cell r="H6596" t="str">
            <v>the-of</v>
          </cell>
          <cell r="I6596" t="str">
            <v>sim</v>
          </cell>
          <cell r="V6596" t="str">
            <v>not neg pair</v>
          </cell>
          <cell r="Y6596" t="str">
            <v>Pres</v>
          </cell>
          <cell r="Z6596">
            <v>5</v>
          </cell>
          <cell r="AA6596" t="str">
            <v>H</v>
          </cell>
          <cell r="AB6596">
            <v>0</v>
          </cell>
        </row>
        <row r="6597">
          <cell r="G6597" t="str">
            <v>X2568_1</v>
          </cell>
          <cell r="H6597" t="str">
            <v>the-of</v>
          </cell>
          <cell r="I6597" t="str">
            <v>sim</v>
          </cell>
          <cell r="V6597" t="str">
            <v>not neg pair</v>
          </cell>
          <cell r="Y6597" t="str">
            <v>Pres</v>
          </cell>
          <cell r="Z6597">
            <v>5</v>
          </cell>
          <cell r="AA6597" t="str">
            <v>H</v>
          </cell>
          <cell r="AB6597">
            <v>0</v>
          </cell>
        </row>
        <row r="6598">
          <cell r="G6598" t="str">
            <v>X2569_0</v>
          </cell>
          <cell r="H6598" t="str">
            <v>as</v>
          </cell>
          <cell r="I6598" t="str">
            <v>sim</v>
          </cell>
          <cell r="V6598" t="str">
            <v>not neg pair</v>
          </cell>
          <cell r="Y6598" t="str">
            <v>Past</v>
          </cell>
          <cell r="Z6598">
            <v>3.3</v>
          </cell>
          <cell r="AA6598">
            <v>0</v>
          </cell>
          <cell r="AB6598">
            <v>0</v>
          </cell>
        </row>
        <row r="6599">
          <cell r="G6599" t="str">
            <v>X2569_1</v>
          </cell>
          <cell r="H6599" t="str">
            <v>as</v>
          </cell>
          <cell r="I6599" t="str">
            <v>sim</v>
          </cell>
          <cell r="V6599" t="str">
            <v>not neg pair</v>
          </cell>
          <cell r="Y6599" t="str">
            <v>Past</v>
          </cell>
          <cell r="Z6599">
            <v>3.3</v>
          </cell>
          <cell r="AA6599">
            <v>0</v>
          </cell>
          <cell r="AB6599">
            <v>0</v>
          </cell>
        </row>
        <row r="6600">
          <cell r="G6600" t="str">
            <v>X2570_0</v>
          </cell>
          <cell r="H6600" t="str">
            <v>as-as</v>
          </cell>
          <cell r="I6600" t="str">
            <v>sim</v>
          </cell>
          <cell r="V6600" t="str">
            <v>not</v>
          </cell>
          <cell r="Y6600" t="str">
            <v>Past</v>
          </cell>
          <cell r="Z6600">
            <v>4.96</v>
          </cell>
          <cell r="AA6600" t="str">
            <v>H</v>
          </cell>
          <cell r="AB6600">
            <v>0</v>
          </cell>
        </row>
        <row r="6601">
          <cell r="G6601" t="str">
            <v>X2570_1</v>
          </cell>
          <cell r="H6601" t="str">
            <v>as-as</v>
          </cell>
          <cell r="I6601" t="str">
            <v>sim</v>
          </cell>
          <cell r="V6601" t="str">
            <v>not</v>
          </cell>
          <cell r="Y6601" t="str">
            <v>Past</v>
          </cell>
          <cell r="Z6601">
            <v>4.96</v>
          </cell>
          <cell r="AA6601" t="str">
            <v>H</v>
          </cell>
          <cell r="AB6601">
            <v>0</v>
          </cell>
        </row>
        <row r="6602">
          <cell r="G6602" t="str">
            <v>X2571_0</v>
          </cell>
          <cell r="H6602" t="str">
            <v>as-as</v>
          </cell>
          <cell r="I6602" t="str">
            <v>sim</v>
          </cell>
          <cell r="V6602" t="str">
            <v>not neg pair</v>
          </cell>
          <cell r="Y6602" t="str">
            <v>Past</v>
          </cell>
          <cell r="Z6602">
            <v>2.81</v>
          </cell>
          <cell r="AA6602">
            <v>0</v>
          </cell>
          <cell r="AB6602">
            <v>0</v>
          </cell>
        </row>
        <row r="6603">
          <cell r="G6603" t="str">
            <v>X2571_1</v>
          </cell>
          <cell r="H6603" t="str">
            <v>as-as</v>
          </cell>
          <cell r="I6603" t="str">
            <v>sim</v>
          </cell>
          <cell r="V6603" t="str">
            <v>not neg pair</v>
          </cell>
          <cell r="Y6603" t="str">
            <v>Past</v>
          </cell>
          <cell r="Z6603">
            <v>2.81</v>
          </cell>
          <cell r="AA6603">
            <v>0</v>
          </cell>
          <cell r="AB6603">
            <v>0</v>
          </cell>
        </row>
        <row r="6604">
          <cell r="G6604" t="str">
            <v>X2572_0</v>
          </cell>
          <cell r="H6604" t="str">
            <v>as-as</v>
          </cell>
          <cell r="I6604" t="str">
            <v>sim</v>
          </cell>
          <cell r="V6604" t="str">
            <v>not neg pair</v>
          </cell>
          <cell r="Y6604" t="str">
            <v>Past</v>
          </cell>
          <cell r="Z6604">
            <v>2.81</v>
          </cell>
          <cell r="AA6604">
            <v>0</v>
          </cell>
          <cell r="AB6604">
            <v>0</v>
          </cell>
        </row>
        <row r="6605">
          <cell r="G6605" t="str">
            <v>X2572_1</v>
          </cell>
          <cell r="H6605" t="str">
            <v>as-as</v>
          </cell>
          <cell r="I6605" t="str">
            <v>sim</v>
          </cell>
          <cell r="V6605" t="str">
            <v>not neg pair</v>
          </cell>
          <cell r="Y6605" t="str">
            <v>Past</v>
          </cell>
          <cell r="Z6605">
            <v>2.81</v>
          </cell>
          <cell r="AA6605">
            <v>0</v>
          </cell>
          <cell r="AB6605">
            <v>0</v>
          </cell>
        </row>
        <row r="6606">
          <cell r="G6606" t="str">
            <v>X2573_0</v>
          </cell>
          <cell r="H6606" t="str">
            <v>like</v>
          </cell>
          <cell r="I6606" t="str">
            <v>sim</v>
          </cell>
          <cell r="V6606" t="str">
            <v>not neg pair</v>
          </cell>
          <cell r="Y6606" t="str">
            <v>Past</v>
          </cell>
          <cell r="Z6606">
            <v>0</v>
          </cell>
          <cell r="AA6606">
            <v>0</v>
          </cell>
          <cell r="AB6606">
            <v>0</v>
          </cell>
        </row>
        <row r="6607">
          <cell r="G6607" t="str">
            <v>X2573_1</v>
          </cell>
          <cell r="H6607" t="str">
            <v>like</v>
          </cell>
          <cell r="I6607" t="str">
            <v>sim</v>
          </cell>
          <cell r="V6607" t="str">
            <v>not neg pair</v>
          </cell>
          <cell r="Y6607" t="str">
            <v>Past</v>
          </cell>
          <cell r="Z6607">
            <v>3.93</v>
          </cell>
          <cell r="AA6607">
            <v>0</v>
          </cell>
          <cell r="AB6607">
            <v>0</v>
          </cell>
        </row>
        <row r="6608">
          <cell r="G6608" t="str">
            <v>X2574_0</v>
          </cell>
          <cell r="H6608" t="str">
            <v>like</v>
          </cell>
          <cell r="I6608" t="str">
            <v>sim</v>
          </cell>
          <cell r="V6608" t="str">
            <v>not neg pair</v>
          </cell>
          <cell r="Y6608" t="str">
            <v>Past</v>
          </cell>
          <cell r="Z6608">
            <v>4.8099999999999996</v>
          </cell>
          <cell r="AA6608">
            <v>0</v>
          </cell>
          <cell r="AB6608">
            <v>0</v>
          </cell>
        </row>
        <row r="6609">
          <cell r="G6609" t="str">
            <v>X2574_1</v>
          </cell>
          <cell r="H6609" t="str">
            <v>like</v>
          </cell>
          <cell r="I6609" t="str">
            <v>sim</v>
          </cell>
          <cell r="V6609" t="str">
            <v>not neg pair</v>
          </cell>
          <cell r="Y6609" t="str">
            <v>Past</v>
          </cell>
          <cell r="Z6609">
            <v>4.8099999999999996</v>
          </cell>
          <cell r="AA6609">
            <v>0</v>
          </cell>
          <cell r="AB6609">
            <v>0</v>
          </cell>
        </row>
        <row r="6610">
          <cell r="G6610" t="str">
            <v>X2575_0</v>
          </cell>
          <cell r="H6610" t="str">
            <v>as</v>
          </cell>
          <cell r="I6610" t="str">
            <v>sim</v>
          </cell>
          <cell r="V6610" t="str">
            <v>not neg pair</v>
          </cell>
          <cell r="Y6610" t="str">
            <v>Past</v>
          </cell>
          <cell r="Z6610">
            <v>3.19</v>
          </cell>
          <cell r="AA6610">
            <v>0</v>
          </cell>
          <cell r="AB6610">
            <v>0</v>
          </cell>
        </row>
        <row r="6611">
          <cell r="G6611" t="str">
            <v>X2575_1</v>
          </cell>
          <cell r="H6611" t="str">
            <v>as</v>
          </cell>
          <cell r="I6611" t="str">
            <v>sim</v>
          </cell>
          <cell r="V6611" t="str">
            <v>not neg pair</v>
          </cell>
          <cell r="Y6611" t="str">
            <v>Past</v>
          </cell>
          <cell r="Z6611">
            <v>3.19</v>
          </cell>
          <cell r="AA6611">
            <v>0</v>
          </cell>
          <cell r="AB6611">
            <v>0</v>
          </cell>
        </row>
        <row r="6612">
          <cell r="G6612" t="str">
            <v>X2576_0</v>
          </cell>
          <cell r="H6612" t="str">
            <v>as-as</v>
          </cell>
          <cell r="I6612" t="str">
            <v>sim</v>
          </cell>
          <cell r="V6612" t="str">
            <v>not</v>
          </cell>
          <cell r="Y6612" t="str">
            <v>Past</v>
          </cell>
          <cell r="Z6612">
            <v>3.81</v>
          </cell>
          <cell r="AA6612">
            <v>0</v>
          </cell>
          <cell r="AB6612">
            <v>0</v>
          </cell>
        </row>
        <row r="6613">
          <cell r="G6613" t="str">
            <v>X2576_1</v>
          </cell>
          <cell r="H6613" t="str">
            <v>as-as</v>
          </cell>
          <cell r="I6613" t="str">
            <v>sim</v>
          </cell>
          <cell r="V6613" t="str">
            <v>not</v>
          </cell>
          <cell r="Y6613" t="str">
            <v>Past</v>
          </cell>
          <cell r="Z6613">
            <v>3.81</v>
          </cell>
          <cell r="AA6613">
            <v>0</v>
          </cell>
          <cell r="AB6613">
            <v>0</v>
          </cell>
        </row>
        <row r="6614">
          <cell r="G6614" t="str">
            <v>X2577_0</v>
          </cell>
          <cell r="H6614" t="str">
            <v>the-of</v>
          </cell>
          <cell r="I6614" t="str">
            <v>sim</v>
          </cell>
          <cell r="V6614" t="str">
            <v>not</v>
          </cell>
          <cell r="Y6614" t="str">
            <v>Past</v>
          </cell>
          <cell r="Z6614">
            <v>4.5199999999999996</v>
          </cell>
          <cell r="AA6614">
            <v>0</v>
          </cell>
          <cell r="AB6614">
            <v>0</v>
          </cell>
        </row>
        <row r="6615">
          <cell r="G6615" t="str">
            <v>X2577_1</v>
          </cell>
          <cell r="H6615" t="str">
            <v>the-of</v>
          </cell>
          <cell r="I6615" t="str">
            <v>sim</v>
          </cell>
          <cell r="V6615" t="str">
            <v>not</v>
          </cell>
          <cell r="Y6615" t="str">
            <v>Past</v>
          </cell>
          <cell r="Z6615">
            <v>4.5199999999999996</v>
          </cell>
          <cell r="AA6615">
            <v>0</v>
          </cell>
          <cell r="AB6615">
            <v>0</v>
          </cell>
        </row>
        <row r="6616">
          <cell r="G6616" t="str">
            <v>X2578_0</v>
          </cell>
          <cell r="H6616" t="str">
            <v>as-as</v>
          </cell>
          <cell r="I6616" t="str">
            <v>sim</v>
          </cell>
          <cell r="V6616" t="str">
            <v>not</v>
          </cell>
          <cell r="Y6616" t="str">
            <v>Past</v>
          </cell>
          <cell r="Z6616">
            <v>4.8499999999999996</v>
          </cell>
          <cell r="AA6616">
            <v>0</v>
          </cell>
          <cell r="AB6616">
            <v>0</v>
          </cell>
        </row>
        <row r="6617">
          <cell r="G6617" t="str">
            <v>X2578_1</v>
          </cell>
          <cell r="H6617" t="str">
            <v>as-as</v>
          </cell>
          <cell r="I6617" t="str">
            <v>sim</v>
          </cell>
          <cell r="V6617" t="str">
            <v>not</v>
          </cell>
          <cell r="Y6617" t="str">
            <v>Past</v>
          </cell>
          <cell r="Z6617">
            <v>4.8499999999999996</v>
          </cell>
          <cell r="AA6617">
            <v>0</v>
          </cell>
          <cell r="AB6617">
            <v>0</v>
          </cell>
        </row>
        <row r="6618">
          <cell r="G6618" t="str">
            <v>X2579_0</v>
          </cell>
          <cell r="H6618" t="str">
            <v>as-as</v>
          </cell>
          <cell r="I6618" t="str">
            <v>sim</v>
          </cell>
          <cell r="V6618" t="str">
            <v>not</v>
          </cell>
          <cell r="Y6618" t="str">
            <v>Past</v>
          </cell>
          <cell r="Z6618">
            <v>4.82</v>
          </cell>
          <cell r="AA6618">
            <v>0</v>
          </cell>
          <cell r="AB6618">
            <v>0</v>
          </cell>
        </row>
        <row r="6619">
          <cell r="G6619" t="str">
            <v>X2579_1</v>
          </cell>
          <cell r="H6619" t="str">
            <v>as-as</v>
          </cell>
          <cell r="I6619" t="str">
            <v>sim</v>
          </cell>
          <cell r="V6619" t="str">
            <v>not</v>
          </cell>
          <cell r="Y6619" t="str">
            <v>Past</v>
          </cell>
          <cell r="Z6619">
            <v>4.82</v>
          </cell>
          <cell r="AA6619">
            <v>0</v>
          </cell>
          <cell r="AB6619">
            <v>0</v>
          </cell>
        </row>
        <row r="6620">
          <cell r="G6620" t="str">
            <v>X2580_0</v>
          </cell>
          <cell r="H6620" t="str">
            <v>as-as</v>
          </cell>
          <cell r="I6620" t="str">
            <v>sim</v>
          </cell>
          <cell r="V6620" t="str">
            <v>not</v>
          </cell>
          <cell r="Y6620" t="str">
            <v>Past</v>
          </cell>
          <cell r="Z6620">
            <v>3.93</v>
          </cell>
          <cell r="AA6620">
            <v>0</v>
          </cell>
          <cell r="AB6620">
            <v>0</v>
          </cell>
        </row>
        <row r="6621">
          <cell r="G6621" t="str">
            <v>X2580_1</v>
          </cell>
          <cell r="H6621" t="str">
            <v>as-as</v>
          </cell>
          <cell r="I6621" t="str">
            <v>sim</v>
          </cell>
          <cell r="V6621" t="str">
            <v>not</v>
          </cell>
          <cell r="Y6621" t="str">
            <v>Past</v>
          </cell>
          <cell r="Z6621">
            <v>3.93</v>
          </cell>
          <cell r="AA6621">
            <v>0</v>
          </cell>
          <cell r="AB6621">
            <v>0</v>
          </cell>
        </row>
        <row r="6622">
          <cell r="G6622" t="str">
            <v>X2581_0</v>
          </cell>
          <cell r="H6622" t="str">
            <v>as-as</v>
          </cell>
          <cell r="I6622" t="str">
            <v>sim</v>
          </cell>
          <cell r="V6622" t="str">
            <v>antonym</v>
          </cell>
          <cell r="Y6622" t="str">
            <v>Pres</v>
          </cell>
          <cell r="Z6622">
            <v>4.46</v>
          </cell>
          <cell r="AA6622">
            <v>0</v>
          </cell>
          <cell r="AB6622">
            <v>0</v>
          </cell>
        </row>
        <row r="6623">
          <cell r="G6623" t="str">
            <v>X2581_1</v>
          </cell>
          <cell r="H6623" t="str">
            <v>as-as</v>
          </cell>
          <cell r="I6623" t="str">
            <v>sim</v>
          </cell>
          <cell r="V6623" t="str">
            <v>antonym</v>
          </cell>
          <cell r="Y6623" t="str">
            <v>Pres</v>
          </cell>
          <cell r="Z6623">
            <v>4.46</v>
          </cell>
          <cell r="AA6623">
            <v>0</v>
          </cell>
          <cell r="AB6623">
            <v>0</v>
          </cell>
        </row>
        <row r="6624">
          <cell r="G6624" t="str">
            <v>X2582_0</v>
          </cell>
          <cell r="H6624" t="str">
            <v>as-as</v>
          </cell>
          <cell r="I6624" t="str">
            <v>sim</v>
          </cell>
          <cell r="V6624" t="str">
            <v>antonym</v>
          </cell>
          <cell r="Y6624" t="str">
            <v>Pres</v>
          </cell>
          <cell r="Z6624">
            <v>4.5199999999999996</v>
          </cell>
          <cell r="AA6624">
            <v>0</v>
          </cell>
          <cell r="AB6624">
            <v>0</v>
          </cell>
        </row>
        <row r="6625">
          <cell r="G6625" t="str">
            <v>X2582_1</v>
          </cell>
          <cell r="H6625" t="str">
            <v>as-as</v>
          </cell>
          <cell r="I6625" t="str">
            <v>sim</v>
          </cell>
          <cell r="V6625" t="str">
            <v>antonym</v>
          </cell>
          <cell r="Y6625" t="str">
            <v>Pres</v>
          </cell>
          <cell r="Z6625">
            <v>4.5199999999999996</v>
          </cell>
          <cell r="AA6625">
            <v>0</v>
          </cell>
          <cell r="AB6625">
            <v>0</v>
          </cell>
        </row>
        <row r="6626">
          <cell r="G6626" t="str">
            <v>X2583_0</v>
          </cell>
          <cell r="H6626" t="str">
            <v>the-of</v>
          </cell>
          <cell r="I6626" t="str">
            <v>sim</v>
          </cell>
          <cell r="V6626" t="str">
            <v>not neg pair</v>
          </cell>
          <cell r="Y6626" t="str">
            <v>Pres</v>
          </cell>
          <cell r="Z6626">
            <v>4.79</v>
          </cell>
          <cell r="AA6626">
            <v>0</v>
          </cell>
          <cell r="AB6626">
            <v>0</v>
          </cell>
        </row>
        <row r="6627">
          <cell r="G6627" t="str">
            <v>X2583_1</v>
          </cell>
          <cell r="H6627" t="str">
            <v>the-of</v>
          </cell>
          <cell r="I6627" t="str">
            <v>sim</v>
          </cell>
          <cell r="V6627" t="str">
            <v>not neg pair</v>
          </cell>
          <cell r="Y6627" t="str">
            <v>Pres</v>
          </cell>
          <cell r="Z6627">
            <v>4.79</v>
          </cell>
          <cell r="AA6627">
            <v>0</v>
          </cell>
          <cell r="AB6627">
            <v>0</v>
          </cell>
        </row>
        <row r="6628">
          <cell r="G6628" t="str">
            <v>X2584_0</v>
          </cell>
          <cell r="H6628" t="str">
            <v>the-of</v>
          </cell>
          <cell r="I6628" t="str">
            <v>sim</v>
          </cell>
          <cell r="V6628" t="str">
            <v>not</v>
          </cell>
          <cell r="Y6628" t="str">
            <v>Pres</v>
          </cell>
          <cell r="Z6628">
            <v>4.8899999999999997</v>
          </cell>
          <cell r="AA6628">
            <v>0</v>
          </cell>
          <cell r="AB6628">
            <v>0</v>
          </cell>
        </row>
        <row r="6629">
          <cell r="G6629" t="str">
            <v>X2584_1</v>
          </cell>
          <cell r="H6629" t="str">
            <v>the-of</v>
          </cell>
          <cell r="I6629" t="str">
            <v>sim</v>
          </cell>
          <cell r="V6629" t="str">
            <v>not</v>
          </cell>
          <cell r="Y6629" t="str">
            <v>Pres</v>
          </cell>
          <cell r="Z6629">
            <v>4.8899999999999997</v>
          </cell>
          <cell r="AA6629">
            <v>0</v>
          </cell>
          <cell r="AB6629">
            <v>0</v>
          </cell>
        </row>
        <row r="6630">
          <cell r="G6630" t="str">
            <v>X2585_0</v>
          </cell>
          <cell r="H6630" t="str">
            <v>the-of</v>
          </cell>
          <cell r="I6630" t="str">
            <v>sim</v>
          </cell>
          <cell r="V6630" t="str">
            <v>not neg pair</v>
          </cell>
          <cell r="Y6630" t="str">
            <v>Past</v>
          </cell>
          <cell r="Z6630">
            <v>4.91</v>
          </cell>
          <cell r="AA6630" t="str">
            <v>H</v>
          </cell>
          <cell r="AB6630">
            <v>0</v>
          </cell>
        </row>
        <row r="6631">
          <cell r="G6631" t="str">
            <v>X2585_1</v>
          </cell>
          <cell r="H6631" t="str">
            <v>the-of</v>
          </cell>
          <cell r="I6631" t="str">
            <v>sim</v>
          </cell>
          <cell r="V6631" t="str">
            <v>not neg pair</v>
          </cell>
          <cell r="Y6631" t="str">
            <v>Past</v>
          </cell>
          <cell r="Z6631">
            <v>4.91</v>
          </cell>
          <cell r="AA6631" t="str">
            <v>H</v>
          </cell>
          <cell r="AB6631">
            <v>0</v>
          </cell>
        </row>
        <row r="6632">
          <cell r="G6632" t="str">
            <v>X2586_0</v>
          </cell>
          <cell r="H6632" t="str">
            <v>the-of</v>
          </cell>
          <cell r="I6632" t="str">
            <v>sim</v>
          </cell>
          <cell r="V6632" t="str">
            <v>not neg pair</v>
          </cell>
          <cell r="Y6632" t="str">
            <v>Past</v>
          </cell>
          <cell r="Z6632">
            <v>3.21</v>
          </cell>
          <cell r="AA6632">
            <v>0</v>
          </cell>
          <cell r="AB6632">
            <v>0</v>
          </cell>
        </row>
        <row r="6633">
          <cell r="G6633" t="str">
            <v>X2586_1</v>
          </cell>
          <cell r="H6633" t="str">
            <v>the-of</v>
          </cell>
          <cell r="I6633" t="str">
            <v>sim</v>
          </cell>
          <cell r="V6633" t="str">
            <v>not neg pair</v>
          </cell>
          <cell r="Y6633" t="str">
            <v>Past</v>
          </cell>
          <cell r="Z6633">
            <v>3.21</v>
          </cell>
          <cell r="AA6633">
            <v>0</v>
          </cell>
          <cell r="AB6633">
            <v>0</v>
          </cell>
        </row>
        <row r="6634">
          <cell r="G6634" t="str">
            <v>X2587_0</v>
          </cell>
          <cell r="H6634" t="str">
            <v/>
          </cell>
          <cell r="I6634" t="str">
            <v>met</v>
          </cell>
          <cell r="V6634" t="str">
            <v>0</v>
          </cell>
          <cell r="Y6634" t="str">
            <v>Past</v>
          </cell>
          <cell r="Z6634">
            <v>3.04</v>
          </cell>
          <cell r="AA6634">
            <v>0</v>
          </cell>
          <cell r="AB6634">
            <v>0</v>
          </cell>
        </row>
        <row r="6635">
          <cell r="G6635" t="str">
            <v>X2587_1</v>
          </cell>
          <cell r="H6635" t="str">
            <v/>
          </cell>
          <cell r="I6635" t="str">
            <v>met</v>
          </cell>
          <cell r="V6635" t="str">
            <v>0</v>
          </cell>
          <cell r="Y6635" t="str">
            <v>Past</v>
          </cell>
          <cell r="Z6635">
            <v>3.04</v>
          </cell>
          <cell r="AA6635">
            <v>0</v>
          </cell>
          <cell r="AB6635">
            <v>0</v>
          </cell>
        </row>
        <row r="6636">
          <cell r="G6636" t="str">
            <v>X2588_0</v>
          </cell>
          <cell r="H6636" t="str">
            <v>as</v>
          </cell>
          <cell r="I6636" t="str">
            <v>sim</v>
          </cell>
          <cell r="V6636" t="str">
            <v>not neg pair</v>
          </cell>
          <cell r="Y6636" t="str">
            <v>Past</v>
          </cell>
          <cell r="Z6636">
            <v>5</v>
          </cell>
          <cell r="AA6636" t="str">
            <v>H</v>
          </cell>
          <cell r="AB6636">
            <v>0</v>
          </cell>
        </row>
        <row r="6637">
          <cell r="G6637" t="str">
            <v>X2588_1</v>
          </cell>
          <cell r="H6637" t="str">
            <v>as</v>
          </cell>
          <cell r="I6637" t="str">
            <v>sim</v>
          </cell>
          <cell r="V6637" t="str">
            <v>not neg pair</v>
          </cell>
          <cell r="Y6637" t="str">
            <v>Past</v>
          </cell>
          <cell r="Z6637">
            <v>5</v>
          </cell>
          <cell r="AA6637" t="str">
            <v>H</v>
          </cell>
          <cell r="AB6637">
            <v>0</v>
          </cell>
        </row>
        <row r="6638">
          <cell r="G6638" t="str">
            <v>X2589_0</v>
          </cell>
          <cell r="H6638" t="str">
            <v>as-as</v>
          </cell>
          <cell r="I6638" t="str">
            <v>sim</v>
          </cell>
          <cell r="V6638" t="str">
            <v>not neg pair</v>
          </cell>
          <cell r="Y6638" t="str">
            <v>Past</v>
          </cell>
          <cell r="Z6638">
            <v>2.81</v>
          </cell>
          <cell r="AA6638">
            <v>0</v>
          </cell>
          <cell r="AB6638">
            <v>0</v>
          </cell>
        </row>
        <row r="6639">
          <cell r="G6639" t="str">
            <v>X2589_1</v>
          </cell>
          <cell r="H6639" t="str">
            <v>as-as</v>
          </cell>
          <cell r="I6639" t="str">
            <v>sim</v>
          </cell>
          <cell r="V6639" t="str">
            <v>not neg pair</v>
          </cell>
          <cell r="Y6639" t="str">
            <v>Past</v>
          </cell>
          <cell r="Z6639">
            <v>2.81</v>
          </cell>
          <cell r="AA6639">
            <v>0</v>
          </cell>
          <cell r="AB6639">
            <v>0</v>
          </cell>
        </row>
        <row r="6640">
          <cell r="G6640" t="str">
            <v>X2590_0</v>
          </cell>
          <cell r="H6640" t="str">
            <v>as-as</v>
          </cell>
          <cell r="I6640" t="str">
            <v>sim</v>
          </cell>
          <cell r="V6640" t="str">
            <v>not neg pair</v>
          </cell>
          <cell r="Y6640" t="str">
            <v>Past</v>
          </cell>
          <cell r="Z6640">
            <v>3.93</v>
          </cell>
          <cell r="AA6640">
            <v>0</v>
          </cell>
          <cell r="AB6640">
            <v>0</v>
          </cell>
        </row>
        <row r="6641">
          <cell r="G6641" t="str">
            <v>X2590_1</v>
          </cell>
          <cell r="H6641" t="str">
            <v>as-as</v>
          </cell>
          <cell r="I6641" t="str">
            <v>sim</v>
          </cell>
          <cell r="V6641" t="str">
            <v>not neg pair</v>
          </cell>
          <cell r="Y6641" t="str">
            <v>Past</v>
          </cell>
          <cell r="Z6641">
            <v>3.93</v>
          </cell>
          <cell r="AA6641">
            <v>0</v>
          </cell>
          <cell r="AB6641">
            <v>0</v>
          </cell>
        </row>
        <row r="6642">
          <cell r="G6642" t="str">
            <v>X2591_0</v>
          </cell>
          <cell r="H6642" t="str">
            <v>as-as</v>
          </cell>
          <cell r="I6642" t="str">
            <v>sim</v>
          </cell>
          <cell r="V6642" t="str">
            <v>not neg pair</v>
          </cell>
          <cell r="Y6642" t="str">
            <v>Past</v>
          </cell>
          <cell r="Z6642">
            <v>3.93</v>
          </cell>
          <cell r="AA6642">
            <v>0</v>
          </cell>
          <cell r="AB6642">
            <v>0</v>
          </cell>
        </row>
        <row r="6643">
          <cell r="G6643" t="str">
            <v>X2591_1</v>
          </cell>
          <cell r="H6643" t="str">
            <v>as-as</v>
          </cell>
          <cell r="I6643" t="str">
            <v>sim</v>
          </cell>
          <cell r="V6643" t="str">
            <v>not neg pair</v>
          </cell>
          <cell r="Y6643" t="str">
            <v>Past</v>
          </cell>
          <cell r="Z6643">
            <v>3.93</v>
          </cell>
          <cell r="AA6643">
            <v>0</v>
          </cell>
          <cell r="AB6643">
            <v>0</v>
          </cell>
        </row>
        <row r="6644">
          <cell r="G6644" t="str">
            <v>X2592_0</v>
          </cell>
          <cell r="H6644" t="str">
            <v>the-of</v>
          </cell>
          <cell r="I6644" t="str">
            <v>sim</v>
          </cell>
          <cell r="V6644" t="str">
            <v>not</v>
          </cell>
          <cell r="Y6644" t="str">
            <v>Past</v>
          </cell>
          <cell r="Z6644">
            <v>3.93</v>
          </cell>
          <cell r="AA6644">
            <v>0</v>
          </cell>
          <cell r="AB6644">
            <v>0</v>
          </cell>
        </row>
        <row r="6645">
          <cell r="G6645" t="str">
            <v>X2592_1</v>
          </cell>
          <cell r="H6645" t="str">
            <v>the-of</v>
          </cell>
          <cell r="I6645" t="str">
            <v>sim</v>
          </cell>
          <cell r="V6645" t="str">
            <v>not</v>
          </cell>
          <cell r="Y6645" t="str">
            <v>Past</v>
          </cell>
          <cell r="Z6645">
            <v>3.93</v>
          </cell>
          <cell r="AA6645">
            <v>0</v>
          </cell>
          <cell r="AB6645">
            <v>0</v>
          </cell>
        </row>
        <row r="6646">
          <cell r="G6646" t="str">
            <v>X2593_0</v>
          </cell>
          <cell r="H6646" t="str">
            <v>the-of</v>
          </cell>
          <cell r="I6646" t="str">
            <v>sim</v>
          </cell>
          <cell r="V6646" t="str">
            <v>not</v>
          </cell>
          <cell r="Y6646" t="str">
            <v>Past</v>
          </cell>
          <cell r="Z6646">
            <v>3.97</v>
          </cell>
          <cell r="AA6646">
            <v>0</v>
          </cell>
          <cell r="AB6646">
            <v>0</v>
          </cell>
        </row>
        <row r="6647">
          <cell r="G6647" t="str">
            <v>X2593_1</v>
          </cell>
          <cell r="H6647" t="str">
            <v>the-of</v>
          </cell>
          <cell r="I6647" t="str">
            <v>sim</v>
          </cell>
          <cell r="V6647" t="str">
            <v>not</v>
          </cell>
          <cell r="Y6647" t="str">
            <v>Past</v>
          </cell>
          <cell r="Z6647">
            <v>3.97</v>
          </cell>
          <cell r="AA6647">
            <v>0</v>
          </cell>
          <cell r="AB6647">
            <v>0</v>
          </cell>
        </row>
        <row r="6648">
          <cell r="G6648" t="str">
            <v>X2594_0</v>
          </cell>
          <cell r="H6648" t="str">
            <v>like</v>
          </cell>
          <cell r="I6648" t="str">
            <v>sim</v>
          </cell>
          <cell r="V6648" t="str">
            <v>not neg pair</v>
          </cell>
          <cell r="Y6648" t="str">
            <v>Past</v>
          </cell>
          <cell r="Z6648">
            <v>2.5</v>
          </cell>
          <cell r="AA6648" t="str">
            <v>L</v>
          </cell>
          <cell r="AB6648">
            <v>0</v>
          </cell>
        </row>
        <row r="6649">
          <cell r="G6649" t="str">
            <v>X2594_1</v>
          </cell>
          <cell r="H6649" t="str">
            <v>like</v>
          </cell>
          <cell r="I6649" t="str">
            <v>sim</v>
          </cell>
          <cell r="V6649" t="str">
            <v>not neg pair</v>
          </cell>
          <cell r="Y6649" t="str">
            <v>Past</v>
          </cell>
          <cell r="Z6649">
            <v>2.5</v>
          </cell>
          <cell r="AA6649" t="str">
            <v>L</v>
          </cell>
          <cell r="AB6649">
            <v>0</v>
          </cell>
        </row>
        <row r="6650">
          <cell r="G6650" t="str">
            <v>X2595_0</v>
          </cell>
          <cell r="H6650" t="str">
            <v>as-as</v>
          </cell>
          <cell r="I6650" t="str">
            <v>sim</v>
          </cell>
          <cell r="V6650" t="str">
            <v>not neg pair</v>
          </cell>
          <cell r="Y6650" t="str">
            <v>Past</v>
          </cell>
          <cell r="Z6650">
            <v>3.93</v>
          </cell>
          <cell r="AA6650">
            <v>0</v>
          </cell>
          <cell r="AB6650">
            <v>0</v>
          </cell>
        </row>
        <row r="6651">
          <cell r="G6651" t="str">
            <v>X2595_1</v>
          </cell>
          <cell r="H6651" t="str">
            <v>as-as</v>
          </cell>
          <cell r="I6651" t="str">
            <v>sim</v>
          </cell>
          <cell r="V6651" t="str">
            <v>not neg pair</v>
          </cell>
          <cell r="Y6651" t="str">
            <v>Past</v>
          </cell>
          <cell r="Z6651">
            <v>3.93</v>
          </cell>
          <cell r="AA6651">
            <v>0</v>
          </cell>
          <cell r="AB6651">
            <v>0</v>
          </cell>
        </row>
        <row r="6652">
          <cell r="G6652" t="str">
            <v>X2596_0</v>
          </cell>
          <cell r="H6652" t="str">
            <v>as-as</v>
          </cell>
          <cell r="I6652" t="str">
            <v>sim</v>
          </cell>
          <cell r="V6652" t="str">
            <v>not neg pair</v>
          </cell>
          <cell r="Y6652" t="str">
            <v>Pres</v>
          </cell>
          <cell r="Z6652">
            <v>3.85</v>
          </cell>
          <cell r="AA6652">
            <v>0</v>
          </cell>
          <cell r="AB6652">
            <v>0</v>
          </cell>
        </row>
        <row r="6653">
          <cell r="G6653" t="str">
            <v>X2596_1</v>
          </cell>
          <cell r="H6653" t="str">
            <v>as-as</v>
          </cell>
          <cell r="I6653" t="str">
            <v>sim</v>
          </cell>
          <cell r="V6653" t="str">
            <v>not neg pair</v>
          </cell>
          <cell r="Y6653" t="str">
            <v>Pres</v>
          </cell>
          <cell r="Z6653">
            <v>3.85</v>
          </cell>
          <cell r="AA6653">
            <v>0</v>
          </cell>
          <cell r="AB6653">
            <v>0</v>
          </cell>
        </row>
        <row r="6654">
          <cell r="G6654" t="str">
            <v>X2597_0</v>
          </cell>
          <cell r="H6654" t="str">
            <v>as-as</v>
          </cell>
          <cell r="I6654" t="str">
            <v>sim</v>
          </cell>
          <cell r="V6654" t="str">
            <v>not neg pair</v>
          </cell>
          <cell r="Y6654" t="str">
            <v>Pres</v>
          </cell>
          <cell r="Z6654">
            <v>5</v>
          </cell>
          <cell r="AA6654" t="str">
            <v>H</v>
          </cell>
          <cell r="AB6654">
            <v>0</v>
          </cell>
        </row>
        <row r="6655">
          <cell r="G6655" t="str">
            <v>X2597_1</v>
          </cell>
          <cell r="H6655" t="str">
            <v>as-as</v>
          </cell>
          <cell r="I6655" t="str">
            <v>sim</v>
          </cell>
          <cell r="V6655" t="str">
            <v>not neg pair</v>
          </cell>
          <cell r="Y6655" t="str">
            <v>Pres</v>
          </cell>
          <cell r="Z6655">
            <v>5</v>
          </cell>
          <cell r="AA6655" t="str">
            <v>H</v>
          </cell>
          <cell r="AB6655">
            <v>0</v>
          </cell>
        </row>
        <row r="6656">
          <cell r="G6656" t="str">
            <v>X2598_0</v>
          </cell>
          <cell r="H6656" t="str">
            <v>the-of</v>
          </cell>
          <cell r="I6656" t="str">
            <v>sim</v>
          </cell>
          <cell r="V6656" t="str">
            <v>not neg pair</v>
          </cell>
          <cell r="Y6656" t="str">
            <v>Pres</v>
          </cell>
          <cell r="Z6656">
            <v>4.7300000000000004</v>
          </cell>
          <cell r="AA6656">
            <v>0</v>
          </cell>
          <cell r="AB6656">
            <v>0</v>
          </cell>
        </row>
        <row r="6657">
          <cell r="G6657" t="str">
            <v>X2598_1</v>
          </cell>
          <cell r="H6657" t="str">
            <v>the-of</v>
          </cell>
          <cell r="I6657" t="str">
            <v>sim</v>
          </cell>
          <cell r="V6657" t="str">
            <v>not neg pair</v>
          </cell>
          <cell r="Y6657" t="str">
            <v>Pres</v>
          </cell>
          <cell r="Z6657">
            <v>4.7300000000000004</v>
          </cell>
          <cell r="AA6657">
            <v>0</v>
          </cell>
          <cell r="AB6657">
            <v>0</v>
          </cell>
        </row>
        <row r="6658">
          <cell r="G6658" t="str">
            <v>X2599_0</v>
          </cell>
          <cell r="H6658" t="str">
            <v>as-as</v>
          </cell>
          <cell r="I6658" t="str">
            <v>sim</v>
          </cell>
          <cell r="V6658" t="str">
            <v>not neg pair</v>
          </cell>
          <cell r="Y6658" t="str">
            <v>Pres</v>
          </cell>
          <cell r="Z6658">
            <v>4.92</v>
          </cell>
          <cell r="AA6658" t="str">
            <v>H</v>
          </cell>
          <cell r="AB6658">
            <v>0</v>
          </cell>
        </row>
        <row r="6659">
          <cell r="G6659" t="str">
            <v>X2599_1</v>
          </cell>
          <cell r="H6659" t="str">
            <v>as-as</v>
          </cell>
          <cell r="I6659" t="str">
            <v>sim</v>
          </cell>
          <cell r="V6659" t="str">
            <v>not neg pair</v>
          </cell>
          <cell r="Y6659" t="str">
            <v>Pres</v>
          </cell>
          <cell r="Z6659">
            <v>4.92</v>
          </cell>
          <cell r="AA6659" t="str">
            <v>H</v>
          </cell>
          <cell r="AB6659">
            <v>0</v>
          </cell>
        </row>
        <row r="6660">
          <cell r="G6660" t="str">
            <v>X2600_0</v>
          </cell>
          <cell r="H6660" t="str">
            <v>as-as</v>
          </cell>
          <cell r="I6660" t="str">
            <v>sim</v>
          </cell>
          <cell r="V6660" t="str">
            <v>not neg pair</v>
          </cell>
          <cell r="Y6660" t="str">
            <v>Pres</v>
          </cell>
          <cell r="Z6660">
            <v>4.79</v>
          </cell>
          <cell r="AA6660">
            <v>0</v>
          </cell>
          <cell r="AB6660">
            <v>0</v>
          </cell>
        </row>
        <row r="6661">
          <cell r="G6661" t="str">
            <v>X2600_1</v>
          </cell>
          <cell r="H6661" t="str">
            <v>as-as</v>
          </cell>
          <cell r="I6661" t="str">
            <v>sim</v>
          </cell>
          <cell r="V6661" t="str">
            <v>not neg pair</v>
          </cell>
          <cell r="Y6661" t="str">
            <v>Pres</v>
          </cell>
          <cell r="Z6661">
            <v>4.79</v>
          </cell>
          <cell r="AA6661">
            <v>0</v>
          </cell>
          <cell r="AB6661">
            <v>0</v>
          </cell>
        </row>
        <row r="6662">
          <cell r="G6662" t="str">
            <v>X2601_0</v>
          </cell>
          <cell r="H6662" t="str">
            <v>as</v>
          </cell>
          <cell r="I6662" t="str">
            <v>sim</v>
          </cell>
          <cell r="V6662" t="str">
            <v>not neg pair</v>
          </cell>
          <cell r="Y6662" t="str">
            <v>Pres</v>
          </cell>
          <cell r="Z6662">
            <v>4.8</v>
          </cell>
          <cell r="AA6662">
            <v>0</v>
          </cell>
          <cell r="AB6662">
            <v>0</v>
          </cell>
        </row>
        <row r="6663">
          <cell r="G6663" t="str">
            <v>X2601_1</v>
          </cell>
          <cell r="H6663" t="str">
            <v>as</v>
          </cell>
          <cell r="I6663" t="str">
            <v>sim</v>
          </cell>
          <cell r="V6663" t="str">
            <v>not neg pair</v>
          </cell>
          <cell r="Y6663" t="str">
            <v>Pres</v>
          </cell>
          <cell r="Z6663">
            <v>4.8</v>
          </cell>
          <cell r="AA6663">
            <v>0</v>
          </cell>
          <cell r="AB6663">
            <v>0</v>
          </cell>
        </row>
        <row r="6664">
          <cell r="G6664" t="str">
            <v>X2602_0</v>
          </cell>
          <cell r="H6664" t="str">
            <v>like</v>
          </cell>
          <cell r="I6664" t="str">
            <v>sim</v>
          </cell>
          <cell r="V6664" t="str">
            <v>not</v>
          </cell>
          <cell r="Y6664" t="str">
            <v>Past</v>
          </cell>
          <cell r="Z6664">
            <v>4.8499999999999996</v>
          </cell>
          <cell r="AA6664">
            <v>0</v>
          </cell>
          <cell r="AB6664">
            <v>0</v>
          </cell>
        </row>
        <row r="6665">
          <cell r="G6665" t="str">
            <v>X2602_1</v>
          </cell>
          <cell r="H6665" t="str">
            <v>like</v>
          </cell>
          <cell r="I6665" t="str">
            <v>sim</v>
          </cell>
          <cell r="V6665" t="str">
            <v>not</v>
          </cell>
          <cell r="Y6665" t="str">
            <v>Past</v>
          </cell>
          <cell r="Z6665">
            <v>4.8499999999999996</v>
          </cell>
          <cell r="AA6665">
            <v>0</v>
          </cell>
          <cell r="AB6665">
            <v>0</v>
          </cell>
        </row>
        <row r="6666">
          <cell r="G6666" t="str">
            <v>X2603_0</v>
          </cell>
          <cell r="H6666" t="str">
            <v>as-as</v>
          </cell>
          <cell r="I6666" t="str">
            <v>sim</v>
          </cell>
          <cell r="V6666" t="str">
            <v>not</v>
          </cell>
          <cell r="Y6666" t="str">
            <v>Past</v>
          </cell>
          <cell r="Z6666">
            <v>3.93</v>
          </cell>
          <cell r="AA6666">
            <v>0</v>
          </cell>
          <cell r="AB6666">
            <v>0</v>
          </cell>
        </row>
        <row r="6667">
          <cell r="G6667" t="str">
            <v>X2603_1</v>
          </cell>
          <cell r="H6667" t="str">
            <v>as-as</v>
          </cell>
          <cell r="I6667" t="str">
            <v>sim</v>
          </cell>
          <cell r="V6667" t="str">
            <v>not</v>
          </cell>
          <cell r="Y6667" t="str">
            <v>Past</v>
          </cell>
          <cell r="Z6667">
            <v>3.93</v>
          </cell>
          <cell r="AA6667">
            <v>0</v>
          </cell>
          <cell r="AB6667">
            <v>0</v>
          </cell>
        </row>
        <row r="6668">
          <cell r="G6668" t="str">
            <v>X2604_0</v>
          </cell>
          <cell r="H6668" t="str">
            <v>like</v>
          </cell>
          <cell r="I6668" t="str">
            <v>sim</v>
          </cell>
          <cell r="V6668" t="str">
            <v>not neg pair</v>
          </cell>
          <cell r="Y6668" t="str">
            <v>Past</v>
          </cell>
          <cell r="Z6668">
            <v>4.45</v>
          </cell>
          <cell r="AA6668">
            <v>0</v>
          </cell>
          <cell r="AB6668">
            <v>0</v>
          </cell>
        </row>
        <row r="6669">
          <cell r="G6669" t="str">
            <v>X2604_1</v>
          </cell>
          <cell r="H6669" t="str">
            <v>like</v>
          </cell>
          <cell r="I6669" t="str">
            <v>sim</v>
          </cell>
          <cell r="V6669" t="str">
            <v>not neg pair</v>
          </cell>
          <cell r="Y6669" t="str">
            <v>Past</v>
          </cell>
          <cell r="Z6669">
            <v>4.45</v>
          </cell>
          <cell r="AA6669">
            <v>0</v>
          </cell>
          <cell r="AB6669">
            <v>0</v>
          </cell>
        </row>
        <row r="6670">
          <cell r="G6670" t="str">
            <v>X2605_0</v>
          </cell>
          <cell r="H6670" t="str">
            <v/>
          </cell>
          <cell r="I6670" t="str">
            <v>met</v>
          </cell>
          <cell r="V6670" t="str">
            <v>0</v>
          </cell>
          <cell r="Y6670">
            <v>0</v>
          </cell>
          <cell r="Z6670">
            <v>3.14</v>
          </cell>
          <cell r="AA6670">
            <v>0</v>
          </cell>
          <cell r="AB6670">
            <v>0</v>
          </cell>
        </row>
        <row r="6671">
          <cell r="G6671" t="str">
            <v>X2605_1</v>
          </cell>
          <cell r="H6671" t="str">
            <v/>
          </cell>
          <cell r="I6671" t="str">
            <v>met</v>
          </cell>
          <cell r="V6671" t="str">
            <v>0</v>
          </cell>
          <cell r="Y6671" t="str">
            <v>Pres</v>
          </cell>
          <cell r="Z6671">
            <v>3.14</v>
          </cell>
          <cell r="AA6671">
            <v>0</v>
          </cell>
          <cell r="AB6671">
            <v>0</v>
          </cell>
        </row>
        <row r="6672">
          <cell r="G6672" t="str">
            <v>X2606_0</v>
          </cell>
          <cell r="H6672" t="str">
            <v/>
          </cell>
          <cell r="I6672" t="str">
            <v>met</v>
          </cell>
          <cell r="V6672" t="str">
            <v>0</v>
          </cell>
          <cell r="Y6672" t="str">
            <v>Pres</v>
          </cell>
          <cell r="Z6672">
            <v>0</v>
          </cell>
          <cell r="AA6672">
            <v>0</v>
          </cell>
          <cell r="AB6672">
            <v>0</v>
          </cell>
        </row>
        <row r="6673">
          <cell r="G6673" t="str">
            <v>X2606_1</v>
          </cell>
          <cell r="H6673" t="str">
            <v/>
          </cell>
          <cell r="I6673" t="str">
            <v>met</v>
          </cell>
          <cell r="V6673" t="str">
            <v>0</v>
          </cell>
          <cell r="Y6673" t="str">
            <v>Pres</v>
          </cell>
          <cell r="Z6673">
            <v>3.17</v>
          </cell>
          <cell r="AA6673">
            <v>0</v>
          </cell>
          <cell r="AB6673">
            <v>0</v>
          </cell>
        </row>
        <row r="6674">
          <cell r="G6674" t="str">
            <v>X2607_0</v>
          </cell>
          <cell r="H6674" t="str">
            <v/>
          </cell>
          <cell r="I6674" t="str">
            <v>met</v>
          </cell>
          <cell r="V6674" t="str">
            <v>0</v>
          </cell>
          <cell r="Y6674" t="str">
            <v>Past</v>
          </cell>
          <cell r="Z6674">
            <v>3.28</v>
          </cell>
          <cell r="AA6674">
            <v>0</v>
          </cell>
          <cell r="AB6674">
            <v>0</v>
          </cell>
        </row>
        <row r="6675">
          <cell r="G6675" t="str">
            <v>X2607_1</v>
          </cell>
          <cell r="H6675" t="str">
            <v/>
          </cell>
          <cell r="I6675" t="str">
            <v>met</v>
          </cell>
          <cell r="V6675" t="str">
            <v>0</v>
          </cell>
          <cell r="Y6675" t="str">
            <v>Past</v>
          </cell>
          <cell r="Z6675">
            <v>3.28</v>
          </cell>
          <cell r="AA6675">
            <v>0</v>
          </cell>
          <cell r="AB6675">
            <v>0</v>
          </cell>
        </row>
        <row r="6676">
          <cell r="G6676" t="str">
            <v>X2608_0</v>
          </cell>
          <cell r="H6676" t="str">
            <v>as-as</v>
          </cell>
          <cell r="I6676" t="str">
            <v>sim</v>
          </cell>
          <cell r="V6676" t="str">
            <v>antonym</v>
          </cell>
          <cell r="Y6676" t="str">
            <v>Pres</v>
          </cell>
          <cell r="Z6676">
            <v>4.8600000000000003</v>
          </cell>
          <cell r="AA6676">
            <v>0</v>
          </cell>
          <cell r="AB6676">
            <v>0</v>
          </cell>
        </row>
        <row r="6677">
          <cell r="G6677" t="str">
            <v>X2608_1</v>
          </cell>
          <cell r="H6677" t="str">
            <v>as-as</v>
          </cell>
          <cell r="I6677" t="str">
            <v>sim</v>
          </cell>
          <cell r="V6677" t="str">
            <v>antonym</v>
          </cell>
          <cell r="Y6677" t="str">
            <v>Pres</v>
          </cell>
          <cell r="Z6677">
            <v>4.8600000000000003</v>
          </cell>
          <cell r="AA6677">
            <v>0</v>
          </cell>
          <cell r="AB6677">
            <v>0</v>
          </cell>
        </row>
        <row r="6678">
          <cell r="G6678" t="str">
            <v>X2609_0</v>
          </cell>
          <cell r="H6678" t="str">
            <v/>
          </cell>
          <cell r="I6678" t="str">
            <v>met</v>
          </cell>
          <cell r="V6678" t="str">
            <v>0</v>
          </cell>
          <cell r="Y6678">
            <v>0</v>
          </cell>
          <cell r="Z6678">
            <v>4.46</v>
          </cell>
          <cell r="AA6678">
            <v>0</v>
          </cell>
          <cell r="AB6678">
            <v>0</v>
          </cell>
        </row>
        <row r="6679">
          <cell r="G6679" t="str">
            <v>X2609_1</v>
          </cell>
          <cell r="H6679" t="str">
            <v/>
          </cell>
          <cell r="I6679" t="str">
            <v>met</v>
          </cell>
          <cell r="V6679" t="str">
            <v>0</v>
          </cell>
          <cell r="Y6679">
            <v>0</v>
          </cell>
          <cell r="Z6679">
            <v>4.46</v>
          </cell>
          <cell r="AA6679">
            <v>0</v>
          </cell>
          <cell r="AB6679">
            <v>0</v>
          </cell>
        </row>
        <row r="6680">
          <cell r="G6680" t="str">
            <v>X2610_0</v>
          </cell>
          <cell r="H6680" t="str">
            <v>like</v>
          </cell>
          <cell r="I6680" t="str">
            <v>sim</v>
          </cell>
          <cell r="V6680" t="str">
            <v>not neg pair</v>
          </cell>
          <cell r="Y6680" t="str">
            <v>Pres</v>
          </cell>
          <cell r="Z6680">
            <v>4.41</v>
          </cell>
          <cell r="AA6680">
            <v>0</v>
          </cell>
          <cell r="AB6680">
            <v>0</v>
          </cell>
        </row>
        <row r="6681">
          <cell r="G6681" t="str">
            <v>X2610_1</v>
          </cell>
          <cell r="H6681" t="str">
            <v>like</v>
          </cell>
          <cell r="I6681" t="str">
            <v>sim</v>
          </cell>
          <cell r="V6681" t="str">
            <v>not neg pair</v>
          </cell>
          <cell r="Y6681" t="str">
            <v>Pres</v>
          </cell>
          <cell r="Z6681">
            <v>4.41</v>
          </cell>
          <cell r="AA6681">
            <v>0</v>
          </cell>
          <cell r="AB6681">
            <v>0</v>
          </cell>
        </row>
        <row r="6682">
          <cell r="G6682" t="str">
            <v>X2611_0</v>
          </cell>
          <cell r="H6682" t="str">
            <v>as-as</v>
          </cell>
          <cell r="I6682" t="str">
            <v>sim</v>
          </cell>
          <cell r="V6682" t="str">
            <v>not</v>
          </cell>
          <cell r="Y6682" t="str">
            <v>Past</v>
          </cell>
          <cell r="Z6682">
            <v>2.81</v>
          </cell>
          <cell r="AA6682">
            <v>0</v>
          </cell>
          <cell r="AB6682">
            <v>0</v>
          </cell>
        </row>
        <row r="6683">
          <cell r="G6683" t="str">
            <v>X2611_1</v>
          </cell>
          <cell r="H6683" t="str">
            <v>as-as</v>
          </cell>
          <cell r="I6683" t="str">
            <v>sim</v>
          </cell>
          <cell r="V6683" t="str">
            <v>not</v>
          </cell>
          <cell r="Y6683" t="str">
            <v>Past</v>
          </cell>
          <cell r="Z6683">
            <v>2.81</v>
          </cell>
          <cell r="AA6683">
            <v>0</v>
          </cell>
          <cell r="AB6683">
            <v>0</v>
          </cell>
        </row>
        <row r="6684">
          <cell r="G6684" t="str">
            <v>X2612_0</v>
          </cell>
          <cell r="H6684" t="str">
            <v>as-as</v>
          </cell>
          <cell r="I6684" t="str">
            <v>sim</v>
          </cell>
          <cell r="V6684" t="str">
            <v>not neg pair</v>
          </cell>
          <cell r="Y6684" t="str">
            <v>Past</v>
          </cell>
          <cell r="Z6684">
            <v>2.81</v>
          </cell>
          <cell r="AA6684">
            <v>0</v>
          </cell>
          <cell r="AB6684">
            <v>0</v>
          </cell>
        </row>
        <row r="6685">
          <cell r="G6685" t="str">
            <v>X2612_1</v>
          </cell>
          <cell r="H6685" t="str">
            <v>as-as</v>
          </cell>
          <cell r="I6685" t="str">
            <v>sim</v>
          </cell>
          <cell r="V6685" t="str">
            <v>not neg pair</v>
          </cell>
          <cell r="Y6685" t="str">
            <v>Past</v>
          </cell>
          <cell r="Z6685">
            <v>2.81</v>
          </cell>
          <cell r="AA6685">
            <v>0</v>
          </cell>
          <cell r="AB6685">
            <v>0</v>
          </cell>
        </row>
        <row r="6686">
          <cell r="G6686" t="str">
            <v>X2613_0</v>
          </cell>
          <cell r="H6686" t="str">
            <v>as-as</v>
          </cell>
          <cell r="I6686" t="str">
            <v>sim</v>
          </cell>
          <cell r="V6686" t="str">
            <v>not neg pair</v>
          </cell>
          <cell r="Y6686" t="str">
            <v>Past</v>
          </cell>
          <cell r="Z6686">
            <v>2.81</v>
          </cell>
          <cell r="AA6686">
            <v>0</v>
          </cell>
          <cell r="AB6686">
            <v>0</v>
          </cell>
        </row>
        <row r="6687">
          <cell r="G6687" t="str">
            <v>X2613_1</v>
          </cell>
          <cell r="H6687" t="str">
            <v>as-as</v>
          </cell>
          <cell r="I6687" t="str">
            <v>sim</v>
          </cell>
          <cell r="V6687" t="str">
            <v>not neg pair</v>
          </cell>
          <cell r="Y6687" t="str">
            <v>Past</v>
          </cell>
          <cell r="Z6687">
            <v>2.81</v>
          </cell>
          <cell r="AA6687">
            <v>0</v>
          </cell>
          <cell r="AB6687">
            <v>0</v>
          </cell>
        </row>
        <row r="6688">
          <cell r="G6688" t="str">
            <v>X2614_0</v>
          </cell>
          <cell r="H6688" t="str">
            <v>as-as</v>
          </cell>
          <cell r="I6688" t="str">
            <v>sim</v>
          </cell>
          <cell r="V6688" t="str">
            <v>antonym</v>
          </cell>
          <cell r="Y6688" t="str">
            <v>Pres</v>
          </cell>
          <cell r="Z6688">
            <v>4.8899999999999997</v>
          </cell>
          <cell r="AA6688">
            <v>0</v>
          </cell>
          <cell r="AB6688">
            <v>0</v>
          </cell>
        </row>
        <row r="6689">
          <cell r="G6689" t="str">
            <v>X2614_1</v>
          </cell>
          <cell r="H6689" t="str">
            <v>as-as</v>
          </cell>
          <cell r="I6689" t="str">
            <v>sim</v>
          </cell>
          <cell r="V6689" t="str">
            <v>antonym</v>
          </cell>
          <cell r="Y6689" t="str">
            <v>Pres</v>
          </cell>
          <cell r="Z6689">
            <v>4.8899999999999997</v>
          </cell>
          <cell r="AA6689">
            <v>0</v>
          </cell>
          <cell r="AB6689">
            <v>0</v>
          </cell>
        </row>
        <row r="6690">
          <cell r="G6690" t="str">
            <v>X2615_0</v>
          </cell>
          <cell r="H6690" t="str">
            <v>like</v>
          </cell>
          <cell r="I6690" t="str">
            <v>sim</v>
          </cell>
          <cell r="V6690" t="str">
            <v>not neg pair</v>
          </cell>
          <cell r="Y6690" t="str">
            <v>Pres</v>
          </cell>
          <cell r="Z6690">
            <v>2.93</v>
          </cell>
          <cell r="AA6690">
            <v>0</v>
          </cell>
          <cell r="AB6690">
            <v>0</v>
          </cell>
        </row>
        <row r="6691">
          <cell r="G6691" t="str">
            <v>X2615_1</v>
          </cell>
          <cell r="H6691" t="str">
            <v>like</v>
          </cell>
          <cell r="I6691" t="str">
            <v>sim</v>
          </cell>
          <cell r="V6691" t="str">
            <v>not neg pair</v>
          </cell>
          <cell r="Y6691" t="str">
            <v>Pres</v>
          </cell>
          <cell r="Z6691">
            <v>2.93</v>
          </cell>
          <cell r="AA6691">
            <v>0</v>
          </cell>
          <cell r="AB6691">
            <v>0</v>
          </cell>
        </row>
        <row r="6692">
          <cell r="G6692" t="str">
            <v>X2616_0</v>
          </cell>
          <cell r="H6692" t="str">
            <v>as-as</v>
          </cell>
          <cell r="I6692" t="str">
            <v>sim</v>
          </cell>
          <cell r="V6692" t="str">
            <v>antonym</v>
          </cell>
          <cell r="Y6692" t="str">
            <v>Past</v>
          </cell>
          <cell r="Z6692">
            <v>4.25</v>
          </cell>
          <cell r="AA6692">
            <v>0</v>
          </cell>
          <cell r="AB6692">
            <v>0</v>
          </cell>
        </row>
        <row r="6693">
          <cell r="G6693" t="str">
            <v>X2616_1</v>
          </cell>
          <cell r="H6693" t="str">
            <v>as-as</v>
          </cell>
          <cell r="I6693" t="str">
            <v>sim</v>
          </cell>
          <cell r="V6693" t="str">
            <v>antonym</v>
          </cell>
          <cell r="Y6693" t="str">
            <v>Past</v>
          </cell>
          <cell r="Z6693">
            <v>4.25</v>
          </cell>
          <cell r="AA6693">
            <v>0</v>
          </cell>
          <cell r="AB6693">
            <v>0</v>
          </cell>
        </row>
        <row r="6694">
          <cell r="G6694" t="str">
            <v>X2617_0</v>
          </cell>
          <cell r="H6694" t="str">
            <v/>
          </cell>
          <cell r="I6694" t="str">
            <v>met</v>
          </cell>
          <cell r="V6694" t="str">
            <v>0</v>
          </cell>
          <cell r="Y6694" t="str">
            <v>Pres</v>
          </cell>
          <cell r="Z6694">
            <v>3.93</v>
          </cell>
          <cell r="AA6694">
            <v>0</v>
          </cell>
          <cell r="AB6694">
            <v>0</v>
          </cell>
        </row>
        <row r="6695">
          <cell r="G6695" t="str">
            <v>X2617_1</v>
          </cell>
          <cell r="H6695" t="str">
            <v/>
          </cell>
          <cell r="I6695" t="str">
            <v>met</v>
          </cell>
          <cell r="V6695" t="str">
            <v>0</v>
          </cell>
          <cell r="Y6695" t="str">
            <v>Pres</v>
          </cell>
          <cell r="Z6695">
            <v>3.93</v>
          </cell>
          <cell r="AA6695">
            <v>0</v>
          </cell>
          <cell r="AB6695">
            <v>0</v>
          </cell>
        </row>
        <row r="6696">
          <cell r="G6696" t="str">
            <v>X2618_0</v>
          </cell>
          <cell r="H6696" t="str">
            <v>like</v>
          </cell>
          <cell r="I6696" t="str">
            <v>sim</v>
          </cell>
          <cell r="V6696" t="str">
            <v>not neg pair</v>
          </cell>
          <cell r="Y6696" t="str">
            <v>Past</v>
          </cell>
          <cell r="Z6696">
            <v>3.9</v>
          </cell>
          <cell r="AA6696">
            <v>0</v>
          </cell>
          <cell r="AB6696">
            <v>0</v>
          </cell>
        </row>
        <row r="6697">
          <cell r="G6697" t="str">
            <v>X2618_1</v>
          </cell>
          <cell r="H6697" t="str">
            <v>like</v>
          </cell>
          <cell r="I6697" t="str">
            <v>sim</v>
          </cell>
          <cell r="V6697" t="str">
            <v>not neg pair</v>
          </cell>
          <cell r="Y6697" t="str">
            <v>Past</v>
          </cell>
          <cell r="Z6697">
            <v>3.9</v>
          </cell>
          <cell r="AA6697">
            <v>0</v>
          </cell>
          <cell r="AB6697">
            <v>0</v>
          </cell>
        </row>
        <row r="6698">
          <cell r="G6698" t="str">
            <v>X2619_0</v>
          </cell>
          <cell r="H6698" t="str">
            <v>like</v>
          </cell>
          <cell r="I6698" t="str">
            <v>sim</v>
          </cell>
          <cell r="V6698" t="str">
            <v>not</v>
          </cell>
          <cell r="Y6698" t="str">
            <v>Past</v>
          </cell>
          <cell r="Z6698">
            <v>2.93</v>
          </cell>
          <cell r="AA6698">
            <v>0</v>
          </cell>
          <cell r="AB6698">
            <v>0</v>
          </cell>
        </row>
        <row r="6699">
          <cell r="G6699" t="str">
            <v>X2619_1</v>
          </cell>
          <cell r="H6699" t="str">
            <v>like</v>
          </cell>
          <cell r="I6699" t="str">
            <v>sim</v>
          </cell>
          <cell r="V6699" t="str">
            <v>not</v>
          </cell>
          <cell r="Y6699" t="str">
            <v>Past</v>
          </cell>
          <cell r="Z6699">
            <v>2.93</v>
          </cell>
          <cell r="AA6699">
            <v>0</v>
          </cell>
          <cell r="AB6699">
            <v>0</v>
          </cell>
        </row>
        <row r="6700">
          <cell r="G6700" t="str">
            <v>X2620_0</v>
          </cell>
          <cell r="H6700" t="str">
            <v>the-of</v>
          </cell>
          <cell r="I6700" t="str">
            <v>sim</v>
          </cell>
          <cell r="V6700" t="str">
            <v>not neg pair</v>
          </cell>
          <cell r="Y6700" t="str">
            <v>Past</v>
          </cell>
          <cell r="Z6700">
            <v>4.59</v>
          </cell>
          <cell r="AA6700">
            <v>0</v>
          </cell>
          <cell r="AB6700">
            <v>0</v>
          </cell>
        </row>
        <row r="6701">
          <cell r="G6701" t="str">
            <v>X2620_1</v>
          </cell>
          <cell r="H6701" t="str">
            <v>the-of</v>
          </cell>
          <cell r="I6701" t="str">
            <v>sim</v>
          </cell>
          <cell r="V6701" t="str">
            <v>not neg pair</v>
          </cell>
          <cell r="Y6701" t="str">
            <v>Past</v>
          </cell>
          <cell r="Z6701">
            <v>4.59</v>
          </cell>
          <cell r="AA6701">
            <v>0</v>
          </cell>
          <cell r="AB6701">
            <v>0</v>
          </cell>
        </row>
        <row r="6702">
          <cell r="G6702" t="str">
            <v>X2621_0</v>
          </cell>
          <cell r="H6702" t="str">
            <v>as-as</v>
          </cell>
          <cell r="I6702" t="str">
            <v>sim</v>
          </cell>
          <cell r="V6702" t="str">
            <v>not</v>
          </cell>
          <cell r="Y6702" t="str">
            <v>Past</v>
          </cell>
          <cell r="Z6702">
            <v>4.88</v>
          </cell>
          <cell r="AA6702">
            <v>0</v>
          </cell>
          <cell r="AB6702">
            <v>0</v>
          </cell>
        </row>
        <row r="6703">
          <cell r="G6703" t="str">
            <v>X2621_1</v>
          </cell>
          <cell r="H6703" t="str">
            <v>as-as</v>
          </cell>
          <cell r="I6703" t="str">
            <v>sim</v>
          </cell>
          <cell r="V6703" t="str">
            <v>not</v>
          </cell>
          <cell r="Y6703" t="str">
            <v>Past</v>
          </cell>
          <cell r="Z6703">
            <v>4.88</v>
          </cell>
          <cell r="AA6703">
            <v>0</v>
          </cell>
          <cell r="AB6703">
            <v>0</v>
          </cell>
        </row>
        <row r="6704">
          <cell r="G6704" t="str">
            <v>X2622_0</v>
          </cell>
          <cell r="H6704" t="str">
            <v/>
          </cell>
          <cell r="I6704" t="str">
            <v>met</v>
          </cell>
          <cell r="V6704" t="str">
            <v>0</v>
          </cell>
          <cell r="Y6704" t="str">
            <v>Pres</v>
          </cell>
          <cell r="Z6704">
            <v>3.5</v>
          </cell>
          <cell r="AA6704">
            <v>0</v>
          </cell>
          <cell r="AB6704">
            <v>0</v>
          </cell>
        </row>
        <row r="6705">
          <cell r="G6705" t="str">
            <v>X2622_1</v>
          </cell>
          <cell r="H6705" t="str">
            <v/>
          </cell>
          <cell r="I6705" t="str">
            <v>met</v>
          </cell>
          <cell r="V6705" t="str">
            <v>0</v>
          </cell>
          <cell r="Y6705" t="str">
            <v>Pres</v>
          </cell>
          <cell r="Z6705">
            <v>3.5</v>
          </cell>
          <cell r="AA6705">
            <v>0</v>
          </cell>
          <cell r="AB6705">
            <v>0</v>
          </cell>
        </row>
        <row r="6706">
          <cell r="G6706" t="str">
            <v>X2623_0</v>
          </cell>
          <cell r="H6706" t="str">
            <v/>
          </cell>
          <cell r="I6706" t="str">
            <v>met</v>
          </cell>
          <cell r="V6706" t="str">
            <v>0</v>
          </cell>
          <cell r="Y6706" t="str">
            <v>Past</v>
          </cell>
          <cell r="Z6706">
            <v>4.3499999999999996</v>
          </cell>
          <cell r="AA6706">
            <v>0</v>
          </cell>
          <cell r="AB6706">
            <v>0</v>
          </cell>
        </row>
        <row r="6707">
          <cell r="G6707" t="str">
            <v>X2623_1</v>
          </cell>
          <cell r="H6707" t="str">
            <v/>
          </cell>
          <cell r="I6707" t="str">
            <v>met</v>
          </cell>
          <cell r="V6707" t="str">
            <v>0</v>
          </cell>
          <cell r="Y6707" t="str">
            <v>Past</v>
          </cell>
          <cell r="Z6707">
            <v>4.3499999999999996</v>
          </cell>
          <cell r="AA6707">
            <v>0</v>
          </cell>
          <cell r="AB6707">
            <v>0</v>
          </cell>
        </row>
        <row r="6708">
          <cell r="G6708" t="str">
            <v>X2624_0</v>
          </cell>
          <cell r="H6708" t="str">
            <v/>
          </cell>
          <cell r="I6708" t="str">
            <v>met</v>
          </cell>
          <cell r="V6708" t="str">
            <v>0</v>
          </cell>
          <cell r="Y6708" t="str">
            <v>Pres</v>
          </cell>
          <cell r="Z6708">
            <v>4.8899999999999997</v>
          </cell>
          <cell r="AA6708">
            <v>0</v>
          </cell>
          <cell r="AB6708">
            <v>0</v>
          </cell>
        </row>
        <row r="6709">
          <cell r="G6709" t="str">
            <v>X2624_1</v>
          </cell>
          <cell r="H6709" t="str">
            <v/>
          </cell>
          <cell r="I6709" t="str">
            <v>met</v>
          </cell>
          <cell r="V6709" t="str">
            <v>0</v>
          </cell>
          <cell r="Y6709" t="str">
            <v>Pres</v>
          </cell>
          <cell r="Z6709">
            <v>4.8899999999999997</v>
          </cell>
          <cell r="AA6709">
            <v>0</v>
          </cell>
          <cell r="AB6709">
            <v>0</v>
          </cell>
        </row>
        <row r="6710">
          <cell r="G6710" t="str">
            <v>X2625_0</v>
          </cell>
          <cell r="H6710" t="str">
            <v>like</v>
          </cell>
          <cell r="I6710" t="str">
            <v>sim</v>
          </cell>
          <cell r="V6710" t="str">
            <v>not</v>
          </cell>
          <cell r="Y6710" t="str">
            <v>Pres</v>
          </cell>
          <cell r="Z6710">
            <v>3.93</v>
          </cell>
          <cell r="AA6710">
            <v>0</v>
          </cell>
          <cell r="AB6710">
            <v>0</v>
          </cell>
        </row>
        <row r="6711">
          <cell r="G6711" t="str">
            <v>X2625_1</v>
          </cell>
          <cell r="H6711" t="str">
            <v>like</v>
          </cell>
          <cell r="I6711" t="str">
            <v>sim</v>
          </cell>
          <cell r="V6711" t="str">
            <v>not</v>
          </cell>
          <cell r="Y6711">
            <v>0</v>
          </cell>
          <cell r="Z6711">
            <v>3.93</v>
          </cell>
          <cell r="AA6711">
            <v>0</v>
          </cell>
          <cell r="AB6711">
            <v>0</v>
          </cell>
        </row>
        <row r="6712">
          <cell r="G6712" t="str">
            <v>X2626_0</v>
          </cell>
          <cell r="H6712" t="str">
            <v>as-as</v>
          </cell>
          <cell r="I6712" t="str">
            <v>sim</v>
          </cell>
          <cell r="V6712" t="str">
            <v>not neg pair</v>
          </cell>
          <cell r="Y6712" t="str">
            <v>Pres</v>
          </cell>
          <cell r="Z6712">
            <v>4.82</v>
          </cell>
          <cell r="AA6712">
            <v>0</v>
          </cell>
          <cell r="AB6712">
            <v>0</v>
          </cell>
        </row>
        <row r="6713">
          <cell r="G6713" t="str">
            <v>X2626_1</v>
          </cell>
          <cell r="H6713" t="str">
            <v>as-as</v>
          </cell>
          <cell r="I6713" t="str">
            <v>sim</v>
          </cell>
          <cell r="V6713" t="str">
            <v>not neg pair</v>
          </cell>
          <cell r="Y6713" t="str">
            <v>Pres</v>
          </cell>
          <cell r="Z6713">
            <v>4.82</v>
          </cell>
          <cell r="AA6713">
            <v>0</v>
          </cell>
          <cell r="AB6713">
            <v>0</v>
          </cell>
        </row>
        <row r="6714">
          <cell r="G6714" t="str">
            <v>X2627_0</v>
          </cell>
          <cell r="H6714" t="str">
            <v>the-of</v>
          </cell>
          <cell r="I6714" t="str">
            <v>sim</v>
          </cell>
          <cell r="V6714" t="str">
            <v>not neg pair</v>
          </cell>
          <cell r="Y6714" t="str">
            <v>Past</v>
          </cell>
          <cell r="Z6714">
            <v>4.93</v>
          </cell>
          <cell r="AA6714" t="str">
            <v>H</v>
          </cell>
          <cell r="AB6714">
            <v>0</v>
          </cell>
        </row>
        <row r="6715">
          <cell r="G6715" t="str">
            <v>X2627_1</v>
          </cell>
          <cell r="H6715" t="str">
            <v>the-of</v>
          </cell>
          <cell r="I6715" t="str">
            <v>sim</v>
          </cell>
          <cell r="V6715" t="str">
            <v>not neg pair</v>
          </cell>
          <cell r="Y6715" t="str">
            <v>Pres</v>
          </cell>
          <cell r="Z6715">
            <v>4.93</v>
          </cell>
          <cell r="AA6715" t="str">
            <v>H</v>
          </cell>
          <cell r="AB6715">
            <v>0</v>
          </cell>
        </row>
        <row r="6716">
          <cell r="G6716" t="str">
            <v>X2628_0</v>
          </cell>
          <cell r="H6716" t="str">
            <v>as-as</v>
          </cell>
          <cell r="I6716" t="str">
            <v>sim</v>
          </cell>
          <cell r="V6716" t="str">
            <v>antonym</v>
          </cell>
          <cell r="Y6716" t="str">
            <v>Past</v>
          </cell>
          <cell r="Z6716">
            <v>4.1500000000000004</v>
          </cell>
          <cell r="AA6716">
            <v>0</v>
          </cell>
          <cell r="AB6716">
            <v>0</v>
          </cell>
        </row>
        <row r="6717">
          <cell r="G6717" t="str">
            <v>X2628_1</v>
          </cell>
          <cell r="H6717" t="str">
            <v>as-as</v>
          </cell>
          <cell r="I6717" t="str">
            <v>sim</v>
          </cell>
          <cell r="V6717" t="str">
            <v>antonym</v>
          </cell>
          <cell r="Y6717" t="str">
            <v>Past</v>
          </cell>
          <cell r="Z6717">
            <v>4.1500000000000004</v>
          </cell>
          <cell r="AA6717">
            <v>0</v>
          </cell>
          <cell r="AB6717">
            <v>0</v>
          </cell>
        </row>
        <row r="6718">
          <cell r="G6718" t="str">
            <v>X2629_0</v>
          </cell>
          <cell r="H6718" t="str">
            <v/>
          </cell>
          <cell r="I6718" t="str">
            <v>met</v>
          </cell>
          <cell r="V6718" t="str">
            <v>0</v>
          </cell>
          <cell r="Y6718" t="str">
            <v>Pres</v>
          </cell>
          <cell r="Z6718">
            <v>2.81</v>
          </cell>
          <cell r="AA6718">
            <v>0</v>
          </cell>
          <cell r="AB6718">
            <v>0</v>
          </cell>
        </row>
        <row r="6719">
          <cell r="G6719" t="str">
            <v>X2629_1</v>
          </cell>
          <cell r="H6719" t="str">
            <v/>
          </cell>
          <cell r="I6719" t="str">
            <v>met</v>
          </cell>
          <cell r="V6719" t="str">
            <v>0</v>
          </cell>
          <cell r="Y6719" t="str">
            <v>Pres</v>
          </cell>
          <cell r="Z6719">
            <v>2.81</v>
          </cell>
          <cell r="AA6719">
            <v>0</v>
          </cell>
          <cell r="AB6719">
            <v>0</v>
          </cell>
        </row>
        <row r="6720">
          <cell r="G6720" t="str">
            <v>X2630_0</v>
          </cell>
          <cell r="H6720" t="str">
            <v>as-as</v>
          </cell>
          <cell r="I6720" t="str">
            <v>sim</v>
          </cell>
          <cell r="V6720" t="str">
            <v>not neg pair</v>
          </cell>
          <cell r="Y6720" t="str">
            <v>Pres</v>
          </cell>
          <cell r="Z6720">
            <v>3.36</v>
          </cell>
          <cell r="AA6720">
            <v>0</v>
          </cell>
          <cell r="AB6720">
            <v>0</v>
          </cell>
        </row>
        <row r="6721">
          <cell r="G6721" t="str">
            <v>X2630_1</v>
          </cell>
          <cell r="H6721" t="str">
            <v>as-as</v>
          </cell>
          <cell r="I6721" t="str">
            <v>sim</v>
          </cell>
          <cell r="V6721" t="str">
            <v>not neg pair</v>
          </cell>
          <cell r="Y6721" t="str">
            <v>Pres</v>
          </cell>
          <cell r="Z6721">
            <v>3.36</v>
          </cell>
          <cell r="AA6721">
            <v>0</v>
          </cell>
          <cell r="AB6721">
            <v>0</v>
          </cell>
        </row>
        <row r="6722">
          <cell r="G6722" t="str">
            <v>X2631_0</v>
          </cell>
          <cell r="H6722" t="str">
            <v/>
          </cell>
          <cell r="I6722" t="str">
            <v>met</v>
          </cell>
          <cell r="V6722" t="str">
            <v>0</v>
          </cell>
          <cell r="Y6722" t="str">
            <v>Pres</v>
          </cell>
          <cell r="Z6722">
            <v>4.25</v>
          </cell>
          <cell r="AA6722">
            <v>0</v>
          </cell>
          <cell r="AB6722">
            <v>0</v>
          </cell>
        </row>
        <row r="6723">
          <cell r="G6723" t="str">
            <v>X2631_1</v>
          </cell>
          <cell r="H6723" t="str">
            <v/>
          </cell>
          <cell r="I6723" t="str">
            <v>met</v>
          </cell>
          <cell r="V6723" t="str">
            <v>0</v>
          </cell>
          <cell r="Y6723" t="str">
            <v>Pres</v>
          </cell>
          <cell r="Z6723">
            <v>4.25</v>
          </cell>
          <cell r="AA6723">
            <v>0</v>
          </cell>
          <cell r="AB6723">
            <v>0</v>
          </cell>
        </row>
        <row r="6724">
          <cell r="G6724" t="str">
            <v>X2632_0</v>
          </cell>
          <cell r="H6724" t="str">
            <v/>
          </cell>
          <cell r="I6724" t="str">
            <v>met</v>
          </cell>
          <cell r="V6724" t="str">
            <v>0</v>
          </cell>
          <cell r="Y6724" t="str">
            <v>Pres</v>
          </cell>
          <cell r="Z6724">
            <v>2.8</v>
          </cell>
          <cell r="AA6724" t="str">
            <v>L</v>
          </cell>
          <cell r="AB6724">
            <v>0</v>
          </cell>
        </row>
        <row r="6725">
          <cell r="G6725" t="str">
            <v>X2632_1</v>
          </cell>
          <cell r="H6725" t="str">
            <v/>
          </cell>
          <cell r="I6725" t="str">
            <v>met</v>
          </cell>
          <cell r="V6725" t="str">
            <v>0</v>
          </cell>
          <cell r="Y6725" t="str">
            <v>Pres</v>
          </cell>
          <cell r="Z6725">
            <v>2.8</v>
          </cell>
          <cell r="AA6725" t="str">
            <v>L</v>
          </cell>
          <cell r="AB6725">
            <v>0</v>
          </cell>
        </row>
        <row r="6726">
          <cell r="G6726" t="str">
            <v>X2633_0</v>
          </cell>
          <cell r="H6726" t="str">
            <v>the-of</v>
          </cell>
          <cell r="I6726" t="str">
            <v>sim</v>
          </cell>
          <cell r="V6726" t="str">
            <v>not neg pair</v>
          </cell>
          <cell r="Y6726" t="str">
            <v>Pres</v>
          </cell>
          <cell r="Z6726">
            <v>4.33</v>
          </cell>
          <cell r="AA6726">
            <v>0</v>
          </cell>
          <cell r="AB6726">
            <v>0</v>
          </cell>
        </row>
        <row r="6727">
          <cell r="G6727" t="str">
            <v>X2633_1</v>
          </cell>
          <cell r="H6727" t="str">
            <v>the-of</v>
          </cell>
          <cell r="I6727" t="str">
            <v>sim</v>
          </cell>
          <cell r="V6727" t="str">
            <v>not neg pair</v>
          </cell>
          <cell r="Y6727" t="str">
            <v>Pres</v>
          </cell>
          <cell r="Z6727">
            <v>4.33</v>
          </cell>
          <cell r="AA6727">
            <v>0</v>
          </cell>
          <cell r="AB6727">
            <v>0</v>
          </cell>
        </row>
        <row r="6728">
          <cell r="G6728" t="str">
            <v>X2634_0</v>
          </cell>
          <cell r="H6728" t="str">
            <v/>
          </cell>
          <cell r="I6728" t="str">
            <v>met</v>
          </cell>
          <cell r="V6728" t="str">
            <v>0</v>
          </cell>
          <cell r="Y6728" t="str">
            <v>Pres</v>
          </cell>
          <cell r="Z6728">
            <v>3.36</v>
          </cell>
          <cell r="AA6728">
            <v>0</v>
          </cell>
          <cell r="AB6728">
            <v>0</v>
          </cell>
        </row>
        <row r="6729">
          <cell r="G6729" t="str">
            <v>X2634_1</v>
          </cell>
          <cell r="H6729" t="str">
            <v/>
          </cell>
          <cell r="I6729" t="str">
            <v>met</v>
          </cell>
          <cell r="V6729" t="str">
            <v>0</v>
          </cell>
          <cell r="Y6729" t="str">
            <v>Pres</v>
          </cell>
          <cell r="Z6729">
            <v>3.36</v>
          </cell>
          <cell r="AA6729">
            <v>0</v>
          </cell>
          <cell r="AB6729">
            <v>0</v>
          </cell>
        </row>
        <row r="6730">
          <cell r="G6730" t="str">
            <v>X2635_0</v>
          </cell>
          <cell r="H6730" t="str">
            <v>as-as</v>
          </cell>
          <cell r="I6730" t="str">
            <v>sim</v>
          </cell>
          <cell r="V6730" t="str">
            <v>antonym</v>
          </cell>
          <cell r="Y6730" t="str">
            <v>Pres</v>
          </cell>
          <cell r="Z6730">
            <v>4.8099999999999996</v>
          </cell>
          <cell r="AA6730">
            <v>0</v>
          </cell>
          <cell r="AB6730">
            <v>0</v>
          </cell>
        </row>
        <row r="6731">
          <cell r="G6731" t="str">
            <v>X2635_1</v>
          </cell>
          <cell r="H6731" t="str">
            <v>as-as</v>
          </cell>
          <cell r="I6731" t="str">
            <v>sim</v>
          </cell>
          <cell r="V6731" t="str">
            <v>antonym</v>
          </cell>
          <cell r="Y6731" t="str">
            <v>Pres</v>
          </cell>
          <cell r="Z6731">
            <v>4.8099999999999996</v>
          </cell>
          <cell r="AA6731">
            <v>0</v>
          </cell>
          <cell r="AB6731">
            <v>0</v>
          </cell>
        </row>
        <row r="6732">
          <cell r="G6732" t="str">
            <v>X2636_0</v>
          </cell>
          <cell r="H6732" t="str">
            <v>as-as</v>
          </cell>
          <cell r="I6732" t="str">
            <v>sim</v>
          </cell>
          <cell r="V6732" t="str">
            <v>antonym</v>
          </cell>
          <cell r="Y6732" t="str">
            <v>Pres</v>
          </cell>
          <cell r="Z6732">
            <v>4.55</v>
          </cell>
          <cell r="AA6732">
            <v>0</v>
          </cell>
          <cell r="AB6732">
            <v>0</v>
          </cell>
        </row>
        <row r="6733">
          <cell r="G6733" t="str">
            <v>X2636_1</v>
          </cell>
          <cell r="H6733" t="str">
            <v>as-as</v>
          </cell>
          <cell r="I6733" t="str">
            <v>sim</v>
          </cell>
          <cell r="V6733" t="str">
            <v>antonym</v>
          </cell>
          <cell r="Y6733" t="str">
            <v>Pres</v>
          </cell>
          <cell r="Z6733">
            <v>4.55</v>
          </cell>
          <cell r="AA6733">
            <v>0</v>
          </cell>
          <cell r="AB6733">
            <v>0</v>
          </cell>
        </row>
        <row r="6734">
          <cell r="G6734" t="str">
            <v>X2637_0</v>
          </cell>
          <cell r="H6734" t="str">
            <v>as-as</v>
          </cell>
          <cell r="I6734" t="str">
            <v>sim</v>
          </cell>
          <cell r="V6734" t="str">
            <v>antonym</v>
          </cell>
          <cell r="Y6734" t="str">
            <v>Past</v>
          </cell>
          <cell r="Z6734">
            <v>3.41</v>
          </cell>
          <cell r="AA6734">
            <v>0</v>
          </cell>
          <cell r="AB6734">
            <v>0</v>
          </cell>
        </row>
        <row r="6735">
          <cell r="G6735" t="str">
            <v>X2637_1</v>
          </cell>
          <cell r="H6735" t="str">
            <v>as-as</v>
          </cell>
          <cell r="I6735" t="str">
            <v>sim</v>
          </cell>
          <cell r="V6735" t="str">
            <v>antonym</v>
          </cell>
          <cell r="Y6735" t="str">
            <v>Past</v>
          </cell>
          <cell r="Z6735">
            <v>3.41</v>
          </cell>
          <cell r="AA6735">
            <v>0</v>
          </cell>
          <cell r="AB6735">
            <v>0</v>
          </cell>
        </row>
        <row r="6736">
          <cell r="G6736" t="str">
            <v>X2638_0</v>
          </cell>
          <cell r="H6736" t="str">
            <v>like</v>
          </cell>
          <cell r="I6736" t="str">
            <v>sim</v>
          </cell>
          <cell r="V6736" t="str">
            <v>not neg pair</v>
          </cell>
          <cell r="Y6736" t="str">
            <v>Pres</v>
          </cell>
          <cell r="Z6736">
            <v>3.41</v>
          </cell>
          <cell r="AA6736">
            <v>0</v>
          </cell>
          <cell r="AB6736">
            <v>0</v>
          </cell>
        </row>
        <row r="6737">
          <cell r="G6737" t="str">
            <v>X2638_1</v>
          </cell>
          <cell r="H6737" t="str">
            <v>like</v>
          </cell>
          <cell r="I6737" t="str">
            <v>sim</v>
          </cell>
          <cell r="V6737" t="str">
            <v>not neg pair</v>
          </cell>
          <cell r="Y6737" t="str">
            <v>Pres</v>
          </cell>
          <cell r="Z6737">
            <v>3.41</v>
          </cell>
          <cell r="AA6737">
            <v>0</v>
          </cell>
          <cell r="AB6737">
            <v>0</v>
          </cell>
        </row>
        <row r="6738">
          <cell r="G6738" t="str">
            <v>X2639_0</v>
          </cell>
          <cell r="H6738" t="str">
            <v>as-as</v>
          </cell>
          <cell r="I6738" t="str">
            <v>sim</v>
          </cell>
          <cell r="V6738" t="str">
            <v>not</v>
          </cell>
          <cell r="Y6738" t="str">
            <v>Pres</v>
          </cell>
          <cell r="Z6738">
            <v>3.93</v>
          </cell>
          <cell r="AA6738">
            <v>0</v>
          </cell>
          <cell r="AB6738">
            <v>0</v>
          </cell>
        </row>
        <row r="6739">
          <cell r="G6739" t="str">
            <v>X2639_1</v>
          </cell>
          <cell r="H6739" t="str">
            <v>as-as</v>
          </cell>
          <cell r="I6739" t="str">
            <v>sim</v>
          </cell>
          <cell r="V6739" t="str">
            <v>not</v>
          </cell>
          <cell r="Y6739" t="str">
            <v>Pres</v>
          </cell>
          <cell r="Z6739">
            <v>3.93</v>
          </cell>
          <cell r="AA6739">
            <v>0</v>
          </cell>
          <cell r="AB6739">
            <v>0</v>
          </cell>
        </row>
        <row r="6740">
          <cell r="G6740" t="str">
            <v>X2640_0</v>
          </cell>
          <cell r="H6740" t="str">
            <v>as-as</v>
          </cell>
          <cell r="I6740" t="str">
            <v>sim</v>
          </cell>
          <cell r="V6740" t="str">
            <v>antonym</v>
          </cell>
          <cell r="Y6740" t="str">
            <v>Past</v>
          </cell>
          <cell r="Z6740">
            <v>4.8600000000000003</v>
          </cell>
          <cell r="AA6740">
            <v>0</v>
          </cell>
          <cell r="AB6740">
            <v>0</v>
          </cell>
        </row>
        <row r="6741">
          <cell r="G6741" t="str">
            <v>X2640_1</v>
          </cell>
          <cell r="H6741" t="str">
            <v>as-as</v>
          </cell>
          <cell r="I6741" t="str">
            <v>sim</v>
          </cell>
          <cell r="V6741" t="str">
            <v>antonym</v>
          </cell>
          <cell r="Y6741" t="str">
            <v>Past</v>
          </cell>
          <cell r="Z6741">
            <v>4.8600000000000003</v>
          </cell>
          <cell r="AA6741">
            <v>0</v>
          </cell>
          <cell r="AB6741">
            <v>0</v>
          </cell>
        </row>
        <row r="6742">
          <cell r="G6742" t="str">
            <v>X2641_0</v>
          </cell>
          <cell r="H6742" t="str">
            <v>like</v>
          </cell>
          <cell r="I6742" t="str">
            <v>sim</v>
          </cell>
          <cell r="V6742" t="str">
            <v>not neg pair</v>
          </cell>
          <cell r="Y6742" t="str">
            <v>Past</v>
          </cell>
          <cell r="Z6742">
            <v>4.2</v>
          </cell>
          <cell r="AA6742">
            <v>0</v>
          </cell>
          <cell r="AB6742">
            <v>0</v>
          </cell>
        </row>
        <row r="6743">
          <cell r="G6743" t="str">
            <v>X2641_1</v>
          </cell>
          <cell r="H6743" t="str">
            <v>like</v>
          </cell>
          <cell r="I6743" t="str">
            <v>sim</v>
          </cell>
          <cell r="V6743" t="str">
            <v>not neg pair</v>
          </cell>
          <cell r="Y6743" t="str">
            <v>Past</v>
          </cell>
          <cell r="Z6743">
            <v>4.2</v>
          </cell>
          <cell r="AA6743">
            <v>0</v>
          </cell>
          <cell r="AB6743">
            <v>0</v>
          </cell>
        </row>
        <row r="6744">
          <cell r="G6744" t="str">
            <v>X2642_0</v>
          </cell>
          <cell r="H6744" t="str">
            <v/>
          </cell>
          <cell r="I6744" t="str">
            <v>met</v>
          </cell>
          <cell r="V6744" t="str">
            <v>0</v>
          </cell>
          <cell r="Y6744" t="str">
            <v>Pres</v>
          </cell>
          <cell r="Z6744">
            <v>5</v>
          </cell>
          <cell r="AA6744" t="str">
            <v>H</v>
          </cell>
          <cell r="AB6744">
            <v>0</v>
          </cell>
        </row>
        <row r="6745">
          <cell r="G6745" t="str">
            <v>X2642_1</v>
          </cell>
          <cell r="H6745" t="str">
            <v/>
          </cell>
          <cell r="I6745" t="str">
            <v>met</v>
          </cell>
          <cell r="V6745" t="str">
            <v>0</v>
          </cell>
          <cell r="Y6745" t="str">
            <v>Pres</v>
          </cell>
          <cell r="Z6745">
            <v>5</v>
          </cell>
          <cell r="AA6745" t="str">
            <v>H</v>
          </cell>
          <cell r="AB6745">
            <v>0</v>
          </cell>
        </row>
        <row r="6746">
          <cell r="G6746" t="str">
            <v>X2643_0</v>
          </cell>
          <cell r="H6746" t="str">
            <v>as-as</v>
          </cell>
          <cell r="I6746" t="str">
            <v>sim</v>
          </cell>
          <cell r="V6746" t="str">
            <v>not neg pair</v>
          </cell>
          <cell r="Y6746" t="str">
            <v>Pres</v>
          </cell>
          <cell r="Z6746">
            <v>4.78</v>
          </cell>
          <cell r="AA6746">
            <v>0</v>
          </cell>
          <cell r="AB6746">
            <v>0</v>
          </cell>
        </row>
        <row r="6747">
          <cell r="G6747" t="str">
            <v>X2643_1</v>
          </cell>
          <cell r="H6747" t="str">
            <v>as-as</v>
          </cell>
          <cell r="I6747" t="str">
            <v>sim</v>
          </cell>
          <cell r="V6747" t="str">
            <v>not neg pair</v>
          </cell>
          <cell r="Y6747" t="str">
            <v>Pres</v>
          </cell>
          <cell r="Z6747">
            <v>4.78</v>
          </cell>
          <cell r="AA6747">
            <v>0</v>
          </cell>
          <cell r="AB6747">
            <v>0</v>
          </cell>
        </row>
        <row r="6748">
          <cell r="G6748" t="str">
            <v>X2644_0</v>
          </cell>
          <cell r="H6748" t="str">
            <v/>
          </cell>
          <cell r="I6748" t="str">
            <v>met</v>
          </cell>
          <cell r="V6748" t="str">
            <v>0</v>
          </cell>
          <cell r="Y6748" t="str">
            <v>Pres</v>
          </cell>
          <cell r="Z6748">
            <v>4.5199999999999996</v>
          </cell>
          <cell r="AA6748">
            <v>0</v>
          </cell>
          <cell r="AB6748">
            <v>0</v>
          </cell>
        </row>
        <row r="6749">
          <cell r="G6749" t="str">
            <v>X2644_1</v>
          </cell>
          <cell r="H6749" t="str">
            <v/>
          </cell>
          <cell r="I6749" t="str">
            <v>met</v>
          </cell>
          <cell r="V6749" t="str">
            <v>0</v>
          </cell>
          <cell r="Y6749" t="str">
            <v>Pres</v>
          </cell>
          <cell r="Z6749">
            <v>4.5199999999999996</v>
          </cell>
          <cell r="AA6749">
            <v>0</v>
          </cell>
          <cell r="AB6749">
            <v>0</v>
          </cell>
        </row>
        <row r="6750">
          <cell r="G6750" t="str">
            <v>X2645_0</v>
          </cell>
          <cell r="H6750" t="str">
            <v>like</v>
          </cell>
          <cell r="I6750" t="str">
            <v>sim</v>
          </cell>
          <cell r="V6750" t="str">
            <v>not</v>
          </cell>
          <cell r="Y6750" t="str">
            <v>Past</v>
          </cell>
          <cell r="Z6750">
            <v>3.93</v>
          </cell>
          <cell r="AA6750">
            <v>0</v>
          </cell>
          <cell r="AB6750">
            <v>0</v>
          </cell>
        </row>
        <row r="6751">
          <cell r="G6751" t="str">
            <v>X2645_1</v>
          </cell>
          <cell r="H6751" t="str">
            <v>like</v>
          </cell>
          <cell r="I6751" t="str">
            <v>sim</v>
          </cell>
          <cell r="V6751" t="str">
            <v>not</v>
          </cell>
          <cell r="Y6751" t="str">
            <v>Past</v>
          </cell>
          <cell r="Z6751">
            <v>3.93</v>
          </cell>
          <cell r="AA6751">
            <v>0</v>
          </cell>
          <cell r="AB6751">
            <v>0</v>
          </cell>
        </row>
        <row r="6752">
          <cell r="G6752" t="str">
            <v>X2646_0</v>
          </cell>
          <cell r="H6752" t="str">
            <v>like</v>
          </cell>
          <cell r="I6752" t="str">
            <v>sim</v>
          </cell>
          <cell r="V6752" t="str">
            <v>not</v>
          </cell>
          <cell r="Y6752" t="str">
            <v>Past</v>
          </cell>
          <cell r="Z6752">
            <v>2.81</v>
          </cell>
          <cell r="AA6752">
            <v>0</v>
          </cell>
          <cell r="AB6752">
            <v>0</v>
          </cell>
        </row>
        <row r="6753">
          <cell r="G6753" t="str">
            <v>X2646_1</v>
          </cell>
          <cell r="H6753" t="str">
            <v>like</v>
          </cell>
          <cell r="I6753" t="str">
            <v>sim</v>
          </cell>
          <cell r="V6753" t="str">
            <v>not</v>
          </cell>
          <cell r="Y6753" t="str">
            <v>Past</v>
          </cell>
          <cell r="Z6753">
            <v>2.81</v>
          </cell>
          <cell r="AA6753">
            <v>0</v>
          </cell>
          <cell r="AB6753">
            <v>0</v>
          </cell>
        </row>
        <row r="6754">
          <cell r="G6754" t="str">
            <v>X2647_0</v>
          </cell>
          <cell r="H6754" t="str">
            <v/>
          </cell>
          <cell r="I6754" t="str">
            <v>met</v>
          </cell>
          <cell r="V6754" t="str">
            <v>0</v>
          </cell>
          <cell r="Y6754" t="str">
            <v>Past</v>
          </cell>
          <cell r="Z6754">
            <v>3.41</v>
          </cell>
          <cell r="AA6754">
            <v>0</v>
          </cell>
          <cell r="AB6754">
            <v>0</v>
          </cell>
        </row>
        <row r="6755">
          <cell r="G6755" t="str">
            <v>X2647_1</v>
          </cell>
          <cell r="H6755" t="str">
            <v/>
          </cell>
          <cell r="I6755" t="str">
            <v>met</v>
          </cell>
          <cell r="V6755" t="str">
            <v>0</v>
          </cell>
          <cell r="Y6755" t="str">
            <v>Past</v>
          </cell>
          <cell r="Z6755">
            <v>3.41</v>
          </cell>
          <cell r="AA6755">
            <v>0</v>
          </cell>
          <cell r="AB6755">
            <v>0</v>
          </cell>
        </row>
        <row r="6756">
          <cell r="G6756" t="str">
            <v>X2648_0</v>
          </cell>
          <cell r="H6756" t="str">
            <v/>
          </cell>
          <cell r="I6756" t="str">
            <v>met</v>
          </cell>
          <cell r="V6756" t="str">
            <v>0</v>
          </cell>
          <cell r="Y6756" t="str">
            <v>Past</v>
          </cell>
          <cell r="Z6756">
            <v>3.79</v>
          </cell>
          <cell r="AA6756">
            <v>0</v>
          </cell>
          <cell r="AB6756">
            <v>0</v>
          </cell>
        </row>
        <row r="6757">
          <cell r="G6757" t="str">
            <v>X2648_1</v>
          </cell>
          <cell r="H6757" t="str">
            <v/>
          </cell>
          <cell r="I6757" t="str">
            <v>met</v>
          </cell>
          <cell r="V6757" t="str">
            <v>0</v>
          </cell>
          <cell r="Y6757" t="str">
            <v>Past</v>
          </cell>
          <cell r="Z6757">
            <v>3.79</v>
          </cell>
          <cell r="AA6757">
            <v>0</v>
          </cell>
          <cell r="AB6757">
            <v>0</v>
          </cell>
        </row>
        <row r="6758">
          <cell r="G6758" t="str">
            <v>X2649_0</v>
          </cell>
          <cell r="H6758" t="str">
            <v>the-of</v>
          </cell>
          <cell r="I6758" t="str">
            <v>sim</v>
          </cell>
          <cell r="V6758" t="str">
            <v>not</v>
          </cell>
          <cell r="Y6758" t="str">
            <v>Past</v>
          </cell>
          <cell r="Z6758">
            <v>4.55</v>
          </cell>
          <cell r="AA6758">
            <v>0</v>
          </cell>
          <cell r="AB6758">
            <v>0</v>
          </cell>
        </row>
        <row r="6759">
          <cell r="G6759" t="str">
            <v>X2649_1</v>
          </cell>
          <cell r="H6759" t="str">
            <v>the-of</v>
          </cell>
          <cell r="I6759" t="str">
            <v>sim</v>
          </cell>
          <cell r="V6759" t="str">
            <v>not</v>
          </cell>
          <cell r="Y6759" t="str">
            <v>Past</v>
          </cell>
          <cell r="Z6759">
            <v>4.55</v>
          </cell>
          <cell r="AA6759">
            <v>0</v>
          </cell>
          <cell r="AB6759">
            <v>0</v>
          </cell>
        </row>
        <row r="6760">
          <cell r="G6760" t="str">
            <v>X2650_0</v>
          </cell>
          <cell r="H6760" t="str">
            <v/>
          </cell>
          <cell r="I6760" t="str">
            <v>met</v>
          </cell>
          <cell r="V6760" t="str">
            <v>0</v>
          </cell>
          <cell r="Y6760" t="str">
            <v>Past</v>
          </cell>
          <cell r="Z6760">
            <v>4.41</v>
          </cell>
          <cell r="AA6760">
            <v>0</v>
          </cell>
          <cell r="AB6760">
            <v>0</v>
          </cell>
        </row>
        <row r="6761">
          <cell r="G6761" t="str">
            <v>X2650_1</v>
          </cell>
          <cell r="H6761" t="str">
            <v/>
          </cell>
          <cell r="I6761" t="str">
            <v>met</v>
          </cell>
          <cell r="V6761" t="str">
            <v>0</v>
          </cell>
          <cell r="Y6761" t="str">
            <v>Pres</v>
          </cell>
          <cell r="Z6761">
            <v>4.41</v>
          </cell>
          <cell r="AA6761">
            <v>0</v>
          </cell>
          <cell r="AB6761">
            <v>0</v>
          </cell>
        </row>
        <row r="6762">
          <cell r="G6762" t="str">
            <v>X2651_0</v>
          </cell>
          <cell r="H6762" t="str">
            <v/>
          </cell>
          <cell r="I6762" t="str">
            <v>met</v>
          </cell>
          <cell r="V6762" t="str">
            <v>0</v>
          </cell>
          <cell r="Y6762" t="str">
            <v>Pres</v>
          </cell>
          <cell r="Z6762">
            <v>3.36</v>
          </cell>
          <cell r="AA6762">
            <v>0</v>
          </cell>
          <cell r="AB6762">
            <v>0</v>
          </cell>
        </row>
        <row r="6763">
          <cell r="G6763" t="str">
            <v>X2651_1</v>
          </cell>
          <cell r="H6763" t="str">
            <v/>
          </cell>
          <cell r="I6763" t="str">
            <v>met</v>
          </cell>
          <cell r="V6763" t="str">
            <v>0</v>
          </cell>
          <cell r="Y6763" t="str">
            <v>Pres</v>
          </cell>
          <cell r="Z6763">
            <v>3.36</v>
          </cell>
          <cell r="AA6763">
            <v>0</v>
          </cell>
          <cell r="AB6763">
            <v>0</v>
          </cell>
        </row>
        <row r="6764">
          <cell r="G6764" t="str">
            <v>X2652_0</v>
          </cell>
          <cell r="H6764" t="str">
            <v>the-of</v>
          </cell>
          <cell r="I6764" t="str">
            <v>sim</v>
          </cell>
          <cell r="V6764" t="str">
            <v>not neg pair</v>
          </cell>
          <cell r="Y6764" t="str">
            <v>Past</v>
          </cell>
          <cell r="Z6764">
            <v>4.93</v>
          </cell>
          <cell r="AA6764" t="str">
            <v>H</v>
          </cell>
          <cell r="AB6764">
            <v>0</v>
          </cell>
        </row>
        <row r="6765">
          <cell r="G6765" t="str">
            <v>X2652_1</v>
          </cell>
          <cell r="H6765" t="str">
            <v>the-of</v>
          </cell>
          <cell r="I6765" t="str">
            <v>sim</v>
          </cell>
          <cell r="V6765" t="str">
            <v>not neg pair</v>
          </cell>
          <cell r="Y6765" t="str">
            <v>Past</v>
          </cell>
          <cell r="Z6765">
            <v>0</v>
          </cell>
          <cell r="AA6765">
            <v>0</v>
          </cell>
          <cell r="AB6765">
            <v>0</v>
          </cell>
        </row>
        <row r="6766">
          <cell r="G6766" t="str">
            <v>X2653_0</v>
          </cell>
          <cell r="H6766" t="str">
            <v>like</v>
          </cell>
          <cell r="I6766" t="str">
            <v>sim</v>
          </cell>
          <cell r="V6766" t="str">
            <v>not neg pair</v>
          </cell>
          <cell r="Y6766" t="str">
            <v>Past</v>
          </cell>
          <cell r="Z6766">
            <v>4.26</v>
          </cell>
          <cell r="AA6766">
            <v>0</v>
          </cell>
          <cell r="AB6766">
            <v>0</v>
          </cell>
        </row>
        <row r="6767">
          <cell r="G6767" t="str">
            <v>X2653_1</v>
          </cell>
          <cell r="H6767" t="str">
            <v>like</v>
          </cell>
          <cell r="I6767" t="str">
            <v>sim</v>
          </cell>
          <cell r="V6767" t="str">
            <v>not neg pair</v>
          </cell>
          <cell r="Y6767" t="str">
            <v>Past</v>
          </cell>
          <cell r="Z6767">
            <v>4.26</v>
          </cell>
          <cell r="AA6767">
            <v>0</v>
          </cell>
          <cell r="AB6767">
            <v>0</v>
          </cell>
        </row>
        <row r="6768">
          <cell r="G6768" t="str">
            <v>X2654_0</v>
          </cell>
          <cell r="H6768" t="str">
            <v>like</v>
          </cell>
          <cell r="I6768" t="str">
            <v>sim</v>
          </cell>
          <cell r="V6768" t="str">
            <v>not neg pair</v>
          </cell>
          <cell r="Y6768" t="str">
            <v>Past</v>
          </cell>
          <cell r="Z6768">
            <v>4.8600000000000003</v>
          </cell>
          <cell r="AA6768">
            <v>0</v>
          </cell>
          <cell r="AB6768">
            <v>0</v>
          </cell>
        </row>
        <row r="6769">
          <cell r="G6769" t="str">
            <v>X2654_1</v>
          </cell>
          <cell r="H6769" t="str">
            <v>like</v>
          </cell>
          <cell r="I6769" t="str">
            <v>sim</v>
          </cell>
          <cell r="V6769" t="str">
            <v>not neg pair</v>
          </cell>
          <cell r="Y6769" t="str">
            <v>Past</v>
          </cell>
          <cell r="Z6769">
            <v>4.8600000000000003</v>
          </cell>
          <cell r="AA6769">
            <v>0</v>
          </cell>
          <cell r="AB6769">
            <v>0</v>
          </cell>
        </row>
        <row r="6770">
          <cell r="G6770" t="str">
            <v>X2655_0</v>
          </cell>
          <cell r="H6770" t="str">
            <v/>
          </cell>
          <cell r="I6770" t="str">
            <v>met</v>
          </cell>
          <cell r="V6770" t="str">
            <v>0</v>
          </cell>
          <cell r="Y6770" t="str">
            <v>Past</v>
          </cell>
          <cell r="Z6770">
            <v>1.47</v>
          </cell>
          <cell r="AA6770" t="str">
            <v>L</v>
          </cell>
          <cell r="AB6770">
            <v>0</v>
          </cell>
        </row>
        <row r="6771">
          <cell r="G6771" t="str">
            <v>X2655_1</v>
          </cell>
          <cell r="H6771" t="str">
            <v/>
          </cell>
          <cell r="I6771" t="str">
            <v>met</v>
          </cell>
          <cell r="V6771" t="str">
            <v>0</v>
          </cell>
          <cell r="Y6771" t="str">
            <v>Past</v>
          </cell>
          <cell r="Z6771">
            <v>1.47</v>
          </cell>
          <cell r="AA6771" t="str">
            <v>L</v>
          </cell>
          <cell r="AB6771">
            <v>0</v>
          </cell>
        </row>
        <row r="6772">
          <cell r="G6772" t="str">
            <v>X2656_0</v>
          </cell>
          <cell r="H6772" t="str">
            <v>as-as</v>
          </cell>
          <cell r="I6772" t="str">
            <v>sim</v>
          </cell>
          <cell r="V6772" t="str">
            <v>antonym</v>
          </cell>
          <cell r="Y6772" t="str">
            <v>Pres</v>
          </cell>
          <cell r="Z6772">
            <v>4.93</v>
          </cell>
          <cell r="AA6772" t="str">
            <v>H</v>
          </cell>
          <cell r="AB6772">
            <v>0</v>
          </cell>
        </row>
        <row r="6773">
          <cell r="G6773" t="str">
            <v>X2656_1</v>
          </cell>
          <cell r="H6773" t="str">
            <v>as-as</v>
          </cell>
          <cell r="I6773" t="str">
            <v>sim</v>
          </cell>
          <cell r="V6773" t="str">
            <v>antonym</v>
          </cell>
          <cell r="Y6773" t="str">
            <v>Pres</v>
          </cell>
          <cell r="Z6773">
            <v>4.93</v>
          </cell>
          <cell r="AA6773" t="str">
            <v>H</v>
          </cell>
          <cell r="AB6773">
            <v>0</v>
          </cell>
        </row>
        <row r="6774">
          <cell r="G6774" t="str">
            <v>X2657_0</v>
          </cell>
          <cell r="H6774" t="str">
            <v>the-of</v>
          </cell>
          <cell r="I6774" t="str">
            <v>sim</v>
          </cell>
          <cell r="V6774" t="str">
            <v>not</v>
          </cell>
          <cell r="Y6774" t="str">
            <v>Pres</v>
          </cell>
          <cell r="Z6774">
            <v>1.47</v>
          </cell>
          <cell r="AA6774" t="str">
            <v>L</v>
          </cell>
          <cell r="AB6774">
            <v>0</v>
          </cell>
        </row>
        <row r="6775">
          <cell r="G6775" t="str">
            <v>X2657_1</v>
          </cell>
          <cell r="H6775" t="str">
            <v>the-of</v>
          </cell>
          <cell r="I6775" t="str">
            <v>sim</v>
          </cell>
          <cell r="V6775" t="str">
            <v>not</v>
          </cell>
          <cell r="Y6775" t="str">
            <v>Past</v>
          </cell>
          <cell r="Z6775">
            <v>1.47</v>
          </cell>
          <cell r="AA6775" t="str">
            <v>L</v>
          </cell>
          <cell r="AB6775">
            <v>0</v>
          </cell>
        </row>
        <row r="6776">
          <cell r="G6776" t="str">
            <v>X2658_0</v>
          </cell>
          <cell r="H6776" t="str">
            <v>as-as</v>
          </cell>
          <cell r="I6776" t="str">
            <v>sim</v>
          </cell>
          <cell r="V6776" t="str">
            <v>not</v>
          </cell>
          <cell r="Y6776" t="str">
            <v>Pres</v>
          </cell>
          <cell r="Z6776">
            <v>4.26</v>
          </cell>
          <cell r="AA6776">
            <v>0</v>
          </cell>
          <cell r="AB6776">
            <v>0</v>
          </cell>
        </row>
        <row r="6777">
          <cell r="G6777" t="str">
            <v>X2658_1</v>
          </cell>
          <cell r="H6777" t="str">
            <v>as-as</v>
          </cell>
          <cell r="I6777" t="str">
            <v>sim</v>
          </cell>
          <cell r="V6777" t="str">
            <v>not</v>
          </cell>
          <cell r="Y6777" t="str">
            <v>Pres</v>
          </cell>
          <cell r="Z6777">
            <v>4.26</v>
          </cell>
          <cell r="AA6777">
            <v>0</v>
          </cell>
          <cell r="AB6777">
            <v>0</v>
          </cell>
        </row>
        <row r="6778">
          <cell r="G6778" t="str">
            <v>X2659_0</v>
          </cell>
          <cell r="H6778" t="str">
            <v>as-as</v>
          </cell>
          <cell r="I6778" t="str">
            <v>sim</v>
          </cell>
          <cell r="V6778" t="str">
            <v>not</v>
          </cell>
          <cell r="Y6778" t="str">
            <v>Past</v>
          </cell>
          <cell r="Z6778">
            <v>4.32</v>
          </cell>
          <cell r="AA6778">
            <v>0</v>
          </cell>
          <cell r="AB6778">
            <v>0</v>
          </cell>
        </row>
        <row r="6779">
          <cell r="G6779" t="str">
            <v>X2659_1</v>
          </cell>
          <cell r="H6779" t="str">
            <v>as-as</v>
          </cell>
          <cell r="I6779" t="str">
            <v>sim</v>
          </cell>
          <cell r="V6779" t="str">
            <v>not</v>
          </cell>
          <cell r="Y6779" t="str">
            <v>Past</v>
          </cell>
          <cell r="Z6779">
            <v>4.32</v>
          </cell>
          <cell r="AA6779">
            <v>0</v>
          </cell>
          <cell r="AB6779">
            <v>0</v>
          </cell>
        </row>
        <row r="6780">
          <cell r="G6780" t="str">
            <v>X2660_0</v>
          </cell>
          <cell r="H6780" t="str">
            <v>as-as</v>
          </cell>
          <cell r="I6780" t="str">
            <v>sim</v>
          </cell>
          <cell r="V6780" t="str">
            <v>antonym</v>
          </cell>
          <cell r="Y6780" t="str">
            <v>Pres</v>
          </cell>
          <cell r="Z6780">
            <v>1.47</v>
          </cell>
          <cell r="AA6780" t="str">
            <v>L</v>
          </cell>
          <cell r="AB6780">
            <v>0</v>
          </cell>
        </row>
        <row r="6781">
          <cell r="G6781" t="str">
            <v>X2660_1</v>
          </cell>
          <cell r="H6781" t="str">
            <v>as-as</v>
          </cell>
          <cell r="I6781" t="str">
            <v>sim</v>
          </cell>
          <cell r="V6781" t="str">
            <v>antonym</v>
          </cell>
          <cell r="Y6781" t="str">
            <v>Pres</v>
          </cell>
          <cell r="Z6781">
            <v>1.47</v>
          </cell>
          <cell r="AA6781" t="str">
            <v>L</v>
          </cell>
          <cell r="AB6781">
            <v>0</v>
          </cell>
        </row>
        <row r="6782">
          <cell r="G6782" t="str">
            <v>X2661_0</v>
          </cell>
          <cell r="H6782" t="str">
            <v>as-as</v>
          </cell>
          <cell r="I6782" t="str">
            <v>sim</v>
          </cell>
          <cell r="V6782" t="str">
            <v>not neg pair</v>
          </cell>
          <cell r="Y6782" t="str">
            <v>Past</v>
          </cell>
          <cell r="Z6782">
            <v>4.46</v>
          </cell>
          <cell r="AA6782">
            <v>0</v>
          </cell>
          <cell r="AB6782">
            <v>0</v>
          </cell>
        </row>
        <row r="6783">
          <cell r="G6783" t="str">
            <v>X2661_1</v>
          </cell>
          <cell r="H6783" t="str">
            <v>as-as</v>
          </cell>
          <cell r="I6783" t="str">
            <v>sim</v>
          </cell>
          <cell r="V6783" t="str">
            <v>not neg pair</v>
          </cell>
          <cell r="Y6783" t="str">
            <v>Past</v>
          </cell>
          <cell r="Z6783">
            <v>4.46</v>
          </cell>
          <cell r="AA6783">
            <v>0</v>
          </cell>
          <cell r="AB6783">
            <v>0</v>
          </cell>
        </row>
        <row r="6784">
          <cell r="G6784" t="str">
            <v>X2662_0</v>
          </cell>
          <cell r="H6784" t="str">
            <v>as-as</v>
          </cell>
          <cell r="I6784" t="str">
            <v>sim</v>
          </cell>
          <cell r="V6784" t="str">
            <v>not neg pair</v>
          </cell>
          <cell r="Y6784" t="str">
            <v>Past</v>
          </cell>
          <cell r="Z6784">
            <v>2.93</v>
          </cell>
          <cell r="AA6784">
            <v>0</v>
          </cell>
          <cell r="AB6784">
            <v>0</v>
          </cell>
        </row>
        <row r="6785">
          <cell r="G6785" t="str">
            <v>X2662_1</v>
          </cell>
          <cell r="H6785" t="str">
            <v>as-as</v>
          </cell>
          <cell r="I6785" t="str">
            <v>sim</v>
          </cell>
          <cell r="V6785" t="str">
            <v>not neg pair</v>
          </cell>
          <cell r="Y6785" t="str">
            <v>Past</v>
          </cell>
          <cell r="Z6785">
            <v>2.93</v>
          </cell>
          <cell r="AA6785">
            <v>0</v>
          </cell>
          <cell r="AB6785">
            <v>0</v>
          </cell>
        </row>
        <row r="6786">
          <cell r="G6786" t="str">
            <v>X2663_0</v>
          </cell>
          <cell r="H6786" t="str">
            <v/>
          </cell>
          <cell r="I6786" t="str">
            <v>met</v>
          </cell>
          <cell r="V6786" t="str">
            <v>0</v>
          </cell>
          <cell r="Y6786" t="str">
            <v>Past</v>
          </cell>
          <cell r="Z6786">
            <v>2.81</v>
          </cell>
          <cell r="AA6786">
            <v>0</v>
          </cell>
          <cell r="AB6786">
            <v>0</v>
          </cell>
        </row>
        <row r="6787">
          <cell r="G6787" t="str">
            <v>X2663_1</v>
          </cell>
          <cell r="H6787" t="str">
            <v/>
          </cell>
          <cell r="I6787" t="str">
            <v>met</v>
          </cell>
          <cell r="V6787" t="str">
            <v>0</v>
          </cell>
          <cell r="Y6787" t="str">
            <v>Past</v>
          </cell>
          <cell r="Z6787">
            <v>2.81</v>
          </cell>
          <cell r="AA6787">
            <v>0</v>
          </cell>
          <cell r="AB6787">
            <v>0</v>
          </cell>
        </row>
        <row r="6788">
          <cell r="G6788" t="str">
            <v>X2664_0</v>
          </cell>
          <cell r="H6788" t="str">
            <v>as-as</v>
          </cell>
          <cell r="I6788" t="str">
            <v>sim</v>
          </cell>
          <cell r="V6788" t="str">
            <v>antonym</v>
          </cell>
          <cell r="Y6788" t="str">
            <v>Past</v>
          </cell>
          <cell r="Z6788">
            <v>3.28</v>
          </cell>
          <cell r="AA6788">
            <v>0</v>
          </cell>
          <cell r="AB6788">
            <v>0</v>
          </cell>
        </row>
        <row r="6789">
          <cell r="G6789" t="str">
            <v>X2664_1</v>
          </cell>
          <cell r="H6789" t="str">
            <v>as-as</v>
          </cell>
          <cell r="I6789" t="str">
            <v>sim</v>
          </cell>
          <cell r="V6789" t="str">
            <v>antonym</v>
          </cell>
          <cell r="Y6789" t="str">
            <v>Past</v>
          </cell>
          <cell r="Z6789">
            <v>3.28</v>
          </cell>
          <cell r="AA6789">
            <v>0</v>
          </cell>
          <cell r="AB6789">
            <v>0</v>
          </cell>
        </row>
        <row r="6790">
          <cell r="G6790" t="str">
            <v>X2665_0</v>
          </cell>
          <cell r="H6790" t="str">
            <v>as-as</v>
          </cell>
          <cell r="I6790" t="str">
            <v>sim</v>
          </cell>
          <cell r="V6790" t="str">
            <v>antonym</v>
          </cell>
          <cell r="Y6790" t="str">
            <v>Pres</v>
          </cell>
          <cell r="Z6790">
            <v>4.21</v>
          </cell>
          <cell r="AA6790">
            <v>0</v>
          </cell>
          <cell r="AB6790">
            <v>0</v>
          </cell>
        </row>
        <row r="6791">
          <cell r="G6791" t="str">
            <v>X2665_1</v>
          </cell>
          <cell r="H6791" t="str">
            <v>as-as</v>
          </cell>
          <cell r="I6791" t="str">
            <v>sim</v>
          </cell>
          <cell r="V6791" t="str">
            <v>antonym</v>
          </cell>
          <cell r="Y6791" t="str">
            <v>Pres</v>
          </cell>
          <cell r="Z6791">
            <v>4.21</v>
          </cell>
          <cell r="AA6791">
            <v>0</v>
          </cell>
          <cell r="AB6791">
            <v>0</v>
          </cell>
        </row>
        <row r="6792">
          <cell r="G6792" t="str">
            <v>X2666_0</v>
          </cell>
          <cell r="H6792" t="str">
            <v>as-as</v>
          </cell>
          <cell r="I6792" t="str">
            <v>sim</v>
          </cell>
          <cell r="V6792" t="str">
            <v>not neg pair</v>
          </cell>
          <cell r="Y6792" t="str">
            <v>Pres</v>
          </cell>
          <cell r="Z6792">
            <v>5</v>
          </cell>
          <cell r="AA6792" t="str">
            <v>H</v>
          </cell>
          <cell r="AB6792">
            <v>0</v>
          </cell>
        </row>
        <row r="6793">
          <cell r="G6793" t="str">
            <v>X2666_1</v>
          </cell>
          <cell r="H6793" t="str">
            <v>as-as</v>
          </cell>
          <cell r="I6793" t="str">
            <v>sim</v>
          </cell>
          <cell r="V6793" t="str">
            <v>not neg pair</v>
          </cell>
          <cell r="Y6793" t="str">
            <v>Pres</v>
          </cell>
          <cell r="Z6793">
            <v>5</v>
          </cell>
          <cell r="AA6793" t="str">
            <v>H</v>
          </cell>
          <cell r="AB6793">
            <v>0</v>
          </cell>
        </row>
        <row r="6794">
          <cell r="G6794" t="str">
            <v>X2667_0</v>
          </cell>
          <cell r="H6794" t="str">
            <v/>
          </cell>
          <cell r="I6794" t="str">
            <v>met</v>
          </cell>
          <cell r="V6794" t="str">
            <v>0</v>
          </cell>
          <cell r="Y6794" t="str">
            <v>Past</v>
          </cell>
          <cell r="Z6794">
            <v>4.93</v>
          </cell>
          <cell r="AA6794" t="str">
            <v>H</v>
          </cell>
          <cell r="AB6794">
            <v>0</v>
          </cell>
        </row>
        <row r="6795">
          <cell r="G6795" t="str">
            <v>X2667_1</v>
          </cell>
          <cell r="H6795" t="str">
            <v/>
          </cell>
          <cell r="I6795" t="str">
            <v>met</v>
          </cell>
          <cell r="V6795" t="str">
            <v>0</v>
          </cell>
          <cell r="Y6795" t="str">
            <v>Past</v>
          </cell>
          <cell r="Z6795">
            <v>4.93</v>
          </cell>
          <cell r="AA6795" t="str">
            <v>H</v>
          </cell>
          <cell r="AB6795">
            <v>0</v>
          </cell>
        </row>
        <row r="6796">
          <cell r="G6796" t="str">
            <v>X2668_0</v>
          </cell>
          <cell r="H6796" t="str">
            <v/>
          </cell>
          <cell r="I6796" t="str">
            <v>met</v>
          </cell>
          <cell r="V6796" t="str">
            <v>0</v>
          </cell>
          <cell r="Y6796" t="str">
            <v>Past</v>
          </cell>
          <cell r="Z6796">
            <v>4.7300000000000004</v>
          </cell>
          <cell r="AA6796">
            <v>0</v>
          </cell>
          <cell r="AB6796">
            <v>0</v>
          </cell>
        </row>
        <row r="6797">
          <cell r="G6797" t="str">
            <v>X2668_1</v>
          </cell>
          <cell r="H6797" t="str">
            <v/>
          </cell>
          <cell r="I6797" t="str">
            <v>met</v>
          </cell>
          <cell r="V6797" t="str">
            <v>0</v>
          </cell>
          <cell r="Y6797" t="str">
            <v>Past</v>
          </cell>
          <cell r="Z6797">
            <v>4.7300000000000004</v>
          </cell>
          <cell r="AA6797">
            <v>0</v>
          </cell>
          <cell r="AB6797">
            <v>0</v>
          </cell>
        </row>
        <row r="6798">
          <cell r="G6798" t="str">
            <v>X2669_0</v>
          </cell>
          <cell r="H6798" t="str">
            <v>like</v>
          </cell>
          <cell r="I6798" t="str">
            <v>sim</v>
          </cell>
          <cell r="V6798" t="str">
            <v>not neg pair</v>
          </cell>
          <cell r="Y6798" t="str">
            <v>Past</v>
          </cell>
          <cell r="Z6798">
            <v>4.25</v>
          </cell>
          <cell r="AA6798">
            <v>0</v>
          </cell>
          <cell r="AB6798">
            <v>0</v>
          </cell>
        </row>
        <row r="6799">
          <cell r="G6799" t="str">
            <v>X2669_1</v>
          </cell>
          <cell r="H6799" t="str">
            <v>like</v>
          </cell>
          <cell r="I6799" t="str">
            <v>sim</v>
          </cell>
          <cell r="V6799" t="str">
            <v>not neg pair</v>
          </cell>
          <cell r="Y6799" t="str">
            <v>Past</v>
          </cell>
          <cell r="Z6799">
            <v>4.25</v>
          </cell>
          <cell r="AA6799">
            <v>0</v>
          </cell>
          <cell r="AB6799">
            <v>0</v>
          </cell>
        </row>
        <row r="6800">
          <cell r="G6800" t="str">
            <v>X2670_0</v>
          </cell>
          <cell r="H6800" t="str">
            <v>as-as</v>
          </cell>
          <cell r="I6800" t="str">
            <v>sim</v>
          </cell>
          <cell r="V6800" t="str">
            <v>not</v>
          </cell>
          <cell r="Y6800" t="str">
            <v>Pres</v>
          </cell>
          <cell r="Z6800">
            <v>3.86</v>
          </cell>
          <cell r="AA6800">
            <v>0</v>
          </cell>
          <cell r="AB6800">
            <v>0</v>
          </cell>
        </row>
        <row r="6801">
          <cell r="G6801" t="str">
            <v>X2670_1</v>
          </cell>
          <cell r="H6801" t="str">
            <v>as-as</v>
          </cell>
          <cell r="I6801" t="str">
            <v>sim</v>
          </cell>
          <cell r="V6801" t="str">
            <v>not</v>
          </cell>
          <cell r="Y6801" t="str">
            <v>Pres</v>
          </cell>
          <cell r="Z6801">
            <v>3.86</v>
          </cell>
          <cell r="AA6801">
            <v>0</v>
          </cell>
          <cell r="AB6801">
            <v>0</v>
          </cell>
        </row>
        <row r="6802">
          <cell r="G6802" t="str">
            <v>X2671_0</v>
          </cell>
          <cell r="H6802" t="str">
            <v>as-as</v>
          </cell>
          <cell r="I6802" t="str">
            <v>sim</v>
          </cell>
          <cell r="V6802" t="str">
            <v>not</v>
          </cell>
          <cell r="Y6802" t="str">
            <v>Past</v>
          </cell>
          <cell r="Z6802">
            <v>4.8499999999999996</v>
          </cell>
          <cell r="AA6802">
            <v>0</v>
          </cell>
          <cell r="AB6802">
            <v>0</v>
          </cell>
        </row>
        <row r="6803">
          <cell r="G6803" t="str">
            <v>X2671_1</v>
          </cell>
          <cell r="H6803" t="str">
            <v>as-as</v>
          </cell>
          <cell r="I6803" t="str">
            <v>sim</v>
          </cell>
          <cell r="V6803" t="str">
            <v>not</v>
          </cell>
          <cell r="Y6803" t="str">
            <v>Past</v>
          </cell>
          <cell r="Z6803">
            <v>4.8499999999999996</v>
          </cell>
          <cell r="AA6803">
            <v>0</v>
          </cell>
          <cell r="AB6803">
            <v>0</v>
          </cell>
        </row>
        <row r="6804">
          <cell r="G6804" t="str">
            <v>X2672_0</v>
          </cell>
          <cell r="H6804" t="str">
            <v>as-as</v>
          </cell>
          <cell r="I6804" t="str">
            <v>sim</v>
          </cell>
          <cell r="V6804" t="str">
            <v>not</v>
          </cell>
          <cell r="Y6804" t="str">
            <v>Pres</v>
          </cell>
          <cell r="Z6804">
            <v>3.29</v>
          </cell>
          <cell r="AA6804">
            <v>0</v>
          </cell>
          <cell r="AB6804">
            <v>0</v>
          </cell>
        </row>
        <row r="6805">
          <cell r="G6805" t="str">
            <v>X2672_1</v>
          </cell>
          <cell r="H6805" t="str">
            <v>as-as</v>
          </cell>
          <cell r="I6805" t="str">
            <v>sim</v>
          </cell>
          <cell r="V6805" t="str">
            <v>not</v>
          </cell>
          <cell r="Y6805" t="str">
            <v>Pres</v>
          </cell>
          <cell r="Z6805">
            <v>3.29</v>
          </cell>
          <cell r="AA6805">
            <v>0</v>
          </cell>
          <cell r="AB6805">
            <v>0</v>
          </cell>
        </row>
        <row r="6806">
          <cell r="G6806" t="str">
            <v>X2673_0</v>
          </cell>
          <cell r="H6806" t="str">
            <v/>
          </cell>
          <cell r="I6806" t="str">
            <v>met</v>
          </cell>
          <cell r="V6806" t="str">
            <v>0</v>
          </cell>
          <cell r="Y6806" t="str">
            <v>Past</v>
          </cell>
          <cell r="Z6806">
            <v>4.8499999999999996</v>
          </cell>
          <cell r="AA6806">
            <v>0</v>
          </cell>
          <cell r="AB6806">
            <v>0</v>
          </cell>
        </row>
        <row r="6807">
          <cell r="G6807" t="str">
            <v>X2673_1</v>
          </cell>
          <cell r="H6807" t="str">
            <v/>
          </cell>
          <cell r="I6807" t="str">
            <v>met</v>
          </cell>
          <cell r="V6807" t="str">
            <v>0</v>
          </cell>
          <cell r="Y6807" t="str">
            <v>Past</v>
          </cell>
          <cell r="Z6807">
            <v>4.8499999999999996</v>
          </cell>
          <cell r="AA6807">
            <v>0</v>
          </cell>
          <cell r="AB6807">
            <v>0</v>
          </cell>
        </row>
        <row r="6808">
          <cell r="G6808" t="str">
            <v>X2674_0</v>
          </cell>
          <cell r="H6808" t="str">
            <v>as-as</v>
          </cell>
          <cell r="I6808" t="str">
            <v>sim</v>
          </cell>
          <cell r="V6808" t="str">
            <v>not</v>
          </cell>
          <cell r="Y6808" t="str">
            <v>Pres</v>
          </cell>
          <cell r="Z6808">
            <v>4.82</v>
          </cell>
          <cell r="AA6808">
            <v>0</v>
          </cell>
          <cell r="AB6808">
            <v>0</v>
          </cell>
        </row>
        <row r="6809">
          <cell r="G6809" t="str">
            <v>X2674_1</v>
          </cell>
          <cell r="H6809" t="str">
            <v>as-as</v>
          </cell>
          <cell r="I6809" t="str">
            <v>sim</v>
          </cell>
          <cell r="V6809" t="str">
            <v>not</v>
          </cell>
          <cell r="Y6809" t="str">
            <v>Pres</v>
          </cell>
          <cell r="Z6809">
            <v>4.82</v>
          </cell>
          <cell r="AA6809">
            <v>0</v>
          </cell>
          <cell r="AB6809">
            <v>0</v>
          </cell>
        </row>
        <row r="6810">
          <cell r="G6810" t="str">
            <v>X2675_0</v>
          </cell>
          <cell r="H6810" t="str">
            <v>as-as</v>
          </cell>
          <cell r="I6810" t="str">
            <v>sim</v>
          </cell>
          <cell r="V6810" t="str">
            <v>antonym</v>
          </cell>
          <cell r="Y6810" t="str">
            <v>Pres</v>
          </cell>
          <cell r="Z6810">
            <v>1.54</v>
          </cell>
          <cell r="AA6810" t="str">
            <v>L</v>
          </cell>
          <cell r="AB6810">
            <v>0</v>
          </cell>
        </row>
        <row r="6811">
          <cell r="G6811" t="str">
            <v>X2675_1</v>
          </cell>
          <cell r="H6811" t="str">
            <v>as-as</v>
          </cell>
          <cell r="I6811" t="str">
            <v>sim</v>
          </cell>
          <cell r="V6811" t="str">
            <v>antonym</v>
          </cell>
          <cell r="Y6811" t="str">
            <v>Pres</v>
          </cell>
          <cell r="Z6811">
            <v>1.54</v>
          </cell>
          <cell r="AA6811" t="str">
            <v>L</v>
          </cell>
          <cell r="AB6811">
            <v>0</v>
          </cell>
        </row>
        <row r="6812">
          <cell r="G6812" t="str">
            <v>X2676_0</v>
          </cell>
          <cell r="H6812" t="str">
            <v>like</v>
          </cell>
          <cell r="I6812" t="str">
            <v>sim</v>
          </cell>
          <cell r="V6812" t="str">
            <v>not neg pair</v>
          </cell>
          <cell r="Y6812" t="str">
            <v>Pres</v>
          </cell>
          <cell r="Z6812">
            <v>3.93</v>
          </cell>
          <cell r="AA6812">
            <v>0</v>
          </cell>
          <cell r="AB6812">
            <v>0</v>
          </cell>
        </row>
        <row r="6813">
          <cell r="G6813" t="str">
            <v>X2676_1</v>
          </cell>
          <cell r="H6813" t="str">
            <v>like</v>
          </cell>
          <cell r="I6813" t="str">
            <v>sim</v>
          </cell>
          <cell r="V6813" t="str">
            <v>not neg pair</v>
          </cell>
          <cell r="Y6813" t="str">
            <v>Pres</v>
          </cell>
          <cell r="Z6813">
            <v>3.93</v>
          </cell>
          <cell r="AA6813">
            <v>0</v>
          </cell>
          <cell r="AB6813">
            <v>0</v>
          </cell>
        </row>
        <row r="6814">
          <cell r="G6814" t="str">
            <v>X2677_0</v>
          </cell>
          <cell r="H6814" t="str">
            <v>the-of</v>
          </cell>
          <cell r="I6814" t="str">
            <v>sim</v>
          </cell>
          <cell r="V6814" t="str">
            <v>not neg pair</v>
          </cell>
          <cell r="Y6814" t="str">
            <v>Pres</v>
          </cell>
          <cell r="Z6814">
            <v>4.34</v>
          </cell>
          <cell r="AA6814">
            <v>0</v>
          </cell>
          <cell r="AB6814">
            <v>0</v>
          </cell>
        </row>
        <row r="6815">
          <cell r="G6815" t="str">
            <v>X2677_1</v>
          </cell>
          <cell r="H6815" t="str">
            <v>the-of</v>
          </cell>
          <cell r="I6815" t="str">
            <v>sim</v>
          </cell>
          <cell r="V6815" t="str">
            <v>not neg pair</v>
          </cell>
          <cell r="Y6815" t="str">
            <v>Pres</v>
          </cell>
          <cell r="Z6815">
            <v>4.34</v>
          </cell>
          <cell r="AA6815">
            <v>0</v>
          </cell>
          <cell r="AB6815">
            <v>0</v>
          </cell>
        </row>
        <row r="6816">
          <cell r="G6816" t="str">
            <v>X2678_0</v>
          </cell>
          <cell r="H6816" t="str">
            <v>the-of</v>
          </cell>
          <cell r="I6816" t="str">
            <v>sim</v>
          </cell>
          <cell r="V6816" t="str">
            <v>not neg pair</v>
          </cell>
          <cell r="Y6816" t="str">
            <v>Pres</v>
          </cell>
          <cell r="Z6816">
            <v>5</v>
          </cell>
          <cell r="AA6816" t="str">
            <v>H</v>
          </cell>
          <cell r="AB6816">
            <v>0</v>
          </cell>
        </row>
        <row r="6817">
          <cell r="G6817" t="str">
            <v>X2678_1</v>
          </cell>
          <cell r="H6817" t="str">
            <v>the-of</v>
          </cell>
          <cell r="I6817" t="str">
            <v>sim</v>
          </cell>
          <cell r="V6817" t="str">
            <v>not neg pair</v>
          </cell>
          <cell r="Y6817" t="str">
            <v>Pres</v>
          </cell>
          <cell r="Z6817">
            <v>5</v>
          </cell>
          <cell r="AA6817" t="str">
            <v>H</v>
          </cell>
          <cell r="AB6817">
            <v>0</v>
          </cell>
        </row>
        <row r="6818">
          <cell r="G6818" t="str">
            <v>X2679_0</v>
          </cell>
          <cell r="H6818" t="str">
            <v>as-as</v>
          </cell>
          <cell r="I6818" t="str">
            <v>sim</v>
          </cell>
          <cell r="V6818" t="str">
            <v>not neg pair</v>
          </cell>
          <cell r="Y6818" t="str">
            <v>Pres</v>
          </cell>
          <cell r="Z6818">
            <v>2.81</v>
          </cell>
          <cell r="AA6818">
            <v>0</v>
          </cell>
          <cell r="AB6818">
            <v>0</v>
          </cell>
        </row>
        <row r="6819">
          <cell r="G6819" t="str">
            <v>X2679_1</v>
          </cell>
          <cell r="H6819" t="str">
            <v>as-as</v>
          </cell>
          <cell r="I6819" t="str">
            <v>sim</v>
          </cell>
          <cell r="V6819" t="str">
            <v>not neg pair</v>
          </cell>
          <cell r="Y6819" t="str">
            <v>Pres</v>
          </cell>
          <cell r="Z6819">
            <v>2.81</v>
          </cell>
          <cell r="AA6819">
            <v>0</v>
          </cell>
          <cell r="AB6819">
            <v>0</v>
          </cell>
        </row>
        <row r="6820">
          <cell r="G6820" t="str">
            <v>X2680_0</v>
          </cell>
          <cell r="H6820" t="str">
            <v>as-as</v>
          </cell>
          <cell r="I6820" t="str">
            <v>sim</v>
          </cell>
          <cell r="V6820" t="str">
            <v>not</v>
          </cell>
          <cell r="Y6820" t="str">
            <v>Pres</v>
          </cell>
          <cell r="Z6820">
            <v>2.81</v>
          </cell>
          <cell r="AA6820">
            <v>0</v>
          </cell>
          <cell r="AB6820">
            <v>0</v>
          </cell>
        </row>
        <row r="6821">
          <cell r="G6821" t="str">
            <v>X2680_1</v>
          </cell>
          <cell r="H6821" t="str">
            <v>as-as</v>
          </cell>
          <cell r="I6821" t="str">
            <v>sim</v>
          </cell>
          <cell r="V6821" t="str">
            <v>not</v>
          </cell>
          <cell r="Y6821" t="str">
            <v>Pres</v>
          </cell>
          <cell r="Z6821">
            <v>1.9</v>
          </cell>
          <cell r="AA6821" t="str">
            <v>L</v>
          </cell>
          <cell r="AB6821">
            <v>0</v>
          </cell>
        </row>
        <row r="6822">
          <cell r="G6822" t="str">
            <v>X2681_0</v>
          </cell>
          <cell r="H6822" t="str">
            <v>as-as</v>
          </cell>
          <cell r="I6822" t="str">
            <v>sim</v>
          </cell>
          <cell r="V6822" t="str">
            <v>not neg pair</v>
          </cell>
          <cell r="Y6822" t="str">
            <v>Past</v>
          </cell>
          <cell r="Z6822">
            <v>2.81</v>
          </cell>
          <cell r="AA6822">
            <v>0</v>
          </cell>
          <cell r="AB6822">
            <v>0</v>
          </cell>
        </row>
        <row r="6823">
          <cell r="G6823" t="str">
            <v>X2681_1</v>
          </cell>
          <cell r="H6823" t="str">
            <v>as-as</v>
          </cell>
          <cell r="I6823" t="str">
            <v>sim</v>
          </cell>
          <cell r="V6823" t="str">
            <v>not neg pair</v>
          </cell>
          <cell r="Y6823" t="str">
            <v>Past</v>
          </cell>
          <cell r="Z6823">
            <v>2.81</v>
          </cell>
          <cell r="AA6823">
            <v>0</v>
          </cell>
          <cell r="AB6823">
            <v>0</v>
          </cell>
        </row>
        <row r="6824">
          <cell r="G6824" t="str">
            <v>X2682_0</v>
          </cell>
          <cell r="H6824" t="str">
            <v>as</v>
          </cell>
          <cell r="I6824" t="str">
            <v>sim</v>
          </cell>
          <cell r="V6824" t="str">
            <v>not neg pair</v>
          </cell>
          <cell r="Y6824" t="str">
            <v>Past</v>
          </cell>
          <cell r="Z6824">
            <v>4.5</v>
          </cell>
          <cell r="AA6824">
            <v>0</v>
          </cell>
          <cell r="AB6824">
            <v>0</v>
          </cell>
        </row>
        <row r="6825">
          <cell r="G6825" t="str">
            <v>X2682_1</v>
          </cell>
          <cell r="H6825" t="str">
            <v>the-of</v>
          </cell>
          <cell r="I6825" t="str">
            <v>sim</v>
          </cell>
          <cell r="V6825" t="str">
            <v>not neg pair</v>
          </cell>
          <cell r="Y6825" t="str">
            <v>Past</v>
          </cell>
          <cell r="Z6825">
            <v>4.5</v>
          </cell>
          <cell r="AA6825">
            <v>0</v>
          </cell>
          <cell r="AB6825">
            <v>0</v>
          </cell>
        </row>
        <row r="6826">
          <cell r="G6826" t="str">
            <v>X2683_0</v>
          </cell>
          <cell r="H6826" t="str">
            <v>the-of</v>
          </cell>
          <cell r="I6826" t="str">
            <v>sim</v>
          </cell>
          <cell r="V6826" t="str">
            <v>not neg pair</v>
          </cell>
          <cell r="Y6826" t="str">
            <v>Past</v>
          </cell>
          <cell r="Z6826">
            <v>3.67</v>
          </cell>
          <cell r="AA6826">
            <v>0</v>
          </cell>
          <cell r="AB6826">
            <v>0</v>
          </cell>
        </row>
        <row r="6827">
          <cell r="G6827" t="str">
            <v>X2683_1</v>
          </cell>
          <cell r="H6827" t="str">
            <v>the-of</v>
          </cell>
          <cell r="I6827" t="str">
            <v>sim</v>
          </cell>
          <cell r="V6827" t="str">
            <v>not neg pair</v>
          </cell>
          <cell r="Y6827" t="str">
            <v>Past</v>
          </cell>
          <cell r="Z6827">
            <v>3.67</v>
          </cell>
          <cell r="AA6827">
            <v>0</v>
          </cell>
          <cell r="AB6827">
            <v>0</v>
          </cell>
        </row>
        <row r="6828">
          <cell r="G6828" t="str">
            <v>X2684_0</v>
          </cell>
          <cell r="H6828" t="str">
            <v>the-of</v>
          </cell>
          <cell r="I6828" t="str">
            <v>sim</v>
          </cell>
          <cell r="V6828" t="str">
            <v>not neg pair</v>
          </cell>
          <cell r="Y6828" t="str">
            <v>Past</v>
          </cell>
          <cell r="Z6828">
            <v>4.8899999999999997</v>
          </cell>
          <cell r="AA6828">
            <v>0</v>
          </cell>
          <cell r="AB6828">
            <v>0</v>
          </cell>
        </row>
        <row r="6829">
          <cell r="G6829" t="str">
            <v>X2684_1</v>
          </cell>
          <cell r="H6829" t="str">
            <v>the-of</v>
          </cell>
          <cell r="I6829" t="str">
            <v>sim</v>
          </cell>
          <cell r="V6829" t="str">
            <v>not neg pair</v>
          </cell>
          <cell r="Y6829" t="str">
            <v>Past</v>
          </cell>
          <cell r="Z6829">
            <v>4.8899999999999997</v>
          </cell>
          <cell r="AA6829">
            <v>0</v>
          </cell>
          <cell r="AB6829">
            <v>0</v>
          </cell>
        </row>
        <row r="6830">
          <cell r="G6830" t="str">
            <v>X2685_0</v>
          </cell>
          <cell r="H6830" t="str">
            <v>the-of</v>
          </cell>
          <cell r="I6830" t="str">
            <v>sim</v>
          </cell>
          <cell r="V6830" t="str">
            <v>not neg pair</v>
          </cell>
          <cell r="Y6830" t="str">
            <v>Past</v>
          </cell>
          <cell r="Z6830">
            <v>4.6900000000000004</v>
          </cell>
          <cell r="AA6830">
            <v>0</v>
          </cell>
          <cell r="AB6830">
            <v>0</v>
          </cell>
        </row>
        <row r="6831">
          <cell r="G6831" t="str">
            <v>X2685_1</v>
          </cell>
          <cell r="H6831" t="str">
            <v>the-of</v>
          </cell>
          <cell r="I6831" t="str">
            <v>sim</v>
          </cell>
          <cell r="V6831" t="str">
            <v>not neg pair</v>
          </cell>
          <cell r="Y6831" t="str">
            <v>Past</v>
          </cell>
          <cell r="Z6831">
            <v>4.6900000000000004</v>
          </cell>
          <cell r="AA6831">
            <v>0</v>
          </cell>
          <cell r="AB6831">
            <v>0</v>
          </cell>
        </row>
        <row r="6832">
          <cell r="G6832" t="str">
            <v>X2686_0</v>
          </cell>
          <cell r="H6832" t="str">
            <v>the-of</v>
          </cell>
          <cell r="I6832" t="str">
            <v>sim</v>
          </cell>
          <cell r="V6832" t="str">
            <v>not neg pair</v>
          </cell>
          <cell r="Y6832" t="str">
            <v>Past</v>
          </cell>
          <cell r="Z6832">
            <v>4.21</v>
          </cell>
          <cell r="AA6832">
            <v>0</v>
          </cell>
          <cell r="AB6832">
            <v>0</v>
          </cell>
        </row>
        <row r="6833">
          <cell r="G6833" t="str">
            <v>X2686_1</v>
          </cell>
          <cell r="H6833" t="str">
            <v>the-of</v>
          </cell>
          <cell r="I6833" t="str">
            <v>sim</v>
          </cell>
          <cell r="V6833" t="str">
            <v>not neg pair</v>
          </cell>
          <cell r="Y6833" t="str">
            <v>Past</v>
          </cell>
          <cell r="Z6833">
            <v>4.21</v>
          </cell>
          <cell r="AA6833">
            <v>0</v>
          </cell>
          <cell r="AB6833">
            <v>0</v>
          </cell>
        </row>
        <row r="6834">
          <cell r="G6834" t="str">
            <v>X2687_0</v>
          </cell>
          <cell r="H6834" t="str">
            <v>as</v>
          </cell>
          <cell r="I6834" t="str">
            <v>sim</v>
          </cell>
          <cell r="V6834" t="str">
            <v>not neg pair</v>
          </cell>
          <cell r="Y6834" t="str">
            <v>Past</v>
          </cell>
          <cell r="Z6834">
            <v>4.79</v>
          </cell>
          <cell r="AA6834">
            <v>0</v>
          </cell>
          <cell r="AB6834">
            <v>0</v>
          </cell>
        </row>
        <row r="6835">
          <cell r="G6835" t="str">
            <v>X2687_1</v>
          </cell>
          <cell r="H6835" t="str">
            <v>as</v>
          </cell>
          <cell r="I6835" t="str">
            <v>sim</v>
          </cell>
          <cell r="V6835" t="str">
            <v>not neg pair</v>
          </cell>
          <cell r="Y6835" t="str">
            <v>Past</v>
          </cell>
          <cell r="Z6835">
            <v>4.79</v>
          </cell>
          <cell r="AA6835">
            <v>0</v>
          </cell>
          <cell r="AB6835">
            <v>0</v>
          </cell>
        </row>
        <row r="6836">
          <cell r="G6836" t="str">
            <v>X2688_0</v>
          </cell>
          <cell r="H6836" t="str">
            <v>as-as</v>
          </cell>
          <cell r="I6836" t="str">
            <v>sim</v>
          </cell>
          <cell r="V6836" t="str">
            <v>not neg pair</v>
          </cell>
          <cell r="Y6836" t="str">
            <v>Past</v>
          </cell>
          <cell r="Z6836">
            <v>3.93</v>
          </cell>
          <cell r="AA6836">
            <v>0</v>
          </cell>
          <cell r="AB6836">
            <v>0</v>
          </cell>
        </row>
        <row r="6837">
          <cell r="G6837" t="str">
            <v>X2688_1</v>
          </cell>
          <cell r="H6837" t="str">
            <v>as-as</v>
          </cell>
          <cell r="I6837" t="str">
            <v>sim</v>
          </cell>
          <cell r="V6837" t="str">
            <v>not neg pair</v>
          </cell>
          <cell r="Y6837" t="str">
            <v>Past</v>
          </cell>
          <cell r="Z6837">
            <v>3.93</v>
          </cell>
          <cell r="AA6837">
            <v>0</v>
          </cell>
          <cell r="AB6837">
            <v>0</v>
          </cell>
        </row>
        <row r="6838">
          <cell r="G6838" t="str">
            <v>X2689_0</v>
          </cell>
          <cell r="H6838" t="str">
            <v/>
          </cell>
          <cell r="I6838" t="str">
            <v>met</v>
          </cell>
          <cell r="V6838" t="str">
            <v>0</v>
          </cell>
          <cell r="Y6838" t="str">
            <v>Pres</v>
          </cell>
          <cell r="Z6838">
            <v>2.0699999999999998</v>
          </cell>
          <cell r="AA6838" t="str">
            <v>L</v>
          </cell>
          <cell r="AB6838">
            <v>0</v>
          </cell>
        </row>
        <row r="6839">
          <cell r="G6839" t="str">
            <v>X2689_1</v>
          </cell>
          <cell r="H6839" t="str">
            <v/>
          </cell>
          <cell r="I6839" t="str">
            <v>met</v>
          </cell>
          <cell r="V6839" t="str">
            <v>0</v>
          </cell>
          <cell r="Y6839" t="str">
            <v>Pres</v>
          </cell>
          <cell r="Z6839">
            <v>2.0699999999999998</v>
          </cell>
          <cell r="AA6839" t="str">
            <v>L</v>
          </cell>
          <cell r="AB6839">
            <v>0</v>
          </cell>
        </row>
        <row r="6840">
          <cell r="G6840" t="str">
            <v>X2690_0</v>
          </cell>
          <cell r="H6840" t="str">
            <v/>
          </cell>
          <cell r="I6840" t="str">
            <v>met</v>
          </cell>
          <cell r="V6840" t="str">
            <v>0</v>
          </cell>
          <cell r="Y6840" t="str">
            <v>Pres</v>
          </cell>
          <cell r="Z6840">
            <v>3.83</v>
          </cell>
          <cell r="AA6840">
            <v>0</v>
          </cell>
          <cell r="AB6840">
            <v>0</v>
          </cell>
        </row>
        <row r="6841">
          <cell r="G6841" t="str">
            <v>X2690_1</v>
          </cell>
          <cell r="H6841" t="str">
            <v/>
          </cell>
          <cell r="I6841" t="str">
            <v>met</v>
          </cell>
          <cell r="V6841" t="str">
            <v>0</v>
          </cell>
          <cell r="Y6841" t="str">
            <v>Pres</v>
          </cell>
          <cell r="Z6841">
            <v>3.83</v>
          </cell>
          <cell r="AA6841">
            <v>0</v>
          </cell>
          <cell r="AB6841">
            <v>0</v>
          </cell>
        </row>
        <row r="6842">
          <cell r="G6842" t="str">
            <v>X2691_0</v>
          </cell>
          <cell r="H6842" t="str">
            <v>like</v>
          </cell>
          <cell r="I6842" t="str">
            <v>sim</v>
          </cell>
          <cell r="V6842" t="str">
            <v>0</v>
          </cell>
          <cell r="Y6842" t="str">
            <v>Pres</v>
          </cell>
          <cell r="Z6842">
            <v>3.72</v>
          </cell>
          <cell r="AA6842">
            <v>0</v>
          </cell>
          <cell r="AB6842">
            <v>0</v>
          </cell>
        </row>
        <row r="6843">
          <cell r="G6843" t="str">
            <v>X2691_1</v>
          </cell>
          <cell r="H6843" t="str">
            <v/>
          </cell>
          <cell r="I6843" t="str">
            <v>met</v>
          </cell>
          <cell r="V6843" t="str">
            <v>0</v>
          </cell>
          <cell r="Y6843" t="str">
            <v>Pres</v>
          </cell>
          <cell r="Z6843">
            <v>3.72</v>
          </cell>
          <cell r="AA6843">
            <v>0</v>
          </cell>
          <cell r="AB6843">
            <v>0</v>
          </cell>
        </row>
        <row r="6844">
          <cell r="G6844" t="str">
            <v>X2692_0</v>
          </cell>
          <cell r="H6844" t="str">
            <v>as-as</v>
          </cell>
          <cell r="I6844" t="str">
            <v>sim</v>
          </cell>
          <cell r="V6844" t="str">
            <v>not neg pair</v>
          </cell>
          <cell r="Y6844" t="str">
            <v>Past</v>
          </cell>
          <cell r="Z6844">
            <v>3.9</v>
          </cell>
          <cell r="AA6844">
            <v>0</v>
          </cell>
          <cell r="AB6844">
            <v>0</v>
          </cell>
        </row>
        <row r="6845">
          <cell r="G6845" t="str">
            <v>X2692_1</v>
          </cell>
          <cell r="H6845" t="str">
            <v>as-as</v>
          </cell>
          <cell r="I6845" t="str">
            <v>sim</v>
          </cell>
          <cell r="V6845" t="str">
            <v>not neg pair</v>
          </cell>
          <cell r="Y6845" t="str">
            <v>Past</v>
          </cell>
          <cell r="Z6845">
            <v>3.9</v>
          </cell>
          <cell r="AA6845">
            <v>0</v>
          </cell>
          <cell r="AB6845">
            <v>0</v>
          </cell>
        </row>
        <row r="6846">
          <cell r="G6846" t="str">
            <v>X2693_0</v>
          </cell>
          <cell r="H6846" t="str">
            <v>as-as</v>
          </cell>
          <cell r="I6846" t="str">
            <v>sim</v>
          </cell>
          <cell r="V6846" t="str">
            <v>antonym</v>
          </cell>
          <cell r="Y6846" t="str">
            <v>Past</v>
          </cell>
          <cell r="Z6846">
            <v>2.89</v>
          </cell>
          <cell r="AA6846">
            <v>0</v>
          </cell>
          <cell r="AB6846">
            <v>0</v>
          </cell>
        </row>
        <row r="6847">
          <cell r="G6847" t="str">
            <v>X2693_1</v>
          </cell>
          <cell r="H6847" t="str">
            <v>as-as</v>
          </cell>
          <cell r="I6847" t="str">
            <v>sim</v>
          </cell>
          <cell r="V6847" t="str">
            <v>antonym</v>
          </cell>
          <cell r="Y6847" t="str">
            <v>Past</v>
          </cell>
          <cell r="Z6847">
            <v>2.89</v>
          </cell>
          <cell r="AA6847">
            <v>0</v>
          </cell>
          <cell r="AB6847">
            <v>0</v>
          </cell>
        </row>
        <row r="6848">
          <cell r="G6848" t="str">
            <v>X2694_0</v>
          </cell>
          <cell r="H6848" t="str">
            <v>like</v>
          </cell>
          <cell r="I6848" t="str">
            <v>sim</v>
          </cell>
          <cell r="V6848" t="str">
            <v>not neg pair</v>
          </cell>
          <cell r="Y6848" t="str">
            <v>Past</v>
          </cell>
          <cell r="Z6848">
            <v>1.75</v>
          </cell>
          <cell r="AA6848" t="str">
            <v>L</v>
          </cell>
          <cell r="AB6848">
            <v>0</v>
          </cell>
        </row>
        <row r="6849">
          <cell r="G6849" t="str">
            <v>X2694_1</v>
          </cell>
          <cell r="H6849" t="str">
            <v>like</v>
          </cell>
          <cell r="I6849" t="str">
            <v>sim</v>
          </cell>
          <cell r="V6849" t="str">
            <v>not neg pair</v>
          </cell>
          <cell r="Y6849" t="str">
            <v>Past</v>
          </cell>
          <cell r="Z6849">
            <v>1.75</v>
          </cell>
          <cell r="AA6849" t="str">
            <v>L</v>
          </cell>
          <cell r="AB6849">
            <v>0</v>
          </cell>
        </row>
        <row r="6850">
          <cell r="G6850" t="str">
            <v>X2695_0</v>
          </cell>
          <cell r="H6850" t="str">
            <v>as-as</v>
          </cell>
          <cell r="I6850" t="str">
            <v>sim</v>
          </cell>
          <cell r="V6850" t="str">
            <v>antonym</v>
          </cell>
          <cell r="Y6850" t="str">
            <v>Past</v>
          </cell>
          <cell r="Z6850">
            <v>4.59</v>
          </cell>
          <cell r="AA6850">
            <v>0</v>
          </cell>
          <cell r="AB6850">
            <v>0</v>
          </cell>
        </row>
        <row r="6851">
          <cell r="G6851" t="str">
            <v>X2695_1</v>
          </cell>
          <cell r="H6851" t="str">
            <v>as-as</v>
          </cell>
          <cell r="I6851" t="str">
            <v>sim</v>
          </cell>
          <cell r="V6851" t="str">
            <v>antonym</v>
          </cell>
          <cell r="Y6851" t="str">
            <v>Past</v>
          </cell>
          <cell r="Z6851">
            <v>4.59</v>
          </cell>
          <cell r="AA6851">
            <v>0</v>
          </cell>
          <cell r="AB6851">
            <v>0</v>
          </cell>
        </row>
        <row r="6852">
          <cell r="G6852" t="str">
            <v>X2696_0</v>
          </cell>
          <cell r="H6852" t="str">
            <v>as-as</v>
          </cell>
          <cell r="I6852" t="str">
            <v>sim</v>
          </cell>
          <cell r="V6852" t="str">
            <v>antonym</v>
          </cell>
          <cell r="Y6852" t="str">
            <v>Past</v>
          </cell>
          <cell r="Z6852">
            <v>2.31</v>
          </cell>
          <cell r="AA6852" t="str">
            <v>L</v>
          </cell>
          <cell r="AB6852">
            <v>0</v>
          </cell>
        </row>
        <row r="6853">
          <cell r="G6853" t="str">
            <v>X2696_1</v>
          </cell>
          <cell r="H6853" t="str">
            <v>as-as</v>
          </cell>
          <cell r="I6853" t="str">
            <v>sim</v>
          </cell>
          <cell r="V6853" t="str">
            <v>antonym</v>
          </cell>
          <cell r="Y6853" t="str">
            <v>Past</v>
          </cell>
          <cell r="Z6853">
            <v>2.31</v>
          </cell>
          <cell r="AA6853" t="str">
            <v>L</v>
          </cell>
          <cell r="AB6853">
            <v>0</v>
          </cell>
        </row>
        <row r="6854">
          <cell r="G6854" t="str">
            <v>X2697_0</v>
          </cell>
          <cell r="H6854" t="str">
            <v>as-as</v>
          </cell>
          <cell r="I6854" t="str">
            <v>sim</v>
          </cell>
          <cell r="V6854" t="str">
            <v>not</v>
          </cell>
          <cell r="Y6854" t="str">
            <v>Past</v>
          </cell>
          <cell r="Z6854">
            <v>2.81</v>
          </cell>
          <cell r="AA6854">
            <v>0</v>
          </cell>
          <cell r="AB6854">
            <v>0</v>
          </cell>
        </row>
        <row r="6855">
          <cell r="G6855" t="str">
            <v>X2697_1</v>
          </cell>
          <cell r="H6855" t="str">
            <v>as-as</v>
          </cell>
          <cell r="I6855" t="str">
            <v>sim</v>
          </cell>
          <cell r="V6855" t="str">
            <v>not</v>
          </cell>
          <cell r="Y6855" t="str">
            <v>Past</v>
          </cell>
          <cell r="Z6855">
            <v>2.81</v>
          </cell>
          <cell r="AA6855">
            <v>0</v>
          </cell>
          <cell r="AB6855">
            <v>0</v>
          </cell>
        </row>
        <row r="6856">
          <cell r="G6856" t="str">
            <v>X2698_0</v>
          </cell>
          <cell r="H6856" t="str">
            <v>as-as</v>
          </cell>
          <cell r="I6856" t="str">
            <v>sim</v>
          </cell>
          <cell r="V6856" t="str">
            <v>not neg pair</v>
          </cell>
          <cell r="Y6856" t="str">
            <v>Past</v>
          </cell>
          <cell r="Z6856">
            <v>2.81</v>
          </cell>
          <cell r="AA6856">
            <v>0</v>
          </cell>
          <cell r="AB6856">
            <v>0</v>
          </cell>
        </row>
        <row r="6857">
          <cell r="G6857" t="str">
            <v>X2698_1</v>
          </cell>
          <cell r="H6857" t="str">
            <v>as-as</v>
          </cell>
          <cell r="I6857" t="str">
            <v>sim</v>
          </cell>
          <cell r="V6857" t="str">
            <v>not neg pair</v>
          </cell>
          <cell r="Y6857" t="str">
            <v>Past</v>
          </cell>
          <cell r="Z6857">
            <v>2.81</v>
          </cell>
          <cell r="AA6857">
            <v>0</v>
          </cell>
          <cell r="AB6857">
            <v>0</v>
          </cell>
        </row>
        <row r="6858">
          <cell r="G6858" t="str">
            <v>X2699_0</v>
          </cell>
          <cell r="H6858" t="str">
            <v>like</v>
          </cell>
          <cell r="I6858" t="str">
            <v>sim</v>
          </cell>
          <cell r="V6858" t="str">
            <v>not neg pair</v>
          </cell>
          <cell r="Y6858" t="str">
            <v>Pres</v>
          </cell>
          <cell r="Z6858">
            <v>3.93</v>
          </cell>
          <cell r="AA6858">
            <v>0</v>
          </cell>
          <cell r="AB6858">
            <v>0</v>
          </cell>
        </row>
        <row r="6859">
          <cell r="G6859" t="str">
            <v>X2699_1</v>
          </cell>
          <cell r="H6859" t="str">
            <v>like</v>
          </cell>
          <cell r="I6859" t="str">
            <v>sim</v>
          </cell>
          <cell r="V6859" t="str">
            <v>not neg pair</v>
          </cell>
          <cell r="Y6859" t="str">
            <v>Past</v>
          </cell>
          <cell r="Z6859">
            <v>3.93</v>
          </cell>
          <cell r="AA6859">
            <v>0</v>
          </cell>
          <cell r="AB6859">
            <v>0</v>
          </cell>
        </row>
        <row r="6860">
          <cell r="G6860" t="str">
            <v>X2700_0</v>
          </cell>
          <cell r="H6860" t="str">
            <v/>
          </cell>
          <cell r="I6860" t="str">
            <v>met</v>
          </cell>
          <cell r="V6860" t="str">
            <v>0</v>
          </cell>
          <cell r="Y6860" t="str">
            <v>Past</v>
          </cell>
          <cell r="Z6860">
            <v>2.6</v>
          </cell>
          <cell r="AA6860" t="str">
            <v>L</v>
          </cell>
          <cell r="AB6860">
            <v>0</v>
          </cell>
        </row>
        <row r="6861">
          <cell r="G6861" t="str">
            <v>X2700_1</v>
          </cell>
          <cell r="H6861" t="str">
            <v/>
          </cell>
          <cell r="I6861" t="str">
            <v>met</v>
          </cell>
          <cell r="V6861" t="str">
            <v>0</v>
          </cell>
          <cell r="Y6861" t="str">
            <v>Past</v>
          </cell>
          <cell r="Z6861">
            <v>2.6</v>
          </cell>
          <cell r="AA6861" t="str">
            <v>L</v>
          </cell>
          <cell r="AB6861">
            <v>0</v>
          </cell>
        </row>
        <row r="6862">
          <cell r="G6862" t="str">
            <v>X2701_0</v>
          </cell>
          <cell r="H6862" t="str">
            <v>as-as</v>
          </cell>
          <cell r="I6862" t="str">
            <v>sim</v>
          </cell>
          <cell r="V6862" t="str">
            <v>antonym</v>
          </cell>
          <cell r="Y6862" t="str">
            <v>Pres</v>
          </cell>
          <cell r="Z6862">
            <v>2.59</v>
          </cell>
          <cell r="AA6862" t="str">
            <v>L</v>
          </cell>
          <cell r="AB6862">
            <v>0</v>
          </cell>
        </row>
        <row r="6863">
          <cell r="G6863" t="str">
            <v>X2701_1</v>
          </cell>
          <cell r="H6863" t="str">
            <v>as-as</v>
          </cell>
          <cell r="I6863" t="str">
            <v>sim</v>
          </cell>
          <cell r="V6863" t="str">
            <v>antonym</v>
          </cell>
          <cell r="Y6863" t="str">
            <v>Pres</v>
          </cell>
          <cell r="Z6863">
            <v>2.59</v>
          </cell>
          <cell r="AA6863" t="str">
            <v>L</v>
          </cell>
          <cell r="AB6863">
            <v>0</v>
          </cell>
        </row>
        <row r="6864">
          <cell r="G6864" t="str">
            <v>X2702_0</v>
          </cell>
          <cell r="H6864" t="str">
            <v>the-of</v>
          </cell>
          <cell r="I6864" t="str">
            <v>sim</v>
          </cell>
          <cell r="V6864" t="str">
            <v>not neg pair</v>
          </cell>
          <cell r="Y6864" t="str">
            <v>Pres</v>
          </cell>
          <cell r="Z6864">
            <v>3.93</v>
          </cell>
          <cell r="AA6864">
            <v>0</v>
          </cell>
          <cell r="AB6864">
            <v>0</v>
          </cell>
        </row>
        <row r="6865">
          <cell r="G6865" t="str">
            <v>X2702_1</v>
          </cell>
          <cell r="H6865" t="str">
            <v>the-of</v>
          </cell>
          <cell r="I6865" t="str">
            <v>sim</v>
          </cell>
          <cell r="V6865" t="str">
            <v>not neg pair</v>
          </cell>
          <cell r="Y6865" t="str">
            <v>Pres</v>
          </cell>
          <cell r="Z6865">
            <v>3.93</v>
          </cell>
          <cell r="AA6865">
            <v>0</v>
          </cell>
          <cell r="AB6865">
            <v>0</v>
          </cell>
        </row>
        <row r="6866">
          <cell r="G6866" t="str">
            <v>X2703_0</v>
          </cell>
          <cell r="H6866" t="str">
            <v>as-as</v>
          </cell>
          <cell r="I6866" t="str">
            <v>sim</v>
          </cell>
          <cell r="V6866" t="str">
            <v>antonym</v>
          </cell>
          <cell r="Y6866" t="str">
            <v>Past</v>
          </cell>
          <cell r="Z6866">
            <v>4.5199999999999996</v>
          </cell>
          <cell r="AA6866">
            <v>0</v>
          </cell>
          <cell r="AB6866">
            <v>0</v>
          </cell>
        </row>
        <row r="6867">
          <cell r="G6867" t="str">
            <v>X2703_1</v>
          </cell>
          <cell r="H6867" t="str">
            <v>as-as</v>
          </cell>
          <cell r="I6867" t="str">
            <v>sim</v>
          </cell>
          <cell r="V6867" t="str">
            <v>antonym</v>
          </cell>
          <cell r="Y6867" t="str">
            <v>Past</v>
          </cell>
          <cell r="Z6867">
            <v>4.5199999999999996</v>
          </cell>
          <cell r="AA6867">
            <v>0</v>
          </cell>
          <cell r="AB6867">
            <v>0</v>
          </cell>
        </row>
        <row r="6868">
          <cell r="G6868" t="str">
            <v>X2704_0</v>
          </cell>
          <cell r="H6868" t="str">
            <v>as-as</v>
          </cell>
          <cell r="I6868" t="str">
            <v>sim</v>
          </cell>
          <cell r="V6868" t="str">
            <v>antonym</v>
          </cell>
          <cell r="Y6868" t="str">
            <v>Past</v>
          </cell>
          <cell r="Z6868">
            <v>4.76</v>
          </cell>
          <cell r="AA6868">
            <v>0</v>
          </cell>
          <cell r="AB6868">
            <v>0</v>
          </cell>
        </row>
        <row r="6869">
          <cell r="G6869" t="str">
            <v>X2704_1</v>
          </cell>
          <cell r="H6869" t="str">
            <v>as-as</v>
          </cell>
          <cell r="I6869" t="str">
            <v>sim</v>
          </cell>
          <cell r="V6869" t="str">
            <v>antonym</v>
          </cell>
          <cell r="Y6869" t="str">
            <v>Past</v>
          </cell>
          <cell r="Z6869">
            <v>4.76</v>
          </cell>
          <cell r="AA6869">
            <v>0</v>
          </cell>
          <cell r="AB6869">
            <v>0</v>
          </cell>
        </row>
        <row r="6870">
          <cell r="G6870" t="str">
            <v>X2705_0</v>
          </cell>
          <cell r="H6870" t="str">
            <v>the-of</v>
          </cell>
          <cell r="I6870" t="str">
            <v>sim</v>
          </cell>
          <cell r="V6870" t="str">
            <v>not neg pair</v>
          </cell>
          <cell r="Y6870" t="str">
            <v>Past</v>
          </cell>
          <cell r="Z6870">
            <v>2.93</v>
          </cell>
          <cell r="AA6870">
            <v>0</v>
          </cell>
          <cell r="AB6870">
            <v>0</v>
          </cell>
        </row>
        <row r="6871">
          <cell r="G6871" t="str">
            <v>X2705_1</v>
          </cell>
          <cell r="H6871" t="str">
            <v>the-of</v>
          </cell>
          <cell r="I6871" t="str">
            <v>sim</v>
          </cell>
          <cell r="V6871" t="str">
            <v>not neg pair</v>
          </cell>
          <cell r="Y6871" t="str">
            <v>Past</v>
          </cell>
          <cell r="Z6871">
            <v>2.93</v>
          </cell>
          <cell r="AA6871">
            <v>0</v>
          </cell>
          <cell r="AB6871">
            <v>0</v>
          </cell>
        </row>
        <row r="6872">
          <cell r="G6872" t="str">
            <v>X2706_0</v>
          </cell>
          <cell r="H6872" t="str">
            <v>the-of</v>
          </cell>
          <cell r="I6872" t="str">
            <v>sim</v>
          </cell>
          <cell r="V6872" t="str">
            <v>not neg pair</v>
          </cell>
          <cell r="Y6872" t="str">
            <v>Past</v>
          </cell>
          <cell r="Z6872">
            <v>4.24</v>
          </cell>
          <cell r="AA6872">
            <v>0</v>
          </cell>
          <cell r="AB6872">
            <v>0</v>
          </cell>
        </row>
        <row r="6873">
          <cell r="G6873" t="str">
            <v>X2706_1</v>
          </cell>
          <cell r="H6873" t="str">
            <v>the-of</v>
          </cell>
          <cell r="I6873" t="str">
            <v>sim</v>
          </cell>
          <cell r="V6873" t="str">
            <v>not neg pair</v>
          </cell>
          <cell r="Y6873" t="str">
            <v>Past</v>
          </cell>
          <cell r="Z6873">
            <v>4.24</v>
          </cell>
          <cell r="AA6873">
            <v>0</v>
          </cell>
          <cell r="AB6873">
            <v>0</v>
          </cell>
        </row>
        <row r="6874">
          <cell r="G6874" t="str">
            <v>X2707_0</v>
          </cell>
          <cell r="H6874" t="str">
            <v>as-as</v>
          </cell>
          <cell r="I6874" t="str">
            <v>sim</v>
          </cell>
          <cell r="V6874" t="str">
            <v>not neg pair</v>
          </cell>
          <cell r="Y6874" t="str">
            <v>Past</v>
          </cell>
          <cell r="Z6874">
            <v>3.93</v>
          </cell>
          <cell r="AA6874">
            <v>0</v>
          </cell>
          <cell r="AB6874">
            <v>0</v>
          </cell>
        </row>
        <row r="6875">
          <cell r="G6875" t="str">
            <v>X2707_1</v>
          </cell>
          <cell r="H6875" t="str">
            <v>as-as</v>
          </cell>
          <cell r="I6875" t="str">
            <v>sim</v>
          </cell>
          <cell r="V6875" t="str">
            <v>not neg pair</v>
          </cell>
          <cell r="Y6875" t="str">
            <v>Past</v>
          </cell>
          <cell r="Z6875">
            <v>3.93</v>
          </cell>
          <cell r="AA6875">
            <v>0</v>
          </cell>
          <cell r="AB6875">
            <v>0</v>
          </cell>
        </row>
        <row r="6876">
          <cell r="G6876" t="str">
            <v>X2708_0</v>
          </cell>
          <cell r="H6876" t="str">
            <v>as-as</v>
          </cell>
          <cell r="I6876" t="str">
            <v>sim</v>
          </cell>
          <cell r="V6876" t="str">
            <v>not neg pair</v>
          </cell>
          <cell r="Y6876" t="str">
            <v>Past</v>
          </cell>
          <cell r="Z6876">
            <v>4.1399999999999997</v>
          </cell>
          <cell r="AA6876">
            <v>0</v>
          </cell>
          <cell r="AB6876">
            <v>0</v>
          </cell>
        </row>
        <row r="6877">
          <cell r="G6877" t="str">
            <v>X2708_1</v>
          </cell>
          <cell r="H6877" t="str">
            <v>as-as</v>
          </cell>
          <cell r="I6877" t="str">
            <v>sim</v>
          </cell>
          <cell r="V6877" t="str">
            <v>not neg pair</v>
          </cell>
          <cell r="Y6877" t="str">
            <v>Past</v>
          </cell>
          <cell r="Z6877">
            <v>4.1399999999999997</v>
          </cell>
          <cell r="AA6877">
            <v>0</v>
          </cell>
          <cell r="AB6877">
            <v>0</v>
          </cell>
        </row>
        <row r="6878">
          <cell r="G6878" t="str">
            <v>X2709_0</v>
          </cell>
          <cell r="H6878" t="str">
            <v>as-as</v>
          </cell>
          <cell r="I6878" t="str">
            <v>sim</v>
          </cell>
          <cell r="V6878" t="str">
            <v>not</v>
          </cell>
          <cell r="Y6878" t="str">
            <v>Pres</v>
          </cell>
          <cell r="Z6878">
            <v>3.43</v>
          </cell>
          <cell r="AA6878">
            <v>0</v>
          </cell>
          <cell r="AB6878">
            <v>0</v>
          </cell>
        </row>
        <row r="6879">
          <cell r="G6879" t="str">
            <v>X2709_1</v>
          </cell>
          <cell r="H6879" t="str">
            <v>as-as</v>
          </cell>
          <cell r="I6879" t="str">
            <v>sim</v>
          </cell>
          <cell r="V6879" t="str">
            <v>not</v>
          </cell>
          <cell r="Y6879" t="str">
            <v>Pres</v>
          </cell>
          <cell r="Z6879">
            <v>3.43</v>
          </cell>
          <cell r="AA6879">
            <v>0</v>
          </cell>
          <cell r="AB6879">
            <v>0</v>
          </cell>
        </row>
        <row r="6880">
          <cell r="G6880" t="str">
            <v>X2710_0</v>
          </cell>
          <cell r="H6880" t="str">
            <v>as-as</v>
          </cell>
          <cell r="I6880" t="str">
            <v>sim</v>
          </cell>
          <cell r="V6880" t="str">
            <v>antonym</v>
          </cell>
          <cell r="Y6880" t="str">
            <v>Pres</v>
          </cell>
          <cell r="Z6880">
            <v>2.81</v>
          </cell>
          <cell r="AA6880">
            <v>0</v>
          </cell>
          <cell r="AB6880">
            <v>0</v>
          </cell>
        </row>
        <row r="6881">
          <cell r="G6881" t="str">
            <v>X2710_1</v>
          </cell>
          <cell r="H6881" t="str">
            <v>as-as</v>
          </cell>
          <cell r="I6881" t="str">
            <v>sim</v>
          </cell>
          <cell r="V6881" t="str">
            <v>antonym</v>
          </cell>
          <cell r="Y6881" t="str">
            <v>Pres</v>
          </cell>
          <cell r="Z6881">
            <v>2.81</v>
          </cell>
          <cell r="AA6881">
            <v>0</v>
          </cell>
          <cell r="AB6881">
            <v>0</v>
          </cell>
        </row>
        <row r="6882">
          <cell r="G6882" t="str">
            <v>X2711_0</v>
          </cell>
          <cell r="H6882" t="str">
            <v>as-as</v>
          </cell>
          <cell r="I6882" t="str">
            <v>sim</v>
          </cell>
          <cell r="V6882" t="str">
            <v>not neg pair</v>
          </cell>
          <cell r="Y6882" t="str">
            <v>Past</v>
          </cell>
          <cell r="Z6882">
            <v>3.89</v>
          </cell>
          <cell r="AA6882">
            <v>0</v>
          </cell>
          <cell r="AB6882">
            <v>0</v>
          </cell>
        </row>
        <row r="6883">
          <cell r="G6883" t="str">
            <v>X2711_1</v>
          </cell>
          <cell r="H6883" t="str">
            <v>as-as</v>
          </cell>
          <cell r="I6883" t="str">
            <v>sim</v>
          </cell>
          <cell r="V6883" t="str">
            <v>not neg pair</v>
          </cell>
          <cell r="Y6883" t="str">
            <v>Past</v>
          </cell>
          <cell r="Z6883">
            <v>3.89</v>
          </cell>
          <cell r="AA6883">
            <v>0</v>
          </cell>
          <cell r="AB6883">
            <v>0</v>
          </cell>
        </row>
        <row r="6884">
          <cell r="G6884" t="str">
            <v>X2712_0</v>
          </cell>
          <cell r="H6884" t="str">
            <v/>
          </cell>
          <cell r="I6884" t="str">
            <v>met</v>
          </cell>
          <cell r="V6884" t="str">
            <v>0</v>
          </cell>
          <cell r="Y6884" t="str">
            <v>Pres</v>
          </cell>
          <cell r="Z6884">
            <v>4.46</v>
          </cell>
          <cell r="AA6884">
            <v>0</v>
          </cell>
          <cell r="AB6884">
            <v>0</v>
          </cell>
        </row>
        <row r="6885">
          <cell r="G6885" t="str">
            <v>X2712_1</v>
          </cell>
          <cell r="H6885" t="str">
            <v/>
          </cell>
          <cell r="I6885" t="str">
            <v>met</v>
          </cell>
          <cell r="V6885" t="str">
            <v>0</v>
          </cell>
          <cell r="Y6885" t="str">
            <v>Past</v>
          </cell>
          <cell r="Z6885">
            <v>4.46</v>
          </cell>
          <cell r="AA6885">
            <v>0</v>
          </cell>
          <cell r="AB6885">
            <v>0</v>
          </cell>
        </row>
        <row r="6886">
          <cell r="G6886" t="str">
            <v>X2713_0</v>
          </cell>
          <cell r="H6886" t="str">
            <v/>
          </cell>
          <cell r="I6886" t="str">
            <v>met</v>
          </cell>
          <cell r="V6886" t="str">
            <v>0</v>
          </cell>
          <cell r="Y6886" t="str">
            <v>Past</v>
          </cell>
          <cell r="Z6886">
            <v>4.24</v>
          </cell>
          <cell r="AA6886">
            <v>0</v>
          </cell>
          <cell r="AB6886">
            <v>0</v>
          </cell>
        </row>
        <row r="6887">
          <cell r="G6887" t="str">
            <v>X2713_1</v>
          </cell>
          <cell r="H6887" t="str">
            <v/>
          </cell>
          <cell r="I6887" t="str">
            <v>met</v>
          </cell>
          <cell r="V6887" t="str">
            <v>0</v>
          </cell>
          <cell r="Y6887" t="str">
            <v>Past</v>
          </cell>
          <cell r="Z6887">
            <v>4.24</v>
          </cell>
          <cell r="AA6887">
            <v>0</v>
          </cell>
          <cell r="AB6887">
            <v>0</v>
          </cell>
        </row>
        <row r="6888">
          <cell r="G6888" t="str">
            <v>X2714_0</v>
          </cell>
          <cell r="H6888" t="str">
            <v/>
          </cell>
          <cell r="I6888" t="str">
            <v>met</v>
          </cell>
          <cell r="V6888" t="str">
            <v>0</v>
          </cell>
          <cell r="Y6888" t="str">
            <v>Past</v>
          </cell>
          <cell r="Z6888">
            <v>4.76</v>
          </cell>
          <cell r="AA6888">
            <v>0</v>
          </cell>
          <cell r="AB6888">
            <v>0</v>
          </cell>
        </row>
        <row r="6889">
          <cell r="G6889" t="str">
            <v>X2714_1</v>
          </cell>
          <cell r="H6889" t="str">
            <v>like</v>
          </cell>
          <cell r="I6889" t="str">
            <v>sim</v>
          </cell>
          <cell r="V6889" t="str">
            <v>0</v>
          </cell>
          <cell r="Y6889" t="str">
            <v>Past</v>
          </cell>
          <cell r="Z6889">
            <v>4.76</v>
          </cell>
          <cell r="AA6889">
            <v>0</v>
          </cell>
          <cell r="AB6889">
            <v>0</v>
          </cell>
        </row>
        <row r="6890">
          <cell r="G6890" t="str">
            <v>X2715_0</v>
          </cell>
          <cell r="H6890" t="str">
            <v>the-of</v>
          </cell>
          <cell r="I6890" t="str">
            <v>sim</v>
          </cell>
          <cell r="V6890" t="str">
            <v>not</v>
          </cell>
          <cell r="Y6890" t="str">
            <v>Pres</v>
          </cell>
          <cell r="Z6890">
            <v>4.8600000000000003</v>
          </cell>
          <cell r="AA6890">
            <v>0</v>
          </cell>
          <cell r="AB6890">
            <v>0</v>
          </cell>
        </row>
        <row r="6891">
          <cell r="G6891" t="str">
            <v>X2715_1</v>
          </cell>
          <cell r="H6891" t="str">
            <v>the-of</v>
          </cell>
          <cell r="I6891" t="str">
            <v>sim</v>
          </cell>
          <cell r="V6891" t="str">
            <v>not</v>
          </cell>
          <cell r="Y6891" t="str">
            <v>Pres</v>
          </cell>
          <cell r="Z6891">
            <v>4.8600000000000003</v>
          </cell>
          <cell r="AA6891">
            <v>0</v>
          </cell>
          <cell r="AB6891">
            <v>0</v>
          </cell>
        </row>
        <row r="6892">
          <cell r="G6892" t="str">
            <v>X2716_0</v>
          </cell>
          <cell r="H6892" t="str">
            <v>the-of</v>
          </cell>
          <cell r="I6892" t="str">
            <v>sim</v>
          </cell>
          <cell r="V6892" t="str">
            <v>not neg pair</v>
          </cell>
          <cell r="Y6892" t="str">
            <v>Past</v>
          </cell>
          <cell r="Z6892">
            <v>4.59</v>
          </cell>
          <cell r="AA6892">
            <v>0</v>
          </cell>
          <cell r="AB6892">
            <v>0</v>
          </cell>
        </row>
        <row r="6893">
          <cell r="G6893" t="str">
            <v>X2716_1</v>
          </cell>
          <cell r="H6893" t="str">
            <v>the-of</v>
          </cell>
          <cell r="I6893" t="str">
            <v>sim</v>
          </cell>
          <cell r="V6893" t="str">
            <v>not neg pair</v>
          </cell>
          <cell r="Y6893" t="str">
            <v>Past</v>
          </cell>
          <cell r="Z6893">
            <v>4.59</v>
          </cell>
          <cell r="AA6893">
            <v>0</v>
          </cell>
          <cell r="AB6893">
            <v>0</v>
          </cell>
        </row>
        <row r="6894">
          <cell r="G6894" t="str">
            <v>X2717_0</v>
          </cell>
          <cell r="H6894" t="str">
            <v>like</v>
          </cell>
          <cell r="I6894" t="str">
            <v>sim</v>
          </cell>
          <cell r="V6894" t="str">
            <v>not neg pair</v>
          </cell>
          <cell r="Y6894" t="str">
            <v>Past</v>
          </cell>
          <cell r="Z6894">
            <v>4.59</v>
          </cell>
          <cell r="AA6894">
            <v>0</v>
          </cell>
          <cell r="AB6894">
            <v>0</v>
          </cell>
        </row>
        <row r="6895">
          <cell r="G6895" t="str">
            <v>X2717_1</v>
          </cell>
          <cell r="H6895" t="str">
            <v>like</v>
          </cell>
          <cell r="I6895" t="str">
            <v>sim</v>
          </cell>
          <cell r="V6895" t="str">
            <v>not neg pair</v>
          </cell>
          <cell r="Y6895" t="str">
            <v>Past</v>
          </cell>
          <cell r="Z6895">
            <v>4.59</v>
          </cell>
          <cell r="AA6895">
            <v>0</v>
          </cell>
          <cell r="AB6895">
            <v>0</v>
          </cell>
        </row>
        <row r="6896">
          <cell r="G6896" t="str">
            <v>X2718_0</v>
          </cell>
          <cell r="H6896" t="str">
            <v>the-of</v>
          </cell>
          <cell r="I6896" t="str">
            <v>sim</v>
          </cell>
          <cell r="V6896" t="str">
            <v>not neg pair</v>
          </cell>
          <cell r="Y6896" t="str">
            <v>Past</v>
          </cell>
          <cell r="Z6896">
            <v>1.62</v>
          </cell>
          <cell r="AA6896" t="str">
            <v>L</v>
          </cell>
          <cell r="AB6896">
            <v>0</v>
          </cell>
        </row>
        <row r="6897">
          <cell r="G6897" t="str">
            <v>X2718_1</v>
          </cell>
          <cell r="H6897" t="str">
            <v>the-of</v>
          </cell>
          <cell r="I6897" t="str">
            <v>sim</v>
          </cell>
          <cell r="V6897" t="str">
            <v>not neg pair</v>
          </cell>
          <cell r="Y6897" t="str">
            <v>Past</v>
          </cell>
          <cell r="Z6897">
            <v>1.62</v>
          </cell>
          <cell r="AA6897" t="str">
            <v>L</v>
          </cell>
          <cell r="AB6897">
            <v>0</v>
          </cell>
        </row>
        <row r="6898">
          <cell r="G6898" t="str">
            <v>X2719_0</v>
          </cell>
          <cell r="H6898" t="str">
            <v>the-of</v>
          </cell>
          <cell r="I6898" t="str">
            <v>sim</v>
          </cell>
          <cell r="V6898" t="str">
            <v>not neg pair</v>
          </cell>
          <cell r="Y6898" t="str">
            <v>Past</v>
          </cell>
          <cell r="Z6898">
            <v>3.93</v>
          </cell>
          <cell r="AA6898">
            <v>0</v>
          </cell>
          <cell r="AB6898">
            <v>0</v>
          </cell>
        </row>
        <row r="6899">
          <cell r="G6899" t="str">
            <v>X2719_1</v>
          </cell>
          <cell r="H6899" t="str">
            <v>the-of</v>
          </cell>
          <cell r="I6899" t="str">
            <v>sim</v>
          </cell>
          <cell r="V6899" t="str">
            <v>not neg pair</v>
          </cell>
          <cell r="Y6899" t="str">
            <v>Past</v>
          </cell>
          <cell r="Z6899">
            <v>3.93</v>
          </cell>
          <cell r="AA6899">
            <v>0</v>
          </cell>
          <cell r="AB6899">
            <v>0</v>
          </cell>
        </row>
        <row r="6900">
          <cell r="G6900" t="str">
            <v>X2720_0</v>
          </cell>
          <cell r="H6900" t="str">
            <v>the-of</v>
          </cell>
          <cell r="I6900" t="str">
            <v>sim</v>
          </cell>
          <cell r="V6900" t="str">
            <v>not neg pair</v>
          </cell>
          <cell r="Y6900" t="str">
            <v>Past</v>
          </cell>
          <cell r="Z6900">
            <v>3.93</v>
          </cell>
          <cell r="AA6900">
            <v>0</v>
          </cell>
          <cell r="AB6900">
            <v>0</v>
          </cell>
        </row>
        <row r="6901">
          <cell r="G6901" t="str">
            <v>X2720_1</v>
          </cell>
          <cell r="H6901" t="str">
            <v>the-of</v>
          </cell>
          <cell r="I6901" t="str">
            <v>sim</v>
          </cell>
          <cell r="V6901" t="str">
            <v>not neg pair</v>
          </cell>
          <cell r="Y6901" t="str">
            <v>Past</v>
          </cell>
          <cell r="Z6901">
            <v>3.93</v>
          </cell>
          <cell r="AA6901">
            <v>0</v>
          </cell>
          <cell r="AB6901">
            <v>0</v>
          </cell>
        </row>
        <row r="6902">
          <cell r="G6902" t="str">
            <v>X2721_0</v>
          </cell>
          <cell r="H6902" t="str">
            <v>the-of</v>
          </cell>
          <cell r="I6902" t="str">
            <v>sim</v>
          </cell>
          <cell r="V6902" t="str">
            <v>not neg pair</v>
          </cell>
          <cell r="Y6902" t="str">
            <v>Past</v>
          </cell>
          <cell r="Z6902">
            <v>3.93</v>
          </cell>
          <cell r="AA6902">
            <v>0</v>
          </cell>
          <cell r="AB6902">
            <v>0</v>
          </cell>
        </row>
        <row r="6903">
          <cell r="G6903" t="str">
            <v>X2721_1</v>
          </cell>
          <cell r="H6903" t="str">
            <v>the-of</v>
          </cell>
          <cell r="I6903" t="str">
            <v>sim</v>
          </cell>
          <cell r="V6903" t="str">
            <v>not neg pair</v>
          </cell>
          <cell r="Y6903" t="str">
            <v>Past</v>
          </cell>
          <cell r="Z6903">
            <v>3.93</v>
          </cell>
          <cell r="AA6903">
            <v>0</v>
          </cell>
          <cell r="AB6903">
            <v>0</v>
          </cell>
        </row>
        <row r="6904">
          <cell r="G6904" t="str">
            <v>X2722_0</v>
          </cell>
          <cell r="H6904" t="str">
            <v/>
          </cell>
          <cell r="I6904" t="str">
            <v>met</v>
          </cell>
          <cell r="V6904" t="str">
            <v>0</v>
          </cell>
          <cell r="Y6904" t="str">
            <v>Past</v>
          </cell>
          <cell r="Z6904">
            <v>3.93</v>
          </cell>
          <cell r="AA6904">
            <v>0</v>
          </cell>
          <cell r="AB6904">
            <v>0</v>
          </cell>
        </row>
        <row r="6905">
          <cell r="G6905" t="str">
            <v>X2722_1</v>
          </cell>
          <cell r="H6905" t="str">
            <v/>
          </cell>
          <cell r="I6905" t="str">
            <v>met</v>
          </cell>
          <cell r="V6905" t="str">
            <v>0</v>
          </cell>
          <cell r="Y6905" t="str">
            <v>Past</v>
          </cell>
          <cell r="Z6905">
            <v>3.93</v>
          </cell>
          <cell r="AA6905">
            <v>0</v>
          </cell>
          <cell r="AB6905">
            <v>0</v>
          </cell>
        </row>
        <row r="6906">
          <cell r="G6906" t="str">
            <v>X2723_0</v>
          </cell>
          <cell r="H6906" t="str">
            <v/>
          </cell>
          <cell r="I6906" t="str">
            <v>met</v>
          </cell>
          <cell r="V6906" t="str">
            <v>0</v>
          </cell>
          <cell r="Y6906" t="str">
            <v>Past</v>
          </cell>
          <cell r="Z6906">
            <v>3.93</v>
          </cell>
          <cell r="AA6906">
            <v>0</v>
          </cell>
          <cell r="AB6906">
            <v>0</v>
          </cell>
        </row>
        <row r="6907">
          <cell r="G6907" t="str">
            <v>X2723_1</v>
          </cell>
          <cell r="H6907" t="str">
            <v/>
          </cell>
          <cell r="I6907" t="str">
            <v>met</v>
          </cell>
          <cell r="V6907" t="str">
            <v>0</v>
          </cell>
          <cell r="Y6907" t="str">
            <v>Past</v>
          </cell>
          <cell r="Z6907">
            <v>3.93</v>
          </cell>
          <cell r="AA6907">
            <v>0</v>
          </cell>
          <cell r="AB6907">
            <v>0</v>
          </cell>
        </row>
        <row r="6908">
          <cell r="G6908" t="str">
            <v>X2724_0</v>
          </cell>
          <cell r="H6908" t="str">
            <v>as-as</v>
          </cell>
          <cell r="I6908" t="str">
            <v>sim</v>
          </cell>
          <cell r="V6908" t="str">
            <v>not</v>
          </cell>
          <cell r="Y6908" t="str">
            <v>Past</v>
          </cell>
          <cell r="Z6908">
            <v>4.46</v>
          </cell>
          <cell r="AA6908">
            <v>0</v>
          </cell>
          <cell r="AB6908">
            <v>0</v>
          </cell>
        </row>
        <row r="6909">
          <cell r="G6909" t="str">
            <v>X2724_1</v>
          </cell>
          <cell r="H6909" t="str">
            <v>as-as</v>
          </cell>
          <cell r="I6909" t="str">
            <v>sim</v>
          </cell>
          <cell r="V6909" t="str">
            <v>not</v>
          </cell>
          <cell r="Y6909" t="str">
            <v>Past</v>
          </cell>
          <cell r="Z6909">
            <v>4.46</v>
          </cell>
          <cell r="AA6909">
            <v>0</v>
          </cell>
          <cell r="AB6909">
            <v>0</v>
          </cell>
        </row>
        <row r="6910">
          <cell r="G6910" t="str">
            <v>X2725_0</v>
          </cell>
          <cell r="H6910" t="str">
            <v>the-of</v>
          </cell>
          <cell r="I6910" t="str">
            <v>sim</v>
          </cell>
          <cell r="V6910" t="str">
            <v>not neg pair</v>
          </cell>
          <cell r="Y6910" t="str">
            <v>Past</v>
          </cell>
          <cell r="Z6910">
            <v>3.81</v>
          </cell>
          <cell r="AA6910">
            <v>0</v>
          </cell>
          <cell r="AB6910">
            <v>0</v>
          </cell>
        </row>
        <row r="6911">
          <cell r="G6911" t="str">
            <v>X2725_1</v>
          </cell>
          <cell r="H6911" t="str">
            <v>the-of</v>
          </cell>
          <cell r="I6911" t="str">
            <v>sim</v>
          </cell>
          <cell r="V6911" t="str">
            <v>not neg pair</v>
          </cell>
          <cell r="Y6911" t="str">
            <v>Past</v>
          </cell>
          <cell r="Z6911">
            <v>3.81</v>
          </cell>
          <cell r="AA6911">
            <v>0</v>
          </cell>
          <cell r="AB6911">
            <v>0</v>
          </cell>
        </row>
        <row r="6912">
          <cell r="G6912" t="str">
            <v>X2726_0</v>
          </cell>
          <cell r="H6912" t="str">
            <v>the-of</v>
          </cell>
          <cell r="I6912" t="str">
            <v>sim</v>
          </cell>
          <cell r="V6912" t="str">
            <v>not</v>
          </cell>
          <cell r="Y6912" t="str">
            <v>Past</v>
          </cell>
          <cell r="Z6912">
            <v>3.86</v>
          </cell>
          <cell r="AA6912">
            <v>0</v>
          </cell>
          <cell r="AB6912">
            <v>0</v>
          </cell>
        </row>
        <row r="6913">
          <cell r="G6913" t="str">
            <v>X2726_1</v>
          </cell>
          <cell r="H6913" t="str">
            <v>the-of</v>
          </cell>
          <cell r="I6913" t="str">
            <v>sim</v>
          </cell>
          <cell r="V6913" t="str">
            <v>not</v>
          </cell>
          <cell r="Y6913" t="str">
            <v>Past</v>
          </cell>
          <cell r="Z6913">
            <v>3.86</v>
          </cell>
          <cell r="AA6913">
            <v>0</v>
          </cell>
          <cell r="AB6913">
            <v>0</v>
          </cell>
        </row>
        <row r="6914">
          <cell r="G6914" t="str">
            <v>X2727_0</v>
          </cell>
          <cell r="H6914" t="str">
            <v>as-as</v>
          </cell>
          <cell r="I6914" t="str">
            <v>sim</v>
          </cell>
          <cell r="V6914" t="str">
            <v>antonym</v>
          </cell>
          <cell r="Y6914" t="str">
            <v>Past</v>
          </cell>
          <cell r="Z6914">
            <v>2.75</v>
          </cell>
          <cell r="AA6914" t="str">
            <v>L</v>
          </cell>
          <cell r="AB6914">
            <v>0</v>
          </cell>
        </row>
        <row r="6915">
          <cell r="G6915" t="str">
            <v>X2727_1</v>
          </cell>
          <cell r="H6915" t="str">
            <v>as-as</v>
          </cell>
          <cell r="I6915" t="str">
            <v>sim</v>
          </cell>
          <cell r="V6915" t="str">
            <v>antonym</v>
          </cell>
          <cell r="Y6915" t="str">
            <v>Past</v>
          </cell>
          <cell r="Z6915">
            <v>2.75</v>
          </cell>
          <cell r="AA6915" t="str">
            <v>L</v>
          </cell>
          <cell r="AB6915">
            <v>0</v>
          </cell>
        </row>
        <row r="6916">
          <cell r="G6916" t="str">
            <v>X2728_0</v>
          </cell>
          <cell r="H6916" t="str">
            <v>as-as</v>
          </cell>
          <cell r="I6916" t="str">
            <v>sim</v>
          </cell>
          <cell r="V6916" t="str">
            <v>antonym</v>
          </cell>
          <cell r="Y6916" t="str">
            <v>Past</v>
          </cell>
          <cell r="Z6916">
            <v>4.93</v>
          </cell>
          <cell r="AA6916" t="str">
            <v>H</v>
          </cell>
          <cell r="AB6916">
            <v>0</v>
          </cell>
        </row>
        <row r="6917">
          <cell r="G6917" t="str">
            <v>X2728_1</v>
          </cell>
          <cell r="H6917" t="str">
            <v>as-as</v>
          </cell>
          <cell r="I6917" t="str">
            <v>sim</v>
          </cell>
          <cell r="V6917" t="str">
            <v>antonym</v>
          </cell>
          <cell r="Y6917" t="str">
            <v>Past</v>
          </cell>
          <cell r="Z6917">
            <v>4.93</v>
          </cell>
          <cell r="AA6917" t="str">
            <v>H</v>
          </cell>
          <cell r="AB6917">
            <v>0</v>
          </cell>
        </row>
        <row r="6918">
          <cell r="G6918" t="str">
            <v>X2729_0</v>
          </cell>
          <cell r="H6918" t="str">
            <v>as-as</v>
          </cell>
          <cell r="I6918" t="str">
            <v>sim</v>
          </cell>
          <cell r="V6918" t="str">
            <v>not</v>
          </cell>
          <cell r="Y6918" t="str">
            <v>Past</v>
          </cell>
          <cell r="Z6918">
            <v>3.28</v>
          </cell>
          <cell r="AA6918">
            <v>0</v>
          </cell>
          <cell r="AB6918">
            <v>0</v>
          </cell>
        </row>
        <row r="6919">
          <cell r="G6919" t="str">
            <v>X2729_1</v>
          </cell>
          <cell r="H6919" t="str">
            <v>as-as</v>
          </cell>
          <cell r="I6919" t="str">
            <v>sim</v>
          </cell>
          <cell r="V6919" t="str">
            <v>not</v>
          </cell>
          <cell r="Y6919" t="str">
            <v>Past</v>
          </cell>
          <cell r="Z6919">
            <v>2.93</v>
          </cell>
          <cell r="AA6919">
            <v>0</v>
          </cell>
          <cell r="AB6919">
            <v>0</v>
          </cell>
        </row>
        <row r="6920">
          <cell r="G6920" t="str">
            <v>X2730_0</v>
          </cell>
          <cell r="H6920" t="str">
            <v/>
          </cell>
          <cell r="I6920" t="str">
            <v>met</v>
          </cell>
          <cell r="V6920" t="str">
            <v>0</v>
          </cell>
          <cell r="Y6920" t="str">
            <v>Pres</v>
          </cell>
          <cell r="Z6920">
            <v>2.57</v>
          </cell>
          <cell r="AA6920" t="str">
            <v>L</v>
          </cell>
          <cell r="AB6920">
            <v>0</v>
          </cell>
        </row>
        <row r="6921">
          <cell r="G6921" t="str">
            <v>X2730_1</v>
          </cell>
          <cell r="H6921" t="str">
            <v/>
          </cell>
          <cell r="I6921" t="str">
            <v>met</v>
          </cell>
          <cell r="V6921" t="str">
            <v>0</v>
          </cell>
          <cell r="Y6921" t="str">
            <v>Pres</v>
          </cell>
          <cell r="Z6921">
            <v>2.57</v>
          </cell>
          <cell r="AA6921" t="str">
            <v>L</v>
          </cell>
          <cell r="AB6921">
            <v>0</v>
          </cell>
        </row>
        <row r="6922">
          <cell r="G6922" t="str">
            <v>X2731_0</v>
          </cell>
          <cell r="H6922" t="str">
            <v/>
          </cell>
          <cell r="I6922" t="str">
            <v>met</v>
          </cell>
          <cell r="V6922" t="str">
            <v>0</v>
          </cell>
          <cell r="Y6922" t="str">
            <v>Pres</v>
          </cell>
          <cell r="Z6922">
            <v>3.93</v>
          </cell>
          <cell r="AA6922">
            <v>0</v>
          </cell>
          <cell r="AB6922">
            <v>0</v>
          </cell>
        </row>
        <row r="6923">
          <cell r="G6923" t="str">
            <v>X2731_1</v>
          </cell>
          <cell r="H6923" t="str">
            <v/>
          </cell>
          <cell r="I6923" t="str">
            <v>met</v>
          </cell>
          <cell r="V6923" t="str">
            <v>0</v>
          </cell>
          <cell r="Y6923" t="str">
            <v>Pres</v>
          </cell>
          <cell r="Z6923">
            <v>3.93</v>
          </cell>
          <cell r="AA6923">
            <v>0</v>
          </cell>
          <cell r="AB6923">
            <v>0</v>
          </cell>
        </row>
        <row r="6924">
          <cell r="G6924" t="str">
            <v>X2732_0</v>
          </cell>
          <cell r="H6924" t="str">
            <v/>
          </cell>
          <cell r="I6924" t="str">
            <v>met</v>
          </cell>
          <cell r="V6924" t="str">
            <v>0</v>
          </cell>
          <cell r="Y6924">
            <v>0</v>
          </cell>
          <cell r="Z6924">
            <v>2.61</v>
          </cell>
          <cell r="AA6924" t="str">
            <v>L</v>
          </cell>
          <cell r="AB6924">
            <v>0</v>
          </cell>
        </row>
        <row r="6925">
          <cell r="G6925" t="str">
            <v>X2732_1</v>
          </cell>
          <cell r="H6925" t="str">
            <v/>
          </cell>
          <cell r="I6925" t="str">
            <v>met</v>
          </cell>
          <cell r="V6925" t="str">
            <v>0</v>
          </cell>
          <cell r="Y6925" t="str">
            <v>Pres</v>
          </cell>
          <cell r="Z6925">
            <v>2.61</v>
          </cell>
          <cell r="AA6925" t="str">
            <v>L</v>
          </cell>
          <cell r="AB6925">
            <v>0</v>
          </cell>
        </row>
        <row r="6926">
          <cell r="G6926" t="str">
            <v>X2733_0</v>
          </cell>
          <cell r="H6926" t="str">
            <v>as-as</v>
          </cell>
          <cell r="I6926" t="str">
            <v>sim</v>
          </cell>
          <cell r="V6926" t="str">
            <v>not neg pair</v>
          </cell>
          <cell r="Y6926" t="str">
            <v>Past</v>
          </cell>
          <cell r="Z6926">
            <v>4.96</v>
          </cell>
          <cell r="AA6926" t="str">
            <v>H</v>
          </cell>
          <cell r="AB6926">
            <v>0</v>
          </cell>
        </row>
        <row r="6927">
          <cell r="G6927" t="str">
            <v>X2733_1</v>
          </cell>
          <cell r="H6927" t="str">
            <v>as-as</v>
          </cell>
          <cell r="I6927" t="str">
            <v>sim</v>
          </cell>
          <cell r="V6927" t="str">
            <v>not neg pair</v>
          </cell>
          <cell r="Y6927" t="str">
            <v>Past</v>
          </cell>
          <cell r="Z6927">
            <v>4.96</v>
          </cell>
          <cell r="AA6927" t="str">
            <v>H</v>
          </cell>
          <cell r="AB6927">
            <v>0</v>
          </cell>
        </row>
        <row r="6928">
          <cell r="G6928" t="str">
            <v>X2734_0</v>
          </cell>
          <cell r="H6928" t="str">
            <v>as-as</v>
          </cell>
          <cell r="I6928" t="str">
            <v>sim</v>
          </cell>
          <cell r="V6928" t="str">
            <v>antonym</v>
          </cell>
          <cell r="Y6928" t="str">
            <v>Past</v>
          </cell>
          <cell r="Z6928">
            <v>4.93</v>
          </cell>
          <cell r="AA6928" t="str">
            <v>H</v>
          </cell>
          <cell r="AB6928">
            <v>0</v>
          </cell>
        </row>
        <row r="6929">
          <cell r="G6929" t="str">
            <v>X2734_1</v>
          </cell>
          <cell r="H6929" t="str">
            <v>as-as</v>
          </cell>
          <cell r="I6929" t="str">
            <v>sim</v>
          </cell>
          <cell r="V6929" t="str">
            <v>antonym</v>
          </cell>
          <cell r="Y6929" t="str">
            <v>Past</v>
          </cell>
          <cell r="Z6929">
            <v>3.43</v>
          </cell>
          <cell r="AA6929">
            <v>0</v>
          </cell>
          <cell r="AB6929">
            <v>0</v>
          </cell>
        </row>
        <row r="6930">
          <cell r="G6930" t="str">
            <v>X2735_0</v>
          </cell>
          <cell r="H6930" t="str">
            <v/>
          </cell>
          <cell r="I6930" t="str">
            <v>met</v>
          </cell>
          <cell r="V6930" t="str">
            <v>0</v>
          </cell>
          <cell r="Y6930" t="str">
            <v>Past</v>
          </cell>
          <cell r="Z6930">
            <v>4.8499999999999996</v>
          </cell>
          <cell r="AA6930">
            <v>0</v>
          </cell>
          <cell r="AB6930">
            <v>0</v>
          </cell>
        </row>
        <row r="6931">
          <cell r="G6931" t="str">
            <v>X2735_1</v>
          </cell>
          <cell r="H6931" t="str">
            <v/>
          </cell>
          <cell r="I6931" t="str">
            <v>met</v>
          </cell>
          <cell r="V6931" t="str">
            <v>0</v>
          </cell>
          <cell r="Y6931" t="str">
            <v>Past</v>
          </cell>
          <cell r="Z6931">
            <v>4.8499999999999996</v>
          </cell>
          <cell r="AA6931">
            <v>0</v>
          </cell>
          <cell r="AB6931">
            <v>0</v>
          </cell>
        </row>
        <row r="6932">
          <cell r="G6932" t="str">
            <v>X2736_0</v>
          </cell>
          <cell r="H6932" t="str">
            <v/>
          </cell>
          <cell r="I6932" t="str">
            <v>met</v>
          </cell>
          <cell r="V6932" t="str">
            <v>0</v>
          </cell>
          <cell r="Y6932" t="str">
            <v>Past</v>
          </cell>
          <cell r="Z6932">
            <v>4.46</v>
          </cell>
          <cell r="AA6932">
            <v>0</v>
          </cell>
          <cell r="AB6932">
            <v>0</v>
          </cell>
        </row>
        <row r="6933">
          <cell r="G6933" t="str">
            <v>X2736_1</v>
          </cell>
          <cell r="H6933" t="str">
            <v>the-of</v>
          </cell>
          <cell r="I6933" t="str">
            <v>sim</v>
          </cell>
          <cell r="V6933" t="str">
            <v>0</v>
          </cell>
          <cell r="Y6933" t="str">
            <v>Past</v>
          </cell>
          <cell r="Z6933">
            <v>4.46</v>
          </cell>
          <cell r="AA6933">
            <v>0</v>
          </cell>
          <cell r="AB6933">
            <v>0</v>
          </cell>
        </row>
        <row r="6934">
          <cell r="G6934" t="str">
            <v>X2737_0</v>
          </cell>
          <cell r="H6934" t="str">
            <v/>
          </cell>
          <cell r="I6934" t="str">
            <v>met</v>
          </cell>
          <cell r="V6934" t="str">
            <v>0</v>
          </cell>
          <cell r="Y6934" t="str">
            <v>Pres</v>
          </cell>
          <cell r="Z6934">
            <v>4.8600000000000003</v>
          </cell>
          <cell r="AA6934">
            <v>0</v>
          </cell>
          <cell r="AB6934">
            <v>0</v>
          </cell>
        </row>
        <row r="6935">
          <cell r="G6935" t="str">
            <v>X2737_1</v>
          </cell>
          <cell r="H6935" t="str">
            <v/>
          </cell>
          <cell r="I6935" t="str">
            <v>met</v>
          </cell>
          <cell r="V6935" t="str">
            <v>0</v>
          </cell>
          <cell r="Y6935" t="str">
            <v>Pres</v>
          </cell>
          <cell r="Z6935">
            <v>4.8600000000000003</v>
          </cell>
          <cell r="AA6935">
            <v>0</v>
          </cell>
          <cell r="AB6935">
            <v>0</v>
          </cell>
        </row>
        <row r="6936">
          <cell r="G6936" t="str">
            <v>X2738_0</v>
          </cell>
          <cell r="H6936" t="str">
            <v/>
          </cell>
          <cell r="I6936" t="str">
            <v>met</v>
          </cell>
          <cell r="V6936" t="str">
            <v>0</v>
          </cell>
          <cell r="Y6936" t="str">
            <v>Past</v>
          </cell>
          <cell r="Z6936">
            <v>2.81</v>
          </cell>
          <cell r="AA6936">
            <v>0</v>
          </cell>
          <cell r="AB6936">
            <v>0</v>
          </cell>
        </row>
        <row r="6937">
          <cell r="G6937" t="str">
            <v>X2738_1</v>
          </cell>
          <cell r="H6937" t="str">
            <v/>
          </cell>
          <cell r="I6937" t="str">
            <v>met</v>
          </cell>
          <cell r="V6937" t="str">
            <v>0</v>
          </cell>
          <cell r="Y6937" t="str">
            <v>Past</v>
          </cell>
          <cell r="Z6937">
            <v>2.81</v>
          </cell>
          <cell r="AA6937">
            <v>0</v>
          </cell>
          <cell r="AB6937">
            <v>0</v>
          </cell>
        </row>
        <row r="6938">
          <cell r="G6938" t="str">
            <v>X2739_0</v>
          </cell>
          <cell r="H6938" t="str">
            <v>like</v>
          </cell>
          <cell r="I6938" t="str">
            <v>sim</v>
          </cell>
          <cell r="V6938" t="str">
            <v>not neg pair</v>
          </cell>
          <cell r="Y6938" t="str">
            <v>Pres</v>
          </cell>
          <cell r="Z6938">
            <v>4.8899999999999997</v>
          </cell>
          <cell r="AA6938">
            <v>0</v>
          </cell>
          <cell r="AB6938">
            <v>0</v>
          </cell>
        </row>
        <row r="6939">
          <cell r="G6939" t="str">
            <v>X2739_1</v>
          </cell>
          <cell r="H6939" t="str">
            <v>like</v>
          </cell>
          <cell r="I6939" t="str">
            <v>sim</v>
          </cell>
          <cell r="V6939" t="str">
            <v>not neg pair</v>
          </cell>
          <cell r="Y6939" t="str">
            <v>Pres</v>
          </cell>
          <cell r="Z6939">
            <v>4.8899999999999997</v>
          </cell>
          <cell r="AA6939">
            <v>0</v>
          </cell>
          <cell r="AB6939">
            <v>0</v>
          </cell>
        </row>
        <row r="6940">
          <cell r="G6940" t="str">
            <v>X2740_0</v>
          </cell>
          <cell r="H6940" t="str">
            <v/>
          </cell>
          <cell r="I6940" t="str">
            <v>met</v>
          </cell>
          <cell r="V6940" t="str">
            <v>0</v>
          </cell>
          <cell r="Y6940" t="str">
            <v>Pres</v>
          </cell>
          <cell r="Z6940">
            <v>3.93</v>
          </cell>
          <cell r="AA6940">
            <v>0</v>
          </cell>
          <cell r="AB6940">
            <v>0</v>
          </cell>
        </row>
        <row r="6941">
          <cell r="G6941" t="str">
            <v>X2740_1</v>
          </cell>
          <cell r="H6941" t="str">
            <v/>
          </cell>
          <cell r="I6941" t="str">
            <v>met</v>
          </cell>
          <cell r="V6941" t="str">
            <v>0</v>
          </cell>
          <cell r="Y6941" t="str">
            <v>Pres</v>
          </cell>
          <cell r="Z6941">
            <v>3.93</v>
          </cell>
          <cell r="AA6941">
            <v>0</v>
          </cell>
          <cell r="AB6941">
            <v>0</v>
          </cell>
        </row>
        <row r="6942">
          <cell r="G6942" t="str">
            <v>X2741_0</v>
          </cell>
          <cell r="H6942" t="str">
            <v/>
          </cell>
          <cell r="I6942" t="str">
            <v>met</v>
          </cell>
          <cell r="V6942" t="str">
            <v>0</v>
          </cell>
          <cell r="Y6942" t="str">
            <v>Pres</v>
          </cell>
          <cell r="Z6942">
            <v>3.93</v>
          </cell>
          <cell r="AA6942">
            <v>0</v>
          </cell>
          <cell r="AB6942">
            <v>0</v>
          </cell>
        </row>
        <row r="6943">
          <cell r="G6943" t="str">
            <v>X2741_1</v>
          </cell>
          <cell r="H6943" t="str">
            <v/>
          </cell>
          <cell r="I6943" t="str">
            <v>met</v>
          </cell>
          <cell r="V6943" t="str">
            <v>0</v>
          </cell>
          <cell r="Y6943" t="str">
            <v>Past</v>
          </cell>
          <cell r="Z6943">
            <v>3.93</v>
          </cell>
          <cell r="AA6943">
            <v>0</v>
          </cell>
          <cell r="AB6943">
            <v>0</v>
          </cell>
        </row>
        <row r="6944">
          <cell r="G6944" t="str">
            <v>X2742_0</v>
          </cell>
          <cell r="H6944" t="str">
            <v>as</v>
          </cell>
          <cell r="I6944" t="str">
            <v>sim</v>
          </cell>
          <cell r="V6944" t="str">
            <v>not</v>
          </cell>
          <cell r="Y6944" t="str">
            <v>Pres</v>
          </cell>
          <cell r="Z6944">
            <v>3.93</v>
          </cell>
          <cell r="AA6944">
            <v>0</v>
          </cell>
          <cell r="AB6944">
            <v>0</v>
          </cell>
        </row>
        <row r="6945">
          <cell r="G6945" t="str">
            <v>X2742_1</v>
          </cell>
          <cell r="H6945" t="str">
            <v>as</v>
          </cell>
          <cell r="I6945" t="str">
            <v>sim</v>
          </cell>
          <cell r="V6945" t="str">
            <v>not</v>
          </cell>
          <cell r="Y6945" t="str">
            <v>Pres</v>
          </cell>
          <cell r="Z6945">
            <v>3.93</v>
          </cell>
          <cell r="AA6945">
            <v>0</v>
          </cell>
          <cell r="AB6945">
            <v>0</v>
          </cell>
        </row>
        <row r="6946">
          <cell r="G6946" t="str">
            <v>X2743_0</v>
          </cell>
          <cell r="H6946" t="str">
            <v>as-as</v>
          </cell>
          <cell r="I6946" t="str">
            <v>sim</v>
          </cell>
          <cell r="V6946" t="str">
            <v>not</v>
          </cell>
          <cell r="Y6946" t="str">
            <v>Pres</v>
          </cell>
          <cell r="Z6946">
            <v>2.33</v>
          </cell>
          <cell r="AA6946" t="str">
            <v>L</v>
          </cell>
          <cell r="AB6946">
            <v>0</v>
          </cell>
        </row>
        <row r="6947">
          <cell r="G6947" t="str">
            <v>X2743_1</v>
          </cell>
          <cell r="H6947" t="str">
            <v>as-as</v>
          </cell>
          <cell r="I6947" t="str">
            <v>sim</v>
          </cell>
          <cell r="V6947" t="str">
            <v>not</v>
          </cell>
          <cell r="Y6947" t="str">
            <v>Pres</v>
          </cell>
          <cell r="Z6947">
            <v>2.33</v>
          </cell>
          <cell r="AA6947" t="str">
            <v>L</v>
          </cell>
          <cell r="AB6947">
            <v>0</v>
          </cell>
        </row>
        <row r="6948">
          <cell r="G6948" t="str">
            <v>X2744_0</v>
          </cell>
          <cell r="H6948" t="str">
            <v>like</v>
          </cell>
          <cell r="I6948" t="str">
            <v>sim</v>
          </cell>
          <cell r="V6948" t="str">
            <v>not neg pair</v>
          </cell>
          <cell r="Y6948" t="str">
            <v>Pres</v>
          </cell>
          <cell r="Z6948">
            <v>3.81</v>
          </cell>
          <cell r="AA6948">
            <v>0</v>
          </cell>
          <cell r="AB6948">
            <v>0</v>
          </cell>
        </row>
        <row r="6949">
          <cell r="G6949" t="str">
            <v>X2744_1</v>
          </cell>
          <cell r="H6949" t="str">
            <v>like</v>
          </cell>
          <cell r="I6949" t="str">
            <v>sim</v>
          </cell>
          <cell r="V6949" t="str">
            <v>not neg pair</v>
          </cell>
          <cell r="Y6949" t="str">
            <v>Pres</v>
          </cell>
          <cell r="Z6949">
            <v>3.81</v>
          </cell>
          <cell r="AA6949">
            <v>0</v>
          </cell>
          <cell r="AB6949">
            <v>0</v>
          </cell>
        </row>
        <row r="6950">
          <cell r="G6950" t="str">
            <v>X2745_0</v>
          </cell>
          <cell r="H6950" t="str">
            <v>as-as</v>
          </cell>
          <cell r="I6950" t="str">
            <v>sim</v>
          </cell>
          <cell r="V6950" t="str">
            <v>antonym</v>
          </cell>
          <cell r="Y6950" t="str">
            <v>Pres</v>
          </cell>
          <cell r="Z6950">
            <v>3.43</v>
          </cell>
          <cell r="AA6950">
            <v>0</v>
          </cell>
          <cell r="AB6950">
            <v>0</v>
          </cell>
        </row>
        <row r="6951">
          <cell r="G6951" t="str">
            <v>X2745_1</v>
          </cell>
          <cell r="H6951" t="str">
            <v>as-as</v>
          </cell>
          <cell r="I6951" t="str">
            <v>sim</v>
          </cell>
          <cell r="V6951" t="str">
            <v>antonym</v>
          </cell>
          <cell r="Y6951" t="str">
            <v>Pres</v>
          </cell>
          <cell r="Z6951">
            <v>3.43</v>
          </cell>
          <cell r="AA6951">
            <v>0</v>
          </cell>
          <cell r="AB6951">
            <v>0</v>
          </cell>
        </row>
        <row r="6952">
          <cell r="G6952" t="str">
            <v>X2746_0</v>
          </cell>
          <cell r="H6952" t="str">
            <v/>
          </cell>
          <cell r="I6952" t="str">
            <v>met</v>
          </cell>
          <cell r="V6952" t="str">
            <v>0</v>
          </cell>
          <cell r="Y6952" t="str">
            <v>Past</v>
          </cell>
          <cell r="Z6952">
            <v>3.43</v>
          </cell>
          <cell r="AA6952">
            <v>0</v>
          </cell>
          <cell r="AB6952">
            <v>0</v>
          </cell>
        </row>
        <row r="6953">
          <cell r="G6953" t="str">
            <v>X2746_1</v>
          </cell>
          <cell r="H6953" t="str">
            <v/>
          </cell>
          <cell r="I6953" t="str">
            <v>met</v>
          </cell>
          <cell r="V6953" t="str">
            <v>0</v>
          </cell>
          <cell r="Y6953" t="str">
            <v>Past</v>
          </cell>
          <cell r="Z6953">
            <v>3.43</v>
          </cell>
          <cell r="AA6953">
            <v>0</v>
          </cell>
          <cell r="AB6953">
            <v>0</v>
          </cell>
        </row>
        <row r="6954">
          <cell r="G6954" t="str">
            <v>X2747_0</v>
          </cell>
          <cell r="H6954" t="str">
            <v>as-as</v>
          </cell>
          <cell r="I6954" t="str">
            <v>sim</v>
          </cell>
          <cell r="V6954" t="str">
            <v>antonym</v>
          </cell>
          <cell r="Y6954" t="str">
            <v>Pres</v>
          </cell>
          <cell r="Z6954">
            <v>4.1100000000000003</v>
          </cell>
          <cell r="AA6954">
            <v>0</v>
          </cell>
          <cell r="AB6954">
            <v>0</v>
          </cell>
        </row>
        <row r="6955">
          <cell r="G6955" t="str">
            <v>X2747_1</v>
          </cell>
          <cell r="H6955" t="str">
            <v>as-as</v>
          </cell>
          <cell r="I6955" t="str">
            <v>sim</v>
          </cell>
          <cell r="V6955" t="str">
            <v>antonym</v>
          </cell>
          <cell r="Y6955" t="str">
            <v>Pres</v>
          </cell>
          <cell r="Z6955">
            <v>4.1100000000000003</v>
          </cell>
          <cell r="AA6955">
            <v>0</v>
          </cell>
          <cell r="AB6955">
            <v>0</v>
          </cell>
        </row>
        <row r="6956">
          <cell r="G6956" t="str">
            <v>X2748_0</v>
          </cell>
          <cell r="H6956" t="str">
            <v>the-of</v>
          </cell>
          <cell r="I6956" t="str">
            <v>sim</v>
          </cell>
          <cell r="V6956" t="str">
            <v>not</v>
          </cell>
          <cell r="Y6956" t="str">
            <v>Past</v>
          </cell>
          <cell r="Z6956">
            <v>4.5599999999999996</v>
          </cell>
          <cell r="AA6956">
            <v>0</v>
          </cell>
          <cell r="AB6956">
            <v>0</v>
          </cell>
        </row>
        <row r="6957">
          <cell r="G6957" t="str">
            <v>X2748_1</v>
          </cell>
          <cell r="H6957" t="str">
            <v>the-of</v>
          </cell>
          <cell r="I6957" t="str">
            <v>sim</v>
          </cell>
          <cell r="V6957" t="str">
            <v>not</v>
          </cell>
          <cell r="Y6957" t="str">
            <v>Past</v>
          </cell>
          <cell r="Z6957">
            <v>4.5599999999999996</v>
          </cell>
          <cell r="AA6957">
            <v>0</v>
          </cell>
          <cell r="AB6957">
            <v>0</v>
          </cell>
        </row>
        <row r="6958">
          <cell r="G6958" t="str">
            <v>X2749_0</v>
          </cell>
          <cell r="H6958" t="str">
            <v>the-of</v>
          </cell>
          <cell r="I6958" t="str">
            <v>sim</v>
          </cell>
          <cell r="V6958" t="str">
            <v>not neg pair</v>
          </cell>
          <cell r="Y6958" t="str">
            <v>Past</v>
          </cell>
          <cell r="Z6958">
            <v>4.21</v>
          </cell>
          <cell r="AA6958">
            <v>0</v>
          </cell>
          <cell r="AB6958">
            <v>0</v>
          </cell>
        </row>
        <row r="6959">
          <cell r="G6959" t="str">
            <v>X2749_1</v>
          </cell>
          <cell r="H6959" t="str">
            <v>the-of</v>
          </cell>
          <cell r="I6959" t="str">
            <v>sim</v>
          </cell>
          <cell r="V6959" t="str">
            <v>not neg pair</v>
          </cell>
          <cell r="Y6959" t="str">
            <v>Past</v>
          </cell>
          <cell r="Z6959">
            <v>4.21</v>
          </cell>
          <cell r="AA6959">
            <v>0</v>
          </cell>
          <cell r="AB6959">
            <v>0</v>
          </cell>
        </row>
        <row r="6960">
          <cell r="G6960" t="str">
            <v>X2750_0</v>
          </cell>
          <cell r="H6960" t="str">
            <v>the-of</v>
          </cell>
          <cell r="I6960" t="str">
            <v>sim</v>
          </cell>
          <cell r="V6960" t="str">
            <v>not neg pair</v>
          </cell>
          <cell r="Y6960" t="str">
            <v>Past</v>
          </cell>
          <cell r="Z6960">
            <v>5</v>
          </cell>
          <cell r="AA6960" t="str">
            <v>H</v>
          </cell>
          <cell r="AB6960">
            <v>0</v>
          </cell>
        </row>
        <row r="6961">
          <cell r="G6961" t="str">
            <v>X2750_1</v>
          </cell>
          <cell r="H6961" t="str">
            <v>the-of</v>
          </cell>
          <cell r="I6961" t="str">
            <v>sim</v>
          </cell>
          <cell r="V6961" t="str">
            <v>not neg pair</v>
          </cell>
          <cell r="Y6961" t="str">
            <v>Past</v>
          </cell>
          <cell r="Z6961">
            <v>5</v>
          </cell>
          <cell r="AA6961" t="str">
            <v>H</v>
          </cell>
          <cell r="AB6961">
            <v>0</v>
          </cell>
        </row>
        <row r="6962">
          <cell r="G6962" t="str">
            <v>X2751_0</v>
          </cell>
          <cell r="H6962" t="str">
            <v>like</v>
          </cell>
          <cell r="I6962" t="str">
            <v>sim</v>
          </cell>
          <cell r="V6962" t="str">
            <v>not neg pair</v>
          </cell>
          <cell r="Y6962" t="str">
            <v>Pres</v>
          </cell>
          <cell r="Z6962">
            <v>4.8099999999999996</v>
          </cell>
          <cell r="AA6962">
            <v>0</v>
          </cell>
          <cell r="AB6962">
            <v>0</v>
          </cell>
        </row>
        <row r="6963">
          <cell r="G6963" t="str">
            <v>X2751_1</v>
          </cell>
          <cell r="H6963" t="str">
            <v>like</v>
          </cell>
          <cell r="I6963" t="str">
            <v>sim</v>
          </cell>
          <cell r="V6963" t="str">
            <v>not neg pair</v>
          </cell>
          <cell r="Y6963" t="str">
            <v>Pres</v>
          </cell>
          <cell r="Z6963">
            <v>4.8099999999999996</v>
          </cell>
          <cell r="AA6963">
            <v>0</v>
          </cell>
          <cell r="AB6963">
            <v>0</v>
          </cell>
        </row>
        <row r="6964">
          <cell r="G6964" t="str">
            <v>X2752_0</v>
          </cell>
          <cell r="H6964" t="str">
            <v>like</v>
          </cell>
          <cell r="I6964" t="str">
            <v>sim</v>
          </cell>
          <cell r="V6964" t="str">
            <v>not</v>
          </cell>
          <cell r="Y6964" t="str">
            <v>Pres</v>
          </cell>
          <cell r="Z6964">
            <v>4.41</v>
          </cell>
          <cell r="AA6964">
            <v>0</v>
          </cell>
          <cell r="AB6964">
            <v>0</v>
          </cell>
        </row>
        <row r="6965">
          <cell r="G6965" t="str">
            <v>X2752_1</v>
          </cell>
          <cell r="H6965" t="str">
            <v>like</v>
          </cell>
          <cell r="I6965" t="str">
            <v>sim</v>
          </cell>
          <cell r="V6965" t="str">
            <v>not</v>
          </cell>
          <cell r="Y6965" t="str">
            <v>Pres</v>
          </cell>
          <cell r="Z6965">
            <v>4.41</v>
          </cell>
          <cell r="AA6965">
            <v>0</v>
          </cell>
          <cell r="AB6965">
            <v>0</v>
          </cell>
        </row>
        <row r="6966">
          <cell r="G6966" t="str">
            <v>X2753_0</v>
          </cell>
          <cell r="H6966" t="str">
            <v/>
          </cell>
          <cell r="I6966" t="str">
            <v>met</v>
          </cell>
          <cell r="V6966" t="str">
            <v>0</v>
          </cell>
          <cell r="Y6966" t="str">
            <v>Pres</v>
          </cell>
          <cell r="Z6966">
            <v>1.66</v>
          </cell>
          <cell r="AA6966" t="str">
            <v>L</v>
          </cell>
          <cell r="AB6966">
            <v>0</v>
          </cell>
        </row>
        <row r="6967">
          <cell r="G6967" t="str">
            <v>X2753_1</v>
          </cell>
          <cell r="H6967" t="str">
            <v/>
          </cell>
          <cell r="I6967" t="str">
            <v>met</v>
          </cell>
          <cell r="V6967" t="str">
            <v>0</v>
          </cell>
          <cell r="Y6967" t="str">
            <v>Pres</v>
          </cell>
          <cell r="Z6967">
            <v>0</v>
          </cell>
          <cell r="AA6967">
            <v>0</v>
          </cell>
          <cell r="AB6967">
            <v>0</v>
          </cell>
        </row>
        <row r="6968">
          <cell r="G6968" t="str">
            <v>X2754_0</v>
          </cell>
          <cell r="H6968" t="str">
            <v>like</v>
          </cell>
          <cell r="I6968" t="str">
            <v>sim</v>
          </cell>
          <cell r="V6968" t="str">
            <v>not neg pair</v>
          </cell>
          <cell r="Y6968" t="str">
            <v>Pres</v>
          </cell>
          <cell r="Z6968">
            <v>4.78</v>
          </cell>
          <cell r="AA6968">
            <v>0</v>
          </cell>
          <cell r="AB6968">
            <v>0</v>
          </cell>
        </row>
        <row r="6969">
          <cell r="G6969" t="str">
            <v>X2754_1</v>
          </cell>
          <cell r="H6969" t="str">
            <v>like</v>
          </cell>
          <cell r="I6969" t="str">
            <v>sim</v>
          </cell>
          <cell r="V6969" t="str">
            <v>not neg pair</v>
          </cell>
          <cell r="Y6969" t="str">
            <v>Pres</v>
          </cell>
          <cell r="Z6969">
            <v>4.78</v>
          </cell>
          <cell r="AA6969">
            <v>0</v>
          </cell>
          <cell r="AB6969">
            <v>0</v>
          </cell>
        </row>
        <row r="6970">
          <cell r="G6970" t="str">
            <v>X2755_0</v>
          </cell>
          <cell r="H6970" t="str">
            <v/>
          </cell>
          <cell r="I6970" t="str">
            <v>met</v>
          </cell>
          <cell r="V6970" t="str">
            <v>0</v>
          </cell>
          <cell r="Y6970" t="str">
            <v>Pres</v>
          </cell>
          <cell r="Z6970">
            <v>3.93</v>
          </cell>
          <cell r="AA6970">
            <v>0</v>
          </cell>
          <cell r="AB6970">
            <v>0</v>
          </cell>
        </row>
        <row r="6971">
          <cell r="G6971" t="str">
            <v>X2755_1</v>
          </cell>
          <cell r="H6971" t="str">
            <v/>
          </cell>
          <cell r="I6971" t="str">
            <v>met</v>
          </cell>
          <cell r="V6971" t="str">
            <v>0</v>
          </cell>
          <cell r="Y6971" t="str">
            <v>Pres</v>
          </cell>
          <cell r="Z6971">
            <v>3.93</v>
          </cell>
          <cell r="AA6971">
            <v>0</v>
          </cell>
          <cell r="AB6971">
            <v>0</v>
          </cell>
        </row>
        <row r="6972">
          <cell r="G6972" t="str">
            <v>X2756_0</v>
          </cell>
          <cell r="H6972" t="str">
            <v/>
          </cell>
          <cell r="I6972" t="str">
            <v>met</v>
          </cell>
          <cell r="V6972" t="str">
            <v>0</v>
          </cell>
          <cell r="Y6972" t="str">
            <v>Pres</v>
          </cell>
          <cell r="Z6972">
            <v>3.36</v>
          </cell>
          <cell r="AA6972">
            <v>0</v>
          </cell>
          <cell r="AB6972">
            <v>0</v>
          </cell>
        </row>
        <row r="6973">
          <cell r="G6973" t="str">
            <v>X2756_1</v>
          </cell>
          <cell r="H6973" t="str">
            <v/>
          </cell>
          <cell r="I6973" t="str">
            <v>met</v>
          </cell>
          <cell r="V6973" t="str">
            <v>0</v>
          </cell>
          <cell r="Y6973" t="str">
            <v>Pres</v>
          </cell>
          <cell r="Z6973">
            <v>3.36</v>
          </cell>
          <cell r="AA6973">
            <v>0</v>
          </cell>
          <cell r="AB6973">
            <v>0</v>
          </cell>
        </row>
        <row r="6974">
          <cell r="G6974" t="str">
            <v>X2757_0</v>
          </cell>
          <cell r="H6974" t="str">
            <v/>
          </cell>
          <cell r="I6974" t="str">
            <v>met</v>
          </cell>
          <cell r="V6974" t="str">
            <v>0</v>
          </cell>
          <cell r="Y6974" t="str">
            <v>Past</v>
          </cell>
          <cell r="Z6974">
            <v>3.37</v>
          </cell>
          <cell r="AA6974">
            <v>0</v>
          </cell>
          <cell r="AB6974">
            <v>0</v>
          </cell>
        </row>
        <row r="6975">
          <cell r="G6975" t="str">
            <v>X2757_1</v>
          </cell>
          <cell r="H6975" t="str">
            <v/>
          </cell>
          <cell r="I6975" t="str">
            <v>met</v>
          </cell>
          <cell r="V6975" t="str">
            <v>0</v>
          </cell>
          <cell r="Y6975" t="str">
            <v>Past</v>
          </cell>
          <cell r="Z6975">
            <v>3.37</v>
          </cell>
          <cell r="AA6975">
            <v>0</v>
          </cell>
          <cell r="AB6975">
            <v>0</v>
          </cell>
        </row>
        <row r="6976">
          <cell r="G6976" t="str">
            <v>X2758_0</v>
          </cell>
          <cell r="H6976" t="str">
            <v/>
          </cell>
          <cell r="I6976" t="str">
            <v>met</v>
          </cell>
          <cell r="V6976" t="str">
            <v>0</v>
          </cell>
          <cell r="Y6976" t="str">
            <v>Past</v>
          </cell>
          <cell r="Z6976">
            <v>4.74</v>
          </cell>
          <cell r="AA6976">
            <v>0</v>
          </cell>
          <cell r="AB6976">
            <v>0</v>
          </cell>
        </row>
        <row r="6977">
          <cell r="G6977" t="str">
            <v>X2758_1</v>
          </cell>
          <cell r="H6977" t="str">
            <v/>
          </cell>
          <cell r="I6977" t="str">
            <v>met</v>
          </cell>
          <cell r="V6977" t="str">
            <v>0</v>
          </cell>
          <cell r="Y6977" t="str">
            <v>Past</v>
          </cell>
          <cell r="Z6977">
            <v>4.74</v>
          </cell>
          <cell r="AA6977">
            <v>0</v>
          </cell>
          <cell r="AB6977">
            <v>0</v>
          </cell>
        </row>
        <row r="6978">
          <cell r="G6978" t="str">
            <v>X2759_0</v>
          </cell>
          <cell r="H6978" t="str">
            <v/>
          </cell>
          <cell r="I6978" t="str">
            <v>met</v>
          </cell>
          <cell r="V6978" t="str">
            <v>0</v>
          </cell>
          <cell r="Y6978" t="str">
            <v>Pres</v>
          </cell>
          <cell r="Z6978">
            <v>3.36</v>
          </cell>
          <cell r="AA6978">
            <v>0</v>
          </cell>
          <cell r="AB6978">
            <v>0</v>
          </cell>
        </row>
        <row r="6979">
          <cell r="G6979" t="str">
            <v>X2759_1</v>
          </cell>
          <cell r="H6979" t="str">
            <v/>
          </cell>
          <cell r="I6979" t="str">
            <v>met</v>
          </cell>
          <cell r="V6979" t="str">
            <v>0</v>
          </cell>
          <cell r="Y6979" t="str">
            <v>Pres</v>
          </cell>
          <cell r="Z6979">
            <v>3.36</v>
          </cell>
          <cell r="AA6979">
            <v>0</v>
          </cell>
          <cell r="AB6979">
            <v>0</v>
          </cell>
        </row>
        <row r="6980">
          <cell r="G6980" t="str">
            <v>X2760_0</v>
          </cell>
          <cell r="H6980" t="str">
            <v>like</v>
          </cell>
          <cell r="I6980" t="str">
            <v>sim</v>
          </cell>
          <cell r="V6980" t="str">
            <v>not neg pair</v>
          </cell>
          <cell r="Y6980" t="str">
            <v>Pres</v>
          </cell>
          <cell r="Z6980">
            <v>4.25</v>
          </cell>
          <cell r="AA6980">
            <v>0</v>
          </cell>
          <cell r="AB6980">
            <v>0</v>
          </cell>
        </row>
        <row r="6981">
          <cell r="G6981" t="str">
            <v>X2760_1</v>
          </cell>
          <cell r="H6981" t="str">
            <v>like</v>
          </cell>
          <cell r="I6981" t="str">
            <v>sim</v>
          </cell>
          <cell r="V6981" t="str">
            <v>not neg pair</v>
          </cell>
          <cell r="Y6981" t="str">
            <v>Pres</v>
          </cell>
          <cell r="Z6981">
            <v>4.25</v>
          </cell>
          <cell r="AA6981">
            <v>0</v>
          </cell>
          <cell r="AB6981">
            <v>0</v>
          </cell>
        </row>
        <row r="6982">
          <cell r="G6982" t="str">
            <v>X2761_0</v>
          </cell>
          <cell r="H6982" t="str">
            <v>as-as</v>
          </cell>
          <cell r="I6982" t="str">
            <v>sim</v>
          </cell>
          <cell r="V6982" t="str">
            <v>antonym</v>
          </cell>
          <cell r="Y6982" t="str">
            <v>Pres</v>
          </cell>
          <cell r="Z6982">
            <v>4.93</v>
          </cell>
          <cell r="AA6982" t="str">
            <v>H</v>
          </cell>
          <cell r="AB6982">
            <v>0</v>
          </cell>
        </row>
        <row r="6983">
          <cell r="G6983" t="str">
            <v>X2761_1</v>
          </cell>
          <cell r="H6983" t="str">
            <v>as-as</v>
          </cell>
          <cell r="I6983" t="str">
            <v>sim</v>
          </cell>
          <cell r="V6983" t="str">
            <v>antonym</v>
          </cell>
          <cell r="Y6983" t="str">
            <v>Pres</v>
          </cell>
          <cell r="Z6983">
            <v>4.93</v>
          </cell>
          <cell r="AA6983" t="str">
            <v>H</v>
          </cell>
          <cell r="AB6983">
            <v>0</v>
          </cell>
        </row>
        <row r="6984">
          <cell r="G6984" t="str">
            <v>X2762_0</v>
          </cell>
          <cell r="H6984" t="str">
            <v/>
          </cell>
          <cell r="I6984" t="str">
            <v>met</v>
          </cell>
          <cell r="V6984" t="str">
            <v>0</v>
          </cell>
          <cell r="Y6984" t="str">
            <v>Past</v>
          </cell>
          <cell r="Z6984">
            <v>2.8</v>
          </cell>
          <cell r="AA6984" t="str">
            <v>L</v>
          </cell>
          <cell r="AB6984">
            <v>0</v>
          </cell>
        </row>
        <row r="6985">
          <cell r="G6985" t="str">
            <v>X2762_1</v>
          </cell>
          <cell r="H6985" t="str">
            <v/>
          </cell>
          <cell r="I6985" t="str">
            <v>met</v>
          </cell>
          <cell r="V6985" t="str">
            <v>0</v>
          </cell>
          <cell r="Y6985" t="str">
            <v>Past</v>
          </cell>
          <cell r="Z6985">
            <v>2.8</v>
          </cell>
          <cell r="AA6985" t="str">
            <v>L</v>
          </cell>
          <cell r="AB6985">
            <v>0</v>
          </cell>
        </row>
        <row r="6986">
          <cell r="G6986" t="str">
            <v>X2763_0</v>
          </cell>
          <cell r="H6986" t="str">
            <v/>
          </cell>
          <cell r="I6986" t="str">
            <v>met</v>
          </cell>
          <cell r="V6986" t="str">
            <v>0</v>
          </cell>
          <cell r="Y6986" t="str">
            <v>Past</v>
          </cell>
          <cell r="Z6986">
            <v>4.13</v>
          </cell>
          <cell r="AA6986">
            <v>0</v>
          </cell>
          <cell r="AB6986">
            <v>0</v>
          </cell>
        </row>
        <row r="6987">
          <cell r="G6987" t="str">
            <v>X2763_1</v>
          </cell>
          <cell r="H6987" t="str">
            <v/>
          </cell>
          <cell r="I6987" t="str">
            <v>met</v>
          </cell>
          <cell r="V6987" t="str">
            <v>0</v>
          </cell>
          <cell r="Y6987" t="str">
            <v>Past</v>
          </cell>
          <cell r="Z6987">
            <v>4.13</v>
          </cell>
          <cell r="AA6987">
            <v>0</v>
          </cell>
          <cell r="AB6987">
            <v>0</v>
          </cell>
        </row>
        <row r="6988">
          <cell r="G6988" t="str">
            <v>X2764_0</v>
          </cell>
          <cell r="H6988" t="str">
            <v/>
          </cell>
          <cell r="I6988" t="str">
            <v>met</v>
          </cell>
          <cell r="V6988" t="str">
            <v>0</v>
          </cell>
          <cell r="Y6988" t="str">
            <v>Pres</v>
          </cell>
          <cell r="Z6988">
            <v>3.19</v>
          </cell>
          <cell r="AA6988">
            <v>0</v>
          </cell>
          <cell r="AB6988">
            <v>0</v>
          </cell>
        </row>
        <row r="6989">
          <cell r="G6989" t="str">
            <v>X2764_1</v>
          </cell>
          <cell r="H6989" t="str">
            <v/>
          </cell>
          <cell r="I6989" t="str">
            <v>met</v>
          </cell>
          <cell r="V6989" t="str">
            <v>0</v>
          </cell>
          <cell r="Y6989" t="str">
            <v>Pres</v>
          </cell>
          <cell r="Z6989">
            <v>3.19</v>
          </cell>
          <cell r="AA6989">
            <v>0</v>
          </cell>
          <cell r="AB6989">
            <v>0</v>
          </cell>
        </row>
        <row r="6990">
          <cell r="G6990" t="str">
            <v>X2765_0</v>
          </cell>
          <cell r="H6990" t="str">
            <v>the-of</v>
          </cell>
          <cell r="I6990" t="str">
            <v>sim</v>
          </cell>
          <cell r="V6990" t="str">
            <v>not neg pair</v>
          </cell>
          <cell r="Y6990" t="str">
            <v>Pres</v>
          </cell>
          <cell r="Z6990">
            <v>3.93</v>
          </cell>
          <cell r="AA6990">
            <v>0</v>
          </cell>
          <cell r="AB6990">
            <v>0</v>
          </cell>
        </row>
        <row r="6991">
          <cell r="G6991" t="str">
            <v>X2765_1</v>
          </cell>
          <cell r="H6991" t="str">
            <v>the-of</v>
          </cell>
          <cell r="I6991" t="str">
            <v>sim</v>
          </cell>
          <cell r="V6991" t="str">
            <v>not neg pair</v>
          </cell>
          <cell r="Y6991" t="str">
            <v>Past</v>
          </cell>
          <cell r="Z6991">
            <v>3.93</v>
          </cell>
          <cell r="AA6991">
            <v>0</v>
          </cell>
          <cell r="AB6991">
            <v>0</v>
          </cell>
        </row>
        <row r="6992">
          <cell r="G6992" t="str">
            <v>X2766_0</v>
          </cell>
          <cell r="H6992" t="str">
            <v>the-of</v>
          </cell>
          <cell r="I6992" t="str">
            <v>sim</v>
          </cell>
          <cell r="V6992" t="str">
            <v>not</v>
          </cell>
          <cell r="Y6992" t="str">
            <v>Pres</v>
          </cell>
          <cell r="Z6992">
            <v>4.7699999999999996</v>
          </cell>
          <cell r="AA6992">
            <v>0</v>
          </cell>
          <cell r="AB6992">
            <v>0</v>
          </cell>
        </row>
        <row r="6993">
          <cell r="G6993" t="str">
            <v>X2766_1</v>
          </cell>
          <cell r="H6993" t="str">
            <v>the-of</v>
          </cell>
          <cell r="I6993" t="str">
            <v>sim</v>
          </cell>
          <cell r="V6993" t="str">
            <v>not</v>
          </cell>
          <cell r="Y6993" t="str">
            <v>Past</v>
          </cell>
          <cell r="Z6993">
            <v>4.7699999999999996</v>
          </cell>
          <cell r="AA6993">
            <v>0</v>
          </cell>
          <cell r="AB6993">
            <v>0</v>
          </cell>
        </row>
        <row r="6994">
          <cell r="G6994" t="str">
            <v>X2767_0</v>
          </cell>
          <cell r="H6994" t="str">
            <v>the-of</v>
          </cell>
          <cell r="I6994" t="str">
            <v>sim</v>
          </cell>
          <cell r="V6994" t="str">
            <v>not</v>
          </cell>
          <cell r="Y6994" t="str">
            <v>Past</v>
          </cell>
          <cell r="Z6994">
            <v>3.93</v>
          </cell>
          <cell r="AA6994">
            <v>0</v>
          </cell>
          <cell r="AB6994">
            <v>0</v>
          </cell>
        </row>
        <row r="6995">
          <cell r="G6995" t="str">
            <v>X2767_1</v>
          </cell>
          <cell r="H6995" t="str">
            <v>the-of</v>
          </cell>
          <cell r="I6995" t="str">
            <v>sim</v>
          </cell>
          <cell r="V6995" t="str">
            <v>not</v>
          </cell>
          <cell r="Y6995" t="str">
            <v>Past</v>
          </cell>
          <cell r="Z6995">
            <v>3.93</v>
          </cell>
          <cell r="AA6995">
            <v>0</v>
          </cell>
          <cell r="AB6995">
            <v>0</v>
          </cell>
        </row>
        <row r="6996">
          <cell r="G6996" t="str">
            <v>X2768_0</v>
          </cell>
          <cell r="H6996" t="str">
            <v>as-as</v>
          </cell>
          <cell r="I6996" t="str">
            <v>sim</v>
          </cell>
          <cell r="V6996" t="str">
            <v>antonym</v>
          </cell>
          <cell r="Y6996" t="str">
            <v>Pres</v>
          </cell>
          <cell r="Z6996">
            <v>2.93</v>
          </cell>
          <cell r="AA6996">
            <v>0</v>
          </cell>
          <cell r="AB6996">
            <v>0</v>
          </cell>
        </row>
        <row r="6997">
          <cell r="G6997" t="str">
            <v>X2768_1</v>
          </cell>
          <cell r="H6997" t="str">
            <v>as-as</v>
          </cell>
          <cell r="I6997" t="str">
            <v>sim</v>
          </cell>
          <cell r="V6997" t="str">
            <v>antonym</v>
          </cell>
          <cell r="Y6997" t="str">
            <v>Pres</v>
          </cell>
          <cell r="Z6997">
            <v>2.93</v>
          </cell>
          <cell r="AA6997">
            <v>0</v>
          </cell>
          <cell r="AB6997">
            <v>0</v>
          </cell>
        </row>
        <row r="6998">
          <cell r="G6998" t="str">
            <v>X2769_0</v>
          </cell>
          <cell r="H6998" t="str">
            <v>as-as</v>
          </cell>
          <cell r="I6998" t="str">
            <v>sim</v>
          </cell>
          <cell r="V6998" t="str">
            <v>antonym</v>
          </cell>
          <cell r="Y6998" t="str">
            <v>Pres</v>
          </cell>
          <cell r="Z6998">
            <v>4.21</v>
          </cell>
          <cell r="AA6998">
            <v>0</v>
          </cell>
          <cell r="AB6998">
            <v>0</v>
          </cell>
        </row>
        <row r="6999">
          <cell r="G6999" t="str">
            <v>X2769_1</v>
          </cell>
          <cell r="H6999" t="str">
            <v>as-as</v>
          </cell>
          <cell r="I6999" t="str">
            <v>sim</v>
          </cell>
          <cell r="V6999" t="str">
            <v>antonym</v>
          </cell>
          <cell r="Y6999" t="str">
            <v>Pres</v>
          </cell>
          <cell r="Z6999">
            <v>4.21</v>
          </cell>
          <cell r="AA6999">
            <v>0</v>
          </cell>
          <cell r="AB6999">
            <v>0</v>
          </cell>
        </row>
        <row r="7000">
          <cell r="G7000" t="str">
            <v>X2770_0</v>
          </cell>
          <cell r="H7000" t="str">
            <v>as-as</v>
          </cell>
          <cell r="I7000" t="str">
            <v>sim</v>
          </cell>
          <cell r="V7000" t="str">
            <v>not</v>
          </cell>
          <cell r="Y7000" t="str">
            <v>Past</v>
          </cell>
          <cell r="Z7000">
            <v>3.75</v>
          </cell>
          <cell r="AA7000">
            <v>0</v>
          </cell>
          <cell r="AB7000">
            <v>0</v>
          </cell>
        </row>
        <row r="7001">
          <cell r="G7001" t="str">
            <v>X2770_1</v>
          </cell>
          <cell r="H7001" t="str">
            <v>as-as</v>
          </cell>
          <cell r="I7001" t="str">
            <v>sim</v>
          </cell>
          <cell r="V7001" t="str">
            <v>not</v>
          </cell>
          <cell r="Y7001" t="str">
            <v>Past</v>
          </cell>
          <cell r="Z7001">
            <v>3.75</v>
          </cell>
          <cell r="AA7001">
            <v>0</v>
          </cell>
          <cell r="AB7001">
            <v>0</v>
          </cell>
        </row>
        <row r="7002">
          <cell r="G7002" t="str">
            <v>X2771_0</v>
          </cell>
          <cell r="H7002" t="str">
            <v>like</v>
          </cell>
          <cell r="I7002" t="str">
            <v>sim</v>
          </cell>
          <cell r="V7002" t="str">
            <v>not neg pair</v>
          </cell>
          <cell r="Y7002" t="str">
            <v>Pres</v>
          </cell>
          <cell r="Z7002">
            <v>4.79</v>
          </cell>
          <cell r="AA7002">
            <v>0</v>
          </cell>
          <cell r="AB7002">
            <v>0</v>
          </cell>
        </row>
        <row r="7003">
          <cell r="G7003" t="str">
            <v>X2771_1</v>
          </cell>
          <cell r="H7003" t="str">
            <v>like</v>
          </cell>
          <cell r="I7003" t="str">
            <v>sim</v>
          </cell>
          <cell r="V7003" t="str">
            <v>not neg pair</v>
          </cell>
          <cell r="Y7003" t="str">
            <v>Pres</v>
          </cell>
          <cell r="Z7003">
            <v>4.79</v>
          </cell>
          <cell r="AA7003">
            <v>0</v>
          </cell>
          <cell r="AB7003">
            <v>0</v>
          </cell>
        </row>
        <row r="7004">
          <cell r="G7004" t="str">
            <v>X2772_0</v>
          </cell>
          <cell r="H7004" t="str">
            <v>as-as</v>
          </cell>
          <cell r="I7004" t="str">
            <v>sim</v>
          </cell>
          <cell r="V7004" t="str">
            <v>not</v>
          </cell>
          <cell r="Y7004" t="str">
            <v>Pres</v>
          </cell>
          <cell r="Z7004">
            <v>4.43</v>
          </cell>
          <cell r="AA7004">
            <v>0</v>
          </cell>
          <cell r="AB7004">
            <v>0</v>
          </cell>
        </row>
        <row r="7005">
          <cell r="G7005" t="str">
            <v>X2772_1</v>
          </cell>
          <cell r="H7005" t="str">
            <v>as-as</v>
          </cell>
          <cell r="I7005" t="str">
            <v>sim</v>
          </cell>
          <cell r="V7005" t="str">
            <v>not</v>
          </cell>
          <cell r="Y7005" t="str">
            <v>Pres</v>
          </cell>
          <cell r="Z7005">
            <v>4.43</v>
          </cell>
          <cell r="AA7005">
            <v>0</v>
          </cell>
          <cell r="AB7005">
            <v>0</v>
          </cell>
        </row>
        <row r="7006">
          <cell r="G7006" t="str">
            <v>X2773_0</v>
          </cell>
          <cell r="H7006" t="str">
            <v>as-as</v>
          </cell>
          <cell r="I7006" t="str">
            <v>sim</v>
          </cell>
          <cell r="V7006" t="str">
            <v>not</v>
          </cell>
          <cell r="Y7006" t="str">
            <v>Pres</v>
          </cell>
          <cell r="Z7006">
            <v>3.67</v>
          </cell>
          <cell r="AA7006">
            <v>0</v>
          </cell>
          <cell r="AB7006">
            <v>0</v>
          </cell>
        </row>
        <row r="7007">
          <cell r="G7007" t="str">
            <v>X2773_1</v>
          </cell>
          <cell r="H7007" t="str">
            <v>as-as</v>
          </cell>
          <cell r="I7007" t="str">
            <v>sim</v>
          </cell>
          <cell r="V7007" t="str">
            <v>not</v>
          </cell>
          <cell r="Y7007" t="str">
            <v>Pres</v>
          </cell>
          <cell r="Z7007">
            <v>3.67</v>
          </cell>
          <cell r="AA7007">
            <v>0</v>
          </cell>
          <cell r="AB7007">
            <v>0</v>
          </cell>
        </row>
        <row r="7008">
          <cell r="G7008" t="str">
            <v>X2774_0</v>
          </cell>
          <cell r="H7008" t="str">
            <v>the-of</v>
          </cell>
          <cell r="I7008" t="str">
            <v>sim</v>
          </cell>
          <cell r="V7008" t="str">
            <v>not</v>
          </cell>
          <cell r="Y7008" t="str">
            <v>Past</v>
          </cell>
          <cell r="Z7008">
            <v>4.91</v>
          </cell>
          <cell r="AA7008" t="str">
            <v>H</v>
          </cell>
          <cell r="AB7008">
            <v>0</v>
          </cell>
        </row>
        <row r="7009">
          <cell r="G7009" t="str">
            <v>X2774_1</v>
          </cell>
          <cell r="H7009" t="str">
            <v>the-of</v>
          </cell>
          <cell r="I7009" t="str">
            <v>sim</v>
          </cell>
          <cell r="V7009" t="str">
            <v>not</v>
          </cell>
          <cell r="Y7009" t="str">
            <v>Past</v>
          </cell>
          <cell r="Z7009">
            <v>4.91</v>
          </cell>
          <cell r="AA7009" t="str">
            <v>H</v>
          </cell>
          <cell r="AB7009">
            <v>0</v>
          </cell>
        </row>
        <row r="7010">
          <cell r="G7010" t="str">
            <v>X2775_0</v>
          </cell>
          <cell r="H7010" t="str">
            <v>the-of</v>
          </cell>
          <cell r="I7010" t="str">
            <v>sim</v>
          </cell>
          <cell r="V7010" t="str">
            <v>not neg pair</v>
          </cell>
          <cell r="Y7010" t="str">
            <v>Pres</v>
          </cell>
          <cell r="Z7010">
            <v>4.79</v>
          </cell>
          <cell r="AA7010">
            <v>0</v>
          </cell>
          <cell r="AB7010">
            <v>0</v>
          </cell>
        </row>
        <row r="7011">
          <cell r="G7011" t="str">
            <v>X2775_1</v>
          </cell>
          <cell r="H7011" t="str">
            <v>the-of</v>
          </cell>
          <cell r="I7011" t="str">
            <v>sim</v>
          </cell>
          <cell r="V7011" t="str">
            <v>not neg pair</v>
          </cell>
          <cell r="Y7011" t="str">
            <v>Pres</v>
          </cell>
          <cell r="Z7011">
            <v>4.79</v>
          </cell>
          <cell r="AA7011">
            <v>0</v>
          </cell>
          <cell r="AB7011">
            <v>0</v>
          </cell>
        </row>
        <row r="7012">
          <cell r="G7012" t="str">
            <v>X2776_0</v>
          </cell>
          <cell r="H7012" t="str">
            <v>as-as</v>
          </cell>
          <cell r="I7012" t="str">
            <v>sim</v>
          </cell>
          <cell r="V7012" t="str">
            <v>not</v>
          </cell>
          <cell r="Y7012" t="str">
            <v>Past</v>
          </cell>
          <cell r="Z7012">
            <v>3.43</v>
          </cell>
          <cell r="AA7012">
            <v>0</v>
          </cell>
          <cell r="AB7012">
            <v>0</v>
          </cell>
        </row>
        <row r="7013">
          <cell r="G7013" t="str">
            <v>X2776_1</v>
          </cell>
          <cell r="H7013" t="str">
            <v>as-as</v>
          </cell>
          <cell r="I7013" t="str">
            <v>sim</v>
          </cell>
          <cell r="V7013" t="str">
            <v>not</v>
          </cell>
          <cell r="Y7013" t="str">
            <v>Past</v>
          </cell>
          <cell r="Z7013">
            <v>3.43</v>
          </cell>
          <cell r="AA7013">
            <v>0</v>
          </cell>
          <cell r="AB7013">
            <v>0</v>
          </cell>
        </row>
        <row r="7014">
          <cell r="G7014" t="str">
            <v>X2777_0</v>
          </cell>
          <cell r="H7014" t="str">
            <v>as-as</v>
          </cell>
          <cell r="I7014" t="str">
            <v>sim</v>
          </cell>
          <cell r="V7014" t="str">
            <v>not</v>
          </cell>
          <cell r="Y7014" t="str">
            <v>Past</v>
          </cell>
          <cell r="Z7014">
            <v>2.85</v>
          </cell>
          <cell r="AA7014">
            <v>0</v>
          </cell>
          <cell r="AB7014">
            <v>0</v>
          </cell>
        </row>
        <row r="7015">
          <cell r="G7015" t="str">
            <v>X2777_1</v>
          </cell>
          <cell r="H7015" t="str">
            <v>as-as</v>
          </cell>
          <cell r="I7015" t="str">
            <v>sim</v>
          </cell>
          <cell r="V7015" t="str">
            <v>not</v>
          </cell>
          <cell r="Y7015" t="str">
            <v>Past</v>
          </cell>
          <cell r="Z7015">
            <v>2.85</v>
          </cell>
          <cell r="AA7015">
            <v>0</v>
          </cell>
          <cell r="AB7015">
            <v>0</v>
          </cell>
        </row>
        <row r="7016">
          <cell r="G7016" t="str">
            <v>X2778_0</v>
          </cell>
          <cell r="H7016" t="str">
            <v>as-as</v>
          </cell>
          <cell r="I7016" t="str">
            <v>sim</v>
          </cell>
          <cell r="V7016" t="str">
            <v>not</v>
          </cell>
          <cell r="Y7016" t="str">
            <v>Past</v>
          </cell>
          <cell r="Z7016">
            <v>1.54</v>
          </cell>
          <cell r="AA7016" t="str">
            <v>L</v>
          </cell>
          <cell r="AB7016">
            <v>0</v>
          </cell>
        </row>
        <row r="7017">
          <cell r="G7017" t="str">
            <v>X2778_1</v>
          </cell>
          <cell r="H7017" t="str">
            <v>as-as</v>
          </cell>
          <cell r="I7017" t="str">
            <v>sim</v>
          </cell>
          <cell r="V7017" t="str">
            <v>not</v>
          </cell>
          <cell r="Y7017" t="str">
            <v>Pres</v>
          </cell>
          <cell r="Z7017">
            <v>1.54</v>
          </cell>
          <cell r="AA7017" t="str">
            <v>L</v>
          </cell>
          <cell r="AB7017">
            <v>0</v>
          </cell>
        </row>
        <row r="7018">
          <cell r="G7018" t="str">
            <v>X2779_0</v>
          </cell>
          <cell r="H7018" t="str">
            <v>as-as</v>
          </cell>
          <cell r="I7018" t="str">
            <v>sim</v>
          </cell>
          <cell r="V7018" t="str">
            <v>not</v>
          </cell>
          <cell r="Y7018" t="str">
            <v>Pres</v>
          </cell>
          <cell r="Z7018">
            <v>4.5199999999999996</v>
          </cell>
          <cell r="AA7018">
            <v>0</v>
          </cell>
          <cell r="AB7018">
            <v>0</v>
          </cell>
        </row>
        <row r="7019">
          <cell r="G7019" t="str">
            <v>X2779_1</v>
          </cell>
          <cell r="H7019" t="str">
            <v>as-as</v>
          </cell>
          <cell r="I7019" t="str">
            <v>sim</v>
          </cell>
          <cell r="V7019" t="str">
            <v>not</v>
          </cell>
          <cell r="Y7019" t="str">
            <v>Pres</v>
          </cell>
          <cell r="Z7019">
            <v>4.5199999999999996</v>
          </cell>
          <cell r="AA7019">
            <v>0</v>
          </cell>
          <cell r="AB7019">
            <v>0</v>
          </cell>
        </row>
        <row r="7020">
          <cell r="G7020" t="str">
            <v>X2780_0</v>
          </cell>
          <cell r="H7020" t="str">
            <v>like</v>
          </cell>
          <cell r="I7020" t="str">
            <v>sim</v>
          </cell>
          <cell r="V7020" t="str">
            <v>not neg pair</v>
          </cell>
          <cell r="Y7020" t="str">
            <v>Pres</v>
          </cell>
          <cell r="Z7020">
            <v>4.97</v>
          </cell>
          <cell r="AA7020" t="str">
            <v>H</v>
          </cell>
          <cell r="AB7020">
            <v>0</v>
          </cell>
        </row>
        <row r="7021">
          <cell r="G7021" t="str">
            <v>X2780_1</v>
          </cell>
          <cell r="H7021" t="str">
            <v>like</v>
          </cell>
          <cell r="I7021" t="str">
            <v>sim</v>
          </cell>
          <cell r="V7021" t="str">
            <v>not neg pair</v>
          </cell>
          <cell r="Y7021" t="str">
            <v>Pres</v>
          </cell>
          <cell r="Z7021">
            <v>4.97</v>
          </cell>
          <cell r="AA7021" t="str">
            <v>H</v>
          </cell>
          <cell r="AB7021">
            <v>0</v>
          </cell>
        </row>
        <row r="7022">
          <cell r="G7022" t="str">
            <v>X2781_0</v>
          </cell>
          <cell r="H7022" t="str">
            <v>as-as</v>
          </cell>
          <cell r="I7022" t="str">
            <v>sim</v>
          </cell>
          <cell r="V7022" t="str">
            <v>not neg pair</v>
          </cell>
          <cell r="Y7022" t="str">
            <v>Past</v>
          </cell>
          <cell r="Z7022">
            <v>3.43</v>
          </cell>
          <cell r="AA7022">
            <v>0</v>
          </cell>
          <cell r="AB7022">
            <v>0</v>
          </cell>
        </row>
        <row r="7023">
          <cell r="G7023" t="str">
            <v>X2781_1</v>
          </cell>
          <cell r="H7023" t="str">
            <v>as-as</v>
          </cell>
          <cell r="I7023" t="str">
            <v>sim</v>
          </cell>
          <cell r="V7023" t="str">
            <v>not neg pair</v>
          </cell>
          <cell r="Y7023" t="str">
            <v>Past</v>
          </cell>
          <cell r="Z7023">
            <v>3.43</v>
          </cell>
          <cell r="AA7023">
            <v>0</v>
          </cell>
          <cell r="AB7023">
            <v>0</v>
          </cell>
        </row>
        <row r="7024">
          <cell r="G7024" t="str">
            <v>X2782_0</v>
          </cell>
          <cell r="H7024" t="str">
            <v>as</v>
          </cell>
          <cell r="I7024" t="str">
            <v>sim</v>
          </cell>
          <cell r="V7024" t="str">
            <v>not neg pair</v>
          </cell>
          <cell r="Y7024" t="str">
            <v>Pres</v>
          </cell>
          <cell r="Z7024">
            <v>3.93</v>
          </cell>
          <cell r="AA7024">
            <v>0</v>
          </cell>
          <cell r="AB7024">
            <v>0</v>
          </cell>
        </row>
        <row r="7025">
          <cell r="G7025" t="str">
            <v>X2782_1</v>
          </cell>
          <cell r="H7025" t="str">
            <v>as</v>
          </cell>
          <cell r="I7025" t="str">
            <v>sim</v>
          </cell>
          <cell r="V7025" t="str">
            <v>not neg pair</v>
          </cell>
          <cell r="Y7025" t="str">
            <v>Pres</v>
          </cell>
          <cell r="Z7025">
            <v>3.93</v>
          </cell>
          <cell r="AA7025">
            <v>0</v>
          </cell>
          <cell r="AB7025">
            <v>0</v>
          </cell>
        </row>
        <row r="7026">
          <cell r="G7026" t="str">
            <v>X2783_0</v>
          </cell>
          <cell r="H7026" t="str">
            <v/>
          </cell>
          <cell r="I7026" t="str">
            <v>met</v>
          </cell>
          <cell r="V7026" t="str">
            <v>0</v>
          </cell>
          <cell r="Y7026" t="str">
            <v>Pres</v>
          </cell>
          <cell r="Z7026">
            <v>4.79</v>
          </cell>
          <cell r="AA7026">
            <v>0</v>
          </cell>
          <cell r="AB7026">
            <v>0</v>
          </cell>
        </row>
        <row r="7027">
          <cell r="G7027" t="str">
            <v>X2783_1</v>
          </cell>
          <cell r="H7027" t="str">
            <v/>
          </cell>
          <cell r="I7027" t="str">
            <v>met</v>
          </cell>
          <cell r="V7027" t="str">
            <v>0</v>
          </cell>
          <cell r="Y7027" t="str">
            <v>Pres</v>
          </cell>
          <cell r="Z7027">
            <v>4.79</v>
          </cell>
          <cell r="AA7027">
            <v>0</v>
          </cell>
          <cell r="AB7027">
            <v>0</v>
          </cell>
        </row>
        <row r="7028">
          <cell r="G7028" t="str">
            <v>X2784_0</v>
          </cell>
          <cell r="H7028" t="str">
            <v/>
          </cell>
          <cell r="I7028" t="str">
            <v>met</v>
          </cell>
          <cell r="V7028" t="str">
            <v>0</v>
          </cell>
          <cell r="Y7028" t="str">
            <v>Pres</v>
          </cell>
          <cell r="Z7028">
            <v>3.93</v>
          </cell>
          <cell r="AA7028">
            <v>0</v>
          </cell>
          <cell r="AB7028">
            <v>0</v>
          </cell>
        </row>
        <row r="7029">
          <cell r="G7029" t="str">
            <v>X2784_1</v>
          </cell>
          <cell r="H7029" t="str">
            <v/>
          </cell>
          <cell r="I7029" t="str">
            <v>met</v>
          </cell>
          <cell r="V7029" t="str">
            <v>0</v>
          </cell>
          <cell r="Y7029" t="str">
            <v>Pres</v>
          </cell>
          <cell r="Z7029">
            <v>3.93</v>
          </cell>
          <cell r="AA7029">
            <v>0</v>
          </cell>
          <cell r="AB7029">
            <v>0</v>
          </cell>
        </row>
        <row r="7030">
          <cell r="G7030" t="str">
            <v>X2785_0</v>
          </cell>
          <cell r="H7030" t="str">
            <v>as-as</v>
          </cell>
          <cell r="I7030" t="str">
            <v>sim</v>
          </cell>
          <cell r="V7030" t="str">
            <v>not</v>
          </cell>
          <cell r="Y7030" t="str">
            <v>Pres</v>
          </cell>
          <cell r="Z7030">
            <v>4.9000000000000004</v>
          </cell>
          <cell r="AA7030">
            <v>0</v>
          </cell>
          <cell r="AB7030">
            <v>0</v>
          </cell>
        </row>
        <row r="7031">
          <cell r="G7031" t="str">
            <v>X2785_1</v>
          </cell>
          <cell r="H7031" t="str">
            <v>as-as</v>
          </cell>
          <cell r="I7031" t="str">
            <v>sim</v>
          </cell>
          <cell r="V7031" t="str">
            <v>not</v>
          </cell>
          <cell r="Y7031" t="str">
            <v>Pres</v>
          </cell>
          <cell r="Z7031">
            <v>4.9000000000000004</v>
          </cell>
          <cell r="AA7031">
            <v>0</v>
          </cell>
          <cell r="AB7031">
            <v>0</v>
          </cell>
        </row>
        <row r="7032">
          <cell r="G7032" t="str">
            <v>X2786_0</v>
          </cell>
          <cell r="H7032" t="str">
            <v>as-as</v>
          </cell>
          <cell r="I7032" t="str">
            <v>sim</v>
          </cell>
          <cell r="V7032" t="str">
            <v>not neg pair</v>
          </cell>
          <cell r="Y7032" t="str">
            <v>Pres</v>
          </cell>
          <cell r="Z7032">
            <v>5</v>
          </cell>
          <cell r="AA7032" t="str">
            <v>H</v>
          </cell>
          <cell r="AB7032">
            <v>0</v>
          </cell>
        </row>
        <row r="7033">
          <cell r="G7033" t="str">
            <v>X2786_1</v>
          </cell>
          <cell r="H7033" t="str">
            <v>as-as</v>
          </cell>
          <cell r="I7033" t="str">
            <v>sim</v>
          </cell>
          <cell r="V7033" t="str">
            <v>not neg pair</v>
          </cell>
          <cell r="Y7033" t="str">
            <v>Pres</v>
          </cell>
          <cell r="Z7033">
            <v>5</v>
          </cell>
          <cell r="AA7033" t="str">
            <v>H</v>
          </cell>
          <cell r="AB7033">
            <v>0</v>
          </cell>
        </row>
        <row r="7034">
          <cell r="G7034" t="str">
            <v>X2787_0</v>
          </cell>
          <cell r="H7034" t="str">
            <v>as-as</v>
          </cell>
          <cell r="I7034" t="str">
            <v>sim</v>
          </cell>
          <cell r="V7034" t="str">
            <v>antonym</v>
          </cell>
          <cell r="Y7034" t="str">
            <v>Pres</v>
          </cell>
          <cell r="Z7034">
            <v>5</v>
          </cell>
          <cell r="AA7034" t="str">
            <v>H</v>
          </cell>
          <cell r="AB7034">
            <v>0</v>
          </cell>
        </row>
        <row r="7035">
          <cell r="G7035" t="str">
            <v>X2787_1</v>
          </cell>
          <cell r="H7035" t="str">
            <v>as-as</v>
          </cell>
          <cell r="I7035" t="str">
            <v>sim</v>
          </cell>
          <cell r="V7035" t="str">
            <v>antonym</v>
          </cell>
          <cell r="Y7035" t="str">
            <v>Pres</v>
          </cell>
          <cell r="Z7035">
            <v>5</v>
          </cell>
          <cell r="AA7035" t="str">
            <v>H</v>
          </cell>
          <cell r="AB7035">
            <v>0</v>
          </cell>
        </row>
        <row r="7036">
          <cell r="G7036" t="str">
            <v>X2788_0</v>
          </cell>
          <cell r="H7036" t="str">
            <v/>
          </cell>
          <cell r="I7036" t="str">
            <v>met</v>
          </cell>
          <cell r="V7036" t="str">
            <v>0</v>
          </cell>
          <cell r="Y7036" t="str">
            <v>Past</v>
          </cell>
          <cell r="Z7036">
            <v>4.79</v>
          </cell>
          <cell r="AA7036">
            <v>0</v>
          </cell>
          <cell r="AB7036">
            <v>0</v>
          </cell>
        </row>
        <row r="7037">
          <cell r="G7037" t="str">
            <v>X2788_1</v>
          </cell>
          <cell r="H7037" t="str">
            <v/>
          </cell>
          <cell r="I7037" t="str">
            <v>met</v>
          </cell>
          <cell r="V7037" t="str">
            <v>0</v>
          </cell>
          <cell r="Y7037" t="str">
            <v>Past</v>
          </cell>
          <cell r="Z7037">
            <v>4.79</v>
          </cell>
          <cell r="AA7037">
            <v>0</v>
          </cell>
          <cell r="AB7037">
            <v>0</v>
          </cell>
        </row>
        <row r="7038">
          <cell r="G7038" t="str">
            <v>X2789_0</v>
          </cell>
          <cell r="H7038" t="str">
            <v/>
          </cell>
          <cell r="I7038" t="str">
            <v>met</v>
          </cell>
          <cell r="V7038" t="str">
            <v>0</v>
          </cell>
          <cell r="Y7038" t="str">
            <v>Pres</v>
          </cell>
          <cell r="Z7038">
            <v>4.71</v>
          </cell>
          <cell r="AA7038">
            <v>0</v>
          </cell>
          <cell r="AB7038">
            <v>0</v>
          </cell>
        </row>
        <row r="7039">
          <cell r="G7039" t="str">
            <v>X2789_1</v>
          </cell>
          <cell r="H7039" t="str">
            <v/>
          </cell>
          <cell r="I7039" t="str">
            <v>met</v>
          </cell>
          <cell r="V7039" t="str">
            <v>0</v>
          </cell>
          <cell r="Y7039" t="str">
            <v>Pres</v>
          </cell>
          <cell r="Z7039">
            <v>4.71</v>
          </cell>
          <cell r="AA7039">
            <v>0</v>
          </cell>
          <cell r="AB7039">
            <v>0</v>
          </cell>
        </row>
        <row r="7040">
          <cell r="G7040" t="str">
            <v>X2790_0</v>
          </cell>
          <cell r="H7040" t="str">
            <v/>
          </cell>
          <cell r="I7040" t="str">
            <v>met</v>
          </cell>
          <cell r="V7040" t="str">
            <v>0</v>
          </cell>
          <cell r="Y7040" t="str">
            <v>Past</v>
          </cell>
          <cell r="Z7040">
            <v>4.04</v>
          </cell>
          <cell r="AA7040">
            <v>0</v>
          </cell>
          <cell r="AB7040">
            <v>0</v>
          </cell>
        </row>
        <row r="7041">
          <cell r="G7041" t="str">
            <v>X2790_1</v>
          </cell>
          <cell r="H7041" t="str">
            <v/>
          </cell>
          <cell r="I7041" t="str">
            <v>met</v>
          </cell>
          <cell r="V7041" t="str">
            <v>0</v>
          </cell>
          <cell r="Y7041" t="str">
            <v>Past</v>
          </cell>
          <cell r="Z7041">
            <v>4.04</v>
          </cell>
          <cell r="AA7041">
            <v>0</v>
          </cell>
          <cell r="AB7041">
            <v>0</v>
          </cell>
        </row>
        <row r="7042">
          <cell r="G7042" t="str">
            <v>X2791_0</v>
          </cell>
          <cell r="H7042" t="str">
            <v>like</v>
          </cell>
          <cell r="I7042" t="str">
            <v>sim</v>
          </cell>
          <cell r="V7042" t="str">
            <v>not neg pair</v>
          </cell>
          <cell r="Y7042" t="str">
            <v>Past</v>
          </cell>
          <cell r="Z7042">
            <v>3.93</v>
          </cell>
          <cell r="AA7042">
            <v>0</v>
          </cell>
          <cell r="AB7042">
            <v>0</v>
          </cell>
        </row>
        <row r="7043">
          <cell r="G7043" t="str">
            <v>X2791_1</v>
          </cell>
          <cell r="H7043" t="str">
            <v>like</v>
          </cell>
          <cell r="I7043" t="str">
            <v>sim</v>
          </cell>
          <cell r="V7043" t="str">
            <v>not neg pair</v>
          </cell>
          <cell r="Y7043" t="str">
            <v>Past</v>
          </cell>
          <cell r="Z7043">
            <v>3.93</v>
          </cell>
          <cell r="AA7043">
            <v>0</v>
          </cell>
          <cell r="AB7043">
            <v>0</v>
          </cell>
        </row>
        <row r="7044">
          <cell r="G7044" t="str">
            <v>X2792_0</v>
          </cell>
          <cell r="H7044" t="str">
            <v>like</v>
          </cell>
          <cell r="I7044" t="str">
            <v>sim</v>
          </cell>
          <cell r="V7044" t="str">
            <v>not</v>
          </cell>
          <cell r="Y7044" t="str">
            <v>Past</v>
          </cell>
          <cell r="Z7044">
            <v>2.81</v>
          </cell>
          <cell r="AA7044">
            <v>0</v>
          </cell>
          <cell r="AB7044">
            <v>0</v>
          </cell>
        </row>
        <row r="7045">
          <cell r="G7045" t="str">
            <v>X2792_1</v>
          </cell>
          <cell r="H7045" t="str">
            <v>like</v>
          </cell>
          <cell r="I7045" t="str">
            <v>sim</v>
          </cell>
          <cell r="V7045" t="str">
            <v>not</v>
          </cell>
          <cell r="Y7045" t="str">
            <v>Past</v>
          </cell>
          <cell r="Z7045">
            <v>2.81</v>
          </cell>
          <cell r="AA7045">
            <v>0</v>
          </cell>
          <cell r="AB7045">
            <v>0</v>
          </cell>
        </row>
        <row r="7046">
          <cell r="G7046" t="str">
            <v>X2793_0</v>
          </cell>
          <cell r="H7046" t="str">
            <v/>
          </cell>
          <cell r="I7046" t="str">
            <v>met</v>
          </cell>
          <cell r="V7046" t="str">
            <v>0</v>
          </cell>
          <cell r="Y7046" t="str">
            <v>Past</v>
          </cell>
          <cell r="Z7046">
            <v>3.74</v>
          </cell>
          <cell r="AA7046">
            <v>0</v>
          </cell>
          <cell r="AB7046">
            <v>0</v>
          </cell>
        </row>
        <row r="7047">
          <cell r="G7047" t="str">
            <v>X2793_1</v>
          </cell>
          <cell r="H7047" t="str">
            <v/>
          </cell>
          <cell r="I7047" t="str">
            <v>met</v>
          </cell>
          <cell r="V7047" t="str">
            <v>0</v>
          </cell>
          <cell r="Y7047" t="str">
            <v>Past</v>
          </cell>
          <cell r="Z7047">
            <v>3.74</v>
          </cell>
          <cell r="AA7047">
            <v>0</v>
          </cell>
          <cell r="AB7047">
            <v>0</v>
          </cell>
        </row>
        <row r="7048">
          <cell r="G7048" t="str">
            <v>X2794_0</v>
          </cell>
          <cell r="H7048" t="str">
            <v/>
          </cell>
          <cell r="I7048" t="str">
            <v>met</v>
          </cell>
          <cell r="V7048" t="str">
            <v>0</v>
          </cell>
          <cell r="Y7048" t="str">
            <v>Pres</v>
          </cell>
          <cell r="Z7048">
            <v>3.79</v>
          </cell>
          <cell r="AA7048">
            <v>0</v>
          </cell>
          <cell r="AB7048">
            <v>0</v>
          </cell>
        </row>
        <row r="7049">
          <cell r="G7049" t="str">
            <v>X2794_1</v>
          </cell>
          <cell r="H7049" t="str">
            <v/>
          </cell>
          <cell r="I7049" t="str">
            <v>met</v>
          </cell>
          <cell r="V7049" t="str">
            <v>0</v>
          </cell>
          <cell r="Y7049" t="str">
            <v>Pres</v>
          </cell>
          <cell r="Z7049">
            <v>3.79</v>
          </cell>
          <cell r="AA7049">
            <v>0</v>
          </cell>
          <cell r="AB7049">
            <v>0</v>
          </cell>
        </row>
        <row r="7050">
          <cell r="G7050" t="str">
            <v>X2795_0</v>
          </cell>
          <cell r="H7050" t="str">
            <v/>
          </cell>
          <cell r="I7050" t="str">
            <v>met</v>
          </cell>
          <cell r="V7050" t="str">
            <v>0</v>
          </cell>
          <cell r="Y7050" t="str">
            <v>Pres</v>
          </cell>
          <cell r="Z7050">
            <v>3.07</v>
          </cell>
          <cell r="AA7050">
            <v>0</v>
          </cell>
          <cell r="AB7050">
            <v>0</v>
          </cell>
        </row>
        <row r="7051">
          <cell r="G7051" t="str">
            <v>X2795_1</v>
          </cell>
          <cell r="H7051" t="str">
            <v/>
          </cell>
          <cell r="I7051" t="str">
            <v>met</v>
          </cell>
          <cell r="V7051" t="str">
            <v>0</v>
          </cell>
          <cell r="Y7051" t="str">
            <v>Pres</v>
          </cell>
          <cell r="Z7051">
            <v>3.07</v>
          </cell>
          <cell r="AA7051">
            <v>0</v>
          </cell>
          <cell r="AB7051">
            <v>0</v>
          </cell>
        </row>
        <row r="7052">
          <cell r="G7052" t="str">
            <v>X2796_0</v>
          </cell>
          <cell r="H7052" t="str">
            <v>as-as</v>
          </cell>
          <cell r="I7052" t="str">
            <v>sim</v>
          </cell>
          <cell r="V7052" t="str">
            <v>not neg pair</v>
          </cell>
          <cell r="Y7052" t="str">
            <v>Past</v>
          </cell>
          <cell r="Z7052">
            <v>2.81</v>
          </cell>
          <cell r="AA7052">
            <v>0</v>
          </cell>
          <cell r="AB7052">
            <v>0</v>
          </cell>
        </row>
        <row r="7053">
          <cell r="G7053" t="str">
            <v>X2796_1</v>
          </cell>
          <cell r="H7053" t="str">
            <v>as-as</v>
          </cell>
          <cell r="I7053" t="str">
            <v>sim</v>
          </cell>
          <cell r="V7053" t="str">
            <v>not neg pair</v>
          </cell>
          <cell r="Y7053" t="str">
            <v>Past</v>
          </cell>
          <cell r="Z7053">
            <v>2.81</v>
          </cell>
          <cell r="AA7053">
            <v>0</v>
          </cell>
          <cell r="AB7053">
            <v>0</v>
          </cell>
        </row>
        <row r="7054">
          <cell r="G7054" t="str">
            <v>X2797_0</v>
          </cell>
          <cell r="H7054" t="str">
            <v>as-as</v>
          </cell>
          <cell r="I7054" t="str">
            <v>sim</v>
          </cell>
          <cell r="V7054" t="str">
            <v>not neg pair</v>
          </cell>
          <cell r="Y7054" t="str">
            <v>Past</v>
          </cell>
          <cell r="Z7054">
            <v>3.36</v>
          </cell>
          <cell r="AA7054">
            <v>0</v>
          </cell>
          <cell r="AB7054">
            <v>0</v>
          </cell>
        </row>
        <row r="7055">
          <cell r="G7055" t="str">
            <v>X2797_1</v>
          </cell>
          <cell r="H7055" t="str">
            <v>as-as</v>
          </cell>
          <cell r="I7055" t="str">
            <v>sim</v>
          </cell>
          <cell r="V7055" t="str">
            <v>not neg pair</v>
          </cell>
          <cell r="Y7055" t="str">
            <v>Past</v>
          </cell>
          <cell r="Z7055">
            <v>3.36</v>
          </cell>
          <cell r="AA7055">
            <v>0</v>
          </cell>
          <cell r="AB7055">
            <v>0</v>
          </cell>
        </row>
        <row r="7056">
          <cell r="G7056" t="str">
            <v>X2798_0</v>
          </cell>
          <cell r="H7056" t="str">
            <v>as-as</v>
          </cell>
          <cell r="I7056" t="str">
            <v>sim</v>
          </cell>
          <cell r="V7056" t="str">
            <v>not neg pair</v>
          </cell>
          <cell r="Y7056" t="str">
            <v>Past</v>
          </cell>
          <cell r="Z7056">
            <v>3.93</v>
          </cell>
          <cell r="AA7056">
            <v>0</v>
          </cell>
          <cell r="AB7056">
            <v>0</v>
          </cell>
        </row>
        <row r="7057">
          <cell r="G7057" t="str">
            <v>X2798_1</v>
          </cell>
          <cell r="H7057" t="str">
            <v>as-as</v>
          </cell>
          <cell r="I7057" t="str">
            <v>sim</v>
          </cell>
          <cell r="V7057" t="str">
            <v>not neg pair</v>
          </cell>
          <cell r="Y7057" t="str">
            <v>Past</v>
          </cell>
          <cell r="Z7057">
            <v>3.93</v>
          </cell>
          <cell r="AA7057">
            <v>0</v>
          </cell>
          <cell r="AB7057">
            <v>0</v>
          </cell>
        </row>
        <row r="7058">
          <cell r="G7058" t="str">
            <v>X2799_0</v>
          </cell>
          <cell r="H7058" t="str">
            <v/>
          </cell>
          <cell r="I7058" t="str">
            <v>met</v>
          </cell>
          <cell r="V7058" t="str">
            <v>0</v>
          </cell>
          <cell r="Y7058" t="str">
            <v>Past</v>
          </cell>
          <cell r="Z7058">
            <v>3.36</v>
          </cell>
          <cell r="AA7058">
            <v>0</v>
          </cell>
          <cell r="AB7058">
            <v>0</v>
          </cell>
        </row>
        <row r="7059">
          <cell r="G7059" t="str">
            <v>X2799_1</v>
          </cell>
          <cell r="H7059" t="str">
            <v/>
          </cell>
          <cell r="I7059" t="str">
            <v>met</v>
          </cell>
          <cell r="V7059" t="str">
            <v>0</v>
          </cell>
          <cell r="Y7059" t="str">
            <v>Past</v>
          </cell>
          <cell r="Z7059">
            <v>3.36</v>
          </cell>
          <cell r="AA7059">
            <v>0</v>
          </cell>
          <cell r="AB7059">
            <v>0</v>
          </cell>
        </row>
        <row r="7060">
          <cell r="G7060" t="str">
            <v>X2800_0</v>
          </cell>
          <cell r="H7060" t="str">
            <v/>
          </cell>
          <cell r="I7060" t="str">
            <v>met</v>
          </cell>
          <cell r="V7060" t="str">
            <v>0</v>
          </cell>
          <cell r="Y7060" t="str">
            <v>Pres</v>
          </cell>
          <cell r="Z7060">
            <v>4.83</v>
          </cell>
          <cell r="AA7060">
            <v>0</v>
          </cell>
          <cell r="AB7060">
            <v>0</v>
          </cell>
        </row>
        <row r="7061">
          <cell r="G7061" t="str">
            <v>X2800_1</v>
          </cell>
          <cell r="H7061" t="str">
            <v/>
          </cell>
          <cell r="I7061" t="str">
            <v>met</v>
          </cell>
          <cell r="V7061" t="str">
            <v>0</v>
          </cell>
          <cell r="Y7061" t="str">
            <v>Pres</v>
          </cell>
          <cell r="Z7061">
            <v>4.83</v>
          </cell>
          <cell r="AA7061">
            <v>0</v>
          </cell>
          <cell r="AB7061">
            <v>0</v>
          </cell>
        </row>
        <row r="7062">
          <cell r="G7062" t="str">
            <v>X2801_0</v>
          </cell>
          <cell r="H7062" t="str">
            <v>as-as</v>
          </cell>
          <cell r="I7062" t="str">
            <v>sim</v>
          </cell>
          <cell r="V7062" t="str">
            <v>not</v>
          </cell>
          <cell r="Y7062" t="str">
            <v>Past</v>
          </cell>
          <cell r="Z7062">
            <v>4.78</v>
          </cell>
          <cell r="AA7062">
            <v>0</v>
          </cell>
          <cell r="AB7062">
            <v>0</v>
          </cell>
        </row>
        <row r="7063">
          <cell r="G7063" t="str">
            <v>X2801_1</v>
          </cell>
          <cell r="H7063" t="str">
            <v>as-as</v>
          </cell>
          <cell r="I7063" t="str">
            <v>sim</v>
          </cell>
          <cell r="V7063" t="str">
            <v>not</v>
          </cell>
          <cell r="Y7063" t="str">
            <v>Past</v>
          </cell>
          <cell r="Z7063">
            <v>4.78</v>
          </cell>
          <cell r="AA7063">
            <v>0</v>
          </cell>
          <cell r="AB7063">
            <v>0</v>
          </cell>
        </row>
        <row r="7064">
          <cell r="G7064" t="str">
            <v>X2802_0</v>
          </cell>
          <cell r="H7064" t="str">
            <v>the-of</v>
          </cell>
          <cell r="I7064" t="str">
            <v>sim</v>
          </cell>
          <cell r="V7064" t="str">
            <v>not neg pair</v>
          </cell>
          <cell r="Y7064" t="str">
            <v>Past</v>
          </cell>
          <cell r="Z7064">
            <v>4.8</v>
          </cell>
          <cell r="AA7064">
            <v>0</v>
          </cell>
          <cell r="AB7064">
            <v>0</v>
          </cell>
        </row>
        <row r="7065">
          <cell r="G7065" t="str">
            <v>X2802_1</v>
          </cell>
          <cell r="H7065" t="str">
            <v>the-of</v>
          </cell>
          <cell r="I7065" t="str">
            <v>sim</v>
          </cell>
          <cell r="V7065" t="str">
            <v>not neg pair</v>
          </cell>
          <cell r="Y7065" t="str">
            <v>Past</v>
          </cell>
          <cell r="Z7065">
            <v>4.8</v>
          </cell>
          <cell r="AA7065">
            <v>0</v>
          </cell>
          <cell r="AB7065">
            <v>0</v>
          </cell>
        </row>
        <row r="7066">
          <cell r="G7066" t="str">
            <v>X2803_0</v>
          </cell>
          <cell r="H7066" t="str">
            <v>as-as</v>
          </cell>
          <cell r="I7066" t="str">
            <v>sim</v>
          </cell>
          <cell r="V7066" t="str">
            <v>antonym</v>
          </cell>
          <cell r="Y7066" t="str">
            <v>Past</v>
          </cell>
          <cell r="Z7066">
            <v>4.83</v>
          </cell>
          <cell r="AA7066">
            <v>0</v>
          </cell>
          <cell r="AB7066">
            <v>0</v>
          </cell>
        </row>
        <row r="7067">
          <cell r="G7067" t="str">
            <v>X2803_1</v>
          </cell>
          <cell r="H7067" t="str">
            <v>as-as</v>
          </cell>
          <cell r="I7067" t="str">
            <v>sim</v>
          </cell>
          <cell r="V7067" t="str">
            <v>antonym</v>
          </cell>
          <cell r="Y7067" t="str">
            <v>Past</v>
          </cell>
          <cell r="Z7067">
            <v>4.83</v>
          </cell>
          <cell r="AA7067">
            <v>0</v>
          </cell>
          <cell r="AB7067">
            <v>0</v>
          </cell>
        </row>
        <row r="7068">
          <cell r="G7068" t="str">
            <v>X2804_0</v>
          </cell>
          <cell r="H7068" t="str">
            <v>the-of</v>
          </cell>
          <cell r="I7068" t="str">
            <v>sim</v>
          </cell>
          <cell r="V7068" t="str">
            <v>not neg pair</v>
          </cell>
          <cell r="Y7068" t="str">
            <v>Pres</v>
          </cell>
          <cell r="Z7068">
            <v>3</v>
          </cell>
          <cell r="AA7068">
            <v>0</v>
          </cell>
          <cell r="AB7068">
            <v>0</v>
          </cell>
        </row>
        <row r="7069">
          <cell r="G7069" t="str">
            <v>X2804_1</v>
          </cell>
          <cell r="H7069" t="str">
            <v>the-of</v>
          </cell>
          <cell r="I7069" t="str">
            <v>sim</v>
          </cell>
          <cell r="V7069" t="str">
            <v>not neg pair</v>
          </cell>
          <cell r="Y7069" t="str">
            <v>Pres</v>
          </cell>
          <cell r="Z7069">
            <v>3</v>
          </cell>
          <cell r="AA7069">
            <v>0</v>
          </cell>
          <cell r="AB7069">
            <v>0</v>
          </cell>
        </row>
        <row r="7070">
          <cell r="G7070" t="str">
            <v>X2805_0</v>
          </cell>
          <cell r="H7070" t="str">
            <v>as-as</v>
          </cell>
          <cell r="I7070" t="str">
            <v>sim</v>
          </cell>
          <cell r="V7070" t="str">
            <v>not</v>
          </cell>
          <cell r="Y7070" t="str">
            <v>Pres</v>
          </cell>
          <cell r="Z7070">
            <v>2.81</v>
          </cell>
          <cell r="AA7070">
            <v>0</v>
          </cell>
          <cell r="AB7070">
            <v>0</v>
          </cell>
        </row>
        <row r="7071">
          <cell r="G7071" t="str">
            <v>X2805_1</v>
          </cell>
          <cell r="H7071" t="str">
            <v>as-as</v>
          </cell>
          <cell r="I7071" t="str">
            <v>sim</v>
          </cell>
          <cell r="V7071" t="str">
            <v>not</v>
          </cell>
          <cell r="Y7071" t="str">
            <v>Pres</v>
          </cell>
          <cell r="Z7071">
            <v>2.81</v>
          </cell>
          <cell r="AA7071">
            <v>0</v>
          </cell>
          <cell r="AB7071">
            <v>0</v>
          </cell>
        </row>
        <row r="7072">
          <cell r="G7072" t="str">
            <v>X2806_0</v>
          </cell>
          <cell r="H7072" t="str">
            <v>like</v>
          </cell>
          <cell r="I7072" t="str">
            <v>sim</v>
          </cell>
          <cell r="V7072" t="str">
            <v>not neg pair</v>
          </cell>
          <cell r="Y7072" t="str">
            <v>Pres</v>
          </cell>
          <cell r="Z7072">
            <v>4.79</v>
          </cell>
          <cell r="AA7072">
            <v>0</v>
          </cell>
          <cell r="AB7072">
            <v>0</v>
          </cell>
        </row>
        <row r="7073">
          <cell r="G7073" t="str">
            <v>X2806_1</v>
          </cell>
          <cell r="H7073" t="str">
            <v>like</v>
          </cell>
          <cell r="I7073" t="str">
            <v>sim</v>
          </cell>
          <cell r="V7073" t="str">
            <v>not neg pair</v>
          </cell>
          <cell r="Y7073" t="str">
            <v>Pres</v>
          </cell>
          <cell r="Z7073">
            <v>4.79</v>
          </cell>
          <cell r="AA7073">
            <v>0</v>
          </cell>
          <cell r="AB7073">
            <v>0</v>
          </cell>
        </row>
        <row r="7074">
          <cell r="G7074" t="str">
            <v>X2807_0</v>
          </cell>
          <cell r="H7074" t="str">
            <v>the-of</v>
          </cell>
          <cell r="I7074" t="str">
            <v>sim</v>
          </cell>
          <cell r="V7074" t="str">
            <v>not</v>
          </cell>
          <cell r="Y7074" t="str">
            <v>Pres</v>
          </cell>
          <cell r="Z7074">
            <v>4.8600000000000003</v>
          </cell>
          <cell r="AA7074">
            <v>0</v>
          </cell>
          <cell r="AB7074">
            <v>0</v>
          </cell>
        </row>
        <row r="7075">
          <cell r="G7075" t="str">
            <v>X2807_1</v>
          </cell>
          <cell r="H7075" t="str">
            <v>the-of</v>
          </cell>
          <cell r="I7075" t="str">
            <v>sim</v>
          </cell>
          <cell r="V7075" t="str">
            <v>not</v>
          </cell>
          <cell r="Y7075" t="str">
            <v>Pres</v>
          </cell>
          <cell r="Z7075">
            <v>4.8600000000000003</v>
          </cell>
          <cell r="AA7075">
            <v>0</v>
          </cell>
          <cell r="AB7075">
            <v>0</v>
          </cell>
        </row>
        <row r="7076">
          <cell r="G7076" t="str">
            <v>X2808_0</v>
          </cell>
          <cell r="H7076" t="str">
            <v/>
          </cell>
          <cell r="I7076" t="str">
            <v>met</v>
          </cell>
          <cell r="V7076" t="str">
            <v>0</v>
          </cell>
          <cell r="Y7076" t="str">
            <v>Pres</v>
          </cell>
          <cell r="Z7076">
            <v>2.54</v>
          </cell>
          <cell r="AA7076" t="str">
            <v>L</v>
          </cell>
          <cell r="AB7076">
            <v>0</v>
          </cell>
        </row>
        <row r="7077">
          <cell r="G7077" t="str">
            <v>X2808_1</v>
          </cell>
          <cell r="H7077" t="str">
            <v/>
          </cell>
          <cell r="I7077" t="str">
            <v>met</v>
          </cell>
          <cell r="V7077" t="str">
            <v>0</v>
          </cell>
          <cell r="Y7077" t="str">
            <v>Pres</v>
          </cell>
          <cell r="Z7077">
            <v>2.54</v>
          </cell>
          <cell r="AA7077" t="str">
            <v>L</v>
          </cell>
          <cell r="AB7077">
            <v>0</v>
          </cell>
        </row>
        <row r="7078">
          <cell r="G7078" t="str">
            <v>X2809_0</v>
          </cell>
          <cell r="H7078" t="str">
            <v/>
          </cell>
          <cell r="I7078" t="str">
            <v>met</v>
          </cell>
          <cell r="V7078" t="str">
            <v>0</v>
          </cell>
          <cell r="Y7078" t="str">
            <v>Past</v>
          </cell>
          <cell r="Z7078">
            <v>4.9000000000000004</v>
          </cell>
          <cell r="AA7078">
            <v>0</v>
          </cell>
          <cell r="AB7078">
            <v>0</v>
          </cell>
        </row>
        <row r="7079">
          <cell r="G7079" t="str">
            <v>X2809_1</v>
          </cell>
          <cell r="H7079" t="str">
            <v/>
          </cell>
          <cell r="I7079" t="str">
            <v>met</v>
          </cell>
          <cell r="V7079" t="str">
            <v>0</v>
          </cell>
          <cell r="Y7079" t="str">
            <v>Past</v>
          </cell>
          <cell r="Z7079">
            <v>4.9000000000000004</v>
          </cell>
          <cell r="AA7079">
            <v>0</v>
          </cell>
          <cell r="AB7079">
            <v>0</v>
          </cell>
        </row>
        <row r="7080">
          <cell r="G7080" t="str">
            <v>X2810_0</v>
          </cell>
          <cell r="H7080" t="str">
            <v/>
          </cell>
          <cell r="I7080" t="str">
            <v>met</v>
          </cell>
          <cell r="V7080" t="str">
            <v>0</v>
          </cell>
          <cell r="Y7080" t="str">
            <v>Past</v>
          </cell>
          <cell r="Z7080">
            <v>4.72</v>
          </cell>
          <cell r="AA7080">
            <v>0</v>
          </cell>
          <cell r="AB7080">
            <v>0</v>
          </cell>
        </row>
        <row r="7081">
          <cell r="G7081" t="str">
            <v>X2810_1</v>
          </cell>
          <cell r="H7081" t="str">
            <v>like</v>
          </cell>
          <cell r="I7081" t="str">
            <v>sim</v>
          </cell>
          <cell r="V7081" t="str">
            <v>0</v>
          </cell>
          <cell r="Y7081" t="str">
            <v>Past</v>
          </cell>
          <cell r="Z7081">
            <v>4.72</v>
          </cell>
          <cell r="AA7081">
            <v>0</v>
          </cell>
          <cell r="AB7081">
            <v>0</v>
          </cell>
        </row>
        <row r="7082">
          <cell r="G7082" t="str">
            <v>X2811_0</v>
          </cell>
          <cell r="H7082" t="str">
            <v/>
          </cell>
          <cell r="I7082" t="str">
            <v>met</v>
          </cell>
          <cell r="V7082" t="str">
            <v>0</v>
          </cell>
          <cell r="Y7082" t="str">
            <v>Past</v>
          </cell>
          <cell r="Z7082">
            <v>4.96</v>
          </cell>
          <cell r="AA7082" t="str">
            <v>H</v>
          </cell>
          <cell r="AB7082">
            <v>0</v>
          </cell>
        </row>
        <row r="7083">
          <cell r="G7083" t="str">
            <v>X2811_1</v>
          </cell>
          <cell r="H7083" t="str">
            <v>as</v>
          </cell>
          <cell r="I7083" t="str">
            <v>sim</v>
          </cell>
          <cell r="V7083" t="str">
            <v>0</v>
          </cell>
          <cell r="Y7083" t="str">
            <v>Past</v>
          </cell>
          <cell r="Z7083">
            <v>4.96</v>
          </cell>
          <cell r="AA7083" t="str">
            <v>H</v>
          </cell>
          <cell r="AB7083">
            <v>0</v>
          </cell>
        </row>
        <row r="7084">
          <cell r="G7084" t="str">
            <v>X2812_0</v>
          </cell>
          <cell r="H7084" t="str">
            <v>as-as</v>
          </cell>
          <cell r="I7084" t="str">
            <v>sim</v>
          </cell>
          <cell r="V7084" t="str">
            <v>antonym</v>
          </cell>
          <cell r="Y7084" t="str">
            <v>Past</v>
          </cell>
          <cell r="Z7084">
            <v>4.97</v>
          </cell>
          <cell r="AA7084" t="str">
            <v>H</v>
          </cell>
          <cell r="AB7084">
            <v>0</v>
          </cell>
        </row>
        <row r="7085">
          <cell r="G7085" t="str">
            <v>X2812_1</v>
          </cell>
          <cell r="H7085" t="str">
            <v>as-as</v>
          </cell>
          <cell r="I7085" t="str">
            <v>sim</v>
          </cell>
          <cell r="V7085" t="str">
            <v>antonym</v>
          </cell>
          <cell r="Y7085" t="str">
            <v>Past</v>
          </cell>
          <cell r="Z7085">
            <v>4.97</v>
          </cell>
          <cell r="AA7085" t="str">
            <v>H</v>
          </cell>
          <cell r="AB7085">
            <v>0</v>
          </cell>
        </row>
        <row r="7086">
          <cell r="G7086" t="str">
            <v>X2813_0</v>
          </cell>
          <cell r="H7086" t="str">
            <v>like</v>
          </cell>
          <cell r="I7086" t="str">
            <v>sim</v>
          </cell>
          <cell r="V7086" t="str">
            <v>not neg pair</v>
          </cell>
          <cell r="Y7086" t="str">
            <v>Pres</v>
          </cell>
          <cell r="Z7086">
            <v>4.9000000000000004</v>
          </cell>
          <cell r="AA7086">
            <v>0</v>
          </cell>
          <cell r="AB7086">
            <v>0</v>
          </cell>
        </row>
        <row r="7087">
          <cell r="G7087" t="str">
            <v>X2813_1</v>
          </cell>
          <cell r="H7087" t="str">
            <v>like</v>
          </cell>
          <cell r="I7087" t="str">
            <v>sim</v>
          </cell>
          <cell r="V7087" t="str">
            <v>not neg pair</v>
          </cell>
          <cell r="Y7087" t="str">
            <v>Pres</v>
          </cell>
          <cell r="Z7087">
            <v>4.9000000000000004</v>
          </cell>
          <cell r="AA7087">
            <v>0</v>
          </cell>
          <cell r="AB7087">
            <v>0</v>
          </cell>
        </row>
        <row r="7088">
          <cell r="G7088" t="str">
            <v>X2814_0</v>
          </cell>
          <cell r="H7088" t="str">
            <v>like</v>
          </cell>
          <cell r="I7088" t="str">
            <v>sim</v>
          </cell>
          <cell r="V7088" t="str">
            <v>not neg pair</v>
          </cell>
          <cell r="Y7088" t="str">
            <v>Past</v>
          </cell>
          <cell r="Z7088">
            <v>2.81</v>
          </cell>
          <cell r="AA7088">
            <v>0</v>
          </cell>
          <cell r="AB7088">
            <v>0</v>
          </cell>
        </row>
        <row r="7089">
          <cell r="G7089" t="str">
            <v>X2814_1</v>
          </cell>
          <cell r="H7089" t="str">
            <v>like</v>
          </cell>
          <cell r="I7089" t="str">
            <v>sim</v>
          </cell>
          <cell r="V7089" t="str">
            <v>not neg pair</v>
          </cell>
          <cell r="Y7089" t="str">
            <v>Past</v>
          </cell>
          <cell r="Z7089">
            <v>2.81</v>
          </cell>
          <cell r="AA7089">
            <v>0</v>
          </cell>
          <cell r="AB7089">
            <v>0</v>
          </cell>
        </row>
        <row r="7090">
          <cell r="G7090" t="str">
            <v>X2815_0</v>
          </cell>
          <cell r="H7090" t="str">
            <v>as-as</v>
          </cell>
          <cell r="I7090" t="str">
            <v>sim</v>
          </cell>
          <cell r="V7090" t="str">
            <v>not</v>
          </cell>
          <cell r="Y7090" t="str">
            <v>Pres</v>
          </cell>
          <cell r="Z7090">
            <v>4.1100000000000003</v>
          </cell>
          <cell r="AA7090">
            <v>0</v>
          </cell>
          <cell r="AB7090">
            <v>0</v>
          </cell>
        </row>
        <row r="7091">
          <cell r="G7091" t="str">
            <v>X2815_1</v>
          </cell>
          <cell r="H7091" t="str">
            <v>as-as</v>
          </cell>
          <cell r="I7091" t="str">
            <v>sim</v>
          </cell>
          <cell r="V7091" t="str">
            <v>not</v>
          </cell>
          <cell r="Y7091" t="str">
            <v>Pres</v>
          </cell>
          <cell r="Z7091">
            <v>4.1100000000000003</v>
          </cell>
          <cell r="AA7091">
            <v>0</v>
          </cell>
          <cell r="AB7091">
            <v>0</v>
          </cell>
        </row>
        <row r="7092">
          <cell r="G7092" t="str">
            <v>X2816_0</v>
          </cell>
          <cell r="H7092" t="str">
            <v>as-as</v>
          </cell>
          <cell r="I7092" t="str">
            <v>sim</v>
          </cell>
          <cell r="V7092" t="str">
            <v>antonym</v>
          </cell>
          <cell r="Y7092" t="str">
            <v>Past</v>
          </cell>
          <cell r="Z7092">
            <v>2.81</v>
          </cell>
          <cell r="AA7092">
            <v>0</v>
          </cell>
          <cell r="AB7092">
            <v>0</v>
          </cell>
        </row>
        <row r="7093">
          <cell r="G7093" t="str">
            <v>X2816_1</v>
          </cell>
          <cell r="H7093" t="str">
            <v>as-as</v>
          </cell>
          <cell r="I7093" t="str">
            <v>sim</v>
          </cell>
          <cell r="V7093" t="str">
            <v>antonym</v>
          </cell>
          <cell r="Y7093" t="str">
            <v>Past</v>
          </cell>
          <cell r="Z7093">
            <v>2.81</v>
          </cell>
          <cell r="AA7093">
            <v>0</v>
          </cell>
          <cell r="AB7093">
            <v>0</v>
          </cell>
        </row>
        <row r="7094">
          <cell r="G7094" t="str">
            <v>X2817_0</v>
          </cell>
          <cell r="H7094" t="str">
            <v>as-as</v>
          </cell>
          <cell r="I7094" t="str">
            <v>sim</v>
          </cell>
          <cell r="V7094" t="str">
            <v>not neg pair</v>
          </cell>
          <cell r="Y7094" t="str">
            <v>Past</v>
          </cell>
          <cell r="Z7094">
            <v>2.81</v>
          </cell>
          <cell r="AA7094">
            <v>0</v>
          </cell>
          <cell r="AB7094">
            <v>0</v>
          </cell>
        </row>
        <row r="7095">
          <cell r="G7095" t="str">
            <v>X2817_1</v>
          </cell>
          <cell r="H7095" t="str">
            <v>as-as</v>
          </cell>
          <cell r="I7095" t="str">
            <v>sim</v>
          </cell>
          <cell r="V7095" t="str">
            <v>not neg pair</v>
          </cell>
          <cell r="Y7095" t="str">
            <v>Past</v>
          </cell>
          <cell r="Z7095">
            <v>2.81</v>
          </cell>
          <cell r="AA7095">
            <v>0</v>
          </cell>
          <cell r="AB7095">
            <v>0</v>
          </cell>
        </row>
        <row r="7096">
          <cell r="G7096" t="str">
            <v>X2818_0</v>
          </cell>
          <cell r="H7096" t="str">
            <v>as-as</v>
          </cell>
          <cell r="I7096" t="str">
            <v>sim</v>
          </cell>
          <cell r="V7096" t="str">
            <v>not neg pair</v>
          </cell>
          <cell r="Y7096" t="str">
            <v>Pres</v>
          </cell>
          <cell r="Z7096">
            <v>2.81</v>
          </cell>
          <cell r="AA7096">
            <v>0</v>
          </cell>
          <cell r="AB7096">
            <v>0</v>
          </cell>
        </row>
        <row r="7097">
          <cell r="G7097" t="str">
            <v>X2818_1</v>
          </cell>
          <cell r="H7097" t="str">
            <v>as-as</v>
          </cell>
          <cell r="I7097" t="str">
            <v>sim</v>
          </cell>
          <cell r="V7097" t="str">
            <v>not neg pair</v>
          </cell>
          <cell r="Y7097" t="str">
            <v>Pres</v>
          </cell>
          <cell r="Z7097">
            <v>2.81</v>
          </cell>
          <cell r="AA7097">
            <v>0</v>
          </cell>
          <cell r="AB7097">
            <v>0</v>
          </cell>
        </row>
        <row r="7098">
          <cell r="G7098" t="str">
            <v>X2819_0</v>
          </cell>
          <cell r="H7098" t="str">
            <v>as-as</v>
          </cell>
          <cell r="I7098" t="str">
            <v>sim</v>
          </cell>
          <cell r="V7098" t="str">
            <v>not neg pair</v>
          </cell>
          <cell r="Y7098" t="str">
            <v>Pres</v>
          </cell>
          <cell r="Z7098">
            <v>4.72</v>
          </cell>
          <cell r="AA7098">
            <v>0</v>
          </cell>
          <cell r="AB7098">
            <v>0</v>
          </cell>
        </row>
        <row r="7099">
          <cell r="G7099" t="str">
            <v>X2819_1</v>
          </cell>
          <cell r="H7099" t="str">
            <v>as-as</v>
          </cell>
          <cell r="I7099" t="str">
            <v>sim</v>
          </cell>
          <cell r="V7099" t="str">
            <v>not neg pair</v>
          </cell>
          <cell r="Y7099" t="str">
            <v>Pres</v>
          </cell>
          <cell r="Z7099">
            <v>4.72</v>
          </cell>
          <cell r="AA7099">
            <v>0</v>
          </cell>
          <cell r="AB7099">
            <v>0</v>
          </cell>
        </row>
        <row r="7100">
          <cell r="G7100" t="str">
            <v>X2820_0</v>
          </cell>
          <cell r="H7100" t="str">
            <v/>
          </cell>
          <cell r="I7100" t="str">
            <v>met</v>
          </cell>
          <cell r="V7100" t="str">
            <v>0</v>
          </cell>
          <cell r="Y7100" t="str">
            <v>Pres</v>
          </cell>
          <cell r="Z7100">
            <v>4.72</v>
          </cell>
          <cell r="AA7100">
            <v>0</v>
          </cell>
          <cell r="AB7100">
            <v>0</v>
          </cell>
        </row>
        <row r="7101">
          <cell r="G7101" t="str">
            <v>X2820_1</v>
          </cell>
          <cell r="H7101" t="str">
            <v/>
          </cell>
          <cell r="I7101" t="str">
            <v>met</v>
          </cell>
          <cell r="V7101" t="str">
            <v>0</v>
          </cell>
          <cell r="Y7101" t="str">
            <v>Pres</v>
          </cell>
          <cell r="Z7101">
            <v>4.72</v>
          </cell>
          <cell r="AA7101">
            <v>0</v>
          </cell>
          <cell r="AB7101">
            <v>0</v>
          </cell>
        </row>
        <row r="7102">
          <cell r="G7102" t="str">
            <v>X2821_0</v>
          </cell>
          <cell r="H7102" t="str">
            <v/>
          </cell>
          <cell r="I7102" t="str">
            <v>met</v>
          </cell>
          <cell r="V7102" t="str">
            <v>0</v>
          </cell>
          <cell r="Y7102" t="str">
            <v>Pres</v>
          </cell>
          <cell r="Z7102">
            <v>2.21</v>
          </cell>
          <cell r="AA7102" t="str">
            <v>L</v>
          </cell>
          <cell r="AB7102">
            <v>0</v>
          </cell>
        </row>
        <row r="7103">
          <cell r="G7103" t="str">
            <v>X2821_1</v>
          </cell>
          <cell r="H7103" t="str">
            <v/>
          </cell>
          <cell r="I7103" t="str">
            <v>met</v>
          </cell>
          <cell r="V7103" t="str">
            <v>0</v>
          </cell>
          <cell r="Y7103" t="str">
            <v>Pres</v>
          </cell>
          <cell r="Z7103">
            <v>2.2999999999999998</v>
          </cell>
          <cell r="AA7103" t="str">
            <v>L</v>
          </cell>
          <cell r="AB7103">
            <v>0</v>
          </cell>
        </row>
        <row r="7104">
          <cell r="G7104" t="str">
            <v>X2822_0</v>
          </cell>
          <cell r="H7104" t="str">
            <v/>
          </cell>
          <cell r="I7104" t="str">
            <v>met</v>
          </cell>
          <cell r="V7104" t="str">
            <v>0</v>
          </cell>
          <cell r="Y7104" t="str">
            <v>Pres</v>
          </cell>
          <cell r="Z7104">
            <v>4.58</v>
          </cell>
          <cell r="AA7104">
            <v>0</v>
          </cell>
          <cell r="AB7104">
            <v>0</v>
          </cell>
        </row>
        <row r="7105">
          <cell r="G7105" t="str">
            <v>X2822_1</v>
          </cell>
          <cell r="H7105" t="str">
            <v/>
          </cell>
          <cell r="I7105" t="str">
            <v>met</v>
          </cell>
          <cell r="V7105" t="str">
            <v>0</v>
          </cell>
          <cell r="Y7105" t="str">
            <v>Pres</v>
          </cell>
          <cell r="Z7105">
            <v>4.58</v>
          </cell>
          <cell r="AA7105">
            <v>0</v>
          </cell>
          <cell r="AB7105">
            <v>0</v>
          </cell>
        </row>
        <row r="7106">
          <cell r="G7106" t="str">
            <v>X2823_0</v>
          </cell>
          <cell r="H7106" t="str">
            <v/>
          </cell>
          <cell r="I7106" t="str">
            <v>met</v>
          </cell>
          <cell r="V7106" t="str">
            <v>0</v>
          </cell>
          <cell r="Y7106" t="str">
            <v>Pres</v>
          </cell>
          <cell r="Z7106">
            <v>4.0999999999999996</v>
          </cell>
          <cell r="AA7106">
            <v>0</v>
          </cell>
          <cell r="AB7106">
            <v>0</v>
          </cell>
        </row>
        <row r="7107">
          <cell r="G7107" t="str">
            <v>X2823_1</v>
          </cell>
          <cell r="H7107" t="str">
            <v/>
          </cell>
          <cell r="I7107" t="str">
            <v>met</v>
          </cell>
          <cell r="V7107" t="str">
            <v>0</v>
          </cell>
          <cell r="Y7107" t="str">
            <v>Pres</v>
          </cell>
          <cell r="Z7107">
            <v>4.0999999999999996</v>
          </cell>
          <cell r="AA7107">
            <v>0</v>
          </cell>
          <cell r="AB7107">
            <v>0</v>
          </cell>
        </row>
        <row r="7108">
          <cell r="G7108" t="str">
            <v>X2824_0</v>
          </cell>
          <cell r="H7108" t="str">
            <v>like</v>
          </cell>
          <cell r="I7108" t="str">
            <v>sim</v>
          </cell>
          <cell r="V7108" t="str">
            <v>not neg pair</v>
          </cell>
          <cell r="Y7108" t="str">
            <v>Pres</v>
          </cell>
          <cell r="Z7108">
            <v>0</v>
          </cell>
          <cell r="AA7108">
            <v>0</v>
          </cell>
          <cell r="AB7108">
            <v>0</v>
          </cell>
        </row>
        <row r="7109">
          <cell r="G7109" t="str">
            <v>X2824_1</v>
          </cell>
          <cell r="H7109" t="str">
            <v>like</v>
          </cell>
          <cell r="I7109" t="str">
            <v>sim</v>
          </cell>
          <cell r="V7109" t="str">
            <v>not neg pair</v>
          </cell>
          <cell r="Y7109" t="str">
            <v>Pres</v>
          </cell>
          <cell r="Z7109">
            <v>0</v>
          </cell>
          <cell r="AA7109">
            <v>0</v>
          </cell>
          <cell r="AB7109">
            <v>0</v>
          </cell>
        </row>
        <row r="7110">
          <cell r="G7110" t="str">
            <v>X2825_0</v>
          </cell>
          <cell r="H7110" t="str">
            <v>as-as</v>
          </cell>
          <cell r="I7110" t="str">
            <v>sim</v>
          </cell>
          <cell r="V7110" t="str">
            <v>antonym</v>
          </cell>
          <cell r="Y7110" t="str">
            <v>Pres</v>
          </cell>
          <cell r="Z7110">
            <v>2.14</v>
          </cell>
          <cell r="AA7110" t="str">
            <v>L</v>
          </cell>
          <cell r="AB7110">
            <v>0</v>
          </cell>
        </row>
        <row r="7111">
          <cell r="G7111" t="str">
            <v>X2825_1</v>
          </cell>
          <cell r="H7111" t="str">
            <v>as-as</v>
          </cell>
          <cell r="I7111" t="str">
            <v>sim</v>
          </cell>
          <cell r="V7111" t="str">
            <v>antonym</v>
          </cell>
          <cell r="Y7111" t="str">
            <v>Pres</v>
          </cell>
          <cell r="Z7111">
            <v>2.14</v>
          </cell>
          <cell r="AA7111" t="str">
            <v>L</v>
          </cell>
          <cell r="AB7111">
            <v>0</v>
          </cell>
        </row>
        <row r="7112">
          <cell r="G7112" t="str">
            <v>X2826_0</v>
          </cell>
          <cell r="H7112" t="str">
            <v>as-as</v>
          </cell>
          <cell r="I7112" t="str">
            <v>sim</v>
          </cell>
          <cell r="V7112" t="str">
            <v>antonym</v>
          </cell>
          <cell r="Y7112" t="str">
            <v>Pres</v>
          </cell>
          <cell r="Z7112">
            <v>4.1100000000000003</v>
          </cell>
          <cell r="AA7112">
            <v>0</v>
          </cell>
          <cell r="AB7112">
            <v>0</v>
          </cell>
        </row>
        <row r="7113">
          <cell r="G7113" t="str">
            <v>X2826_1</v>
          </cell>
          <cell r="H7113" t="str">
            <v>as-as</v>
          </cell>
          <cell r="I7113" t="str">
            <v>sim</v>
          </cell>
          <cell r="V7113" t="str">
            <v>antonym</v>
          </cell>
          <cell r="Y7113" t="str">
            <v>Pres</v>
          </cell>
          <cell r="Z7113">
            <v>4.1100000000000003</v>
          </cell>
          <cell r="AA7113">
            <v>0</v>
          </cell>
          <cell r="AB7113">
            <v>0</v>
          </cell>
        </row>
        <row r="7114">
          <cell r="G7114" t="str">
            <v>X2827_0</v>
          </cell>
          <cell r="H7114" t="str">
            <v>as-as</v>
          </cell>
          <cell r="I7114" t="str">
            <v>sim</v>
          </cell>
          <cell r="V7114" t="str">
            <v>antonym</v>
          </cell>
          <cell r="Y7114" t="str">
            <v>Past</v>
          </cell>
          <cell r="Z7114">
            <v>4.1100000000000003</v>
          </cell>
          <cell r="AA7114">
            <v>0</v>
          </cell>
          <cell r="AB7114">
            <v>0</v>
          </cell>
        </row>
        <row r="7115">
          <cell r="G7115" t="str">
            <v>X2827_1</v>
          </cell>
          <cell r="H7115" t="str">
            <v>as-as</v>
          </cell>
          <cell r="I7115" t="str">
            <v>sim</v>
          </cell>
          <cell r="V7115" t="str">
            <v>antonym</v>
          </cell>
          <cell r="Y7115" t="str">
            <v>Pres</v>
          </cell>
          <cell r="Z7115">
            <v>4.1100000000000003</v>
          </cell>
          <cell r="AA7115">
            <v>0</v>
          </cell>
          <cell r="AB7115">
            <v>0</v>
          </cell>
        </row>
        <row r="7116">
          <cell r="G7116" t="str">
            <v>X2828_0</v>
          </cell>
          <cell r="H7116" t="str">
            <v/>
          </cell>
          <cell r="I7116" t="str">
            <v>met</v>
          </cell>
          <cell r="V7116" t="str">
            <v>0</v>
          </cell>
          <cell r="Y7116" t="str">
            <v>Pres</v>
          </cell>
          <cell r="Z7116">
            <v>3.83</v>
          </cell>
          <cell r="AA7116">
            <v>0</v>
          </cell>
          <cell r="AB7116">
            <v>0</v>
          </cell>
        </row>
        <row r="7117">
          <cell r="G7117" t="str">
            <v>X2828_1</v>
          </cell>
          <cell r="H7117" t="str">
            <v/>
          </cell>
          <cell r="I7117" t="str">
            <v>met</v>
          </cell>
          <cell r="V7117" t="str">
            <v>0</v>
          </cell>
          <cell r="Y7117" t="str">
            <v>Pres</v>
          </cell>
          <cell r="Z7117">
            <v>3.83</v>
          </cell>
          <cell r="AA7117">
            <v>0</v>
          </cell>
          <cell r="AB7117">
            <v>0</v>
          </cell>
        </row>
        <row r="7118">
          <cell r="G7118" t="str">
            <v>X2829_0</v>
          </cell>
          <cell r="H7118" t="str">
            <v/>
          </cell>
          <cell r="I7118" t="str">
            <v>met</v>
          </cell>
          <cell r="V7118" t="str">
            <v>0</v>
          </cell>
          <cell r="Y7118" t="str">
            <v>Pres</v>
          </cell>
          <cell r="Z7118">
            <v>4.92</v>
          </cell>
          <cell r="AA7118" t="str">
            <v>H</v>
          </cell>
          <cell r="AB7118">
            <v>0</v>
          </cell>
        </row>
        <row r="7119">
          <cell r="G7119" t="str">
            <v>X2829_1</v>
          </cell>
          <cell r="H7119" t="str">
            <v/>
          </cell>
          <cell r="I7119" t="str">
            <v>met</v>
          </cell>
          <cell r="V7119" t="str">
            <v>0</v>
          </cell>
          <cell r="Y7119" t="str">
            <v>Pres</v>
          </cell>
          <cell r="Z7119">
            <v>4.92</v>
          </cell>
          <cell r="AA7119" t="str">
            <v>H</v>
          </cell>
          <cell r="AB7119">
            <v>0</v>
          </cell>
        </row>
        <row r="7120">
          <cell r="G7120" t="str">
            <v>X2830_0</v>
          </cell>
          <cell r="H7120" t="str">
            <v/>
          </cell>
          <cell r="I7120" t="str">
            <v>met</v>
          </cell>
          <cell r="V7120" t="str">
            <v>0</v>
          </cell>
          <cell r="Y7120" t="str">
            <v>Pres</v>
          </cell>
          <cell r="Z7120">
            <v>4.29</v>
          </cell>
          <cell r="AA7120">
            <v>0</v>
          </cell>
          <cell r="AB7120">
            <v>0</v>
          </cell>
        </row>
        <row r="7121">
          <cell r="G7121" t="str">
            <v>X2830_1</v>
          </cell>
          <cell r="H7121" t="str">
            <v/>
          </cell>
          <cell r="I7121" t="str">
            <v>met</v>
          </cell>
          <cell r="V7121" t="str">
            <v>0</v>
          </cell>
          <cell r="Y7121" t="str">
            <v>Pres</v>
          </cell>
          <cell r="Z7121">
            <v>4.29</v>
          </cell>
          <cell r="AA7121">
            <v>0</v>
          </cell>
          <cell r="AB7121">
            <v>0</v>
          </cell>
        </row>
        <row r="7122">
          <cell r="G7122" t="str">
            <v>X2831_0</v>
          </cell>
          <cell r="H7122" t="str">
            <v>as-as</v>
          </cell>
          <cell r="I7122" t="str">
            <v>sim</v>
          </cell>
          <cell r="V7122" t="str">
            <v>antonym</v>
          </cell>
          <cell r="Y7122" t="str">
            <v>Past</v>
          </cell>
          <cell r="Z7122">
            <v>4.96</v>
          </cell>
          <cell r="AA7122" t="str">
            <v>H</v>
          </cell>
          <cell r="AB7122">
            <v>0</v>
          </cell>
        </row>
        <row r="7123">
          <cell r="G7123" t="str">
            <v>X2831_1</v>
          </cell>
          <cell r="H7123" t="str">
            <v>as-as</v>
          </cell>
          <cell r="I7123" t="str">
            <v>sim</v>
          </cell>
          <cell r="V7123" t="str">
            <v>antonym</v>
          </cell>
          <cell r="Y7123" t="str">
            <v>Past</v>
          </cell>
          <cell r="Z7123">
            <v>4.96</v>
          </cell>
          <cell r="AA7123" t="str">
            <v>H</v>
          </cell>
          <cell r="AB7123">
            <v>0</v>
          </cell>
        </row>
        <row r="7124">
          <cell r="G7124" t="str">
            <v>X2832_0</v>
          </cell>
          <cell r="H7124" t="str">
            <v>like</v>
          </cell>
          <cell r="I7124" t="str">
            <v>sim</v>
          </cell>
          <cell r="V7124" t="str">
            <v>not</v>
          </cell>
          <cell r="Y7124" t="str">
            <v>Past</v>
          </cell>
          <cell r="Z7124">
            <v>4.46</v>
          </cell>
          <cell r="AA7124">
            <v>0</v>
          </cell>
          <cell r="AB7124">
            <v>0</v>
          </cell>
        </row>
        <row r="7125">
          <cell r="G7125" t="str">
            <v>X2832_1</v>
          </cell>
          <cell r="H7125" t="str">
            <v>like</v>
          </cell>
          <cell r="I7125" t="str">
            <v>sim</v>
          </cell>
          <cell r="V7125" t="str">
            <v>not</v>
          </cell>
          <cell r="Y7125" t="str">
            <v>Past</v>
          </cell>
          <cell r="Z7125">
            <v>4.46</v>
          </cell>
          <cell r="AA7125">
            <v>0</v>
          </cell>
          <cell r="AB7125">
            <v>0</v>
          </cell>
        </row>
        <row r="7126">
          <cell r="G7126" t="str">
            <v>X2833_0</v>
          </cell>
          <cell r="H7126" t="str">
            <v>like</v>
          </cell>
          <cell r="I7126" t="str">
            <v>sim</v>
          </cell>
          <cell r="V7126" t="str">
            <v>not neg pair</v>
          </cell>
          <cell r="Y7126" t="str">
            <v>Past</v>
          </cell>
          <cell r="Z7126">
            <v>4.66</v>
          </cell>
          <cell r="AA7126">
            <v>0</v>
          </cell>
          <cell r="AB7126">
            <v>0</v>
          </cell>
        </row>
        <row r="7127">
          <cell r="G7127" t="str">
            <v>X2833_1</v>
          </cell>
          <cell r="H7127" t="str">
            <v>like</v>
          </cell>
          <cell r="I7127" t="str">
            <v>sim</v>
          </cell>
          <cell r="V7127" t="str">
            <v>not neg pair</v>
          </cell>
          <cell r="Y7127" t="str">
            <v>Past</v>
          </cell>
          <cell r="Z7127">
            <v>4.66</v>
          </cell>
          <cell r="AA7127">
            <v>0</v>
          </cell>
          <cell r="AB7127">
            <v>0</v>
          </cell>
        </row>
        <row r="7128">
          <cell r="G7128" t="str">
            <v>X2834_0</v>
          </cell>
          <cell r="H7128" t="str">
            <v>as-as</v>
          </cell>
          <cell r="I7128" t="str">
            <v>sim</v>
          </cell>
          <cell r="V7128" t="str">
            <v>not neg pair</v>
          </cell>
          <cell r="Y7128" t="str">
            <v>Past</v>
          </cell>
          <cell r="Z7128">
            <v>2.93</v>
          </cell>
          <cell r="AA7128">
            <v>0</v>
          </cell>
          <cell r="AB7128">
            <v>0</v>
          </cell>
        </row>
        <row r="7129">
          <cell r="G7129" t="str">
            <v>X2834_1</v>
          </cell>
          <cell r="H7129" t="str">
            <v>as-as</v>
          </cell>
          <cell r="I7129" t="str">
            <v>sim</v>
          </cell>
          <cell r="V7129" t="str">
            <v>not neg pair</v>
          </cell>
          <cell r="Y7129" t="str">
            <v>Past</v>
          </cell>
          <cell r="Z7129">
            <v>2.93</v>
          </cell>
          <cell r="AA7129">
            <v>0</v>
          </cell>
          <cell r="AB7129">
            <v>0</v>
          </cell>
        </row>
        <row r="7130">
          <cell r="G7130" t="str">
            <v>X2835_0</v>
          </cell>
          <cell r="H7130" t="str">
            <v>as-as</v>
          </cell>
          <cell r="I7130" t="str">
            <v>sim</v>
          </cell>
          <cell r="V7130" t="str">
            <v>not neg pair</v>
          </cell>
          <cell r="Y7130" t="str">
            <v>Past</v>
          </cell>
          <cell r="Z7130">
            <v>2.81</v>
          </cell>
          <cell r="AA7130">
            <v>0</v>
          </cell>
          <cell r="AB7130">
            <v>0</v>
          </cell>
        </row>
        <row r="7131">
          <cell r="G7131" t="str">
            <v>X2835_1</v>
          </cell>
          <cell r="H7131" t="str">
            <v>as-as</v>
          </cell>
          <cell r="I7131" t="str">
            <v>sim</v>
          </cell>
          <cell r="V7131" t="str">
            <v>not neg pair</v>
          </cell>
          <cell r="Y7131" t="str">
            <v>Past</v>
          </cell>
          <cell r="Z7131">
            <v>2.81</v>
          </cell>
          <cell r="AA7131">
            <v>0</v>
          </cell>
          <cell r="AB7131">
            <v>0</v>
          </cell>
        </row>
        <row r="7132">
          <cell r="G7132" t="str">
            <v>X2836_0</v>
          </cell>
          <cell r="H7132" t="str">
            <v>as-as</v>
          </cell>
          <cell r="I7132" t="str">
            <v>sim</v>
          </cell>
          <cell r="V7132" t="str">
            <v>not neg pair</v>
          </cell>
          <cell r="Y7132" t="str">
            <v>Past</v>
          </cell>
          <cell r="Z7132">
            <v>2.93</v>
          </cell>
          <cell r="AA7132">
            <v>0</v>
          </cell>
          <cell r="AB7132">
            <v>0</v>
          </cell>
        </row>
        <row r="7133">
          <cell r="G7133" t="str">
            <v>X2836_1</v>
          </cell>
          <cell r="H7133" t="str">
            <v>as-as</v>
          </cell>
          <cell r="I7133" t="str">
            <v>sim</v>
          </cell>
          <cell r="V7133" t="str">
            <v>not neg pair</v>
          </cell>
          <cell r="Y7133" t="str">
            <v>Past</v>
          </cell>
          <cell r="Z7133">
            <v>2.93</v>
          </cell>
          <cell r="AA7133">
            <v>0</v>
          </cell>
          <cell r="AB7133">
            <v>0</v>
          </cell>
        </row>
        <row r="7134">
          <cell r="G7134" t="str">
            <v>X2837_0</v>
          </cell>
          <cell r="H7134" t="str">
            <v/>
          </cell>
          <cell r="I7134" t="str">
            <v>met</v>
          </cell>
          <cell r="V7134" t="str">
            <v>0</v>
          </cell>
          <cell r="Y7134" t="str">
            <v>Pres</v>
          </cell>
          <cell r="Z7134">
            <v>3.36</v>
          </cell>
          <cell r="AA7134">
            <v>0</v>
          </cell>
          <cell r="AB7134">
            <v>0</v>
          </cell>
        </row>
        <row r="7135">
          <cell r="G7135" t="str">
            <v>X2837_1</v>
          </cell>
          <cell r="H7135" t="str">
            <v/>
          </cell>
          <cell r="I7135" t="str">
            <v>met</v>
          </cell>
          <cell r="V7135" t="str">
            <v>0</v>
          </cell>
          <cell r="Y7135" t="str">
            <v>Pres</v>
          </cell>
          <cell r="Z7135">
            <v>3.36</v>
          </cell>
          <cell r="AA7135">
            <v>0</v>
          </cell>
          <cell r="AB7135">
            <v>0</v>
          </cell>
        </row>
        <row r="7136">
          <cell r="G7136" t="str">
            <v>X2838_0</v>
          </cell>
          <cell r="H7136" t="str">
            <v/>
          </cell>
          <cell r="I7136" t="str">
            <v>met</v>
          </cell>
          <cell r="V7136" t="str">
            <v>0</v>
          </cell>
          <cell r="Y7136" t="str">
            <v>Pres</v>
          </cell>
          <cell r="Z7136">
            <v>4.79</v>
          </cell>
          <cell r="AA7136">
            <v>0</v>
          </cell>
          <cell r="AB7136">
            <v>0</v>
          </cell>
        </row>
        <row r="7137">
          <cell r="G7137" t="str">
            <v>X2838_1</v>
          </cell>
          <cell r="H7137" t="str">
            <v/>
          </cell>
          <cell r="I7137" t="str">
            <v>met</v>
          </cell>
          <cell r="V7137" t="str">
            <v>0</v>
          </cell>
          <cell r="Y7137" t="str">
            <v>Pres</v>
          </cell>
          <cell r="Z7137">
            <v>4.79</v>
          </cell>
          <cell r="AA7137">
            <v>0</v>
          </cell>
          <cell r="AB7137">
            <v>0</v>
          </cell>
        </row>
        <row r="7138">
          <cell r="G7138" t="str">
            <v>X2839_0</v>
          </cell>
          <cell r="H7138" t="str">
            <v>the-of</v>
          </cell>
          <cell r="I7138" t="str">
            <v>sim</v>
          </cell>
          <cell r="V7138" t="str">
            <v>not neg pair</v>
          </cell>
          <cell r="Y7138" t="str">
            <v>Pres</v>
          </cell>
          <cell r="Z7138">
            <v>3.92</v>
          </cell>
          <cell r="AA7138">
            <v>0</v>
          </cell>
          <cell r="AB7138">
            <v>0</v>
          </cell>
        </row>
        <row r="7139">
          <cell r="G7139" t="str">
            <v>X2839_1</v>
          </cell>
          <cell r="H7139" t="str">
            <v>the-of</v>
          </cell>
          <cell r="I7139" t="str">
            <v>sim</v>
          </cell>
          <cell r="V7139" t="str">
            <v>not neg pair</v>
          </cell>
          <cell r="Y7139" t="str">
            <v>Pres</v>
          </cell>
          <cell r="Z7139">
            <v>3.92</v>
          </cell>
          <cell r="AA7139">
            <v>0</v>
          </cell>
          <cell r="AB7139">
            <v>0</v>
          </cell>
        </row>
        <row r="7140">
          <cell r="G7140" t="str">
            <v>X2840_0</v>
          </cell>
          <cell r="H7140" t="str">
            <v>the-of</v>
          </cell>
          <cell r="I7140" t="str">
            <v>sim</v>
          </cell>
          <cell r="V7140" t="str">
            <v>not neg pair</v>
          </cell>
          <cell r="Y7140" t="str">
            <v>Pres</v>
          </cell>
          <cell r="Z7140">
            <v>4.2</v>
          </cell>
          <cell r="AA7140">
            <v>0</v>
          </cell>
          <cell r="AB7140">
            <v>0</v>
          </cell>
        </row>
        <row r="7141">
          <cell r="G7141" t="str">
            <v>X2840_1</v>
          </cell>
          <cell r="H7141" t="str">
            <v>the-of</v>
          </cell>
          <cell r="I7141" t="str">
            <v>sim</v>
          </cell>
          <cell r="V7141" t="str">
            <v>not neg pair</v>
          </cell>
          <cell r="Y7141" t="str">
            <v>Pres</v>
          </cell>
          <cell r="Z7141">
            <v>4.2</v>
          </cell>
          <cell r="AA7141">
            <v>0</v>
          </cell>
          <cell r="AB7141">
            <v>0</v>
          </cell>
        </row>
        <row r="7142">
          <cell r="G7142" t="str">
            <v>X2841_0</v>
          </cell>
          <cell r="H7142" t="str">
            <v>the-of</v>
          </cell>
          <cell r="I7142" t="str">
            <v>sim</v>
          </cell>
          <cell r="V7142" t="str">
            <v>not</v>
          </cell>
          <cell r="Y7142" t="str">
            <v>Pres</v>
          </cell>
          <cell r="Z7142">
            <v>4.57</v>
          </cell>
          <cell r="AA7142">
            <v>0</v>
          </cell>
          <cell r="AB7142">
            <v>0</v>
          </cell>
        </row>
        <row r="7143">
          <cell r="G7143" t="str">
            <v>X2841_1</v>
          </cell>
          <cell r="H7143" t="str">
            <v>the-of</v>
          </cell>
          <cell r="I7143" t="str">
            <v>sim</v>
          </cell>
          <cell r="V7143" t="str">
            <v>not</v>
          </cell>
          <cell r="Y7143" t="str">
            <v>Pres</v>
          </cell>
          <cell r="Z7143">
            <v>4.57</v>
          </cell>
          <cell r="AA7143">
            <v>0</v>
          </cell>
          <cell r="AB7143">
            <v>0</v>
          </cell>
        </row>
        <row r="7144">
          <cell r="G7144" t="str">
            <v>X2842_0</v>
          </cell>
          <cell r="H7144" t="str">
            <v>like</v>
          </cell>
          <cell r="I7144" t="str">
            <v>sim</v>
          </cell>
          <cell r="V7144" t="str">
            <v>not neg pair</v>
          </cell>
          <cell r="Y7144" t="str">
            <v>Pres</v>
          </cell>
          <cell r="Z7144">
            <v>4.97</v>
          </cell>
          <cell r="AA7144" t="str">
            <v>H</v>
          </cell>
          <cell r="AB7144">
            <v>0</v>
          </cell>
        </row>
        <row r="7145">
          <cell r="G7145" t="str">
            <v>X2842_1</v>
          </cell>
          <cell r="H7145" t="str">
            <v>like</v>
          </cell>
          <cell r="I7145" t="str">
            <v>sim</v>
          </cell>
          <cell r="V7145" t="str">
            <v>not neg pair</v>
          </cell>
          <cell r="Y7145" t="str">
            <v>Pres</v>
          </cell>
          <cell r="Z7145">
            <v>4.97</v>
          </cell>
          <cell r="AA7145" t="str">
            <v>H</v>
          </cell>
          <cell r="AB7145">
            <v>0</v>
          </cell>
        </row>
        <row r="7146">
          <cell r="G7146" t="str">
            <v>X2843_0</v>
          </cell>
          <cell r="H7146" t="str">
            <v>as-as</v>
          </cell>
          <cell r="I7146" t="str">
            <v>sim</v>
          </cell>
          <cell r="V7146" t="str">
            <v>not</v>
          </cell>
          <cell r="Y7146" t="str">
            <v>Pres</v>
          </cell>
          <cell r="Z7146">
            <v>3.93</v>
          </cell>
          <cell r="AA7146">
            <v>0</v>
          </cell>
          <cell r="AB7146">
            <v>0</v>
          </cell>
        </row>
        <row r="7147">
          <cell r="G7147" t="str">
            <v>X2843_1</v>
          </cell>
          <cell r="H7147" t="str">
            <v>as-as</v>
          </cell>
          <cell r="I7147" t="str">
            <v>sim</v>
          </cell>
          <cell r="V7147" t="str">
            <v>not</v>
          </cell>
          <cell r="Y7147" t="str">
            <v>Pres</v>
          </cell>
          <cell r="Z7147">
            <v>3.93</v>
          </cell>
          <cell r="AA7147">
            <v>0</v>
          </cell>
          <cell r="AB7147">
            <v>0</v>
          </cell>
        </row>
        <row r="7148">
          <cell r="G7148" t="str">
            <v>X2844_0</v>
          </cell>
          <cell r="H7148" t="str">
            <v>as-as</v>
          </cell>
          <cell r="I7148" t="str">
            <v>sim</v>
          </cell>
          <cell r="V7148" t="str">
            <v>not</v>
          </cell>
          <cell r="Y7148" t="str">
            <v>Pres</v>
          </cell>
          <cell r="Z7148">
            <v>4.93</v>
          </cell>
          <cell r="AA7148" t="str">
            <v>H</v>
          </cell>
          <cell r="AB7148">
            <v>0</v>
          </cell>
        </row>
        <row r="7149">
          <cell r="G7149" t="str">
            <v>X2844_1</v>
          </cell>
          <cell r="H7149" t="str">
            <v>as-as</v>
          </cell>
          <cell r="I7149" t="str">
            <v>sim</v>
          </cell>
          <cell r="V7149" t="str">
            <v>not</v>
          </cell>
          <cell r="Y7149" t="str">
            <v>Pres</v>
          </cell>
          <cell r="Z7149">
            <v>4.93</v>
          </cell>
          <cell r="AA7149" t="str">
            <v>H</v>
          </cell>
          <cell r="AB7149">
            <v>0</v>
          </cell>
        </row>
        <row r="7150">
          <cell r="G7150" t="str">
            <v>X2845_0</v>
          </cell>
          <cell r="H7150" t="str">
            <v>like</v>
          </cell>
          <cell r="I7150" t="str">
            <v>sim</v>
          </cell>
          <cell r="V7150" t="str">
            <v>not neg pair</v>
          </cell>
          <cell r="Y7150" t="str">
            <v>Pres</v>
          </cell>
          <cell r="Z7150">
            <v>4.97</v>
          </cell>
          <cell r="AA7150" t="str">
            <v>H</v>
          </cell>
          <cell r="AB7150">
            <v>0</v>
          </cell>
        </row>
        <row r="7151">
          <cell r="G7151" t="str">
            <v>X2845_1</v>
          </cell>
          <cell r="H7151" t="str">
            <v>like</v>
          </cell>
          <cell r="I7151" t="str">
            <v>sim</v>
          </cell>
          <cell r="V7151" t="str">
            <v>not neg pair</v>
          </cell>
          <cell r="Y7151" t="str">
            <v>Pres</v>
          </cell>
          <cell r="Z7151">
            <v>4.97</v>
          </cell>
          <cell r="AA7151" t="str">
            <v>H</v>
          </cell>
          <cell r="AB7151">
            <v>0</v>
          </cell>
        </row>
        <row r="7152">
          <cell r="G7152" t="str">
            <v>X2846_0</v>
          </cell>
          <cell r="H7152" t="str">
            <v>as</v>
          </cell>
          <cell r="I7152" t="str">
            <v>sim</v>
          </cell>
          <cell r="V7152" t="str">
            <v>not neg pair</v>
          </cell>
          <cell r="Y7152" t="str">
            <v>Pres</v>
          </cell>
          <cell r="Z7152">
            <v>4.72</v>
          </cell>
          <cell r="AA7152">
            <v>0</v>
          </cell>
          <cell r="AB7152">
            <v>0</v>
          </cell>
        </row>
        <row r="7153">
          <cell r="G7153" t="str">
            <v>X2846_1</v>
          </cell>
          <cell r="H7153" t="str">
            <v>as</v>
          </cell>
          <cell r="I7153" t="str">
            <v>sim</v>
          </cell>
          <cell r="V7153" t="str">
            <v>not neg pair</v>
          </cell>
          <cell r="Y7153" t="str">
            <v>Pres</v>
          </cell>
          <cell r="Z7153">
            <v>4.72</v>
          </cell>
          <cell r="AA7153">
            <v>0</v>
          </cell>
          <cell r="AB7153">
            <v>0</v>
          </cell>
        </row>
        <row r="7154">
          <cell r="G7154" t="str">
            <v>X2847_0</v>
          </cell>
          <cell r="H7154" t="str">
            <v>like</v>
          </cell>
          <cell r="I7154" t="str">
            <v>sim</v>
          </cell>
          <cell r="V7154" t="str">
            <v>not</v>
          </cell>
          <cell r="Y7154" t="str">
            <v>Past</v>
          </cell>
          <cell r="Z7154">
            <v>3.36</v>
          </cell>
          <cell r="AA7154">
            <v>0</v>
          </cell>
          <cell r="AB7154">
            <v>0</v>
          </cell>
        </row>
        <row r="7155">
          <cell r="G7155" t="str">
            <v>X2847_1</v>
          </cell>
          <cell r="H7155" t="str">
            <v>like</v>
          </cell>
          <cell r="I7155" t="str">
            <v>sim</v>
          </cell>
          <cell r="V7155" t="str">
            <v>not</v>
          </cell>
          <cell r="Y7155" t="str">
            <v>Past</v>
          </cell>
          <cell r="Z7155">
            <v>3.36</v>
          </cell>
          <cell r="AA7155">
            <v>0</v>
          </cell>
          <cell r="AB7155">
            <v>0</v>
          </cell>
        </row>
        <row r="7156">
          <cell r="G7156" t="str">
            <v>X2848_0</v>
          </cell>
          <cell r="H7156" t="str">
            <v>like</v>
          </cell>
          <cell r="I7156" t="str">
            <v>sim</v>
          </cell>
          <cell r="V7156" t="str">
            <v>not neg pair</v>
          </cell>
          <cell r="Y7156" t="str">
            <v>Past</v>
          </cell>
          <cell r="Z7156">
            <v>3.36</v>
          </cell>
          <cell r="AA7156">
            <v>0</v>
          </cell>
          <cell r="AB7156">
            <v>0</v>
          </cell>
        </row>
        <row r="7157">
          <cell r="G7157" t="str">
            <v>X2848_1</v>
          </cell>
          <cell r="H7157" t="str">
            <v>like</v>
          </cell>
          <cell r="I7157" t="str">
            <v>sim</v>
          </cell>
          <cell r="V7157" t="str">
            <v>not neg pair</v>
          </cell>
          <cell r="Y7157" t="str">
            <v>Past</v>
          </cell>
          <cell r="Z7157">
            <v>3.36</v>
          </cell>
          <cell r="AA7157">
            <v>0</v>
          </cell>
          <cell r="AB7157">
            <v>0</v>
          </cell>
        </row>
        <row r="7158">
          <cell r="G7158" t="str">
            <v>X2849_0</v>
          </cell>
          <cell r="H7158" t="str">
            <v>like</v>
          </cell>
          <cell r="I7158" t="str">
            <v>sim</v>
          </cell>
          <cell r="V7158" t="str">
            <v>not neg pair</v>
          </cell>
          <cell r="Y7158" t="str">
            <v>Pres</v>
          </cell>
          <cell r="Z7158">
            <v>4.78</v>
          </cell>
          <cell r="AA7158">
            <v>0</v>
          </cell>
          <cell r="AB7158">
            <v>0</v>
          </cell>
        </row>
        <row r="7159">
          <cell r="G7159" t="str">
            <v>X2849_1</v>
          </cell>
          <cell r="H7159" t="str">
            <v>like</v>
          </cell>
          <cell r="I7159" t="str">
            <v>sim</v>
          </cell>
          <cell r="V7159" t="str">
            <v>not neg pair</v>
          </cell>
          <cell r="Y7159" t="str">
            <v>Pres</v>
          </cell>
          <cell r="Z7159">
            <v>4.78</v>
          </cell>
          <cell r="AA7159">
            <v>0</v>
          </cell>
          <cell r="AB7159">
            <v>0</v>
          </cell>
        </row>
        <row r="7160">
          <cell r="G7160" t="str">
            <v>X2850_0</v>
          </cell>
          <cell r="H7160" t="str">
            <v>the-of</v>
          </cell>
          <cell r="I7160" t="str">
            <v>sim</v>
          </cell>
          <cell r="V7160" t="str">
            <v>not neg pair</v>
          </cell>
          <cell r="Y7160" t="str">
            <v>Pres</v>
          </cell>
          <cell r="Z7160">
            <v>4.76</v>
          </cell>
          <cell r="AA7160">
            <v>0</v>
          </cell>
          <cell r="AB7160">
            <v>0</v>
          </cell>
        </row>
        <row r="7161">
          <cell r="G7161" t="str">
            <v>X2850_1</v>
          </cell>
          <cell r="H7161" t="str">
            <v>the-of</v>
          </cell>
          <cell r="I7161" t="str">
            <v>sim</v>
          </cell>
          <cell r="V7161" t="str">
            <v>not neg pair</v>
          </cell>
          <cell r="Y7161" t="str">
            <v>Pres</v>
          </cell>
          <cell r="Z7161">
            <v>4.76</v>
          </cell>
          <cell r="AA7161">
            <v>0</v>
          </cell>
          <cell r="AB7161">
            <v>0</v>
          </cell>
        </row>
        <row r="7162">
          <cell r="G7162" t="str">
            <v>X2851_0</v>
          </cell>
          <cell r="H7162" t="str">
            <v>the-of</v>
          </cell>
          <cell r="I7162" t="str">
            <v>sim</v>
          </cell>
          <cell r="V7162" t="str">
            <v>not neg pair</v>
          </cell>
          <cell r="Y7162" t="str">
            <v>Past</v>
          </cell>
          <cell r="Z7162">
            <v>3.97</v>
          </cell>
          <cell r="AA7162">
            <v>0</v>
          </cell>
          <cell r="AB7162">
            <v>0</v>
          </cell>
        </row>
        <row r="7163">
          <cell r="G7163" t="str">
            <v>X2851_1</v>
          </cell>
          <cell r="H7163" t="str">
            <v>the-of</v>
          </cell>
          <cell r="I7163" t="str">
            <v>sim</v>
          </cell>
          <cell r="V7163" t="str">
            <v>not neg pair</v>
          </cell>
          <cell r="Y7163" t="str">
            <v>Past</v>
          </cell>
          <cell r="Z7163">
            <v>3.97</v>
          </cell>
          <cell r="AA7163">
            <v>0</v>
          </cell>
          <cell r="AB7163">
            <v>0</v>
          </cell>
        </row>
        <row r="7164">
          <cell r="G7164" t="str">
            <v>X2852_0</v>
          </cell>
          <cell r="H7164" t="str">
            <v>the-of</v>
          </cell>
          <cell r="I7164" t="str">
            <v>sim</v>
          </cell>
          <cell r="V7164" t="str">
            <v>not neg pair</v>
          </cell>
          <cell r="Y7164" t="str">
            <v>Past</v>
          </cell>
          <cell r="Z7164">
            <v>4.41</v>
          </cell>
          <cell r="AA7164">
            <v>0</v>
          </cell>
          <cell r="AB7164">
            <v>0</v>
          </cell>
        </row>
        <row r="7165">
          <cell r="G7165" t="str">
            <v>X2852_1</v>
          </cell>
          <cell r="H7165" t="str">
            <v>the-of</v>
          </cell>
          <cell r="I7165" t="str">
            <v>sim</v>
          </cell>
          <cell r="V7165" t="str">
            <v>not neg pair</v>
          </cell>
          <cell r="Y7165" t="str">
            <v>Past</v>
          </cell>
          <cell r="Z7165">
            <v>4.41</v>
          </cell>
          <cell r="AA7165">
            <v>0</v>
          </cell>
          <cell r="AB7165">
            <v>0</v>
          </cell>
        </row>
        <row r="7166">
          <cell r="G7166" t="str">
            <v>X2853_0</v>
          </cell>
          <cell r="H7166" t="str">
            <v>the-of</v>
          </cell>
          <cell r="I7166" t="str">
            <v>sim</v>
          </cell>
          <cell r="V7166" t="str">
            <v>not</v>
          </cell>
          <cell r="Y7166" t="str">
            <v>Past</v>
          </cell>
          <cell r="Z7166">
            <v>3.36</v>
          </cell>
          <cell r="AA7166">
            <v>0</v>
          </cell>
          <cell r="AB7166">
            <v>0</v>
          </cell>
        </row>
        <row r="7167">
          <cell r="G7167" t="str">
            <v>X2853_1</v>
          </cell>
          <cell r="H7167" t="str">
            <v>the-of</v>
          </cell>
          <cell r="I7167" t="str">
            <v>sim</v>
          </cell>
          <cell r="V7167" t="str">
            <v>not</v>
          </cell>
          <cell r="Y7167" t="str">
            <v>Past</v>
          </cell>
          <cell r="Z7167">
            <v>0</v>
          </cell>
          <cell r="AA7167">
            <v>0</v>
          </cell>
          <cell r="AB7167">
            <v>0</v>
          </cell>
        </row>
        <row r="7168">
          <cell r="G7168" t="str">
            <v>X2854_0</v>
          </cell>
          <cell r="H7168" t="str">
            <v/>
          </cell>
          <cell r="I7168" t="str">
            <v>met</v>
          </cell>
          <cell r="V7168" t="str">
            <v>0</v>
          </cell>
          <cell r="Y7168" t="str">
            <v>Pres</v>
          </cell>
          <cell r="Z7168">
            <v>4.57</v>
          </cell>
          <cell r="AA7168">
            <v>0</v>
          </cell>
          <cell r="AB7168">
            <v>0</v>
          </cell>
        </row>
        <row r="7169">
          <cell r="G7169" t="str">
            <v>X2854_1</v>
          </cell>
          <cell r="H7169" t="str">
            <v/>
          </cell>
          <cell r="I7169" t="str">
            <v>met</v>
          </cell>
          <cell r="V7169" t="str">
            <v>0</v>
          </cell>
          <cell r="Y7169" t="str">
            <v>Pres</v>
          </cell>
          <cell r="Z7169">
            <v>4.57</v>
          </cell>
          <cell r="AA7169">
            <v>0</v>
          </cell>
          <cell r="AB7169">
            <v>0</v>
          </cell>
        </row>
        <row r="7170">
          <cell r="G7170" t="str">
            <v>X2855_0</v>
          </cell>
          <cell r="H7170" t="str">
            <v/>
          </cell>
          <cell r="I7170" t="str">
            <v>met</v>
          </cell>
          <cell r="V7170" t="str">
            <v>0</v>
          </cell>
          <cell r="Y7170" t="str">
            <v>Pres</v>
          </cell>
          <cell r="Z7170">
            <v>0</v>
          </cell>
          <cell r="AA7170">
            <v>0</v>
          </cell>
          <cell r="AB7170">
            <v>0</v>
          </cell>
        </row>
        <row r="7171">
          <cell r="G7171" t="str">
            <v>X2855_1</v>
          </cell>
          <cell r="H7171" t="str">
            <v/>
          </cell>
          <cell r="I7171" t="str">
            <v>met</v>
          </cell>
          <cell r="V7171" t="str">
            <v>0</v>
          </cell>
          <cell r="Y7171" t="str">
            <v>Pres</v>
          </cell>
          <cell r="Z7171">
            <v>0</v>
          </cell>
          <cell r="AA7171">
            <v>0</v>
          </cell>
          <cell r="AB7171">
            <v>0</v>
          </cell>
        </row>
        <row r="7172">
          <cell r="G7172" t="str">
            <v>X2856_0</v>
          </cell>
          <cell r="H7172" t="str">
            <v/>
          </cell>
          <cell r="I7172" t="str">
            <v>met</v>
          </cell>
          <cell r="V7172" t="str">
            <v>0</v>
          </cell>
          <cell r="Y7172" t="str">
            <v>Pres</v>
          </cell>
          <cell r="Z7172">
            <v>4.59</v>
          </cell>
          <cell r="AA7172">
            <v>0</v>
          </cell>
          <cell r="AB7172">
            <v>0</v>
          </cell>
        </row>
        <row r="7173">
          <cell r="G7173" t="str">
            <v>X2856_1</v>
          </cell>
          <cell r="H7173" t="str">
            <v/>
          </cell>
          <cell r="I7173" t="str">
            <v>met</v>
          </cell>
          <cell r="V7173" t="str">
            <v>0</v>
          </cell>
          <cell r="Y7173" t="str">
            <v>Pres</v>
          </cell>
          <cell r="Z7173">
            <v>4.59</v>
          </cell>
          <cell r="AA7173">
            <v>0</v>
          </cell>
          <cell r="AB7173">
            <v>0</v>
          </cell>
        </row>
        <row r="7174">
          <cell r="G7174" t="str">
            <v>X2857_0</v>
          </cell>
          <cell r="H7174" t="str">
            <v/>
          </cell>
          <cell r="I7174" t="str">
            <v>met</v>
          </cell>
          <cell r="V7174" t="str">
            <v>0</v>
          </cell>
          <cell r="Y7174" t="str">
            <v>Pres</v>
          </cell>
          <cell r="Z7174">
            <v>3.97</v>
          </cell>
          <cell r="AA7174">
            <v>0</v>
          </cell>
          <cell r="AB7174">
            <v>0</v>
          </cell>
        </row>
        <row r="7175">
          <cell r="G7175" t="str">
            <v>X2857_1</v>
          </cell>
          <cell r="H7175" t="str">
            <v/>
          </cell>
          <cell r="I7175" t="str">
            <v>met</v>
          </cell>
          <cell r="V7175" t="str">
            <v>0</v>
          </cell>
          <cell r="Y7175" t="str">
            <v>Pres</v>
          </cell>
          <cell r="Z7175">
            <v>3.97</v>
          </cell>
          <cell r="AA7175">
            <v>0</v>
          </cell>
          <cell r="AB7175">
            <v>0</v>
          </cell>
        </row>
        <row r="7176">
          <cell r="G7176" t="str">
            <v>X2858_0</v>
          </cell>
          <cell r="H7176" t="str">
            <v>as-as</v>
          </cell>
          <cell r="I7176" t="str">
            <v>sim</v>
          </cell>
          <cell r="V7176" t="str">
            <v>not neg pair</v>
          </cell>
          <cell r="Y7176" t="str">
            <v>Pres</v>
          </cell>
          <cell r="Z7176">
            <v>4.79</v>
          </cell>
          <cell r="AA7176">
            <v>0</v>
          </cell>
          <cell r="AB7176">
            <v>0</v>
          </cell>
        </row>
        <row r="7177">
          <cell r="G7177" t="str">
            <v>X2858_1</v>
          </cell>
          <cell r="H7177" t="str">
            <v>as-as</v>
          </cell>
          <cell r="I7177" t="str">
            <v>sim</v>
          </cell>
          <cell r="V7177" t="str">
            <v>not neg pair</v>
          </cell>
          <cell r="Y7177" t="str">
            <v>Pres</v>
          </cell>
          <cell r="Z7177">
            <v>4.79</v>
          </cell>
          <cell r="AA7177">
            <v>0</v>
          </cell>
          <cell r="AB7177">
            <v>0</v>
          </cell>
        </row>
        <row r="7178">
          <cell r="G7178" t="str">
            <v>X2859_0</v>
          </cell>
          <cell r="H7178" t="str">
            <v>as-as</v>
          </cell>
          <cell r="I7178" t="str">
            <v>sim</v>
          </cell>
          <cell r="V7178" t="str">
            <v>antonym</v>
          </cell>
          <cell r="Y7178" t="str">
            <v>Pres</v>
          </cell>
          <cell r="Z7178">
            <v>4.8499999999999996</v>
          </cell>
          <cell r="AA7178">
            <v>0</v>
          </cell>
          <cell r="AB7178">
            <v>0</v>
          </cell>
        </row>
        <row r="7179">
          <cell r="G7179" t="str">
            <v>X2859_1</v>
          </cell>
          <cell r="H7179" t="str">
            <v>as-as</v>
          </cell>
          <cell r="I7179" t="str">
            <v>sim</v>
          </cell>
          <cell r="V7179" t="str">
            <v>antonym</v>
          </cell>
          <cell r="Y7179" t="str">
            <v>Pres</v>
          </cell>
          <cell r="Z7179">
            <v>4.8499999999999996</v>
          </cell>
          <cell r="AA7179">
            <v>0</v>
          </cell>
          <cell r="AB7179">
            <v>0</v>
          </cell>
        </row>
        <row r="7180">
          <cell r="G7180" t="str">
            <v>X2860_0</v>
          </cell>
          <cell r="H7180" t="str">
            <v/>
          </cell>
          <cell r="I7180" t="str">
            <v>met</v>
          </cell>
          <cell r="V7180" t="str">
            <v>0</v>
          </cell>
          <cell r="Y7180" t="str">
            <v>Past</v>
          </cell>
          <cell r="Z7180">
            <v>3.93</v>
          </cell>
          <cell r="AA7180">
            <v>0</v>
          </cell>
          <cell r="AB7180">
            <v>0</v>
          </cell>
        </row>
        <row r="7181">
          <cell r="G7181" t="str">
            <v>X2860_1</v>
          </cell>
          <cell r="H7181" t="str">
            <v/>
          </cell>
          <cell r="I7181" t="str">
            <v>met</v>
          </cell>
          <cell r="V7181" t="str">
            <v>0</v>
          </cell>
          <cell r="Y7181" t="str">
            <v>Past</v>
          </cell>
          <cell r="Z7181">
            <v>3.93</v>
          </cell>
          <cell r="AA7181">
            <v>0</v>
          </cell>
          <cell r="AB7181">
            <v>0</v>
          </cell>
        </row>
        <row r="7182">
          <cell r="G7182" t="str">
            <v>X2861_0</v>
          </cell>
          <cell r="H7182" t="str">
            <v/>
          </cell>
          <cell r="I7182" t="str">
            <v>met</v>
          </cell>
          <cell r="V7182" t="str">
            <v>0</v>
          </cell>
          <cell r="Y7182" t="str">
            <v>Pres</v>
          </cell>
          <cell r="Z7182">
            <v>0</v>
          </cell>
          <cell r="AA7182">
            <v>0</v>
          </cell>
          <cell r="AB7182">
            <v>0</v>
          </cell>
        </row>
        <row r="7183">
          <cell r="G7183" t="str">
            <v>X2861_1</v>
          </cell>
          <cell r="H7183" t="str">
            <v/>
          </cell>
          <cell r="I7183" t="str">
            <v>met</v>
          </cell>
          <cell r="V7183" t="str">
            <v>0</v>
          </cell>
          <cell r="Y7183" t="str">
            <v>Pres</v>
          </cell>
          <cell r="Z7183">
            <v>0</v>
          </cell>
          <cell r="AA7183">
            <v>0</v>
          </cell>
          <cell r="AB7183">
            <v>0</v>
          </cell>
        </row>
        <row r="7184">
          <cell r="G7184" t="str">
            <v>X2862_0</v>
          </cell>
          <cell r="H7184" t="str">
            <v/>
          </cell>
          <cell r="I7184" t="str">
            <v>met</v>
          </cell>
          <cell r="V7184" t="str">
            <v>0</v>
          </cell>
          <cell r="Y7184" t="str">
            <v>Past</v>
          </cell>
          <cell r="Z7184">
            <v>4.5</v>
          </cell>
          <cell r="AA7184">
            <v>0</v>
          </cell>
          <cell r="AB7184">
            <v>0</v>
          </cell>
        </row>
        <row r="7185">
          <cell r="G7185" t="str">
            <v>X2862_1</v>
          </cell>
          <cell r="H7185" t="str">
            <v/>
          </cell>
          <cell r="I7185" t="str">
            <v>met</v>
          </cell>
          <cell r="V7185" t="str">
            <v>0</v>
          </cell>
          <cell r="Y7185" t="str">
            <v>Pres</v>
          </cell>
          <cell r="Z7185">
            <v>4.5</v>
          </cell>
          <cell r="AA7185">
            <v>0</v>
          </cell>
          <cell r="AB7185">
            <v>0</v>
          </cell>
        </row>
        <row r="7186">
          <cell r="G7186" t="str">
            <v>X2863_0</v>
          </cell>
          <cell r="H7186" t="str">
            <v>the-of</v>
          </cell>
          <cell r="I7186" t="str">
            <v>sim</v>
          </cell>
          <cell r="V7186" t="str">
            <v>not neg pair</v>
          </cell>
          <cell r="Y7186" t="str">
            <v>Past</v>
          </cell>
          <cell r="Z7186">
            <v>2.4500000000000002</v>
          </cell>
          <cell r="AA7186" t="str">
            <v>L</v>
          </cell>
          <cell r="AB7186">
            <v>0</v>
          </cell>
        </row>
        <row r="7187">
          <cell r="G7187" t="str">
            <v>X2863_1</v>
          </cell>
          <cell r="H7187" t="str">
            <v>the-of</v>
          </cell>
          <cell r="I7187" t="str">
            <v>sim</v>
          </cell>
          <cell r="V7187" t="str">
            <v>not neg pair</v>
          </cell>
          <cell r="Y7187" t="str">
            <v>Past</v>
          </cell>
          <cell r="Z7187">
            <v>2.4500000000000002</v>
          </cell>
          <cell r="AA7187" t="str">
            <v>L</v>
          </cell>
          <cell r="AB7187">
            <v>0</v>
          </cell>
        </row>
        <row r="7188">
          <cell r="G7188" t="str">
            <v>X2864_0</v>
          </cell>
          <cell r="H7188" t="str">
            <v>the-of</v>
          </cell>
          <cell r="I7188" t="str">
            <v>sim</v>
          </cell>
          <cell r="V7188" t="str">
            <v>not neg pair</v>
          </cell>
          <cell r="Y7188" t="str">
            <v>Past</v>
          </cell>
          <cell r="Z7188">
            <v>5</v>
          </cell>
          <cell r="AA7188" t="str">
            <v>H</v>
          </cell>
          <cell r="AB7188">
            <v>0</v>
          </cell>
        </row>
        <row r="7189">
          <cell r="G7189" t="str">
            <v>X2864_1</v>
          </cell>
          <cell r="H7189" t="str">
            <v>the-of</v>
          </cell>
          <cell r="I7189" t="str">
            <v>sim</v>
          </cell>
          <cell r="V7189" t="str">
            <v>not neg pair</v>
          </cell>
          <cell r="Y7189" t="str">
            <v>Past</v>
          </cell>
          <cell r="Z7189">
            <v>5</v>
          </cell>
          <cell r="AA7189" t="str">
            <v>H</v>
          </cell>
          <cell r="AB7189">
            <v>0</v>
          </cell>
        </row>
        <row r="7190">
          <cell r="G7190" t="str">
            <v>X2865_0</v>
          </cell>
          <cell r="H7190" t="str">
            <v>as-as</v>
          </cell>
          <cell r="I7190" t="str">
            <v>sim</v>
          </cell>
          <cell r="V7190" t="str">
            <v>not</v>
          </cell>
          <cell r="Y7190" t="str">
            <v>Past</v>
          </cell>
          <cell r="Z7190">
            <v>2.81</v>
          </cell>
          <cell r="AA7190">
            <v>0</v>
          </cell>
          <cell r="AB7190">
            <v>0</v>
          </cell>
        </row>
        <row r="7191">
          <cell r="G7191" t="str">
            <v>X2865_1</v>
          </cell>
          <cell r="H7191" t="str">
            <v>as-as</v>
          </cell>
          <cell r="I7191" t="str">
            <v>sim</v>
          </cell>
          <cell r="V7191" t="str">
            <v>not</v>
          </cell>
          <cell r="Y7191" t="str">
            <v>Past</v>
          </cell>
          <cell r="Z7191">
            <v>2.81</v>
          </cell>
          <cell r="AA7191">
            <v>0</v>
          </cell>
          <cell r="AB7191">
            <v>0</v>
          </cell>
        </row>
        <row r="7192">
          <cell r="G7192" t="str">
            <v>X2866_0</v>
          </cell>
          <cell r="H7192" t="str">
            <v>like</v>
          </cell>
          <cell r="I7192" t="str">
            <v>sim</v>
          </cell>
          <cell r="V7192" t="str">
            <v>not</v>
          </cell>
          <cell r="Y7192" t="str">
            <v>Past</v>
          </cell>
          <cell r="Z7192">
            <v>2.81</v>
          </cell>
          <cell r="AA7192">
            <v>0</v>
          </cell>
          <cell r="AB7192">
            <v>0</v>
          </cell>
        </row>
        <row r="7193">
          <cell r="G7193" t="str">
            <v>X2866_1</v>
          </cell>
          <cell r="H7193" t="str">
            <v>like</v>
          </cell>
          <cell r="I7193" t="str">
            <v>sim</v>
          </cell>
          <cell r="V7193" t="str">
            <v>not</v>
          </cell>
          <cell r="Y7193" t="str">
            <v>Past</v>
          </cell>
          <cell r="Z7193">
            <v>2.81</v>
          </cell>
          <cell r="AA7193">
            <v>0</v>
          </cell>
          <cell r="AB7193">
            <v>0</v>
          </cell>
        </row>
        <row r="7194">
          <cell r="G7194" t="str">
            <v>X2867_0</v>
          </cell>
          <cell r="H7194" t="str">
            <v>the-of</v>
          </cell>
          <cell r="I7194" t="str">
            <v>sim</v>
          </cell>
          <cell r="V7194" t="str">
            <v>not neg pair</v>
          </cell>
          <cell r="Y7194" t="str">
            <v>Pres</v>
          </cell>
          <cell r="Z7194">
            <v>4.8499999999999996</v>
          </cell>
          <cell r="AA7194">
            <v>0</v>
          </cell>
          <cell r="AB7194">
            <v>0</v>
          </cell>
        </row>
        <row r="7195">
          <cell r="G7195" t="str">
            <v>X2867_1</v>
          </cell>
          <cell r="H7195" t="str">
            <v>the-of</v>
          </cell>
          <cell r="I7195" t="str">
            <v>sim</v>
          </cell>
          <cell r="V7195" t="str">
            <v>not neg pair</v>
          </cell>
          <cell r="Y7195" t="str">
            <v>Pres</v>
          </cell>
          <cell r="Z7195">
            <v>4.8499999999999996</v>
          </cell>
          <cell r="AA7195">
            <v>0</v>
          </cell>
          <cell r="AB7195">
            <v>0</v>
          </cell>
        </row>
        <row r="7196">
          <cell r="G7196" t="str">
            <v>X2868_0</v>
          </cell>
          <cell r="H7196" t="str">
            <v>as-as</v>
          </cell>
          <cell r="I7196" t="str">
            <v>sim</v>
          </cell>
          <cell r="V7196" t="str">
            <v>not</v>
          </cell>
          <cell r="Y7196" t="str">
            <v>Past</v>
          </cell>
          <cell r="Z7196">
            <v>4.46</v>
          </cell>
          <cell r="AA7196">
            <v>0</v>
          </cell>
          <cell r="AB7196">
            <v>0</v>
          </cell>
        </row>
        <row r="7197">
          <cell r="G7197" t="str">
            <v>X2868_1</v>
          </cell>
          <cell r="H7197" t="str">
            <v>as-as</v>
          </cell>
          <cell r="I7197" t="str">
            <v>sim</v>
          </cell>
          <cell r="V7197" t="str">
            <v>not</v>
          </cell>
          <cell r="Y7197" t="str">
            <v>Past</v>
          </cell>
          <cell r="Z7197">
            <v>4.46</v>
          </cell>
          <cell r="AA7197">
            <v>0</v>
          </cell>
          <cell r="AB7197">
            <v>0</v>
          </cell>
        </row>
        <row r="7198">
          <cell r="G7198" t="str">
            <v>X2869_0</v>
          </cell>
          <cell r="H7198" t="str">
            <v>as-as</v>
          </cell>
          <cell r="I7198" t="str">
            <v>sim</v>
          </cell>
          <cell r="V7198" t="str">
            <v>not neg pair</v>
          </cell>
          <cell r="Y7198" t="str">
            <v>Past</v>
          </cell>
          <cell r="Z7198">
            <v>3.14</v>
          </cell>
          <cell r="AA7198">
            <v>0</v>
          </cell>
          <cell r="AB7198">
            <v>0</v>
          </cell>
        </row>
        <row r="7199">
          <cell r="G7199" t="str">
            <v>X2869_1</v>
          </cell>
          <cell r="H7199" t="str">
            <v>as-as</v>
          </cell>
          <cell r="I7199" t="str">
            <v>sim</v>
          </cell>
          <cell r="V7199" t="str">
            <v>not neg pair</v>
          </cell>
          <cell r="Y7199" t="str">
            <v>Past</v>
          </cell>
          <cell r="Z7199">
            <v>3.14</v>
          </cell>
          <cell r="AA7199">
            <v>0</v>
          </cell>
          <cell r="AB7199">
            <v>0</v>
          </cell>
        </row>
        <row r="7200">
          <cell r="G7200" t="str">
            <v>X2870_0</v>
          </cell>
          <cell r="H7200" t="str">
            <v/>
          </cell>
          <cell r="I7200" t="str">
            <v>met</v>
          </cell>
          <cell r="V7200" t="str">
            <v>0</v>
          </cell>
          <cell r="Y7200" t="str">
            <v>Past</v>
          </cell>
          <cell r="Z7200">
            <v>4.79</v>
          </cell>
          <cell r="AA7200">
            <v>0</v>
          </cell>
          <cell r="AB7200">
            <v>0</v>
          </cell>
        </row>
        <row r="7201">
          <cell r="G7201" t="str">
            <v>X2870_1</v>
          </cell>
          <cell r="H7201" t="str">
            <v/>
          </cell>
          <cell r="I7201" t="str">
            <v>met</v>
          </cell>
          <cell r="V7201" t="str">
            <v>0</v>
          </cell>
          <cell r="Y7201" t="str">
            <v>Past</v>
          </cell>
          <cell r="Z7201">
            <v>3.72</v>
          </cell>
          <cell r="AA7201">
            <v>0</v>
          </cell>
          <cell r="AB7201">
            <v>0</v>
          </cell>
        </row>
        <row r="7202">
          <cell r="G7202" t="str">
            <v>X2871_0</v>
          </cell>
          <cell r="H7202" t="str">
            <v/>
          </cell>
          <cell r="I7202" t="str">
            <v>met</v>
          </cell>
          <cell r="V7202" t="str">
            <v>0</v>
          </cell>
          <cell r="Y7202" t="str">
            <v>Pres</v>
          </cell>
          <cell r="Z7202">
            <v>3.93</v>
          </cell>
          <cell r="AA7202">
            <v>0</v>
          </cell>
          <cell r="AB7202">
            <v>0</v>
          </cell>
        </row>
        <row r="7203">
          <cell r="G7203" t="str">
            <v>X2871_1</v>
          </cell>
          <cell r="H7203" t="str">
            <v/>
          </cell>
          <cell r="I7203" t="str">
            <v>met</v>
          </cell>
          <cell r="V7203" t="str">
            <v>0</v>
          </cell>
          <cell r="Y7203" t="str">
            <v>Pres</v>
          </cell>
          <cell r="Z7203">
            <v>3.93</v>
          </cell>
          <cell r="AA7203">
            <v>0</v>
          </cell>
          <cell r="AB7203">
            <v>0</v>
          </cell>
        </row>
        <row r="7204">
          <cell r="G7204" t="str">
            <v>X2872_0</v>
          </cell>
          <cell r="H7204" t="str">
            <v/>
          </cell>
          <cell r="I7204" t="str">
            <v>met</v>
          </cell>
          <cell r="V7204" t="str">
            <v>0</v>
          </cell>
          <cell r="Y7204" t="str">
            <v>Pres</v>
          </cell>
          <cell r="Z7204">
            <v>5</v>
          </cell>
          <cell r="AA7204" t="str">
            <v>H</v>
          </cell>
          <cell r="AB7204">
            <v>0</v>
          </cell>
        </row>
        <row r="7205">
          <cell r="G7205" t="str">
            <v>X2872_1</v>
          </cell>
          <cell r="H7205" t="str">
            <v/>
          </cell>
          <cell r="I7205" t="str">
            <v>met</v>
          </cell>
          <cell r="V7205" t="str">
            <v>0</v>
          </cell>
          <cell r="Y7205" t="str">
            <v>Pres</v>
          </cell>
          <cell r="Z7205">
            <v>5</v>
          </cell>
          <cell r="AA7205" t="str">
            <v>H</v>
          </cell>
          <cell r="AB7205">
            <v>0</v>
          </cell>
        </row>
        <row r="7206">
          <cell r="G7206" t="str">
            <v>X2873_0</v>
          </cell>
          <cell r="H7206" t="str">
            <v/>
          </cell>
          <cell r="I7206" t="str">
            <v>met</v>
          </cell>
          <cell r="V7206" t="str">
            <v>0</v>
          </cell>
          <cell r="Y7206" t="str">
            <v>Pres</v>
          </cell>
          <cell r="Z7206">
            <v>4.1900000000000004</v>
          </cell>
          <cell r="AA7206">
            <v>0</v>
          </cell>
          <cell r="AB7206">
            <v>0</v>
          </cell>
        </row>
        <row r="7207">
          <cell r="G7207" t="str">
            <v>X2873_1</v>
          </cell>
          <cell r="H7207" t="str">
            <v/>
          </cell>
          <cell r="I7207" t="str">
            <v>met</v>
          </cell>
          <cell r="V7207" t="str">
            <v>0</v>
          </cell>
          <cell r="Y7207" t="str">
            <v>Pres</v>
          </cell>
          <cell r="Z7207">
            <v>4.1900000000000004</v>
          </cell>
          <cell r="AA7207">
            <v>0</v>
          </cell>
          <cell r="AB7207">
            <v>0</v>
          </cell>
        </row>
        <row r="7208">
          <cell r="G7208" t="str">
            <v>X2874_0</v>
          </cell>
          <cell r="H7208" t="str">
            <v/>
          </cell>
          <cell r="I7208" t="str">
            <v>met</v>
          </cell>
          <cell r="V7208" t="str">
            <v>0</v>
          </cell>
          <cell r="Y7208" t="str">
            <v>Pres</v>
          </cell>
          <cell r="Z7208">
            <v>4.24</v>
          </cell>
          <cell r="AA7208">
            <v>0</v>
          </cell>
          <cell r="AB7208">
            <v>0</v>
          </cell>
        </row>
        <row r="7209">
          <cell r="G7209" t="str">
            <v>X2874_1</v>
          </cell>
          <cell r="H7209" t="str">
            <v/>
          </cell>
          <cell r="I7209" t="str">
            <v>met</v>
          </cell>
          <cell r="V7209" t="str">
            <v>0</v>
          </cell>
          <cell r="Y7209" t="str">
            <v>Pres</v>
          </cell>
          <cell r="Z7209">
            <v>4.24</v>
          </cell>
          <cell r="AA7209">
            <v>0</v>
          </cell>
          <cell r="AB7209">
            <v>0</v>
          </cell>
        </row>
        <row r="7210">
          <cell r="G7210" t="str">
            <v>X2875_0</v>
          </cell>
          <cell r="H7210" t="str">
            <v>the-of</v>
          </cell>
          <cell r="I7210" t="str">
            <v>sim</v>
          </cell>
          <cell r="V7210" t="str">
            <v>not</v>
          </cell>
          <cell r="Y7210" t="str">
            <v>Pres</v>
          </cell>
          <cell r="Z7210">
            <v>4.8899999999999997</v>
          </cell>
          <cell r="AA7210">
            <v>0</v>
          </cell>
          <cell r="AB7210">
            <v>0</v>
          </cell>
        </row>
        <row r="7211">
          <cell r="G7211" t="str">
            <v>X2875_1</v>
          </cell>
          <cell r="H7211" t="str">
            <v>the-of</v>
          </cell>
          <cell r="I7211" t="str">
            <v>sim</v>
          </cell>
          <cell r="V7211" t="str">
            <v>not</v>
          </cell>
          <cell r="Y7211" t="str">
            <v>Pres</v>
          </cell>
          <cell r="Z7211">
            <v>4.8899999999999997</v>
          </cell>
          <cell r="AA7211">
            <v>0</v>
          </cell>
          <cell r="AB7211">
            <v>0</v>
          </cell>
        </row>
        <row r="7212">
          <cell r="G7212" t="str">
            <v>X2876_0</v>
          </cell>
          <cell r="H7212" t="str">
            <v>the-of</v>
          </cell>
          <cell r="I7212" t="str">
            <v>sim</v>
          </cell>
          <cell r="V7212" t="str">
            <v>not neg pair</v>
          </cell>
          <cell r="Y7212" t="str">
            <v>Pres</v>
          </cell>
          <cell r="Z7212">
            <v>1.62</v>
          </cell>
          <cell r="AA7212" t="str">
            <v>L</v>
          </cell>
          <cell r="AB7212">
            <v>0</v>
          </cell>
        </row>
        <row r="7213">
          <cell r="G7213" t="str">
            <v>X2876_1</v>
          </cell>
          <cell r="H7213" t="str">
            <v>the-of</v>
          </cell>
          <cell r="I7213" t="str">
            <v>sim</v>
          </cell>
          <cell r="V7213" t="str">
            <v>not neg pair</v>
          </cell>
          <cell r="Y7213" t="str">
            <v>Pres</v>
          </cell>
          <cell r="Z7213">
            <v>4.1100000000000003</v>
          </cell>
          <cell r="AA7213">
            <v>0</v>
          </cell>
          <cell r="AB7213">
            <v>0</v>
          </cell>
        </row>
        <row r="7214">
          <cell r="G7214" t="str">
            <v>X2877_0</v>
          </cell>
          <cell r="H7214" t="str">
            <v>like</v>
          </cell>
          <cell r="I7214" t="str">
            <v>sim</v>
          </cell>
          <cell r="V7214" t="str">
            <v>not neg pair</v>
          </cell>
          <cell r="Y7214" t="str">
            <v>Past</v>
          </cell>
          <cell r="Z7214">
            <v>4.8899999999999997</v>
          </cell>
          <cell r="AA7214">
            <v>0</v>
          </cell>
          <cell r="AB7214">
            <v>0</v>
          </cell>
        </row>
        <row r="7215">
          <cell r="G7215" t="str">
            <v>X2877_1</v>
          </cell>
          <cell r="H7215" t="str">
            <v>like</v>
          </cell>
          <cell r="I7215" t="str">
            <v>sim</v>
          </cell>
          <cell r="V7215" t="str">
            <v>not neg pair</v>
          </cell>
          <cell r="Y7215" t="str">
            <v>Past</v>
          </cell>
          <cell r="Z7215">
            <v>4.8899999999999997</v>
          </cell>
          <cell r="AA7215">
            <v>0</v>
          </cell>
          <cell r="AB7215">
            <v>0</v>
          </cell>
        </row>
        <row r="7216">
          <cell r="G7216" t="str">
            <v>X2878_0</v>
          </cell>
          <cell r="H7216" t="str">
            <v>like</v>
          </cell>
          <cell r="I7216" t="str">
            <v>sim</v>
          </cell>
          <cell r="V7216" t="str">
            <v>not neg pair</v>
          </cell>
          <cell r="Y7216" t="str">
            <v>Past</v>
          </cell>
          <cell r="Z7216">
            <v>4.03</v>
          </cell>
          <cell r="AA7216">
            <v>0</v>
          </cell>
          <cell r="AB7216">
            <v>0</v>
          </cell>
        </row>
        <row r="7217">
          <cell r="G7217" t="str">
            <v>X2878_1</v>
          </cell>
          <cell r="H7217" t="str">
            <v>like</v>
          </cell>
          <cell r="I7217" t="str">
            <v>sim</v>
          </cell>
          <cell r="V7217" t="str">
            <v>not neg pair</v>
          </cell>
          <cell r="Y7217" t="str">
            <v>Past</v>
          </cell>
          <cell r="Z7217">
            <v>4.03</v>
          </cell>
          <cell r="AA7217">
            <v>0</v>
          </cell>
          <cell r="AB7217">
            <v>0</v>
          </cell>
        </row>
        <row r="7218">
          <cell r="G7218" t="str">
            <v>X2879_0</v>
          </cell>
          <cell r="H7218" t="str">
            <v/>
          </cell>
          <cell r="I7218" t="str">
            <v>met</v>
          </cell>
          <cell r="V7218" t="str">
            <v>0</v>
          </cell>
          <cell r="Y7218" t="str">
            <v>Pres</v>
          </cell>
          <cell r="Z7218">
            <v>2.79</v>
          </cell>
          <cell r="AA7218" t="str">
            <v>L</v>
          </cell>
          <cell r="AB7218">
            <v>0</v>
          </cell>
        </row>
        <row r="7219">
          <cell r="G7219" t="str">
            <v>X2879_1</v>
          </cell>
          <cell r="H7219" t="str">
            <v/>
          </cell>
          <cell r="I7219" t="str">
            <v>met</v>
          </cell>
          <cell r="V7219" t="str">
            <v>0</v>
          </cell>
          <cell r="Y7219" t="str">
            <v>Pres</v>
          </cell>
          <cell r="Z7219">
            <v>2.79</v>
          </cell>
          <cell r="AA7219" t="str">
            <v>L</v>
          </cell>
          <cell r="AB7219">
            <v>0</v>
          </cell>
        </row>
        <row r="7220">
          <cell r="G7220" t="str">
            <v>X2880_0</v>
          </cell>
          <cell r="H7220" t="str">
            <v/>
          </cell>
          <cell r="I7220" t="str">
            <v>met</v>
          </cell>
          <cell r="V7220" t="str">
            <v>0</v>
          </cell>
          <cell r="Y7220" t="str">
            <v>Past</v>
          </cell>
          <cell r="Z7220">
            <v>4.8899999999999997</v>
          </cell>
          <cell r="AA7220">
            <v>0</v>
          </cell>
          <cell r="AB7220">
            <v>0</v>
          </cell>
        </row>
        <row r="7221">
          <cell r="G7221" t="str">
            <v>X2880_1</v>
          </cell>
          <cell r="H7221" t="str">
            <v/>
          </cell>
          <cell r="I7221" t="str">
            <v>met</v>
          </cell>
          <cell r="V7221" t="str">
            <v>0</v>
          </cell>
          <cell r="Y7221" t="str">
            <v>Past</v>
          </cell>
          <cell r="Z7221">
            <v>4.8899999999999997</v>
          </cell>
          <cell r="AA7221">
            <v>0</v>
          </cell>
          <cell r="AB7221">
            <v>0</v>
          </cell>
        </row>
        <row r="7222">
          <cell r="G7222" t="str">
            <v>X2881_0</v>
          </cell>
          <cell r="H7222" t="str">
            <v/>
          </cell>
          <cell r="I7222" t="str">
            <v>met</v>
          </cell>
          <cell r="V7222" t="str">
            <v>0</v>
          </cell>
          <cell r="Y7222" t="str">
            <v>Pres</v>
          </cell>
          <cell r="Z7222">
            <v>1.62</v>
          </cell>
          <cell r="AA7222" t="str">
            <v>L</v>
          </cell>
          <cell r="AB7222">
            <v>0</v>
          </cell>
        </row>
        <row r="7223">
          <cell r="G7223" t="str">
            <v>X2881_1</v>
          </cell>
          <cell r="H7223" t="str">
            <v/>
          </cell>
          <cell r="I7223" t="str">
            <v>met</v>
          </cell>
          <cell r="V7223" t="str">
            <v>0</v>
          </cell>
          <cell r="Y7223" t="str">
            <v>Past</v>
          </cell>
          <cell r="Z7223">
            <v>1.62</v>
          </cell>
          <cell r="AA7223" t="str">
            <v>L</v>
          </cell>
          <cell r="AB7223">
            <v>0</v>
          </cell>
        </row>
        <row r="7224">
          <cell r="G7224" t="str">
            <v>X2882_0</v>
          </cell>
          <cell r="H7224" t="str">
            <v>the-of</v>
          </cell>
          <cell r="I7224" t="str">
            <v>sim</v>
          </cell>
          <cell r="V7224" t="str">
            <v>not</v>
          </cell>
          <cell r="Y7224" t="str">
            <v>Past</v>
          </cell>
          <cell r="Z7224">
            <v>3.93</v>
          </cell>
          <cell r="AA7224">
            <v>0</v>
          </cell>
          <cell r="AB7224">
            <v>0</v>
          </cell>
        </row>
        <row r="7225">
          <cell r="G7225" t="str">
            <v>X2882_1</v>
          </cell>
          <cell r="H7225" t="str">
            <v>the-of</v>
          </cell>
          <cell r="I7225" t="str">
            <v>sim</v>
          </cell>
          <cell r="V7225" t="str">
            <v>not</v>
          </cell>
          <cell r="Y7225" t="str">
            <v>Past</v>
          </cell>
          <cell r="Z7225">
            <v>3.93</v>
          </cell>
          <cell r="AA7225">
            <v>0</v>
          </cell>
          <cell r="AB7225">
            <v>0</v>
          </cell>
        </row>
        <row r="7226">
          <cell r="G7226" t="str">
            <v>X2883_0</v>
          </cell>
          <cell r="H7226" t="str">
            <v>the-of</v>
          </cell>
          <cell r="I7226" t="str">
            <v>sim</v>
          </cell>
          <cell r="V7226" t="str">
            <v>not neg pair</v>
          </cell>
          <cell r="Y7226" t="str">
            <v>Past</v>
          </cell>
          <cell r="Z7226">
            <v>3.93</v>
          </cell>
          <cell r="AA7226">
            <v>0</v>
          </cell>
          <cell r="AB7226">
            <v>0</v>
          </cell>
        </row>
        <row r="7227">
          <cell r="G7227" t="str">
            <v>X2883_1</v>
          </cell>
          <cell r="H7227" t="str">
            <v>the-of</v>
          </cell>
          <cell r="I7227" t="str">
            <v>sim</v>
          </cell>
          <cell r="V7227" t="str">
            <v>not neg pair</v>
          </cell>
          <cell r="Y7227" t="str">
            <v>Past</v>
          </cell>
          <cell r="Z7227">
            <v>3.93</v>
          </cell>
          <cell r="AA7227">
            <v>0</v>
          </cell>
          <cell r="AB7227">
            <v>0</v>
          </cell>
        </row>
        <row r="7228">
          <cell r="G7228" t="str">
            <v>X2884_0</v>
          </cell>
          <cell r="H7228" t="str">
            <v>as-as</v>
          </cell>
          <cell r="I7228" t="str">
            <v>sim</v>
          </cell>
          <cell r="V7228" t="str">
            <v>not neg pair</v>
          </cell>
          <cell r="Y7228" t="str">
            <v>Past</v>
          </cell>
          <cell r="Z7228">
            <v>2.81</v>
          </cell>
          <cell r="AA7228">
            <v>0</v>
          </cell>
          <cell r="AB7228">
            <v>0</v>
          </cell>
        </row>
        <row r="7229">
          <cell r="G7229" t="str">
            <v>X2884_1</v>
          </cell>
          <cell r="H7229" t="str">
            <v>as-as</v>
          </cell>
          <cell r="I7229" t="str">
            <v>sim</v>
          </cell>
          <cell r="V7229" t="str">
            <v>not neg pair</v>
          </cell>
          <cell r="Y7229" t="str">
            <v>Past</v>
          </cell>
          <cell r="Z7229">
            <v>2.81</v>
          </cell>
          <cell r="AA7229">
            <v>0</v>
          </cell>
          <cell r="AB7229">
            <v>0</v>
          </cell>
        </row>
        <row r="7230">
          <cell r="G7230" t="str">
            <v>X2885_0</v>
          </cell>
          <cell r="H7230" t="str">
            <v>as-as</v>
          </cell>
          <cell r="I7230" t="str">
            <v>sim</v>
          </cell>
          <cell r="V7230" t="str">
            <v>not neg pair</v>
          </cell>
          <cell r="Y7230" t="str">
            <v>Past</v>
          </cell>
          <cell r="Z7230">
            <v>2.81</v>
          </cell>
          <cell r="AA7230">
            <v>0</v>
          </cell>
          <cell r="AB7230">
            <v>0</v>
          </cell>
        </row>
        <row r="7231">
          <cell r="G7231" t="str">
            <v>X2885_1</v>
          </cell>
          <cell r="H7231" t="str">
            <v>as-as</v>
          </cell>
          <cell r="I7231" t="str">
            <v>sim</v>
          </cell>
          <cell r="V7231" t="str">
            <v>not neg pair</v>
          </cell>
          <cell r="Y7231" t="str">
            <v>Past</v>
          </cell>
          <cell r="Z7231">
            <v>2.81</v>
          </cell>
          <cell r="AA7231">
            <v>0</v>
          </cell>
          <cell r="AB7231">
            <v>0</v>
          </cell>
        </row>
        <row r="7232">
          <cell r="G7232" t="str">
            <v>X2886_0</v>
          </cell>
          <cell r="H7232" t="str">
            <v>the-of</v>
          </cell>
          <cell r="I7232" t="str">
            <v>sim</v>
          </cell>
          <cell r="V7232" t="str">
            <v>not neg pair</v>
          </cell>
          <cell r="Y7232" t="str">
            <v>Pres</v>
          </cell>
          <cell r="Z7232">
            <v>4.62</v>
          </cell>
          <cell r="AA7232">
            <v>0</v>
          </cell>
          <cell r="AB7232">
            <v>0</v>
          </cell>
        </row>
        <row r="7233">
          <cell r="G7233" t="str">
            <v>X2886_1</v>
          </cell>
          <cell r="H7233" t="str">
            <v>the-of</v>
          </cell>
          <cell r="I7233" t="str">
            <v>sim</v>
          </cell>
          <cell r="V7233" t="str">
            <v>not neg pair</v>
          </cell>
          <cell r="Y7233" t="str">
            <v>Pres</v>
          </cell>
          <cell r="Z7233">
            <v>4.62</v>
          </cell>
          <cell r="AA7233">
            <v>0</v>
          </cell>
          <cell r="AB7233">
            <v>0</v>
          </cell>
        </row>
        <row r="7234">
          <cell r="G7234" t="str">
            <v>X2887_0</v>
          </cell>
          <cell r="H7234" t="str">
            <v>like</v>
          </cell>
          <cell r="I7234" t="str">
            <v>sim</v>
          </cell>
          <cell r="V7234" t="str">
            <v>not</v>
          </cell>
          <cell r="Y7234" t="str">
            <v>Pres</v>
          </cell>
          <cell r="Z7234">
            <v>3.93</v>
          </cell>
          <cell r="AA7234">
            <v>0</v>
          </cell>
          <cell r="AB7234">
            <v>0</v>
          </cell>
        </row>
        <row r="7235">
          <cell r="G7235" t="str">
            <v>X2887_1</v>
          </cell>
          <cell r="H7235" t="str">
            <v>like</v>
          </cell>
          <cell r="I7235" t="str">
            <v>sim</v>
          </cell>
          <cell r="V7235" t="str">
            <v>not</v>
          </cell>
          <cell r="Y7235" t="str">
            <v>Pres</v>
          </cell>
          <cell r="Z7235">
            <v>3.93</v>
          </cell>
          <cell r="AA7235">
            <v>0</v>
          </cell>
          <cell r="AB7235">
            <v>0</v>
          </cell>
        </row>
        <row r="7236">
          <cell r="G7236" t="str">
            <v>X2888_0</v>
          </cell>
          <cell r="H7236" t="str">
            <v>like</v>
          </cell>
          <cell r="I7236" t="str">
            <v>sim</v>
          </cell>
          <cell r="V7236" t="str">
            <v>not neg pair</v>
          </cell>
          <cell r="Y7236" t="str">
            <v>Pres</v>
          </cell>
          <cell r="Z7236">
            <v>4.1100000000000003</v>
          </cell>
          <cell r="AA7236">
            <v>0</v>
          </cell>
          <cell r="AB7236">
            <v>0</v>
          </cell>
        </row>
        <row r="7237">
          <cell r="G7237" t="str">
            <v>X2888_1</v>
          </cell>
          <cell r="H7237" t="str">
            <v>like</v>
          </cell>
          <cell r="I7237" t="str">
            <v>sim</v>
          </cell>
          <cell r="V7237" t="str">
            <v>not neg pair</v>
          </cell>
          <cell r="Y7237" t="str">
            <v>Pres</v>
          </cell>
          <cell r="Z7237">
            <v>4.1100000000000003</v>
          </cell>
          <cell r="AA7237">
            <v>0</v>
          </cell>
          <cell r="AB7237">
            <v>0</v>
          </cell>
        </row>
        <row r="7238">
          <cell r="G7238" t="str">
            <v>X2889_0</v>
          </cell>
          <cell r="H7238" t="str">
            <v/>
          </cell>
          <cell r="I7238" t="str">
            <v>met</v>
          </cell>
          <cell r="V7238" t="str">
            <v>0</v>
          </cell>
          <cell r="Y7238">
            <v>0</v>
          </cell>
          <cell r="Z7238">
            <v>1.77</v>
          </cell>
          <cell r="AA7238" t="str">
            <v>L</v>
          </cell>
          <cell r="AB7238">
            <v>0</v>
          </cell>
        </row>
        <row r="7239">
          <cell r="G7239" t="str">
            <v>X2889_1</v>
          </cell>
          <cell r="H7239" t="str">
            <v/>
          </cell>
          <cell r="I7239" t="str">
            <v>met</v>
          </cell>
          <cell r="V7239" t="str">
            <v>0</v>
          </cell>
          <cell r="Y7239">
            <v>0</v>
          </cell>
          <cell r="Z7239">
            <v>1.77</v>
          </cell>
          <cell r="AA7239" t="str">
            <v>L</v>
          </cell>
          <cell r="AB7239">
            <v>0</v>
          </cell>
        </row>
        <row r="7240">
          <cell r="G7240" t="str">
            <v>X2890_0</v>
          </cell>
          <cell r="H7240" t="str">
            <v/>
          </cell>
          <cell r="I7240" t="str">
            <v>met</v>
          </cell>
          <cell r="V7240" t="str">
            <v>0</v>
          </cell>
          <cell r="Y7240" t="str">
            <v>Pres</v>
          </cell>
          <cell r="Z7240">
            <v>2.57</v>
          </cell>
          <cell r="AA7240" t="str">
            <v>L</v>
          </cell>
          <cell r="AB7240">
            <v>0</v>
          </cell>
        </row>
        <row r="7241">
          <cell r="G7241" t="str">
            <v>X2890_1</v>
          </cell>
          <cell r="H7241" t="str">
            <v/>
          </cell>
          <cell r="I7241" t="str">
            <v>met</v>
          </cell>
          <cell r="V7241" t="str">
            <v>0</v>
          </cell>
          <cell r="Y7241" t="str">
            <v>Past</v>
          </cell>
          <cell r="Z7241">
            <v>2.57</v>
          </cell>
          <cell r="AA7241" t="str">
            <v>L</v>
          </cell>
          <cell r="AB7241">
            <v>0</v>
          </cell>
        </row>
        <row r="7242">
          <cell r="G7242" t="str">
            <v>X2891_0</v>
          </cell>
          <cell r="H7242" t="str">
            <v/>
          </cell>
          <cell r="I7242" t="str">
            <v>met</v>
          </cell>
          <cell r="V7242" t="str">
            <v>0</v>
          </cell>
          <cell r="Y7242" t="str">
            <v>Past</v>
          </cell>
          <cell r="Z7242">
            <v>1.93</v>
          </cell>
          <cell r="AA7242" t="str">
            <v>L</v>
          </cell>
          <cell r="AB7242">
            <v>0</v>
          </cell>
        </row>
        <row r="7243">
          <cell r="G7243" t="str">
            <v>X2891_1</v>
          </cell>
          <cell r="H7243" t="str">
            <v/>
          </cell>
          <cell r="I7243" t="str">
            <v>met</v>
          </cell>
          <cell r="V7243" t="str">
            <v>0</v>
          </cell>
          <cell r="Y7243" t="str">
            <v>Past</v>
          </cell>
          <cell r="Z7243">
            <v>1.93</v>
          </cell>
          <cell r="AA7243" t="str">
            <v>L</v>
          </cell>
          <cell r="AB7243">
            <v>0</v>
          </cell>
        </row>
        <row r="7244">
          <cell r="G7244" t="str">
            <v>X2892_0</v>
          </cell>
          <cell r="H7244" t="str">
            <v>as</v>
          </cell>
          <cell r="I7244" t="str">
            <v>sim</v>
          </cell>
          <cell r="V7244" t="str">
            <v>not</v>
          </cell>
          <cell r="Y7244" t="str">
            <v>Past</v>
          </cell>
          <cell r="Z7244">
            <v>3.13</v>
          </cell>
          <cell r="AA7244">
            <v>0</v>
          </cell>
          <cell r="AB7244">
            <v>0</v>
          </cell>
        </row>
        <row r="7245">
          <cell r="G7245" t="str">
            <v>X2892_1</v>
          </cell>
          <cell r="H7245" t="str">
            <v>as</v>
          </cell>
          <cell r="I7245" t="str">
            <v>sim</v>
          </cell>
          <cell r="V7245" t="str">
            <v>not</v>
          </cell>
          <cell r="Y7245" t="str">
            <v>Past</v>
          </cell>
          <cell r="Z7245">
            <v>3.13</v>
          </cell>
          <cell r="AA7245">
            <v>0</v>
          </cell>
          <cell r="AB7245">
            <v>0</v>
          </cell>
        </row>
        <row r="7246">
          <cell r="G7246" t="str">
            <v>X2893_0</v>
          </cell>
          <cell r="H7246" t="str">
            <v>as-as</v>
          </cell>
          <cell r="I7246" t="str">
            <v>sim</v>
          </cell>
          <cell r="V7246" t="str">
            <v>not neg pair</v>
          </cell>
          <cell r="Y7246" t="str">
            <v>Past</v>
          </cell>
          <cell r="Z7246">
            <v>3.04</v>
          </cell>
          <cell r="AA7246">
            <v>0</v>
          </cell>
          <cell r="AB7246">
            <v>0</v>
          </cell>
        </row>
        <row r="7247">
          <cell r="G7247" t="str">
            <v>X2893_1</v>
          </cell>
          <cell r="H7247" t="str">
            <v>as-as</v>
          </cell>
          <cell r="I7247" t="str">
            <v>sim</v>
          </cell>
          <cell r="V7247" t="str">
            <v>not neg pair</v>
          </cell>
          <cell r="Y7247" t="str">
            <v>Past</v>
          </cell>
          <cell r="Z7247">
            <v>3.04</v>
          </cell>
          <cell r="AA7247">
            <v>0</v>
          </cell>
          <cell r="AB7247">
            <v>0</v>
          </cell>
        </row>
        <row r="7248">
          <cell r="G7248" t="str">
            <v>X2894_0</v>
          </cell>
          <cell r="H7248" t="str">
            <v/>
          </cell>
          <cell r="I7248" t="str">
            <v>met</v>
          </cell>
          <cell r="V7248" t="str">
            <v>0</v>
          </cell>
          <cell r="Y7248" t="str">
            <v>Past</v>
          </cell>
          <cell r="Z7248">
            <v>2.5</v>
          </cell>
          <cell r="AA7248" t="str">
            <v>L</v>
          </cell>
          <cell r="AB7248">
            <v>0</v>
          </cell>
        </row>
        <row r="7249">
          <cell r="G7249" t="str">
            <v>X2894_1</v>
          </cell>
          <cell r="H7249" t="str">
            <v/>
          </cell>
          <cell r="I7249" t="str">
            <v>met</v>
          </cell>
          <cell r="V7249" t="str">
            <v>0</v>
          </cell>
          <cell r="Y7249" t="str">
            <v>Past</v>
          </cell>
          <cell r="Z7249">
            <v>2.5</v>
          </cell>
          <cell r="AA7249" t="str">
            <v>L</v>
          </cell>
          <cell r="AB7249">
            <v>0</v>
          </cell>
        </row>
        <row r="7250">
          <cell r="G7250" t="str">
            <v>X2895_0</v>
          </cell>
          <cell r="H7250" t="str">
            <v/>
          </cell>
          <cell r="I7250" t="str">
            <v>met</v>
          </cell>
          <cell r="V7250" t="str">
            <v>0</v>
          </cell>
          <cell r="Y7250" t="str">
            <v>Pres</v>
          </cell>
          <cell r="Z7250">
            <v>2.92</v>
          </cell>
          <cell r="AA7250">
            <v>0</v>
          </cell>
          <cell r="AB7250">
            <v>0</v>
          </cell>
        </row>
        <row r="7251">
          <cell r="G7251" t="str">
            <v>X2895_1</v>
          </cell>
          <cell r="H7251" t="str">
            <v/>
          </cell>
          <cell r="I7251" t="str">
            <v>met</v>
          </cell>
          <cell r="V7251" t="str">
            <v>0</v>
          </cell>
          <cell r="Y7251" t="str">
            <v>Pres</v>
          </cell>
          <cell r="Z7251">
            <v>2.92</v>
          </cell>
          <cell r="AA7251">
            <v>0</v>
          </cell>
          <cell r="AB7251">
            <v>0</v>
          </cell>
        </row>
        <row r="7252">
          <cell r="G7252" t="str">
            <v>X2896_0</v>
          </cell>
          <cell r="H7252" t="str">
            <v>as-as</v>
          </cell>
          <cell r="I7252" t="str">
            <v>sim</v>
          </cell>
          <cell r="V7252" t="str">
            <v>not</v>
          </cell>
          <cell r="Y7252" t="str">
            <v>Past</v>
          </cell>
          <cell r="Z7252">
            <v>2.0699999999999998</v>
          </cell>
          <cell r="AA7252" t="str">
            <v>L</v>
          </cell>
          <cell r="AB7252">
            <v>0</v>
          </cell>
        </row>
        <row r="7253">
          <cell r="G7253" t="str">
            <v>X2896_1</v>
          </cell>
          <cell r="H7253" t="str">
            <v>as-as</v>
          </cell>
          <cell r="I7253" t="str">
            <v>sim</v>
          </cell>
          <cell r="V7253" t="str">
            <v>not</v>
          </cell>
          <cell r="Y7253" t="str">
            <v>Past</v>
          </cell>
          <cell r="Z7253">
            <v>2.0699999999999998</v>
          </cell>
          <cell r="AA7253" t="str">
            <v>L</v>
          </cell>
          <cell r="AB7253">
            <v>0</v>
          </cell>
        </row>
        <row r="7254">
          <cell r="G7254" t="str">
            <v>X2897_0</v>
          </cell>
          <cell r="H7254" t="str">
            <v>as-as</v>
          </cell>
          <cell r="I7254" t="str">
            <v>sim</v>
          </cell>
          <cell r="V7254" t="str">
            <v>not</v>
          </cell>
          <cell r="Y7254" t="str">
            <v>Past</v>
          </cell>
          <cell r="Z7254">
            <v>4.93</v>
          </cell>
          <cell r="AA7254" t="str">
            <v>H</v>
          </cell>
          <cell r="AB7254">
            <v>0</v>
          </cell>
        </row>
        <row r="7255">
          <cell r="G7255" t="str">
            <v>X2897_1</v>
          </cell>
          <cell r="H7255" t="str">
            <v>as-as</v>
          </cell>
          <cell r="I7255" t="str">
            <v>sim</v>
          </cell>
          <cell r="V7255" t="str">
            <v>not</v>
          </cell>
          <cell r="Y7255" t="str">
            <v>Past</v>
          </cell>
          <cell r="Z7255">
            <v>4.93</v>
          </cell>
          <cell r="AA7255" t="str">
            <v>H</v>
          </cell>
          <cell r="AB7255">
            <v>0</v>
          </cell>
        </row>
        <row r="7256">
          <cell r="G7256" t="str">
            <v>X2898_0</v>
          </cell>
          <cell r="H7256" t="str">
            <v/>
          </cell>
          <cell r="I7256" t="str">
            <v>met</v>
          </cell>
          <cell r="V7256" t="str">
            <v>0</v>
          </cell>
          <cell r="Y7256" t="str">
            <v>Past</v>
          </cell>
          <cell r="Z7256">
            <v>4.7</v>
          </cell>
          <cell r="AA7256">
            <v>0</v>
          </cell>
          <cell r="AB7256">
            <v>0</v>
          </cell>
        </row>
        <row r="7257">
          <cell r="G7257" t="str">
            <v>X2898_1</v>
          </cell>
          <cell r="H7257" t="str">
            <v/>
          </cell>
          <cell r="I7257" t="str">
            <v>met</v>
          </cell>
          <cell r="V7257" t="str">
            <v>0</v>
          </cell>
          <cell r="Y7257" t="str">
            <v>Past</v>
          </cell>
          <cell r="Z7257">
            <v>4.7</v>
          </cell>
          <cell r="AA7257">
            <v>0</v>
          </cell>
          <cell r="AB7257">
            <v>0</v>
          </cell>
        </row>
        <row r="7258">
          <cell r="G7258" t="str">
            <v>X2899_0</v>
          </cell>
          <cell r="H7258" t="str">
            <v/>
          </cell>
          <cell r="I7258" t="str">
            <v>met</v>
          </cell>
          <cell r="V7258" t="str">
            <v>0</v>
          </cell>
          <cell r="Y7258" t="str">
            <v>Past</v>
          </cell>
          <cell r="Z7258">
            <v>3.85</v>
          </cell>
          <cell r="AA7258">
            <v>0</v>
          </cell>
          <cell r="AB7258">
            <v>0</v>
          </cell>
        </row>
        <row r="7259">
          <cell r="G7259" t="str">
            <v>X2899_1</v>
          </cell>
          <cell r="H7259" t="str">
            <v/>
          </cell>
          <cell r="I7259" t="str">
            <v>met</v>
          </cell>
          <cell r="V7259" t="str">
            <v>0</v>
          </cell>
          <cell r="Y7259" t="str">
            <v>Past</v>
          </cell>
          <cell r="Z7259">
            <v>3.85</v>
          </cell>
          <cell r="AA7259">
            <v>0</v>
          </cell>
          <cell r="AB7259">
            <v>0</v>
          </cell>
        </row>
        <row r="7260">
          <cell r="G7260" t="str">
            <v>X2900_0</v>
          </cell>
          <cell r="H7260" t="str">
            <v/>
          </cell>
          <cell r="I7260" t="str">
            <v>met</v>
          </cell>
          <cell r="V7260" t="str">
            <v>0</v>
          </cell>
          <cell r="Y7260" t="str">
            <v>Past</v>
          </cell>
          <cell r="Z7260">
            <v>3.57</v>
          </cell>
          <cell r="AA7260">
            <v>0</v>
          </cell>
          <cell r="AB7260">
            <v>0</v>
          </cell>
        </row>
        <row r="7261">
          <cell r="G7261" t="str">
            <v>X2900_1</v>
          </cell>
          <cell r="H7261" t="str">
            <v/>
          </cell>
          <cell r="I7261" t="str">
            <v>met</v>
          </cell>
          <cell r="V7261" t="str">
            <v>0</v>
          </cell>
          <cell r="Y7261" t="str">
            <v>Past</v>
          </cell>
          <cell r="Z7261">
            <v>3.57</v>
          </cell>
          <cell r="AA7261">
            <v>0</v>
          </cell>
          <cell r="AB7261">
            <v>0</v>
          </cell>
        </row>
        <row r="7262">
          <cell r="G7262" t="str">
            <v>X2901_0</v>
          </cell>
          <cell r="H7262" t="str">
            <v/>
          </cell>
          <cell r="I7262" t="str">
            <v>met</v>
          </cell>
          <cell r="V7262" t="str">
            <v>0</v>
          </cell>
          <cell r="Y7262" t="str">
            <v>Pres</v>
          </cell>
          <cell r="Z7262">
            <v>4.1500000000000004</v>
          </cell>
          <cell r="AA7262">
            <v>0</v>
          </cell>
          <cell r="AB7262">
            <v>0</v>
          </cell>
        </row>
        <row r="7263">
          <cell r="G7263" t="str">
            <v>X2901_1</v>
          </cell>
          <cell r="H7263" t="str">
            <v/>
          </cell>
          <cell r="I7263" t="str">
            <v>met</v>
          </cell>
          <cell r="V7263" t="str">
            <v>0</v>
          </cell>
          <cell r="Y7263" t="str">
            <v>Pres</v>
          </cell>
          <cell r="Z7263">
            <v>4.1500000000000004</v>
          </cell>
          <cell r="AA7263">
            <v>0</v>
          </cell>
          <cell r="AB7263">
            <v>0</v>
          </cell>
        </row>
        <row r="7264">
          <cell r="G7264" t="str">
            <v>X2902_0</v>
          </cell>
          <cell r="H7264" t="str">
            <v/>
          </cell>
          <cell r="I7264" t="str">
            <v>met</v>
          </cell>
          <cell r="V7264" t="str">
            <v>0</v>
          </cell>
          <cell r="Y7264" t="str">
            <v>Pres</v>
          </cell>
          <cell r="Z7264">
            <v>3.93</v>
          </cell>
          <cell r="AA7264">
            <v>0</v>
          </cell>
          <cell r="AB7264">
            <v>0</v>
          </cell>
        </row>
        <row r="7265">
          <cell r="G7265" t="str">
            <v>X2902_1</v>
          </cell>
          <cell r="H7265" t="str">
            <v/>
          </cell>
          <cell r="I7265" t="str">
            <v>met</v>
          </cell>
          <cell r="V7265" t="str">
            <v>0</v>
          </cell>
          <cell r="Y7265" t="str">
            <v>Pres</v>
          </cell>
          <cell r="Z7265">
            <v>3.93</v>
          </cell>
          <cell r="AA7265">
            <v>0</v>
          </cell>
          <cell r="AB7265">
            <v>0</v>
          </cell>
        </row>
        <row r="7266">
          <cell r="G7266" t="str">
            <v>X2903_0</v>
          </cell>
          <cell r="H7266" t="str">
            <v/>
          </cell>
          <cell r="I7266" t="str">
            <v>met</v>
          </cell>
          <cell r="V7266" t="str">
            <v>0</v>
          </cell>
          <cell r="Y7266" t="str">
            <v>Pres</v>
          </cell>
          <cell r="Z7266">
            <v>4.78</v>
          </cell>
          <cell r="AA7266">
            <v>0</v>
          </cell>
          <cell r="AB7266">
            <v>0</v>
          </cell>
        </row>
        <row r="7267">
          <cell r="G7267" t="str">
            <v>X2903_1</v>
          </cell>
          <cell r="H7267" t="str">
            <v/>
          </cell>
          <cell r="I7267" t="str">
            <v>met</v>
          </cell>
          <cell r="V7267" t="str">
            <v>0</v>
          </cell>
          <cell r="Y7267" t="str">
            <v>Pres</v>
          </cell>
          <cell r="Z7267">
            <v>4.78</v>
          </cell>
          <cell r="AA7267">
            <v>0</v>
          </cell>
          <cell r="AB7267">
            <v>0</v>
          </cell>
        </row>
        <row r="7268">
          <cell r="G7268" t="str">
            <v>X2904_0</v>
          </cell>
          <cell r="H7268" t="str">
            <v>like</v>
          </cell>
          <cell r="I7268" t="str">
            <v>sim</v>
          </cell>
          <cell r="V7268" t="str">
            <v>not neg pair</v>
          </cell>
          <cell r="Y7268" t="str">
            <v>Past</v>
          </cell>
          <cell r="Z7268">
            <v>4.71</v>
          </cell>
          <cell r="AA7268">
            <v>0</v>
          </cell>
          <cell r="AB7268">
            <v>0</v>
          </cell>
        </row>
        <row r="7269">
          <cell r="G7269" t="str">
            <v>X2904_1</v>
          </cell>
          <cell r="H7269" t="str">
            <v>like</v>
          </cell>
          <cell r="I7269" t="str">
            <v>sim</v>
          </cell>
          <cell r="V7269" t="str">
            <v>not neg pair</v>
          </cell>
          <cell r="Y7269" t="str">
            <v>Past</v>
          </cell>
          <cell r="Z7269">
            <v>4.71</v>
          </cell>
          <cell r="AA7269">
            <v>0</v>
          </cell>
          <cell r="AB7269">
            <v>0</v>
          </cell>
        </row>
        <row r="7270">
          <cell r="G7270" t="str">
            <v>X2905_0</v>
          </cell>
          <cell r="H7270" t="str">
            <v>like</v>
          </cell>
          <cell r="I7270" t="str">
            <v>sim</v>
          </cell>
          <cell r="V7270" t="str">
            <v>not neg pair</v>
          </cell>
          <cell r="Y7270" t="str">
            <v>Past</v>
          </cell>
          <cell r="Z7270">
            <v>4.79</v>
          </cell>
          <cell r="AA7270">
            <v>0</v>
          </cell>
          <cell r="AB7270">
            <v>0</v>
          </cell>
        </row>
        <row r="7271">
          <cell r="G7271" t="str">
            <v>X2905_1</v>
          </cell>
          <cell r="H7271" t="str">
            <v>like</v>
          </cell>
          <cell r="I7271" t="str">
            <v>sim</v>
          </cell>
          <cell r="V7271" t="str">
            <v>not neg pair</v>
          </cell>
          <cell r="Y7271" t="str">
            <v>Past</v>
          </cell>
          <cell r="Z7271">
            <v>4.79</v>
          </cell>
          <cell r="AA7271">
            <v>0</v>
          </cell>
          <cell r="AB7271">
            <v>0</v>
          </cell>
        </row>
        <row r="7272">
          <cell r="G7272" t="str">
            <v>X2906_0</v>
          </cell>
          <cell r="H7272" t="str">
            <v>as-as</v>
          </cell>
          <cell r="I7272" t="str">
            <v>sim</v>
          </cell>
          <cell r="V7272" t="str">
            <v>0</v>
          </cell>
          <cell r="Y7272" t="str">
            <v>Pres</v>
          </cell>
          <cell r="Z7272">
            <v>4.9000000000000004</v>
          </cell>
          <cell r="AA7272">
            <v>0</v>
          </cell>
          <cell r="AB7272">
            <v>0</v>
          </cell>
        </row>
        <row r="7273">
          <cell r="G7273" t="str">
            <v>X2906_1</v>
          </cell>
          <cell r="H7273" t="str">
            <v/>
          </cell>
          <cell r="I7273" t="str">
            <v>met</v>
          </cell>
          <cell r="V7273" t="str">
            <v>0</v>
          </cell>
          <cell r="Y7273" t="str">
            <v>Past</v>
          </cell>
          <cell r="Z7273">
            <v>4.9000000000000004</v>
          </cell>
          <cell r="AA7273">
            <v>0</v>
          </cell>
          <cell r="AB7273">
            <v>0</v>
          </cell>
        </row>
        <row r="7274">
          <cell r="G7274" t="str">
            <v>X2907_0</v>
          </cell>
          <cell r="H7274" t="str">
            <v>the-of</v>
          </cell>
          <cell r="I7274" t="str">
            <v>sim</v>
          </cell>
          <cell r="V7274" t="str">
            <v>not</v>
          </cell>
          <cell r="Y7274" t="str">
            <v>Past</v>
          </cell>
          <cell r="Z7274">
            <v>5</v>
          </cell>
          <cell r="AA7274" t="str">
            <v>H</v>
          </cell>
          <cell r="AB7274">
            <v>0</v>
          </cell>
        </row>
        <row r="7275">
          <cell r="G7275" t="str">
            <v>X2907_1</v>
          </cell>
          <cell r="H7275" t="str">
            <v>the-of</v>
          </cell>
          <cell r="I7275" t="str">
            <v>sim</v>
          </cell>
          <cell r="V7275" t="str">
            <v>not</v>
          </cell>
          <cell r="Y7275" t="str">
            <v>Past</v>
          </cell>
          <cell r="Z7275">
            <v>5</v>
          </cell>
          <cell r="AA7275" t="str">
            <v>H</v>
          </cell>
          <cell r="AB7275">
            <v>0</v>
          </cell>
        </row>
        <row r="7276">
          <cell r="G7276" t="str">
            <v>X2908_0</v>
          </cell>
          <cell r="H7276" t="str">
            <v>the-of</v>
          </cell>
          <cell r="I7276" t="str">
            <v>sim</v>
          </cell>
          <cell r="V7276" t="str">
            <v>not</v>
          </cell>
          <cell r="Y7276" t="str">
            <v>Past</v>
          </cell>
          <cell r="Z7276">
            <v>4.79</v>
          </cell>
          <cell r="AA7276">
            <v>0</v>
          </cell>
          <cell r="AB7276">
            <v>0</v>
          </cell>
        </row>
        <row r="7277">
          <cell r="G7277" t="str">
            <v>X2908_1</v>
          </cell>
          <cell r="H7277" t="str">
            <v>the-of</v>
          </cell>
          <cell r="I7277" t="str">
            <v>sim</v>
          </cell>
          <cell r="V7277" t="str">
            <v>not</v>
          </cell>
          <cell r="Y7277" t="str">
            <v>Past</v>
          </cell>
          <cell r="Z7277">
            <v>4.79</v>
          </cell>
          <cell r="AA7277">
            <v>0</v>
          </cell>
          <cell r="AB7277">
            <v>0</v>
          </cell>
        </row>
        <row r="7278">
          <cell r="G7278" t="str">
            <v>X2909_0</v>
          </cell>
          <cell r="H7278" t="str">
            <v>like</v>
          </cell>
          <cell r="I7278" t="str">
            <v>sim</v>
          </cell>
          <cell r="V7278" t="str">
            <v>not neg pair</v>
          </cell>
          <cell r="Y7278" t="str">
            <v>Past</v>
          </cell>
          <cell r="Z7278">
            <v>2.81</v>
          </cell>
          <cell r="AA7278">
            <v>0</v>
          </cell>
          <cell r="AB7278">
            <v>0</v>
          </cell>
        </row>
        <row r="7279">
          <cell r="G7279" t="str">
            <v>X2909_1</v>
          </cell>
          <cell r="H7279" t="str">
            <v>like</v>
          </cell>
          <cell r="I7279" t="str">
            <v>sim</v>
          </cell>
          <cell r="V7279" t="str">
            <v>not neg pair</v>
          </cell>
          <cell r="Y7279" t="str">
            <v>Past</v>
          </cell>
          <cell r="Z7279">
            <v>2.81</v>
          </cell>
          <cell r="AA7279">
            <v>0</v>
          </cell>
          <cell r="AB7279">
            <v>0</v>
          </cell>
        </row>
        <row r="7280">
          <cell r="G7280" t="str">
            <v>X2910_0</v>
          </cell>
          <cell r="H7280" t="str">
            <v>like</v>
          </cell>
          <cell r="I7280" t="str">
            <v>sim</v>
          </cell>
          <cell r="V7280" t="str">
            <v>not</v>
          </cell>
          <cell r="Y7280" t="str">
            <v>Past</v>
          </cell>
          <cell r="Z7280">
            <v>2.81</v>
          </cell>
          <cell r="AA7280">
            <v>0</v>
          </cell>
          <cell r="AB7280">
            <v>0</v>
          </cell>
        </row>
        <row r="7281">
          <cell r="G7281" t="str">
            <v>X2910_1</v>
          </cell>
          <cell r="H7281" t="str">
            <v>like</v>
          </cell>
          <cell r="I7281" t="str">
            <v>sim</v>
          </cell>
          <cell r="V7281" t="str">
            <v>not</v>
          </cell>
          <cell r="Y7281" t="str">
            <v>Past</v>
          </cell>
          <cell r="Z7281">
            <v>2.81</v>
          </cell>
          <cell r="AA7281">
            <v>0</v>
          </cell>
          <cell r="AB7281">
            <v>0</v>
          </cell>
        </row>
        <row r="7282">
          <cell r="G7282" t="str">
            <v>X2911_0</v>
          </cell>
          <cell r="H7282" t="str">
            <v>like</v>
          </cell>
          <cell r="I7282" t="str">
            <v>sim</v>
          </cell>
          <cell r="V7282" t="str">
            <v>not</v>
          </cell>
          <cell r="Y7282" t="str">
            <v>Past</v>
          </cell>
          <cell r="Z7282">
            <v>3.93</v>
          </cell>
          <cell r="AA7282">
            <v>0</v>
          </cell>
          <cell r="AB7282">
            <v>0</v>
          </cell>
        </row>
        <row r="7283">
          <cell r="G7283" t="str">
            <v>X2911_1</v>
          </cell>
          <cell r="H7283" t="str">
            <v>like</v>
          </cell>
          <cell r="I7283" t="str">
            <v>sim</v>
          </cell>
          <cell r="V7283" t="str">
            <v>not</v>
          </cell>
          <cell r="Y7283" t="str">
            <v>Past</v>
          </cell>
          <cell r="Z7283">
            <v>3.93</v>
          </cell>
          <cell r="AA7283">
            <v>0</v>
          </cell>
          <cell r="AB7283">
            <v>0</v>
          </cell>
        </row>
        <row r="7284">
          <cell r="G7284" t="str">
            <v>X2912_0</v>
          </cell>
          <cell r="H7284" t="str">
            <v>as-as</v>
          </cell>
          <cell r="I7284" t="str">
            <v>sim</v>
          </cell>
          <cell r="V7284" t="str">
            <v>not</v>
          </cell>
          <cell r="Y7284" t="str">
            <v>Past</v>
          </cell>
          <cell r="Z7284">
            <v>4.93</v>
          </cell>
          <cell r="AA7284" t="str">
            <v>H</v>
          </cell>
          <cell r="AB7284">
            <v>0</v>
          </cell>
        </row>
        <row r="7285">
          <cell r="G7285" t="str">
            <v>X2912_1</v>
          </cell>
          <cell r="H7285" t="str">
            <v>as-as</v>
          </cell>
          <cell r="I7285" t="str">
            <v>sim</v>
          </cell>
          <cell r="V7285" t="str">
            <v>not</v>
          </cell>
          <cell r="Y7285" t="str">
            <v>Past</v>
          </cell>
          <cell r="Z7285">
            <v>4.93</v>
          </cell>
          <cell r="AA7285" t="str">
            <v>H</v>
          </cell>
          <cell r="AB7285">
            <v>0</v>
          </cell>
        </row>
        <row r="7286">
          <cell r="G7286" t="str">
            <v>X2913_0</v>
          </cell>
          <cell r="H7286" t="str">
            <v>as-as</v>
          </cell>
          <cell r="I7286" t="str">
            <v>sim</v>
          </cell>
          <cell r="V7286" t="str">
            <v>not neg pair</v>
          </cell>
          <cell r="Y7286" t="str">
            <v>Past</v>
          </cell>
          <cell r="Z7286">
            <v>2.81</v>
          </cell>
          <cell r="AA7286">
            <v>0</v>
          </cell>
          <cell r="AB7286">
            <v>0</v>
          </cell>
        </row>
        <row r="7287">
          <cell r="G7287" t="str">
            <v>X2913_1</v>
          </cell>
          <cell r="H7287" t="str">
            <v>as-as</v>
          </cell>
          <cell r="I7287" t="str">
            <v>sim</v>
          </cell>
          <cell r="V7287" t="str">
            <v>not neg pair</v>
          </cell>
          <cell r="Y7287" t="str">
            <v>Past</v>
          </cell>
          <cell r="Z7287">
            <v>2.81</v>
          </cell>
          <cell r="AA7287">
            <v>0</v>
          </cell>
          <cell r="AB7287">
            <v>0</v>
          </cell>
        </row>
        <row r="7288">
          <cell r="G7288" t="str">
            <v>X2914_0</v>
          </cell>
          <cell r="H7288" t="str">
            <v>as-as</v>
          </cell>
          <cell r="I7288" t="str">
            <v>sim</v>
          </cell>
          <cell r="V7288" t="str">
            <v>not</v>
          </cell>
          <cell r="Y7288" t="str">
            <v>Past</v>
          </cell>
          <cell r="Z7288">
            <v>2.81</v>
          </cell>
          <cell r="AA7288">
            <v>0</v>
          </cell>
          <cell r="AB7288">
            <v>0</v>
          </cell>
        </row>
        <row r="7289">
          <cell r="G7289" t="str">
            <v>X2914_1</v>
          </cell>
          <cell r="H7289" t="str">
            <v>as-as</v>
          </cell>
          <cell r="I7289" t="str">
            <v>sim</v>
          </cell>
          <cell r="V7289" t="str">
            <v>not</v>
          </cell>
          <cell r="Y7289" t="str">
            <v>Past</v>
          </cell>
          <cell r="Z7289">
            <v>2.81</v>
          </cell>
          <cell r="AA7289">
            <v>0</v>
          </cell>
          <cell r="AB7289">
            <v>0</v>
          </cell>
        </row>
        <row r="7290">
          <cell r="G7290" t="str">
            <v>X2915_0</v>
          </cell>
          <cell r="H7290" t="str">
            <v/>
          </cell>
          <cell r="I7290" t="str">
            <v>met</v>
          </cell>
          <cell r="V7290" t="str">
            <v>0</v>
          </cell>
          <cell r="Y7290" t="str">
            <v>Pres</v>
          </cell>
          <cell r="Z7290">
            <v>4.97</v>
          </cell>
          <cell r="AA7290" t="str">
            <v>H</v>
          </cell>
          <cell r="AB7290">
            <v>0</v>
          </cell>
        </row>
        <row r="7291">
          <cell r="G7291" t="str">
            <v>X2915_1</v>
          </cell>
          <cell r="H7291" t="str">
            <v/>
          </cell>
          <cell r="I7291" t="str">
            <v>met</v>
          </cell>
          <cell r="V7291" t="str">
            <v>0</v>
          </cell>
          <cell r="Y7291" t="str">
            <v>Pres</v>
          </cell>
          <cell r="Z7291">
            <v>4.97</v>
          </cell>
          <cell r="AA7291" t="str">
            <v>H</v>
          </cell>
          <cell r="AB7291">
            <v>0</v>
          </cell>
        </row>
        <row r="7292">
          <cell r="G7292" t="str">
            <v>X2916_0</v>
          </cell>
          <cell r="H7292" t="str">
            <v>as-as</v>
          </cell>
          <cell r="I7292" t="str">
            <v>sim</v>
          </cell>
          <cell r="V7292" t="str">
            <v>not neg pair</v>
          </cell>
          <cell r="Y7292" t="str">
            <v>Past</v>
          </cell>
          <cell r="Z7292">
            <v>4.13</v>
          </cell>
          <cell r="AA7292">
            <v>0</v>
          </cell>
          <cell r="AB7292">
            <v>0</v>
          </cell>
        </row>
        <row r="7293">
          <cell r="G7293" t="str">
            <v>X2916_1</v>
          </cell>
          <cell r="H7293" t="str">
            <v>as-as</v>
          </cell>
          <cell r="I7293" t="str">
            <v>sim</v>
          </cell>
          <cell r="V7293" t="str">
            <v>not neg pair</v>
          </cell>
          <cell r="Y7293" t="str">
            <v>Past</v>
          </cell>
          <cell r="Z7293">
            <v>4.13</v>
          </cell>
          <cell r="AA7293">
            <v>0</v>
          </cell>
          <cell r="AB7293">
            <v>0</v>
          </cell>
        </row>
        <row r="7294">
          <cell r="G7294" t="str">
            <v>X2917_0</v>
          </cell>
          <cell r="H7294" t="str">
            <v>as-as</v>
          </cell>
          <cell r="I7294" t="str">
            <v>sim</v>
          </cell>
          <cell r="V7294" t="str">
            <v>antonym</v>
          </cell>
          <cell r="Y7294" t="str">
            <v>Past</v>
          </cell>
          <cell r="Z7294">
            <v>4.9000000000000004</v>
          </cell>
          <cell r="AA7294">
            <v>0</v>
          </cell>
          <cell r="AB7294">
            <v>0</v>
          </cell>
        </row>
        <row r="7295">
          <cell r="G7295" t="str">
            <v>X2917_1</v>
          </cell>
          <cell r="H7295" t="str">
            <v>as-as</v>
          </cell>
          <cell r="I7295" t="str">
            <v>sim</v>
          </cell>
          <cell r="V7295" t="str">
            <v>antonym</v>
          </cell>
          <cell r="Y7295" t="str">
            <v>Past</v>
          </cell>
          <cell r="Z7295">
            <v>4.9000000000000004</v>
          </cell>
          <cell r="AA7295">
            <v>0</v>
          </cell>
          <cell r="AB7295">
            <v>0</v>
          </cell>
        </row>
        <row r="7296">
          <cell r="G7296" t="str">
            <v>X2918_0</v>
          </cell>
          <cell r="H7296" t="str">
            <v>as-as</v>
          </cell>
          <cell r="I7296" t="str">
            <v>sim</v>
          </cell>
          <cell r="V7296" t="str">
            <v>not neg pair</v>
          </cell>
          <cell r="Y7296" t="str">
            <v>Past</v>
          </cell>
          <cell r="Z7296">
            <v>5</v>
          </cell>
          <cell r="AA7296" t="str">
            <v>H</v>
          </cell>
          <cell r="AB7296">
            <v>0</v>
          </cell>
        </row>
        <row r="7297">
          <cell r="G7297" t="str">
            <v>X2918_1</v>
          </cell>
          <cell r="H7297" t="str">
            <v>as-as</v>
          </cell>
          <cell r="I7297" t="str">
            <v>sim</v>
          </cell>
          <cell r="V7297" t="str">
            <v>not neg pair</v>
          </cell>
          <cell r="Y7297" t="str">
            <v>Past</v>
          </cell>
          <cell r="Z7297">
            <v>5</v>
          </cell>
          <cell r="AA7297" t="str">
            <v>H</v>
          </cell>
          <cell r="AB7297">
            <v>0</v>
          </cell>
        </row>
        <row r="7298">
          <cell r="G7298" t="str">
            <v>X2919_0</v>
          </cell>
          <cell r="H7298" t="str">
            <v>as-as</v>
          </cell>
          <cell r="I7298" t="str">
            <v>sim</v>
          </cell>
          <cell r="V7298" t="str">
            <v>not</v>
          </cell>
          <cell r="Y7298" t="str">
            <v>Past</v>
          </cell>
          <cell r="Z7298">
            <v>1.93</v>
          </cell>
          <cell r="AA7298" t="str">
            <v>L</v>
          </cell>
          <cell r="AB7298">
            <v>0</v>
          </cell>
        </row>
        <row r="7299">
          <cell r="G7299" t="str">
            <v>X2919_1</v>
          </cell>
          <cell r="H7299" t="str">
            <v>as-as</v>
          </cell>
          <cell r="I7299" t="str">
            <v>sim</v>
          </cell>
          <cell r="V7299" t="str">
            <v>not</v>
          </cell>
          <cell r="Y7299" t="str">
            <v>Past</v>
          </cell>
          <cell r="Z7299">
            <v>1.93</v>
          </cell>
          <cell r="AA7299" t="str">
            <v>L</v>
          </cell>
          <cell r="AB7299">
            <v>0</v>
          </cell>
        </row>
        <row r="7300">
          <cell r="G7300" t="str">
            <v>X2920_0</v>
          </cell>
          <cell r="H7300" t="str">
            <v>as-as</v>
          </cell>
          <cell r="I7300" t="str">
            <v>sim</v>
          </cell>
          <cell r="V7300" t="str">
            <v>not neg pair</v>
          </cell>
          <cell r="Y7300" t="str">
            <v>Past</v>
          </cell>
          <cell r="Z7300">
            <v>4.92</v>
          </cell>
          <cell r="AA7300" t="str">
            <v>H</v>
          </cell>
          <cell r="AB7300">
            <v>0</v>
          </cell>
        </row>
        <row r="7301">
          <cell r="G7301" t="str">
            <v>X2920_1</v>
          </cell>
          <cell r="H7301" t="str">
            <v>as-as</v>
          </cell>
          <cell r="I7301" t="str">
            <v>sim</v>
          </cell>
          <cell r="V7301" t="str">
            <v>not neg pair</v>
          </cell>
          <cell r="Y7301" t="str">
            <v>Past</v>
          </cell>
          <cell r="Z7301">
            <v>4.92</v>
          </cell>
          <cell r="AA7301" t="str">
            <v>H</v>
          </cell>
          <cell r="AB7301">
            <v>0</v>
          </cell>
        </row>
        <row r="7302">
          <cell r="G7302" t="str">
            <v>X2921_0</v>
          </cell>
          <cell r="H7302" t="str">
            <v>as-as</v>
          </cell>
          <cell r="I7302" t="str">
            <v>sim</v>
          </cell>
          <cell r="V7302" t="str">
            <v>not</v>
          </cell>
          <cell r="Y7302" t="str">
            <v>Past</v>
          </cell>
          <cell r="Z7302">
            <v>2.0699999999999998</v>
          </cell>
          <cell r="AA7302" t="str">
            <v>L</v>
          </cell>
          <cell r="AB7302">
            <v>0</v>
          </cell>
        </row>
        <row r="7303">
          <cell r="G7303" t="str">
            <v>X2921_1</v>
          </cell>
          <cell r="H7303" t="str">
            <v>as-as</v>
          </cell>
          <cell r="I7303" t="str">
            <v>sim</v>
          </cell>
          <cell r="V7303" t="str">
            <v>not</v>
          </cell>
          <cell r="Y7303" t="str">
            <v>Past</v>
          </cell>
          <cell r="Z7303">
            <v>2.0699999999999998</v>
          </cell>
          <cell r="AA7303" t="str">
            <v>L</v>
          </cell>
          <cell r="AB7303">
            <v>0</v>
          </cell>
        </row>
        <row r="7304">
          <cell r="G7304" t="str">
            <v>X2922_0</v>
          </cell>
          <cell r="H7304" t="str">
            <v>as-as</v>
          </cell>
          <cell r="I7304" t="str">
            <v>sim</v>
          </cell>
          <cell r="V7304" t="str">
            <v>not</v>
          </cell>
          <cell r="Y7304" t="str">
            <v>Past</v>
          </cell>
          <cell r="Z7304">
            <v>3.32</v>
          </cell>
          <cell r="AA7304">
            <v>0</v>
          </cell>
          <cell r="AB7304">
            <v>0</v>
          </cell>
        </row>
        <row r="7305">
          <cell r="G7305" t="str">
            <v>X2922_1</v>
          </cell>
          <cell r="H7305" t="str">
            <v>as-as</v>
          </cell>
          <cell r="I7305" t="str">
            <v>sim</v>
          </cell>
          <cell r="V7305" t="str">
            <v>not</v>
          </cell>
          <cell r="Y7305" t="str">
            <v>Past</v>
          </cell>
          <cell r="Z7305">
            <v>3.32</v>
          </cell>
          <cell r="AA7305">
            <v>0</v>
          </cell>
          <cell r="AB7305">
            <v>0</v>
          </cell>
        </row>
        <row r="7306">
          <cell r="G7306" t="str">
            <v>X2923_0</v>
          </cell>
          <cell r="H7306" t="str">
            <v>as-as</v>
          </cell>
          <cell r="I7306" t="str">
            <v>sim</v>
          </cell>
          <cell r="V7306" t="str">
            <v>not</v>
          </cell>
          <cell r="Y7306" t="str">
            <v>Past</v>
          </cell>
          <cell r="Z7306">
            <v>4.32</v>
          </cell>
          <cell r="AA7306">
            <v>0</v>
          </cell>
          <cell r="AB7306">
            <v>0</v>
          </cell>
        </row>
        <row r="7307">
          <cell r="G7307" t="str">
            <v>X2923_1</v>
          </cell>
          <cell r="H7307" t="str">
            <v>as-as</v>
          </cell>
          <cell r="I7307" t="str">
            <v>sim</v>
          </cell>
          <cell r="V7307" t="str">
            <v>not</v>
          </cell>
          <cell r="Y7307" t="str">
            <v>Past</v>
          </cell>
          <cell r="Z7307">
            <v>4.32</v>
          </cell>
          <cell r="AA7307">
            <v>0</v>
          </cell>
          <cell r="AB7307">
            <v>0</v>
          </cell>
        </row>
        <row r="7308">
          <cell r="G7308" t="str">
            <v>X2924_0</v>
          </cell>
          <cell r="H7308" t="str">
            <v>the-of</v>
          </cell>
          <cell r="I7308" t="str">
            <v>sim</v>
          </cell>
          <cell r="V7308" t="str">
            <v>not neg pair</v>
          </cell>
          <cell r="Y7308" t="str">
            <v>Pres</v>
          </cell>
          <cell r="Z7308">
            <v>4.2300000000000004</v>
          </cell>
          <cell r="AA7308">
            <v>0</v>
          </cell>
          <cell r="AB7308">
            <v>0</v>
          </cell>
        </row>
        <row r="7309">
          <cell r="G7309" t="str">
            <v>X2924_1</v>
          </cell>
          <cell r="H7309" t="str">
            <v>the-of</v>
          </cell>
          <cell r="I7309" t="str">
            <v>sim</v>
          </cell>
          <cell r="V7309" t="str">
            <v>not neg pair</v>
          </cell>
          <cell r="Y7309" t="str">
            <v>Pres</v>
          </cell>
          <cell r="Z7309">
            <v>4.2300000000000004</v>
          </cell>
          <cell r="AA7309">
            <v>0</v>
          </cell>
          <cell r="AB7309">
            <v>0</v>
          </cell>
        </row>
        <row r="7310">
          <cell r="G7310" t="str">
            <v>X2925_0</v>
          </cell>
          <cell r="H7310" t="str">
            <v>the-of</v>
          </cell>
          <cell r="I7310" t="str">
            <v>sim</v>
          </cell>
          <cell r="V7310" t="str">
            <v>not neg pair</v>
          </cell>
          <cell r="Y7310" t="str">
            <v>Pres</v>
          </cell>
          <cell r="Z7310">
            <v>4.96</v>
          </cell>
          <cell r="AA7310" t="str">
            <v>H</v>
          </cell>
          <cell r="AB7310">
            <v>0</v>
          </cell>
        </row>
        <row r="7311">
          <cell r="G7311" t="str">
            <v>X2925_1</v>
          </cell>
          <cell r="H7311" t="str">
            <v>the-of</v>
          </cell>
          <cell r="I7311" t="str">
            <v>sim</v>
          </cell>
          <cell r="V7311" t="str">
            <v>not neg pair</v>
          </cell>
          <cell r="Y7311" t="str">
            <v>Pres</v>
          </cell>
          <cell r="Z7311">
            <v>4.96</v>
          </cell>
          <cell r="AA7311" t="str">
            <v>H</v>
          </cell>
          <cell r="AB7311">
            <v>0</v>
          </cell>
        </row>
        <row r="7312">
          <cell r="G7312" t="str">
            <v>X2926_0</v>
          </cell>
          <cell r="H7312" t="str">
            <v/>
          </cell>
          <cell r="I7312" t="str">
            <v>met</v>
          </cell>
          <cell r="V7312" t="str">
            <v>0</v>
          </cell>
          <cell r="Y7312" t="str">
            <v>Pres</v>
          </cell>
          <cell r="Z7312">
            <v>4.79</v>
          </cell>
          <cell r="AA7312">
            <v>0</v>
          </cell>
          <cell r="AB7312">
            <v>0</v>
          </cell>
        </row>
        <row r="7313">
          <cell r="G7313" t="str">
            <v>X2926_1</v>
          </cell>
          <cell r="H7313" t="str">
            <v/>
          </cell>
          <cell r="I7313" t="str">
            <v>met</v>
          </cell>
          <cell r="V7313" t="str">
            <v>0</v>
          </cell>
          <cell r="Y7313" t="str">
            <v>Pres</v>
          </cell>
          <cell r="Z7313">
            <v>4.79</v>
          </cell>
          <cell r="AA7313">
            <v>0</v>
          </cell>
          <cell r="AB7313">
            <v>0</v>
          </cell>
        </row>
        <row r="7314">
          <cell r="G7314" t="str">
            <v>X2927_0</v>
          </cell>
          <cell r="H7314" t="str">
            <v>the-of</v>
          </cell>
          <cell r="I7314" t="str">
            <v>sim</v>
          </cell>
          <cell r="V7314" t="str">
            <v>not neg pair</v>
          </cell>
          <cell r="Y7314" t="str">
            <v>Pres</v>
          </cell>
          <cell r="Z7314">
            <v>3.32</v>
          </cell>
          <cell r="AA7314">
            <v>0</v>
          </cell>
          <cell r="AB7314">
            <v>0</v>
          </cell>
        </row>
        <row r="7315">
          <cell r="G7315" t="str">
            <v>X2927_1</v>
          </cell>
          <cell r="H7315" t="str">
            <v>the-of</v>
          </cell>
          <cell r="I7315" t="str">
            <v>sim</v>
          </cell>
          <cell r="V7315" t="str">
            <v>not neg pair</v>
          </cell>
          <cell r="Y7315" t="str">
            <v>Pres</v>
          </cell>
          <cell r="Z7315">
            <v>3.32</v>
          </cell>
          <cell r="AA7315">
            <v>0</v>
          </cell>
          <cell r="AB7315">
            <v>0</v>
          </cell>
        </row>
        <row r="7316">
          <cell r="G7316" t="str">
            <v>X2928_0</v>
          </cell>
          <cell r="H7316" t="str">
            <v>like</v>
          </cell>
          <cell r="I7316" t="str">
            <v>sim</v>
          </cell>
          <cell r="V7316" t="str">
            <v>not neg pair</v>
          </cell>
          <cell r="Y7316" t="str">
            <v>Pres</v>
          </cell>
          <cell r="Z7316">
            <v>4.32</v>
          </cell>
          <cell r="AA7316">
            <v>0</v>
          </cell>
          <cell r="AB7316">
            <v>0</v>
          </cell>
        </row>
        <row r="7317">
          <cell r="G7317" t="str">
            <v>X2928_1</v>
          </cell>
          <cell r="H7317" t="str">
            <v>like</v>
          </cell>
          <cell r="I7317" t="str">
            <v>sim</v>
          </cell>
          <cell r="V7317" t="str">
            <v>not neg pair</v>
          </cell>
          <cell r="Y7317" t="str">
            <v>Pres</v>
          </cell>
          <cell r="Z7317">
            <v>4.32</v>
          </cell>
          <cell r="AA7317">
            <v>0</v>
          </cell>
          <cell r="AB7317">
            <v>0</v>
          </cell>
        </row>
        <row r="7318">
          <cell r="G7318" t="str">
            <v>X2929_0</v>
          </cell>
          <cell r="H7318" t="str">
            <v>as-as</v>
          </cell>
          <cell r="I7318" t="str">
            <v>sim</v>
          </cell>
          <cell r="V7318" t="str">
            <v>not neg pair</v>
          </cell>
          <cell r="Y7318" t="str">
            <v>Past</v>
          </cell>
          <cell r="Z7318">
            <v>3.97</v>
          </cell>
          <cell r="AA7318">
            <v>0</v>
          </cell>
          <cell r="AB7318">
            <v>0</v>
          </cell>
        </row>
        <row r="7319">
          <cell r="G7319" t="str">
            <v>X2929_1</v>
          </cell>
          <cell r="H7319" t="str">
            <v>as-as</v>
          </cell>
          <cell r="I7319" t="str">
            <v>sim</v>
          </cell>
          <cell r="V7319" t="str">
            <v>not neg pair</v>
          </cell>
          <cell r="Y7319" t="str">
            <v>Past</v>
          </cell>
          <cell r="Z7319">
            <v>3.97</v>
          </cell>
          <cell r="AA7319">
            <v>0</v>
          </cell>
          <cell r="AB7319">
            <v>0</v>
          </cell>
        </row>
        <row r="7320">
          <cell r="G7320" t="str">
            <v>X2930_0</v>
          </cell>
          <cell r="H7320" t="str">
            <v>the-of</v>
          </cell>
          <cell r="I7320" t="str">
            <v>sim</v>
          </cell>
          <cell r="V7320" t="str">
            <v>not neg pair</v>
          </cell>
          <cell r="Y7320" t="str">
            <v>Past</v>
          </cell>
          <cell r="Z7320">
            <v>4.9000000000000004</v>
          </cell>
          <cell r="AA7320">
            <v>0</v>
          </cell>
          <cell r="AB7320">
            <v>0</v>
          </cell>
        </row>
        <row r="7321">
          <cell r="G7321" t="str">
            <v>X2930_1</v>
          </cell>
          <cell r="H7321" t="str">
            <v>the-of</v>
          </cell>
          <cell r="I7321" t="str">
            <v>sim</v>
          </cell>
          <cell r="V7321" t="str">
            <v>not neg pair</v>
          </cell>
          <cell r="Y7321" t="str">
            <v>Past</v>
          </cell>
          <cell r="Z7321">
            <v>4.9000000000000004</v>
          </cell>
          <cell r="AA7321">
            <v>0</v>
          </cell>
          <cell r="AB7321">
            <v>0</v>
          </cell>
        </row>
        <row r="7322">
          <cell r="G7322" t="str">
            <v>X2931_0</v>
          </cell>
          <cell r="H7322" t="str">
            <v>like</v>
          </cell>
          <cell r="I7322" t="str">
            <v>sim</v>
          </cell>
          <cell r="V7322" t="str">
            <v>not neg pair</v>
          </cell>
          <cell r="Y7322" t="str">
            <v>Past</v>
          </cell>
          <cell r="Z7322">
            <v>2.54</v>
          </cell>
          <cell r="AA7322" t="str">
            <v>L</v>
          </cell>
          <cell r="AB7322">
            <v>0</v>
          </cell>
        </row>
        <row r="7323">
          <cell r="G7323" t="str">
            <v>X2931_1</v>
          </cell>
          <cell r="H7323" t="str">
            <v>like</v>
          </cell>
          <cell r="I7323" t="str">
            <v>sim</v>
          </cell>
          <cell r="V7323" t="str">
            <v>not neg pair</v>
          </cell>
          <cell r="Y7323" t="str">
            <v>Past</v>
          </cell>
          <cell r="Z7323">
            <v>2.54</v>
          </cell>
          <cell r="AA7323" t="str">
            <v>L</v>
          </cell>
          <cell r="AB7323">
            <v>0</v>
          </cell>
        </row>
        <row r="7324">
          <cell r="G7324" t="str">
            <v>X2932_0</v>
          </cell>
          <cell r="H7324" t="str">
            <v>as-as</v>
          </cell>
          <cell r="I7324" t="str">
            <v>sim</v>
          </cell>
          <cell r="V7324" t="str">
            <v>antonym</v>
          </cell>
          <cell r="Y7324" t="str">
            <v>Past</v>
          </cell>
          <cell r="Z7324">
            <v>4.8099999999999996</v>
          </cell>
          <cell r="AA7324">
            <v>0</v>
          </cell>
          <cell r="AB7324">
            <v>0</v>
          </cell>
        </row>
        <row r="7325">
          <cell r="G7325" t="str">
            <v>X2932_1</v>
          </cell>
          <cell r="H7325" t="str">
            <v>as-as</v>
          </cell>
          <cell r="I7325" t="str">
            <v>sim</v>
          </cell>
          <cell r="V7325" t="str">
            <v>antonym</v>
          </cell>
          <cell r="Y7325" t="str">
            <v>Past</v>
          </cell>
          <cell r="Z7325">
            <v>4.8099999999999996</v>
          </cell>
          <cell r="AA7325">
            <v>0</v>
          </cell>
          <cell r="AB7325">
            <v>0</v>
          </cell>
        </row>
        <row r="7326">
          <cell r="G7326" t="str">
            <v>X2933_0</v>
          </cell>
          <cell r="H7326" t="str">
            <v>as-as</v>
          </cell>
          <cell r="I7326" t="str">
            <v>sim</v>
          </cell>
          <cell r="V7326" t="str">
            <v>not neg pair</v>
          </cell>
          <cell r="Y7326" t="str">
            <v>Past</v>
          </cell>
          <cell r="Z7326">
            <v>3.93</v>
          </cell>
          <cell r="AA7326">
            <v>0</v>
          </cell>
          <cell r="AB7326">
            <v>0</v>
          </cell>
        </row>
        <row r="7327">
          <cell r="G7327" t="str">
            <v>X2933_1</v>
          </cell>
          <cell r="H7327" t="str">
            <v>as-as</v>
          </cell>
          <cell r="I7327" t="str">
            <v>sim</v>
          </cell>
          <cell r="V7327" t="str">
            <v>not neg pair</v>
          </cell>
          <cell r="Y7327" t="str">
            <v>Past</v>
          </cell>
          <cell r="Z7327">
            <v>3.93</v>
          </cell>
          <cell r="AA7327">
            <v>0</v>
          </cell>
          <cell r="AB7327">
            <v>0</v>
          </cell>
        </row>
        <row r="7328">
          <cell r="G7328" t="str">
            <v>X2934_0</v>
          </cell>
          <cell r="H7328" t="str">
            <v>as</v>
          </cell>
          <cell r="I7328" t="str">
            <v>sim</v>
          </cell>
          <cell r="V7328" t="str">
            <v>not neg pair</v>
          </cell>
          <cell r="Y7328" t="str">
            <v>Past</v>
          </cell>
          <cell r="Z7328">
            <v>4.1500000000000004</v>
          </cell>
          <cell r="AA7328">
            <v>0</v>
          </cell>
          <cell r="AB7328">
            <v>0</v>
          </cell>
        </row>
        <row r="7329">
          <cell r="G7329" t="str">
            <v>X2934_1</v>
          </cell>
          <cell r="H7329" t="str">
            <v>as</v>
          </cell>
          <cell r="I7329" t="str">
            <v>sim</v>
          </cell>
          <cell r="V7329" t="str">
            <v>not neg pair</v>
          </cell>
          <cell r="Y7329" t="str">
            <v>Past</v>
          </cell>
          <cell r="Z7329">
            <v>4.1500000000000004</v>
          </cell>
          <cell r="AA7329">
            <v>0</v>
          </cell>
          <cell r="AB7329">
            <v>0</v>
          </cell>
        </row>
        <row r="7330">
          <cell r="G7330" t="str">
            <v>X2935_0</v>
          </cell>
          <cell r="H7330" t="str">
            <v>the-of</v>
          </cell>
          <cell r="I7330" t="str">
            <v>sim</v>
          </cell>
          <cell r="V7330" t="str">
            <v>not neg pair</v>
          </cell>
          <cell r="Y7330" t="str">
            <v>Pres</v>
          </cell>
          <cell r="Z7330">
            <v>4.9000000000000004</v>
          </cell>
          <cell r="AA7330">
            <v>0</v>
          </cell>
          <cell r="AB7330">
            <v>0</v>
          </cell>
        </row>
        <row r="7331">
          <cell r="G7331" t="str">
            <v>X2935_1</v>
          </cell>
          <cell r="H7331" t="str">
            <v>the-of</v>
          </cell>
          <cell r="I7331" t="str">
            <v>sim</v>
          </cell>
          <cell r="V7331" t="str">
            <v>not neg pair</v>
          </cell>
          <cell r="Y7331" t="str">
            <v>Pres</v>
          </cell>
          <cell r="Z7331">
            <v>4.9000000000000004</v>
          </cell>
          <cell r="AA7331">
            <v>0</v>
          </cell>
          <cell r="AB7331">
            <v>0</v>
          </cell>
        </row>
        <row r="7332">
          <cell r="G7332" t="str">
            <v>X2936_0</v>
          </cell>
          <cell r="H7332" t="str">
            <v>the-of</v>
          </cell>
          <cell r="I7332" t="str">
            <v>sim</v>
          </cell>
          <cell r="V7332" t="str">
            <v>not</v>
          </cell>
          <cell r="Y7332">
            <v>0</v>
          </cell>
          <cell r="Z7332">
            <v>3.36</v>
          </cell>
          <cell r="AA7332">
            <v>0</v>
          </cell>
          <cell r="AB7332">
            <v>0</v>
          </cell>
        </row>
        <row r="7333">
          <cell r="G7333" t="str">
            <v>X2936_1</v>
          </cell>
          <cell r="H7333" t="str">
            <v>the-of</v>
          </cell>
          <cell r="I7333" t="str">
            <v>sim</v>
          </cell>
          <cell r="V7333" t="str">
            <v>not</v>
          </cell>
          <cell r="Y7333" t="str">
            <v>Pres</v>
          </cell>
          <cell r="Z7333">
            <v>3.36</v>
          </cell>
          <cell r="AA7333">
            <v>0</v>
          </cell>
          <cell r="AB7333">
            <v>0</v>
          </cell>
        </row>
        <row r="7334">
          <cell r="G7334" t="str">
            <v>X2937_0</v>
          </cell>
          <cell r="H7334" t="str">
            <v>as-as</v>
          </cell>
          <cell r="I7334" t="str">
            <v>sim</v>
          </cell>
          <cell r="V7334" t="str">
            <v>not</v>
          </cell>
          <cell r="Y7334" t="str">
            <v>Pres</v>
          </cell>
          <cell r="Z7334">
            <v>4.45</v>
          </cell>
          <cell r="AA7334">
            <v>0</v>
          </cell>
          <cell r="AB7334">
            <v>0</v>
          </cell>
        </row>
        <row r="7335">
          <cell r="G7335" t="str">
            <v>X2937_1</v>
          </cell>
          <cell r="H7335" t="str">
            <v>as-as</v>
          </cell>
          <cell r="I7335" t="str">
            <v>sim</v>
          </cell>
          <cell r="V7335" t="str">
            <v>not</v>
          </cell>
          <cell r="Y7335" t="str">
            <v>Pres</v>
          </cell>
          <cell r="Z7335">
            <v>4.45</v>
          </cell>
          <cell r="AA7335">
            <v>0</v>
          </cell>
          <cell r="AB7335">
            <v>0</v>
          </cell>
        </row>
        <row r="7336">
          <cell r="G7336" t="str">
            <v>X2938_0</v>
          </cell>
          <cell r="H7336" t="str">
            <v>the-of</v>
          </cell>
          <cell r="I7336" t="str">
            <v>sim</v>
          </cell>
          <cell r="V7336" t="str">
            <v>not</v>
          </cell>
          <cell r="Y7336" t="str">
            <v>Pres</v>
          </cell>
          <cell r="Z7336">
            <v>3.93</v>
          </cell>
          <cell r="AA7336">
            <v>0</v>
          </cell>
          <cell r="AB7336">
            <v>0</v>
          </cell>
        </row>
        <row r="7337">
          <cell r="G7337" t="str">
            <v>X2938_1</v>
          </cell>
          <cell r="H7337" t="str">
            <v>the-of</v>
          </cell>
          <cell r="I7337" t="str">
            <v>sim</v>
          </cell>
          <cell r="V7337" t="str">
            <v>not</v>
          </cell>
          <cell r="Y7337" t="str">
            <v>Pres</v>
          </cell>
          <cell r="Z7337">
            <v>3.93</v>
          </cell>
          <cell r="AA7337">
            <v>0</v>
          </cell>
          <cell r="AB7337">
            <v>0</v>
          </cell>
        </row>
        <row r="7338">
          <cell r="G7338" t="str">
            <v>X2939_0</v>
          </cell>
          <cell r="H7338" t="str">
            <v>as-as</v>
          </cell>
          <cell r="I7338" t="str">
            <v>sim</v>
          </cell>
          <cell r="V7338" t="str">
            <v>not neg pair</v>
          </cell>
          <cell r="Y7338" t="str">
            <v>Pres</v>
          </cell>
          <cell r="Z7338">
            <v>1.69</v>
          </cell>
          <cell r="AA7338" t="str">
            <v>L</v>
          </cell>
          <cell r="AB7338">
            <v>0</v>
          </cell>
        </row>
        <row r="7339">
          <cell r="G7339" t="str">
            <v>X2939_1</v>
          </cell>
          <cell r="H7339" t="str">
            <v>like</v>
          </cell>
          <cell r="I7339" t="str">
            <v>sim</v>
          </cell>
          <cell r="V7339" t="str">
            <v>not neg pair</v>
          </cell>
          <cell r="Y7339" t="str">
            <v>Pres</v>
          </cell>
          <cell r="Z7339">
            <v>1.69</v>
          </cell>
          <cell r="AA7339" t="str">
            <v>L</v>
          </cell>
          <cell r="AB7339">
            <v>0</v>
          </cell>
        </row>
        <row r="7340">
          <cell r="G7340" t="str">
            <v>X2940_0</v>
          </cell>
          <cell r="H7340" t="str">
            <v>like</v>
          </cell>
          <cell r="I7340" t="str">
            <v>sim</v>
          </cell>
          <cell r="V7340" t="str">
            <v>not neg pair</v>
          </cell>
          <cell r="Y7340" t="str">
            <v>Pres</v>
          </cell>
          <cell r="Z7340">
            <v>2.9</v>
          </cell>
          <cell r="AA7340">
            <v>0</v>
          </cell>
          <cell r="AB7340">
            <v>0</v>
          </cell>
        </row>
        <row r="7341">
          <cell r="G7341" t="str">
            <v>X2940_1</v>
          </cell>
          <cell r="H7341" t="str">
            <v>like</v>
          </cell>
          <cell r="I7341" t="str">
            <v>sim</v>
          </cell>
          <cell r="V7341" t="str">
            <v>not neg pair</v>
          </cell>
          <cell r="Y7341" t="str">
            <v>Pres</v>
          </cell>
          <cell r="Z7341">
            <v>2.9</v>
          </cell>
          <cell r="AA7341">
            <v>0</v>
          </cell>
          <cell r="AB7341">
            <v>0</v>
          </cell>
        </row>
        <row r="7342">
          <cell r="G7342" t="str">
            <v>X2941_0</v>
          </cell>
          <cell r="H7342" t="str">
            <v>as-as</v>
          </cell>
          <cell r="I7342" t="str">
            <v>sim</v>
          </cell>
          <cell r="V7342" t="str">
            <v>antonym</v>
          </cell>
          <cell r="Y7342" t="str">
            <v>Pres</v>
          </cell>
          <cell r="Z7342">
            <v>2.79</v>
          </cell>
          <cell r="AA7342" t="str">
            <v>L</v>
          </cell>
          <cell r="AB7342">
            <v>0</v>
          </cell>
        </row>
        <row r="7343">
          <cell r="G7343" t="str">
            <v>X2941_1</v>
          </cell>
          <cell r="H7343" t="str">
            <v>as-as</v>
          </cell>
          <cell r="I7343" t="str">
            <v>sim</v>
          </cell>
          <cell r="V7343" t="str">
            <v>antonym</v>
          </cell>
          <cell r="Y7343" t="str">
            <v>Pres</v>
          </cell>
          <cell r="Z7343">
            <v>2.79</v>
          </cell>
          <cell r="AA7343" t="str">
            <v>L</v>
          </cell>
          <cell r="AB7343">
            <v>0</v>
          </cell>
        </row>
        <row r="7344">
          <cell r="G7344" t="str">
            <v>X2942_0</v>
          </cell>
          <cell r="H7344" t="str">
            <v>as-as</v>
          </cell>
          <cell r="I7344" t="str">
            <v>sim</v>
          </cell>
          <cell r="V7344" t="str">
            <v>not</v>
          </cell>
          <cell r="Y7344" t="str">
            <v>Past</v>
          </cell>
          <cell r="Z7344">
            <v>4.29</v>
          </cell>
          <cell r="AA7344">
            <v>0</v>
          </cell>
          <cell r="AB7344">
            <v>0</v>
          </cell>
        </row>
        <row r="7345">
          <cell r="G7345" t="str">
            <v>X2942_1</v>
          </cell>
          <cell r="H7345" t="str">
            <v>as-as</v>
          </cell>
          <cell r="I7345" t="str">
            <v>sim</v>
          </cell>
          <cell r="V7345" t="str">
            <v>not</v>
          </cell>
          <cell r="Y7345" t="str">
            <v>Past</v>
          </cell>
          <cell r="Z7345">
            <v>4.29</v>
          </cell>
          <cell r="AA7345">
            <v>0</v>
          </cell>
          <cell r="AB7345">
            <v>0</v>
          </cell>
        </row>
        <row r="7346">
          <cell r="G7346" t="str">
            <v>X2943_0</v>
          </cell>
          <cell r="H7346" t="str">
            <v>like</v>
          </cell>
          <cell r="I7346" t="str">
            <v>sim</v>
          </cell>
          <cell r="V7346" t="str">
            <v>not neg pair</v>
          </cell>
          <cell r="Y7346" t="str">
            <v>Past</v>
          </cell>
          <cell r="Z7346">
            <v>2.08</v>
          </cell>
          <cell r="AA7346" t="str">
            <v>L</v>
          </cell>
          <cell r="AB7346">
            <v>0</v>
          </cell>
        </row>
        <row r="7347">
          <cell r="G7347" t="str">
            <v>X2943_1</v>
          </cell>
          <cell r="H7347" t="str">
            <v>like</v>
          </cell>
          <cell r="I7347" t="str">
            <v>sim</v>
          </cell>
          <cell r="V7347" t="str">
            <v>not neg pair</v>
          </cell>
          <cell r="Y7347" t="str">
            <v>Past</v>
          </cell>
          <cell r="Z7347">
            <v>2.08</v>
          </cell>
          <cell r="AA7347" t="str">
            <v>L</v>
          </cell>
          <cell r="AB7347">
            <v>0</v>
          </cell>
        </row>
        <row r="7348">
          <cell r="G7348" t="str">
            <v>X2944_0</v>
          </cell>
          <cell r="H7348" t="str">
            <v>the-of</v>
          </cell>
          <cell r="I7348" t="str">
            <v>sim</v>
          </cell>
          <cell r="V7348" t="str">
            <v>not neg pair</v>
          </cell>
          <cell r="Y7348" t="str">
            <v>Pres</v>
          </cell>
          <cell r="Z7348">
            <v>4.79</v>
          </cell>
          <cell r="AA7348">
            <v>0</v>
          </cell>
          <cell r="AB7348">
            <v>0</v>
          </cell>
        </row>
        <row r="7349">
          <cell r="G7349" t="str">
            <v>X2944_1</v>
          </cell>
          <cell r="H7349" t="str">
            <v>the-of</v>
          </cell>
          <cell r="I7349" t="str">
            <v>sim</v>
          </cell>
          <cell r="V7349" t="str">
            <v>not neg pair</v>
          </cell>
          <cell r="Y7349" t="str">
            <v>Pres</v>
          </cell>
          <cell r="Z7349">
            <v>4.79</v>
          </cell>
          <cell r="AA7349">
            <v>0</v>
          </cell>
          <cell r="AB7349">
            <v>0</v>
          </cell>
        </row>
        <row r="7350">
          <cell r="G7350" t="str">
            <v>X2945_0</v>
          </cell>
          <cell r="H7350" t="str">
            <v>the-of</v>
          </cell>
          <cell r="I7350" t="str">
            <v>sim</v>
          </cell>
          <cell r="V7350" t="str">
            <v>not neg pair</v>
          </cell>
          <cell r="Y7350" t="str">
            <v>Pres</v>
          </cell>
          <cell r="Z7350">
            <v>4.3099999999999996</v>
          </cell>
          <cell r="AA7350">
            <v>0</v>
          </cell>
          <cell r="AB7350">
            <v>0</v>
          </cell>
        </row>
        <row r="7351">
          <cell r="G7351" t="str">
            <v>X2945_1</v>
          </cell>
          <cell r="H7351" t="str">
            <v>the-of</v>
          </cell>
          <cell r="I7351" t="str">
            <v>sim</v>
          </cell>
          <cell r="V7351" t="str">
            <v>not neg pair</v>
          </cell>
          <cell r="Y7351" t="str">
            <v>Pres</v>
          </cell>
          <cell r="Z7351">
            <v>4.3099999999999996</v>
          </cell>
          <cell r="AA7351">
            <v>0</v>
          </cell>
          <cell r="AB7351">
            <v>0</v>
          </cell>
        </row>
        <row r="7352">
          <cell r="G7352" t="str">
            <v>X2946_0</v>
          </cell>
          <cell r="H7352" t="str">
            <v>the-of</v>
          </cell>
          <cell r="I7352" t="str">
            <v>sim</v>
          </cell>
          <cell r="V7352" t="str">
            <v>not</v>
          </cell>
          <cell r="Y7352" t="str">
            <v>Past</v>
          </cell>
          <cell r="Z7352">
            <v>3.93</v>
          </cell>
          <cell r="AA7352">
            <v>0</v>
          </cell>
          <cell r="AB7352">
            <v>0</v>
          </cell>
        </row>
        <row r="7353">
          <cell r="G7353" t="str">
            <v>X2946_1</v>
          </cell>
          <cell r="H7353" t="str">
            <v>the-of</v>
          </cell>
          <cell r="I7353" t="str">
            <v>sim</v>
          </cell>
          <cell r="V7353" t="str">
            <v>not</v>
          </cell>
          <cell r="Y7353" t="str">
            <v>Past</v>
          </cell>
          <cell r="Z7353">
            <v>3.93</v>
          </cell>
          <cell r="AA7353">
            <v>0</v>
          </cell>
          <cell r="AB7353">
            <v>0</v>
          </cell>
        </row>
        <row r="7354">
          <cell r="G7354" t="str">
            <v>X2947_0</v>
          </cell>
          <cell r="H7354" t="str">
            <v/>
          </cell>
          <cell r="I7354" t="str">
            <v>met</v>
          </cell>
          <cell r="V7354" t="str">
            <v>0</v>
          </cell>
          <cell r="Y7354" t="str">
            <v>Past</v>
          </cell>
          <cell r="Z7354">
            <v>0</v>
          </cell>
          <cell r="AA7354">
            <v>0</v>
          </cell>
          <cell r="AB7354">
            <v>0</v>
          </cell>
        </row>
        <row r="7355">
          <cell r="G7355" t="str">
            <v>X2947_1</v>
          </cell>
          <cell r="H7355" t="str">
            <v/>
          </cell>
          <cell r="I7355" t="str">
            <v>met</v>
          </cell>
          <cell r="V7355" t="str">
            <v>0</v>
          </cell>
          <cell r="Y7355" t="str">
            <v>Pres</v>
          </cell>
          <cell r="Z7355">
            <v>2.81</v>
          </cell>
          <cell r="AA7355">
            <v>0</v>
          </cell>
          <cell r="AB7355">
            <v>0</v>
          </cell>
        </row>
        <row r="7356">
          <cell r="G7356" t="str">
            <v>X2948_0</v>
          </cell>
          <cell r="H7356" t="str">
            <v/>
          </cell>
          <cell r="I7356" t="str">
            <v>met</v>
          </cell>
          <cell r="V7356" t="str">
            <v>0</v>
          </cell>
          <cell r="Y7356" t="str">
            <v>Pres</v>
          </cell>
          <cell r="Z7356">
            <v>2.04</v>
          </cell>
          <cell r="AA7356" t="str">
            <v>L</v>
          </cell>
          <cell r="AB7356">
            <v>0</v>
          </cell>
        </row>
        <row r="7357">
          <cell r="G7357" t="str">
            <v>X2948_1</v>
          </cell>
          <cell r="H7357" t="str">
            <v/>
          </cell>
          <cell r="I7357" t="str">
            <v>met</v>
          </cell>
          <cell r="V7357" t="str">
            <v>0</v>
          </cell>
          <cell r="Y7357" t="str">
            <v>Pres</v>
          </cell>
          <cell r="Z7357">
            <v>2.04</v>
          </cell>
          <cell r="AA7357" t="str">
            <v>L</v>
          </cell>
          <cell r="AB7357">
            <v>0</v>
          </cell>
        </row>
        <row r="7358">
          <cell r="G7358" t="str">
            <v>X2949_0</v>
          </cell>
          <cell r="H7358" t="str">
            <v/>
          </cell>
          <cell r="I7358" t="str">
            <v>met</v>
          </cell>
          <cell r="V7358" t="str">
            <v>0</v>
          </cell>
          <cell r="Y7358" t="str">
            <v>Pres</v>
          </cell>
          <cell r="Z7358">
            <v>4.72</v>
          </cell>
          <cell r="AA7358">
            <v>0</v>
          </cell>
          <cell r="AB7358">
            <v>0</v>
          </cell>
        </row>
        <row r="7359">
          <cell r="G7359" t="str">
            <v>X2949_1</v>
          </cell>
          <cell r="H7359" t="str">
            <v>the-of</v>
          </cell>
          <cell r="I7359" t="str">
            <v>sim</v>
          </cell>
          <cell r="V7359" t="str">
            <v>0</v>
          </cell>
          <cell r="Y7359" t="str">
            <v>Pres</v>
          </cell>
          <cell r="Z7359">
            <v>4.72</v>
          </cell>
          <cell r="AA7359">
            <v>0</v>
          </cell>
          <cell r="AB7359">
            <v>0</v>
          </cell>
        </row>
        <row r="7360">
          <cell r="G7360" t="str">
            <v>X2950_0</v>
          </cell>
          <cell r="H7360" t="str">
            <v>the-of</v>
          </cell>
          <cell r="I7360" t="str">
            <v>sim</v>
          </cell>
          <cell r="V7360" t="str">
            <v>not</v>
          </cell>
          <cell r="Y7360" t="str">
            <v>Past</v>
          </cell>
          <cell r="Z7360">
            <v>3.36</v>
          </cell>
          <cell r="AA7360">
            <v>0</v>
          </cell>
          <cell r="AB7360">
            <v>0</v>
          </cell>
        </row>
        <row r="7361">
          <cell r="G7361" t="str">
            <v>X2950_1</v>
          </cell>
          <cell r="H7361" t="str">
            <v>the-of</v>
          </cell>
          <cell r="I7361" t="str">
            <v>sim</v>
          </cell>
          <cell r="V7361" t="str">
            <v>not</v>
          </cell>
          <cell r="Y7361" t="str">
            <v>Past</v>
          </cell>
          <cell r="Z7361">
            <v>3.36</v>
          </cell>
          <cell r="AA7361">
            <v>0</v>
          </cell>
          <cell r="AB7361">
            <v>0</v>
          </cell>
        </row>
        <row r="7362">
          <cell r="G7362" t="str">
            <v>X2951_0</v>
          </cell>
          <cell r="H7362" t="str">
            <v>as-as</v>
          </cell>
          <cell r="I7362" t="str">
            <v>sim</v>
          </cell>
          <cell r="V7362" t="str">
            <v>not</v>
          </cell>
          <cell r="Y7362" t="str">
            <v>Pres</v>
          </cell>
          <cell r="Z7362">
            <v>3.93</v>
          </cell>
          <cell r="AA7362">
            <v>0</v>
          </cell>
          <cell r="AB7362">
            <v>0</v>
          </cell>
        </row>
        <row r="7363">
          <cell r="G7363" t="str">
            <v>X2951_1</v>
          </cell>
          <cell r="H7363" t="str">
            <v>as-as</v>
          </cell>
          <cell r="I7363" t="str">
            <v>sim</v>
          </cell>
          <cell r="V7363" t="str">
            <v>not</v>
          </cell>
          <cell r="Y7363" t="str">
            <v>Pres</v>
          </cell>
          <cell r="Z7363">
            <v>3.93</v>
          </cell>
          <cell r="AA7363">
            <v>0</v>
          </cell>
          <cell r="AB7363">
            <v>0</v>
          </cell>
        </row>
        <row r="7364">
          <cell r="G7364" t="str">
            <v>X2952_0</v>
          </cell>
          <cell r="H7364" t="str">
            <v/>
          </cell>
          <cell r="I7364" t="str">
            <v>met</v>
          </cell>
          <cell r="V7364" t="str">
            <v>0</v>
          </cell>
          <cell r="Y7364" t="str">
            <v>Pres</v>
          </cell>
          <cell r="Z7364">
            <v>4.9000000000000004</v>
          </cell>
          <cell r="AA7364">
            <v>0</v>
          </cell>
          <cell r="AB7364">
            <v>0</v>
          </cell>
        </row>
        <row r="7365">
          <cell r="G7365" t="str">
            <v>X2952_1</v>
          </cell>
          <cell r="H7365" t="str">
            <v/>
          </cell>
          <cell r="I7365" t="str">
            <v>met</v>
          </cell>
          <cell r="V7365" t="str">
            <v>0</v>
          </cell>
          <cell r="Y7365" t="str">
            <v>Pres</v>
          </cell>
          <cell r="Z7365">
            <v>4.9000000000000004</v>
          </cell>
          <cell r="AA7365">
            <v>0</v>
          </cell>
          <cell r="AB7365">
            <v>0</v>
          </cell>
        </row>
        <row r="7366">
          <cell r="G7366" t="str">
            <v>X2953_0</v>
          </cell>
          <cell r="H7366" t="str">
            <v/>
          </cell>
          <cell r="I7366" t="str">
            <v>met</v>
          </cell>
          <cell r="V7366" t="str">
            <v>0</v>
          </cell>
          <cell r="Y7366" t="str">
            <v>Pres</v>
          </cell>
          <cell r="Z7366">
            <v>3.93</v>
          </cell>
          <cell r="AA7366">
            <v>0</v>
          </cell>
          <cell r="AB7366">
            <v>0</v>
          </cell>
        </row>
        <row r="7367">
          <cell r="G7367" t="str">
            <v>X2953_1</v>
          </cell>
          <cell r="H7367" t="str">
            <v/>
          </cell>
          <cell r="I7367" t="str">
            <v>met</v>
          </cell>
          <cell r="V7367" t="str">
            <v>0</v>
          </cell>
          <cell r="Y7367" t="str">
            <v>Pres</v>
          </cell>
          <cell r="Z7367">
            <v>3.93</v>
          </cell>
          <cell r="AA7367">
            <v>0</v>
          </cell>
          <cell r="AB7367">
            <v>0</v>
          </cell>
        </row>
        <row r="7368">
          <cell r="G7368" t="str">
            <v>X2954_0</v>
          </cell>
          <cell r="H7368" t="str">
            <v>as-as</v>
          </cell>
          <cell r="I7368" t="str">
            <v>sim</v>
          </cell>
          <cell r="V7368" t="str">
            <v>not neg pair</v>
          </cell>
          <cell r="Y7368" t="str">
            <v>Past</v>
          </cell>
          <cell r="Z7368">
            <v>5</v>
          </cell>
          <cell r="AA7368" t="str">
            <v>H</v>
          </cell>
          <cell r="AB7368">
            <v>0</v>
          </cell>
        </row>
        <row r="7369">
          <cell r="G7369" t="str">
            <v>X2954_1</v>
          </cell>
          <cell r="H7369" t="str">
            <v>as-as</v>
          </cell>
          <cell r="I7369" t="str">
            <v>sim</v>
          </cell>
          <cell r="V7369" t="str">
            <v>not neg pair</v>
          </cell>
          <cell r="Y7369" t="str">
            <v>Past</v>
          </cell>
          <cell r="Z7369">
            <v>5</v>
          </cell>
          <cell r="AA7369" t="str">
            <v>H</v>
          </cell>
          <cell r="AB7369">
            <v>0</v>
          </cell>
        </row>
        <row r="7370">
          <cell r="G7370" t="str">
            <v>X2955_0</v>
          </cell>
          <cell r="H7370" t="str">
            <v/>
          </cell>
          <cell r="I7370" t="str">
            <v>met</v>
          </cell>
          <cell r="V7370" t="str">
            <v>0</v>
          </cell>
          <cell r="Y7370" t="str">
            <v>Past</v>
          </cell>
          <cell r="Z7370">
            <v>4.1100000000000003</v>
          </cell>
          <cell r="AA7370">
            <v>0</v>
          </cell>
          <cell r="AB7370">
            <v>0</v>
          </cell>
        </row>
        <row r="7371">
          <cell r="G7371" t="str">
            <v>X2955_1</v>
          </cell>
          <cell r="H7371" t="str">
            <v/>
          </cell>
          <cell r="I7371" t="str">
            <v>met</v>
          </cell>
          <cell r="V7371" t="str">
            <v>0</v>
          </cell>
          <cell r="Y7371" t="str">
            <v>Past</v>
          </cell>
          <cell r="Z7371">
            <v>4.1100000000000003</v>
          </cell>
          <cell r="AA7371">
            <v>0</v>
          </cell>
          <cell r="AB7371">
            <v>0</v>
          </cell>
        </row>
        <row r="7372">
          <cell r="G7372" t="str">
            <v>X2956_0</v>
          </cell>
          <cell r="H7372" t="str">
            <v/>
          </cell>
          <cell r="I7372" t="str">
            <v>met</v>
          </cell>
          <cell r="V7372" t="str">
            <v>0</v>
          </cell>
          <cell r="Y7372" t="str">
            <v>Past</v>
          </cell>
          <cell r="Z7372">
            <v>2.44</v>
          </cell>
          <cell r="AA7372" t="str">
            <v>L</v>
          </cell>
          <cell r="AB7372">
            <v>0</v>
          </cell>
        </row>
        <row r="7373">
          <cell r="G7373" t="str">
            <v>X2956_1</v>
          </cell>
          <cell r="H7373" t="str">
            <v/>
          </cell>
          <cell r="I7373" t="str">
            <v>met</v>
          </cell>
          <cell r="V7373" t="str">
            <v>0</v>
          </cell>
          <cell r="Y7373" t="str">
            <v>Past</v>
          </cell>
          <cell r="Z7373">
            <v>4.5199999999999996</v>
          </cell>
          <cell r="AA7373">
            <v>0</v>
          </cell>
          <cell r="AB7373">
            <v>0</v>
          </cell>
        </row>
        <row r="7374">
          <cell r="G7374" t="str">
            <v>X2957_0</v>
          </cell>
          <cell r="H7374" t="str">
            <v/>
          </cell>
          <cell r="I7374" t="str">
            <v>met</v>
          </cell>
          <cell r="V7374" t="str">
            <v>0</v>
          </cell>
          <cell r="Y7374" t="str">
            <v>Past</v>
          </cell>
          <cell r="Z7374">
            <v>4.83</v>
          </cell>
          <cell r="AA7374">
            <v>0</v>
          </cell>
          <cell r="AB7374">
            <v>0</v>
          </cell>
        </row>
        <row r="7375">
          <cell r="G7375" t="str">
            <v>X2957_1</v>
          </cell>
          <cell r="H7375" t="str">
            <v/>
          </cell>
          <cell r="I7375" t="str">
            <v>met</v>
          </cell>
          <cell r="V7375" t="str">
            <v>0</v>
          </cell>
          <cell r="Y7375" t="str">
            <v>Past</v>
          </cell>
          <cell r="Z7375">
            <v>4.83</v>
          </cell>
          <cell r="AA7375">
            <v>0</v>
          </cell>
          <cell r="AB7375">
            <v>0</v>
          </cell>
        </row>
        <row r="7376">
          <cell r="G7376" t="str">
            <v>X2958_0</v>
          </cell>
          <cell r="H7376" t="str">
            <v>as-as</v>
          </cell>
          <cell r="I7376" t="str">
            <v>sim</v>
          </cell>
          <cell r="V7376" t="str">
            <v>not neg pair</v>
          </cell>
          <cell r="Y7376" t="str">
            <v>Past</v>
          </cell>
          <cell r="Z7376">
            <v>3.69</v>
          </cell>
          <cell r="AA7376">
            <v>0</v>
          </cell>
          <cell r="AB7376">
            <v>0</v>
          </cell>
        </row>
        <row r="7377">
          <cell r="G7377" t="str">
            <v>X2958_1</v>
          </cell>
          <cell r="H7377" t="str">
            <v>as-as</v>
          </cell>
          <cell r="I7377" t="str">
            <v>sim</v>
          </cell>
          <cell r="V7377" t="str">
            <v>not neg pair</v>
          </cell>
          <cell r="Y7377" t="str">
            <v>Past</v>
          </cell>
          <cell r="Z7377">
            <v>3.69</v>
          </cell>
          <cell r="AA7377">
            <v>0</v>
          </cell>
          <cell r="AB7377">
            <v>0</v>
          </cell>
        </row>
        <row r="7378">
          <cell r="G7378" t="str">
            <v>X2959_0</v>
          </cell>
          <cell r="H7378" t="str">
            <v>as-as</v>
          </cell>
          <cell r="I7378" t="str">
            <v>sim</v>
          </cell>
          <cell r="V7378" t="str">
            <v>not neg pair</v>
          </cell>
          <cell r="Y7378" t="str">
            <v>Pres</v>
          </cell>
          <cell r="Z7378">
            <v>2.5099999999999998</v>
          </cell>
          <cell r="AA7378" t="str">
            <v>L</v>
          </cell>
          <cell r="AB7378">
            <v>0</v>
          </cell>
        </row>
        <row r="7379">
          <cell r="G7379" t="str">
            <v>X2959_1</v>
          </cell>
          <cell r="H7379" t="str">
            <v>as-as</v>
          </cell>
          <cell r="I7379" t="str">
            <v>sim</v>
          </cell>
          <cell r="V7379" t="str">
            <v>not neg pair</v>
          </cell>
          <cell r="Y7379" t="str">
            <v>Pres</v>
          </cell>
          <cell r="Z7379">
            <v>2.5099999999999998</v>
          </cell>
          <cell r="AA7379" t="str">
            <v>L</v>
          </cell>
          <cell r="AB7379">
            <v>0</v>
          </cell>
        </row>
        <row r="7380">
          <cell r="G7380" t="str">
            <v>X2960_0</v>
          </cell>
          <cell r="H7380" t="str">
            <v>as-as</v>
          </cell>
          <cell r="I7380" t="str">
            <v>sim</v>
          </cell>
          <cell r="V7380" t="str">
            <v>not neg pair</v>
          </cell>
          <cell r="Y7380" t="str">
            <v>Pres</v>
          </cell>
          <cell r="Z7380">
            <v>4.1399999999999997</v>
          </cell>
          <cell r="AA7380">
            <v>0</v>
          </cell>
          <cell r="AB7380">
            <v>0</v>
          </cell>
        </row>
        <row r="7381">
          <cell r="G7381" t="str">
            <v>X2960_1</v>
          </cell>
          <cell r="H7381" t="str">
            <v>as-as</v>
          </cell>
          <cell r="I7381" t="str">
            <v>sim</v>
          </cell>
          <cell r="V7381" t="str">
            <v>not neg pair</v>
          </cell>
          <cell r="Y7381" t="str">
            <v>Pres</v>
          </cell>
          <cell r="Z7381">
            <v>4.1399999999999997</v>
          </cell>
          <cell r="AA7381">
            <v>0</v>
          </cell>
          <cell r="AB7381">
            <v>0</v>
          </cell>
        </row>
        <row r="7382">
          <cell r="G7382" t="str">
            <v>X2961_0</v>
          </cell>
          <cell r="H7382" t="str">
            <v>as-as</v>
          </cell>
          <cell r="I7382" t="str">
            <v>sim</v>
          </cell>
          <cell r="V7382" t="str">
            <v>not</v>
          </cell>
          <cell r="Y7382" t="str">
            <v>Pres</v>
          </cell>
          <cell r="Z7382">
            <v>3.93</v>
          </cell>
          <cell r="AA7382">
            <v>0</v>
          </cell>
          <cell r="AB7382">
            <v>0</v>
          </cell>
        </row>
        <row r="7383">
          <cell r="G7383" t="str">
            <v>X2961_1</v>
          </cell>
          <cell r="H7383" t="str">
            <v>as-as</v>
          </cell>
          <cell r="I7383" t="str">
            <v>sim</v>
          </cell>
          <cell r="V7383" t="str">
            <v>not</v>
          </cell>
          <cell r="Y7383" t="str">
            <v>Pres</v>
          </cell>
          <cell r="Z7383">
            <v>3.93</v>
          </cell>
          <cell r="AA7383">
            <v>0</v>
          </cell>
          <cell r="AB7383">
            <v>0</v>
          </cell>
        </row>
        <row r="7384">
          <cell r="G7384" t="str">
            <v>X2962_0</v>
          </cell>
          <cell r="H7384" t="str">
            <v>like</v>
          </cell>
          <cell r="I7384" t="str">
            <v>sim</v>
          </cell>
          <cell r="V7384" t="str">
            <v>not neg pair</v>
          </cell>
          <cell r="Y7384" t="str">
            <v>Pres</v>
          </cell>
          <cell r="Z7384">
            <v>4.87</v>
          </cell>
          <cell r="AA7384">
            <v>0</v>
          </cell>
          <cell r="AB7384">
            <v>0</v>
          </cell>
        </row>
        <row r="7385">
          <cell r="G7385" t="str">
            <v>X2962_1</v>
          </cell>
          <cell r="H7385" t="str">
            <v>like</v>
          </cell>
          <cell r="I7385" t="str">
            <v>sim</v>
          </cell>
          <cell r="V7385" t="str">
            <v>not neg pair</v>
          </cell>
          <cell r="Y7385" t="str">
            <v>Pres</v>
          </cell>
          <cell r="Z7385">
            <v>4.87</v>
          </cell>
          <cell r="AA7385">
            <v>0</v>
          </cell>
          <cell r="AB7385">
            <v>0</v>
          </cell>
        </row>
        <row r="7386">
          <cell r="G7386" t="str">
            <v>X2963_0</v>
          </cell>
          <cell r="H7386" t="str">
            <v>like</v>
          </cell>
          <cell r="I7386" t="str">
            <v>sim</v>
          </cell>
          <cell r="V7386" t="str">
            <v>not neg pair</v>
          </cell>
          <cell r="Y7386" t="str">
            <v>Pres</v>
          </cell>
          <cell r="Z7386">
            <v>3.19</v>
          </cell>
          <cell r="AA7386">
            <v>0</v>
          </cell>
          <cell r="AB7386">
            <v>0</v>
          </cell>
        </row>
        <row r="7387">
          <cell r="G7387" t="str">
            <v>X2963_1</v>
          </cell>
          <cell r="H7387" t="str">
            <v>like</v>
          </cell>
          <cell r="I7387" t="str">
            <v>sim</v>
          </cell>
          <cell r="V7387" t="str">
            <v>not neg pair</v>
          </cell>
          <cell r="Y7387" t="str">
            <v>Pres</v>
          </cell>
          <cell r="Z7387">
            <v>3.19</v>
          </cell>
          <cell r="AA7387">
            <v>0</v>
          </cell>
          <cell r="AB7387">
            <v>0</v>
          </cell>
        </row>
        <row r="7388">
          <cell r="G7388" t="str">
            <v>X2964_0</v>
          </cell>
          <cell r="H7388" t="str">
            <v>the-of</v>
          </cell>
          <cell r="I7388" t="str">
            <v>sim</v>
          </cell>
          <cell r="V7388" t="str">
            <v>not neg pair</v>
          </cell>
          <cell r="Y7388" t="str">
            <v>Pres</v>
          </cell>
          <cell r="Z7388">
            <v>3.93</v>
          </cell>
          <cell r="AA7388">
            <v>0</v>
          </cell>
          <cell r="AB7388">
            <v>0</v>
          </cell>
        </row>
        <row r="7389">
          <cell r="G7389" t="str">
            <v>X2964_1</v>
          </cell>
          <cell r="H7389" t="str">
            <v>the-of</v>
          </cell>
          <cell r="I7389" t="str">
            <v>sim</v>
          </cell>
          <cell r="V7389" t="str">
            <v>not neg pair</v>
          </cell>
          <cell r="Y7389" t="str">
            <v>Pres</v>
          </cell>
          <cell r="Z7389">
            <v>3.93</v>
          </cell>
          <cell r="AA7389">
            <v>0</v>
          </cell>
          <cell r="AB7389">
            <v>0</v>
          </cell>
        </row>
        <row r="7390">
          <cell r="G7390" t="str">
            <v>X2965_0</v>
          </cell>
          <cell r="H7390" t="str">
            <v>the-of</v>
          </cell>
          <cell r="I7390" t="str">
            <v>sim</v>
          </cell>
          <cell r="V7390" t="str">
            <v>not neg pair</v>
          </cell>
          <cell r="Y7390">
            <v>0</v>
          </cell>
          <cell r="Z7390">
            <v>4.78</v>
          </cell>
          <cell r="AA7390">
            <v>0</v>
          </cell>
          <cell r="AB7390">
            <v>0</v>
          </cell>
        </row>
        <row r="7391">
          <cell r="G7391" t="str">
            <v>X2965_1</v>
          </cell>
          <cell r="H7391" t="str">
            <v>the-of</v>
          </cell>
          <cell r="I7391" t="str">
            <v>sim</v>
          </cell>
          <cell r="V7391" t="str">
            <v>not neg pair</v>
          </cell>
          <cell r="Y7391">
            <v>0</v>
          </cell>
          <cell r="Z7391">
            <v>4.78</v>
          </cell>
          <cell r="AA7391">
            <v>0</v>
          </cell>
          <cell r="AB7391">
            <v>0</v>
          </cell>
        </row>
        <row r="7392">
          <cell r="G7392" t="str">
            <v>X2966_0</v>
          </cell>
          <cell r="H7392" t="str">
            <v/>
          </cell>
          <cell r="I7392" t="str">
            <v>met</v>
          </cell>
          <cell r="V7392" t="str">
            <v>0</v>
          </cell>
          <cell r="Y7392">
            <v>0</v>
          </cell>
          <cell r="Z7392">
            <v>2.85</v>
          </cell>
          <cell r="AA7392">
            <v>0</v>
          </cell>
          <cell r="AB7392">
            <v>0</v>
          </cell>
        </row>
        <row r="7393">
          <cell r="G7393" t="str">
            <v>X2966_1</v>
          </cell>
          <cell r="H7393" t="str">
            <v/>
          </cell>
          <cell r="I7393" t="str">
            <v>met</v>
          </cell>
          <cell r="V7393" t="str">
            <v>0</v>
          </cell>
          <cell r="Y7393" t="str">
            <v>Pres</v>
          </cell>
          <cell r="Z7393">
            <v>2.85</v>
          </cell>
          <cell r="AA7393">
            <v>0</v>
          </cell>
          <cell r="AB7393">
            <v>0</v>
          </cell>
        </row>
        <row r="7394">
          <cell r="G7394" t="str">
            <v>X2967_0</v>
          </cell>
          <cell r="H7394" t="str">
            <v>as-as</v>
          </cell>
          <cell r="I7394" t="str">
            <v>sim</v>
          </cell>
          <cell r="V7394" t="str">
            <v>antonym</v>
          </cell>
          <cell r="Y7394" t="str">
            <v>Past</v>
          </cell>
          <cell r="Z7394">
            <v>3.36</v>
          </cell>
          <cell r="AA7394">
            <v>0</v>
          </cell>
          <cell r="AB7394">
            <v>0</v>
          </cell>
        </row>
        <row r="7395">
          <cell r="G7395" t="str">
            <v>X2967_1</v>
          </cell>
          <cell r="H7395" t="str">
            <v>as-as</v>
          </cell>
          <cell r="I7395" t="str">
            <v>sim</v>
          </cell>
          <cell r="V7395" t="str">
            <v>antonym</v>
          </cell>
          <cell r="Y7395" t="str">
            <v>Past</v>
          </cell>
          <cell r="Z7395">
            <v>3.36</v>
          </cell>
          <cell r="AA7395">
            <v>0</v>
          </cell>
          <cell r="AB7395">
            <v>0</v>
          </cell>
        </row>
        <row r="7396">
          <cell r="G7396" t="str">
            <v>X2968_0</v>
          </cell>
          <cell r="H7396" t="str">
            <v>like</v>
          </cell>
          <cell r="I7396" t="str">
            <v>sim</v>
          </cell>
          <cell r="V7396" t="str">
            <v>not</v>
          </cell>
          <cell r="Y7396" t="str">
            <v>Past</v>
          </cell>
          <cell r="Z7396">
            <v>3.36</v>
          </cell>
          <cell r="AA7396">
            <v>0</v>
          </cell>
          <cell r="AB7396">
            <v>0</v>
          </cell>
        </row>
        <row r="7397">
          <cell r="G7397" t="str">
            <v>X2968_1</v>
          </cell>
          <cell r="H7397" t="str">
            <v>like</v>
          </cell>
          <cell r="I7397" t="str">
            <v>sim</v>
          </cell>
          <cell r="V7397" t="str">
            <v>not</v>
          </cell>
          <cell r="Y7397" t="str">
            <v>Past</v>
          </cell>
          <cell r="Z7397">
            <v>3.36</v>
          </cell>
          <cell r="AA7397">
            <v>0</v>
          </cell>
          <cell r="AB7397">
            <v>0</v>
          </cell>
        </row>
        <row r="7398">
          <cell r="G7398" t="str">
            <v>X2969_0</v>
          </cell>
          <cell r="H7398" t="str">
            <v>as-as</v>
          </cell>
          <cell r="I7398" t="str">
            <v>sim</v>
          </cell>
          <cell r="V7398" t="str">
            <v>antonym</v>
          </cell>
          <cell r="Y7398" t="str">
            <v>Past</v>
          </cell>
          <cell r="Z7398">
            <v>4.97</v>
          </cell>
          <cell r="AA7398" t="str">
            <v>H</v>
          </cell>
          <cell r="AB7398">
            <v>0</v>
          </cell>
        </row>
        <row r="7399">
          <cell r="G7399" t="str">
            <v>X2969_1</v>
          </cell>
          <cell r="H7399" t="str">
            <v>as-as</v>
          </cell>
          <cell r="I7399" t="str">
            <v>sim</v>
          </cell>
          <cell r="V7399" t="str">
            <v>antonym</v>
          </cell>
          <cell r="Y7399" t="str">
            <v>Past</v>
          </cell>
          <cell r="Z7399">
            <v>4.97</v>
          </cell>
          <cell r="AA7399" t="str">
            <v>H</v>
          </cell>
          <cell r="AB7399">
            <v>0</v>
          </cell>
        </row>
        <row r="7400">
          <cell r="G7400" t="str">
            <v>X2970_0</v>
          </cell>
          <cell r="H7400" t="str">
            <v>as-as</v>
          </cell>
          <cell r="I7400" t="str">
            <v>sim</v>
          </cell>
          <cell r="V7400" t="str">
            <v>antonym</v>
          </cell>
          <cell r="Y7400" t="str">
            <v>Past</v>
          </cell>
          <cell r="Z7400">
            <v>4.9400000000000004</v>
          </cell>
          <cell r="AA7400" t="str">
            <v>H</v>
          </cell>
          <cell r="AB7400">
            <v>0</v>
          </cell>
        </row>
        <row r="7401">
          <cell r="G7401" t="str">
            <v>X2970_1</v>
          </cell>
          <cell r="H7401" t="str">
            <v>as-as</v>
          </cell>
          <cell r="I7401" t="str">
            <v>sim</v>
          </cell>
          <cell r="V7401" t="str">
            <v>antonym</v>
          </cell>
          <cell r="Y7401" t="str">
            <v>Past</v>
          </cell>
          <cell r="Z7401">
            <v>4.9400000000000004</v>
          </cell>
          <cell r="AA7401" t="str">
            <v>H</v>
          </cell>
          <cell r="AB7401">
            <v>0</v>
          </cell>
        </row>
        <row r="7402">
          <cell r="G7402" t="str">
            <v>X2971_0</v>
          </cell>
          <cell r="H7402" t="str">
            <v/>
          </cell>
          <cell r="I7402" t="str">
            <v>met</v>
          </cell>
          <cell r="V7402" t="str">
            <v>0</v>
          </cell>
          <cell r="Y7402" t="str">
            <v>Past</v>
          </cell>
          <cell r="Z7402">
            <v>4.87</v>
          </cell>
          <cell r="AA7402">
            <v>0</v>
          </cell>
          <cell r="AB7402">
            <v>0</v>
          </cell>
        </row>
        <row r="7403">
          <cell r="G7403" t="str">
            <v>X2971_1</v>
          </cell>
          <cell r="H7403" t="str">
            <v/>
          </cell>
          <cell r="I7403" t="str">
            <v>met</v>
          </cell>
          <cell r="V7403" t="str">
            <v>0</v>
          </cell>
          <cell r="Y7403" t="str">
            <v>Past</v>
          </cell>
          <cell r="Z7403">
            <v>4.87</v>
          </cell>
          <cell r="AA7403">
            <v>0</v>
          </cell>
          <cell r="AB7403">
            <v>0</v>
          </cell>
        </row>
        <row r="7404">
          <cell r="G7404" t="str">
            <v>X2972_0</v>
          </cell>
          <cell r="H7404" t="str">
            <v/>
          </cell>
          <cell r="I7404" t="str">
            <v>met</v>
          </cell>
          <cell r="V7404" t="str">
            <v>0</v>
          </cell>
          <cell r="Y7404" t="str">
            <v>Pres</v>
          </cell>
          <cell r="Z7404">
            <v>3.36</v>
          </cell>
          <cell r="AA7404">
            <v>0</v>
          </cell>
          <cell r="AB7404">
            <v>0</v>
          </cell>
        </row>
        <row r="7405">
          <cell r="G7405" t="str">
            <v>X2972_1</v>
          </cell>
          <cell r="H7405" t="str">
            <v>the-of</v>
          </cell>
          <cell r="I7405" t="str">
            <v>sim</v>
          </cell>
          <cell r="V7405" t="str">
            <v>0</v>
          </cell>
          <cell r="Y7405" t="str">
            <v>Pres</v>
          </cell>
          <cell r="Z7405">
            <v>3.36</v>
          </cell>
          <cell r="AA7405">
            <v>0</v>
          </cell>
          <cell r="AB7405">
            <v>0</v>
          </cell>
        </row>
        <row r="7406">
          <cell r="G7406" t="str">
            <v>X2973_0</v>
          </cell>
          <cell r="H7406" t="str">
            <v/>
          </cell>
          <cell r="I7406" t="str">
            <v>met</v>
          </cell>
          <cell r="V7406" t="str">
            <v>0</v>
          </cell>
          <cell r="Y7406" t="str">
            <v>Past</v>
          </cell>
          <cell r="Z7406">
            <v>3.5</v>
          </cell>
          <cell r="AA7406">
            <v>0</v>
          </cell>
          <cell r="AB7406">
            <v>0</v>
          </cell>
        </row>
        <row r="7407">
          <cell r="G7407" t="str">
            <v>X2973_1</v>
          </cell>
          <cell r="H7407" t="str">
            <v/>
          </cell>
          <cell r="I7407" t="str">
            <v>met</v>
          </cell>
          <cell r="V7407" t="str">
            <v>0</v>
          </cell>
          <cell r="Y7407" t="str">
            <v>Past</v>
          </cell>
          <cell r="Z7407">
            <v>3.5</v>
          </cell>
          <cell r="AA7407">
            <v>0</v>
          </cell>
          <cell r="AB7407">
            <v>0</v>
          </cell>
        </row>
        <row r="7408">
          <cell r="G7408" t="str">
            <v>X2974_0</v>
          </cell>
          <cell r="H7408" t="str">
            <v>like</v>
          </cell>
          <cell r="I7408" t="str">
            <v>sim</v>
          </cell>
          <cell r="V7408" t="str">
            <v>not neg pair</v>
          </cell>
          <cell r="Y7408" t="str">
            <v>Past</v>
          </cell>
          <cell r="Z7408">
            <v>3.21</v>
          </cell>
          <cell r="AA7408">
            <v>0</v>
          </cell>
          <cell r="AB7408">
            <v>0</v>
          </cell>
        </row>
        <row r="7409">
          <cell r="G7409" t="str">
            <v>X2974_1</v>
          </cell>
          <cell r="H7409" t="str">
            <v>like</v>
          </cell>
          <cell r="I7409" t="str">
            <v>sim</v>
          </cell>
          <cell r="V7409" t="str">
            <v>not neg pair</v>
          </cell>
          <cell r="Y7409" t="str">
            <v>Past</v>
          </cell>
          <cell r="Z7409">
            <v>3.21</v>
          </cell>
          <cell r="AA7409">
            <v>0</v>
          </cell>
          <cell r="AB7409">
            <v>0</v>
          </cell>
        </row>
        <row r="7410">
          <cell r="G7410" t="str">
            <v>X2975_0</v>
          </cell>
          <cell r="H7410" t="str">
            <v/>
          </cell>
          <cell r="I7410" t="str">
            <v>met</v>
          </cell>
          <cell r="V7410" t="str">
            <v>0</v>
          </cell>
          <cell r="Y7410" t="str">
            <v>Past</v>
          </cell>
          <cell r="Z7410">
            <v>4.87</v>
          </cell>
          <cell r="AA7410">
            <v>0</v>
          </cell>
          <cell r="AB7410">
            <v>0</v>
          </cell>
        </row>
        <row r="7411">
          <cell r="G7411" t="str">
            <v>X2975_1</v>
          </cell>
          <cell r="H7411" t="str">
            <v/>
          </cell>
          <cell r="I7411" t="str">
            <v>met</v>
          </cell>
          <cell r="V7411" t="str">
            <v>0</v>
          </cell>
          <cell r="Y7411" t="str">
            <v>Past</v>
          </cell>
          <cell r="Z7411">
            <v>4.87</v>
          </cell>
          <cell r="AA7411">
            <v>0</v>
          </cell>
          <cell r="AB7411">
            <v>0</v>
          </cell>
        </row>
        <row r="7412">
          <cell r="G7412" t="str">
            <v>X2976_0</v>
          </cell>
          <cell r="H7412" t="str">
            <v>the-of</v>
          </cell>
          <cell r="I7412" t="str">
            <v>sim</v>
          </cell>
          <cell r="V7412" t="str">
            <v>not</v>
          </cell>
          <cell r="Y7412" t="str">
            <v>Past</v>
          </cell>
          <cell r="Z7412">
            <v>3.93</v>
          </cell>
          <cell r="AA7412">
            <v>0</v>
          </cell>
          <cell r="AB7412">
            <v>0</v>
          </cell>
        </row>
        <row r="7413">
          <cell r="G7413" t="str">
            <v>X2976_1</v>
          </cell>
          <cell r="H7413" t="str">
            <v>the-of</v>
          </cell>
          <cell r="I7413" t="str">
            <v>sim</v>
          </cell>
          <cell r="V7413" t="str">
            <v>not</v>
          </cell>
          <cell r="Y7413" t="str">
            <v>Pres</v>
          </cell>
          <cell r="Z7413">
            <v>3.93</v>
          </cell>
          <cell r="AA7413">
            <v>0</v>
          </cell>
          <cell r="AB7413">
            <v>0</v>
          </cell>
        </row>
        <row r="7414">
          <cell r="G7414" t="str">
            <v>X2977_0</v>
          </cell>
          <cell r="H7414" t="str">
            <v>as-as</v>
          </cell>
          <cell r="I7414" t="str">
            <v>sim</v>
          </cell>
          <cell r="V7414" t="str">
            <v>antonym</v>
          </cell>
          <cell r="Y7414" t="str">
            <v>Pres</v>
          </cell>
          <cell r="Z7414">
            <v>5</v>
          </cell>
          <cell r="AA7414" t="str">
            <v>H</v>
          </cell>
          <cell r="AB7414">
            <v>0</v>
          </cell>
        </row>
        <row r="7415">
          <cell r="G7415" t="str">
            <v>X2977_1</v>
          </cell>
          <cell r="H7415" t="str">
            <v>as-as</v>
          </cell>
          <cell r="I7415" t="str">
            <v>sim</v>
          </cell>
          <cell r="V7415" t="str">
            <v>antonym</v>
          </cell>
          <cell r="Y7415" t="str">
            <v>Pres</v>
          </cell>
          <cell r="Z7415">
            <v>5</v>
          </cell>
          <cell r="AA7415" t="str">
            <v>H</v>
          </cell>
          <cell r="AB7415">
            <v>0</v>
          </cell>
        </row>
        <row r="7416">
          <cell r="G7416" t="str">
            <v>X2978_0</v>
          </cell>
          <cell r="H7416" t="str">
            <v>as-as</v>
          </cell>
          <cell r="I7416" t="str">
            <v>sim</v>
          </cell>
          <cell r="V7416" t="str">
            <v>not neg pair</v>
          </cell>
          <cell r="Y7416" t="str">
            <v>Pres</v>
          </cell>
          <cell r="Z7416">
            <v>2.57</v>
          </cell>
          <cell r="AA7416" t="str">
            <v>L</v>
          </cell>
          <cell r="AB7416">
            <v>0</v>
          </cell>
        </row>
        <row r="7417">
          <cell r="G7417" t="str">
            <v>X2978_1</v>
          </cell>
          <cell r="H7417" t="str">
            <v>as-as</v>
          </cell>
          <cell r="I7417" t="str">
            <v>sim</v>
          </cell>
          <cell r="V7417" t="str">
            <v>not neg pair</v>
          </cell>
          <cell r="Y7417" t="str">
            <v>Pres</v>
          </cell>
          <cell r="Z7417">
            <v>2.57</v>
          </cell>
          <cell r="AA7417" t="str">
            <v>L</v>
          </cell>
          <cell r="AB7417">
            <v>0</v>
          </cell>
        </row>
        <row r="7418">
          <cell r="G7418" t="str">
            <v>X2979_0</v>
          </cell>
          <cell r="H7418" t="str">
            <v>like</v>
          </cell>
          <cell r="I7418" t="str">
            <v>sim</v>
          </cell>
          <cell r="V7418" t="str">
            <v>not neg pair</v>
          </cell>
          <cell r="Y7418" t="str">
            <v>Past</v>
          </cell>
          <cell r="Z7418">
            <v>3.93</v>
          </cell>
          <cell r="AA7418">
            <v>0</v>
          </cell>
          <cell r="AB7418">
            <v>0</v>
          </cell>
        </row>
        <row r="7419">
          <cell r="G7419" t="str">
            <v>X2979_1</v>
          </cell>
          <cell r="H7419" t="str">
            <v>like</v>
          </cell>
          <cell r="I7419" t="str">
            <v>sim</v>
          </cell>
          <cell r="V7419" t="str">
            <v>not neg pair</v>
          </cell>
          <cell r="Y7419" t="str">
            <v>Past</v>
          </cell>
          <cell r="Z7419">
            <v>3.93</v>
          </cell>
          <cell r="AA7419">
            <v>0</v>
          </cell>
          <cell r="AB7419">
            <v>0</v>
          </cell>
        </row>
        <row r="7420">
          <cell r="G7420" t="str">
            <v>X2980_0</v>
          </cell>
          <cell r="H7420" t="str">
            <v>like</v>
          </cell>
          <cell r="I7420" t="str">
            <v>sim</v>
          </cell>
          <cell r="V7420" t="str">
            <v>not</v>
          </cell>
          <cell r="Y7420" t="str">
            <v>Past</v>
          </cell>
          <cell r="Z7420">
            <v>3.93</v>
          </cell>
          <cell r="AA7420">
            <v>0</v>
          </cell>
          <cell r="AB7420">
            <v>0</v>
          </cell>
        </row>
        <row r="7421">
          <cell r="G7421" t="str">
            <v>X2980_1</v>
          </cell>
          <cell r="H7421" t="str">
            <v>like</v>
          </cell>
          <cell r="I7421" t="str">
            <v>sim</v>
          </cell>
          <cell r="V7421" t="str">
            <v>not</v>
          </cell>
          <cell r="Y7421" t="str">
            <v>Past</v>
          </cell>
          <cell r="Z7421">
            <v>3.93</v>
          </cell>
          <cell r="AA7421">
            <v>0</v>
          </cell>
          <cell r="AB7421">
            <v>0</v>
          </cell>
        </row>
        <row r="7422">
          <cell r="G7422" t="str">
            <v>X2981_0</v>
          </cell>
          <cell r="H7422" t="str">
            <v>the-of</v>
          </cell>
          <cell r="I7422" t="str">
            <v>sim</v>
          </cell>
          <cell r="V7422" t="str">
            <v>not neg pair</v>
          </cell>
          <cell r="Y7422" t="str">
            <v>Past</v>
          </cell>
          <cell r="Z7422">
            <v>5</v>
          </cell>
          <cell r="AA7422" t="str">
            <v>H</v>
          </cell>
          <cell r="AB7422">
            <v>0</v>
          </cell>
        </row>
        <row r="7423">
          <cell r="G7423" t="str">
            <v>X2981_1</v>
          </cell>
          <cell r="H7423" t="str">
            <v>the-of</v>
          </cell>
          <cell r="I7423" t="str">
            <v>sim</v>
          </cell>
          <cell r="V7423" t="str">
            <v>not neg pair</v>
          </cell>
          <cell r="Y7423" t="str">
            <v>Past</v>
          </cell>
          <cell r="Z7423">
            <v>5</v>
          </cell>
          <cell r="AA7423" t="str">
            <v>H</v>
          </cell>
          <cell r="AB7423">
            <v>0</v>
          </cell>
        </row>
        <row r="7424">
          <cell r="G7424" t="str">
            <v>X2982_0</v>
          </cell>
          <cell r="H7424" t="str">
            <v>like</v>
          </cell>
          <cell r="I7424" t="str">
            <v>sim</v>
          </cell>
          <cell r="V7424" t="str">
            <v>not neg pair</v>
          </cell>
          <cell r="Y7424" t="str">
            <v>Past</v>
          </cell>
          <cell r="Z7424">
            <v>3.04</v>
          </cell>
          <cell r="AA7424">
            <v>0</v>
          </cell>
          <cell r="AB7424">
            <v>0</v>
          </cell>
        </row>
        <row r="7425">
          <cell r="G7425" t="str">
            <v>X2982_1</v>
          </cell>
          <cell r="H7425" t="str">
            <v>like</v>
          </cell>
          <cell r="I7425" t="str">
            <v>sim</v>
          </cell>
          <cell r="V7425" t="str">
            <v>not neg pair</v>
          </cell>
          <cell r="Y7425" t="str">
            <v>Past</v>
          </cell>
          <cell r="Z7425">
            <v>3.04</v>
          </cell>
          <cell r="AA7425">
            <v>0</v>
          </cell>
          <cell r="AB7425">
            <v>0</v>
          </cell>
        </row>
        <row r="7426">
          <cell r="G7426" t="str">
            <v>X2983_0</v>
          </cell>
          <cell r="H7426" t="str">
            <v>the-of</v>
          </cell>
          <cell r="I7426" t="str">
            <v>sim</v>
          </cell>
          <cell r="V7426" t="str">
            <v>not neg pair</v>
          </cell>
          <cell r="Y7426" t="str">
            <v>Past</v>
          </cell>
          <cell r="Z7426">
            <v>2.54</v>
          </cell>
          <cell r="AA7426" t="str">
            <v>L</v>
          </cell>
          <cell r="AB7426">
            <v>0</v>
          </cell>
        </row>
        <row r="7427">
          <cell r="G7427" t="str">
            <v>X2983_1</v>
          </cell>
          <cell r="H7427" t="str">
            <v>the-of</v>
          </cell>
          <cell r="I7427" t="str">
            <v>sim</v>
          </cell>
          <cell r="V7427" t="str">
            <v>not neg pair</v>
          </cell>
          <cell r="Y7427" t="str">
            <v>Past</v>
          </cell>
          <cell r="Z7427">
            <v>2.54</v>
          </cell>
          <cell r="AA7427" t="str">
            <v>L</v>
          </cell>
          <cell r="AB7427">
            <v>0</v>
          </cell>
        </row>
        <row r="7428">
          <cell r="G7428" t="str">
            <v>X2984_0</v>
          </cell>
          <cell r="H7428" t="str">
            <v/>
          </cell>
          <cell r="I7428" t="str">
            <v>met</v>
          </cell>
          <cell r="V7428" t="str">
            <v>0</v>
          </cell>
          <cell r="Y7428" t="str">
            <v>Pres</v>
          </cell>
          <cell r="Z7428">
            <v>3.93</v>
          </cell>
          <cell r="AA7428">
            <v>0</v>
          </cell>
          <cell r="AB7428">
            <v>0</v>
          </cell>
        </row>
        <row r="7429">
          <cell r="G7429" t="str">
            <v>X2984_1</v>
          </cell>
          <cell r="H7429" t="str">
            <v/>
          </cell>
          <cell r="I7429" t="str">
            <v>met</v>
          </cell>
          <cell r="V7429" t="str">
            <v>0</v>
          </cell>
          <cell r="Y7429" t="str">
            <v>Pres</v>
          </cell>
          <cell r="Z7429">
            <v>3.93</v>
          </cell>
          <cell r="AA7429">
            <v>0</v>
          </cell>
          <cell r="AB7429">
            <v>0</v>
          </cell>
        </row>
        <row r="7430">
          <cell r="G7430" t="str">
            <v>X2985_0</v>
          </cell>
          <cell r="H7430" t="str">
            <v>as-as</v>
          </cell>
          <cell r="I7430" t="str">
            <v>sim</v>
          </cell>
          <cell r="V7430" t="str">
            <v>antonym</v>
          </cell>
          <cell r="Y7430" t="str">
            <v>Past</v>
          </cell>
          <cell r="Z7430">
            <v>3.93</v>
          </cell>
          <cell r="AA7430">
            <v>0</v>
          </cell>
          <cell r="AB7430">
            <v>0</v>
          </cell>
        </row>
        <row r="7431">
          <cell r="G7431" t="str">
            <v>X2985_1</v>
          </cell>
          <cell r="H7431" t="str">
            <v>as-as</v>
          </cell>
          <cell r="I7431" t="str">
            <v>sim</v>
          </cell>
          <cell r="V7431" t="str">
            <v>antonym</v>
          </cell>
          <cell r="Y7431" t="str">
            <v>Past</v>
          </cell>
          <cell r="Z7431">
            <v>3.93</v>
          </cell>
          <cell r="AA7431">
            <v>0</v>
          </cell>
          <cell r="AB7431">
            <v>0</v>
          </cell>
        </row>
        <row r="7432">
          <cell r="G7432" t="str">
            <v>X2986_0</v>
          </cell>
          <cell r="H7432" t="str">
            <v>as-as</v>
          </cell>
          <cell r="I7432" t="str">
            <v>sim</v>
          </cell>
          <cell r="V7432" t="str">
            <v>not</v>
          </cell>
          <cell r="Y7432" t="str">
            <v>Past</v>
          </cell>
          <cell r="Z7432">
            <v>4.74</v>
          </cell>
          <cell r="AA7432">
            <v>0</v>
          </cell>
          <cell r="AB7432">
            <v>0</v>
          </cell>
        </row>
        <row r="7433">
          <cell r="G7433" t="str">
            <v>X2986_1</v>
          </cell>
          <cell r="H7433" t="str">
            <v>as-as</v>
          </cell>
          <cell r="I7433" t="str">
            <v>sim</v>
          </cell>
          <cell r="V7433" t="str">
            <v>not</v>
          </cell>
          <cell r="Y7433" t="str">
            <v>Past</v>
          </cell>
          <cell r="Z7433">
            <v>4.74</v>
          </cell>
          <cell r="AA7433">
            <v>0</v>
          </cell>
          <cell r="AB7433">
            <v>0</v>
          </cell>
        </row>
        <row r="7434">
          <cell r="G7434" t="str">
            <v>X2987_0</v>
          </cell>
          <cell r="H7434" t="str">
            <v>as-as</v>
          </cell>
          <cell r="I7434" t="str">
            <v>sim</v>
          </cell>
          <cell r="V7434" t="str">
            <v>not neg pair</v>
          </cell>
          <cell r="Y7434" t="str">
            <v>Past</v>
          </cell>
          <cell r="Z7434">
            <v>4.5199999999999996</v>
          </cell>
          <cell r="AA7434">
            <v>0</v>
          </cell>
          <cell r="AB7434">
            <v>0</v>
          </cell>
        </row>
        <row r="7435">
          <cell r="G7435" t="str">
            <v>X2987_1</v>
          </cell>
          <cell r="H7435" t="str">
            <v>as-as</v>
          </cell>
          <cell r="I7435" t="str">
            <v>sim</v>
          </cell>
          <cell r="V7435" t="str">
            <v>not neg pair</v>
          </cell>
          <cell r="Y7435" t="str">
            <v>Past</v>
          </cell>
          <cell r="Z7435">
            <v>4.5199999999999996</v>
          </cell>
          <cell r="AA7435">
            <v>0</v>
          </cell>
          <cell r="AB7435">
            <v>0</v>
          </cell>
        </row>
        <row r="7436">
          <cell r="G7436" t="str">
            <v>X2988_0</v>
          </cell>
          <cell r="H7436" t="str">
            <v>the-of</v>
          </cell>
          <cell r="I7436" t="str">
            <v>sim</v>
          </cell>
          <cell r="V7436" t="str">
            <v>not neg pair</v>
          </cell>
          <cell r="Y7436" t="str">
            <v>Past</v>
          </cell>
          <cell r="Z7436">
            <v>1.87</v>
          </cell>
          <cell r="AA7436" t="str">
            <v>L</v>
          </cell>
          <cell r="AB7436">
            <v>0</v>
          </cell>
        </row>
        <row r="7437">
          <cell r="G7437" t="str">
            <v>X2988_1</v>
          </cell>
          <cell r="H7437" t="str">
            <v>the-of</v>
          </cell>
          <cell r="I7437" t="str">
            <v>sim</v>
          </cell>
          <cell r="V7437" t="str">
            <v>not neg pair</v>
          </cell>
          <cell r="Y7437" t="str">
            <v>Past</v>
          </cell>
          <cell r="Z7437">
            <v>1.87</v>
          </cell>
          <cell r="AA7437" t="str">
            <v>L</v>
          </cell>
          <cell r="AB7437">
            <v>0</v>
          </cell>
        </row>
        <row r="7438">
          <cell r="G7438" t="str">
            <v>X2989_0</v>
          </cell>
          <cell r="H7438" t="str">
            <v>as-as</v>
          </cell>
          <cell r="I7438" t="str">
            <v>sim</v>
          </cell>
          <cell r="V7438" t="str">
            <v>not</v>
          </cell>
          <cell r="Y7438" t="str">
            <v>Pres</v>
          </cell>
          <cell r="Z7438">
            <v>2.81</v>
          </cell>
          <cell r="AA7438">
            <v>0</v>
          </cell>
          <cell r="AB7438">
            <v>0</v>
          </cell>
        </row>
        <row r="7439">
          <cell r="G7439" t="str">
            <v>X2989_1</v>
          </cell>
          <cell r="H7439" t="str">
            <v>as-as</v>
          </cell>
          <cell r="I7439" t="str">
            <v>sim</v>
          </cell>
          <cell r="V7439" t="str">
            <v>not</v>
          </cell>
          <cell r="Y7439" t="str">
            <v>Pres</v>
          </cell>
          <cell r="Z7439">
            <v>2.81</v>
          </cell>
          <cell r="AA7439">
            <v>0</v>
          </cell>
          <cell r="AB7439">
            <v>0</v>
          </cell>
        </row>
        <row r="7440">
          <cell r="G7440" t="str">
            <v>X2990_0</v>
          </cell>
          <cell r="H7440" t="str">
            <v/>
          </cell>
          <cell r="I7440" t="str">
            <v>met</v>
          </cell>
          <cell r="V7440" t="str">
            <v>0</v>
          </cell>
          <cell r="Y7440" t="str">
            <v>Pres</v>
          </cell>
          <cell r="Z7440">
            <v>4.46</v>
          </cell>
          <cell r="AA7440">
            <v>0</v>
          </cell>
          <cell r="AB7440">
            <v>0</v>
          </cell>
        </row>
        <row r="7441">
          <cell r="G7441" t="str">
            <v>X2990_1</v>
          </cell>
          <cell r="H7441" t="str">
            <v/>
          </cell>
          <cell r="I7441" t="str">
            <v>met</v>
          </cell>
          <cell r="V7441" t="str">
            <v>0</v>
          </cell>
          <cell r="Y7441" t="str">
            <v>Pres</v>
          </cell>
          <cell r="Z7441">
            <v>4.46</v>
          </cell>
          <cell r="AA7441">
            <v>0</v>
          </cell>
          <cell r="AB7441">
            <v>0</v>
          </cell>
        </row>
        <row r="7442">
          <cell r="G7442" t="str">
            <v>X2991_0</v>
          </cell>
          <cell r="H7442" t="str">
            <v>the-of</v>
          </cell>
          <cell r="I7442" t="str">
            <v>sim</v>
          </cell>
          <cell r="V7442" t="str">
            <v>not neg pair</v>
          </cell>
          <cell r="Y7442" t="str">
            <v>Pres</v>
          </cell>
          <cell r="Z7442">
            <v>3.36</v>
          </cell>
          <cell r="AA7442">
            <v>0</v>
          </cell>
          <cell r="AB7442">
            <v>0</v>
          </cell>
        </row>
        <row r="7443">
          <cell r="G7443" t="str">
            <v>X2991_1</v>
          </cell>
          <cell r="H7443" t="str">
            <v>the-of</v>
          </cell>
          <cell r="I7443" t="str">
            <v>sim</v>
          </cell>
          <cell r="V7443" t="str">
            <v>not neg pair</v>
          </cell>
          <cell r="Y7443" t="str">
            <v>Pres</v>
          </cell>
          <cell r="Z7443">
            <v>3.36</v>
          </cell>
          <cell r="AA7443">
            <v>0</v>
          </cell>
          <cell r="AB7443">
            <v>0</v>
          </cell>
        </row>
        <row r="7444">
          <cell r="G7444" t="str">
            <v>X2992_0</v>
          </cell>
          <cell r="H7444" t="str">
            <v>the-of</v>
          </cell>
          <cell r="I7444" t="str">
            <v>sim</v>
          </cell>
          <cell r="V7444" t="str">
            <v>not neg pair</v>
          </cell>
          <cell r="Y7444" t="str">
            <v>Pres</v>
          </cell>
          <cell r="Z7444">
            <v>3.81</v>
          </cell>
          <cell r="AA7444">
            <v>0</v>
          </cell>
          <cell r="AB7444">
            <v>0</v>
          </cell>
        </row>
        <row r="7445">
          <cell r="G7445" t="str">
            <v>X2992_1</v>
          </cell>
          <cell r="H7445" t="str">
            <v>the-of</v>
          </cell>
          <cell r="I7445" t="str">
            <v>sim</v>
          </cell>
          <cell r="V7445" t="str">
            <v>not neg pair</v>
          </cell>
          <cell r="Y7445" t="str">
            <v>Pres</v>
          </cell>
          <cell r="Z7445">
            <v>3.81</v>
          </cell>
          <cell r="AA7445">
            <v>0</v>
          </cell>
          <cell r="AB7445">
            <v>0</v>
          </cell>
        </row>
        <row r="7446">
          <cell r="G7446" t="str">
            <v>X2993_0</v>
          </cell>
          <cell r="H7446" t="str">
            <v>the-of</v>
          </cell>
          <cell r="I7446" t="str">
            <v>sim</v>
          </cell>
          <cell r="V7446" t="str">
            <v>not neg pair</v>
          </cell>
          <cell r="Y7446" t="str">
            <v>Pres</v>
          </cell>
          <cell r="Z7446">
            <v>4.1100000000000003</v>
          </cell>
          <cell r="AA7446">
            <v>0</v>
          </cell>
          <cell r="AB7446">
            <v>0</v>
          </cell>
        </row>
        <row r="7447">
          <cell r="G7447" t="str">
            <v>X2993_1</v>
          </cell>
          <cell r="H7447" t="str">
            <v>the-of</v>
          </cell>
          <cell r="I7447" t="str">
            <v>sim</v>
          </cell>
          <cell r="V7447" t="str">
            <v>not neg pair</v>
          </cell>
          <cell r="Y7447" t="str">
            <v>Pres</v>
          </cell>
          <cell r="Z7447">
            <v>4.1100000000000003</v>
          </cell>
          <cell r="AA7447">
            <v>0</v>
          </cell>
          <cell r="AB7447">
            <v>0</v>
          </cell>
        </row>
        <row r="7448">
          <cell r="G7448" t="str">
            <v>X2994_0</v>
          </cell>
          <cell r="H7448" t="str">
            <v/>
          </cell>
          <cell r="I7448" t="str">
            <v>met</v>
          </cell>
          <cell r="V7448" t="str">
            <v>0</v>
          </cell>
          <cell r="Y7448" t="str">
            <v>Past</v>
          </cell>
          <cell r="Z7448">
            <v>1.61</v>
          </cell>
          <cell r="AA7448" t="str">
            <v>L</v>
          </cell>
          <cell r="AB7448">
            <v>0</v>
          </cell>
        </row>
        <row r="7449">
          <cell r="G7449" t="str">
            <v>X2994_1</v>
          </cell>
          <cell r="H7449" t="str">
            <v/>
          </cell>
          <cell r="I7449" t="str">
            <v>met</v>
          </cell>
          <cell r="V7449" t="str">
            <v>0</v>
          </cell>
          <cell r="Y7449" t="str">
            <v>Past</v>
          </cell>
          <cell r="Z7449">
            <v>1.61</v>
          </cell>
          <cell r="AA7449" t="str">
            <v>L</v>
          </cell>
          <cell r="AB7449">
            <v>0</v>
          </cell>
        </row>
        <row r="7450">
          <cell r="G7450" t="str">
            <v>X2995_0</v>
          </cell>
          <cell r="H7450" t="str">
            <v>as-as</v>
          </cell>
          <cell r="I7450" t="str">
            <v>sim</v>
          </cell>
          <cell r="V7450" t="str">
            <v>not</v>
          </cell>
          <cell r="Y7450" t="str">
            <v>Pres</v>
          </cell>
          <cell r="Z7450">
            <v>2.81</v>
          </cell>
          <cell r="AA7450">
            <v>0</v>
          </cell>
          <cell r="AB7450">
            <v>0</v>
          </cell>
        </row>
        <row r="7451">
          <cell r="G7451" t="str">
            <v>X2995_1</v>
          </cell>
          <cell r="H7451" t="str">
            <v>as-as</v>
          </cell>
          <cell r="I7451" t="str">
            <v>sim</v>
          </cell>
          <cell r="V7451" t="str">
            <v>not</v>
          </cell>
          <cell r="Y7451" t="str">
            <v>Pres</v>
          </cell>
          <cell r="Z7451">
            <v>2.81</v>
          </cell>
          <cell r="AA7451">
            <v>0</v>
          </cell>
          <cell r="AB7451">
            <v>0</v>
          </cell>
        </row>
        <row r="7452">
          <cell r="G7452" t="str">
            <v>X2996_0</v>
          </cell>
          <cell r="H7452" t="str">
            <v>the-of</v>
          </cell>
          <cell r="I7452" t="str">
            <v>sim</v>
          </cell>
          <cell r="V7452" t="str">
            <v>not neg pair</v>
          </cell>
          <cell r="Y7452" t="str">
            <v>Pres</v>
          </cell>
          <cell r="Z7452">
            <v>4.13</v>
          </cell>
          <cell r="AA7452">
            <v>0</v>
          </cell>
          <cell r="AB7452">
            <v>0</v>
          </cell>
        </row>
        <row r="7453">
          <cell r="G7453" t="str">
            <v>X2996_1</v>
          </cell>
          <cell r="H7453" t="str">
            <v>the-of</v>
          </cell>
          <cell r="I7453" t="str">
            <v>sim</v>
          </cell>
          <cell r="V7453" t="str">
            <v>not neg pair</v>
          </cell>
          <cell r="Y7453" t="str">
            <v>Pres</v>
          </cell>
          <cell r="Z7453">
            <v>4.13</v>
          </cell>
          <cell r="AA7453">
            <v>0</v>
          </cell>
          <cell r="AB7453">
            <v>0</v>
          </cell>
        </row>
        <row r="7454">
          <cell r="G7454" t="str">
            <v>X2997_0</v>
          </cell>
          <cell r="H7454" t="str">
            <v>like</v>
          </cell>
          <cell r="I7454" t="str">
            <v>sim</v>
          </cell>
          <cell r="V7454" t="str">
            <v>not neg pair</v>
          </cell>
          <cell r="Y7454" t="str">
            <v>Past</v>
          </cell>
          <cell r="Z7454">
            <v>4.8899999999999997</v>
          </cell>
          <cell r="AA7454">
            <v>0</v>
          </cell>
          <cell r="AB7454">
            <v>0</v>
          </cell>
        </row>
        <row r="7455">
          <cell r="G7455" t="str">
            <v>X2997_1</v>
          </cell>
          <cell r="H7455" t="str">
            <v>like</v>
          </cell>
          <cell r="I7455" t="str">
            <v>sim</v>
          </cell>
          <cell r="V7455" t="str">
            <v>not neg pair</v>
          </cell>
          <cell r="Y7455" t="str">
            <v>Past</v>
          </cell>
          <cell r="Z7455">
            <v>4.8899999999999997</v>
          </cell>
          <cell r="AA7455">
            <v>0</v>
          </cell>
          <cell r="AB7455">
            <v>0</v>
          </cell>
        </row>
        <row r="7456">
          <cell r="G7456" t="str">
            <v>X2998_0</v>
          </cell>
          <cell r="H7456" t="str">
            <v>as-as</v>
          </cell>
          <cell r="I7456" t="str">
            <v>sim</v>
          </cell>
          <cell r="V7456" t="str">
            <v>not</v>
          </cell>
          <cell r="Y7456" t="str">
            <v>Pres</v>
          </cell>
          <cell r="Z7456">
            <v>2.57</v>
          </cell>
          <cell r="AA7456" t="str">
            <v>L</v>
          </cell>
          <cell r="AB7456">
            <v>0</v>
          </cell>
        </row>
        <row r="7457">
          <cell r="G7457" t="str">
            <v>X2998_1</v>
          </cell>
          <cell r="H7457" t="str">
            <v>as-as</v>
          </cell>
          <cell r="I7457" t="str">
            <v>sim</v>
          </cell>
          <cell r="V7457" t="str">
            <v>not</v>
          </cell>
          <cell r="Y7457" t="str">
            <v>Pres</v>
          </cell>
          <cell r="Z7457">
            <v>2.57</v>
          </cell>
          <cell r="AA7457" t="str">
            <v>L</v>
          </cell>
          <cell r="AB7457">
            <v>0</v>
          </cell>
        </row>
        <row r="7458">
          <cell r="G7458" t="str">
            <v>X2999_0</v>
          </cell>
          <cell r="H7458" t="str">
            <v>as-as</v>
          </cell>
          <cell r="I7458" t="str">
            <v>sim</v>
          </cell>
          <cell r="V7458" t="str">
            <v>not</v>
          </cell>
          <cell r="Y7458" t="str">
            <v>Pres</v>
          </cell>
          <cell r="Z7458">
            <v>3</v>
          </cell>
          <cell r="AA7458">
            <v>0</v>
          </cell>
          <cell r="AB7458">
            <v>0</v>
          </cell>
        </row>
        <row r="7459">
          <cell r="G7459" t="str">
            <v>X2999_1</v>
          </cell>
          <cell r="H7459" t="str">
            <v>as-as</v>
          </cell>
          <cell r="I7459" t="str">
            <v>sim</v>
          </cell>
          <cell r="V7459" t="str">
            <v>not</v>
          </cell>
          <cell r="Y7459" t="str">
            <v>Pres</v>
          </cell>
          <cell r="Z7459">
            <v>3</v>
          </cell>
          <cell r="AA7459">
            <v>0</v>
          </cell>
          <cell r="AB7459">
            <v>0</v>
          </cell>
        </row>
        <row r="7460">
          <cell r="G7460" t="str">
            <v>X3000_0</v>
          </cell>
          <cell r="H7460" t="str">
            <v>the-of</v>
          </cell>
          <cell r="I7460" t="str">
            <v>sim</v>
          </cell>
          <cell r="V7460" t="str">
            <v>not neg pair</v>
          </cell>
          <cell r="Y7460" t="str">
            <v>Pres</v>
          </cell>
          <cell r="Z7460">
            <v>4.63</v>
          </cell>
          <cell r="AA7460">
            <v>0</v>
          </cell>
          <cell r="AB7460">
            <v>0</v>
          </cell>
        </row>
        <row r="7461">
          <cell r="G7461" t="str">
            <v>X3000_1</v>
          </cell>
          <cell r="H7461" t="str">
            <v>the-of</v>
          </cell>
          <cell r="I7461" t="str">
            <v>sim</v>
          </cell>
          <cell r="V7461" t="str">
            <v>not neg pair</v>
          </cell>
          <cell r="Y7461" t="str">
            <v>Pres</v>
          </cell>
          <cell r="Z7461">
            <v>4.63</v>
          </cell>
          <cell r="AA7461">
            <v>0</v>
          </cell>
          <cell r="AB7461">
            <v>0</v>
          </cell>
        </row>
        <row r="7462">
          <cell r="G7462" t="str">
            <v>X3001_0</v>
          </cell>
          <cell r="H7462" t="str">
            <v>as-as</v>
          </cell>
          <cell r="I7462" t="str">
            <v>sim</v>
          </cell>
          <cell r="V7462" t="str">
            <v>not neg pair</v>
          </cell>
          <cell r="Y7462" t="str">
            <v>Pres</v>
          </cell>
          <cell r="Z7462">
            <v>3.93</v>
          </cell>
          <cell r="AA7462">
            <v>0</v>
          </cell>
          <cell r="AB7462">
            <v>0</v>
          </cell>
        </row>
        <row r="7463">
          <cell r="G7463" t="str">
            <v>X3001_1</v>
          </cell>
          <cell r="H7463" t="str">
            <v>as-as</v>
          </cell>
          <cell r="I7463" t="str">
            <v>sim</v>
          </cell>
          <cell r="V7463" t="str">
            <v>not neg pair</v>
          </cell>
          <cell r="Y7463" t="str">
            <v>Past</v>
          </cell>
          <cell r="Z7463">
            <v>3.93</v>
          </cell>
          <cell r="AA7463">
            <v>0</v>
          </cell>
          <cell r="AB7463">
            <v>0</v>
          </cell>
        </row>
        <row r="7464">
          <cell r="G7464" t="str">
            <v>X3002_0</v>
          </cell>
          <cell r="H7464" t="str">
            <v>as-as</v>
          </cell>
          <cell r="I7464" t="str">
            <v>sim</v>
          </cell>
          <cell r="V7464" t="str">
            <v>antonym</v>
          </cell>
          <cell r="Y7464" t="str">
            <v>Past</v>
          </cell>
          <cell r="Z7464">
            <v>4.8899999999999997</v>
          </cell>
          <cell r="AA7464">
            <v>0</v>
          </cell>
          <cell r="AB7464">
            <v>0</v>
          </cell>
        </row>
        <row r="7465">
          <cell r="G7465" t="str">
            <v>X3002_1</v>
          </cell>
          <cell r="H7465" t="str">
            <v>as-as</v>
          </cell>
          <cell r="I7465" t="str">
            <v>sim</v>
          </cell>
          <cell r="V7465" t="str">
            <v>antonym</v>
          </cell>
          <cell r="Y7465" t="str">
            <v>Past</v>
          </cell>
          <cell r="Z7465">
            <v>4.8899999999999997</v>
          </cell>
          <cell r="AA7465">
            <v>0</v>
          </cell>
          <cell r="AB7465">
            <v>0</v>
          </cell>
        </row>
        <row r="7466">
          <cell r="G7466" t="str">
            <v>X3003_0</v>
          </cell>
          <cell r="H7466" t="str">
            <v>as-as</v>
          </cell>
          <cell r="I7466" t="str">
            <v>sim</v>
          </cell>
          <cell r="V7466" t="str">
            <v>not</v>
          </cell>
          <cell r="Y7466" t="str">
            <v>Pres</v>
          </cell>
          <cell r="Z7466">
            <v>2.81</v>
          </cell>
          <cell r="AA7466">
            <v>0</v>
          </cell>
          <cell r="AB7466">
            <v>0</v>
          </cell>
        </row>
        <row r="7467">
          <cell r="G7467" t="str">
            <v>X3003_1</v>
          </cell>
          <cell r="H7467" t="str">
            <v>as-as</v>
          </cell>
          <cell r="I7467" t="str">
            <v>sim</v>
          </cell>
          <cell r="V7467" t="str">
            <v>not</v>
          </cell>
          <cell r="Y7467" t="str">
            <v>Pres</v>
          </cell>
          <cell r="Z7467">
            <v>2.81</v>
          </cell>
          <cell r="AA7467">
            <v>0</v>
          </cell>
          <cell r="AB7467">
            <v>0</v>
          </cell>
        </row>
        <row r="7468">
          <cell r="G7468" t="str">
            <v>X3004_0</v>
          </cell>
          <cell r="H7468" t="str">
            <v>as-as</v>
          </cell>
          <cell r="I7468" t="str">
            <v>sim</v>
          </cell>
          <cell r="V7468" t="str">
            <v>antonym</v>
          </cell>
          <cell r="Y7468" t="str">
            <v>Pres</v>
          </cell>
          <cell r="Z7468">
            <v>3.93</v>
          </cell>
          <cell r="AA7468">
            <v>0</v>
          </cell>
          <cell r="AB7468">
            <v>0</v>
          </cell>
        </row>
        <row r="7469">
          <cell r="G7469" t="str">
            <v>X3004_1</v>
          </cell>
          <cell r="H7469" t="str">
            <v>as-as</v>
          </cell>
          <cell r="I7469" t="str">
            <v>sim</v>
          </cell>
          <cell r="V7469" t="str">
            <v>antonym</v>
          </cell>
          <cell r="Y7469" t="str">
            <v>Pres</v>
          </cell>
          <cell r="Z7469">
            <v>3.93</v>
          </cell>
          <cell r="AA7469">
            <v>0</v>
          </cell>
          <cell r="AB7469">
            <v>0</v>
          </cell>
        </row>
        <row r="7470">
          <cell r="G7470" t="str">
            <v>X3005_0</v>
          </cell>
          <cell r="H7470" t="str">
            <v>as-as</v>
          </cell>
          <cell r="I7470" t="str">
            <v>sim</v>
          </cell>
          <cell r="V7470" t="str">
            <v>antonym</v>
          </cell>
          <cell r="Y7470" t="str">
            <v>Pres</v>
          </cell>
          <cell r="Z7470">
            <v>4.8099999999999996</v>
          </cell>
          <cell r="AA7470">
            <v>0</v>
          </cell>
          <cell r="AB7470">
            <v>0</v>
          </cell>
        </row>
        <row r="7471">
          <cell r="G7471" t="str">
            <v>X3005_1</v>
          </cell>
          <cell r="H7471" t="str">
            <v>as-as</v>
          </cell>
          <cell r="I7471" t="str">
            <v>sim</v>
          </cell>
          <cell r="V7471" t="str">
            <v>antonym</v>
          </cell>
          <cell r="Y7471" t="str">
            <v>Pres</v>
          </cell>
          <cell r="Z7471">
            <v>4.8099999999999996</v>
          </cell>
          <cell r="AA7471">
            <v>0</v>
          </cell>
          <cell r="AB7471">
            <v>0</v>
          </cell>
        </row>
        <row r="7472">
          <cell r="G7472" t="str">
            <v>X3006_0</v>
          </cell>
          <cell r="H7472" t="str">
            <v>as-as</v>
          </cell>
          <cell r="I7472" t="str">
            <v>sim</v>
          </cell>
          <cell r="V7472" t="str">
            <v>not</v>
          </cell>
          <cell r="Y7472" t="str">
            <v>Past</v>
          </cell>
          <cell r="Z7472">
            <v>3.36</v>
          </cell>
          <cell r="AA7472">
            <v>0</v>
          </cell>
          <cell r="AB7472">
            <v>0</v>
          </cell>
        </row>
        <row r="7473">
          <cell r="G7473" t="str">
            <v>X3006_1</v>
          </cell>
          <cell r="H7473" t="str">
            <v>as-as</v>
          </cell>
          <cell r="I7473" t="str">
            <v>sim</v>
          </cell>
          <cell r="V7473" t="str">
            <v>not</v>
          </cell>
          <cell r="Y7473" t="str">
            <v>Past</v>
          </cell>
          <cell r="Z7473">
            <v>3.36</v>
          </cell>
          <cell r="AA7473">
            <v>0</v>
          </cell>
          <cell r="AB7473">
            <v>0</v>
          </cell>
        </row>
        <row r="7474">
          <cell r="G7474" t="str">
            <v>X3007_0</v>
          </cell>
          <cell r="H7474" t="str">
            <v/>
          </cell>
          <cell r="I7474" t="str">
            <v>met</v>
          </cell>
          <cell r="V7474" t="str">
            <v>0</v>
          </cell>
          <cell r="Y7474" t="str">
            <v>Pres</v>
          </cell>
          <cell r="Z7474">
            <v>3.07</v>
          </cell>
          <cell r="AA7474">
            <v>0</v>
          </cell>
          <cell r="AB7474">
            <v>0</v>
          </cell>
        </row>
        <row r="7475">
          <cell r="G7475" t="str">
            <v>X3007_1</v>
          </cell>
          <cell r="H7475" t="str">
            <v/>
          </cell>
          <cell r="I7475" t="str">
            <v>met</v>
          </cell>
          <cell r="V7475" t="str">
            <v>0</v>
          </cell>
          <cell r="Y7475" t="str">
            <v>Pres</v>
          </cell>
          <cell r="Z7475">
            <v>3.07</v>
          </cell>
          <cell r="AA7475">
            <v>0</v>
          </cell>
          <cell r="AB7475">
            <v>0</v>
          </cell>
        </row>
        <row r="7476">
          <cell r="G7476" t="str">
            <v>X3008_0</v>
          </cell>
          <cell r="H7476" t="str">
            <v>the-of</v>
          </cell>
          <cell r="I7476" t="str">
            <v>sim</v>
          </cell>
          <cell r="V7476" t="str">
            <v>not</v>
          </cell>
          <cell r="Y7476" t="str">
            <v>Past</v>
          </cell>
          <cell r="Z7476">
            <v>2.81</v>
          </cell>
          <cell r="AA7476">
            <v>0</v>
          </cell>
          <cell r="AB7476">
            <v>0</v>
          </cell>
        </row>
        <row r="7477">
          <cell r="G7477" t="str">
            <v>X3008_1</v>
          </cell>
          <cell r="H7477" t="str">
            <v>the-of</v>
          </cell>
          <cell r="I7477" t="str">
            <v>sim</v>
          </cell>
          <cell r="V7477" t="str">
            <v>not</v>
          </cell>
          <cell r="Y7477" t="str">
            <v>Past</v>
          </cell>
          <cell r="Z7477">
            <v>2.81</v>
          </cell>
          <cell r="AA7477">
            <v>0</v>
          </cell>
          <cell r="AB7477">
            <v>0</v>
          </cell>
        </row>
        <row r="7478">
          <cell r="G7478" t="str">
            <v>X3009_0</v>
          </cell>
          <cell r="H7478" t="str">
            <v>as-as</v>
          </cell>
          <cell r="I7478" t="str">
            <v>sim</v>
          </cell>
          <cell r="V7478" t="str">
            <v>antonym</v>
          </cell>
          <cell r="Y7478" t="str">
            <v>Pres</v>
          </cell>
          <cell r="Z7478">
            <v>3.93</v>
          </cell>
          <cell r="AA7478">
            <v>0</v>
          </cell>
          <cell r="AB7478">
            <v>0</v>
          </cell>
        </row>
        <row r="7479">
          <cell r="G7479" t="str">
            <v>X3009_1</v>
          </cell>
          <cell r="H7479" t="str">
            <v>as-as</v>
          </cell>
          <cell r="I7479" t="str">
            <v>sim</v>
          </cell>
          <cell r="V7479" t="str">
            <v>antonym</v>
          </cell>
          <cell r="Y7479" t="str">
            <v>Pres</v>
          </cell>
          <cell r="Z7479">
            <v>3.93</v>
          </cell>
          <cell r="AA7479">
            <v>0</v>
          </cell>
          <cell r="AB7479">
            <v>0</v>
          </cell>
        </row>
        <row r="7480">
          <cell r="G7480" t="str">
            <v>X3010_0</v>
          </cell>
          <cell r="H7480" t="str">
            <v>the-of</v>
          </cell>
          <cell r="I7480" t="str">
            <v>sim</v>
          </cell>
          <cell r="V7480" t="str">
            <v>not</v>
          </cell>
          <cell r="Y7480" t="str">
            <v>Past</v>
          </cell>
          <cell r="Z7480">
            <v>4.93</v>
          </cell>
          <cell r="AA7480" t="str">
            <v>H</v>
          </cell>
          <cell r="AB7480">
            <v>0</v>
          </cell>
        </row>
        <row r="7481">
          <cell r="G7481" t="str">
            <v>X3010_1</v>
          </cell>
          <cell r="H7481" t="str">
            <v>the-of</v>
          </cell>
          <cell r="I7481" t="str">
            <v>sim</v>
          </cell>
          <cell r="V7481" t="str">
            <v>not</v>
          </cell>
          <cell r="Y7481" t="str">
            <v>Past</v>
          </cell>
          <cell r="Z7481">
            <v>4.6900000000000004</v>
          </cell>
          <cell r="AA7481">
            <v>0</v>
          </cell>
          <cell r="AB7481">
            <v>0</v>
          </cell>
        </row>
        <row r="7482">
          <cell r="G7482" t="str">
            <v>X3011_0</v>
          </cell>
          <cell r="H7482" t="str">
            <v>as-as</v>
          </cell>
          <cell r="I7482" t="str">
            <v>sim</v>
          </cell>
          <cell r="V7482" t="str">
            <v>antonym</v>
          </cell>
          <cell r="Y7482" t="str">
            <v>Pres</v>
          </cell>
          <cell r="Z7482">
            <v>4.93</v>
          </cell>
          <cell r="AA7482" t="str">
            <v>H</v>
          </cell>
          <cell r="AB7482">
            <v>0</v>
          </cell>
        </row>
        <row r="7483">
          <cell r="G7483" t="str">
            <v>X3011_1</v>
          </cell>
          <cell r="H7483" t="str">
            <v>as-as</v>
          </cell>
          <cell r="I7483" t="str">
            <v>sim</v>
          </cell>
          <cell r="V7483" t="str">
            <v>antonym</v>
          </cell>
          <cell r="Y7483" t="str">
            <v>Pres</v>
          </cell>
          <cell r="Z7483">
            <v>4.93</v>
          </cell>
          <cell r="AA7483" t="str">
            <v>H</v>
          </cell>
          <cell r="AB7483">
            <v>0</v>
          </cell>
        </row>
        <row r="7484">
          <cell r="G7484" t="str">
            <v>X3012_0</v>
          </cell>
          <cell r="H7484" t="str">
            <v>like</v>
          </cell>
          <cell r="I7484" t="str">
            <v>sim</v>
          </cell>
          <cell r="V7484" t="str">
            <v>not neg pair</v>
          </cell>
          <cell r="Y7484" t="str">
            <v>Past</v>
          </cell>
          <cell r="Z7484">
            <v>3.83</v>
          </cell>
          <cell r="AA7484">
            <v>0</v>
          </cell>
          <cell r="AB7484">
            <v>0</v>
          </cell>
        </row>
        <row r="7485">
          <cell r="G7485" t="str">
            <v>X3012_1</v>
          </cell>
          <cell r="H7485" t="str">
            <v>like</v>
          </cell>
          <cell r="I7485" t="str">
            <v>sim</v>
          </cell>
          <cell r="V7485" t="str">
            <v>not neg pair</v>
          </cell>
          <cell r="Y7485" t="str">
            <v>Past</v>
          </cell>
          <cell r="Z7485">
            <v>3.83</v>
          </cell>
          <cell r="AA7485">
            <v>0</v>
          </cell>
          <cell r="AB7485">
            <v>0</v>
          </cell>
        </row>
        <row r="7486">
          <cell r="G7486" t="str">
            <v>X3013_0</v>
          </cell>
          <cell r="H7486" t="str">
            <v>as-as</v>
          </cell>
          <cell r="I7486" t="str">
            <v>sim</v>
          </cell>
          <cell r="V7486" t="str">
            <v>not neg pair</v>
          </cell>
          <cell r="Y7486" t="str">
            <v>Pres</v>
          </cell>
          <cell r="Z7486">
            <v>1.86</v>
          </cell>
          <cell r="AA7486" t="str">
            <v>L</v>
          </cell>
          <cell r="AB7486">
            <v>0</v>
          </cell>
        </row>
        <row r="7487">
          <cell r="G7487" t="str">
            <v>X3013_1</v>
          </cell>
          <cell r="H7487" t="str">
            <v>as-as</v>
          </cell>
          <cell r="I7487" t="str">
            <v>sim</v>
          </cell>
          <cell r="V7487" t="str">
            <v>not neg pair</v>
          </cell>
          <cell r="Y7487" t="str">
            <v>Pres</v>
          </cell>
          <cell r="Z7487">
            <v>1.86</v>
          </cell>
          <cell r="AA7487" t="str">
            <v>L</v>
          </cell>
          <cell r="AB7487">
            <v>0</v>
          </cell>
        </row>
        <row r="7488">
          <cell r="G7488" t="str">
            <v>X3014_0</v>
          </cell>
          <cell r="H7488" t="str">
            <v>as-as</v>
          </cell>
          <cell r="I7488" t="str">
            <v>sim</v>
          </cell>
          <cell r="V7488" t="str">
            <v>antonym</v>
          </cell>
          <cell r="Y7488" t="str">
            <v>Pres</v>
          </cell>
          <cell r="Z7488">
            <v>3.93</v>
          </cell>
          <cell r="AA7488">
            <v>0</v>
          </cell>
          <cell r="AB7488">
            <v>0</v>
          </cell>
        </row>
        <row r="7489">
          <cell r="G7489" t="str">
            <v>X3014_1</v>
          </cell>
          <cell r="H7489" t="str">
            <v>as-as</v>
          </cell>
          <cell r="I7489" t="str">
            <v>sim</v>
          </cell>
          <cell r="V7489" t="str">
            <v>antonym</v>
          </cell>
          <cell r="Y7489" t="str">
            <v>Pres</v>
          </cell>
          <cell r="Z7489">
            <v>3.93</v>
          </cell>
          <cell r="AA7489">
            <v>0</v>
          </cell>
          <cell r="AB7489">
            <v>0</v>
          </cell>
        </row>
        <row r="7490">
          <cell r="G7490" t="str">
            <v>X3015_0</v>
          </cell>
          <cell r="H7490" t="str">
            <v>the-of</v>
          </cell>
          <cell r="I7490" t="str">
            <v>sim</v>
          </cell>
          <cell r="V7490" t="str">
            <v>not neg pair</v>
          </cell>
          <cell r="Y7490" t="str">
            <v>Past</v>
          </cell>
          <cell r="Z7490">
            <v>4.96</v>
          </cell>
          <cell r="AA7490" t="str">
            <v>H</v>
          </cell>
          <cell r="AB7490">
            <v>0</v>
          </cell>
        </row>
        <row r="7491">
          <cell r="G7491" t="str">
            <v>X3015_1</v>
          </cell>
          <cell r="H7491" t="str">
            <v>the-of</v>
          </cell>
          <cell r="I7491" t="str">
            <v>sim</v>
          </cell>
          <cell r="V7491" t="str">
            <v>not neg pair</v>
          </cell>
          <cell r="Y7491" t="str">
            <v>Past</v>
          </cell>
          <cell r="Z7491">
            <v>4.96</v>
          </cell>
          <cell r="AA7491" t="str">
            <v>H</v>
          </cell>
          <cell r="AB7491">
            <v>0</v>
          </cell>
        </row>
        <row r="7492">
          <cell r="G7492" t="str">
            <v>X3016_0</v>
          </cell>
          <cell r="H7492" t="str">
            <v>as-as</v>
          </cell>
          <cell r="I7492" t="str">
            <v>sim</v>
          </cell>
          <cell r="V7492" t="str">
            <v>antonym</v>
          </cell>
          <cell r="Y7492" t="str">
            <v>Pres</v>
          </cell>
          <cell r="Z7492">
            <v>4.75</v>
          </cell>
          <cell r="AA7492">
            <v>0</v>
          </cell>
          <cell r="AB7492">
            <v>0</v>
          </cell>
        </row>
        <row r="7493">
          <cell r="G7493" t="str">
            <v>X3016_1</v>
          </cell>
          <cell r="H7493" t="str">
            <v>as-as</v>
          </cell>
          <cell r="I7493" t="str">
            <v>sim</v>
          </cell>
          <cell r="V7493" t="str">
            <v>antonym</v>
          </cell>
          <cell r="Y7493" t="str">
            <v>Pres</v>
          </cell>
          <cell r="Z7493">
            <v>4.75</v>
          </cell>
          <cell r="AA7493">
            <v>0</v>
          </cell>
          <cell r="AB7493">
            <v>0</v>
          </cell>
        </row>
        <row r="7494">
          <cell r="G7494" t="str">
            <v>X3017_0</v>
          </cell>
          <cell r="H7494" t="str">
            <v>the-of</v>
          </cell>
          <cell r="I7494" t="str">
            <v>sim</v>
          </cell>
          <cell r="V7494" t="str">
            <v>not neg pair</v>
          </cell>
          <cell r="Y7494" t="str">
            <v>Pres</v>
          </cell>
          <cell r="Z7494">
            <v>2.44</v>
          </cell>
          <cell r="AA7494" t="str">
            <v>L</v>
          </cell>
          <cell r="AB7494">
            <v>0</v>
          </cell>
        </row>
        <row r="7495">
          <cell r="G7495" t="str">
            <v>X3017_1</v>
          </cell>
          <cell r="H7495" t="str">
            <v>the-of</v>
          </cell>
          <cell r="I7495" t="str">
            <v>sim</v>
          </cell>
          <cell r="V7495" t="str">
            <v>not neg pair</v>
          </cell>
          <cell r="Y7495" t="str">
            <v>Past</v>
          </cell>
          <cell r="Z7495">
            <v>2.44</v>
          </cell>
          <cell r="AA7495" t="str">
            <v>L</v>
          </cell>
          <cell r="AB7495">
            <v>0</v>
          </cell>
        </row>
        <row r="7496">
          <cell r="G7496" t="str">
            <v>X3018_0</v>
          </cell>
          <cell r="H7496" t="str">
            <v>as</v>
          </cell>
          <cell r="I7496" t="str">
            <v>sim</v>
          </cell>
          <cell r="V7496" t="str">
            <v>not neg pair</v>
          </cell>
          <cell r="Y7496" t="str">
            <v>Past</v>
          </cell>
          <cell r="Z7496">
            <v>4.8099999999999996</v>
          </cell>
          <cell r="AA7496">
            <v>0</v>
          </cell>
          <cell r="AB7496">
            <v>0</v>
          </cell>
        </row>
        <row r="7497">
          <cell r="G7497" t="str">
            <v>X3018_1</v>
          </cell>
          <cell r="H7497" t="str">
            <v>as</v>
          </cell>
          <cell r="I7497" t="str">
            <v>sim</v>
          </cell>
          <cell r="V7497" t="str">
            <v>not neg pair</v>
          </cell>
          <cell r="Y7497" t="str">
            <v>Past</v>
          </cell>
          <cell r="Z7497">
            <v>4.8099999999999996</v>
          </cell>
          <cell r="AA7497">
            <v>0</v>
          </cell>
          <cell r="AB7497">
            <v>0</v>
          </cell>
        </row>
        <row r="7498">
          <cell r="G7498" t="str">
            <v>X3019_0</v>
          </cell>
          <cell r="H7498" t="str">
            <v>as-as</v>
          </cell>
          <cell r="I7498" t="str">
            <v>sim</v>
          </cell>
          <cell r="V7498" t="str">
            <v>antonym</v>
          </cell>
          <cell r="Y7498" t="str">
            <v>Pres</v>
          </cell>
          <cell r="Z7498">
            <v>3.93</v>
          </cell>
          <cell r="AA7498">
            <v>0</v>
          </cell>
          <cell r="AB7498">
            <v>0</v>
          </cell>
        </row>
        <row r="7499">
          <cell r="G7499" t="str">
            <v>X3019_1</v>
          </cell>
          <cell r="H7499" t="str">
            <v>as-as</v>
          </cell>
          <cell r="I7499" t="str">
            <v>sim</v>
          </cell>
          <cell r="V7499" t="str">
            <v>antonym</v>
          </cell>
          <cell r="Y7499" t="str">
            <v>Pres</v>
          </cell>
          <cell r="Z7499">
            <v>3.93</v>
          </cell>
          <cell r="AA7499">
            <v>0</v>
          </cell>
          <cell r="AB7499">
            <v>0</v>
          </cell>
        </row>
        <row r="7500">
          <cell r="G7500" t="str">
            <v>X3020_0</v>
          </cell>
          <cell r="H7500" t="str">
            <v/>
          </cell>
          <cell r="I7500" t="str">
            <v>met</v>
          </cell>
          <cell r="V7500" t="str">
            <v>0</v>
          </cell>
          <cell r="Y7500" t="str">
            <v>Pres</v>
          </cell>
          <cell r="Z7500">
            <v>2.44</v>
          </cell>
          <cell r="AA7500" t="str">
            <v>L</v>
          </cell>
          <cell r="AB7500">
            <v>0</v>
          </cell>
        </row>
        <row r="7501">
          <cell r="G7501" t="str">
            <v>X3020_1</v>
          </cell>
          <cell r="H7501" t="str">
            <v>like</v>
          </cell>
          <cell r="I7501" t="str">
            <v>sim</v>
          </cell>
          <cell r="V7501" t="str">
            <v>0</v>
          </cell>
          <cell r="Y7501" t="str">
            <v>Pres</v>
          </cell>
          <cell r="Z7501">
            <v>2.44</v>
          </cell>
          <cell r="AA7501" t="str">
            <v>L</v>
          </cell>
          <cell r="AB7501">
            <v>0</v>
          </cell>
        </row>
        <row r="7502">
          <cell r="G7502" t="str">
            <v>X3021_0</v>
          </cell>
          <cell r="H7502" t="str">
            <v>as-as</v>
          </cell>
          <cell r="I7502" t="str">
            <v>sim</v>
          </cell>
          <cell r="V7502" t="str">
            <v>not</v>
          </cell>
          <cell r="Y7502" t="str">
            <v>Past</v>
          </cell>
          <cell r="Z7502">
            <v>4.1100000000000003</v>
          </cell>
          <cell r="AA7502">
            <v>0</v>
          </cell>
          <cell r="AB7502">
            <v>0</v>
          </cell>
        </row>
        <row r="7503">
          <cell r="G7503" t="str">
            <v>X3021_1</v>
          </cell>
          <cell r="H7503" t="str">
            <v>as-as</v>
          </cell>
          <cell r="I7503" t="str">
            <v>sim</v>
          </cell>
          <cell r="V7503" t="str">
            <v>not</v>
          </cell>
          <cell r="Y7503" t="str">
            <v>Past</v>
          </cell>
          <cell r="Z7503">
            <v>4.1100000000000003</v>
          </cell>
          <cell r="AA7503">
            <v>0</v>
          </cell>
          <cell r="AB7503">
            <v>0</v>
          </cell>
        </row>
        <row r="7504">
          <cell r="G7504" t="str">
            <v>X3022_0</v>
          </cell>
          <cell r="H7504" t="str">
            <v>the-of</v>
          </cell>
          <cell r="I7504" t="str">
            <v>sim</v>
          </cell>
          <cell r="V7504" t="str">
            <v>not neg pair</v>
          </cell>
          <cell r="Y7504" t="str">
            <v>Pres</v>
          </cell>
          <cell r="Z7504">
            <v>3.36</v>
          </cell>
          <cell r="AA7504">
            <v>0</v>
          </cell>
          <cell r="AB7504">
            <v>0</v>
          </cell>
        </row>
        <row r="7505">
          <cell r="G7505" t="str">
            <v>X3022_1</v>
          </cell>
          <cell r="H7505" t="str">
            <v>the-of</v>
          </cell>
          <cell r="I7505" t="str">
            <v>sim</v>
          </cell>
          <cell r="V7505" t="str">
            <v>not neg pair</v>
          </cell>
          <cell r="Y7505" t="str">
            <v>Pres</v>
          </cell>
          <cell r="Z7505">
            <v>3.36</v>
          </cell>
          <cell r="AA7505">
            <v>0</v>
          </cell>
          <cell r="AB7505">
            <v>0</v>
          </cell>
        </row>
        <row r="7506">
          <cell r="G7506" t="str">
            <v>X3023_0</v>
          </cell>
          <cell r="H7506" t="str">
            <v>the-of</v>
          </cell>
          <cell r="I7506" t="str">
            <v>sim</v>
          </cell>
          <cell r="V7506" t="str">
            <v>not neg pair</v>
          </cell>
          <cell r="Y7506" t="str">
            <v>Pres</v>
          </cell>
          <cell r="Z7506">
            <v>5</v>
          </cell>
          <cell r="AA7506" t="str">
            <v>H</v>
          </cell>
          <cell r="AB7506">
            <v>0</v>
          </cell>
        </row>
        <row r="7507">
          <cell r="G7507" t="str">
            <v>X3023_1</v>
          </cell>
          <cell r="H7507" t="str">
            <v>the-of</v>
          </cell>
          <cell r="I7507" t="str">
            <v>sim</v>
          </cell>
          <cell r="V7507" t="str">
            <v>not neg pair</v>
          </cell>
          <cell r="Y7507" t="str">
            <v>Pres</v>
          </cell>
          <cell r="Z7507">
            <v>5</v>
          </cell>
          <cell r="AA7507" t="str">
            <v>H</v>
          </cell>
          <cell r="AB7507">
            <v>0</v>
          </cell>
        </row>
        <row r="7508">
          <cell r="G7508" t="str">
            <v>X3024_0</v>
          </cell>
          <cell r="H7508" t="str">
            <v>like</v>
          </cell>
          <cell r="I7508" t="str">
            <v>sim</v>
          </cell>
          <cell r="V7508" t="str">
            <v>not neg pair</v>
          </cell>
          <cell r="Y7508" t="str">
            <v>Pres</v>
          </cell>
          <cell r="Z7508">
            <v>4.76</v>
          </cell>
          <cell r="AA7508">
            <v>0</v>
          </cell>
          <cell r="AB7508">
            <v>0</v>
          </cell>
        </row>
        <row r="7509">
          <cell r="G7509" t="str">
            <v>X3024_1</v>
          </cell>
          <cell r="H7509" t="str">
            <v>like</v>
          </cell>
          <cell r="I7509" t="str">
            <v>sim</v>
          </cell>
          <cell r="V7509" t="str">
            <v>not neg pair</v>
          </cell>
          <cell r="Y7509" t="str">
            <v>Pres</v>
          </cell>
          <cell r="Z7509">
            <v>4.76</v>
          </cell>
          <cell r="AA7509">
            <v>0</v>
          </cell>
          <cell r="AB7509">
            <v>0</v>
          </cell>
        </row>
        <row r="7510">
          <cell r="G7510" t="str">
            <v>X3025_0</v>
          </cell>
          <cell r="H7510" t="str">
            <v>like</v>
          </cell>
          <cell r="I7510" t="str">
            <v>sim</v>
          </cell>
          <cell r="V7510" t="str">
            <v>not neg pair</v>
          </cell>
          <cell r="Y7510" t="str">
            <v>Pres</v>
          </cell>
          <cell r="Z7510">
            <v>4.96</v>
          </cell>
          <cell r="AA7510" t="str">
            <v>H</v>
          </cell>
          <cell r="AB7510">
            <v>0</v>
          </cell>
        </row>
        <row r="7511">
          <cell r="G7511" t="str">
            <v>X3025_1</v>
          </cell>
          <cell r="H7511" t="str">
            <v>like</v>
          </cell>
          <cell r="I7511" t="str">
            <v>sim</v>
          </cell>
          <cell r="V7511" t="str">
            <v>not neg pair</v>
          </cell>
          <cell r="Y7511" t="str">
            <v>Pres</v>
          </cell>
          <cell r="Z7511">
            <v>4.96</v>
          </cell>
          <cell r="AA7511" t="str">
            <v>H</v>
          </cell>
          <cell r="AB7511">
            <v>0</v>
          </cell>
        </row>
        <row r="7512">
          <cell r="G7512" t="str">
            <v>X3026_0</v>
          </cell>
          <cell r="H7512" t="str">
            <v>like</v>
          </cell>
          <cell r="I7512" t="str">
            <v>sim</v>
          </cell>
          <cell r="V7512" t="str">
            <v>not neg pair</v>
          </cell>
          <cell r="Y7512" t="str">
            <v>Pres</v>
          </cell>
          <cell r="Z7512">
            <v>4.8600000000000003</v>
          </cell>
          <cell r="AA7512">
            <v>0</v>
          </cell>
          <cell r="AB7512">
            <v>0</v>
          </cell>
        </row>
        <row r="7513">
          <cell r="G7513" t="str">
            <v>X3026_1</v>
          </cell>
          <cell r="H7513" t="str">
            <v>like</v>
          </cell>
          <cell r="I7513" t="str">
            <v>sim</v>
          </cell>
          <cell r="V7513" t="str">
            <v>not neg pair</v>
          </cell>
          <cell r="Y7513" t="str">
            <v>Pres</v>
          </cell>
          <cell r="Z7513">
            <v>4.8600000000000003</v>
          </cell>
          <cell r="AA7513">
            <v>0</v>
          </cell>
          <cell r="AB7513">
            <v>0</v>
          </cell>
        </row>
        <row r="7514">
          <cell r="G7514" t="str">
            <v>X3027_0</v>
          </cell>
          <cell r="H7514" t="str">
            <v>as-as</v>
          </cell>
          <cell r="I7514" t="str">
            <v>sim</v>
          </cell>
          <cell r="V7514" t="str">
            <v>not</v>
          </cell>
          <cell r="Y7514" t="str">
            <v>Pres</v>
          </cell>
          <cell r="Z7514">
            <v>3.36</v>
          </cell>
          <cell r="AA7514">
            <v>0</v>
          </cell>
          <cell r="AB7514">
            <v>0</v>
          </cell>
        </row>
        <row r="7515">
          <cell r="G7515" t="str">
            <v>X3027_1</v>
          </cell>
          <cell r="H7515" t="str">
            <v>as-as</v>
          </cell>
          <cell r="I7515" t="str">
            <v>sim</v>
          </cell>
          <cell r="V7515" t="str">
            <v>not</v>
          </cell>
          <cell r="Y7515" t="str">
            <v>Pres</v>
          </cell>
          <cell r="Z7515">
            <v>3.36</v>
          </cell>
          <cell r="AA7515">
            <v>0</v>
          </cell>
          <cell r="AB7515">
            <v>0</v>
          </cell>
        </row>
        <row r="7516">
          <cell r="G7516" t="str">
            <v>X3028_0</v>
          </cell>
          <cell r="H7516" t="str">
            <v>as-as</v>
          </cell>
          <cell r="I7516" t="str">
            <v>sim</v>
          </cell>
          <cell r="V7516" t="str">
            <v>antonym</v>
          </cell>
          <cell r="Y7516" t="str">
            <v>Pres</v>
          </cell>
          <cell r="Z7516">
            <v>4.1100000000000003</v>
          </cell>
          <cell r="AA7516">
            <v>0</v>
          </cell>
          <cell r="AB7516">
            <v>0</v>
          </cell>
        </row>
        <row r="7517">
          <cell r="G7517" t="str">
            <v>X3028_1</v>
          </cell>
          <cell r="H7517" t="str">
            <v>as-as</v>
          </cell>
          <cell r="I7517" t="str">
            <v>sim</v>
          </cell>
          <cell r="V7517" t="str">
            <v>antonym</v>
          </cell>
          <cell r="Y7517" t="str">
            <v>Pres</v>
          </cell>
          <cell r="Z7517">
            <v>4.1100000000000003</v>
          </cell>
          <cell r="AA7517">
            <v>0</v>
          </cell>
          <cell r="AB7517">
            <v>0</v>
          </cell>
        </row>
        <row r="7518">
          <cell r="G7518" t="str">
            <v>X3029_0</v>
          </cell>
          <cell r="H7518" t="str">
            <v/>
          </cell>
          <cell r="I7518" t="str">
            <v>met</v>
          </cell>
          <cell r="V7518" t="str">
            <v>0</v>
          </cell>
          <cell r="Y7518" t="str">
            <v>Past</v>
          </cell>
          <cell r="Z7518">
            <v>2.6</v>
          </cell>
          <cell r="AA7518" t="str">
            <v>L</v>
          </cell>
          <cell r="AB7518">
            <v>0</v>
          </cell>
        </row>
        <row r="7519">
          <cell r="G7519" t="str">
            <v>X3029_1</v>
          </cell>
          <cell r="H7519" t="str">
            <v/>
          </cell>
          <cell r="I7519" t="str">
            <v>met</v>
          </cell>
          <cell r="V7519" t="str">
            <v>0</v>
          </cell>
          <cell r="Y7519" t="str">
            <v>Past</v>
          </cell>
          <cell r="Z7519">
            <v>2.6</v>
          </cell>
          <cell r="AA7519" t="str">
            <v>L</v>
          </cell>
          <cell r="AB7519">
            <v>0</v>
          </cell>
        </row>
        <row r="7520">
          <cell r="G7520" t="str">
            <v>X3030_0</v>
          </cell>
          <cell r="H7520" t="str">
            <v>as-as</v>
          </cell>
          <cell r="I7520" t="str">
            <v>sim</v>
          </cell>
          <cell r="V7520" t="str">
            <v>not</v>
          </cell>
          <cell r="Y7520" t="str">
            <v>Past</v>
          </cell>
          <cell r="Z7520">
            <v>4.79</v>
          </cell>
          <cell r="AA7520">
            <v>0</v>
          </cell>
          <cell r="AB7520">
            <v>0</v>
          </cell>
        </row>
        <row r="7521">
          <cell r="G7521" t="str">
            <v>X3030_1</v>
          </cell>
          <cell r="H7521" t="str">
            <v>as-as</v>
          </cell>
          <cell r="I7521" t="str">
            <v>sim</v>
          </cell>
          <cell r="V7521" t="str">
            <v>not</v>
          </cell>
          <cell r="Y7521" t="str">
            <v>Pres</v>
          </cell>
          <cell r="Z7521">
            <v>4.79</v>
          </cell>
          <cell r="AA7521">
            <v>0</v>
          </cell>
          <cell r="AB7521">
            <v>0</v>
          </cell>
        </row>
        <row r="7522">
          <cell r="G7522" t="str">
            <v>X3031_0</v>
          </cell>
          <cell r="H7522" t="str">
            <v/>
          </cell>
          <cell r="I7522" t="str">
            <v>met</v>
          </cell>
          <cell r="V7522" t="str">
            <v>0</v>
          </cell>
          <cell r="Y7522" t="str">
            <v>Past</v>
          </cell>
          <cell r="Z7522">
            <v>3.36</v>
          </cell>
          <cell r="AA7522">
            <v>0</v>
          </cell>
          <cell r="AB7522">
            <v>0</v>
          </cell>
        </row>
        <row r="7523">
          <cell r="G7523" t="str">
            <v>X3031_1</v>
          </cell>
          <cell r="H7523" t="str">
            <v/>
          </cell>
          <cell r="I7523" t="str">
            <v>met</v>
          </cell>
          <cell r="V7523" t="str">
            <v>0</v>
          </cell>
          <cell r="Y7523" t="str">
            <v>Past</v>
          </cell>
          <cell r="Z7523">
            <v>3.36</v>
          </cell>
          <cell r="AA7523">
            <v>0</v>
          </cell>
          <cell r="AB7523">
            <v>0</v>
          </cell>
        </row>
        <row r="7524">
          <cell r="G7524" t="str">
            <v>X3032_0</v>
          </cell>
          <cell r="H7524" t="str">
            <v>as</v>
          </cell>
          <cell r="I7524" t="str">
            <v>sim</v>
          </cell>
          <cell r="V7524" t="str">
            <v>not neg pair</v>
          </cell>
          <cell r="Y7524" t="str">
            <v>Pres</v>
          </cell>
          <cell r="Z7524">
            <v>4.1100000000000003</v>
          </cell>
          <cell r="AA7524">
            <v>0</v>
          </cell>
          <cell r="AB7524">
            <v>0</v>
          </cell>
        </row>
        <row r="7525">
          <cell r="G7525" t="str">
            <v>X3032_1</v>
          </cell>
          <cell r="H7525" t="str">
            <v>as</v>
          </cell>
          <cell r="I7525" t="str">
            <v>sim</v>
          </cell>
          <cell r="V7525" t="str">
            <v>not neg pair</v>
          </cell>
          <cell r="Y7525" t="str">
            <v>Pres</v>
          </cell>
          <cell r="Z7525">
            <v>4.1100000000000003</v>
          </cell>
          <cell r="AA7525">
            <v>0</v>
          </cell>
          <cell r="AB7525">
            <v>0</v>
          </cell>
        </row>
        <row r="7526">
          <cell r="G7526" t="str">
            <v>X3033_0</v>
          </cell>
          <cell r="H7526" t="str">
            <v>as-as</v>
          </cell>
          <cell r="I7526" t="str">
            <v>sim</v>
          </cell>
          <cell r="V7526" t="str">
            <v>not</v>
          </cell>
          <cell r="Y7526" t="str">
            <v>Pres</v>
          </cell>
          <cell r="Z7526">
            <v>4.1100000000000003</v>
          </cell>
          <cell r="AA7526">
            <v>0</v>
          </cell>
          <cell r="AB7526">
            <v>0</v>
          </cell>
        </row>
        <row r="7527">
          <cell r="G7527" t="str">
            <v>X3033_1</v>
          </cell>
          <cell r="H7527" t="str">
            <v>as-as</v>
          </cell>
          <cell r="I7527" t="str">
            <v>sim</v>
          </cell>
          <cell r="V7527" t="str">
            <v>not</v>
          </cell>
          <cell r="Y7527" t="str">
            <v>Pres</v>
          </cell>
          <cell r="Z7527">
            <v>4.1100000000000003</v>
          </cell>
          <cell r="AA7527">
            <v>0</v>
          </cell>
          <cell r="AB7527">
            <v>0</v>
          </cell>
        </row>
        <row r="7528">
          <cell r="G7528" t="str">
            <v>X3034_0</v>
          </cell>
          <cell r="H7528" t="str">
            <v>as-as</v>
          </cell>
          <cell r="I7528" t="str">
            <v>sim</v>
          </cell>
          <cell r="V7528" t="str">
            <v>not neg pair</v>
          </cell>
          <cell r="Y7528" t="str">
            <v>Past</v>
          </cell>
          <cell r="Z7528">
            <v>5</v>
          </cell>
          <cell r="AA7528" t="str">
            <v>H</v>
          </cell>
          <cell r="AB7528">
            <v>0</v>
          </cell>
        </row>
        <row r="7529">
          <cell r="G7529" t="str">
            <v>X3034_1</v>
          </cell>
          <cell r="H7529" t="str">
            <v>as-as</v>
          </cell>
          <cell r="I7529" t="str">
            <v>sim</v>
          </cell>
          <cell r="V7529" t="str">
            <v>not neg pair</v>
          </cell>
          <cell r="Y7529" t="str">
            <v>Past</v>
          </cell>
          <cell r="Z7529">
            <v>5</v>
          </cell>
          <cell r="AA7529" t="str">
            <v>H</v>
          </cell>
          <cell r="AB7529">
            <v>0</v>
          </cell>
        </row>
        <row r="7530">
          <cell r="G7530" t="str">
            <v>X3035_0</v>
          </cell>
          <cell r="H7530" t="str">
            <v>as-as</v>
          </cell>
          <cell r="I7530" t="str">
            <v>sim</v>
          </cell>
          <cell r="V7530" t="str">
            <v>not</v>
          </cell>
          <cell r="Y7530" t="str">
            <v>Pres</v>
          </cell>
          <cell r="Z7530">
            <v>2.81</v>
          </cell>
          <cell r="AA7530">
            <v>0</v>
          </cell>
          <cell r="AB7530">
            <v>0</v>
          </cell>
        </row>
        <row r="7531">
          <cell r="G7531" t="str">
            <v>X3035_1</v>
          </cell>
          <cell r="H7531" t="str">
            <v>as-as</v>
          </cell>
          <cell r="I7531" t="str">
            <v>sim</v>
          </cell>
          <cell r="V7531" t="str">
            <v>not</v>
          </cell>
          <cell r="Y7531" t="str">
            <v>Pres</v>
          </cell>
          <cell r="Z7531">
            <v>2.81</v>
          </cell>
          <cell r="AA7531">
            <v>0</v>
          </cell>
          <cell r="AB7531">
            <v>0</v>
          </cell>
        </row>
        <row r="7532">
          <cell r="G7532" t="str">
            <v>X3036_0</v>
          </cell>
          <cell r="H7532" t="str">
            <v>the-of</v>
          </cell>
          <cell r="I7532" t="str">
            <v>sim</v>
          </cell>
          <cell r="V7532" t="str">
            <v>not neg pair</v>
          </cell>
          <cell r="Y7532" t="str">
            <v>Past</v>
          </cell>
          <cell r="Z7532">
            <v>3.93</v>
          </cell>
          <cell r="AA7532">
            <v>0</v>
          </cell>
          <cell r="AB7532">
            <v>0</v>
          </cell>
        </row>
        <row r="7533">
          <cell r="G7533" t="str">
            <v>X3036_1</v>
          </cell>
          <cell r="H7533" t="str">
            <v>the-of</v>
          </cell>
          <cell r="I7533" t="str">
            <v>sim</v>
          </cell>
          <cell r="V7533" t="str">
            <v>not neg pair</v>
          </cell>
          <cell r="Y7533" t="str">
            <v>Past</v>
          </cell>
          <cell r="Z7533">
            <v>3.93</v>
          </cell>
          <cell r="AA7533">
            <v>0</v>
          </cell>
          <cell r="AB7533">
            <v>0</v>
          </cell>
        </row>
        <row r="7534">
          <cell r="G7534" t="str">
            <v>X3037_0</v>
          </cell>
          <cell r="H7534" t="str">
            <v>the-of</v>
          </cell>
          <cell r="I7534" t="str">
            <v>sim</v>
          </cell>
          <cell r="V7534" t="str">
            <v>not neg pair</v>
          </cell>
          <cell r="Y7534" t="str">
            <v>Pres</v>
          </cell>
          <cell r="Z7534">
            <v>3.36</v>
          </cell>
          <cell r="AA7534">
            <v>0</v>
          </cell>
          <cell r="AB7534">
            <v>0</v>
          </cell>
        </row>
        <row r="7535">
          <cell r="G7535" t="str">
            <v>X3037_1</v>
          </cell>
          <cell r="H7535" t="str">
            <v>the-of</v>
          </cell>
          <cell r="I7535" t="str">
            <v>sim</v>
          </cell>
          <cell r="V7535" t="str">
            <v>not neg pair</v>
          </cell>
          <cell r="Y7535" t="str">
            <v>Pres</v>
          </cell>
          <cell r="Z7535">
            <v>3.36</v>
          </cell>
          <cell r="AA7535">
            <v>0</v>
          </cell>
          <cell r="AB7535">
            <v>0</v>
          </cell>
        </row>
        <row r="7536">
          <cell r="G7536" t="str">
            <v>X3038_0</v>
          </cell>
          <cell r="H7536" t="str">
            <v>like</v>
          </cell>
          <cell r="I7536" t="str">
            <v>sim</v>
          </cell>
          <cell r="V7536" t="str">
            <v>not neg pair</v>
          </cell>
          <cell r="Y7536" t="str">
            <v>Pres</v>
          </cell>
          <cell r="Z7536">
            <v>4.8099999999999996</v>
          </cell>
          <cell r="AA7536">
            <v>0</v>
          </cell>
          <cell r="AB7536">
            <v>0</v>
          </cell>
        </row>
        <row r="7537">
          <cell r="G7537" t="str">
            <v>X3038_1</v>
          </cell>
          <cell r="H7537" t="str">
            <v>like</v>
          </cell>
          <cell r="I7537" t="str">
            <v>sim</v>
          </cell>
          <cell r="V7537" t="str">
            <v>not neg pair</v>
          </cell>
          <cell r="Y7537" t="str">
            <v>Pres</v>
          </cell>
          <cell r="Z7537">
            <v>4.8099999999999996</v>
          </cell>
          <cell r="AA7537">
            <v>0</v>
          </cell>
          <cell r="AB7537">
            <v>0</v>
          </cell>
        </row>
        <row r="7538">
          <cell r="G7538" t="str">
            <v>X3039_0</v>
          </cell>
          <cell r="H7538" t="str">
            <v>as-as</v>
          </cell>
          <cell r="I7538" t="str">
            <v>sim</v>
          </cell>
          <cell r="V7538" t="str">
            <v>not</v>
          </cell>
          <cell r="Y7538">
            <v>0</v>
          </cell>
          <cell r="Z7538">
            <v>3.93</v>
          </cell>
          <cell r="AA7538">
            <v>0</v>
          </cell>
          <cell r="AB7538">
            <v>0</v>
          </cell>
        </row>
        <row r="7539">
          <cell r="G7539" t="str">
            <v>X3039_1</v>
          </cell>
          <cell r="H7539" t="str">
            <v>as-as</v>
          </cell>
          <cell r="I7539" t="str">
            <v>sim</v>
          </cell>
          <cell r="V7539" t="str">
            <v>not</v>
          </cell>
          <cell r="Y7539">
            <v>0</v>
          </cell>
          <cell r="Z7539">
            <v>3.93</v>
          </cell>
          <cell r="AA7539">
            <v>0</v>
          </cell>
          <cell r="AB7539">
            <v>0</v>
          </cell>
        </row>
        <row r="7540">
          <cell r="G7540" t="str">
            <v>X3040_0</v>
          </cell>
          <cell r="H7540" t="str">
            <v>the-of</v>
          </cell>
          <cell r="I7540" t="str">
            <v>sim</v>
          </cell>
          <cell r="V7540" t="str">
            <v>not</v>
          </cell>
          <cell r="Y7540" t="str">
            <v>Past</v>
          </cell>
          <cell r="Z7540">
            <v>3.36</v>
          </cell>
          <cell r="AA7540">
            <v>0</v>
          </cell>
          <cell r="AB7540">
            <v>0</v>
          </cell>
        </row>
        <row r="7541">
          <cell r="G7541" t="str">
            <v>X3040_1</v>
          </cell>
          <cell r="H7541" t="str">
            <v>the-of</v>
          </cell>
          <cell r="I7541" t="str">
            <v>sim</v>
          </cell>
          <cell r="V7541" t="str">
            <v>not</v>
          </cell>
          <cell r="Y7541" t="str">
            <v>Past</v>
          </cell>
          <cell r="Z7541">
            <v>3.36</v>
          </cell>
          <cell r="AA7541">
            <v>0</v>
          </cell>
          <cell r="AB7541">
            <v>0</v>
          </cell>
        </row>
        <row r="7542">
          <cell r="G7542" t="str">
            <v>X3041_0</v>
          </cell>
          <cell r="H7542" t="str">
            <v>as-as</v>
          </cell>
          <cell r="I7542" t="str">
            <v>sim</v>
          </cell>
          <cell r="V7542" t="str">
            <v>antonym</v>
          </cell>
          <cell r="Y7542" t="str">
            <v>Pres</v>
          </cell>
          <cell r="Z7542">
            <v>2.81</v>
          </cell>
          <cell r="AA7542">
            <v>0</v>
          </cell>
          <cell r="AB7542">
            <v>0</v>
          </cell>
        </row>
        <row r="7543">
          <cell r="G7543" t="str">
            <v>X3041_1</v>
          </cell>
          <cell r="H7543" t="str">
            <v>as-as</v>
          </cell>
          <cell r="I7543" t="str">
            <v>sim</v>
          </cell>
          <cell r="V7543" t="str">
            <v>antonym</v>
          </cell>
          <cell r="Y7543" t="str">
            <v>Pres</v>
          </cell>
          <cell r="Z7543">
            <v>2.81</v>
          </cell>
          <cell r="AA7543">
            <v>0</v>
          </cell>
          <cell r="AB7543">
            <v>0</v>
          </cell>
        </row>
        <row r="7544">
          <cell r="G7544" t="str">
            <v>X3042_0</v>
          </cell>
          <cell r="H7544" t="str">
            <v>as-as</v>
          </cell>
          <cell r="I7544" t="str">
            <v>sim</v>
          </cell>
          <cell r="V7544" t="str">
            <v>not</v>
          </cell>
          <cell r="Y7544" t="str">
            <v>Pres</v>
          </cell>
          <cell r="Z7544">
            <v>3.93</v>
          </cell>
          <cell r="AA7544">
            <v>0</v>
          </cell>
          <cell r="AB7544">
            <v>0</v>
          </cell>
        </row>
        <row r="7545">
          <cell r="G7545" t="str">
            <v>X3042_1</v>
          </cell>
          <cell r="H7545" t="str">
            <v>as-as</v>
          </cell>
          <cell r="I7545" t="str">
            <v>sim</v>
          </cell>
          <cell r="V7545" t="str">
            <v>not</v>
          </cell>
          <cell r="Y7545" t="str">
            <v>Pres</v>
          </cell>
          <cell r="Z7545">
            <v>3.93</v>
          </cell>
          <cell r="AA7545">
            <v>0</v>
          </cell>
          <cell r="AB7545">
            <v>0</v>
          </cell>
        </row>
        <row r="7546">
          <cell r="G7546" t="str">
            <v>X3043_0</v>
          </cell>
          <cell r="H7546" t="str">
            <v>the-of</v>
          </cell>
          <cell r="I7546" t="str">
            <v>sim</v>
          </cell>
          <cell r="V7546" t="str">
            <v>not neg pair</v>
          </cell>
          <cell r="Y7546" t="str">
            <v>Past</v>
          </cell>
          <cell r="Z7546">
            <v>4.13</v>
          </cell>
          <cell r="AA7546">
            <v>0</v>
          </cell>
          <cell r="AB7546">
            <v>0</v>
          </cell>
        </row>
        <row r="7547">
          <cell r="G7547" t="str">
            <v>X3043_1</v>
          </cell>
          <cell r="H7547" t="str">
            <v>the-of</v>
          </cell>
          <cell r="I7547" t="str">
            <v>sim</v>
          </cell>
          <cell r="V7547" t="str">
            <v>not neg pair</v>
          </cell>
          <cell r="Y7547" t="str">
            <v>Past</v>
          </cell>
          <cell r="Z7547">
            <v>4.13</v>
          </cell>
          <cell r="AA7547">
            <v>0</v>
          </cell>
          <cell r="AB7547">
            <v>0</v>
          </cell>
        </row>
        <row r="7548">
          <cell r="G7548" t="str">
            <v>X3044_0</v>
          </cell>
          <cell r="H7548" t="str">
            <v/>
          </cell>
          <cell r="I7548" t="str">
            <v>met</v>
          </cell>
          <cell r="V7548" t="str">
            <v>0</v>
          </cell>
          <cell r="Y7548" t="str">
            <v>Pres</v>
          </cell>
          <cell r="Z7548">
            <v>2.69</v>
          </cell>
          <cell r="AA7548" t="str">
            <v>L</v>
          </cell>
          <cell r="AB7548">
            <v>0</v>
          </cell>
        </row>
        <row r="7549">
          <cell r="G7549" t="str">
            <v>X3044_1</v>
          </cell>
          <cell r="H7549" t="str">
            <v/>
          </cell>
          <cell r="I7549" t="str">
            <v>met</v>
          </cell>
          <cell r="V7549" t="str">
            <v>0</v>
          </cell>
          <cell r="Y7549" t="str">
            <v>Pres</v>
          </cell>
          <cell r="Z7549">
            <v>0</v>
          </cell>
          <cell r="AA7549">
            <v>0</v>
          </cell>
          <cell r="AB7549">
            <v>0</v>
          </cell>
        </row>
        <row r="7550">
          <cell r="G7550" t="str">
            <v>X3045_0</v>
          </cell>
          <cell r="H7550" t="str">
            <v>the-of</v>
          </cell>
          <cell r="I7550" t="str">
            <v>sim</v>
          </cell>
          <cell r="V7550" t="str">
            <v>not neg pair</v>
          </cell>
          <cell r="Y7550" t="str">
            <v>Past</v>
          </cell>
          <cell r="Z7550">
            <v>3.93</v>
          </cell>
          <cell r="AA7550">
            <v>0</v>
          </cell>
          <cell r="AB7550">
            <v>0</v>
          </cell>
        </row>
        <row r="7551">
          <cell r="G7551" t="str">
            <v>X3045_1</v>
          </cell>
          <cell r="H7551" t="str">
            <v>the-of</v>
          </cell>
          <cell r="I7551" t="str">
            <v>sim</v>
          </cell>
          <cell r="V7551" t="str">
            <v>not neg pair</v>
          </cell>
          <cell r="Y7551" t="str">
            <v>Past</v>
          </cell>
          <cell r="Z7551">
            <v>3.93</v>
          </cell>
          <cell r="AA7551">
            <v>0</v>
          </cell>
          <cell r="AB7551">
            <v>0</v>
          </cell>
        </row>
        <row r="7552">
          <cell r="G7552" t="str">
            <v>X3046_0</v>
          </cell>
          <cell r="H7552" t="str">
            <v/>
          </cell>
          <cell r="I7552" t="str">
            <v>met</v>
          </cell>
          <cell r="V7552" t="str">
            <v>0</v>
          </cell>
          <cell r="Y7552" t="str">
            <v>Pres</v>
          </cell>
          <cell r="Z7552">
            <v>4.6399999999999997</v>
          </cell>
          <cell r="AA7552">
            <v>0</v>
          </cell>
          <cell r="AB7552">
            <v>0</v>
          </cell>
        </row>
        <row r="7553">
          <cell r="G7553" t="str">
            <v>X3046_1</v>
          </cell>
          <cell r="H7553" t="str">
            <v/>
          </cell>
          <cell r="I7553" t="str">
            <v>met</v>
          </cell>
          <cell r="V7553" t="str">
            <v>0</v>
          </cell>
          <cell r="Y7553" t="str">
            <v>Pres</v>
          </cell>
          <cell r="Z7553">
            <v>4.6399999999999997</v>
          </cell>
          <cell r="AA7553">
            <v>0</v>
          </cell>
          <cell r="AB7553">
            <v>0</v>
          </cell>
        </row>
        <row r="7554">
          <cell r="G7554" t="str">
            <v>X3047_0</v>
          </cell>
          <cell r="H7554" t="str">
            <v>as-as</v>
          </cell>
          <cell r="I7554" t="str">
            <v>sim</v>
          </cell>
          <cell r="V7554" t="str">
            <v>antonym</v>
          </cell>
          <cell r="Y7554" t="str">
            <v>Pres</v>
          </cell>
          <cell r="Z7554">
            <v>3.93</v>
          </cell>
          <cell r="AA7554">
            <v>0</v>
          </cell>
          <cell r="AB7554">
            <v>0</v>
          </cell>
        </row>
        <row r="7555">
          <cell r="G7555" t="str">
            <v>X3047_1</v>
          </cell>
          <cell r="H7555" t="str">
            <v>as-as</v>
          </cell>
          <cell r="I7555" t="str">
            <v>sim</v>
          </cell>
          <cell r="V7555" t="str">
            <v>antonym</v>
          </cell>
          <cell r="Y7555" t="str">
            <v>Pres</v>
          </cell>
          <cell r="Z7555">
            <v>3.93</v>
          </cell>
          <cell r="AA7555">
            <v>0</v>
          </cell>
          <cell r="AB7555">
            <v>0</v>
          </cell>
        </row>
        <row r="7556">
          <cell r="G7556" t="str">
            <v>X3048_0</v>
          </cell>
          <cell r="H7556" t="str">
            <v/>
          </cell>
          <cell r="I7556" t="str">
            <v>met</v>
          </cell>
          <cell r="V7556" t="str">
            <v>0</v>
          </cell>
          <cell r="Y7556" t="str">
            <v>Pres</v>
          </cell>
          <cell r="Z7556">
            <v>4.8499999999999996</v>
          </cell>
          <cell r="AA7556">
            <v>0</v>
          </cell>
          <cell r="AB7556">
            <v>0</v>
          </cell>
        </row>
        <row r="7557">
          <cell r="G7557" t="str">
            <v>X3048_1</v>
          </cell>
          <cell r="H7557" t="str">
            <v/>
          </cell>
          <cell r="I7557" t="str">
            <v>met</v>
          </cell>
          <cell r="V7557" t="str">
            <v>0</v>
          </cell>
          <cell r="Y7557" t="str">
            <v>Pres</v>
          </cell>
          <cell r="Z7557">
            <v>4.8499999999999996</v>
          </cell>
          <cell r="AA7557">
            <v>0</v>
          </cell>
          <cell r="AB7557">
            <v>0</v>
          </cell>
        </row>
        <row r="7558">
          <cell r="G7558" t="str">
            <v>X3049_0</v>
          </cell>
          <cell r="H7558" t="str">
            <v/>
          </cell>
          <cell r="I7558" t="str">
            <v>met</v>
          </cell>
          <cell r="V7558" t="str">
            <v>0</v>
          </cell>
          <cell r="Y7558" t="str">
            <v>Past</v>
          </cell>
          <cell r="Z7558">
            <v>5</v>
          </cell>
          <cell r="AA7558" t="str">
            <v>H</v>
          </cell>
          <cell r="AB7558">
            <v>0</v>
          </cell>
        </row>
        <row r="7559">
          <cell r="G7559" t="str">
            <v>X3049_1</v>
          </cell>
          <cell r="H7559" t="str">
            <v/>
          </cell>
          <cell r="I7559" t="str">
            <v>met</v>
          </cell>
          <cell r="V7559" t="str">
            <v>0</v>
          </cell>
          <cell r="Y7559" t="str">
            <v>Past</v>
          </cell>
          <cell r="Z7559">
            <v>5</v>
          </cell>
          <cell r="AA7559" t="str">
            <v>H</v>
          </cell>
          <cell r="AB7559">
            <v>0</v>
          </cell>
        </row>
        <row r="7560">
          <cell r="G7560" t="str">
            <v>X3050_0</v>
          </cell>
          <cell r="H7560" t="str">
            <v>as-as</v>
          </cell>
          <cell r="I7560" t="str">
            <v>sim</v>
          </cell>
          <cell r="V7560" t="str">
            <v>not neg pair</v>
          </cell>
          <cell r="Y7560" t="str">
            <v>Pres</v>
          </cell>
          <cell r="Z7560">
            <v>3.16</v>
          </cell>
          <cell r="AA7560">
            <v>0</v>
          </cell>
          <cell r="AB7560">
            <v>0</v>
          </cell>
        </row>
        <row r="7561">
          <cell r="G7561" t="str">
            <v>X3050_1</v>
          </cell>
          <cell r="H7561" t="str">
            <v>as-as</v>
          </cell>
          <cell r="I7561" t="str">
            <v>sim</v>
          </cell>
          <cell r="V7561" t="str">
            <v>not neg pair</v>
          </cell>
          <cell r="Y7561" t="str">
            <v>Pres</v>
          </cell>
          <cell r="Z7561">
            <v>3.16</v>
          </cell>
          <cell r="AA7561">
            <v>0</v>
          </cell>
          <cell r="AB7561">
            <v>0</v>
          </cell>
        </row>
        <row r="7562">
          <cell r="G7562" t="str">
            <v>X3051_0</v>
          </cell>
          <cell r="H7562" t="str">
            <v>the-of</v>
          </cell>
          <cell r="I7562" t="str">
            <v>sim</v>
          </cell>
          <cell r="V7562" t="str">
            <v>not</v>
          </cell>
          <cell r="Y7562" t="str">
            <v>Pres</v>
          </cell>
          <cell r="Z7562">
            <v>4.8499999999999996</v>
          </cell>
          <cell r="AA7562">
            <v>0</v>
          </cell>
          <cell r="AB7562">
            <v>0</v>
          </cell>
        </row>
        <row r="7563">
          <cell r="G7563" t="str">
            <v>X3051_1</v>
          </cell>
          <cell r="H7563" t="str">
            <v>the-of</v>
          </cell>
          <cell r="I7563" t="str">
            <v>sim</v>
          </cell>
          <cell r="V7563" t="str">
            <v>not</v>
          </cell>
          <cell r="Y7563" t="str">
            <v>Pres</v>
          </cell>
          <cell r="Z7563">
            <v>4.8499999999999996</v>
          </cell>
          <cell r="AA7563">
            <v>0</v>
          </cell>
          <cell r="AB7563">
            <v>0</v>
          </cell>
        </row>
        <row r="7564">
          <cell r="G7564" t="str">
            <v>X3052_0</v>
          </cell>
          <cell r="H7564" t="str">
            <v>as-as</v>
          </cell>
          <cell r="I7564" t="str">
            <v>sim</v>
          </cell>
          <cell r="V7564" t="str">
            <v>not</v>
          </cell>
          <cell r="Y7564" t="str">
            <v>Pres</v>
          </cell>
          <cell r="Z7564">
            <v>4.1100000000000003</v>
          </cell>
          <cell r="AA7564">
            <v>0</v>
          </cell>
          <cell r="AB7564">
            <v>0</v>
          </cell>
        </row>
        <row r="7565">
          <cell r="G7565" t="str">
            <v>X3052_1</v>
          </cell>
          <cell r="H7565" t="str">
            <v>as-as</v>
          </cell>
          <cell r="I7565" t="str">
            <v>sim</v>
          </cell>
          <cell r="V7565" t="str">
            <v>not</v>
          </cell>
          <cell r="Y7565" t="str">
            <v>Pres</v>
          </cell>
          <cell r="Z7565">
            <v>4.1100000000000003</v>
          </cell>
          <cell r="AA7565">
            <v>0</v>
          </cell>
          <cell r="AB7565">
            <v>0</v>
          </cell>
        </row>
        <row r="7566">
          <cell r="G7566" t="str">
            <v>X3053_0</v>
          </cell>
          <cell r="H7566" t="str">
            <v/>
          </cell>
          <cell r="I7566" t="str">
            <v>met</v>
          </cell>
          <cell r="V7566" t="str">
            <v>0</v>
          </cell>
          <cell r="Y7566" t="str">
            <v>Pres</v>
          </cell>
          <cell r="Z7566">
            <v>4.97</v>
          </cell>
          <cell r="AA7566" t="str">
            <v>H</v>
          </cell>
          <cell r="AB7566">
            <v>0</v>
          </cell>
        </row>
        <row r="7567">
          <cell r="G7567" t="str">
            <v>X3053_1</v>
          </cell>
          <cell r="H7567" t="str">
            <v/>
          </cell>
          <cell r="I7567" t="str">
            <v>met</v>
          </cell>
          <cell r="V7567" t="str">
            <v>0</v>
          </cell>
          <cell r="Y7567" t="str">
            <v>Pres</v>
          </cell>
          <cell r="Z7567">
            <v>4.97</v>
          </cell>
          <cell r="AA7567" t="str">
            <v>H</v>
          </cell>
          <cell r="AB7567">
            <v>0</v>
          </cell>
        </row>
        <row r="7568">
          <cell r="G7568" t="str">
            <v>X3054_0</v>
          </cell>
          <cell r="H7568" t="str">
            <v>as-as</v>
          </cell>
          <cell r="I7568" t="str">
            <v>sim</v>
          </cell>
          <cell r="V7568" t="str">
            <v>not neg pair</v>
          </cell>
          <cell r="Y7568" t="str">
            <v>Past</v>
          </cell>
          <cell r="Z7568">
            <v>4.1500000000000004</v>
          </cell>
          <cell r="AA7568">
            <v>0</v>
          </cell>
          <cell r="AB7568">
            <v>0</v>
          </cell>
        </row>
        <row r="7569">
          <cell r="G7569" t="str">
            <v>X3054_1</v>
          </cell>
          <cell r="H7569" t="str">
            <v>as-as</v>
          </cell>
          <cell r="I7569" t="str">
            <v>sim</v>
          </cell>
          <cell r="V7569" t="str">
            <v>not neg pair</v>
          </cell>
          <cell r="Y7569" t="str">
            <v>Past</v>
          </cell>
          <cell r="Z7569">
            <v>4.1500000000000004</v>
          </cell>
          <cell r="AA7569">
            <v>0</v>
          </cell>
          <cell r="AB7569">
            <v>0</v>
          </cell>
        </row>
        <row r="7570">
          <cell r="G7570" t="str">
            <v>X3055_0</v>
          </cell>
          <cell r="H7570" t="str">
            <v>as-as</v>
          </cell>
          <cell r="I7570" t="str">
            <v>sim</v>
          </cell>
          <cell r="V7570" t="str">
            <v>antonym</v>
          </cell>
          <cell r="Y7570" t="str">
            <v>Pres</v>
          </cell>
          <cell r="Z7570">
            <v>4.58</v>
          </cell>
          <cell r="AA7570">
            <v>0</v>
          </cell>
          <cell r="AB7570">
            <v>0</v>
          </cell>
        </row>
        <row r="7571">
          <cell r="G7571" t="str">
            <v>X3055_1</v>
          </cell>
          <cell r="H7571" t="str">
            <v>as-as</v>
          </cell>
          <cell r="I7571" t="str">
            <v>sim</v>
          </cell>
          <cell r="V7571" t="str">
            <v>antonym</v>
          </cell>
          <cell r="Y7571" t="str">
            <v>Pres</v>
          </cell>
          <cell r="Z7571">
            <v>4.58</v>
          </cell>
          <cell r="AA7571">
            <v>0</v>
          </cell>
          <cell r="AB7571">
            <v>0</v>
          </cell>
        </row>
        <row r="7572">
          <cell r="G7572" t="str">
            <v>X3056_0</v>
          </cell>
          <cell r="H7572" t="str">
            <v>as-as</v>
          </cell>
          <cell r="I7572" t="str">
            <v>sim</v>
          </cell>
          <cell r="V7572" t="str">
            <v>not</v>
          </cell>
          <cell r="Y7572" t="str">
            <v>Pres</v>
          </cell>
          <cell r="Z7572">
            <v>4.79</v>
          </cell>
          <cell r="AA7572">
            <v>0</v>
          </cell>
          <cell r="AB7572">
            <v>0</v>
          </cell>
        </row>
        <row r="7573">
          <cell r="G7573" t="str">
            <v>X3056_1</v>
          </cell>
          <cell r="H7573" t="str">
            <v>as-as</v>
          </cell>
          <cell r="I7573" t="str">
            <v>sim</v>
          </cell>
          <cell r="V7573" t="str">
            <v>not</v>
          </cell>
          <cell r="Y7573" t="str">
            <v>Past</v>
          </cell>
          <cell r="Z7573">
            <v>4.79</v>
          </cell>
          <cell r="AA7573">
            <v>0</v>
          </cell>
          <cell r="AB7573">
            <v>0</v>
          </cell>
        </row>
        <row r="7574">
          <cell r="G7574" t="str">
            <v>X3057_0</v>
          </cell>
          <cell r="H7574" t="str">
            <v>as-as</v>
          </cell>
          <cell r="I7574" t="str">
            <v>sim</v>
          </cell>
          <cell r="V7574" t="str">
            <v>not</v>
          </cell>
          <cell r="Y7574" t="str">
            <v>Pres</v>
          </cell>
          <cell r="Z7574">
            <v>2.81</v>
          </cell>
          <cell r="AA7574">
            <v>0</v>
          </cell>
          <cell r="AB7574">
            <v>0</v>
          </cell>
        </row>
        <row r="7575">
          <cell r="G7575" t="str">
            <v>X3057_1</v>
          </cell>
          <cell r="H7575" t="str">
            <v>as-as</v>
          </cell>
          <cell r="I7575" t="str">
            <v>sim</v>
          </cell>
          <cell r="V7575" t="str">
            <v>not</v>
          </cell>
          <cell r="Y7575" t="str">
            <v>Pres</v>
          </cell>
          <cell r="Z7575">
            <v>2.81</v>
          </cell>
          <cell r="AA7575">
            <v>0</v>
          </cell>
          <cell r="AB7575">
            <v>0</v>
          </cell>
        </row>
        <row r="7576">
          <cell r="G7576" t="str">
            <v>X3058_0</v>
          </cell>
          <cell r="H7576" t="str">
            <v/>
          </cell>
          <cell r="I7576" t="str">
            <v>met</v>
          </cell>
          <cell r="V7576" t="str">
            <v>0</v>
          </cell>
          <cell r="Y7576" t="str">
            <v>Past</v>
          </cell>
          <cell r="Z7576">
            <v>3.85</v>
          </cell>
          <cell r="AA7576">
            <v>0</v>
          </cell>
          <cell r="AB7576">
            <v>0</v>
          </cell>
        </row>
        <row r="7577">
          <cell r="G7577" t="str">
            <v>X3058_1</v>
          </cell>
          <cell r="H7577" t="str">
            <v/>
          </cell>
          <cell r="I7577" t="str">
            <v>met</v>
          </cell>
          <cell r="V7577" t="str">
            <v>0</v>
          </cell>
          <cell r="Y7577" t="str">
            <v>Past</v>
          </cell>
          <cell r="Z7577">
            <v>3.85</v>
          </cell>
          <cell r="AA7577">
            <v>0</v>
          </cell>
          <cell r="AB7577">
            <v>0</v>
          </cell>
        </row>
        <row r="7578">
          <cell r="G7578" t="str">
            <v>X3059_0</v>
          </cell>
          <cell r="H7578" t="str">
            <v>as-as</v>
          </cell>
          <cell r="I7578" t="str">
            <v>sim</v>
          </cell>
          <cell r="V7578" t="str">
            <v>not neg pair</v>
          </cell>
          <cell r="Y7578" t="str">
            <v>Past</v>
          </cell>
          <cell r="Z7578">
            <v>4.4400000000000004</v>
          </cell>
          <cell r="AA7578">
            <v>0</v>
          </cell>
          <cell r="AB7578">
            <v>0</v>
          </cell>
        </row>
        <row r="7579">
          <cell r="G7579" t="str">
            <v>X3059_1</v>
          </cell>
          <cell r="H7579" t="str">
            <v>as-as</v>
          </cell>
          <cell r="I7579" t="str">
            <v>sim</v>
          </cell>
          <cell r="V7579" t="str">
            <v>not neg pair</v>
          </cell>
          <cell r="Y7579" t="str">
            <v>Past</v>
          </cell>
          <cell r="Z7579">
            <v>4.4400000000000004</v>
          </cell>
          <cell r="AA7579">
            <v>0</v>
          </cell>
          <cell r="AB7579">
            <v>0</v>
          </cell>
        </row>
        <row r="7580">
          <cell r="G7580" t="str">
            <v>X3060_0</v>
          </cell>
          <cell r="H7580" t="str">
            <v>as</v>
          </cell>
          <cell r="I7580" t="str">
            <v>sim</v>
          </cell>
          <cell r="V7580" t="str">
            <v>not</v>
          </cell>
          <cell r="Y7580" t="str">
            <v>Past</v>
          </cell>
          <cell r="Z7580">
            <v>3.45</v>
          </cell>
          <cell r="AA7580">
            <v>0</v>
          </cell>
          <cell r="AB7580">
            <v>0</v>
          </cell>
        </row>
        <row r="7581">
          <cell r="G7581" t="str">
            <v>X3060_1</v>
          </cell>
          <cell r="H7581" t="str">
            <v>as</v>
          </cell>
          <cell r="I7581" t="str">
            <v>sim</v>
          </cell>
          <cell r="V7581" t="str">
            <v>not</v>
          </cell>
          <cell r="Y7581" t="str">
            <v>Past</v>
          </cell>
          <cell r="Z7581">
            <v>3.45</v>
          </cell>
          <cell r="AA7581">
            <v>0</v>
          </cell>
          <cell r="AB7581">
            <v>0</v>
          </cell>
        </row>
        <row r="7582">
          <cell r="G7582" t="str">
            <v>X3061_0</v>
          </cell>
          <cell r="H7582" t="str">
            <v>like</v>
          </cell>
          <cell r="I7582" t="str">
            <v>sim</v>
          </cell>
          <cell r="V7582" t="str">
            <v>not neg pair</v>
          </cell>
          <cell r="Y7582" t="str">
            <v>Past</v>
          </cell>
          <cell r="Z7582">
            <v>4.97</v>
          </cell>
          <cell r="AA7582" t="str">
            <v>H</v>
          </cell>
          <cell r="AB7582">
            <v>0</v>
          </cell>
        </row>
        <row r="7583">
          <cell r="G7583" t="str">
            <v>X3061_1</v>
          </cell>
          <cell r="H7583" t="str">
            <v>like</v>
          </cell>
          <cell r="I7583" t="str">
            <v>sim</v>
          </cell>
          <cell r="V7583" t="str">
            <v>not neg pair</v>
          </cell>
          <cell r="Y7583" t="str">
            <v>Past</v>
          </cell>
          <cell r="Z7583">
            <v>4.97</v>
          </cell>
          <cell r="AA7583" t="str">
            <v>H</v>
          </cell>
          <cell r="AB7583">
            <v>0</v>
          </cell>
        </row>
        <row r="7584">
          <cell r="G7584" t="str">
            <v>X3062_0</v>
          </cell>
          <cell r="H7584" t="str">
            <v>as-as</v>
          </cell>
          <cell r="I7584" t="str">
            <v>sim</v>
          </cell>
          <cell r="V7584" t="str">
            <v>antonym</v>
          </cell>
          <cell r="Y7584" t="str">
            <v>Past</v>
          </cell>
          <cell r="Z7584">
            <v>4.8899999999999997</v>
          </cell>
          <cell r="AA7584">
            <v>0</v>
          </cell>
          <cell r="AB7584">
            <v>0</v>
          </cell>
        </row>
        <row r="7585">
          <cell r="G7585" t="str">
            <v>X3062_1</v>
          </cell>
          <cell r="H7585" t="str">
            <v>as-as</v>
          </cell>
          <cell r="I7585" t="str">
            <v>sim</v>
          </cell>
          <cell r="V7585" t="str">
            <v>antonym</v>
          </cell>
          <cell r="Y7585" t="str">
            <v>Past</v>
          </cell>
          <cell r="Z7585">
            <v>4.8899999999999997</v>
          </cell>
          <cell r="AA7585">
            <v>0</v>
          </cell>
          <cell r="AB7585">
            <v>0</v>
          </cell>
        </row>
        <row r="7586">
          <cell r="G7586" t="str">
            <v>X3063_0</v>
          </cell>
          <cell r="H7586" t="str">
            <v>like</v>
          </cell>
          <cell r="I7586" t="str">
            <v>sim</v>
          </cell>
          <cell r="V7586" t="str">
            <v>not neg pair</v>
          </cell>
          <cell r="Y7586" t="str">
            <v>Past</v>
          </cell>
          <cell r="Z7586">
            <v>3.93</v>
          </cell>
          <cell r="AA7586">
            <v>0</v>
          </cell>
          <cell r="AB7586">
            <v>0</v>
          </cell>
        </row>
        <row r="7587">
          <cell r="G7587" t="str">
            <v>X3063_1</v>
          </cell>
          <cell r="H7587" t="str">
            <v>like</v>
          </cell>
          <cell r="I7587" t="str">
            <v>sim</v>
          </cell>
          <cell r="V7587" t="str">
            <v>not neg pair</v>
          </cell>
          <cell r="Y7587" t="str">
            <v>Past</v>
          </cell>
          <cell r="Z7587">
            <v>3.93</v>
          </cell>
          <cell r="AA7587">
            <v>0</v>
          </cell>
          <cell r="AB7587">
            <v>0</v>
          </cell>
        </row>
        <row r="7588">
          <cell r="G7588" t="str">
            <v>X3064_0</v>
          </cell>
          <cell r="H7588" t="str">
            <v/>
          </cell>
          <cell r="I7588" t="str">
            <v>met</v>
          </cell>
          <cell r="V7588" t="str">
            <v>0</v>
          </cell>
          <cell r="Y7588" t="str">
            <v>Past</v>
          </cell>
          <cell r="Z7588">
            <v>0</v>
          </cell>
          <cell r="AA7588">
            <v>0</v>
          </cell>
          <cell r="AB7588">
            <v>0</v>
          </cell>
        </row>
        <row r="7589">
          <cell r="G7589" t="str">
            <v>X3064_1</v>
          </cell>
          <cell r="H7589" t="str">
            <v/>
          </cell>
          <cell r="I7589" t="str">
            <v>met</v>
          </cell>
          <cell r="V7589" t="str">
            <v>0</v>
          </cell>
          <cell r="Y7589" t="str">
            <v>Past</v>
          </cell>
          <cell r="Z7589">
            <v>0</v>
          </cell>
          <cell r="AA7589">
            <v>0</v>
          </cell>
          <cell r="AB7589">
            <v>0</v>
          </cell>
        </row>
        <row r="7590">
          <cell r="G7590" t="str">
            <v>X3065_0</v>
          </cell>
          <cell r="H7590" t="str">
            <v>as-as</v>
          </cell>
          <cell r="I7590" t="str">
            <v>sim</v>
          </cell>
          <cell r="V7590" t="str">
            <v>antonym</v>
          </cell>
          <cell r="Y7590" t="str">
            <v>Pres</v>
          </cell>
          <cell r="Z7590">
            <v>2.81</v>
          </cell>
          <cell r="AA7590">
            <v>0</v>
          </cell>
          <cell r="AB7590">
            <v>0</v>
          </cell>
        </row>
        <row r="7591">
          <cell r="G7591" t="str">
            <v>X3065_1</v>
          </cell>
          <cell r="H7591" t="str">
            <v>as-as</v>
          </cell>
          <cell r="I7591" t="str">
            <v>sim</v>
          </cell>
          <cell r="V7591" t="str">
            <v>antonym</v>
          </cell>
          <cell r="Y7591" t="str">
            <v>Pres</v>
          </cell>
          <cell r="Z7591">
            <v>2.81</v>
          </cell>
          <cell r="AA7591">
            <v>0</v>
          </cell>
          <cell r="AB7591">
            <v>0</v>
          </cell>
        </row>
        <row r="7592">
          <cell r="G7592" t="str">
            <v>X3066_0</v>
          </cell>
          <cell r="H7592" t="str">
            <v/>
          </cell>
          <cell r="I7592" t="str">
            <v>met</v>
          </cell>
          <cell r="V7592" t="str">
            <v>0</v>
          </cell>
          <cell r="Y7592" t="str">
            <v>Pres</v>
          </cell>
          <cell r="Z7592">
            <v>2.5</v>
          </cell>
          <cell r="AA7592" t="str">
            <v>L</v>
          </cell>
          <cell r="AB7592">
            <v>0</v>
          </cell>
        </row>
        <row r="7593">
          <cell r="G7593" t="str">
            <v>X3066_1</v>
          </cell>
          <cell r="H7593" t="str">
            <v/>
          </cell>
          <cell r="I7593" t="str">
            <v>met</v>
          </cell>
          <cell r="V7593" t="str">
            <v>0</v>
          </cell>
          <cell r="Y7593" t="str">
            <v>Pres</v>
          </cell>
          <cell r="Z7593">
            <v>2.5</v>
          </cell>
          <cell r="AA7593" t="str">
            <v>L</v>
          </cell>
          <cell r="AB7593">
            <v>0</v>
          </cell>
        </row>
        <row r="7594">
          <cell r="G7594" t="str">
            <v>X3067_0</v>
          </cell>
          <cell r="H7594" t="str">
            <v>as-as</v>
          </cell>
          <cell r="I7594" t="str">
            <v>sim</v>
          </cell>
          <cell r="V7594" t="str">
            <v>not</v>
          </cell>
          <cell r="Y7594" t="str">
            <v>Pres</v>
          </cell>
          <cell r="Z7594">
            <v>3.63</v>
          </cell>
          <cell r="AA7594">
            <v>0</v>
          </cell>
          <cell r="AB7594">
            <v>0</v>
          </cell>
        </row>
        <row r="7595">
          <cell r="G7595" t="str">
            <v>X3067_1</v>
          </cell>
          <cell r="H7595" t="str">
            <v>as-as</v>
          </cell>
          <cell r="I7595" t="str">
            <v>sim</v>
          </cell>
          <cell r="V7595" t="str">
            <v>not</v>
          </cell>
          <cell r="Y7595" t="str">
            <v>Past</v>
          </cell>
          <cell r="Z7595">
            <v>3.63</v>
          </cell>
          <cell r="AA7595">
            <v>0</v>
          </cell>
          <cell r="AB7595">
            <v>0</v>
          </cell>
        </row>
        <row r="7596">
          <cell r="G7596" t="str">
            <v>X3068_0</v>
          </cell>
          <cell r="H7596" t="str">
            <v>as-as</v>
          </cell>
          <cell r="I7596" t="str">
            <v>sim</v>
          </cell>
          <cell r="V7596" t="str">
            <v>not neg pair</v>
          </cell>
          <cell r="Y7596" t="str">
            <v>Pres</v>
          </cell>
          <cell r="Z7596">
            <v>2.81</v>
          </cell>
          <cell r="AA7596">
            <v>0</v>
          </cell>
          <cell r="AB7596">
            <v>0</v>
          </cell>
        </row>
        <row r="7597">
          <cell r="G7597" t="str">
            <v>X3068_1</v>
          </cell>
          <cell r="H7597" t="str">
            <v>as-as</v>
          </cell>
          <cell r="I7597" t="str">
            <v>sim</v>
          </cell>
          <cell r="V7597" t="str">
            <v>not neg pair</v>
          </cell>
          <cell r="Y7597" t="str">
            <v>Pres</v>
          </cell>
          <cell r="Z7597">
            <v>2.81</v>
          </cell>
          <cell r="AA7597">
            <v>0</v>
          </cell>
          <cell r="AB7597">
            <v>0</v>
          </cell>
        </row>
        <row r="7598">
          <cell r="G7598" t="str">
            <v>X3069_0</v>
          </cell>
          <cell r="H7598" t="str">
            <v/>
          </cell>
          <cell r="I7598" t="str">
            <v>met</v>
          </cell>
          <cell r="V7598" t="str">
            <v>0</v>
          </cell>
          <cell r="Y7598" t="str">
            <v>Pres</v>
          </cell>
          <cell r="Z7598">
            <v>2.5</v>
          </cell>
          <cell r="AA7598" t="str">
            <v>L</v>
          </cell>
          <cell r="AB7598">
            <v>0</v>
          </cell>
        </row>
        <row r="7599">
          <cell r="G7599" t="str">
            <v>X3069_1</v>
          </cell>
          <cell r="H7599" t="str">
            <v>like</v>
          </cell>
          <cell r="I7599" t="str">
            <v>sim</v>
          </cell>
          <cell r="V7599" t="str">
            <v>0</v>
          </cell>
          <cell r="Y7599" t="str">
            <v>Pres</v>
          </cell>
          <cell r="Z7599">
            <v>2.5</v>
          </cell>
          <cell r="AA7599" t="str">
            <v>L</v>
          </cell>
          <cell r="AB7599">
            <v>0</v>
          </cell>
        </row>
        <row r="7600">
          <cell r="G7600" t="str">
            <v>X3070_0</v>
          </cell>
          <cell r="H7600" t="str">
            <v>as-as</v>
          </cell>
          <cell r="I7600" t="str">
            <v>sim</v>
          </cell>
          <cell r="V7600" t="str">
            <v>not</v>
          </cell>
          <cell r="Y7600" t="str">
            <v>Past</v>
          </cell>
          <cell r="Z7600">
            <v>2.54</v>
          </cell>
          <cell r="AA7600" t="str">
            <v>L</v>
          </cell>
          <cell r="AB7600">
            <v>0</v>
          </cell>
        </row>
        <row r="7601">
          <cell r="G7601" t="str">
            <v>X3070_1</v>
          </cell>
          <cell r="H7601" t="str">
            <v>as-as</v>
          </cell>
          <cell r="I7601" t="str">
            <v>sim</v>
          </cell>
          <cell r="V7601" t="str">
            <v>not</v>
          </cell>
          <cell r="Y7601" t="str">
            <v>Past</v>
          </cell>
          <cell r="Z7601">
            <v>2.54</v>
          </cell>
          <cell r="AA7601" t="str">
            <v>L</v>
          </cell>
          <cell r="AB7601">
            <v>0</v>
          </cell>
        </row>
        <row r="7602">
          <cell r="G7602" t="str">
            <v>X3071_0</v>
          </cell>
          <cell r="H7602" t="str">
            <v>as-as</v>
          </cell>
          <cell r="I7602" t="str">
            <v>sim</v>
          </cell>
          <cell r="V7602" t="str">
            <v>not</v>
          </cell>
          <cell r="Y7602" t="str">
            <v>Pres</v>
          </cell>
          <cell r="Z7602">
            <v>2.81</v>
          </cell>
          <cell r="AA7602">
            <v>0</v>
          </cell>
          <cell r="AB7602">
            <v>0</v>
          </cell>
        </row>
        <row r="7603">
          <cell r="G7603" t="str">
            <v>X3071_1</v>
          </cell>
          <cell r="H7603" t="str">
            <v>as-as</v>
          </cell>
          <cell r="I7603" t="str">
            <v>sim</v>
          </cell>
          <cell r="V7603" t="str">
            <v>not</v>
          </cell>
          <cell r="Y7603" t="str">
            <v>Pres</v>
          </cell>
          <cell r="Z7603">
            <v>2.81</v>
          </cell>
          <cell r="AA7603">
            <v>0</v>
          </cell>
          <cell r="AB7603">
            <v>0</v>
          </cell>
        </row>
        <row r="7604">
          <cell r="G7604" t="str">
            <v>X3072_0</v>
          </cell>
          <cell r="H7604" t="str">
            <v>as-as</v>
          </cell>
          <cell r="I7604" t="str">
            <v>sim</v>
          </cell>
          <cell r="V7604" t="str">
            <v>not neg pair</v>
          </cell>
          <cell r="Y7604" t="str">
            <v>Pres</v>
          </cell>
          <cell r="Z7604">
            <v>2.5</v>
          </cell>
          <cell r="AA7604" t="str">
            <v>L</v>
          </cell>
          <cell r="AB7604">
            <v>0</v>
          </cell>
        </row>
        <row r="7605">
          <cell r="G7605" t="str">
            <v>X3072_1</v>
          </cell>
          <cell r="H7605" t="str">
            <v>as-as</v>
          </cell>
          <cell r="I7605" t="str">
            <v>sim</v>
          </cell>
          <cell r="V7605" t="str">
            <v>not neg pair</v>
          </cell>
          <cell r="Y7605" t="str">
            <v>Pres</v>
          </cell>
          <cell r="Z7605">
            <v>2.5</v>
          </cell>
          <cell r="AA7605" t="str">
            <v>L</v>
          </cell>
          <cell r="AB7605">
            <v>0</v>
          </cell>
        </row>
        <row r="7606">
          <cell r="G7606" t="str">
            <v>X3073_0</v>
          </cell>
          <cell r="H7606" t="str">
            <v>as-as</v>
          </cell>
          <cell r="I7606" t="str">
            <v>sim</v>
          </cell>
          <cell r="V7606" t="str">
            <v>antonym</v>
          </cell>
          <cell r="Y7606" t="str">
            <v>Past</v>
          </cell>
          <cell r="Z7606">
            <v>4.1399999999999997</v>
          </cell>
          <cell r="AA7606">
            <v>0</v>
          </cell>
          <cell r="AB7606">
            <v>0</v>
          </cell>
        </row>
        <row r="7607">
          <cell r="G7607" t="str">
            <v>X3073_1</v>
          </cell>
          <cell r="H7607" t="str">
            <v>as-as</v>
          </cell>
          <cell r="I7607" t="str">
            <v>sim</v>
          </cell>
          <cell r="V7607" t="str">
            <v>antonym</v>
          </cell>
          <cell r="Y7607" t="str">
            <v>Past</v>
          </cell>
          <cell r="Z7607">
            <v>4.1399999999999997</v>
          </cell>
          <cell r="AA7607">
            <v>0</v>
          </cell>
          <cell r="AB7607">
            <v>0</v>
          </cell>
        </row>
        <row r="7608">
          <cell r="G7608" t="str">
            <v>X3074_0</v>
          </cell>
          <cell r="H7608" t="str">
            <v>as-as</v>
          </cell>
          <cell r="I7608" t="str">
            <v>sim</v>
          </cell>
          <cell r="V7608" t="str">
            <v>not neg pair</v>
          </cell>
          <cell r="Y7608" t="str">
            <v>Pres</v>
          </cell>
          <cell r="Z7608">
            <v>2.81</v>
          </cell>
          <cell r="AA7608">
            <v>0</v>
          </cell>
          <cell r="AB7608">
            <v>0</v>
          </cell>
        </row>
        <row r="7609">
          <cell r="G7609" t="str">
            <v>X3074_1</v>
          </cell>
          <cell r="H7609" t="str">
            <v>as-as</v>
          </cell>
          <cell r="I7609" t="str">
            <v>sim</v>
          </cell>
          <cell r="V7609" t="str">
            <v>not neg pair</v>
          </cell>
          <cell r="Y7609" t="str">
            <v>Pres</v>
          </cell>
          <cell r="Z7609">
            <v>2.81</v>
          </cell>
          <cell r="AA7609">
            <v>0</v>
          </cell>
          <cell r="AB7609">
            <v>0</v>
          </cell>
        </row>
        <row r="7610">
          <cell r="G7610" t="str">
            <v>X3075_0</v>
          </cell>
          <cell r="H7610" t="str">
            <v>the-of</v>
          </cell>
          <cell r="I7610" t="str">
            <v>sim</v>
          </cell>
          <cell r="V7610" t="str">
            <v>not neg pair</v>
          </cell>
          <cell r="Y7610" t="str">
            <v>Pres</v>
          </cell>
          <cell r="Z7610">
            <v>2.86</v>
          </cell>
          <cell r="AA7610">
            <v>0</v>
          </cell>
          <cell r="AB7610">
            <v>0</v>
          </cell>
        </row>
        <row r="7611">
          <cell r="G7611" t="str">
            <v>X3075_1</v>
          </cell>
          <cell r="H7611" t="str">
            <v>the-of</v>
          </cell>
          <cell r="I7611" t="str">
            <v>sim</v>
          </cell>
          <cell r="V7611" t="str">
            <v>not neg pair</v>
          </cell>
          <cell r="Y7611" t="str">
            <v>Pres</v>
          </cell>
          <cell r="Z7611">
            <v>2.86</v>
          </cell>
          <cell r="AA7611">
            <v>0</v>
          </cell>
          <cell r="AB7611">
            <v>0</v>
          </cell>
        </row>
        <row r="7612">
          <cell r="G7612" t="str">
            <v>X3076_0</v>
          </cell>
          <cell r="H7612" t="str">
            <v>the-of</v>
          </cell>
          <cell r="I7612" t="str">
            <v>sim</v>
          </cell>
          <cell r="V7612" t="str">
            <v>not</v>
          </cell>
          <cell r="Y7612" t="str">
            <v>Past</v>
          </cell>
          <cell r="Z7612">
            <v>4.8</v>
          </cell>
          <cell r="AA7612">
            <v>0</v>
          </cell>
          <cell r="AB7612">
            <v>0</v>
          </cell>
        </row>
        <row r="7613">
          <cell r="G7613" t="str">
            <v>X3076_1</v>
          </cell>
          <cell r="H7613" t="str">
            <v>the-of</v>
          </cell>
          <cell r="I7613" t="str">
            <v>sim</v>
          </cell>
          <cell r="V7613" t="str">
            <v>not</v>
          </cell>
          <cell r="Y7613" t="str">
            <v>Past</v>
          </cell>
          <cell r="Z7613">
            <v>0</v>
          </cell>
          <cell r="AA7613">
            <v>0</v>
          </cell>
          <cell r="AB7613">
            <v>0</v>
          </cell>
        </row>
        <row r="7614">
          <cell r="G7614" t="str">
            <v>X3077_0</v>
          </cell>
          <cell r="H7614" t="str">
            <v>like</v>
          </cell>
          <cell r="I7614" t="str">
            <v>sim</v>
          </cell>
          <cell r="V7614" t="str">
            <v>not neg pair</v>
          </cell>
          <cell r="Y7614" t="str">
            <v>Past</v>
          </cell>
          <cell r="Z7614">
            <v>3.93</v>
          </cell>
          <cell r="AA7614">
            <v>0</v>
          </cell>
          <cell r="AB7614">
            <v>0</v>
          </cell>
        </row>
        <row r="7615">
          <cell r="G7615" t="str">
            <v>X3077_1</v>
          </cell>
          <cell r="H7615" t="str">
            <v>like</v>
          </cell>
          <cell r="I7615" t="str">
            <v>sim</v>
          </cell>
          <cell r="V7615" t="str">
            <v>not neg pair</v>
          </cell>
          <cell r="Y7615" t="str">
            <v>Past</v>
          </cell>
          <cell r="Z7615">
            <v>3.93</v>
          </cell>
          <cell r="AA7615">
            <v>0</v>
          </cell>
          <cell r="AB7615">
            <v>0</v>
          </cell>
        </row>
        <row r="7616">
          <cell r="G7616" t="str">
            <v>X3078_0</v>
          </cell>
          <cell r="H7616" t="str">
            <v>as</v>
          </cell>
          <cell r="I7616" t="str">
            <v>sim</v>
          </cell>
          <cell r="V7616" t="str">
            <v>not neg pair</v>
          </cell>
          <cell r="Y7616" t="str">
            <v>Past</v>
          </cell>
          <cell r="Z7616">
            <v>4.9000000000000004</v>
          </cell>
          <cell r="AA7616">
            <v>0</v>
          </cell>
          <cell r="AB7616">
            <v>0</v>
          </cell>
        </row>
        <row r="7617">
          <cell r="G7617" t="str">
            <v>X3078_1</v>
          </cell>
          <cell r="H7617" t="str">
            <v>as</v>
          </cell>
          <cell r="I7617" t="str">
            <v>sim</v>
          </cell>
          <cell r="V7617" t="str">
            <v>not neg pair</v>
          </cell>
          <cell r="Y7617" t="str">
            <v>Past</v>
          </cell>
          <cell r="Z7617">
            <v>4.9000000000000004</v>
          </cell>
          <cell r="AA7617">
            <v>0</v>
          </cell>
          <cell r="AB7617">
            <v>0</v>
          </cell>
        </row>
        <row r="7618">
          <cell r="G7618" t="str">
            <v>X3079_0</v>
          </cell>
          <cell r="H7618" t="str">
            <v>as-as</v>
          </cell>
          <cell r="I7618" t="str">
            <v>sim</v>
          </cell>
          <cell r="V7618" t="str">
            <v>antonym</v>
          </cell>
          <cell r="Y7618" t="str">
            <v>Past</v>
          </cell>
          <cell r="Z7618">
            <v>3.71</v>
          </cell>
          <cell r="AA7618">
            <v>0</v>
          </cell>
          <cell r="AB7618">
            <v>0</v>
          </cell>
        </row>
        <row r="7619">
          <cell r="G7619" t="str">
            <v>X3079_1</v>
          </cell>
          <cell r="H7619" t="str">
            <v>as-as</v>
          </cell>
          <cell r="I7619" t="str">
            <v>sim</v>
          </cell>
          <cell r="V7619" t="str">
            <v>antonym</v>
          </cell>
          <cell r="Y7619" t="str">
            <v>Past</v>
          </cell>
          <cell r="Z7619">
            <v>3.71</v>
          </cell>
          <cell r="AA7619">
            <v>0</v>
          </cell>
          <cell r="AB7619">
            <v>0</v>
          </cell>
        </row>
        <row r="7620">
          <cell r="G7620" t="str">
            <v>X3080_0</v>
          </cell>
          <cell r="H7620" t="str">
            <v>as</v>
          </cell>
          <cell r="I7620" t="str">
            <v>sim</v>
          </cell>
          <cell r="V7620" t="str">
            <v>not neg pair</v>
          </cell>
          <cell r="Y7620" t="str">
            <v>Pres</v>
          </cell>
          <cell r="Z7620">
            <v>5</v>
          </cell>
          <cell r="AA7620" t="str">
            <v>H</v>
          </cell>
          <cell r="AB7620">
            <v>0</v>
          </cell>
        </row>
        <row r="7621">
          <cell r="G7621" t="str">
            <v>X3080_1</v>
          </cell>
          <cell r="H7621" t="str">
            <v>as</v>
          </cell>
          <cell r="I7621" t="str">
            <v>sim</v>
          </cell>
          <cell r="V7621" t="str">
            <v>not neg pair</v>
          </cell>
          <cell r="Y7621" t="str">
            <v>Pres</v>
          </cell>
          <cell r="Z7621">
            <v>5</v>
          </cell>
          <cell r="AA7621" t="str">
            <v>H</v>
          </cell>
          <cell r="AB7621">
            <v>0</v>
          </cell>
        </row>
        <row r="7622">
          <cell r="G7622" t="str">
            <v>X3081_0</v>
          </cell>
          <cell r="H7622" t="str">
            <v>the-of</v>
          </cell>
          <cell r="I7622" t="str">
            <v>sim</v>
          </cell>
          <cell r="V7622" t="str">
            <v>not neg pair</v>
          </cell>
          <cell r="Y7622" t="str">
            <v>Pres</v>
          </cell>
          <cell r="Z7622">
            <v>3.93</v>
          </cell>
          <cell r="AA7622">
            <v>0</v>
          </cell>
          <cell r="AB7622">
            <v>0</v>
          </cell>
        </row>
        <row r="7623">
          <cell r="G7623" t="str">
            <v>X3081_1</v>
          </cell>
          <cell r="H7623" t="str">
            <v>the-of</v>
          </cell>
          <cell r="I7623" t="str">
            <v>sim</v>
          </cell>
          <cell r="V7623" t="str">
            <v>not neg pair</v>
          </cell>
          <cell r="Y7623" t="str">
            <v>Pres</v>
          </cell>
          <cell r="Z7623">
            <v>3.93</v>
          </cell>
          <cell r="AA7623">
            <v>0</v>
          </cell>
          <cell r="AB7623">
            <v>0</v>
          </cell>
        </row>
        <row r="7624">
          <cell r="G7624" t="str">
            <v>X3082_0</v>
          </cell>
          <cell r="H7624" t="str">
            <v>the-of</v>
          </cell>
          <cell r="I7624" t="str">
            <v>sim</v>
          </cell>
          <cell r="V7624" t="str">
            <v>not</v>
          </cell>
          <cell r="Y7624" t="str">
            <v>Pres</v>
          </cell>
          <cell r="Z7624">
            <v>3.97</v>
          </cell>
          <cell r="AA7624">
            <v>0</v>
          </cell>
          <cell r="AB7624">
            <v>0</v>
          </cell>
        </row>
        <row r="7625">
          <cell r="G7625" t="str">
            <v>X3082_1</v>
          </cell>
          <cell r="H7625" t="str">
            <v>the-of</v>
          </cell>
          <cell r="I7625" t="str">
            <v>sim</v>
          </cell>
          <cell r="V7625" t="str">
            <v>not</v>
          </cell>
          <cell r="Y7625" t="str">
            <v>Pres</v>
          </cell>
          <cell r="Z7625">
            <v>3.97</v>
          </cell>
          <cell r="AA7625">
            <v>0</v>
          </cell>
          <cell r="AB7625">
            <v>0</v>
          </cell>
        </row>
        <row r="7626">
          <cell r="G7626" t="str">
            <v>X3083_0</v>
          </cell>
          <cell r="H7626" t="str">
            <v>as-as</v>
          </cell>
          <cell r="I7626" t="str">
            <v>sim</v>
          </cell>
          <cell r="V7626" t="str">
            <v>antonym</v>
          </cell>
          <cell r="Y7626" t="str">
            <v>Past</v>
          </cell>
          <cell r="Z7626">
            <v>3.36</v>
          </cell>
          <cell r="AA7626">
            <v>0</v>
          </cell>
          <cell r="AB7626">
            <v>0</v>
          </cell>
        </row>
        <row r="7627">
          <cell r="G7627" t="str">
            <v>X3083_1</v>
          </cell>
          <cell r="H7627" t="str">
            <v>as-as</v>
          </cell>
          <cell r="I7627" t="str">
            <v>sim</v>
          </cell>
          <cell r="V7627" t="str">
            <v>antonym</v>
          </cell>
          <cell r="Y7627" t="str">
            <v>Past</v>
          </cell>
          <cell r="Z7627">
            <v>3.36</v>
          </cell>
          <cell r="AA7627">
            <v>0</v>
          </cell>
          <cell r="AB7627">
            <v>0</v>
          </cell>
        </row>
        <row r="7628">
          <cell r="G7628" t="str">
            <v>X3084_0</v>
          </cell>
          <cell r="H7628" t="str">
            <v>as</v>
          </cell>
          <cell r="I7628" t="str">
            <v>sim</v>
          </cell>
          <cell r="V7628" t="str">
            <v>not neg pair</v>
          </cell>
          <cell r="Y7628" t="str">
            <v>Past</v>
          </cell>
          <cell r="Z7628">
            <v>5</v>
          </cell>
          <cell r="AA7628" t="str">
            <v>H</v>
          </cell>
          <cell r="AB7628">
            <v>0</v>
          </cell>
        </row>
        <row r="7629">
          <cell r="G7629" t="str">
            <v>X3084_1</v>
          </cell>
          <cell r="H7629" t="str">
            <v>as</v>
          </cell>
          <cell r="I7629" t="str">
            <v>sim</v>
          </cell>
          <cell r="V7629" t="str">
            <v>not neg pair</v>
          </cell>
          <cell r="Y7629" t="str">
            <v>Past</v>
          </cell>
          <cell r="Z7629">
            <v>5</v>
          </cell>
          <cell r="AA7629" t="str">
            <v>H</v>
          </cell>
          <cell r="AB7629">
            <v>0</v>
          </cell>
        </row>
        <row r="7630">
          <cell r="G7630" t="str">
            <v>X3085_0</v>
          </cell>
          <cell r="H7630" t="str">
            <v>the-of</v>
          </cell>
          <cell r="I7630" t="str">
            <v>sim</v>
          </cell>
          <cell r="V7630" t="str">
            <v>not neg pair</v>
          </cell>
          <cell r="Y7630" t="str">
            <v>Past</v>
          </cell>
          <cell r="Z7630">
            <v>4.6399999999999997</v>
          </cell>
          <cell r="AA7630">
            <v>0</v>
          </cell>
          <cell r="AB7630">
            <v>0</v>
          </cell>
        </row>
        <row r="7631">
          <cell r="G7631" t="str">
            <v>X3085_1</v>
          </cell>
          <cell r="H7631" t="str">
            <v>the-of</v>
          </cell>
          <cell r="I7631" t="str">
            <v>sim</v>
          </cell>
          <cell r="V7631" t="str">
            <v>not neg pair</v>
          </cell>
          <cell r="Y7631" t="str">
            <v>Past</v>
          </cell>
          <cell r="Z7631">
            <v>4.6399999999999997</v>
          </cell>
          <cell r="AA7631">
            <v>0</v>
          </cell>
          <cell r="AB7631">
            <v>0</v>
          </cell>
        </row>
        <row r="7632">
          <cell r="G7632" t="str">
            <v>X3086_0</v>
          </cell>
          <cell r="H7632" t="str">
            <v>like</v>
          </cell>
          <cell r="I7632" t="str">
            <v>sim</v>
          </cell>
          <cell r="V7632" t="str">
            <v>not neg pair</v>
          </cell>
          <cell r="Y7632" t="str">
            <v>Pres</v>
          </cell>
          <cell r="Z7632">
            <v>4.71</v>
          </cell>
          <cell r="AA7632">
            <v>0</v>
          </cell>
          <cell r="AB7632">
            <v>0</v>
          </cell>
        </row>
        <row r="7633">
          <cell r="G7633" t="str">
            <v>X3086_1</v>
          </cell>
          <cell r="H7633" t="str">
            <v>like</v>
          </cell>
          <cell r="I7633" t="str">
            <v>sim</v>
          </cell>
          <cell r="V7633" t="str">
            <v>not neg pair</v>
          </cell>
          <cell r="Y7633" t="str">
            <v>Pres</v>
          </cell>
          <cell r="Z7633">
            <v>4.71</v>
          </cell>
          <cell r="AA7633">
            <v>0</v>
          </cell>
          <cell r="AB7633">
            <v>0</v>
          </cell>
        </row>
        <row r="7634">
          <cell r="G7634" t="str">
            <v>X3087_0</v>
          </cell>
          <cell r="H7634" t="str">
            <v>as-as</v>
          </cell>
          <cell r="I7634" t="str">
            <v>sim</v>
          </cell>
          <cell r="V7634" t="str">
            <v>antonym</v>
          </cell>
          <cell r="Y7634" t="str">
            <v>Pres</v>
          </cell>
          <cell r="Z7634">
            <v>4.8099999999999996</v>
          </cell>
          <cell r="AA7634">
            <v>0</v>
          </cell>
          <cell r="AB7634">
            <v>0</v>
          </cell>
        </row>
        <row r="7635">
          <cell r="G7635" t="str">
            <v>X3087_1</v>
          </cell>
          <cell r="H7635" t="str">
            <v>as-as</v>
          </cell>
          <cell r="I7635" t="str">
            <v>sim</v>
          </cell>
          <cell r="V7635" t="str">
            <v>antonym</v>
          </cell>
          <cell r="Y7635" t="str">
            <v>Pres</v>
          </cell>
          <cell r="Z7635">
            <v>4.8099999999999996</v>
          </cell>
          <cell r="AA7635">
            <v>0</v>
          </cell>
          <cell r="AB7635">
            <v>0</v>
          </cell>
        </row>
        <row r="7636">
          <cell r="G7636" t="str">
            <v>X3088_0</v>
          </cell>
          <cell r="H7636" t="str">
            <v>as-as</v>
          </cell>
          <cell r="I7636" t="str">
            <v>sim</v>
          </cell>
          <cell r="V7636" t="str">
            <v>antonym</v>
          </cell>
          <cell r="Y7636" t="str">
            <v>Past</v>
          </cell>
          <cell r="Z7636">
            <v>3.85</v>
          </cell>
          <cell r="AA7636">
            <v>0</v>
          </cell>
          <cell r="AB7636">
            <v>0</v>
          </cell>
        </row>
        <row r="7637">
          <cell r="G7637" t="str">
            <v>X3088_1</v>
          </cell>
          <cell r="H7637" t="str">
            <v>as-as</v>
          </cell>
          <cell r="I7637" t="str">
            <v>sim</v>
          </cell>
          <cell r="V7637" t="str">
            <v>antonym</v>
          </cell>
          <cell r="Y7637" t="str">
            <v>Pres</v>
          </cell>
          <cell r="Z7637">
            <v>3.85</v>
          </cell>
          <cell r="AA7637">
            <v>0</v>
          </cell>
          <cell r="AB7637">
            <v>0</v>
          </cell>
        </row>
        <row r="7638">
          <cell r="G7638" t="str">
            <v>X3089_0</v>
          </cell>
          <cell r="H7638" t="str">
            <v>as-as</v>
          </cell>
          <cell r="I7638" t="str">
            <v>sim</v>
          </cell>
          <cell r="V7638" t="str">
            <v>not</v>
          </cell>
          <cell r="Y7638" t="str">
            <v>Past</v>
          </cell>
          <cell r="Z7638">
            <v>3.93</v>
          </cell>
          <cell r="AA7638">
            <v>0</v>
          </cell>
          <cell r="AB7638">
            <v>0</v>
          </cell>
        </row>
        <row r="7639">
          <cell r="G7639" t="str">
            <v>X3089_1</v>
          </cell>
          <cell r="H7639" t="str">
            <v>as-as</v>
          </cell>
          <cell r="I7639" t="str">
            <v>sim</v>
          </cell>
          <cell r="V7639" t="str">
            <v>not</v>
          </cell>
          <cell r="Y7639" t="str">
            <v>Past</v>
          </cell>
          <cell r="Z7639">
            <v>3.93</v>
          </cell>
          <cell r="AA7639">
            <v>0</v>
          </cell>
          <cell r="AB7639">
            <v>0</v>
          </cell>
        </row>
        <row r="7640">
          <cell r="G7640" t="str">
            <v>X3090_0</v>
          </cell>
          <cell r="H7640" t="str">
            <v>as-as</v>
          </cell>
          <cell r="I7640" t="str">
            <v>sim</v>
          </cell>
          <cell r="V7640" t="str">
            <v>antonym</v>
          </cell>
          <cell r="Y7640" t="str">
            <v>Past</v>
          </cell>
          <cell r="Z7640">
            <v>4.96</v>
          </cell>
          <cell r="AA7640" t="str">
            <v>H</v>
          </cell>
          <cell r="AB7640">
            <v>0</v>
          </cell>
        </row>
        <row r="7641">
          <cell r="G7641" t="str">
            <v>X3090_1</v>
          </cell>
          <cell r="H7641" t="str">
            <v>as-as</v>
          </cell>
          <cell r="I7641" t="str">
            <v>sim</v>
          </cell>
          <cell r="V7641" t="str">
            <v>antonym</v>
          </cell>
          <cell r="Y7641" t="str">
            <v>Past</v>
          </cell>
          <cell r="Z7641">
            <v>4.96</v>
          </cell>
          <cell r="AA7641" t="str">
            <v>H</v>
          </cell>
          <cell r="AB7641">
            <v>0</v>
          </cell>
        </row>
        <row r="7642">
          <cell r="G7642" t="str">
            <v>X3091_0</v>
          </cell>
          <cell r="H7642" t="str">
            <v>the-of</v>
          </cell>
          <cell r="I7642" t="str">
            <v>sim</v>
          </cell>
          <cell r="V7642" t="str">
            <v>not neg pair</v>
          </cell>
          <cell r="Y7642" t="str">
            <v>Pres</v>
          </cell>
          <cell r="Z7642">
            <v>2.37</v>
          </cell>
          <cell r="AA7642" t="str">
            <v>L</v>
          </cell>
          <cell r="AB7642">
            <v>0</v>
          </cell>
        </row>
        <row r="7643">
          <cell r="G7643" t="str">
            <v>X3091_1</v>
          </cell>
          <cell r="H7643" t="str">
            <v>the-of</v>
          </cell>
          <cell r="I7643" t="str">
            <v>sim</v>
          </cell>
          <cell r="V7643" t="str">
            <v>not neg pair</v>
          </cell>
          <cell r="Y7643" t="str">
            <v>Past</v>
          </cell>
          <cell r="Z7643">
            <v>2.37</v>
          </cell>
          <cell r="AA7643" t="str">
            <v>L</v>
          </cell>
          <cell r="AB7643">
            <v>0</v>
          </cell>
        </row>
        <row r="7644">
          <cell r="G7644" t="str">
            <v>X3092_0</v>
          </cell>
          <cell r="H7644" t="str">
            <v>like</v>
          </cell>
          <cell r="I7644" t="str">
            <v>sim</v>
          </cell>
          <cell r="V7644" t="str">
            <v>not neg pair</v>
          </cell>
          <cell r="Y7644" t="str">
            <v>Past</v>
          </cell>
          <cell r="Z7644">
            <v>3.04</v>
          </cell>
          <cell r="AA7644">
            <v>0</v>
          </cell>
          <cell r="AB7644">
            <v>0</v>
          </cell>
        </row>
        <row r="7645">
          <cell r="G7645" t="str">
            <v>X3092_1</v>
          </cell>
          <cell r="H7645" t="str">
            <v>like</v>
          </cell>
          <cell r="I7645" t="str">
            <v>sim</v>
          </cell>
          <cell r="V7645" t="str">
            <v>not neg pair</v>
          </cell>
          <cell r="Y7645" t="str">
            <v>Past</v>
          </cell>
          <cell r="Z7645">
            <v>3.04</v>
          </cell>
          <cell r="AA7645">
            <v>0</v>
          </cell>
          <cell r="AB7645">
            <v>0</v>
          </cell>
        </row>
        <row r="7646">
          <cell r="G7646" t="str">
            <v>X3093_0</v>
          </cell>
          <cell r="H7646" t="str">
            <v>as-as</v>
          </cell>
          <cell r="I7646" t="str">
            <v>sim</v>
          </cell>
          <cell r="V7646" t="str">
            <v>not</v>
          </cell>
          <cell r="Y7646" t="str">
            <v>Pres</v>
          </cell>
          <cell r="Z7646">
            <v>4.72</v>
          </cell>
          <cell r="AA7646">
            <v>0</v>
          </cell>
          <cell r="AB7646">
            <v>0</v>
          </cell>
        </row>
        <row r="7647">
          <cell r="G7647" t="str">
            <v>X3093_1</v>
          </cell>
          <cell r="H7647" t="str">
            <v>as-as</v>
          </cell>
          <cell r="I7647" t="str">
            <v>sim</v>
          </cell>
          <cell r="V7647" t="str">
            <v>not</v>
          </cell>
          <cell r="Y7647" t="str">
            <v>Pres</v>
          </cell>
          <cell r="Z7647">
            <v>4.72</v>
          </cell>
          <cell r="AA7647">
            <v>0</v>
          </cell>
          <cell r="AB7647">
            <v>0</v>
          </cell>
        </row>
        <row r="7648">
          <cell r="G7648" t="str">
            <v>X3094_0</v>
          </cell>
          <cell r="H7648" t="str">
            <v/>
          </cell>
          <cell r="I7648" t="str">
            <v>met</v>
          </cell>
          <cell r="V7648" t="str">
            <v>0</v>
          </cell>
          <cell r="Y7648" t="str">
            <v>Pres</v>
          </cell>
          <cell r="Z7648">
            <v>3.36</v>
          </cell>
          <cell r="AA7648">
            <v>0</v>
          </cell>
          <cell r="AB7648">
            <v>0</v>
          </cell>
        </row>
        <row r="7649">
          <cell r="G7649" t="str">
            <v>X3094_1</v>
          </cell>
          <cell r="H7649" t="str">
            <v/>
          </cell>
          <cell r="I7649" t="str">
            <v>met</v>
          </cell>
          <cell r="V7649" t="str">
            <v>0</v>
          </cell>
          <cell r="Y7649" t="str">
            <v>Pres</v>
          </cell>
          <cell r="Z7649">
            <v>3.36</v>
          </cell>
          <cell r="AA7649">
            <v>0</v>
          </cell>
          <cell r="AB7649">
            <v>0</v>
          </cell>
        </row>
        <row r="7650">
          <cell r="G7650" t="str">
            <v>X3095_0</v>
          </cell>
          <cell r="H7650" t="str">
            <v>as</v>
          </cell>
          <cell r="I7650" t="str">
            <v>sim</v>
          </cell>
          <cell r="V7650" t="str">
            <v>not neg pair</v>
          </cell>
          <cell r="Y7650" t="str">
            <v>Pres</v>
          </cell>
          <cell r="Z7650">
            <v>3.36</v>
          </cell>
          <cell r="AA7650">
            <v>0</v>
          </cell>
          <cell r="AB7650">
            <v>0</v>
          </cell>
        </row>
        <row r="7651">
          <cell r="G7651" t="str">
            <v>X3095_1</v>
          </cell>
          <cell r="H7651" t="str">
            <v>as</v>
          </cell>
          <cell r="I7651" t="str">
            <v>sim</v>
          </cell>
          <cell r="V7651" t="str">
            <v>not neg pair</v>
          </cell>
          <cell r="Y7651" t="str">
            <v>Pres</v>
          </cell>
          <cell r="Z7651">
            <v>3.36</v>
          </cell>
          <cell r="AA7651">
            <v>0</v>
          </cell>
          <cell r="AB7651">
            <v>0</v>
          </cell>
        </row>
        <row r="7652">
          <cell r="G7652" t="str">
            <v>X3096_0</v>
          </cell>
          <cell r="H7652" t="str">
            <v>as-as</v>
          </cell>
          <cell r="I7652" t="str">
            <v>sim</v>
          </cell>
          <cell r="V7652" t="str">
            <v>not</v>
          </cell>
          <cell r="Y7652" t="str">
            <v>Pres</v>
          </cell>
          <cell r="Z7652">
            <v>4.96</v>
          </cell>
          <cell r="AA7652" t="str">
            <v>H</v>
          </cell>
          <cell r="AB7652">
            <v>0</v>
          </cell>
        </row>
        <row r="7653">
          <cell r="G7653" t="str">
            <v>X3096_1</v>
          </cell>
          <cell r="H7653" t="str">
            <v>as-as</v>
          </cell>
          <cell r="I7653" t="str">
            <v>sim</v>
          </cell>
          <cell r="V7653" t="str">
            <v>not</v>
          </cell>
          <cell r="Y7653" t="str">
            <v>Past</v>
          </cell>
          <cell r="Z7653">
            <v>4.96</v>
          </cell>
          <cell r="AA7653" t="str">
            <v>H</v>
          </cell>
          <cell r="AB7653">
            <v>0</v>
          </cell>
        </row>
        <row r="7654">
          <cell r="G7654" t="str">
            <v>X3097_0</v>
          </cell>
          <cell r="H7654" t="str">
            <v>the-of</v>
          </cell>
          <cell r="I7654" t="str">
            <v>sim</v>
          </cell>
          <cell r="V7654" t="str">
            <v>not neg pair</v>
          </cell>
          <cell r="Y7654" t="str">
            <v>Pres</v>
          </cell>
          <cell r="Z7654">
            <v>2.5099999999999998</v>
          </cell>
          <cell r="AA7654" t="str">
            <v>L</v>
          </cell>
          <cell r="AB7654">
            <v>0</v>
          </cell>
        </row>
        <row r="7655">
          <cell r="G7655" t="str">
            <v>X3097_1</v>
          </cell>
          <cell r="H7655" t="str">
            <v>the-of</v>
          </cell>
          <cell r="I7655" t="str">
            <v>sim</v>
          </cell>
          <cell r="V7655" t="str">
            <v>not neg pair</v>
          </cell>
          <cell r="Y7655" t="str">
            <v>Pres</v>
          </cell>
          <cell r="Z7655">
            <v>2.5099999999999998</v>
          </cell>
          <cell r="AA7655" t="str">
            <v>L</v>
          </cell>
          <cell r="AB7655">
            <v>0</v>
          </cell>
        </row>
        <row r="7656">
          <cell r="G7656" t="str">
            <v>X3098_0</v>
          </cell>
          <cell r="H7656" t="str">
            <v>as-as</v>
          </cell>
          <cell r="I7656" t="str">
            <v>sim</v>
          </cell>
          <cell r="V7656" t="str">
            <v>not</v>
          </cell>
          <cell r="Y7656" t="str">
            <v>Pres</v>
          </cell>
          <cell r="Z7656">
            <v>4.4800000000000004</v>
          </cell>
          <cell r="AA7656">
            <v>0</v>
          </cell>
          <cell r="AB7656">
            <v>0</v>
          </cell>
        </row>
        <row r="7657">
          <cell r="G7657" t="str">
            <v>X3098_1</v>
          </cell>
          <cell r="H7657" t="str">
            <v>as-as</v>
          </cell>
          <cell r="I7657" t="str">
            <v>sim</v>
          </cell>
          <cell r="V7657" t="str">
            <v>not</v>
          </cell>
          <cell r="Y7657" t="str">
            <v>Pres</v>
          </cell>
          <cell r="Z7657">
            <v>4.4800000000000004</v>
          </cell>
          <cell r="AA7657">
            <v>0</v>
          </cell>
          <cell r="AB7657">
            <v>0</v>
          </cell>
        </row>
        <row r="7658">
          <cell r="G7658" t="str">
            <v>X3099_0</v>
          </cell>
          <cell r="H7658" t="str">
            <v>as-as</v>
          </cell>
          <cell r="I7658" t="str">
            <v>sim</v>
          </cell>
          <cell r="V7658" t="str">
            <v>antonym</v>
          </cell>
          <cell r="Y7658" t="str">
            <v>Pres</v>
          </cell>
          <cell r="Z7658">
            <v>4.72</v>
          </cell>
          <cell r="AA7658">
            <v>0</v>
          </cell>
          <cell r="AB7658">
            <v>0</v>
          </cell>
        </row>
        <row r="7659">
          <cell r="G7659" t="str">
            <v>X3099_1</v>
          </cell>
          <cell r="H7659" t="str">
            <v>as-as</v>
          </cell>
          <cell r="I7659" t="str">
            <v>sim</v>
          </cell>
          <cell r="V7659" t="str">
            <v>antonym</v>
          </cell>
          <cell r="Y7659" t="str">
            <v>Pres</v>
          </cell>
          <cell r="Z7659">
            <v>4.72</v>
          </cell>
          <cell r="AA7659">
            <v>0</v>
          </cell>
          <cell r="AB7659">
            <v>0</v>
          </cell>
        </row>
        <row r="7660">
          <cell r="G7660" t="str">
            <v>X3100_0</v>
          </cell>
          <cell r="H7660" t="str">
            <v/>
          </cell>
          <cell r="I7660" t="str">
            <v>met</v>
          </cell>
          <cell r="V7660" t="str">
            <v>0</v>
          </cell>
          <cell r="Y7660" t="str">
            <v>Past</v>
          </cell>
          <cell r="Z7660">
            <v>4.3600000000000003</v>
          </cell>
          <cell r="AA7660">
            <v>0</v>
          </cell>
          <cell r="AB7660">
            <v>0</v>
          </cell>
        </row>
        <row r="7661">
          <cell r="G7661" t="str">
            <v>X3100_1</v>
          </cell>
          <cell r="H7661" t="str">
            <v/>
          </cell>
          <cell r="I7661" t="str">
            <v>met</v>
          </cell>
          <cell r="V7661" t="str">
            <v>0</v>
          </cell>
          <cell r="Y7661" t="str">
            <v>Past</v>
          </cell>
          <cell r="Z7661">
            <v>4.3600000000000003</v>
          </cell>
          <cell r="AA7661">
            <v>0</v>
          </cell>
          <cell r="AB7661">
            <v>0</v>
          </cell>
        </row>
        <row r="7662">
          <cell r="G7662" t="str">
            <v>X3101_0</v>
          </cell>
          <cell r="H7662" t="str">
            <v>as</v>
          </cell>
          <cell r="I7662" t="str">
            <v>sim</v>
          </cell>
          <cell r="V7662" t="str">
            <v>not</v>
          </cell>
          <cell r="Y7662" t="str">
            <v>Past</v>
          </cell>
          <cell r="Z7662">
            <v>3.93</v>
          </cell>
          <cell r="AA7662">
            <v>0</v>
          </cell>
          <cell r="AB7662">
            <v>0</v>
          </cell>
        </row>
        <row r="7663">
          <cell r="G7663" t="str">
            <v>X3101_1</v>
          </cell>
          <cell r="H7663" t="str">
            <v>as</v>
          </cell>
          <cell r="I7663" t="str">
            <v>sim</v>
          </cell>
          <cell r="V7663" t="str">
            <v>not</v>
          </cell>
          <cell r="Y7663" t="str">
            <v>Pres</v>
          </cell>
          <cell r="Z7663">
            <v>3.93</v>
          </cell>
          <cell r="AA7663">
            <v>0</v>
          </cell>
          <cell r="AB7663">
            <v>0</v>
          </cell>
        </row>
        <row r="7664">
          <cell r="G7664" t="str">
            <v>X3102_0</v>
          </cell>
          <cell r="H7664" t="str">
            <v>as-as</v>
          </cell>
          <cell r="I7664" t="str">
            <v>sim</v>
          </cell>
          <cell r="V7664" t="str">
            <v>antonym</v>
          </cell>
          <cell r="Y7664" t="str">
            <v>Pres</v>
          </cell>
          <cell r="Z7664">
            <v>4.79</v>
          </cell>
          <cell r="AA7664">
            <v>0</v>
          </cell>
          <cell r="AB7664">
            <v>0</v>
          </cell>
        </row>
        <row r="7665">
          <cell r="G7665" t="str">
            <v>X3102_1</v>
          </cell>
          <cell r="H7665" t="str">
            <v>as-as</v>
          </cell>
          <cell r="I7665" t="str">
            <v>sim</v>
          </cell>
          <cell r="V7665" t="str">
            <v>antonym</v>
          </cell>
          <cell r="Y7665" t="str">
            <v>Pres</v>
          </cell>
          <cell r="Z7665">
            <v>4.79</v>
          </cell>
          <cell r="AA7665">
            <v>0</v>
          </cell>
          <cell r="AB7665">
            <v>0</v>
          </cell>
        </row>
        <row r="7666">
          <cell r="G7666" t="str">
            <v>X3103_0</v>
          </cell>
          <cell r="H7666" t="str">
            <v>as-as</v>
          </cell>
          <cell r="I7666" t="str">
            <v>sim</v>
          </cell>
          <cell r="V7666" t="str">
            <v>antonym</v>
          </cell>
          <cell r="Y7666" t="str">
            <v>Past</v>
          </cell>
          <cell r="Z7666">
            <v>3.93</v>
          </cell>
          <cell r="AA7666">
            <v>0</v>
          </cell>
          <cell r="AB7666">
            <v>0</v>
          </cell>
        </row>
        <row r="7667">
          <cell r="G7667" t="str">
            <v>X3103_1</v>
          </cell>
          <cell r="H7667" t="str">
            <v>as-as</v>
          </cell>
          <cell r="I7667" t="str">
            <v>sim</v>
          </cell>
          <cell r="V7667" t="str">
            <v>antonym</v>
          </cell>
          <cell r="Y7667" t="str">
            <v>Past</v>
          </cell>
          <cell r="Z7667">
            <v>3.93</v>
          </cell>
          <cell r="AA7667">
            <v>0</v>
          </cell>
          <cell r="AB7667">
            <v>0</v>
          </cell>
        </row>
        <row r="7668">
          <cell r="G7668" t="str">
            <v>X3104_0</v>
          </cell>
          <cell r="H7668" t="str">
            <v/>
          </cell>
          <cell r="I7668" t="str">
            <v>met</v>
          </cell>
          <cell r="V7668" t="str">
            <v>0</v>
          </cell>
          <cell r="Y7668" t="str">
            <v>Past</v>
          </cell>
          <cell r="Z7668">
            <v>0</v>
          </cell>
          <cell r="AA7668">
            <v>0</v>
          </cell>
          <cell r="AB7668">
            <v>0</v>
          </cell>
        </row>
        <row r="7669">
          <cell r="G7669" t="str">
            <v>X3104_1</v>
          </cell>
          <cell r="H7669" t="str">
            <v>the-of</v>
          </cell>
          <cell r="I7669" t="str">
            <v>sim</v>
          </cell>
          <cell r="V7669" t="str">
            <v>0</v>
          </cell>
          <cell r="Y7669" t="str">
            <v>Pres</v>
          </cell>
          <cell r="Z7669">
            <v>2.96</v>
          </cell>
          <cell r="AA7669">
            <v>0</v>
          </cell>
          <cell r="AB7669">
            <v>0</v>
          </cell>
        </row>
        <row r="7670">
          <cell r="G7670" t="str">
            <v>X3105_0</v>
          </cell>
          <cell r="H7670" t="str">
            <v>as-as</v>
          </cell>
          <cell r="I7670" t="str">
            <v>sim</v>
          </cell>
          <cell r="V7670" t="str">
            <v>antonym</v>
          </cell>
          <cell r="Y7670" t="str">
            <v>Past</v>
          </cell>
          <cell r="Z7670">
            <v>2.83</v>
          </cell>
          <cell r="AA7670">
            <v>0</v>
          </cell>
          <cell r="AB7670">
            <v>0</v>
          </cell>
        </row>
        <row r="7671">
          <cell r="G7671" t="str">
            <v>X3105_1</v>
          </cell>
          <cell r="H7671" t="str">
            <v>as-as</v>
          </cell>
          <cell r="I7671" t="str">
            <v>sim</v>
          </cell>
          <cell r="V7671" t="str">
            <v>antonym</v>
          </cell>
          <cell r="Y7671" t="str">
            <v>Past</v>
          </cell>
          <cell r="Z7671">
            <v>2.83</v>
          </cell>
          <cell r="AA7671">
            <v>0</v>
          </cell>
          <cell r="AB7671">
            <v>0</v>
          </cell>
        </row>
        <row r="7672">
          <cell r="G7672" t="str">
            <v>X3106_0</v>
          </cell>
          <cell r="H7672" t="str">
            <v/>
          </cell>
          <cell r="I7672" t="str">
            <v>met</v>
          </cell>
          <cell r="V7672" t="str">
            <v>0</v>
          </cell>
          <cell r="Y7672" t="str">
            <v>Past</v>
          </cell>
          <cell r="Z7672">
            <v>3.7</v>
          </cell>
          <cell r="AA7672">
            <v>0</v>
          </cell>
          <cell r="AB7672">
            <v>0</v>
          </cell>
        </row>
        <row r="7673">
          <cell r="G7673" t="str">
            <v>X3106_1</v>
          </cell>
          <cell r="H7673" t="str">
            <v/>
          </cell>
          <cell r="I7673" t="str">
            <v>met</v>
          </cell>
          <cell r="V7673" t="str">
            <v>0</v>
          </cell>
          <cell r="Y7673" t="str">
            <v>Pres</v>
          </cell>
          <cell r="Z7673">
            <v>3.7</v>
          </cell>
          <cell r="AA7673">
            <v>0</v>
          </cell>
          <cell r="AB7673">
            <v>0</v>
          </cell>
        </row>
        <row r="7674">
          <cell r="G7674" t="str">
            <v>X3107_0</v>
          </cell>
          <cell r="H7674" t="str">
            <v/>
          </cell>
          <cell r="I7674" t="str">
            <v>met</v>
          </cell>
          <cell r="V7674" t="str">
            <v>0</v>
          </cell>
          <cell r="Y7674" t="str">
            <v>Past</v>
          </cell>
          <cell r="Z7674">
            <v>4.3099999999999996</v>
          </cell>
          <cell r="AA7674">
            <v>0</v>
          </cell>
          <cell r="AB7674">
            <v>0</v>
          </cell>
        </row>
        <row r="7675">
          <cell r="G7675" t="str">
            <v>X3107_1</v>
          </cell>
          <cell r="H7675" t="str">
            <v/>
          </cell>
          <cell r="I7675" t="str">
            <v>met</v>
          </cell>
          <cell r="V7675" t="str">
            <v>0</v>
          </cell>
          <cell r="Y7675" t="str">
            <v>Past</v>
          </cell>
          <cell r="Z7675">
            <v>4.3099999999999996</v>
          </cell>
          <cell r="AA7675">
            <v>0</v>
          </cell>
          <cell r="AB7675">
            <v>0</v>
          </cell>
        </row>
        <row r="7676">
          <cell r="G7676" t="str">
            <v>X3108_0</v>
          </cell>
          <cell r="H7676" t="str">
            <v>as-as</v>
          </cell>
          <cell r="I7676" t="str">
            <v>sim</v>
          </cell>
          <cell r="V7676" t="str">
            <v>antonym</v>
          </cell>
          <cell r="Y7676" t="str">
            <v>Pres</v>
          </cell>
          <cell r="Z7676">
            <v>2.14</v>
          </cell>
          <cell r="AA7676" t="str">
            <v>L</v>
          </cell>
          <cell r="AB7676">
            <v>0</v>
          </cell>
        </row>
        <row r="7677">
          <cell r="G7677" t="str">
            <v>X3108_1</v>
          </cell>
          <cell r="H7677" t="str">
            <v>as-as</v>
          </cell>
          <cell r="I7677" t="str">
            <v>sim</v>
          </cell>
          <cell r="V7677" t="str">
            <v>antonym</v>
          </cell>
          <cell r="Y7677" t="str">
            <v>Pres</v>
          </cell>
          <cell r="Z7677">
            <v>2.14</v>
          </cell>
          <cell r="AA7677" t="str">
            <v>L</v>
          </cell>
          <cell r="AB7677">
            <v>0</v>
          </cell>
        </row>
        <row r="7678">
          <cell r="G7678" t="str">
            <v>X3109_0</v>
          </cell>
          <cell r="H7678" t="str">
            <v>as-as</v>
          </cell>
          <cell r="I7678" t="str">
            <v>sim</v>
          </cell>
          <cell r="V7678" t="str">
            <v>antonym</v>
          </cell>
          <cell r="Y7678" t="str">
            <v>Pres</v>
          </cell>
          <cell r="Z7678">
            <v>4.93</v>
          </cell>
          <cell r="AA7678" t="str">
            <v>H</v>
          </cell>
          <cell r="AB7678">
            <v>0</v>
          </cell>
        </row>
        <row r="7679">
          <cell r="G7679" t="str">
            <v>X3109_1</v>
          </cell>
          <cell r="H7679" t="str">
            <v>as-as</v>
          </cell>
          <cell r="I7679" t="str">
            <v>sim</v>
          </cell>
          <cell r="V7679" t="str">
            <v>antonym</v>
          </cell>
          <cell r="Y7679" t="str">
            <v>Pres</v>
          </cell>
          <cell r="Z7679">
            <v>4.93</v>
          </cell>
          <cell r="AA7679" t="str">
            <v>H</v>
          </cell>
          <cell r="AB7679">
            <v>0</v>
          </cell>
        </row>
        <row r="7680">
          <cell r="G7680" t="str">
            <v>X3110_0</v>
          </cell>
          <cell r="H7680" t="str">
            <v>as</v>
          </cell>
          <cell r="I7680" t="str">
            <v>sim</v>
          </cell>
          <cell r="V7680" t="str">
            <v>not neg pair</v>
          </cell>
          <cell r="Y7680" t="str">
            <v>Past</v>
          </cell>
          <cell r="Z7680">
            <v>4.88</v>
          </cell>
          <cell r="AA7680">
            <v>0</v>
          </cell>
          <cell r="AB7680">
            <v>0</v>
          </cell>
        </row>
        <row r="7681">
          <cell r="G7681" t="str">
            <v>X3110_1</v>
          </cell>
          <cell r="H7681" t="str">
            <v>as</v>
          </cell>
          <cell r="I7681" t="str">
            <v>sim</v>
          </cell>
          <cell r="V7681" t="str">
            <v>not neg pair</v>
          </cell>
          <cell r="Y7681" t="str">
            <v>Past</v>
          </cell>
          <cell r="Z7681">
            <v>4.88</v>
          </cell>
          <cell r="AA7681">
            <v>0</v>
          </cell>
          <cell r="AB7681">
            <v>0</v>
          </cell>
        </row>
        <row r="7682">
          <cell r="G7682" t="str">
            <v>X3111_0</v>
          </cell>
          <cell r="H7682" t="str">
            <v>the-of</v>
          </cell>
          <cell r="I7682" t="str">
            <v>sim</v>
          </cell>
          <cell r="V7682" t="str">
            <v>not neg pair</v>
          </cell>
          <cell r="Y7682" t="str">
            <v>Past</v>
          </cell>
          <cell r="Z7682">
            <v>3.93</v>
          </cell>
          <cell r="AA7682">
            <v>0</v>
          </cell>
          <cell r="AB7682">
            <v>0</v>
          </cell>
        </row>
        <row r="7683">
          <cell r="G7683" t="str">
            <v>X3111_1</v>
          </cell>
          <cell r="H7683" t="str">
            <v>the-of</v>
          </cell>
          <cell r="I7683" t="str">
            <v>sim</v>
          </cell>
          <cell r="V7683" t="str">
            <v>not neg pair</v>
          </cell>
          <cell r="Y7683" t="str">
            <v>Past</v>
          </cell>
          <cell r="Z7683">
            <v>3.93</v>
          </cell>
          <cell r="AA7683">
            <v>0</v>
          </cell>
          <cell r="AB7683">
            <v>0</v>
          </cell>
        </row>
        <row r="7684">
          <cell r="G7684" t="str">
            <v>X3112_0</v>
          </cell>
          <cell r="H7684" t="str">
            <v/>
          </cell>
          <cell r="I7684" t="str">
            <v>met</v>
          </cell>
          <cell r="V7684" t="str">
            <v>0</v>
          </cell>
          <cell r="Y7684" t="str">
            <v>Pres</v>
          </cell>
          <cell r="Z7684">
            <v>4.8499999999999996</v>
          </cell>
          <cell r="AA7684">
            <v>0</v>
          </cell>
          <cell r="AB7684">
            <v>0</v>
          </cell>
        </row>
        <row r="7685">
          <cell r="G7685" t="str">
            <v>X3112_1</v>
          </cell>
          <cell r="H7685" t="str">
            <v/>
          </cell>
          <cell r="I7685" t="str">
            <v>met</v>
          </cell>
          <cell r="V7685" t="str">
            <v>0</v>
          </cell>
          <cell r="Y7685" t="str">
            <v>Pres</v>
          </cell>
          <cell r="Z7685">
            <v>4.8499999999999996</v>
          </cell>
          <cell r="AA7685">
            <v>0</v>
          </cell>
          <cell r="AB7685">
            <v>0</v>
          </cell>
        </row>
        <row r="7686">
          <cell r="G7686" t="str">
            <v>X3113_0</v>
          </cell>
          <cell r="H7686" t="str">
            <v>the-of</v>
          </cell>
          <cell r="I7686" t="str">
            <v>sim</v>
          </cell>
          <cell r="V7686" t="str">
            <v>not</v>
          </cell>
          <cell r="Y7686" t="str">
            <v>Past</v>
          </cell>
          <cell r="Z7686">
            <v>4.5599999999999996</v>
          </cell>
          <cell r="AA7686">
            <v>0</v>
          </cell>
          <cell r="AB7686">
            <v>0</v>
          </cell>
        </row>
        <row r="7687">
          <cell r="G7687" t="str">
            <v>X3113_1</v>
          </cell>
          <cell r="H7687" t="str">
            <v>the-of</v>
          </cell>
          <cell r="I7687" t="str">
            <v>sim</v>
          </cell>
          <cell r="V7687" t="str">
            <v>not</v>
          </cell>
          <cell r="Y7687" t="str">
            <v>Past</v>
          </cell>
          <cell r="Z7687">
            <v>4.5599999999999996</v>
          </cell>
          <cell r="AA7687">
            <v>0</v>
          </cell>
          <cell r="AB7687">
            <v>0</v>
          </cell>
        </row>
        <row r="7688">
          <cell r="G7688" t="str">
            <v>X3114_0</v>
          </cell>
          <cell r="H7688" t="str">
            <v>as-as</v>
          </cell>
          <cell r="I7688" t="str">
            <v>sim</v>
          </cell>
          <cell r="V7688" t="str">
            <v>not neg pair</v>
          </cell>
          <cell r="Y7688" t="str">
            <v>Past</v>
          </cell>
          <cell r="Z7688">
            <v>2.79</v>
          </cell>
          <cell r="AA7688" t="str">
            <v>L</v>
          </cell>
          <cell r="AB7688">
            <v>0</v>
          </cell>
        </row>
        <row r="7689">
          <cell r="G7689" t="str">
            <v>X3114_1</v>
          </cell>
          <cell r="H7689" t="str">
            <v>as-as</v>
          </cell>
          <cell r="I7689" t="str">
            <v>sim</v>
          </cell>
          <cell r="V7689" t="str">
            <v>not neg pair</v>
          </cell>
          <cell r="Y7689" t="str">
            <v>Past</v>
          </cell>
          <cell r="Z7689">
            <v>2.79</v>
          </cell>
          <cell r="AA7689" t="str">
            <v>L</v>
          </cell>
          <cell r="AB7689">
            <v>0</v>
          </cell>
        </row>
        <row r="7690">
          <cell r="G7690" t="str">
            <v>X3115_0</v>
          </cell>
          <cell r="H7690" t="str">
            <v>as</v>
          </cell>
          <cell r="I7690" t="str">
            <v>sim</v>
          </cell>
          <cell r="V7690" t="str">
            <v>not</v>
          </cell>
          <cell r="Y7690" t="str">
            <v>Past</v>
          </cell>
          <cell r="Z7690">
            <v>4.84</v>
          </cell>
          <cell r="AA7690">
            <v>0</v>
          </cell>
          <cell r="AB7690">
            <v>0</v>
          </cell>
        </row>
        <row r="7691">
          <cell r="G7691" t="str">
            <v>X3115_1</v>
          </cell>
          <cell r="H7691" t="str">
            <v>as</v>
          </cell>
          <cell r="I7691" t="str">
            <v>sim</v>
          </cell>
          <cell r="V7691" t="str">
            <v>not</v>
          </cell>
          <cell r="Y7691" t="str">
            <v>Past</v>
          </cell>
          <cell r="Z7691">
            <v>4.84</v>
          </cell>
          <cell r="AA7691">
            <v>0</v>
          </cell>
          <cell r="AB7691">
            <v>0</v>
          </cell>
        </row>
        <row r="7692">
          <cell r="G7692" t="str">
            <v>X3116_0</v>
          </cell>
          <cell r="H7692" t="str">
            <v/>
          </cell>
          <cell r="I7692" t="str">
            <v>met</v>
          </cell>
          <cell r="V7692" t="str">
            <v>0</v>
          </cell>
          <cell r="Y7692" t="str">
            <v>Pres</v>
          </cell>
          <cell r="Z7692">
            <v>1.61</v>
          </cell>
          <cell r="AA7692" t="str">
            <v>L</v>
          </cell>
          <cell r="AB7692">
            <v>0</v>
          </cell>
        </row>
        <row r="7693">
          <cell r="G7693" t="str">
            <v>X3116_1</v>
          </cell>
          <cell r="H7693" t="str">
            <v/>
          </cell>
          <cell r="I7693" t="str">
            <v>met</v>
          </cell>
          <cell r="V7693" t="str">
            <v>0</v>
          </cell>
          <cell r="Y7693" t="str">
            <v>Pres</v>
          </cell>
          <cell r="Z7693">
            <v>1.61</v>
          </cell>
          <cell r="AA7693" t="str">
            <v>L</v>
          </cell>
          <cell r="AB7693">
            <v>0</v>
          </cell>
        </row>
        <row r="7694">
          <cell r="G7694" t="str">
            <v>X3117_0</v>
          </cell>
          <cell r="H7694" t="str">
            <v>the-of</v>
          </cell>
          <cell r="I7694" t="str">
            <v>sim</v>
          </cell>
          <cell r="V7694" t="str">
            <v>not</v>
          </cell>
          <cell r="Y7694" t="str">
            <v>Pres</v>
          </cell>
          <cell r="Z7694">
            <v>3.93</v>
          </cell>
          <cell r="AA7694">
            <v>0</v>
          </cell>
          <cell r="AB7694">
            <v>0</v>
          </cell>
        </row>
        <row r="7695">
          <cell r="G7695" t="str">
            <v>X3117_1</v>
          </cell>
          <cell r="H7695" t="str">
            <v>the-of</v>
          </cell>
          <cell r="I7695" t="str">
            <v>sim</v>
          </cell>
          <cell r="V7695" t="str">
            <v>not</v>
          </cell>
          <cell r="Y7695" t="str">
            <v>Past</v>
          </cell>
          <cell r="Z7695">
            <v>3.93</v>
          </cell>
          <cell r="AA7695">
            <v>0</v>
          </cell>
          <cell r="AB7695">
            <v>0</v>
          </cell>
        </row>
        <row r="7696">
          <cell r="G7696" t="str">
            <v>X3118_0</v>
          </cell>
          <cell r="H7696" t="str">
            <v>as-as</v>
          </cell>
          <cell r="I7696" t="str">
            <v>sim</v>
          </cell>
          <cell r="V7696" t="str">
            <v>not neg pair</v>
          </cell>
          <cell r="Y7696" t="str">
            <v>Pres</v>
          </cell>
          <cell r="Z7696">
            <v>3.93</v>
          </cell>
          <cell r="AA7696">
            <v>0</v>
          </cell>
          <cell r="AB7696">
            <v>0</v>
          </cell>
        </row>
        <row r="7697">
          <cell r="G7697" t="str">
            <v>X3118_1</v>
          </cell>
          <cell r="H7697" t="str">
            <v>as-as</v>
          </cell>
          <cell r="I7697" t="str">
            <v>sim</v>
          </cell>
          <cell r="V7697" t="str">
            <v>not neg pair</v>
          </cell>
          <cell r="Y7697" t="str">
            <v>Pres</v>
          </cell>
          <cell r="Z7697">
            <v>3.93</v>
          </cell>
          <cell r="AA7697">
            <v>0</v>
          </cell>
          <cell r="AB7697">
            <v>0</v>
          </cell>
        </row>
        <row r="7698">
          <cell r="G7698" t="str">
            <v>X3119_0</v>
          </cell>
          <cell r="H7698" t="str">
            <v>as-as</v>
          </cell>
          <cell r="I7698" t="str">
            <v>sim</v>
          </cell>
          <cell r="V7698" t="str">
            <v>not</v>
          </cell>
          <cell r="Y7698" t="str">
            <v>Pres</v>
          </cell>
          <cell r="Z7698">
            <v>3.93</v>
          </cell>
          <cell r="AA7698">
            <v>0</v>
          </cell>
          <cell r="AB7698">
            <v>0</v>
          </cell>
        </row>
        <row r="7699">
          <cell r="G7699" t="str">
            <v>X3119_1</v>
          </cell>
          <cell r="H7699" t="str">
            <v>as-as</v>
          </cell>
          <cell r="I7699" t="str">
            <v>sim</v>
          </cell>
          <cell r="V7699" t="str">
            <v>not</v>
          </cell>
          <cell r="Y7699" t="str">
            <v>Pres</v>
          </cell>
          <cell r="Z7699">
            <v>3.93</v>
          </cell>
          <cell r="AA7699">
            <v>0</v>
          </cell>
          <cell r="AB7699">
            <v>0</v>
          </cell>
        </row>
        <row r="7700">
          <cell r="G7700" t="str">
            <v>X3120_0</v>
          </cell>
          <cell r="H7700" t="str">
            <v>as</v>
          </cell>
          <cell r="I7700" t="str">
            <v>sim</v>
          </cell>
          <cell r="V7700" t="str">
            <v>not</v>
          </cell>
          <cell r="Y7700" t="str">
            <v>Past</v>
          </cell>
          <cell r="Z7700">
            <v>5</v>
          </cell>
          <cell r="AA7700" t="str">
            <v>H</v>
          </cell>
          <cell r="AB7700">
            <v>0</v>
          </cell>
        </row>
        <row r="7701">
          <cell r="G7701" t="str">
            <v>X3120_1</v>
          </cell>
          <cell r="H7701" t="str">
            <v>as</v>
          </cell>
          <cell r="I7701" t="str">
            <v>sim</v>
          </cell>
          <cell r="V7701" t="str">
            <v>not</v>
          </cell>
          <cell r="Y7701" t="str">
            <v>Past</v>
          </cell>
          <cell r="Z7701">
            <v>4.79</v>
          </cell>
          <cell r="AA7701">
            <v>0</v>
          </cell>
          <cell r="AB7701">
            <v>0</v>
          </cell>
        </row>
        <row r="7702">
          <cell r="G7702" t="str">
            <v>X3121_0</v>
          </cell>
          <cell r="H7702" t="str">
            <v>as-as</v>
          </cell>
          <cell r="I7702" t="str">
            <v>sim</v>
          </cell>
          <cell r="V7702" t="str">
            <v>not</v>
          </cell>
          <cell r="Y7702" t="str">
            <v>Pres</v>
          </cell>
          <cell r="Z7702">
            <v>3.23</v>
          </cell>
          <cell r="AA7702">
            <v>0</v>
          </cell>
          <cell r="AB7702">
            <v>0</v>
          </cell>
        </row>
        <row r="7703">
          <cell r="G7703" t="str">
            <v>X3121_1</v>
          </cell>
          <cell r="H7703" t="str">
            <v>as-as</v>
          </cell>
          <cell r="I7703" t="str">
            <v>sim</v>
          </cell>
          <cell r="V7703" t="str">
            <v>not</v>
          </cell>
          <cell r="Y7703" t="str">
            <v>Pres</v>
          </cell>
          <cell r="Z7703">
            <v>3.23</v>
          </cell>
          <cell r="AA7703">
            <v>0</v>
          </cell>
          <cell r="AB7703">
            <v>0</v>
          </cell>
        </row>
        <row r="7704">
          <cell r="G7704" t="str">
            <v>X3122_0</v>
          </cell>
          <cell r="H7704" t="str">
            <v>as-as</v>
          </cell>
          <cell r="I7704" t="str">
            <v>sim</v>
          </cell>
          <cell r="V7704" t="str">
            <v>not neg pair</v>
          </cell>
          <cell r="Y7704" t="str">
            <v>Past</v>
          </cell>
          <cell r="Z7704">
            <v>1.61</v>
          </cell>
          <cell r="AA7704" t="str">
            <v>L</v>
          </cell>
          <cell r="AB7704">
            <v>0</v>
          </cell>
        </row>
        <row r="7705">
          <cell r="G7705" t="str">
            <v>X3122_1</v>
          </cell>
          <cell r="H7705" t="str">
            <v>as-as</v>
          </cell>
          <cell r="I7705" t="str">
            <v>sim</v>
          </cell>
          <cell r="V7705" t="str">
            <v>not neg pair</v>
          </cell>
          <cell r="Y7705" t="str">
            <v>Past</v>
          </cell>
          <cell r="Z7705">
            <v>1.61</v>
          </cell>
          <cell r="AA7705" t="str">
            <v>L</v>
          </cell>
          <cell r="AB7705">
            <v>0</v>
          </cell>
        </row>
        <row r="7706">
          <cell r="G7706" t="str">
            <v>X3123_0</v>
          </cell>
          <cell r="H7706" t="str">
            <v/>
          </cell>
          <cell r="I7706" t="str">
            <v>met</v>
          </cell>
          <cell r="V7706" t="str">
            <v>0</v>
          </cell>
          <cell r="Y7706" t="str">
            <v>Pres</v>
          </cell>
          <cell r="Z7706">
            <v>4.46</v>
          </cell>
          <cell r="AA7706">
            <v>0</v>
          </cell>
          <cell r="AB7706">
            <v>0</v>
          </cell>
        </row>
        <row r="7707">
          <cell r="G7707" t="str">
            <v>X3123_1</v>
          </cell>
          <cell r="H7707" t="str">
            <v/>
          </cell>
          <cell r="I7707" t="str">
            <v>met</v>
          </cell>
          <cell r="V7707" t="str">
            <v>0</v>
          </cell>
          <cell r="Y7707" t="str">
            <v>Pres</v>
          </cell>
          <cell r="Z7707">
            <v>4.46</v>
          </cell>
          <cell r="AA7707">
            <v>0</v>
          </cell>
          <cell r="AB7707">
            <v>0</v>
          </cell>
        </row>
        <row r="7708">
          <cell r="G7708" t="str">
            <v>X3124_0</v>
          </cell>
          <cell r="H7708" t="str">
            <v>as-as</v>
          </cell>
          <cell r="I7708" t="str">
            <v>sim</v>
          </cell>
          <cell r="V7708" t="str">
            <v>not</v>
          </cell>
          <cell r="Y7708" t="str">
            <v>Past</v>
          </cell>
          <cell r="Z7708">
            <v>4.8</v>
          </cell>
          <cell r="AA7708">
            <v>0</v>
          </cell>
          <cell r="AB7708">
            <v>0</v>
          </cell>
        </row>
        <row r="7709">
          <cell r="G7709" t="str">
            <v>X3124_1</v>
          </cell>
          <cell r="H7709" t="str">
            <v>as-as</v>
          </cell>
          <cell r="I7709" t="str">
            <v>sim</v>
          </cell>
          <cell r="V7709" t="str">
            <v>not</v>
          </cell>
          <cell r="Y7709" t="str">
            <v>Past</v>
          </cell>
          <cell r="Z7709">
            <v>4.8</v>
          </cell>
          <cell r="AA7709">
            <v>0</v>
          </cell>
          <cell r="AB7709">
            <v>0</v>
          </cell>
        </row>
        <row r="7710">
          <cell r="G7710" t="str">
            <v>X3125_0</v>
          </cell>
          <cell r="H7710" t="str">
            <v>as-as</v>
          </cell>
          <cell r="I7710" t="str">
            <v>sim</v>
          </cell>
          <cell r="V7710" t="str">
            <v>not neg pair</v>
          </cell>
          <cell r="Y7710" t="str">
            <v>Past</v>
          </cell>
          <cell r="Z7710">
            <v>4.79</v>
          </cell>
          <cell r="AA7710">
            <v>0</v>
          </cell>
          <cell r="AB7710">
            <v>0</v>
          </cell>
        </row>
        <row r="7711">
          <cell r="G7711" t="str">
            <v>X3125_1</v>
          </cell>
          <cell r="H7711" t="str">
            <v>as-as</v>
          </cell>
          <cell r="I7711" t="str">
            <v>sim</v>
          </cell>
          <cell r="V7711" t="str">
            <v>not neg pair</v>
          </cell>
          <cell r="Y7711" t="str">
            <v>Past</v>
          </cell>
          <cell r="Z7711">
            <v>4.79</v>
          </cell>
          <cell r="AA7711">
            <v>0</v>
          </cell>
          <cell r="AB7711">
            <v>0</v>
          </cell>
        </row>
        <row r="7712">
          <cell r="G7712" t="str">
            <v>X3126_0</v>
          </cell>
          <cell r="H7712" t="str">
            <v>the-of</v>
          </cell>
          <cell r="I7712" t="str">
            <v>sim</v>
          </cell>
          <cell r="V7712" t="str">
            <v>not</v>
          </cell>
          <cell r="Y7712" t="str">
            <v>Past</v>
          </cell>
          <cell r="Z7712">
            <v>4.6500000000000004</v>
          </cell>
          <cell r="AA7712">
            <v>0</v>
          </cell>
          <cell r="AB7712">
            <v>0</v>
          </cell>
        </row>
        <row r="7713">
          <cell r="G7713" t="str">
            <v>X3126_1</v>
          </cell>
          <cell r="H7713" t="str">
            <v>the-of</v>
          </cell>
          <cell r="I7713" t="str">
            <v>sim</v>
          </cell>
          <cell r="V7713" t="str">
            <v>not</v>
          </cell>
          <cell r="Y7713" t="str">
            <v>Past</v>
          </cell>
          <cell r="Z7713">
            <v>4.6500000000000004</v>
          </cell>
          <cell r="AA7713">
            <v>0</v>
          </cell>
          <cell r="AB7713">
            <v>0</v>
          </cell>
        </row>
        <row r="7714">
          <cell r="G7714" t="str">
            <v>X3127_0</v>
          </cell>
          <cell r="H7714" t="str">
            <v>as-as</v>
          </cell>
          <cell r="I7714" t="str">
            <v>sim</v>
          </cell>
          <cell r="V7714" t="str">
            <v>not</v>
          </cell>
          <cell r="Y7714" t="str">
            <v>Pres</v>
          </cell>
          <cell r="Z7714">
            <v>3.36</v>
          </cell>
          <cell r="AA7714">
            <v>0</v>
          </cell>
          <cell r="AB7714">
            <v>0</v>
          </cell>
        </row>
        <row r="7715">
          <cell r="G7715" t="str">
            <v>X3127_1</v>
          </cell>
          <cell r="H7715" t="str">
            <v>as-as</v>
          </cell>
          <cell r="I7715" t="str">
            <v>sim</v>
          </cell>
          <cell r="V7715" t="str">
            <v>not</v>
          </cell>
          <cell r="Y7715" t="str">
            <v>Pres</v>
          </cell>
          <cell r="Z7715">
            <v>3.36</v>
          </cell>
          <cell r="AA7715">
            <v>0</v>
          </cell>
          <cell r="AB7715">
            <v>0</v>
          </cell>
        </row>
        <row r="7716">
          <cell r="G7716" t="str">
            <v>X3128_0</v>
          </cell>
          <cell r="H7716" t="str">
            <v>as-as</v>
          </cell>
          <cell r="I7716" t="str">
            <v>sim</v>
          </cell>
          <cell r="V7716" t="str">
            <v>not</v>
          </cell>
          <cell r="Y7716" t="str">
            <v>Past</v>
          </cell>
          <cell r="Z7716">
            <v>4.5199999999999996</v>
          </cell>
          <cell r="AA7716">
            <v>0</v>
          </cell>
          <cell r="AB7716">
            <v>0</v>
          </cell>
        </row>
        <row r="7717">
          <cell r="G7717" t="str">
            <v>X3128_1</v>
          </cell>
          <cell r="H7717" t="str">
            <v>as-as</v>
          </cell>
          <cell r="I7717" t="str">
            <v>sim</v>
          </cell>
          <cell r="V7717" t="str">
            <v>not</v>
          </cell>
          <cell r="Y7717" t="str">
            <v>Past</v>
          </cell>
          <cell r="Z7717">
            <v>4.5199999999999996</v>
          </cell>
          <cell r="AA7717">
            <v>0</v>
          </cell>
          <cell r="AB7717">
            <v>0</v>
          </cell>
        </row>
        <row r="7718">
          <cell r="G7718" t="str">
            <v>X3129_0</v>
          </cell>
          <cell r="H7718" t="str">
            <v>as-as</v>
          </cell>
          <cell r="I7718" t="str">
            <v>sim</v>
          </cell>
          <cell r="V7718" t="str">
            <v>not</v>
          </cell>
          <cell r="Y7718" t="str">
            <v>Past</v>
          </cell>
          <cell r="Z7718">
            <v>2.81</v>
          </cell>
          <cell r="AA7718">
            <v>0</v>
          </cell>
          <cell r="AB7718">
            <v>0</v>
          </cell>
        </row>
        <row r="7719">
          <cell r="G7719" t="str">
            <v>X3129_1</v>
          </cell>
          <cell r="H7719" t="str">
            <v>as-as</v>
          </cell>
          <cell r="I7719" t="str">
            <v>sim</v>
          </cell>
          <cell r="V7719" t="str">
            <v>not</v>
          </cell>
          <cell r="Y7719" t="str">
            <v>Pres</v>
          </cell>
          <cell r="Z7719">
            <v>2.81</v>
          </cell>
          <cell r="AA7719">
            <v>0</v>
          </cell>
          <cell r="AB7719">
            <v>0</v>
          </cell>
        </row>
        <row r="7720">
          <cell r="G7720" t="str">
            <v>X3130_0</v>
          </cell>
          <cell r="H7720" t="str">
            <v>the-of</v>
          </cell>
          <cell r="I7720" t="str">
            <v>sim</v>
          </cell>
          <cell r="V7720" t="str">
            <v>not neg pair</v>
          </cell>
          <cell r="Y7720" t="str">
            <v>Pres</v>
          </cell>
          <cell r="Z7720">
            <v>5</v>
          </cell>
          <cell r="AA7720" t="str">
            <v>H</v>
          </cell>
          <cell r="AB7720">
            <v>0</v>
          </cell>
        </row>
        <row r="7721">
          <cell r="G7721" t="str">
            <v>X3130_1</v>
          </cell>
          <cell r="H7721" t="str">
            <v>the-of</v>
          </cell>
          <cell r="I7721" t="str">
            <v>sim</v>
          </cell>
          <cell r="V7721" t="str">
            <v>not neg pair</v>
          </cell>
          <cell r="Y7721" t="str">
            <v>Pres</v>
          </cell>
          <cell r="Z7721">
            <v>5</v>
          </cell>
          <cell r="AA7721" t="str">
            <v>H</v>
          </cell>
          <cell r="AB7721">
            <v>0</v>
          </cell>
        </row>
        <row r="7722">
          <cell r="G7722" t="str">
            <v>X3131_0</v>
          </cell>
          <cell r="H7722" t="str">
            <v>as-as</v>
          </cell>
          <cell r="I7722" t="str">
            <v>sim</v>
          </cell>
          <cell r="V7722" t="str">
            <v>antonym</v>
          </cell>
          <cell r="Y7722" t="str">
            <v>Past</v>
          </cell>
          <cell r="Z7722">
            <v>4.8600000000000003</v>
          </cell>
          <cell r="AA7722">
            <v>0</v>
          </cell>
          <cell r="AB7722">
            <v>0</v>
          </cell>
        </row>
        <row r="7723">
          <cell r="G7723" t="str">
            <v>X3131_1</v>
          </cell>
          <cell r="H7723" t="str">
            <v>as-as</v>
          </cell>
          <cell r="I7723" t="str">
            <v>sim</v>
          </cell>
          <cell r="V7723" t="str">
            <v>antonym</v>
          </cell>
          <cell r="Y7723" t="str">
            <v>Past</v>
          </cell>
          <cell r="Z7723">
            <v>4.8600000000000003</v>
          </cell>
          <cell r="AA7723">
            <v>0</v>
          </cell>
          <cell r="AB7723">
            <v>0</v>
          </cell>
        </row>
        <row r="7724">
          <cell r="G7724" t="str">
            <v>X3132_0</v>
          </cell>
          <cell r="H7724" t="str">
            <v>as-as</v>
          </cell>
          <cell r="I7724" t="str">
            <v>sim</v>
          </cell>
          <cell r="V7724" t="str">
            <v>not</v>
          </cell>
          <cell r="Y7724" t="str">
            <v>Past</v>
          </cell>
          <cell r="Z7724">
            <v>1.61</v>
          </cell>
          <cell r="AA7724" t="str">
            <v>L</v>
          </cell>
          <cell r="AB7724">
            <v>0</v>
          </cell>
        </row>
        <row r="7725">
          <cell r="G7725" t="str">
            <v>X3132_1</v>
          </cell>
          <cell r="H7725" t="str">
            <v>as-as</v>
          </cell>
          <cell r="I7725" t="str">
            <v>sim</v>
          </cell>
          <cell r="V7725" t="str">
            <v>not</v>
          </cell>
          <cell r="Y7725" t="str">
            <v>Past</v>
          </cell>
          <cell r="Z7725">
            <v>1.61</v>
          </cell>
          <cell r="AA7725" t="str">
            <v>L</v>
          </cell>
          <cell r="AB7725">
            <v>0</v>
          </cell>
        </row>
        <row r="7726">
          <cell r="G7726" t="str">
            <v>X3133_0</v>
          </cell>
          <cell r="H7726" t="str">
            <v>the-of</v>
          </cell>
          <cell r="I7726" t="str">
            <v>sim</v>
          </cell>
          <cell r="V7726" t="str">
            <v>not neg pair</v>
          </cell>
          <cell r="Y7726" t="str">
            <v>Past</v>
          </cell>
          <cell r="Z7726">
            <v>0</v>
          </cell>
          <cell r="AA7726">
            <v>0</v>
          </cell>
          <cell r="AB7726">
            <v>0</v>
          </cell>
        </row>
        <row r="7727">
          <cell r="G7727" t="str">
            <v>X3133_1</v>
          </cell>
          <cell r="H7727" t="str">
            <v>the-of</v>
          </cell>
          <cell r="I7727" t="str">
            <v>sim</v>
          </cell>
          <cell r="V7727" t="str">
            <v>not neg pair</v>
          </cell>
          <cell r="Y7727" t="str">
            <v>Past</v>
          </cell>
          <cell r="Z7727">
            <v>0</v>
          </cell>
          <cell r="AA7727">
            <v>0</v>
          </cell>
          <cell r="AB7727">
            <v>0</v>
          </cell>
        </row>
        <row r="7728">
          <cell r="G7728" t="str">
            <v>X3134_0</v>
          </cell>
          <cell r="H7728" t="str">
            <v>as-as</v>
          </cell>
          <cell r="I7728" t="str">
            <v>sim</v>
          </cell>
          <cell r="V7728" t="str">
            <v>not neg pair</v>
          </cell>
          <cell r="Y7728" t="str">
            <v>Past</v>
          </cell>
          <cell r="Z7728">
            <v>4.97</v>
          </cell>
          <cell r="AA7728" t="str">
            <v>H</v>
          </cell>
          <cell r="AB7728">
            <v>0</v>
          </cell>
        </row>
        <row r="7729">
          <cell r="G7729" t="str">
            <v>X3134_1</v>
          </cell>
          <cell r="H7729" t="str">
            <v>as-as</v>
          </cell>
          <cell r="I7729" t="str">
            <v>sim</v>
          </cell>
          <cell r="V7729" t="str">
            <v>not neg pair</v>
          </cell>
          <cell r="Y7729" t="str">
            <v>Past</v>
          </cell>
          <cell r="Z7729">
            <v>4.97</v>
          </cell>
          <cell r="AA7729" t="str">
            <v>H</v>
          </cell>
          <cell r="AB7729">
            <v>0</v>
          </cell>
        </row>
        <row r="7730">
          <cell r="G7730" t="str">
            <v>X3135_0</v>
          </cell>
          <cell r="H7730" t="str">
            <v>as-as</v>
          </cell>
          <cell r="I7730" t="str">
            <v>sim</v>
          </cell>
          <cell r="V7730" t="str">
            <v>not</v>
          </cell>
          <cell r="Y7730" t="str">
            <v>Pres</v>
          </cell>
          <cell r="Z7730">
            <v>2.81</v>
          </cell>
          <cell r="AA7730">
            <v>0</v>
          </cell>
          <cell r="AB7730">
            <v>0</v>
          </cell>
        </row>
        <row r="7731">
          <cell r="G7731" t="str">
            <v>X3135_1</v>
          </cell>
          <cell r="H7731" t="str">
            <v>as-as</v>
          </cell>
          <cell r="I7731" t="str">
            <v>sim</v>
          </cell>
          <cell r="V7731" t="str">
            <v>not</v>
          </cell>
          <cell r="Y7731" t="str">
            <v>Pres</v>
          </cell>
          <cell r="Z7731">
            <v>2.81</v>
          </cell>
          <cell r="AA7731">
            <v>0</v>
          </cell>
          <cell r="AB7731">
            <v>0</v>
          </cell>
        </row>
        <row r="7732">
          <cell r="G7732" t="str">
            <v>X3136_0</v>
          </cell>
          <cell r="H7732" t="str">
            <v>the-of</v>
          </cell>
          <cell r="I7732" t="str">
            <v>sim</v>
          </cell>
          <cell r="V7732" t="str">
            <v>not neg pair</v>
          </cell>
          <cell r="Y7732" t="str">
            <v>Pres</v>
          </cell>
          <cell r="Z7732">
            <v>1.61</v>
          </cell>
          <cell r="AA7732" t="str">
            <v>L</v>
          </cell>
          <cell r="AB7732">
            <v>0</v>
          </cell>
        </row>
        <row r="7733">
          <cell r="G7733" t="str">
            <v>X3136_1</v>
          </cell>
          <cell r="H7733" t="str">
            <v>the-of</v>
          </cell>
          <cell r="I7733" t="str">
            <v>sim</v>
          </cell>
          <cell r="V7733" t="str">
            <v>not neg pair</v>
          </cell>
          <cell r="Y7733" t="str">
            <v>Pres</v>
          </cell>
          <cell r="Z7733">
            <v>1.61</v>
          </cell>
          <cell r="AA7733" t="str">
            <v>L</v>
          </cell>
          <cell r="AB7733">
            <v>0</v>
          </cell>
        </row>
        <row r="7734">
          <cell r="G7734" t="str">
            <v>X3137_0</v>
          </cell>
          <cell r="H7734" t="str">
            <v>the-of</v>
          </cell>
          <cell r="I7734" t="str">
            <v>sim</v>
          </cell>
          <cell r="V7734" t="str">
            <v>not neg pair</v>
          </cell>
          <cell r="Y7734" t="str">
            <v>Past</v>
          </cell>
          <cell r="Z7734">
            <v>3.36</v>
          </cell>
          <cell r="AA7734">
            <v>0</v>
          </cell>
          <cell r="AB7734">
            <v>0</v>
          </cell>
        </row>
        <row r="7735">
          <cell r="G7735" t="str">
            <v>X3137_1</v>
          </cell>
          <cell r="H7735" t="str">
            <v>the-of</v>
          </cell>
          <cell r="I7735" t="str">
            <v>sim</v>
          </cell>
          <cell r="V7735" t="str">
            <v>not neg pair</v>
          </cell>
          <cell r="Y7735" t="str">
            <v>Past</v>
          </cell>
          <cell r="Z7735">
            <v>3.36</v>
          </cell>
          <cell r="AA7735">
            <v>0</v>
          </cell>
          <cell r="AB7735">
            <v>0</v>
          </cell>
        </row>
        <row r="7736">
          <cell r="G7736" t="str">
            <v>X3138_0</v>
          </cell>
          <cell r="H7736" t="str">
            <v>as-as</v>
          </cell>
          <cell r="I7736" t="str">
            <v>sim</v>
          </cell>
          <cell r="V7736" t="str">
            <v>antonym</v>
          </cell>
          <cell r="Y7736" t="str">
            <v>Past</v>
          </cell>
          <cell r="Z7736">
            <v>4.8899999999999997</v>
          </cell>
          <cell r="AA7736">
            <v>0</v>
          </cell>
          <cell r="AB7736">
            <v>0</v>
          </cell>
        </row>
        <row r="7737">
          <cell r="G7737" t="str">
            <v>X3138_1</v>
          </cell>
          <cell r="H7737" t="str">
            <v>as-as</v>
          </cell>
          <cell r="I7737" t="str">
            <v>sim</v>
          </cell>
          <cell r="V7737" t="str">
            <v>antonym</v>
          </cell>
          <cell r="Y7737" t="str">
            <v>Past</v>
          </cell>
          <cell r="Z7737">
            <v>5</v>
          </cell>
          <cell r="AA7737" t="str">
            <v>H</v>
          </cell>
          <cell r="AB7737">
            <v>0</v>
          </cell>
        </row>
        <row r="7738">
          <cell r="G7738" t="str">
            <v>X3139_0</v>
          </cell>
          <cell r="H7738" t="str">
            <v>the-of</v>
          </cell>
          <cell r="I7738" t="str">
            <v>sim</v>
          </cell>
          <cell r="V7738" t="str">
            <v>not neg pair</v>
          </cell>
          <cell r="Y7738" t="str">
            <v>Pres</v>
          </cell>
          <cell r="Z7738">
            <v>2.81</v>
          </cell>
          <cell r="AA7738">
            <v>0</v>
          </cell>
          <cell r="AB7738">
            <v>0</v>
          </cell>
        </row>
        <row r="7739">
          <cell r="G7739" t="str">
            <v>X3139_1</v>
          </cell>
          <cell r="H7739" t="str">
            <v>the-of</v>
          </cell>
          <cell r="I7739" t="str">
            <v>sim</v>
          </cell>
          <cell r="V7739" t="str">
            <v>not neg pair</v>
          </cell>
          <cell r="Y7739" t="str">
            <v>Pres</v>
          </cell>
          <cell r="Z7739">
            <v>2.81</v>
          </cell>
          <cell r="AA7739">
            <v>0</v>
          </cell>
          <cell r="AB7739">
            <v>0</v>
          </cell>
        </row>
        <row r="7740">
          <cell r="G7740" t="str">
            <v>X3140_0</v>
          </cell>
          <cell r="H7740" t="str">
            <v/>
          </cell>
          <cell r="I7740" t="str">
            <v>met</v>
          </cell>
          <cell r="V7740" t="str">
            <v>0</v>
          </cell>
          <cell r="Y7740" t="str">
            <v>Pres</v>
          </cell>
          <cell r="Z7740">
            <v>1.61</v>
          </cell>
          <cell r="AA7740" t="str">
            <v>L</v>
          </cell>
          <cell r="AB7740">
            <v>0</v>
          </cell>
        </row>
        <row r="7741">
          <cell r="G7741" t="str">
            <v>X3140_1</v>
          </cell>
          <cell r="H7741" t="str">
            <v/>
          </cell>
          <cell r="I7741" t="str">
            <v>met</v>
          </cell>
          <cell r="V7741" t="str">
            <v>0</v>
          </cell>
          <cell r="Y7741" t="str">
            <v>Pres</v>
          </cell>
          <cell r="Z7741">
            <v>1.61</v>
          </cell>
          <cell r="AA7741" t="str">
            <v>L</v>
          </cell>
          <cell r="AB7741">
            <v>0</v>
          </cell>
        </row>
        <row r="7742">
          <cell r="G7742" t="str">
            <v>X3141_0</v>
          </cell>
          <cell r="H7742" t="str">
            <v>as-as</v>
          </cell>
          <cell r="I7742" t="str">
            <v>sim</v>
          </cell>
          <cell r="V7742" t="str">
            <v>antonym</v>
          </cell>
          <cell r="Y7742" t="str">
            <v>Past</v>
          </cell>
          <cell r="Z7742">
            <v>3.36</v>
          </cell>
          <cell r="AA7742">
            <v>0</v>
          </cell>
          <cell r="AB7742">
            <v>0</v>
          </cell>
        </row>
        <row r="7743">
          <cell r="G7743" t="str">
            <v>X3141_1</v>
          </cell>
          <cell r="H7743" t="str">
            <v>as-as</v>
          </cell>
          <cell r="I7743" t="str">
            <v>sim</v>
          </cell>
          <cell r="V7743" t="str">
            <v>antonym</v>
          </cell>
          <cell r="Y7743" t="str">
            <v>Past</v>
          </cell>
          <cell r="Z7743">
            <v>3.36</v>
          </cell>
          <cell r="AA7743">
            <v>0</v>
          </cell>
          <cell r="AB7743">
            <v>0</v>
          </cell>
        </row>
        <row r="7744">
          <cell r="G7744" t="str">
            <v>X3142_0</v>
          </cell>
          <cell r="H7744" t="str">
            <v/>
          </cell>
          <cell r="I7744" t="str">
            <v>met</v>
          </cell>
          <cell r="V7744" t="str">
            <v>0</v>
          </cell>
          <cell r="Y7744" t="str">
            <v>Pres</v>
          </cell>
          <cell r="Z7744">
            <v>3.93</v>
          </cell>
          <cell r="AA7744">
            <v>0</v>
          </cell>
          <cell r="AB7744">
            <v>0</v>
          </cell>
        </row>
        <row r="7745">
          <cell r="G7745" t="str">
            <v>X3142_1</v>
          </cell>
          <cell r="H7745" t="str">
            <v/>
          </cell>
          <cell r="I7745" t="str">
            <v>met</v>
          </cell>
          <cell r="V7745" t="str">
            <v>0</v>
          </cell>
          <cell r="Y7745" t="str">
            <v>Pres</v>
          </cell>
          <cell r="Z7745">
            <v>3.93</v>
          </cell>
          <cell r="AA7745">
            <v>0</v>
          </cell>
          <cell r="AB7745">
            <v>0</v>
          </cell>
        </row>
        <row r="7746">
          <cell r="G7746" t="str">
            <v>X3143_0</v>
          </cell>
          <cell r="H7746" t="str">
            <v>the-of</v>
          </cell>
          <cell r="I7746" t="str">
            <v>sim</v>
          </cell>
          <cell r="V7746" t="str">
            <v>not neg pair</v>
          </cell>
          <cell r="Y7746" t="str">
            <v>Past</v>
          </cell>
          <cell r="Z7746">
            <v>4.97</v>
          </cell>
          <cell r="AA7746" t="str">
            <v>H</v>
          </cell>
          <cell r="AB7746">
            <v>0</v>
          </cell>
        </row>
        <row r="7747">
          <cell r="G7747" t="str">
            <v>X3143_1</v>
          </cell>
          <cell r="H7747" t="str">
            <v>the-of</v>
          </cell>
          <cell r="I7747" t="str">
            <v>sim</v>
          </cell>
          <cell r="V7747" t="str">
            <v>not neg pair</v>
          </cell>
          <cell r="Y7747" t="str">
            <v>Past</v>
          </cell>
          <cell r="Z7747">
            <v>4.97</v>
          </cell>
          <cell r="AA7747" t="str">
            <v>H</v>
          </cell>
          <cell r="AB7747">
            <v>0</v>
          </cell>
        </row>
        <row r="7748">
          <cell r="G7748" t="str">
            <v>X3144_0</v>
          </cell>
          <cell r="H7748" t="str">
            <v>as-as</v>
          </cell>
          <cell r="I7748" t="str">
            <v>sim</v>
          </cell>
          <cell r="V7748" t="str">
            <v>not neg pair</v>
          </cell>
          <cell r="Y7748" t="str">
            <v>Pres</v>
          </cell>
          <cell r="Z7748">
            <v>1.61</v>
          </cell>
          <cell r="AA7748" t="str">
            <v>L</v>
          </cell>
          <cell r="AB7748">
            <v>0</v>
          </cell>
        </row>
        <row r="7749">
          <cell r="G7749" t="str">
            <v>X3144_1</v>
          </cell>
          <cell r="H7749" t="str">
            <v>as-as</v>
          </cell>
          <cell r="I7749" t="str">
            <v>sim</v>
          </cell>
          <cell r="V7749" t="str">
            <v>not neg pair</v>
          </cell>
          <cell r="Y7749" t="str">
            <v>Pres</v>
          </cell>
          <cell r="Z7749">
            <v>1.61</v>
          </cell>
          <cell r="AA7749" t="str">
            <v>L</v>
          </cell>
          <cell r="AB7749">
            <v>0</v>
          </cell>
        </row>
        <row r="7750">
          <cell r="G7750" t="str">
            <v>X3145_0</v>
          </cell>
          <cell r="H7750" t="str">
            <v/>
          </cell>
          <cell r="I7750" t="str">
            <v>met</v>
          </cell>
          <cell r="V7750" t="str">
            <v>0</v>
          </cell>
          <cell r="Y7750" t="str">
            <v>Past</v>
          </cell>
          <cell r="Z7750">
            <v>4.34</v>
          </cell>
          <cell r="AA7750">
            <v>0</v>
          </cell>
          <cell r="AB7750">
            <v>0</v>
          </cell>
        </row>
        <row r="7751">
          <cell r="G7751" t="str">
            <v>X3145_1</v>
          </cell>
          <cell r="H7751" t="str">
            <v/>
          </cell>
          <cell r="I7751" t="str">
            <v>met</v>
          </cell>
          <cell r="V7751" t="str">
            <v>0</v>
          </cell>
          <cell r="Y7751" t="str">
            <v>Past</v>
          </cell>
          <cell r="Z7751">
            <v>4.34</v>
          </cell>
          <cell r="AA7751">
            <v>0</v>
          </cell>
          <cell r="AB7751">
            <v>0</v>
          </cell>
        </row>
        <row r="7752">
          <cell r="G7752" t="str">
            <v>X3146_0</v>
          </cell>
          <cell r="H7752" t="str">
            <v>the-of</v>
          </cell>
          <cell r="I7752" t="str">
            <v>sim</v>
          </cell>
          <cell r="V7752" t="str">
            <v>not</v>
          </cell>
          <cell r="Y7752" t="str">
            <v>Past</v>
          </cell>
          <cell r="Z7752">
            <v>5</v>
          </cell>
          <cell r="AA7752" t="str">
            <v>H</v>
          </cell>
          <cell r="AB7752">
            <v>0</v>
          </cell>
        </row>
        <row r="7753">
          <cell r="G7753" t="str">
            <v>X3146_1</v>
          </cell>
          <cell r="H7753" t="str">
            <v>the-of</v>
          </cell>
          <cell r="I7753" t="str">
            <v>sim</v>
          </cell>
          <cell r="V7753" t="str">
            <v>not</v>
          </cell>
          <cell r="Y7753" t="str">
            <v>Past</v>
          </cell>
          <cell r="Z7753">
            <v>5</v>
          </cell>
          <cell r="AA7753" t="str">
            <v>H</v>
          </cell>
          <cell r="AB7753">
            <v>0</v>
          </cell>
        </row>
        <row r="7754">
          <cell r="G7754" t="str">
            <v>X3147_0</v>
          </cell>
          <cell r="H7754" t="str">
            <v>like</v>
          </cell>
          <cell r="I7754" t="str">
            <v>sim</v>
          </cell>
          <cell r="V7754" t="str">
            <v>not</v>
          </cell>
          <cell r="Y7754" t="str">
            <v>Pres</v>
          </cell>
          <cell r="Z7754">
            <v>2.81</v>
          </cell>
          <cell r="AA7754">
            <v>0</v>
          </cell>
          <cell r="AB7754">
            <v>0</v>
          </cell>
        </row>
        <row r="7755">
          <cell r="G7755" t="str">
            <v>X3147_1</v>
          </cell>
          <cell r="H7755" t="str">
            <v>like</v>
          </cell>
          <cell r="I7755" t="str">
            <v>sim</v>
          </cell>
          <cell r="V7755" t="str">
            <v>not</v>
          </cell>
          <cell r="Y7755" t="str">
            <v>Pres</v>
          </cell>
          <cell r="Z7755">
            <v>2.81</v>
          </cell>
          <cell r="AA7755">
            <v>0</v>
          </cell>
          <cell r="AB7755">
            <v>0</v>
          </cell>
        </row>
        <row r="7756">
          <cell r="G7756" t="str">
            <v>X3148_0</v>
          </cell>
          <cell r="H7756" t="str">
            <v/>
          </cell>
          <cell r="I7756" t="str">
            <v>met</v>
          </cell>
          <cell r="V7756" t="str">
            <v>0</v>
          </cell>
          <cell r="Y7756" t="str">
            <v>Past</v>
          </cell>
          <cell r="Z7756">
            <v>3.36</v>
          </cell>
          <cell r="AA7756">
            <v>0</v>
          </cell>
          <cell r="AB7756">
            <v>0</v>
          </cell>
        </row>
        <row r="7757">
          <cell r="G7757" t="str">
            <v>X3148_1</v>
          </cell>
          <cell r="H7757" t="str">
            <v/>
          </cell>
          <cell r="I7757" t="str">
            <v>met</v>
          </cell>
          <cell r="V7757" t="str">
            <v>0</v>
          </cell>
          <cell r="Y7757" t="str">
            <v>Past</v>
          </cell>
          <cell r="Z7757">
            <v>3.36</v>
          </cell>
          <cell r="AA7757">
            <v>0</v>
          </cell>
          <cell r="AB7757">
            <v>0</v>
          </cell>
        </row>
        <row r="7758">
          <cell r="G7758" t="str">
            <v>X3149_0</v>
          </cell>
          <cell r="H7758" t="str">
            <v>the-of</v>
          </cell>
          <cell r="I7758" t="str">
            <v>sim</v>
          </cell>
          <cell r="V7758" t="str">
            <v>not neg pair</v>
          </cell>
          <cell r="Y7758" t="str">
            <v>Past</v>
          </cell>
          <cell r="Z7758">
            <v>1.61</v>
          </cell>
          <cell r="AA7758" t="str">
            <v>L</v>
          </cell>
          <cell r="AB7758">
            <v>0</v>
          </cell>
        </row>
        <row r="7759">
          <cell r="G7759" t="str">
            <v>X3149_1</v>
          </cell>
          <cell r="H7759" t="str">
            <v>the-of</v>
          </cell>
          <cell r="I7759" t="str">
            <v>sim</v>
          </cell>
          <cell r="V7759" t="str">
            <v>not neg pair</v>
          </cell>
          <cell r="Y7759" t="str">
            <v>Past</v>
          </cell>
          <cell r="Z7759">
            <v>1.61</v>
          </cell>
          <cell r="AA7759" t="str">
            <v>L</v>
          </cell>
          <cell r="AB7759">
            <v>0</v>
          </cell>
        </row>
        <row r="7760">
          <cell r="G7760" t="str">
            <v>X3150_0</v>
          </cell>
          <cell r="H7760" t="str">
            <v>as-as</v>
          </cell>
          <cell r="I7760" t="str">
            <v>sim</v>
          </cell>
          <cell r="V7760" t="str">
            <v>not</v>
          </cell>
          <cell r="Y7760" t="str">
            <v>Pres</v>
          </cell>
          <cell r="Z7760">
            <v>4.78</v>
          </cell>
          <cell r="AA7760">
            <v>0</v>
          </cell>
          <cell r="AB7760">
            <v>0</v>
          </cell>
        </row>
        <row r="7761">
          <cell r="G7761" t="str">
            <v>X3150_1</v>
          </cell>
          <cell r="H7761" t="str">
            <v>as-as</v>
          </cell>
          <cell r="I7761" t="str">
            <v>sim</v>
          </cell>
          <cell r="V7761" t="str">
            <v>not</v>
          </cell>
          <cell r="Y7761" t="str">
            <v>Pres</v>
          </cell>
          <cell r="Z7761">
            <v>4.78</v>
          </cell>
          <cell r="AA7761">
            <v>0</v>
          </cell>
          <cell r="AB7761">
            <v>0</v>
          </cell>
        </row>
        <row r="7762">
          <cell r="G7762" t="str">
            <v>X3151_0</v>
          </cell>
          <cell r="H7762" t="str">
            <v/>
          </cell>
          <cell r="I7762" t="str">
            <v>met</v>
          </cell>
          <cell r="V7762" t="str">
            <v>0</v>
          </cell>
          <cell r="Y7762" t="str">
            <v>Past</v>
          </cell>
          <cell r="Z7762">
            <v>4.8499999999999996</v>
          </cell>
          <cell r="AA7762">
            <v>0</v>
          </cell>
          <cell r="AB7762">
            <v>0</v>
          </cell>
        </row>
        <row r="7763">
          <cell r="G7763" t="str">
            <v>X3151_1</v>
          </cell>
          <cell r="H7763" t="str">
            <v/>
          </cell>
          <cell r="I7763" t="str">
            <v>met</v>
          </cell>
          <cell r="V7763" t="str">
            <v>0</v>
          </cell>
          <cell r="Y7763" t="str">
            <v>Past</v>
          </cell>
          <cell r="Z7763">
            <v>4.8499999999999996</v>
          </cell>
          <cell r="AA7763">
            <v>0</v>
          </cell>
          <cell r="AB7763">
            <v>0</v>
          </cell>
        </row>
        <row r="7764">
          <cell r="G7764" t="str">
            <v>X3152_0</v>
          </cell>
          <cell r="H7764" t="str">
            <v>the-of</v>
          </cell>
          <cell r="I7764" t="str">
            <v>sim</v>
          </cell>
          <cell r="V7764" t="str">
            <v>not</v>
          </cell>
          <cell r="Y7764" t="str">
            <v>Past</v>
          </cell>
          <cell r="Z7764">
            <v>2.59</v>
          </cell>
          <cell r="AA7764" t="str">
            <v>L</v>
          </cell>
          <cell r="AB7764">
            <v>0</v>
          </cell>
        </row>
        <row r="7765">
          <cell r="G7765" t="str">
            <v>X3152_1</v>
          </cell>
          <cell r="H7765" t="str">
            <v>the-of</v>
          </cell>
          <cell r="I7765" t="str">
            <v>sim</v>
          </cell>
          <cell r="V7765" t="str">
            <v>not</v>
          </cell>
          <cell r="Y7765" t="str">
            <v>Past</v>
          </cell>
          <cell r="Z7765">
            <v>2.81</v>
          </cell>
          <cell r="AA7765">
            <v>0</v>
          </cell>
          <cell r="AB7765">
            <v>0</v>
          </cell>
        </row>
        <row r="7766">
          <cell r="G7766" t="str">
            <v>X3153_0</v>
          </cell>
          <cell r="H7766" t="str">
            <v/>
          </cell>
          <cell r="I7766" t="str">
            <v>met</v>
          </cell>
          <cell r="V7766" t="str">
            <v>0</v>
          </cell>
          <cell r="Y7766" t="str">
            <v>Past</v>
          </cell>
          <cell r="Z7766">
            <v>3.36</v>
          </cell>
          <cell r="AA7766">
            <v>0</v>
          </cell>
          <cell r="AB7766">
            <v>0</v>
          </cell>
        </row>
        <row r="7767">
          <cell r="G7767" t="str">
            <v>X3153_1</v>
          </cell>
          <cell r="H7767" t="str">
            <v/>
          </cell>
          <cell r="I7767" t="str">
            <v>met</v>
          </cell>
          <cell r="V7767" t="str">
            <v>0</v>
          </cell>
          <cell r="Y7767" t="str">
            <v>Past</v>
          </cell>
          <cell r="Z7767">
            <v>3.36</v>
          </cell>
          <cell r="AA7767">
            <v>0</v>
          </cell>
          <cell r="AB7767">
            <v>0</v>
          </cell>
        </row>
        <row r="7768">
          <cell r="G7768" t="str">
            <v>X3154_0</v>
          </cell>
          <cell r="H7768" t="str">
            <v>the-of</v>
          </cell>
          <cell r="I7768" t="str">
            <v>sim</v>
          </cell>
          <cell r="V7768" t="str">
            <v>not neg pair</v>
          </cell>
          <cell r="Y7768" t="str">
            <v>Pres</v>
          </cell>
          <cell r="Z7768">
            <v>1.81</v>
          </cell>
          <cell r="AA7768" t="str">
            <v>L</v>
          </cell>
          <cell r="AB7768">
            <v>0</v>
          </cell>
        </row>
        <row r="7769">
          <cell r="G7769" t="str">
            <v>X3154_1</v>
          </cell>
          <cell r="H7769" t="str">
            <v>the-of</v>
          </cell>
          <cell r="I7769" t="str">
            <v>sim</v>
          </cell>
          <cell r="V7769" t="str">
            <v>not neg pair</v>
          </cell>
          <cell r="Y7769" t="str">
            <v>Pres</v>
          </cell>
          <cell r="Z7769">
            <v>1.81</v>
          </cell>
          <cell r="AA7769" t="str">
            <v>L</v>
          </cell>
          <cell r="AB7769">
            <v>0</v>
          </cell>
        </row>
        <row r="7770">
          <cell r="G7770" t="str">
            <v>X3155_0</v>
          </cell>
          <cell r="H7770" t="str">
            <v>as-as</v>
          </cell>
          <cell r="I7770" t="str">
            <v>sim</v>
          </cell>
          <cell r="V7770" t="str">
            <v>not neg pair</v>
          </cell>
          <cell r="Y7770" t="str">
            <v>Past</v>
          </cell>
          <cell r="Z7770">
            <v>4.83</v>
          </cell>
          <cell r="AA7770">
            <v>0</v>
          </cell>
          <cell r="AB7770">
            <v>0</v>
          </cell>
        </row>
        <row r="7771">
          <cell r="G7771" t="str">
            <v>X3155_1</v>
          </cell>
          <cell r="H7771" t="str">
            <v>as-as</v>
          </cell>
          <cell r="I7771" t="str">
            <v>sim</v>
          </cell>
          <cell r="V7771" t="str">
            <v>not neg pair</v>
          </cell>
          <cell r="Y7771" t="str">
            <v>Past</v>
          </cell>
          <cell r="Z7771">
            <v>4.83</v>
          </cell>
          <cell r="AA7771">
            <v>0</v>
          </cell>
          <cell r="AB7771">
            <v>0</v>
          </cell>
        </row>
        <row r="7772">
          <cell r="G7772" t="str">
            <v>X3156_0</v>
          </cell>
          <cell r="H7772" t="str">
            <v/>
          </cell>
          <cell r="I7772" t="str">
            <v>met</v>
          </cell>
          <cell r="V7772" t="str">
            <v>0</v>
          </cell>
          <cell r="Y7772" t="str">
            <v>Past</v>
          </cell>
          <cell r="Z7772">
            <v>4.92</v>
          </cell>
          <cell r="AA7772" t="str">
            <v>H</v>
          </cell>
          <cell r="AB7772">
            <v>0</v>
          </cell>
        </row>
        <row r="7773">
          <cell r="G7773" t="str">
            <v>X3156_1</v>
          </cell>
          <cell r="H7773" t="str">
            <v/>
          </cell>
          <cell r="I7773" t="str">
            <v>met</v>
          </cell>
          <cell r="V7773" t="str">
            <v>0</v>
          </cell>
          <cell r="Y7773" t="str">
            <v>Past</v>
          </cell>
          <cell r="Z7773">
            <v>4.92</v>
          </cell>
          <cell r="AA7773" t="str">
            <v>H</v>
          </cell>
          <cell r="AB7773">
            <v>0</v>
          </cell>
        </row>
        <row r="7774">
          <cell r="G7774" t="str">
            <v>X3157_0</v>
          </cell>
          <cell r="H7774" t="str">
            <v>the-of</v>
          </cell>
          <cell r="I7774" t="str">
            <v>sim</v>
          </cell>
          <cell r="V7774" t="str">
            <v>not neg pair</v>
          </cell>
          <cell r="Y7774" t="str">
            <v>Past</v>
          </cell>
          <cell r="Z7774">
            <v>3.36</v>
          </cell>
          <cell r="AA7774">
            <v>0</v>
          </cell>
          <cell r="AB7774">
            <v>0</v>
          </cell>
        </row>
        <row r="7775">
          <cell r="G7775" t="str">
            <v>X3157_1</v>
          </cell>
          <cell r="H7775" t="str">
            <v>the-of</v>
          </cell>
          <cell r="I7775" t="str">
            <v>sim</v>
          </cell>
          <cell r="V7775" t="str">
            <v>not neg pair</v>
          </cell>
          <cell r="Y7775" t="str">
            <v>Past</v>
          </cell>
          <cell r="Z7775">
            <v>3.36</v>
          </cell>
          <cell r="AA7775">
            <v>0</v>
          </cell>
          <cell r="AB7775">
            <v>0</v>
          </cell>
        </row>
        <row r="7776">
          <cell r="G7776" t="str">
            <v>X3158_0</v>
          </cell>
          <cell r="H7776" t="str">
            <v/>
          </cell>
          <cell r="I7776" t="str">
            <v>met</v>
          </cell>
          <cell r="V7776" t="str">
            <v>0</v>
          </cell>
          <cell r="Y7776" t="str">
            <v>Past</v>
          </cell>
          <cell r="Z7776">
            <v>4.59</v>
          </cell>
          <cell r="AA7776">
            <v>0</v>
          </cell>
          <cell r="AB7776">
            <v>0</v>
          </cell>
        </row>
        <row r="7777">
          <cell r="G7777" t="str">
            <v>X3158_1</v>
          </cell>
          <cell r="H7777" t="str">
            <v/>
          </cell>
          <cell r="I7777" t="str">
            <v>met</v>
          </cell>
          <cell r="V7777" t="str">
            <v>0</v>
          </cell>
          <cell r="Y7777" t="str">
            <v>Past</v>
          </cell>
          <cell r="Z7777">
            <v>4.59</v>
          </cell>
          <cell r="AA7777">
            <v>0</v>
          </cell>
          <cell r="AB7777">
            <v>0</v>
          </cell>
        </row>
        <row r="7778">
          <cell r="G7778" t="str">
            <v>X3159_0</v>
          </cell>
          <cell r="H7778" t="str">
            <v>as</v>
          </cell>
          <cell r="I7778" t="str">
            <v>sim</v>
          </cell>
          <cell r="V7778" t="str">
            <v>not</v>
          </cell>
          <cell r="Y7778" t="str">
            <v>Past</v>
          </cell>
          <cell r="Z7778">
            <v>2.81</v>
          </cell>
          <cell r="AA7778">
            <v>0</v>
          </cell>
          <cell r="AB7778">
            <v>0</v>
          </cell>
        </row>
        <row r="7779">
          <cell r="G7779" t="str">
            <v>X3159_1</v>
          </cell>
          <cell r="H7779" t="str">
            <v>as</v>
          </cell>
          <cell r="I7779" t="str">
            <v>sim</v>
          </cell>
          <cell r="V7779" t="str">
            <v>not</v>
          </cell>
          <cell r="Y7779" t="str">
            <v>Past</v>
          </cell>
          <cell r="Z7779">
            <v>2.81</v>
          </cell>
          <cell r="AA7779">
            <v>0</v>
          </cell>
          <cell r="AB7779">
            <v>0</v>
          </cell>
        </row>
        <row r="7780">
          <cell r="G7780" t="str">
            <v>X3160_0</v>
          </cell>
          <cell r="H7780" t="str">
            <v>the-of</v>
          </cell>
          <cell r="I7780" t="str">
            <v>sim</v>
          </cell>
          <cell r="V7780" t="str">
            <v>not neg pair</v>
          </cell>
          <cell r="Y7780" t="str">
            <v>Past</v>
          </cell>
          <cell r="Z7780">
            <v>4.26</v>
          </cell>
          <cell r="AA7780">
            <v>0</v>
          </cell>
          <cell r="AB7780">
            <v>0</v>
          </cell>
        </row>
        <row r="7781">
          <cell r="G7781" t="str">
            <v>X3160_1</v>
          </cell>
          <cell r="H7781" t="str">
            <v>the-of</v>
          </cell>
          <cell r="I7781" t="str">
            <v>sim</v>
          </cell>
          <cell r="V7781" t="str">
            <v>not neg pair</v>
          </cell>
          <cell r="Y7781" t="str">
            <v>Past</v>
          </cell>
          <cell r="Z7781">
            <v>4.26</v>
          </cell>
          <cell r="AA7781">
            <v>0</v>
          </cell>
          <cell r="AB7781">
            <v>0</v>
          </cell>
        </row>
        <row r="7782">
          <cell r="G7782" t="str">
            <v>X3161_0</v>
          </cell>
          <cell r="H7782" t="str">
            <v>like</v>
          </cell>
          <cell r="I7782" t="str">
            <v>sim</v>
          </cell>
          <cell r="V7782" t="str">
            <v>not neg pair</v>
          </cell>
          <cell r="Y7782" t="str">
            <v>Past</v>
          </cell>
          <cell r="Z7782">
            <v>3.93</v>
          </cell>
          <cell r="AA7782">
            <v>0</v>
          </cell>
          <cell r="AB7782">
            <v>0</v>
          </cell>
        </row>
        <row r="7783">
          <cell r="G7783" t="str">
            <v>X3161_1</v>
          </cell>
          <cell r="H7783" t="str">
            <v>like</v>
          </cell>
          <cell r="I7783" t="str">
            <v>sim</v>
          </cell>
          <cell r="V7783" t="str">
            <v>not neg pair</v>
          </cell>
          <cell r="Y7783" t="str">
            <v>Past</v>
          </cell>
          <cell r="Z7783">
            <v>3.93</v>
          </cell>
          <cell r="AA7783">
            <v>0</v>
          </cell>
          <cell r="AB7783">
            <v>0</v>
          </cell>
        </row>
        <row r="7784">
          <cell r="G7784" t="str">
            <v>X3162_0</v>
          </cell>
          <cell r="H7784" t="str">
            <v/>
          </cell>
          <cell r="I7784" t="str">
            <v>met</v>
          </cell>
          <cell r="V7784" t="str">
            <v>0</v>
          </cell>
          <cell r="Y7784" t="str">
            <v>Past</v>
          </cell>
          <cell r="Z7784">
            <v>2.57</v>
          </cell>
          <cell r="AA7784" t="str">
            <v>L</v>
          </cell>
          <cell r="AB7784">
            <v>0</v>
          </cell>
        </row>
        <row r="7785">
          <cell r="G7785" t="str">
            <v>X3162_1</v>
          </cell>
          <cell r="H7785" t="str">
            <v/>
          </cell>
          <cell r="I7785" t="str">
            <v>met</v>
          </cell>
          <cell r="V7785" t="str">
            <v>0</v>
          </cell>
          <cell r="Y7785" t="str">
            <v>Past</v>
          </cell>
          <cell r="Z7785">
            <v>2.57</v>
          </cell>
          <cell r="AA7785" t="str">
            <v>L</v>
          </cell>
          <cell r="AB7785">
            <v>0</v>
          </cell>
        </row>
        <row r="7786">
          <cell r="G7786" t="str">
            <v>X3163_0</v>
          </cell>
          <cell r="H7786" t="str">
            <v>as-as</v>
          </cell>
          <cell r="I7786" t="str">
            <v>sim</v>
          </cell>
          <cell r="V7786" t="str">
            <v>antonym</v>
          </cell>
          <cell r="Y7786" t="str">
            <v>Pres</v>
          </cell>
          <cell r="Z7786">
            <v>5</v>
          </cell>
          <cell r="AA7786" t="str">
            <v>H</v>
          </cell>
          <cell r="AB7786">
            <v>0</v>
          </cell>
        </row>
        <row r="7787">
          <cell r="G7787" t="str">
            <v>X3163_1</v>
          </cell>
          <cell r="H7787" t="str">
            <v>as-as</v>
          </cell>
          <cell r="I7787" t="str">
            <v>sim</v>
          </cell>
          <cell r="V7787" t="str">
            <v>antonym</v>
          </cell>
          <cell r="Y7787" t="str">
            <v>Pres</v>
          </cell>
          <cell r="Z7787">
            <v>5</v>
          </cell>
          <cell r="AA7787" t="str">
            <v>H</v>
          </cell>
          <cell r="AB7787">
            <v>0</v>
          </cell>
        </row>
        <row r="7788">
          <cell r="G7788" t="str">
            <v>X3164_0</v>
          </cell>
          <cell r="H7788" t="str">
            <v>the-of</v>
          </cell>
          <cell r="I7788" t="str">
            <v>sim</v>
          </cell>
          <cell r="V7788" t="str">
            <v>not</v>
          </cell>
          <cell r="Y7788" t="str">
            <v>Past</v>
          </cell>
          <cell r="Z7788">
            <v>4.26</v>
          </cell>
          <cell r="AA7788">
            <v>0</v>
          </cell>
          <cell r="AB7788">
            <v>0</v>
          </cell>
        </row>
        <row r="7789">
          <cell r="G7789" t="str">
            <v>X3164_1</v>
          </cell>
          <cell r="H7789" t="str">
            <v>the-of</v>
          </cell>
          <cell r="I7789" t="str">
            <v>sim</v>
          </cell>
          <cell r="V7789" t="str">
            <v>not</v>
          </cell>
          <cell r="Y7789" t="str">
            <v>Past</v>
          </cell>
          <cell r="Z7789">
            <v>4.26</v>
          </cell>
          <cell r="AA7789">
            <v>0</v>
          </cell>
          <cell r="AB7789">
            <v>0</v>
          </cell>
        </row>
        <row r="7790">
          <cell r="G7790" t="str">
            <v>X3165_0</v>
          </cell>
          <cell r="H7790" t="str">
            <v>the-of</v>
          </cell>
          <cell r="I7790" t="str">
            <v>sim</v>
          </cell>
          <cell r="V7790" t="str">
            <v>not neg pair</v>
          </cell>
          <cell r="Y7790" t="str">
            <v>Past</v>
          </cell>
          <cell r="Z7790">
            <v>4.97</v>
          </cell>
          <cell r="AA7790" t="str">
            <v>H</v>
          </cell>
          <cell r="AB7790">
            <v>0</v>
          </cell>
        </row>
        <row r="7791">
          <cell r="G7791" t="str">
            <v>X3165_1</v>
          </cell>
          <cell r="H7791" t="str">
            <v>the-of</v>
          </cell>
          <cell r="I7791" t="str">
            <v>sim</v>
          </cell>
          <cell r="V7791" t="str">
            <v>not neg pair</v>
          </cell>
          <cell r="Y7791" t="str">
            <v>Past</v>
          </cell>
          <cell r="Z7791">
            <v>4.97</v>
          </cell>
          <cell r="AA7791" t="str">
            <v>H</v>
          </cell>
          <cell r="AB7791">
            <v>0</v>
          </cell>
        </row>
        <row r="7792">
          <cell r="G7792" t="str">
            <v>X3166_0</v>
          </cell>
          <cell r="H7792" t="str">
            <v/>
          </cell>
          <cell r="I7792" t="str">
            <v>met</v>
          </cell>
          <cell r="V7792" t="str">
            <v>0</v>
          </cell>
          <cell r="Y7792" t="str">
            <v>Pres</v>
          </cell>
          <cell r="Z7792">
            <v>4.13</v>
          </cell>
          <cell r="AA7792">
            <v>0</v>
          </cell>
          <cell r="AB7792">
            <v>0</v>
          </cell>
        </row>
        <row r="7793">
          <cell r="G7793" t="str">
            <v>X3166_1</v>
          </cell>
          <cell r="H7793" t="str">
            <v/>
          </cell>
          <cell r="I7793" t="str">
            <v>met</v>
          </cell>
          <cell r="V7793" t="str">
            <v>0</v>
          </cell>
          <cell r="Y7793" t="str">
            <v>Pres</v>
          </cell>
          <cell r="Z7793">
            <v>4.13</v>
          </cell>
          <cell r="AA7793">
            <v>0</v>
          </cell>
          <cell r="AB7793">
            <v>0</v>
          </cell>
        </row>
        <row r="7794">
          <cell r="G7794" t="str">
            <v>X3167_0</v>
          </cell>
          <cell r="H7794" t="str">
            <v/>
          </cell>
          <cell r="I7794" t="str">
            <v>met</v>
          </cell>
          <cell r="V7794" t="str">
            <v>0</v>
          </cell>
          <cell r="Y7794" t="str">
            <v>Past</v>
          </cell>
          <cell r="Z7794">
            <v>4.8899999999999997</v>
          </cell>
          <cell r="AA7794">
            <v>0</v>
          </cell>
          <cell r="AB7794">
            <v>0</v>
          </cell>
        </row>
        <row r="7795">
          <cell r="G7795" t="str">
            <v>X3167_1</v>
          </cell>
          <cell r="H7795" t="str">
            <v/>
          </cell>
          <cell r="I7795" t="str">
            <v>met</v>
          </cell>
          <cell r="V7795" t="str">
            <v>0</v>
          </cell>
          <cell r="Y7795" t="str">
            <v>Past</v>
          </cell>
          <cell r="Z7795">
            <v>4.8899999999999997</v>
          </cell>
          <cell r="AA7795">
            <v>0</v>
          </cell>
          <cell r="AB7795">
            <v>0</v>
          </cell>
        </row>
        <row r="7796">
          <cell r="G7796" t="str">
            <v>X3168_0</v>
          </cell>
          <cell r="H7796" t="str">
            <v>like</v>
          </cell>
          <cell r="I7796" t="str">
            <v>sim</v>
          </cell>
          <cell r="V7796" t="str">
            <v>not</v>
          </cell>
          <cell r="Y7796" t="str">
            <v>Past</v>
          </cell>
          <cell r="Z7796">
            <v>3.93</v>
          </cell>
          <cell r="AA7796">
            <v>0</v>
          </cell>
          <cell r="AB7796">
            <v>0</v>
          </cell>
        </row>
        <row r="7797">
          <cell r="G7797" t="str">
            <v>X3168_1</v>
          </cell>
          <cell r="H7797" t="str">
            <v>like</v>
          </cell>
          <cell r="I7797" t="str">
            <v>sim</v>
          </cell>
          <cell r="V7797" t="str">
            <v>not</v>
          </cell>
          <cell r="Y7797" t="str">
            <v>Past</v>
          </cell>
          <cell r="Z7797">
            <v>3.93</v>
          </cell>
          <cell r="AA7797">
            <v>0</v>
          </cell>
          <cell r="AB7797">
            <v>0</v>
          </cell>
        </row>
        <row r="7798">
          <cell r="G7798" t="str">
            <v>X3169_0</v>
          </cell>
          <cell r="H7798" t="str">
            <v>as-as</v>
          </cell>
          <cell r="I7798" t="str">
            <v>sim</v>
          </cell>
          <cell r="V7798" t="str">
            <v>not neg pair</v>
          </cell>
          <cell r="Y7798" t="str">
            <v>Past</v>
          </cell>
          <cell r="Z7798">
            <v>0</v>
          </cell>
          <cell r="AA7798">
            <v>0</v>
          </cell>
          <cell r="AB7798">
            <v>0</v>
          </cell>
        </row>
        <row r="7799">
          <cell r="G7799" t="str">
            <v>X3169_1</v>
          </cell>
          <cell r="H7799" t="str">
            <v>as-as</v>
          </cell>
          <cell r="I7799" t="str">
            <v>sim</v>
          </cell>
          <cell r="V7799" t="str">
            <v>not neg pair</v>
          </cell>
          <cell r="Y7799" t="str">
            <v>Past</v>
          </cell>
          <cell r="Z7799">
            <v>0</v>
          </cell>
          <cell r="AA7799">
            <v>0</v>
          </cell>
          <cell r="AB7799">
            <v>0</v>
          </cell>
        </row>
        <row r="7800">
          <cell r="G7800" t="str">
            <v>X3170_0</v>
          </cell>
          <cell r="H7800" t="str">
            <v/>
          </cell>
          <cell r="I7800" t="str">
            <v>met</v>
          </cell>
          <cell r="V7800" t="str">
            <v>0</v>
          </cell>
          <cell r="Y7800">
            <v>0</v>
          </cell>
          <cell r="Z7800">
            <v>1.93</v>
          </cell>
          <cell r="AA7800" t="str">
            <v>L</v>
          </cell>
          <cell r="AB7800">
            <v>0</v>
          </cell>
        </row>
        <row r="7801">
          <cell r="G7801" t="str">
            <v>X3170_1</v>
          </cell>
          <cell r="H7801" t="str">
            <v/>
          </cell>
          <cell r="I7801" t="str">
            <v>met</v>
          </cell>
          <cell r="V7801" t="str">
            <v>0</v>
          </cell>
          <cell r="Y7801" t="str">
            <v>Pres</v>
          </cell>
          <cell r="Z7801">
            <v>1.93</v>
          </cell>
          <cell r="AA7801" t="str">
            <v>L</v>
          </cell>
          <cell r="AB7801">
            <v>0</v>
          </cell>
        </row>
        <row r="7802">
          <cell r="G7802" t="str">
            <v>X3171_0</v>
          </cell>
          <cell r="H7802" t="str">
            <v>the-of</v>
          </cell>
          <cell r="I7802" t="str">
            <v>sim</v>
          </cell>
          <cell r="V7802" t="str">
            <v>not neg pair</v>
          </cell>
          <cell r="Y7802" t="str">
            <v>Pres</v>
          </cell>
          <cell r="Z7802">
            <v>4.78</v>
          </cell>
          <cell r="AA7802">
            <v>0</v>
          </cell>
          <cell r="AB7802">
            <v>0</v>
          </cell>
        </row>
        <row r="7803">
          <cell r="G7803" t="str">
            <v>X3171_1</v>
          </cell>
          <cell r="H7803" t="str">
            <v>the-of</v>
          </cell>
          <cell r="I7803" t="str">
            <v>sim</v>
          </cell>
          <cell r="V7803" t="str">
            <v>not neg pair</v>
          </cell>
          <cell r="Y7803" t="str">
            <v>Pres</v>
          </cell>
          <cell r="Z7803">
            <v>4.78</v>
          </cell>
          <cell r="AA7803">
            <v>0</v>
          </cell>
          <cell r="AB7803">
            <v>0</v>
          </cell>
        </row>
        <row r="7804">
          <cell r="G7804" t="str">
            <v>X3172_0</v>
          </cell>
          <cell r="H7804" t="str">
            <v>as-as</v>
          </cell>
          <cell r="I7804" t="str">
            <v>sim</v>
          </cell>
          <cell r="V7804" t="str">
            <v>antonym</v>
          </cell>
          <cell r="Y7804" t="str">
            <v>Past</v>
          </cell>
          <cell r="Z7804">
            <v>4.76</v>
          </cell>
          <cell r="AA7804">
            <v>0</v>
          </cell>
          <cell r="AB7804">
            <v>0</v>
          </cell>
        </row>
        <row r="7805">
          <cell r="G7805" t="str">
            <v>X3172_1</v>
          </cell>
          <cell r="H7805" t="str">
            <v>as-as</v>
          </cell>
          <cell r="I7805" t="str">
            <v>sim</v>
          </cell>
          <cell r="V7805" t="str">
            <v>antonym</v>
          </cell>
          <cell r="Y7805" t="str">
            <v>Past</v>
          </cell>
          <cell r="Z7805">
            <v>4.76</v>
          </cell>
          <cell r="AA7805">
            <v>0</v>
          </cell>
          <cell r="AB7805">
            <v>0</v>
          </cell>
        </row>
        <row r="7806">
          <cell r="G7806" t="str">
            <v>X3173_0</v>
          </cell>
          <cell r="H7806" t="str">
            <v>the-of</v>
          </cell>
          <cell r="I7806" t="str">
            <v>sim</v>
          </cell>
          <cell r="V7806" t="str">
            <v>not</v>
          </cell>
          <cell r="Y7806" t="str">
            <v>Past</v>
          </cell>
          <cell r="Z7806">
            <v>0</v>
          </cell>
          <cell r="AA7806">
            <v>0</v>
          </cell>
          <cell r="AB7806">
            <v>0</v>
          </cell>
        </row>
        <row r="7807">
          <cell r="G7807" t="str">
            <v>X3173_1</v>
          </cell>
          <cell r="H7807" t="str">
            <v>the-of</v>
          </cell>
          <cell r="I7807" t="str">
            <v>sim</v>
          </cell>
          <cell r="V7807" t="str">
            <v>not</v>
          </cell>
          <cell r="Y7807" t="str">
            <v>Pres</v>
          </cell>
          <cell r="Z7807">
            <v>0</v>
          </cell>
          <cell r="AA7807">
            <v>0</v>
          </cell>
          <cell r="AB7807">
            <v>0</v>
          </cell>
        </row>
        <row r="7808">
          <cell r="G7808" t="str">
            <v>X3174_0</v>
          </cell>
          <cell r="H7808" t="str">
            <v/>
          </cell>
          <cell r="I7808" t="str">
            <v>met</v>
          </cell>
          <cell r="V7808" t="str">
            <v>0</v>
          </cell>
          <cell r="Y7808" t="str">
            <v>Pres</v>
          </cell>
          <cell r="Z7808">
            <v>4.76</v>
          </cell>
          <cell r="AA7808">
            <v>0</v>
          </cell>
          <cell r="AB7808">
            <v>0</v>
          </cell>
        </row>
        <row r="7809">
          <cell r="G7809" t="str">
            <v>X3174_1</v>
          </cell>
          <cell r="H7809" t="str">
            <v/>
          </cell>
          <cell r="I7809" t="str">
            <v>met</v>
          </cell>
          <cell r="V7809" t="str">
            <v>0</v>
          </cell>
          <cell r="Y7809" t="str">
            <v>Pres</v>
          </cell>
          <cell r="Z7809">
            <v>4.76</v>
          </cell>
          <cell r="AA7809">
            <v>0</v>
          </cell>
          <cell r="AB7809">
            <v>0</v>
          </cell>
        </row>
        <row r="7810">
          <cell r="G7810" t="str">
            <v>X3175_0</v>
          </cell>
          <cell r="H7810" t="str">
            <v/>
          </cell>
          <cell r="I7810" t="str">
            <v>met</v>
          </cell>
          <cell r="V7810" t="str">
            <v>0</v>
          </cell>
          <cell r="Y7810" t="str">
            <v>Past</v>
          </cell>
          <cell r="Z7810">
            <v>4.62</v>
          </cell>
          <cell r="AA7810">
            <v>0</v>
          </cell>
          <cell r="AB7810">
            <v>0</v>
          </cell>
        </row>
        <row r="7811">
          <cell r="G7811" t="str">
            <v>X3175_1</v>
          </cell>
          <cell r="H7811" t="str">
            <v/>
          </cell>
          <cell r="I7811" t="str">
            <v>met</v>
          </cell>
          <cell r="V7811" t="str">
            <v>0</v>
          </cell>
          <cell r="Y7811" t="str">
            <v>Past</v>
          </cell>
          <cell r="Z7811">
            <v>4.62</v>
          </cell>
          <cell r="AA7811">
            <v>0</v>
          </cell>
          <cell r="AB7811">
            <v>0</v>
          </cell>
        </row>
        <row r="7812">
          <cell r="G7812" t="str">
            <v>X3176_0</v>
          </cell>
          <cell r="H7812" t="str">
            <v>as-as</v>
          </cell>
          <cell r="I7812" t="str">
            <v>sim</v>
          </cell>
          <cell r="V7812" t="str">
            <v>antonym</v>
          </cell>
          <cell r="Y7812" t="str">
            <v>Pres</v>
          </cell>
          <cell r="Z7812">
            <v>3.13</v>
          </cell>
          <cell r="AA7812">
            <v>0</v>
          </cell>
          <cell r="AB7812">
            <v>0</v>
          </cell>
        </row>
        <row r="7813">
          <cell r="G7813" t="str">
            <v>X3176_1</v>
          </cell>
          <cell r="H7813" t="str">
            <v>as-as</v>
          </cell>
          <cell r="I7813" t="str">
            <v>sim</v>
          </cell>
          <cell r="V7813" t="str">
            <v>antonym</v>
          </cell>
          <cell r="Y7813" t="str">
            <v>Pres</v>
          </cell>
          <cell r="Z7813">
            <v>3.13</v>
          </cell>
          <cell r="AA7813">
            <v>0</v>
          </cell>
          <cell r="AB7813">
            <v>0</v>
          </cell>
        </row>
        <row r="7814">
          <cell r="G7814" t="str">
            <v>X3177_0</v>
          </cell>
          <cell r="H7814" t="str">
            <v>as-as</v>
          </cell>
          <cell r="I7814" t="str">
            <v>sim</v>
          </cell>
          <cell r="V7814" t="str">
            <v>not neg pair</v>
          </cell>
          <cell r="Y7814" t="str">
            <v>Past</v>
          </cell>
          <cell r="Z7814">
            <v>4.1100000000000003</v>
          </cell>
          <cell r="AA7814">
            <v>0</v>
          </cell>
          <cell r="AB7814">
            <v>0</v>
          </cell>
        </row>
        <row r="7815">
          <cell r="G7815" t="str">
            <v>X3177_1</v>
          </cell>
          <cell r="H7815" t="str">
            <v>as-as</v>
          </cell>
          <cell r="I7815" t="str">
            <v>sim</v>
          </cell>
          <cell r="V7815" t="str">
            <v>not neg pair</v>
          </cell>
          <cell r="Y7815" t="str">
            <v>Past</v>
          </cell>
          <cell r="Z7815">
            <v>4.1100000000000003</v>
          </cell>
          <cell r="AA7815">
            <v>0</v>
          </cell>
          <cell r="AB7815">
            <v>0</v>
          </cell>
        </row>
        <row r="7816">
          <cell r="G7816" t="str">
            <v>X3178_0</v>
          </cell>
          <cell r="H7816" t="str">
            <v/>
          </cell>
          <cell r="I7816" t="str">
            <v>met</v>
          </cell>
          <cell r="V7816" t="str">
            <v>0</v>
          </cell>
          <cell r="Y7816" t="str">
            <v>Pres</v>
          </cell>
          <cell r="Z7816">
            <v>2.59</v>
          </cell>
          <cell r="AA7816" t="str">
            <v>L</v>
          </cell>
          <cell r="AB7816">
            <v>0</v>
          </cell>
        </row>
        <row r="7817">
          <cell r="G7817" t="str">
            <v>X3178_1</v>
          </cell>
          <cell r="H7817" t="str">
            <v/>
          </cell>
          <cell r="I7817" t="str">
            <v>met</v>
          </cell>
          <cell r="V7817" t="str">
            <v>0</v>
          </cell>
          <cell r="Y7817" t="str">
            <v>Past</v>
          </cell>
          <cell r="Z7817">
            <v>2.59</v>
          </cell>
          <cell r="AA7817" t="str">
            <v>L</v>
          </cell>
          <cell r="AB7817">
            <v>0</v>
          </cell>
        </row>
        <row r="7818">
          <cell r="G7818" t="str">
            <v>X3179_0</v>
          </cell>
          <cell r="H7818" t="str">
            <v>as-as</v>
          </cell>
          <cell r="I7818" t="str">
            <v>sim</v>
          </cell>
          <cell r="V7818" t="str">
            <v>not neg pair</v>
          </cell>
          <cell r="Y7818" t="str">
            <v>Pres</v>
          </cell>
          <cell r="Z7818">
            <v>4.78</v>
          </cell>
          <cell r="AA7818">
            <v>0</v>
          </cell>
          <cell r="AB7818">
            <v>0</v>
          </cell>
        </row>
        <row r="7819">
          <cell r="G7819" t="str">
            <v>X3179_1</v>
          </cell>
          <cell r="H7819" t="str">
            <v>as-as</v>
          </cell>
          <cell r="I7819" t="str">
            <v>sim</v>
          </cell>
          <cell r="V7819" t="str">
            <v>not neg pair</v>
          </cell>
          <cell r="Y7819" t="str">
            <v>Pres</v>
          </cell>
          <cell r="Z7819">
            <v>4.78</v>
          </cell>
          <cell r="AA7819">
            <v>0</v>
          </cell>
          <cell r="AB7819">
            <v>0</v>
          </cell>
        </row>
        <row r="7820">
          <cell r="G7820" t="str">
            <v>X3180_0</v>
          </cell>
          <cell r="H7820" t="str">
            <v>the-of</v>
          </cell>
          <cell r="I7820" t="str">
            <v>sim</v>
          </cell>
          <cell r="V7820" t="str">
            <v>not neg pair</v>
          </cell>
          <cell r="Y7820" t="str">
            <v>Past</v>
          </cell>
          <cell r="Z7820">
            <v>4.88</v>
          </cell>
          <cell r="AA7820">
            <v>0</v>
          </cell>
          <cell r="AB7820">
            <v>0</v>
          </cell>
        </row>
        <row r="7821">
          <cell r="G7821" t="str">
            <v>X3180_1</v>
          </cell>
          <cell r="H7821" t="str">
            <v>the-of</v>
          </cell>
          <cell r="I7821" t="str">
            <v>sim</v>
          </cell>
          <cell r="V7821" t="str">
            <v>not neg pair</v>
          </cell>
          <cell r="Y7821" t="str">
            <v>Past</v>
          </cell>
          <cell r="Z7821">
            <v>4.88</v>
          </cell>
          <cell r="AA7821">
            <v>0</v>
          </cell>
          <cell r="AB7821">
            <v>0</v>
          </cell>
        </row>
        <row r="7822">
          <cell r="G7822" t="str">
            <v>X3181_0</v>
          </cell>
          <cell r="H7822" t="str">
            <v/>
          </cell>
          <cell r="I7822" t="str">
            <v>met</v>
          </cell>
          <cell r="V7822" t="str">
            <v>0</v>
          </cell>
          <cell r="Y7822" t="str">
            <v>Pres</v>
          </cell>
          <cell r="Z7822">
            <v>3.36</v>
          </cell>
          <cell r="AA7822">
            <v>0</v>
          </cell>
          <cell r="AB7822">
            <v>0</v>
          </cell>
        </row>
        <row r="7823">
          <cell r="G7823" t="str">
            <v>X3181_1</v>
          </cell>
          <cell r="H7823" t="str">
            <v/>
          </cell>
          <cell r="I7823" t="str">
            <v>met</v>
          </cell>
          <cell r="V7823" t="str">
            <v>0</v>
          </cell>
          <cell r="Y7823" t="str">
            <v>Pres</v>
          </cell>
          <cell r="Z7823">
            <v>3.36</v>
          </cell>
          <cell r="AA7823">
            <v>0</v>
          </cell>
          <cell r="AB7823">
            <v>0</v>
          </cell>
        </row>
        <row r="7824">
          <cell r="G7824" t="str">
            <v>X3182_0</v>
          </cell>
          <cell r="H7824" t="str">
            <v/>
          </cell>
          <cell r="I7824" t="str">
            <v>met</v>
          </cell>
          <cell r="V7824" t="str">
            <v>0</v>
          </cell>
          <cell r="Y7824" t="str">
            <v>Pres</v>
          </cell>
          <cell r="Z7824">
            <v>4.6399999999999997</v>
          </cell>
          <cell r="AA7824">
            <v>0</v>
          </cell>
          <cell r="AB7824">
            <v>0</v>
          </cell>
        </row>
        <row r="7825">
          <cell r="G7825" t="str">
            <v>X3182_1</v>
          </cell>
          <cell r="H7825" t="str">
            <v/>
          </cell>
          <cell r="I7825" t="str">
            <v>met</v>
          </cell>
          <cell r="V7825" t="str">
            <v>0</v>
          </cell>
          <cell r="Y7825" t="str">
            <v>Pres</v>
          </cell>
          <cell r="Z7825">
            <v>4.6399999999999997</v>
          </cell>
          <cell r="AA7825">
            <v>0</v>
          </cell>
          <cell r="AB7825">
            <v>0</v>
          </cell>
        </row>
        <row r="7826">
          <cell r="G7826" t="str">
            <v>X3183_0</v>
          </cell>
          <cell r="H7826" t="str">
            <v>like</v>
          </cell>
          <cell r="I7826" t="str">
            <v>sim</v>
          </cell>
          <cell r="V7826" t="str">
            <v>not</v>
          </cell>
          <cell r="Y7826" t="str">
            <v>Past</v>
          </cell>
          <cell r="Z7826">
            <v>2.96</v>
          </cell>
          <cell r="AA7826">
            <v>0</v>
          </cell>
          <cell r="AB7826">
            <v>0</v>
          </cell>
        </row>
        <row r="7827">
          <cell r="G7827" t="str">
            <v>X3183_1</v>
          </cell>
          <cell r="H7827" t="str">
            <v>like</v>
          </cell>
          <cell r="I7827" t="str">
            <v>sim</v>
          </cell>
          <cell r="V7827" t="str">
            <v>not</v>
          </cell>
          <cell r="Y7827" t="str">
            <v>Past</v>
          </cell>
          <cell r="Z7827">
            <v>2.96</v>
          </cell>
          <cell r="AA7827">
            <v>0</v>
          </cell>
          <cell r="AB7827">
            <v>0</v>
          </cell>
        </row>
        <row r="7828">
          <cell r="G7828" t="str">
            <v>X3184_0</v>
          </cell>
          <cell r="H7828" t="str">
            <v>the-of</v>
          </cell>
          <cell r="I7828" t="str">
            <v>sim</v>
          </cell>
          <cell r="V7828" t="str">
            <v>not neg pair</v>
          </cell>
          <cell r="Y7828" t="str">
            <v>Pres</v>
          </cell>
          <cell r="Z7828">
            <v>4.79</v>
          </cell>
          <cell r="AA7828">
            <v>0</v>
          </cell>
          <cell r="AB7828">
            <v>0</v>
          </cell>
        </row>
        <row r="7829">
          <cell r="G7829" t="str">
            <v>X3184_1</v>
          </cell>
          <cell r="H7829" t="str">
            <v>the-of</v>
          </cell>
          <cell r="I7829" t="str">
            <v>sim</v>
          </cell>
          <cell r="V7829" t="str">
            <v>not neg pair</v>
          </cell>
          <cell r="Y7829" t="str">
            <v>Pres</v>
          </cell>
          <cell r="Z7829">
            <v>4.79</v>
          </cell>
          <cell r="AA7829">
            <v>0</v>
          </cell>
          <cell r="AB7829">
            <v>0</v>
          </cell>
        </row>
        <row r="7830">
          <cell r="G7830" t="str">
            <v>X3185_0</v>
          </cell>
          <cell r="H7830" t="str">
            <v>the-of</v>
          </cell>
          <cell r="I7830" t="str">
            <v>sim</v>
          </cell>
          <cell r="V7830" t="str">
            <v>not neg pair</v>
          </cell>
          <cell r="Y7830" t="str">
            <v>Pres</v>
          </cell>
          <cell r="Z7830">
            <v>4.6399999999999997</v>
          </cell>
          <cell r="AA7830">
            <v>0</v>
          </cell>
          <cell r="AB7830">
            <v>0</v>
          </cell>
        </row>
        <row r="7831">
          <cell r="G7831" t="str">
            <v>X3185_1</v>
          </cell>
          <cell r="H7831" t="str">
            <v>the-of</v>
          </cell>
          <cell r="I7831" t="str">
            <v>sim</v>
          </cell>
          <cell r="V7831" t="str">
            <v>not neg pair</v>
          </cell>
          <cell r="Y7831" t="str">
            <v>Pres</v>
          </cell>
          <cell r="Z7831">
            <v>4.6399999999999997</v>
          </cell>
          <cell r="AA7831">
            <v>0</v>
          </cell>
          <cell r="AB7831">
            <v>0</v>
          </cell>
        </row>
        <row r="7832">
          <cell r="G7832" t="str">
            <v>X3186_0</v>
          </cell>
          <cell r="H7832" t="str">
            <v/>
          </cell>
          <cell r="I7832" t="str">
            <v>met</v>
          </cell>
          <cell r="V7832" t="str">
            <v>0</v>
          </cell>
          <cell r="Y7832" t="str">
            <v>Pres</v>
          </cell>
          <cell r="Z7832">
            <v>4.34</v>
          </cell>
          <cell r="AA7832">
            <v>0</v>
          </cell>
          <cell r="AB7832">
            <v>0</v>
          </cell>
        </row>
        <row r="7833">
          <cell r="G7833" t="str">
            <v>X3186_1</v>
          </cell>
          <cell r="H7833" t="str">
            <v/>
          </cell>
          <cell r="I7833" t="str">
            <v>met</v>
          </cell>
          <cell r="V7833" t="str">
            <v>0</v>
          </cell>
          <cell r="Y7833" t="str">
            <v>Pres</v>
          </cell>
          <cell r="Z7833">
            <v>4.34</v>
          </cell>
          <cell r="AA7833">
            <v>0</v>
          </cell>
          <cell r="AB7833">
            <v>0</v>
          </cell>
        </row>
        <row r="7834">
          <cell r="G7834" t="str">
            <v>X3187_0</v>
          </cell>
          <cell r="H7834" t="str">
            <v>like</v>
          </cell>
          <cell r="I7834" t="str">
            <v>sim</v>
          </cell>
          <cell r="V7834" t="str">
            <v>not</v>
          </cell>
          <cell r="Y7834" t="str">
            <v>Past</v>
          </cell>
          <cell r="Z7834">
            <v>4.8600000000000003</v>
          </cell>
          <cell r="AA7834">
            <v>0</v>
          </cell>
          <cell r="AB7834">
            <v>0</v>
          </cell>
        </row>
        <row r="7835">
          <cell r="G7835" t="str">
            <v>X3187_1</v>
          </cell>
          <cell r="H7835" t="str">
            <v>like</v>
          </cell>
          <cell r="I7835" t="str">
            <v>sim</v>
          </cell>
          <cell r="V7835" t="str">
            <v>not</v>
          </cell>
          <cell r="Y7835" t="str">
            <v>Pres</v>
          </cell>
          <cell r="Z7835">
            <v>4.8600000000000003</v>
          </cell>
          <cell r="AA7835">
            <v>0</v>
          </cell>
          <cell r="AB7835">
            <v>0</v>
          </cell>
        </row>
        <row r="7836">
          <cell r="G7836" t="str">
            <v>X3188_0</v>
          </cell>
          <cell r="H7836" t="str">
            <v>the-of</v>
          </cell>
          <cell r="I7836" t="str">
            <v>sim</v>
          </cell>
          <cell r="V7836" t="str">
            <v>not</v>
          </cell>
          <cell r="Y7836" t="str">
            <v>Past</v>
          </cell>
          <cell r="Z7836">
            <v>4.59</v>
          </cell>
          <cell r="AA7836">
            <v>0</v>
          </cell>
          <cell r="AB7836">
            <v>0</v>
          </cell>
        </row>
        <row r="7837">
          <cell r="G7837" t="str">
            <v>X3188_1</v>
          </cell>
          <cell r="H7837" t="str">
            <v>the-of</v>
          </cell>
          <cell r="I7837" t="str">
            <v>sim</v>
          </cell>
          <cell r="V7837" t="str">
            <v>not</v>
          </cell>
          <cell r="Y7837" t="str">
            <v>Past</v>
          </cell>
          <cell r="Z7837">
            <v>4.59</v>
          </cell>
          <cell r="AA7837">
            <v>0</v>
          </cell>
          <cell r="AB7837">
            <v>0</v>
          </cell>
        </row>
        <row r="7838">
          <cell r="G7838" t="str">
            <v>X3189_0</v>
          </cell>
          <cell r="H7838" t="str">
            <v>the-of</v>
          </cell>
          <cell r="I7838" t="str">
            <v>sim</v>
          </cell>
          <cell r="V7838" t="str">
            <v>not neg pair</v>
          </cell>
          <cell r="Y7838" t="str">
            <v>Pres</v>
          </cell>
          <cell r="Z7838">
            <v>3.64</v>
          </cell>
          <cell r="AA7838">
            <v>0</v>
          </cell>
          <cell r="AB7838">
            <v>0</v>
          </cell>
        </row>
        <row r="7839">
          <cell r="G7839" t="str">
            <v>X3189_1</v>
          </cell>
          <cell r="H7839" t="str">
            <v>the-of</v>
          </cell>
          <cell r="I7839" t="str">
            <v>sim</v>
          </cell>
          <cell r="V7839" t="str">
            <v>not neg pair</v>
          </cell>
          <cell r="Y7839" t="str">
            <v>Pres</v>
          </cell>
          <cell r="Z7839">
            <v>3.64</v>
          </cell>
          <cell r="AA7839">
            <v>0</v>
          </cell>
          <cell r="AB7839">
            <v>0</v>
          </cell>
        </row>
        <row r="7840">
          <cell r="G7840" t="str">
            <v>X3190_0</v>
          </cell>
          <cell r="H7840" t="str">
            <v>like</v>
          </cell>
          <cell r="I7840" t="str">
            <v>sim</v>
          </cell>
          <cell r="V7840" t="str">
            <v>not</v>
          </cell>
          <cell r="Y7840" t="str">
            <v>Pres</v>
          </cell>
          <cell r="Z7840">
            <v>0</v>
          </cell>
          <cell r="AA7840">
            <v>0</v>
          </cell>
          <cell r="AB7840">
            <v>0</v>
          </cell>
        </row>
        <row r="7841">
          <cell r="G7841" t="str">
            <v>X3190_1</v>
          </cell>
          <cell r="H7841" t="str">
            <v>like</v>
          </cell>
          <cell r="I7841" t="str">
            <v>sim</v>
          </cell>
          <cell r="V7841" t="str">
            <v>not</v>
          </cell>
          <cell r="Y7841" t="str">
            <v>Pres</v>
          </cell>
          <cell r="Z7841">
            <v>0</v>
          </cell>
          <cell r="AA7841">
            <v>0</v>
          </cell>
          <cell r="AB7841">
            <v>0</v>
          </cell>
        </row>
        <row r="7842">
          <cell r="G7842" t="str">
            <v>X3191_0</v>
          </cell>
          <cell r="H7842" t="str">
            <v/>
          </cell>
          <cell r="I7842" t="str">
            <v>met</v>
          </cell>
          <cell r="V7842" t="str">
            <v>0</v>
          </cell>
          <cell r="Y7842" t="str">
            <v>Pres</v>
          </cell>
          <cell r="Z7842">
            <v>5</v>
          </cell>
          <cell r="AA7842" t="str">
            <v>H</v>
          </cell>
          <cell r="AB7842">
            <v>0</v>
          </cell>
        </row>
        <row r="7843">
          <cell r="G7843" t="str">
            <v>X3191_1</v>
          </cell>
          <cell r="H7843" t="str">
            <v/>
          </cell>
          <cell r="I7843" t="str">
            <v>met</v>
          </cell>
          <cell r="V7843" t="str">
            <v>0</v>
          </cell>
          <cell r="Y7843" t="str">
            <v>Pres</v>
          </cell>
          <cell r="Z7843">
            <v>5</v>
          </cell>
          <cell r="AA7843" t="str">
            <v>H</v>
          </cell>
          <cell r="AB7843">
            <v>0</v>
          </cell>
        </row>
        <row r="7844">
          <cell r="G7844" t="str">
            <v>X3192_0</v>
          </cell>
          <cell r="H7844" t="str">
            <v>like</v>
          </cell>
          <cell r="I7844" t="str">
            <v>sim</v>
          </cell>
          <cell r="V7844" t="str">
            <v>not</v>
          </cell>
          <cell r="Y7844">
            <v>0</v>
          </cell>
          <cell r="Z7844">
            <v>4.3</v>
          </cell>
          <cell r="AA7844">
            <v>0</v>
          </cell>
          <cell r="AB7844">
            <v>0</v>
          </cell>
        </row>
        <row r="7845">
          <cell r="G7845" t="str">
            <v>X3192_1</v>
          </cell>
          <cell r="H7845" t="str">
            <v>like</v>
          </cell>
          <cell r="I7845" t="str">
            <v>sim</v>
          </cell>
          <cell r="V7845" t="str">
            <v>not</v>
          </cell>
          <cell r="Y7845">
            <v>0</v>
          </cell>
          <cell r="Z7845">
            <v>4.3</v>
          </cell>
          <cell r="AA7845">
            <v>0</v>
          </cell>
          <cell r="AB7845">
            <v>0</v>
          </cell>
        </row>
        <row r="7846">
          <cell r="G7846" t="str">
            <v>X3193_0</v>
          </cell>
          <cell r="H7846" t="str">
            <v>the-of</v>
          </cell>
          <cell r="I7846" t="str">
            <v>sim</v>
          </cell>
          <cell r="V7846" t="str">
            <v>not neg pair</v>
          </cell>
          <cell r="Y7846" t="str">
            <v>Pres</v>
          </cell>
          <cell r="Z7846">
            <v>4.3</v>
          </cell>
          <cell r="AA7846">
            <v>0</v>
          </cell>
          <cell r="AB7846">
            <v>0</v>
          </cell>
        </row>
        <row r="7847">
          <cell r="G7847" t="str">
            <v>X3193_1</v>
          </cell>
          <cell r="H7847" t="str">
            <v>the-of</v>
          </cell>
          <cell r="I7847" t="str">
            <v>sim</v>
          </cell>
          <cell r="V7847" t="str">
            <v>not neg pair</v>
          </cell>
          <cell r="Y7847" t="str">
            <v>Pres</v>
          </cell>
          <cell r="Z7847">
            <v>4.3</v>
          </cell>
          <cell r="AA7847">
            <v>0</v>
          </cell>
          <cell r="AB7847">
            <v>0</v>
          </cell>
        </row>
        <row r="7848">
          <cell r="G7848" t="str">
            <v>X3194_0</v>
          </cell>
          <cell r="H7848" t="str">
            <v>as-as</v>
          </cell>
          <cell r="I7848" t="str">
            <v>sim</v>
          </cell>
          <cell r="V7848" t="str">
            <v>antonym</v>
          </cell>
          <cell r="Y7848" t="str">
            <v>Past</v>
          </cell>
          <cell r="Z7848">
            <v>4.8099999999999996</v>
          </cell>
          <cell r="AA7848">
            <v>0</v>
          </cell>
          <cell r="AB7848">
            <v>0</v>
          </cell>
        </row>
        <row r="7849">
          <cell r="G7849" t="str">
            <v>X3194_1</v>
          </cell>
          <cell r="H7849" t="str">
            <v>as-as</v>
          </cell>
          <cell r="I7849" t="str">
            <v>sim</v>
          </cell>
          <cell r="V7849" t="str">
            <v>antonym</v>
          </cell>
          <cell r="Y7849" t="str">
            <v>Past</v>
          </cell>
          <cell r="Z7849">
            <v>4.8099999999999996</v>
          </cell>
          <cell r="AA7849">
            <v>0</v>
          </cell>
          <cell r="AB7849">
            <v>0</v>
          </cell>
        </row>
        <row r="7850">
          <cell r="G7850" t="str">
            <v>X3195_0</v>
          </cell>
          <cell r="H7850" t="str">
            <v>the-of</v>
          </cell>
          <cell r="I7850" t="str">
            <v>sim</v>
          </cell>
          <cell r="V7850" t="str">
            <v>not neg pair</v>
          </cell>
          <cell r="Y7850" t="str">
            <v>Pres</v>
          </cell>
          <cell r="Z7850">
            <v>4.93</v>
          </cell>
          <cell r="AA7850" t="str">
            <v>H</v>
          </cell>
          <cell r="AB7850">
            <v>0</v>
          </cell>
        </row>
        <row r="7851">
          <cell r="G7851" t="str">
            <v>X3195_1</v>
          </cell>
          <cell r="H7851" t="str">
            <v>the-of</v>
          </cell>
          <cell r="I7851" t="str">
            <v>sim</v>
          </cell>
          <cell r="V7851" t="str">
            <v>not neg pair</v>
          </cell>
          <cell r="Y7851" t="str">
            <v>Pres</v>
          </cell>
          <cell r="Z7851">
            <v>4.93</v>
          </cell>
          <cell r="AA7851" t="str">
            <v>H</v>
          </cell>
          <cell r="AB7851">
            <v>0</v>
          </cell>
        </row>
        <row r="7852">
          <cell r="G7852" t="str">
            <v>X3196_0</v>
          </cell>
          <cell r="H7852" t="str">
            <v>as-as</v>
          </cell>
          <cell r="I7852" t="str">
            <v>sim</v>
          </cell>
          <cell r="V7852" t="str">
            <v>not neg pair</v>
          </cell>
          <cell r="Y7852" t="str">
            <v>Past</v>
          </cell>
          <cell r="Z7852">
            <v>4.72</v>
          </cell>
          <cell r="AA7852">
            <v>0</v>
          </cell>
          <cell r="AB7852">
            <v>0</v>
          </cell>
        </row>
        <row r="7853">
          <cell r="G7853" t="str">
            <v>X3196_1</v>
          </cell>
          <cell r="H7853" t="str">
            <v>as-as</v>
          </cell>
          <cell r="I7853" t="str">
            <v>sim</v>
          </cell>
          <cell r="V7853" t="str">
            <v>not neg pair</v>
          </cell>
          <cell r="Y7853" t="str">
            <v>Past</v>
          </cell>
          <cell r="Z7853">
            <v>4.72</v>
          </cell>
          <cell r="AA7853">
            <v>0</v>
          </cell>
          <cell r="AB7853">
            <v>0</v>
          </cell>
        </row>
        <row r="7854">
          <cell r="G7854" t="str">
            <v>X3197_0</v>
          </cell>
          <cell r="H7854" t="str">
            <v>as-as</v>
          </cell>
          <cell r="I7854" t="str">
            <v>sim</v>
          </cell>
          <cell r="V7854" t="str">
            <v>not neg pair</v>
          </cell>
          <cell r="Y7854" t="str">
            <v>Pres</v>
          </cell>
          <cell r="Z7854">
            <v>3.74</v>
          </cell>
          <cell r="AA7854">
            <v>0</v>
          </cell>
          <cell r="AB7854">
            <v>0</v>
          </cell>
        </row>
        <row r="7855">
          <cell r="G7855" t="str">
            <v>X3197_1</v>
          </cell>
          <cell r="H7855" t="str">
            <v>as-as</v>
          </cell>
          <cell r="I7855" t="str">
            <v>sim</v>
          </cell>
          <cell r="V7855" t="str">
            <v>not neg pair</v>
          </cell>
          <cell r="Y7855" t="str">
            <v>Pres</v>
          </cell>
          <cell r="Z7855">
            <v>3.74</v>
          </cell>
          <cell r="AA7855">
            <v>0</v>
          </cell>
          <cell r="AB7855">
            <v>0</v>
          </cell>
        </row>
        <row r="7856">
          <cell r="G7856" t="str">
            <v>X3198_0</v>
          </cell>
          <cell r="H7856" t="str">
            <v>the-of</v>
          </cell>
          <cell r="I7856" t="str">
            <v>sim</v>
          </cell>
          <cell r="V7856" t="str">
            <v>not</v>
          </cell>
          <cell r="Y7856" t="str">
            <v>Past</v>
          </cell>
          <cell r="Z7856">
            <v>4.5999999999999996</v>
          </cell>
          <cell r="AA7856">
            <v>0</v>
          </cell>
          <cell r="AB7856">
            <v>0</v>
          </cell>
        </row>
        <row r="7857">
          <cell r="G7857" t="str">
            <v>X3198_1</v>
          </cell>
          <cell r="H7857" t="str">
            <v>the-of</v>
          </cell>
          <cell r="I7857" t="str">
            <v>sim</v>
          </cell>
          <cell r="V7857" t="str">
            <v>not</v>
          </cell>
          <cell r="Y7857" t="str">
            <v>Past</v>
          </cell>
          <cell r="Z7857">
            <v>4.5999999999999996</v>
          </cell>
          <cell r="AA7857">
            <v>0</v>
          </cell>
          <cell r="AB7857">
            <v>0</v>
          </cell>
        </row>
        <row r="7858">
          <cell r="G7858" t="str">
            <v>X3199_0</v>
          </cell>
          <cell r="H7858" t="str">
            <v>as-as</v>
          </cell>
          <cell r="I7858" t="str">
            <v>sim</v>
          </cell>
          <cell r="V7858" t="str">
            <v>not</v>
          </cell>
          <cell r="Y7858" t="str">
            <v>Pres</v>
          </cell>
          <cell r="Z7858">
            <v>5</v>
          </cell>
          <cell r="AA7858" t="str">
            <v>H</v>
          </cell>
          <cell r="AB7858">
            <v>0</v>
          </cell>
        </row>
        <row r="7859">
          <cell r="G7859" t="str">
            <v>X3199_1</v>
          </cell>
          <cell r="H7859" t="str">
            <v>as-as</v>
          </cell>
          <cell r="I7859" t="str">
            <v>sim</v>
          </cell>
          <cell r="V7859" t="str">
            <v>not</v>
          </cell>
          <cell r="Y7859" t="str">
            <v>Pres</v>
          </cell>
          <cell r="Z7859">
            <v>5</v>
          </cell>
          <cell r="AA7859" t="str">
            <v>H</v>
          </cell>
          <cell r="AB7859">
            <v>0</v>
          </cell>
        </row>
        <row r="7860">
          <cell r="G7860" t="str">
            <v>X3200_0</v>
          </cell>
          <cell r="H7860" t="str">
            <v>as-as</v>
          </cell>
          <cell r="I7860" t="str">
            <v>sim</v>
          </cell>
          <cell r="V7860" t="str">
            <v>antonym</v>
          </cell>
          <cell r="Y7860" t="str">
            <v>Past</v>
          </cell>
          <cell r="Z7860">
            <v>4.8499999999999996</v>
          </cell>
          <cell r="AA7860">
            <v>0</v>
          </cell>
          <cell r="AB7860">
            <v>0</v>
          </cell>
        </row>
        <row r="7861">
          <cell r="G7861" t="str">
            <v>X3200_1</v>
          </cell>
          <cell r="H7861" t="str">
            <v>as-as</v>
          </cell>
          <cell r="I7861" t="str">
            <v>sim</v>
          </cell>
          <cell r="V7861" t="str">
            <v>antonym</v>
          </cell>
          <cell r="Y7861" t="str">
            <v>Past</v>
          </cell>
          <cell r="Z7861">
            <v>4.8499999999999996</v>
          </cell>
          <cell r="AA7861">
            <v>0</v>
          </cell>
          <cell r="AB7861">
            <v>0</v>
          </cell>
        </row>
        <row r="7862">
          <cell r="G7862" t="str">
            <v>X3201_0</v>
          </cell>
          <cell r="H7862" t="str">
            <v>the-of</v>
          </cell>
          <cell r="I7862" t="str">
            <v>sim</v>
          </cell>
          <cell r="V7862" t="str">
            <v>not neg pair</v>
          </cell>
          <cell r="Y7862" t="str">
            <v>Past</v>
          </cell>
          <cell r="Z7862">
            <v>2.85</v>
          </cell>
          <cell r="AA7862">
            <v>0</v>
          </cell>
          <cell r="AB7862">
            <v>0</v>
          </cell>
        </row>
        <row r="7863">
          <cell r="G7863" t="str">
            <v>X3201_1</v>
          </cell>
          <cell r="H7863" t="str">
            <v>the-of</v>
          </cell>
          <cell r="I7863" t="str">
            <v>sim</v>
          </cell>
          <cell r="V7863" t="str">
            <v>not neg pair</v>
          </cell>
          <cell r="Y7863" t="str">
            <v>Past</v>
          </cell>
          <cell r="Z7863">
            <v>2.85</v>
          </cell>
          <cell r="AA7863">
            <v>0</v>
          </cell>
          <cell r="AB7863">
            <v>0</v>
          </cell>
        </row>
        <row r="7864">
          <cell r="G7864" t="str">
            <v>X3202_0</v>
          </cell>
          <cell r="H7864" t="str">
            <v>as</v>
          </cell>
          <cell r="I7864" t="str">
            <v>sim</v>
          </cell>
          <cell r="V7864" t="str">
            <v>not</v>
          </cell>
          <cell r="Y7864" t="str">
            <v>Past</v>
          </cell>
          <cell r="Z7864">
            <v>4.8600000000000003</v>
          </cell>
          <cell r="AA7864">
            <v>0</v>
          </cell>
          <cell r="AB7864">
            <v>0</v>
          </cell>
        </row>
        <row r="7865">
          <cell r="G7865" t="str">
            <v>X3202_1</v>
          </cell>
          <cell r="H7865" t="str">
            <v>as</v>
          </cell>
          <cell r="I7865" t="str">
            <v>sim</v>
          </cell>
          <cell r="V7865" t="str">
            <v>not</v>
          </cell>
          <cell r="Y7865" t="str">
            <v>Past</v>
          </cell>
          <cell r="Z7865">
            <v>4.8899999999999997</v>
          </cell>
          <cell r="AA7865">
            <v>0</v>
          </cell>
          <cell r="AB7865">
            <v>0</v>
          </cell>
        </row>
        <row r="7866">
          <cell r="G7866" t="str">
            <v>X3203_0</v>
          </cell>
          <cell r="H7866" t="str">
            <v>as</v>
          </cell>
          <cell r="I7866" t="str">
            <v>sim</v>
          </cell>
          <cell r="V7866" t="str">
            <v>not</v>
          </cell>
          <cell r="Y7866" t="str">
            <v>Pres</v>
          </cell>
          <cell r="Z7866">
            <v>3.82</v>
          </cell>
          <cell r="AA7866">
            <v>0</v>
          </cell>
          <cell r="AB7866">
            <v>0</v>
          </cell>
        </row>
        <row r="7867">
          <cell r="G7867" t="str">
            <v>X3203_1</v>
          </cell>
          <cell r="H7867" t="str">
            <v>as</v>
          </cell>
          <cell r="I7867" t="str">
            <v>sim</v>
          </cell>
          <cell r="V7867" t="str">
            <v>not</v>
          </cell>
          <cell r="Y7867" t="str">
            <v>Pres</v>
          </cell>
          <cell r="Z7867">
            <v>3.82</v>
          </cell>
          <cell r="AA7867">
            <v>0</v>
          </cell>
          <cell r="AB7867">
            <v>0</v>
          </cell>
        </row>
        <row r="7868">
          <cell r="G7868" t="str">
            <v>X3204_0</v>
          </cell>
          <cell r="H7868" t="str">
            <v>as-as</v>
          </cell>
          <cell r="I7868" t="str">
            <v>sim</v>
          </cell>
          <cell r="V7868" t="str">
            <v>not</v>
          </cell>
          <cell r="Y7868" t="str">
            <v>Past</v>
          </cell>
          <cell r="Z7868">
            <v>2.85</v>
          </cell>
          <cell r="AA7868">
            <v>0</v>
          </cell>
          <cell r="AB7868">
            <v>0</v>
          </cell>
        </row>
        <row r="7869">
          <cell r="G7869" t="str">
            <v>X3204_1</v>
          </cell>
          <cell r="H7869" t="str">
            <v>as-as</v>
          </cell>
          <cell r="I7869" t="str">
            <v>sim</v>
          </cell>
          <cell r="V7869" t="str">
            <v>not</v>
          </cell>
          <cell r="Y7869" t="str">
            <v>Past</v>
          </cell>
          <cell r="Z7869">
            <v>2.85</v>
          </cell>
          <cell r="AA7869">
            <v>0</v>
          </cell>
          <cell r="AB7869">
            <v>0</v>
          </cell>
        </row>
        <row r="7870">
          <cell r="G7870" t="str">
            <v>X3205_0</v>
          </cell>
          <cell r="H7870" t="str">
            <v>the-of</v>
          </cell>
          <cell r="I7870" t="str">
            <v>sim</v>
          </cell>
          <cell r="V7870" t="str">
            <v>not neg pair</v>
          </cell>
          <cell r="Y7870" t="str">
            <v>Pres</v>
          </cell>
          <cell r="Z7870">
            <v>4.6399999999999997</v>
          </cell>
          <cell r="AA7870">
            <v>0</v>
          </cell>
          <cell r="AB7870">
            <v>0</v>
          </cell>
        </row>
        <row r="7871">
          <cell r="G7871" t="str">
            <v>X3205_1</v>
          </cell>
          <cell r="H7871" t="str">
            <v>the-of</v>
          </cell>
          <cell r="I7871" t="str">
            <v>sim</v>
          </cell>
          <cell r="V7871" t="str">
            <v>not neg pair</v>
          </cell>
          <cell r="Y7871" t="str">
            <v>Pres</v>
          </cell>
          <cell r="Z7871">
            <v>4.6399999999999997</v>
          </cell>
          <cell r="AA7871">
            <v>0</v>
          </cell>
          <cell r="AB7871">
            <v>0</v>
          </cell>
        </row>
        <row r="7872">
          <cell r="G7872" t="str">
            <v>X3206_0</v>
          </cell>
          <cell r="H7872" t="str">
            <v>the-of</v>
          </cell>
          <cell r="I7872" t="str">
            <v>sim</v>
          </cell>
          <cell r="V7872" t="str">
            <v>not</v>
          </cell>
          <cell r="Y7872" t="str">
            <v>Past</v>
          </cell>
          <cell r="Z7872">
            <v>4.16</v>
          </cell>
          <cell r="AA7872">
            <v>0</v>
          </cell>
          <cell r="AB7872">
            <v>0</v>
          </cell>
        </row>
        <row r="7873">
          <cell r="G7873" t="str">
            <v>X3206_1</v>
          </cell>
          <cell r="H7873" t="str">
            <v>the-of</v>
          </cell>
          <cell r="I7873" t="str">
            <v>sim</v>
          </cell>
          <cell r="V7873" t="str">
            <v>not</v>
          </cell>
          <cell r="Y7873" t="str">
            <v>Past</v>
          </cell>
          <cell r="Z7873">
            <v>4.16</v>
          </cell>
          <cell r="AA7873">
            <v>0</v>
          </cell>
          <cell r="AB7873">
            <v>0</v>
          </cell>
        </row>
        <row r="7874">
          <cell r="G7874" t="str">
            <v>X3207_0</v>
          </cell>
          <cell r="H7874" t="str">
            <v>as-as</v>
          </cell>
          <cell r="I7874" t="str">
            <v>sim</v>
          </cell>
          <cell r="V7874" t="str">
            <v>not neg pair</v>
          </cell>
          <cell r="Y7874" t="str">
            <v>Past</v>
          </cell>
          <cell r="Z7874">
            <v>3.59</v>
          </cell>
          <cell r="AA7874">
            <v>0</v>
          </cell>
          <cell r="AB7874">
            <v>0</v>
          </cell>
        </row>
        <row r="7875">
          <cell r="G7875" t="str">
            <v>X3207_1</v>
          </cell>
          <cell r="H7875" t="str">
            <v>as-as</v>
          </cell>
          <cell r="I7875" t="str">
            <v>sim</v>
          </cell>
          <cell r="V7875" t="str">
            <v>not neg pair</v>
          </cell>
          <cell r="Y7875" t="str">
            <v>Past</v>
          </cell>
          <cell r="Z7875">
            <v>3.59</v>
          </cell>
          <cell r="AA7875">
            <v>0</v>
          </cell>
          <cell r="AB7875">
            <v>0</v>
          </cell>
        </row>
        <row r="7876">
          <cell r="G7876" t="str">
            <v>X3208_0</v>
          </cell>
          <cell r="H7876" t="str">
            <v>the-of</v>
          </cell>
          <cell r="I7876" t="str">
            <v>sim</v>
          </cell>
          <cell r="V7876" t="str">
            <v>not neg pair</v>
          </cell>
          <cell r="Y7876" t="str">
            <v>Past</v>
          </cell>
          <cell r="Z7876">
            <v>2.57</v>
          </cell>
          <cell r="AA7876" t="str">
            <v>L</v>
          </cell>
          <cell r="AB7876">
            <v>0</v>
          </cell>
        </row>
        <row r="7877">
          <cell r="G7877" t="str">
            <v>X3208_1</v>
          </cell>
          <cell r="H7877" t="str">
            <v>the-of</v>
          </cell>
          <cell r="I7877" t="str">
            <v>sim</v>
          </cell>
          <cell r="V7877" t="str">
            <v>not neg pair</v>
          </cell>
          <cell r="Y7877" t="str">
            <v>Past</v>
          </cell>
          <cell r="Z7877">
            <v>2.57</v>
          </cell>
          <cell r="AA7877" t="str">
            <v>L</v>
          </cell>
          <cell r="AB7877">
            <v>0</v>
          </cell>
        </row>
        <row r="7878">
          <cell r="G7878" t="str">
            <v>X3209_0</v>
          </cell>
          <cell r="H7878" t="str">
            <v>as-as</v>
          </cell>
          <cell r="I7878" t="str">
            <v>sim</v>
          </cell>
          <cell r="V7878" t="str">
            <v>not</v>
          </cell>
          <cell r="Y7878" t="str">
            <v>Past</v>
          </cell>
          <cell r="Z7878">
            <v>4.13</v>
          </cell>
          <cell r="AA7878">
            <v>0</v>
          </cell>
          <cell r="AB7878">
            <v>0</v>
          </cell>
        </row>
        <row r="7879">
          <cell r="G7879" t="str">
            <v>X3209_1</v>
          </cell>
          <cell r="H7879" t="str">
            <v>as-as</v>
          </cell>
          <cell r="I7879" t="str">
            <v>sim</v>
          </cell>
          <cell r="V7879" t="str">
            <v>not</v>
          </cell>
          <cell r="Y7879" t="str">
            <v>Past</v>
          </cell>
          <cell r="Z7879">
            <v>4.9000000000000004</v>
          </cell>
          <cell r="AA7879">
            <v>0</v>
          </cell>
          <cell r="AB7879">
            <v>0</v>
          </cell>
        </row>
        <row r="7880">
          <cell r="G7880" t="str">
            <v>X3210_0</v>
          </cell>
          <cell r="H7880" t="str">
            <v>as-as</v>
          </cell>
          <cell r="I7880" t="str">
            <v>sim</v>
          </cell>
          <cell r="V7880" t="str">
            <v>not neg pair</v>
          </cell>
          <cell r="Y7880" t="str">
            <v>Pres</v>
          </cell>
          <cell r="Z7880">
            <v>2.0699999999999998</v>
          </cell>
          <cell r="AA7880" t="str">
            <v>L</v>
          </cell>
          <cell r="AB7880">
            <v>0</v>
          </cell>
        </row>
        <row r="7881">
          <cell r="G7881" t="str">
            <v>X3210_1</v>
          </cell>
          <cell r="H7881" t="str">
            <v>as-as</v>
          </cell>
          <cell r="I7881" t="str">
            <v>sim</v>
          </cell>
          <cell r="V7881" t="str">
            <v>not neg pair</v>
          </cell>
          <cell r="Y7881" t="str">
            <v>Pres</v>
          </cell>
          <cell r="Z7881">
            <v>2.0699999999999998</v>
          </cell>
          <cell r="AA7881" t="str">
            <v>L</v>
          </cell>
          <cell r="AB7881">
            <v>0</v>
          </cell>
        </row>
        <row r="7882">
          <cell r="G7882" t="str">
            <v>X3211_0</v>
          </cell>
          <cell r="H7882" t="str">
            <v>like</v>
          </cell>
          <cell r="I7882" t="str">
            <v>sim</v>
          </cell>
          <cell r="V7882" t="str">
            <v>not neg pair</v>
          </cell>
          <cell r="Y7882" t="str">
            <v>Past</v>
          </cell>
          <cell r="Z7882">
            <v>3.93</v>
          </cell>
          <cell r="AA7882">
            <v>0</v>
          </cell>
          <cell r="AB7882">
            <v>0</v>
          </cell>
        </row>
        <row r="7883">
          <cell r="G7883" t="str">
            <v>X3211_1</v>
          </cell>
          <cell r="H7883" t="str">
            <v>like</v>
          </cell>
          <cell r="I7883" t="str">
            <v>sim</v>
          </cell>
          <cell r="V7883" t="str">
            <v>not neg pair</v>
          </cell>
          <cell r="Y7883" t="str">
            <v>Past</v>
          </cell>
          <cell r="Z7883">
            <v>3.93</v>
          </cell>
          <cell r="AA7883">
            <v>0</v>
          </cell>
          <cell r="AB7883">
            <v>0</v>
          </cell>
        </row>
        <row r="7884">
          <cell r="G7884" t="str">
            <v>X3212_0</v>
          </cell>
          <cell r="H7884" t="str">
            <v>as-as</v>
          </cell>
          <cell r="I7884" t="str">
            <v>sim</v>
          </cell>
          <cell r="V7884" t="str">
            <v>antonym</v>
          </cell>
          <cell r="Y7884" t="str">
            <v>Past</v>
          </cell>
          <cell r="Z7884">
            <v>4.93</v>
          </cell>
          <cell r="AA7884" t="str">
            <v>H</v>
          </cell>
          <cell r="AB7884">
            <v>0</v>
          </cell>
        </row>
        <row r="7885">
          <cell r="G7885" t="str">
            <v>X3212_1</v>
          </cell>
          <cell r="H7885" t="str">
            <v>as-as</v>
          </cell>
          <cell r="I7885" t="str">
            <v>sim</v>
          </cell>
          <cell r="V7885" t="str">
            <v>antonym</v>
          </cell>
          <cell r="Y7885" t="str">
            <v>Past</v>
          </cell>
          <cell r="Z7885">
            <v>4.93</v>
          </cell>
          <cell r="AA7885" t="str">
            <v>H</v>
          </cell>
          <cell r="AB7885">
            <v>0</v>
          </cell>
        </row>
        <row r="7886">
          <cell r="G7886" t="str">
            <v>X3213_0</v>
          </cell>
          <cell r="H7886" t="str">
            <v>the-of</v>
          </cell>
          <cell r="I7886" t="str">
            <v>sim</v>
          </cell>
          <cell r="V7886" t="str">
            <v>not neg pair</v>
          </cell>
          <cell r="Y7886" t="str">
            <v>Past</v>
          </cell>
          <cell r="Z7886">
            <v>4</v>
          </cell>
          <cell r="AA7886">
            <v>0</v>
          </cell>
          <cell r="AB7886">
            <v>0</v>
          </cell>
        </row>
        <row r="7887">
          <cell r="G7887" t="str">
            <v>X3213_1</v>
          </cell>
          <cell r="H7887" t="str">
            <v>the-of</v>
          </cell>
          <cell r="I7887" t="str">
            <v>sim</v>
          </cell>
          <cell r="V7887" t="str">
            <v>not neg pair</v>
          </cell>
          <cell r="Y7887" t="str">
            <v>Past</v>
          </cell>
          <cell r="Z7887">
            <v>5</v>
          </cell>
          <cell r="AA7887" t="str">
            <v>H</v>
          </cell>
          <cell r="AB7887">
            <v>0</v>
          </cell>
        </row>
        <row r="7888">
          <cell r="G7888" t="str">
            <v>X3214_0</v>
          </cell>
          <cell r="H7888" t="str">
            <v/>
          </cell>
          <cell r="I7888" t="str">
            <v>met</v>
          </cell>
          <cell r="V7888" t="str">
            <v>0</v>
          </cell>
          <cell r="Y7888" t="str">
            <v>Pres</v>
          </cell>
          <cell r="Z7888">
            <v>2.57</v>
          </cell>
          <cell r="AA7888" t="str">
            <v>L</v>
          </cell>
          <cell r="AB7888">
            <v>0</v>
          </cell>
        </row>
        <row r="7889">
          <cell r="G7889" t="str">
            <v>X3214_1</v>
          </cell>
          <cell r="H7889" t="str">
            <v/>
          </cell>
          <cell r="I7889" t="str">
            <v>met</v>
          </cell>
          <cell r="V7889" t="str">
            <v>0</v>
          </cell>
          <cell r="Y7889" t="str">
            <v>Pres</v>
          </cell>
          <cell r="Z7889">
            <v>2.57</v>
          </cell>
          <cell r="AA7889" t="str">
            <v>L</v>
          </cell>
          <cell r="AB7889">
            <v>0</v>
          </cell>
        </row>
        <row r="7890">
          <cell r="G7890" t="str">
            <v>X3215_0</v>
          </cell>
          <cell r="H7890" t="str">
            <v>like</v>
          </cell>
          <cell r="I7890" t="str">
            <v>sim</v>
          </cell>
          <cell r="V7890" t="str">
            <v>not neg pair</v>
          </cell>
          <cell r="Y7890" t="str">
            <v>Pres</v>
          </cell>
          <cell r="Z7890">
            <v>2.57</v>
          </cell>
          <cell r="AA7890" t="str">
            <v>L</v>
          </cell>
          <cell r="AB7890">
            <v>0</v>
          </cell>
        </row>
        <row r="7891">
          <cell r="G7891" t="str">
            <v>X3215_1</v>
          </cell>
          <cell r="H7891" t="str">
            <v>like</v>
          </cell>
          <cell r="I7891" t="str">
            <v>sim</v>
          </cell>
          <cell r="V7891" t="str">
            <v>not neg pair</v>
          </cell>
          <cell r="Y7891" t="str">
            <v>Pres</v>
          </cell>
          <cell r="Z7891">
            <v>2.57</v>
          </cell>
          <cell r="AA7891" t="str">
            <v>L</v>
          </cell>
          <cell r="AB7891">
            <v>0</v>
          </cell>
        </row>
        <row r="7892">
          <cell r="G7892" t="str">
            <v>X3216_0</v>
          </cell>
          <cell r="H7892" t="str">
            <v>like</v>
          </cell>
          <cell r="I7892" t="str">
            <v>sim</v>
          </cell>
          <cell r="V7892" t="str">
            <v>not neg pair</v>
          </cell>
          <cell r="Y7892" t="str">
            <v>Past</v>
          </cell>
          <cell r="Z7892">
            <v>2.81</v>
          </cell>
          <cell r="AA7892">
            <v>0</v>
          </cell>
          <cell r="AB7892">
            <v>0</v>
          </cell>
        </row>
        <row r="7893">
          <cell r="G7893" t="str">
            <v>X3216_1</v>
          </cell>
          <cell r="H7893" t="str">
            <v>like</v>
          </cell>
          <cell r="I7893" t="str">
            <v>sim</v>
          </cell>
          <cell r="V7893" t="str">
            <v>not neg pair</v>
          </cell>
          <cell r="Y7893" t="str">
            <v>Past</v>
          </cell>
          <cell r="Z7893">
            <v>2.81</v>
          </cell>
          <cell r="AA7893">
            <v>0</v>
          </cell>
          <cell r="AB7893">
            <v>0</v>
          </cell>
        </row>
        <row r="7894">
          <cell r="G7894" t="str">
            <v>X3217_0</v>
          </cell>
          <cell r="H7894" t="str">
            <v>like</v>
          </cell>
          <cell r="I7894" t="str">
            <v>sim</v>
          </cell>
          <cell r="V7894" t="str">
            <v>not neg pair</v>
          </cell>
          <cell r="Y7894" t="str">
            <v>Past</v>
          </cell>
          <cell r="Z7894">
            <v>4.79</v>
          </cell>
          <cell r="AA7894">
            <v>0</v>
          </cell>
          <cell r="AB7894">
            <v>0</v>
          </cell>
        </row>
        <row r="7895">
          <cell r="G7895" t="str">
            <v>X3217_1</v>
          </cell>
          <cell r="H7895" t="str">
            <v>like</v>
          </cell>
          <cell r="I7895" t="str">
            <v>sim</v>
          </cell>
          <cell r="V7895" t="str">
            <v>not neg pair</v>
          </cell>
          <cell r="Y7895" t="str">
            <v>Past</v>
          </cell>
          <cell r="Z7895">
            <v>4.79</v>
          </cell>
          <cell r="AA7895">
            <v>0</v>
          </cell>
          <cell r="AB7895">
            <v>0</v>
          </cell>
        </row>
        <row r="7896">
          <cell r="G7896" t="str">
            <v>X3218_0</v>
          </cell>
          <cell r="H7896" t="str">
            <v>the-of</v>
          </cell>
          <cell r="I7896" t="str">
            <v>sim</v>
          </cell>
          <cell r="V7896" t="str">
            <v>not neg pair</v>
          </cell>
          <cell r="Y7896" t="str">
            <v>Pres</v>
          </cell>
          <cell r="Z7896">
            <v>4.1900000000000004</v>
          </cell>
          <cell r="AA7896">
            <v>0</v>
          </cell>
          <cell r="AB7896">
            <v>0</v>
          </cell>
        </row>
        <row r="7897">
          <cell r="G7897" t="str">
            <v>X3218_1</v>
          </cell>
          <cell r="H7897" t="str">
            <v>the-of</v>
          </cell>
          <cell r="I7897" t="str">
            <v>sim</v>
          </cell>
          <cell r="V7897" t="str">
            <v>not neg pair</v>
          </cell>
          <cell r="Y7897" t="str">
            <v>Pres</v>
          </cell>
          <cell r="Z7897">
            <v>4.1900000000000004</v>
          </cell>
          <cell r="AA7897">
            <v>0</v>
          </cell>
          <cell r="AB7897">
            <v>0</v>
          </cell>
        </row>
        <row r="7898">
          <cell r="G7898" t="str">
            <v>X3219_0</v>
          </cell>
          <cell r="H7898" t="str">
            <v/>
          </cell>
          <cell r="I7898" t="str">
            <v>met</v>
          </cell>
          <cell r="V7898" t="str">
            <v>0</v>
          </cell>
          <cell r="Y7898" t="str">
            <v>Pres</v>
          </cell>
          <cell r="Z7898">
            <v>3.67</v>
          </cell>
          <cell r="AA7898">
            <v>0</v>
          </cell>
          <cell r="AB7898">
            <v>0</v>
          </cell>
        </row>
        <row r="7899">
          <cell r="G7899" t="str">
            <v>X3219_1</v>
          </cell>
          <cell r="H7899" t="str">
            <v/>
          </cell>
          <cell r="I7899" t="str">
            <v>met</v>
          </cell>
          <cell r="V7899" t="str">
            <v>0</v>
          </cell>
          <cell r="Y7899" t="str">
            <v>Pres</v>
          </cell>
          <cell r="Z7899">
            <v>3.67</v>
          </cell>
          <cell r="AA7899">
            <v>0</v>
          </cell>
          <cell r="AB7899">
            <v>0</v>
          </cell>
        </row>
        <row r="7900">
          <cell r="G7900" t="str">
            <v>X3220_0</v>
          </cell>
          <cell r="H7900" t="str">
            <v>the-of</v>
          </cell>
          <cell r="I7900" t="str">
            <v>sim</v>
          </cell>
          <cell r="V7900" t="str">
            <v>not neg pair</v>
          </cell>
          <cell r="Y7900" t="str">
            <v>Pres</v>
          </cell>
          <cell r="Z7900">
            <v>4.57</v>
          </cell>
          <cell r="AA7900">
            <v>0</v>
          </cell>
          <cell r="AB7900">
            <v>0</v>
          </cell>
        </row>
        <row r="7901">
          <cell r="G7901" t="str">
            <v>X3220_1</v>
          </cell>
          <cell r="H7901" t="str">
            <v>the-of</v>
          </cell>
          <cell r="I7901" t="str">
            <v>sim</v>
          </cell>
          <cell r="V7901" t="str">
            <v>not neg pair</v>
          </cell>
          <cell r="Y7901" t="str">
            <v>Pres</v>
          </cell>
          <cell r="Z7901">
            <v>4.57</v>
          </cell>
          <cell r="AA7901">
            <v>0</v>
          </cell>
          <cell r="AB7901">
            <v>0</v>
          </cell>
        </row>
        <row r="7902">
          <cell r="G7902" t="str">
            <v>X3221_0</v>
          </cell>
          <cell r="H7902" t="str">
            <v>as-as</v>
          </cell>
          <cell r="I7902" t="str">
            <v>sim</v>
          </cell>
          <cell r="V7902" t="str">
            <v>not</v>
          </cell>
          <cell r="Y7902" t="str">
            <v>Past</v>
          </cell>
          <cell r="Z7902">
            <v>2.81</v>
          </cell>
          <cell r="AA7902">
            <v>0</v>
          </cell>
          <cell r="AB7902">
            <v>0</v>
          </cell>
        </row>
        <row r="7903">
          <cell r="G7903" t="str">
            <v>X3221_1</v>
          </cell>
          <cell r="H7903" t="str">
            <v>as-as</v>
          </cell>
          <cell r="I7903" t="str">
            <v>sim</v>
          </cell>
          <cell r="V7903" t="str">
            <v>not</v>
          </cell>
          <cell r="Y7903" t="str">
            <v>Past</v>
          </cell>
          <cell r="Z7903">
            <v>2.81</v>
          </cell>
          <cell r="AA7903">
            <v>0</v>
          </cell>
          <cell r="AB7903">
            <v>0</v>
          </cell>
        </row>
        <row r="7904">
          <cell r="G7904" t="str">
            <v>X3222_0</v>
          </cell>
          <cell r="H7904" t="str">
            <v>like</v>
          </cell>
          <cell r="I7904" t="str">
            <v>sim</v>
          </cell>
          <cell r="V7904" t="str">
            <v>not</v>
          </cell>
          <cell r="Y7904" t="str">
            <v>Past</v>
          </cell>
          <cell r="Z7904">
            <v>4.5599999999999996</v>
          </cell>
          <cell r="AA7904">
            <v>0</v>
          </cell>
          <cell r="AB7904">
            <v>0</v>
          </cell>
        </row>
        <row r="7905">
          <cell r="G7905" t="str">
            <v>X3222_1</v>
          </cell>
          <cell r="H7905" t="str">
            <v>like</v>
          </cell>
          <cell r="I7905" t="str">
            <v>sim</v>
          </cell>
          <cell r="V7905" t="str">
            <v>not</v>
          </cell>
          <cell r="Y7905" t="str">
            <v>Past</v>
          </cell>
          <cell r="Z7905">
            <v>4.5599999999999996</v>
          </cell>
          <cell r="AA7905">
            <v>0</v>
          </cell>
          <cell r="AB7905">
            <v>0</v>
          </cell>
        </row>
        <row r="7906">
          <cell r="G7906" t="str">
            <v>X3223_0</v>
          </cell>
          <cell r="H7906" t="str">
            <v>as-as</v>
          </cell>
          <cell r="I7906" t="str">
            <v>sim</v>
          </cell>
          <cell r="V7906" t="str">
            <v>antonym</v>
          </cell>
          <cell r="Y7906" t="str">
            <v>Past</v>
          </cell>
          <cell r="Z7906">
            <v>4.8899999999999997</v>
          </cell>
          <cell r="AA7906">
            <v>0</v>
          </cell>
          <cell r="AB7906">
            <v>0</v>
          </cell>
        </row>
        <row r="7907">
          <cell r="G7907" t="str">
            <v>X3223_1</v>
          </cell>
          <cell r="H7907" t="str">
            <v>as-as</v>
          </cell>
          <cell r="I7907" t="str">
            <v>sim</v>
          </cell>
          <cell r="V7907" t="str">
            <v>antonym</v>
          </cell>
          <cell r="Y7907" t="str">
            <v>Past</v>
          </cell>
          <cell r="Z7907">
            <v>3.36</v>
          </cell>
          <cell r="AA7907">
            <v>0</v>
          </cell>
          <cell r="AB7907">
            <v>0</v>
          </cell>
        </row>
        <row r="7908">
          <cell r="G7908" t="str">
            <v>X3224_0</v>
          </cell>
          <cell r="H7908" t="str">
            <v>as-as</v>
          </cell>
          <cell r="I7908" t="str">
            <v>sim</v>
          </cell>
          <cell r="V7908" t="str">
            <v>not neg pair</v>
          </cell>
          <cell r="Y7908" t="str">
            <v>Past</v>
          </cell>
          <cell r="Z7908">
            <v>3.93</v>
          </cell>
          <cell r="AA7908">
            <v>0</v>
          </cell>
          <cell r="AB7908">
            <v>0</v>
          </cell>
        </row>
        <row r="7909">
          <cell r="G7909" t="str">
            <v>X3224_1</v>
          </cell>
          <cell r="H7909" t="str">
            <v>as-as</v>
          </cell>
          <cell r="I7909" t="str">
            <v>sim</v>
          </cell>
          <cell r="V7909" t="str">
            <v>not neg pair</v>
          </cell>
          <cell r="Y7909" t="str">
            <v>Past</v>
          </cell>
          <cell r="Z7909">
            <v>3.93</v>
          </cell>
          <cell r="AA7909">
            <v>0</v>
          </cell>
          <cell r="AB7909">
            <v>0</v>
          </cell>
        </row>
        <row r="7910">
          <cell r="G7910" t="str">
            <v>X3225_0</v>
          </cell>
          <cell r="H7910" t="str">
            <v>as-as</v>
          </cell>
          <cell r="I7910" t="str">
            <v>sim</v>
          </cell>
          <cell r="V7910" t="str">
            <v>not neg pair</v>
          </cell>
          <cell r="Y7910" t="str">
            <v>Past</v>
          </cell>
          <cell r="Z7910">
            <v>3.93</v>
          </cell>
          <cell r="AA7910">
            <v>0</v>
          </cell>
          <cell r="AB7910">
            <v>0</v>
          </cell>
        </row>
        <row r="7911">
          <cell r="G7911" t="str">
            <v>X3225_1</v>
          </cell>
          <cell r="H7911" t="str">
            <v>as-as</v>
          </cell>
          <cell r="I7911" t="str">
            <v>sim</v>
          </cell>
          <cell r="V7911" t="str">
            <v>not neg pair</v>
          </cell>
          <cell r="Y7911" t="str">
            <v>Past</v>
          </cell>
          <cell r="Z7911">
            <v>3.93</v>
          </cell>
          <cell r="AA7911">
            <v>0</v>
          </cell>
          <cell r="AB7911">
            <v>0</v>
          </cell>
        </row>
        <row r="7912">
          <cell r="G7912" t="str">
            <v>X3226_0</v>
          </cell>
          <cell r="H7912" t="str">
            <v>as-as</v>
          </cell>
          <cell r="I7912" t="str">
            <v>sim</v>
          </cell>
          <cell r="V7912" t="str">
            <v>antonym</v>
          </cell>
          <cell r="Y7912" t="str">
            <v>Past</v>
          </cell>
          <cell r="Z7912">
            <v>4.74</v>
          </cell>
          <cell r="AA7912">
            <v>0</v>
          </cell>
          <cell r="AB7912">
            <v>0</v>
          </cell>
        </row>
        <row r="7913">
          <cell r="G7913" t="str">
            <v>X3226_1</v>
          </cell>
          <cell r="H7913" t="str">
            <v>as-as</v>
          </cell>
          <cell r="I7913" t="str">
            <v>sim</v>
          </cell>
          <cell r="V7913" t="str">
            <v>antonym</v>
          </cell>
          <cell r="Y7913" t="str">
            <v>Past</v>
          </cell>
          <cell r="Z7913">
            <v>4.74</v>
          </cell>
          <cell r="AA7913">
            <v>0</v>
          </cell>
          <cell r="AB7913">
            <v>0</v>
          </cell>
        </row>
        <row r="7914">
          <cell r="G7914" t="str">
            <v>X3227_0</v>
          </cell>
          <cell r="H7914" t="str">
            <v>like</v>
          </cell>
          <cell r="I7914" t="str">
            <v>sim</v>
          </cell>
          <cell r="V7914" t="str">
            <v>not neg pair</v>
          </cell>
          <cell r="Y7914" t="str">
            <v>Past</v>
          </cell>
          <cell r="Z7914">
            <v>3.52</v>
          </cell>
          <cell r="AA7914">
            <v>0</v>
          </cell>
          <cell r="AB7914">
            <v>0</v>
          </cell>
        </row>
        <row r="7915">
          <cell r="G7915" t="str">
            <v>X3227_1</v>
          </cell>
          <cell r="H7915" t="str">
            <v>like</v>
          </cell>
          <cell r="I7915" t="str">
            <v>sim</v>
          </cell>
          <cell r="V7915" t="str">
            <v>not neg pair</v>
          </cell>
          <cell r="Y7915" t="str">
            <v>Past</v>
          </cell>
          <cell r="Z7915">
            <v>3.52</v>
          </cell>
          <cell r="AA7915">
            <v>0</v>
          </cell>
          <cell r="AB7915">
            <v>0</v>
          </cell>
        </row>
        <row r="7916">
          <cell r="G7916" t="str">
            <v>X3228_0</v>
          </cell>
          <cell r="H7916" t="str">
            <v>as-as</v>
          </cell>
          <cell r="I7916" t="str">
            <v>sim</v>
          </cell>
          <cell r="V7916" t="str">
            <v>antonym</v>
          </cell>
          <cell r="Y7916" t="str">
            <v>Pres</v>
          </cell>
          <cell r="Z7916">
            <v>4.8</v>
          </cell>
          <cell r="AA7916">
            <v>0</v>
          </cell>
          <cell r="AB7916">
            <v>0</v>
          </cell>
        </row>
        <row r="7917">
          <cell r="G7917" t="str">
            <v>X3228_1</v>
          </cell>
          <cell r="H7917" t="str">
            <v>as-as</v>
          </cell>
          <cell r="I7917" t="str">
            <v>sim</v>
          </cell>
          <cell r="V7917" t="str">
            <v>antonym</v>
          </cell>
          <cell r="Y7917" t="str">
            <v>Past</v>
          </cell>
          <cell r="Z7917">
            <v>4.8</v>
          </cell>
          <cell r="AA7917">
            <v>0</v>
          </cell>
          <cell r="AB7917">
            <v>0</v>
          </cell>
        </row>
        <row r="7918">
          <cell r="G7918" t="str">
            <v>X3229_0</v>
          </cell>
          <cell r="H7918" t="str">
            <v>as-as</v>
          </cell>
          <cell r="I7918" t="str">
            <v>sim</v>
          </cell>
          <cell r="V7918" t="str">
            <v>antonym</v>
          </cell>
          <cell r="Y7918" t="str">
            <v>Pres</v>
          </cell>
          <cell r="Z7918">
            <v>2.81</v>
          </cell>
          <cell r="AA7918">
            <v>0</v>
          </cell>
          <cell r="AB7918">
            <v>0</v>
          </cell>
        </row>
        <row r="7919">
          <cell r="G7919" t="str">
            <v>X3229_1</v>
          </cell>
          <cell r="H7919" t="str">
            <v>as-as</v>
          </cell>
          <cell r="I7919" t="str">
            <v>sim</v>
          </cell>
          <cell r="V7919" t="str">
            <v>antonym</v>
          </cell>
          <cell r="Y7919" t="str">
            <v>Pres</v>
          </cell>
          <cell r="Z7919">
            <v>2.81</v>
          </cell>
          <cell r="AA7919">
            <v>0</v>
          </cell>
          <cell r="AB7919">
            <v>0</v>
          </cell>
        </row>
        <row r="7920">
          <cell r="G7920" t="str">
            <v>X3230_0</v>
          </cell>
          <cell r="H7920" t="str">
            <v>like</v>
          </cell>
          <cell r="I7920" t="str">
            <v>sim</v>
          </cell>
          <cell r="V7920" t="str">
            <v>not neg pair</v>
          </cell>
          <cell r="Y7920" t="str">
            <v>Pres</v>
          </cell>
          <cell r="Z7920">
            <v>3.36</v>
          </cell>
          <cell r="AA7920">
            <v>0</v>
          </cell>
          <cell r="AB7920">
            <v>0</v>
          </cell>
        </row>
        <row r="7921">
          <cell r="G7921" t="str">
            <v>X3230_1</v>
          </cell>
          <cell r="H7921" t="str">
            <v>like</v>
          </cell>
          <cell r="I7921" t="str">
            <v>sim</v>
          </cell>
          <cell r="V7921" t="str">
            <v>not neg pair</v>
          </cell>
          <cell r="Y7921" t="str">
            <v>Pres</v>
          </cell>
          <cell r="Z7921">
            <v>3.36</v>
          </cell>
          <cell r="AA7921">
            <v>0</v>
          </cell>
          <cell r="AB7921">
            <v>0</v>
          </cell>
        </row>
        <row r="7922">
          <cell r="G7922" t="str">
            <v>X3231_0</v>
          </cell>
          <cell r="H7922" t="str">
            <v>like</v>
          </cell>
          <cell r="I7922" t="str">
            <v>sim</v>
          </cell>
          <cell r="V7922" t="str">
            <v>not neg pair</v>
          </cell>
          <cell r="Y7922" t="str">
            <v>Past</v>
          </cell>
          <cell r="Z7922">
            <v>4.72</v>
          </cell>
          <cell r="AA7922">
            <v>0</v>
          </cell>
          <cell r="AB7922">
            <v>0</v>
          </cell>
        </row>
        <row r="7923">
          <cell r="G7923" t="str">
            <v>X3231_1</v>
          </cell>
          <cell r="H7923" t="str">
            <v>like</v>
          </cell>
          <cell r="I7923" t="str">
            <v>sim</v>
          </cell>
          <cell r="V7923" t="str">
            <v>not neg pair</v>
          </cell>
          <cell r="Y7923" t="str">
            <v>Past</v>
          </cell>
          <cell r="Z7923">
            <v>4.72</v>
          </cell>
          <cell r="AA7923">
            <v>0</v>
          </cell>
          <cell r="AB7923">
            <v>0</v>
          </cell>
        </row>
        <row r="7924">
          <cell r="G7924" t="str">
            <v>X3232_0</v>
          </cell>
          <cell r="H7924" t="str">
            <v>the-of</v>
          </cell>
          <cell r="I7924" t="str">
            <v>sim</v>
          </cell>
          <cell r="V7924" t="str">
            <v>not</v>
          </cell>
          <cell r="Y7924" t="str">
            <v>Past</v>
          </cell>
          <cell r="Z7924">
            <v>4.59</v>
          </cell>
          <cell r="AA7924">
            <v>0</v>
          </cell>
          <cell r="AB7924">
            <v>0</v>
          </cell>
        </row>
        <row r="7925">
          <cell r="G7925" t="str">
            <v>X3232_1</v>
          </cell>
          <cell r="H7925" t="str">
            <v>the-of</v>
          </cell>
          <cell r="I7925" t="str">
            <v>sim</v>
          </cell>
          <cell r="V7925" t="str">
            <v>not</v>
          </cell>
          <cell r="Y7925" t="str">
            <v>Past</v>
          </cell>
          <cell r="Z7925">
            <v>4.59</v>
          </cell>
          <cell r="AA7925">
            <v>0</v>
          </cell>
          <cell r="AB7925">
            <v>0</v>
          </cell>
        </row>
        <row r="7926">
          <cell r="G7926" t="str">
            <v>X3233_0</v>
          </cell>
          <cell r="H7926" t="str">
            <v>like</v>
          </cell>
          <cell r="I7926" t="str">
            <v>sim</v>
          </cell>
          <cell r="V7926" t="str">
            <v>not neg pair</v>
          </cell>
          <cell r="Y7926" t="str">
            <v>Past</v>
          </cell>
          <cell r="Z7926">
            <v>3.36</v>
          </cell>
          <cell r="AA7926">
            <v>0</v>
          </cell>
          <cell r="AB7926">
            <v>0</v>
          </cell>
        </row>
        <row r="7927">
          <cell r="G7927" t="str">
            <v>X3233_1</v>
          </cell>
          <cell r="H7927" t="str">
            <v>like</v>
          </cell>
          <cell r="I7927" t="str">
            <v>sim</v>
          </cell>
          <cell r="V7927" t="str">
            <v>not neg pair</v>
          </cell>
          <cell r="Y7927" t="str">
            <v>Past</v>
          </cell>
          <cell r="Z7927">
            <v>3.36</v>
          </cell>
          <cell r="AA7927">
            <v>0</v>
          </cell>
          <cell r="AB7927">
            <v>0</v>
          </cell>
        </row>
        <row r="7928">
          <cell r="G7928" t="str">
            <v>X3234_0</v>
          </cell>
          <cell r="H7928" t="str">
            <v>the-of</v>
          </cell>
          <cell r="I7928" t="str">
            <v>sim</v>
          </cell>
          <cell r="V7928" t="str">
            <v>not</v>
          </cell>
          <cell r="Y7928" t="str">
            <v>Pres</v>
          </cell>
          <cell r="Z7928">
            <v>4.63</v>
          </cell>
          <cell r="AA7928">
            <v>0</v>
          </cell>
          <cell r="AB7928">
            <v>0</v>
          </cell>
        </row>
        <row r="7929">
          <cell r="G7929" t="str">
            <v>X3234_1</v>
          </cell>
          <cell r="H7929" t="str">
            <v>the-of</v>
          </cell>
          <cell r="I7929" t="str">
            <v>sim</v>
          </cell>
          <cell r="V7929" t="str">
            <v>not</v>
          </cell>
          <cell r="Y7929" t="str">
            <v>Pres</v>
          </cell>
          <cell r="Z7929">
            <v>4.63</v>
          </cell>
          <cell r="AA7929">
            <v>0</v>
          </cell>
          <cell r="AB7929">
            <v>0</v>
          </cell>
        </row>
        <row r="7930">
          <cell r="G7930" t="str">
            <v>X3235_0</v>
          </cell>
          <cell r="H7930" t="str">
            <v>the-of</v>
          </cell>
          <cell r="I7930" t="str">
            <v>sim</v>
          </cell>
          <cell r="V7930" t="str">
            <v>not</v>
          </cell>
          <cell r="Y7930" t="str">
            <v>Past</v>
          </cell>
          <cell r="Z7930">
            <v>4.79</v>
          </cell>
          <cell r="AA7930">
            <v>0</v>
          </cell>
          <cell r="AB7930">
            <v>0</v>
          </cell>
        </row>
        <row r="7931">
          <cell r="G7931" t="str">
            <v>X3235_1</v>
          </cell>
          <cell r="H7931" t="str">
            <v>the-of</v>
          </cell>
          <cell r="I7931" t="str">
            <v>sim</v>
          </cell>
          <cell r="V7931" t="str">
            <v>not</v>
          </cell>
          <cell r="Y7931" t="str">
            <v>Past</v>
          </cell>
          <cell r="Z7931">
            <v>4.79</v>
          </cell>
          <cell r="AA7931">
            <v>0</v>
          </cell>
          <cell r="AB7931">
            <v>0</v>
          </cell>
        </row>
        <row r="7932">
          <cell r="G7932" t="str">
            <v>X3236_0</v>
          </cell>
          <cell r="H7932" t="str">
            <v>as-as</v>
          </cell>
          <cell r="I7932" t="str">
            <v>sim</v>
          </cell>
          <cell r="V7932" t="str">
            <v>not neg pair</v>
          </cell>
          <cell r="Y7932" t="str">
            <v>Pres</v>
          </cell>
          <cell r="Z7932">
            <v>4.59</v>
          </cell>
          <cell r="AA7932">
            <v>0</v>
          </cell>
          <cell r="AB7932">
            <v>0</v>
          </cell>
        </row>
        <row r="7933">
          <cell r="G7933" t="str">
            <v>X3236_1</v>
          </cell>
          <cell r="H7933" t="str">
            <v>as-as</v>
          </cell>
          <cell r="I7933" t="str">
            <v>sim</v>
          </cell>
          <cell r="V7933" t="str">
            <v>not neg pair</v>
          </cell>
          <cell r="Y7933" t="str">
            <v>Pres</v>
          </cell>
          <cell r="Z7933">
            <v>4.59</v>
          </cell>
          <cell r="AA7933">
            <v>0</v>
          </cell>
          <cell r="AB7933">
            <v>0</v>
          </cell>
        </row>
        <row r="7934">
          <cell r="G7934" t="str">
            <v>X3237_0</v>
          </cell>
          <cell r="H7934" t="str">
            <v>as-as</v>
          </cell>
          <cell r="I7934" t="str">
            <v>sim</v>
          </cell>
          <cell r="V7934" t="str">
            <v>not neg pair</v>
          </cell>
          <cell r="Y7934" t="str">
            <v>Pres</v>
          </cell>
          <cell r="Z7934">
            <v>4.1100000000000003</v>
          </cell>
          <cell r="AA7934">
            <v>0</v>
          </cell>
          <cell r="AB7934">
            <v>0</v>
          </cell>
        </row>
        <row r="7935">
          <cell r="G7935" t="str">
            <v>X3237_1</v>
          </cell>
          <cell r="H7935" t="str">
            <v>as-as</v>
          </cell>
          <cell r="I7935" t="str">
            <v>sim</v>
          </cell>
          <cell r="V7935" t="str">
            <v>not neg pair</v>
          </cell>
          <cell r="Y7935" t="str">
            <v>Pres</v>
          </cell>
          <cell r="Z7935">
            <v>4.1100000000000003</v>
          </cell>
          <cell r="AA7935">
            <v>0</v>
          </cell>
          <cell r="AB7935">
            <v>0</v>
          </cell>
        </row>
        <row r="7936">
          <cell r="G7936" t="str">
            <v>X3238_0</v>
          </cell>
          <cell r="H7936" t="str">
            <v/>
          </cell>
          <cell r="I7936" t="str">
            <v>met</v>
          </cell>
          <cell r="V7936" t="str">
            <v>0</v>
          </cell>
          <cell r="Y7936" t="str">
            <v>Pres</v>
          </cell>
          <cell r="Z7936">
            <v>2.54</v>
          </cell>
          <cell r="AA7936" t="str">
            <v>L</v>
          </cell>
          <cell r="AB7936">
            <v>0</v>
          </cell>
        </row>
        <row r="7937">
          <cell r="G7937" t="str">
            <v>X3238_1</v>
          </cell>
          <cell r="H7937" t="str">
            <v/>
          </cell>
          <cell r="I7937" t="str">
            <v>met</v>
          </cell>
          <cell r="V7937" t="str">
            <v>0</v>
          </cell>
          <cell r="Y7937" t="str">
            <v>Past</v>
          </cell>
          <cell r="Z7937">
            <v>2.54</v>
          </cell>
          <cell r="AA7937" t="str">
            <v>L</v>
          </cell>
          <cell r="AB7937">
            <v>0</v>
          </cell>
        </row>
        <row r="7938">
          <cell r="G7938" t="str">
            <v>X3239_0</v>
          </cell>
          <cell r="H7938" t="str">
            <v>as-as</v>
          </cell>
          <cell r="I7938" t="str">
            <v>sim</v>
          </cell>
          <cell r="V7938" t="str">
            <v>not neg pair</v>
          </cell>
          <cell r="Y7938" t="str">
            <v>Past</v>
          </cell>
          <cell r="Z7938">
            <v>4.59</v>
          </cell>
          <cell r="AA7938">
            <v>0</v>
          </cell>
          <cell r="AB7938">
            <v>0</v>
          </cell>
        </row>
        <row r="7939">
          <cell r="G7939" t="str">
            <v>X3239_1</v>
          </cell>
          <cell r="H7939" t="str">
            <v>as-as</v>
          </cell>
          <cell r="I7939" t="str">
            <v>sim</v>
          </cell>
          <cell r="V7939" t="str">
            <v>not neg pair</v>
          </cell>
          <cell r="Y7939" t="str">
            <v>Past</v>
          </cell>
          <cell r="Z7939">
            <v>4.59</v>
          </cell>
          <cell r="AA7939">
            <v>0</v>
          </cell>
          <cell r="AB7939">
            <v>0</v>
          </cell>
        </row>
        <row r="7940">
          <cell r="G7940" t="str">
            <v>X3240_0</v>
          </cell>
          <cell r="H7940" t="str">
            <v>as-as</v>
          </cell>
          <cell r="I7940" t="str">
            <v>sim</v>
          </cell>
          <cell r="V7940" t="str">
            <v>not</v>
          </cell>
          <cell r="Y7940" t="str">
            <v>Past</v>
          </cell>
          <cell r="Z7940">
            <v>3.93</v>
          </cell>
          <cell r="AA7940">
            <v>0</v>
          </cell>
          <cell r="AB7940">
            <v>0</v>
          </cell>
        </row>
        <row r="7941">
          <cell r="G7941" t="str">
            <v>X3240_1</v>
          </cell>
          <cell r="H7941" t="str">
            <v>as-as</v>
          </cell>
          <cell r="I7941" t="str">
            <v>sim</v>
          </cell>
          <cell r="V7941" t="str">
            <v>not</v>
          </cell>
          <cell r="Y7941" t="str">
            <v>Past</v>
          </cell>
          <cell r="Z7941">
            <v>3.93</v>
          </cell>
          <cell r="AA7941">
            <v>0</v>
          </cell>
          <cell r="AB7941">
            <v>0</v>
          </cell>
        </row>
        <row r="7942">
          <cell r="G7942" t="str">
            <v>X3241_0</v>
          </cell>
          <cell r="H7942" t="str">
            <v/>
          </cell>
          <cell r="I7942" t="str">
            <v>met</v>
          </cell>
          <cell r="V7942" t="str">
            <v>0</v>
          </cell>
          <cell r="Y7942" t="str">
            <v>Pres</v>
          </cell>
          <cell r="Z7942">
            <v>2.5</v>
          </cell>
          <cell r="AA7942" t="str">
            <v>L</v>
          </cell>
          <cell r="AB7942">
            <v>0</v>
          </cell>
        </row>
        <row r="7943">
          <cell r="G7943" t="str">
            <v>X3241_1</v>
          </cell>
          <cell r="H7943" t="str">
            <v/>
          </cell>
          <cell r="I7943" t="str">
            <v>met</v>
          </cell>
          <cell r="V7943" t="str">
            <v>0</v>
          </cell>
          <cell r="Y7943" t="str">
            <v>Pres</v>
          </cell>
          <cell r="Z7943">
            <v>2.5</v>
          </cell>
          <cell r="AA7943" t="str">
            <v>L</v>
          </cell>
          <cell r="AB7943">
            <v>0</v>
          </cell>
        </row>
        <row r="7944">
          <cell r="G7944" t="str">
            <v>X3242_0</v>
          </cell>
          <cell r="H7944" t="str">
            <v>the-of</v>
          </cell>
          <cell r="I7944" t="str">
            <v>sim</v>
          </cell>
          <cell r="V7944" t="str">
            <v>not</v>
          </cell>
          <cell r="Y7944" t="str">
            <v>Pres</v>
          </cell>
          <cell r="Z7944">
            <v>5</v>
          </cell>
          <cell r="AA7944" t="str">
            <v>H</v>
          </cell>
          <cell r="AB7944">
            <v>0</v>
          </cell>
        </row>
        <row r="7945">
          <cell r="G7945" t="str">
            <v>X3242_1</v>
          </cell>
          <cell r="H7945" t="str">
            <v>the-of</v>
          </cell>
          <cell r="I7945" t="str">
            <v>sim</v>
          </cell>
          <cell r="V7945" t="str">
            <v>not</v>
          </cell>
          <cell r="Y7945" t="str">
            <v>Pres</v>
          </cell>
          <cell r="Z7945">
            <v>5</v>
          </cell>
          <cell r="AA7945" t="str">
            <v>H</v>
          </cell>
          <cell r="AB7945">
            <v>0</v>
          </cell>
        </row>
        <row r="7946">
          <cell r="G7946" t="str">
            <v>X3243_0</v>
          </cell>
          <cell r="H7946" t="str">
            <v>the-of</v>
          </cell>
          <cell r="I7946" t="str">
            <v>sim</v>
          </cell>
          <cell r="V7946" t="str">
            <v>not neg pair</v>
          </cell>
          <cell r="Y7946" t="str">
            <v>Pres</v>
          </cell>
          <cell r="Z7946">
            <v>4.59</v>
          </cell>
          <cell r="AA7946">
            <v>0</v>
          </cell>
          <cell r="AB7946">
            <v>0</v>
          </cell>
        </row>
        <row r="7947">
          <cell r="G7947" t="str">
            <v>X3243_1</v>
          </cell>
          <cell r="H7947" t="str">
            <v>the-of</v>
          </cell>
          <cell r="I7947" t="str">
            <v>sim</v>
          </cell>
          <cell r="V7947" t="str">
            <v>not neg pair</v>
          </cell>
          <cell r="Y7947" t="str">
            <v>Pres</v>
          </cell>
          <cell r="Z7947">
            <v>4.59</v>
          </cell>
          <cell r="AA7947">
            <v>0</v>
          </cell>
          <cell r="AB7947">
            <v>0</v>
          </cell>
        </row>
        <row r="7948">
          <cell r="G7948" t="str">
            <v>X3244_0</v>
          </cell>
          <cell r="H7948" t="str">
            <v>as-as</v>
          </cell>
          <cell r="I7948" t="str">
            <v>sim</v>
          </cell>
          <cell r="V7948" t="str">
            <v>antonym</v>
          </cell>
          <cell r="Y7948" t="str">
            <v>Pres</v>
          </cell>
          <cell r="Z7948">
            <v>4.96</v>
          </cell>
          <cell r="AA7948" t="str">
            <v>H</v>
          </cell>
          <cell r="AB7948">
            <v>0</v>
          </cell>
        </row>
        <row r="7949">
          <cell r="G7949" t="str">
            <v>X3244_1</v>
          </cell>
          <cell r="H7949" t="str">
            <v>as-as</v>
          </cell>
          <cell r="I7949" t="str">
            <v>sim</v>
          </cell>
          <cell r="V7949" t="str">
            <v>antonym</v>
          </cell>
          <cell r="Y7949" t="str">
            <v>Pres</v>
          </cell>
          <cell r="Z7949">
            <v>4.96</v>
          </cell>
          <cell r="AA7949" t="str">
            <v>H</v>
          </cell>
          <cell r="AB7949">
            <v>0</v>
          </cell>
        </row>
        <row r="7950">
          <cell r="G7950" t="str">
            <v>X3245_0</v>
          </cell>
          <cell r="H7950" t="str">
            <v/>
          </cell>
          <cell r="I7950" t="str">
            <v>met</v>
          </cell>
          <cell r="V7950" t="str">
            <v>0</v>
          </cell>
          <cell r="Y7950" t="str">
            <v>Past</v>
          </cell>
          <cell r="Z7950">
            <v>2.5</v>
          </cell>
          <cell r="AA7950" t="str">
            <v>L</v>
          </cell>
          <cell r="AB7950">
            <v>0</v>
          </cell>
        </row>
        <row r="7951">
          <cell r="G7951" t="str">
            <v>X3245_1</v>
          </cell>
          <cell r="H7951" t="str">
            <v/>
          </cell>
          <cell r="I7951" t="str">
            <v>met</v>
          </cell>
          <cell r="V7951" t="str">
            <v>0</v>
          </cell>
          <cell r="Y7951" t="str">
            <v>Pres</v>
          </cell>
          <cell r="Z7951">
            <v>2.5</v>
          </cell>
          <cell r="AA7951" t="str">
            <v>L</v>
          </cell>
          <cell r="AB7951">
            <v>0</v>
          </cell>
        </row>
        <row r="7952">
          <cell r="G7952" t="str">
            <v>X3246_0</v>
          </cell>
          <cell r="H7952" t="str">
            <v>as-as</v>
          </cell>
          <cell r="I7952" t="str">
            <v>sim</v>
          </cell>
          <cell r="V7952" t="str">
            <v>antonym</v>
          </cell>
          <cell r="Y7952" t="str">
            <v>Past</v>
          </cell>
          <cell r="Z7952">
            <v>2.5</v>
          </cell>
          <cell r="AA7952" t="str">
            <v>L</v>
          </cell>
          <cell r="AB7952">
            <v>0</v>
          </cell>
        </row>
        <row r="7953">
          <cell r="G7953" t="str">
            <v>X3246_1</v>
          </cell>
          <cell r="H7953" t="str">
            <v>as-as</v>
          </cell>
          <cell r="I7953" t="str">
            <v>sim</v>
          </cell>
          <cell r="V7953" t="str">
            <v>antonym</v>
          </cell>
          <cell r="Y7953" t="str">
            <v>Past</v>
          </cell>
          <cell r="Z7953">
            <v>2.5</v>
          </cell>
          <cell r="AA7953" t="str">
            <v>L</v>
          </cell>
          <cell r="AB7953">
            <v>0</v>
          </cell>
        </row>
        <row r="7954">
          <cell r="G7954" t="str">
            <v>X3247_0</v>
          </cell>
          <cell r="H7954" t="str">
            <v>as-as</v>
          </cell>
          <cell r="I7954" t="str">
            <v>sim</v>
          </cell>
          <cell r="V7954" t="str">
            <v>antonym</v>
          </cell>
          <cell r="Y7954" t="str">
            <v>Past</v>
          </cell>
          <cell r="Z7954">
            <v>4.87</v>
          </cell>
          <cell r="AA7954">
            <v>0</v>
          </cell>
          <cell r="AB7954">
            <v>0</v>
          </cell>
        </row>
        <row r="7955">
          <cell r="G7955" t="str">
            <v>X3247_1</v>
          </cell>
          <cell r="H7955" t="str">
            <v>as-as</v>
          </cell>
          <cell r="I7955" t="str">
            <v>sim</v>
          </cell>
          <cell r="V7955" t="str">
            <v>antonym</v>
          </cell>
          <cell r="Y7955" t="str">
            <v>Past</v>
          </cell>
          <cell r="Z7955">
            <v>4.87</v>
          </cell>
          <cell r="AA7955">
            <v>0</v>
          </cell>
          <cell r="AB7955">
            <v>0</v>
          </cell>
        </row>
        <row r="7956">
          <cell r="G7956" t="str">
            <v>X3248_0</v>
          </cell>
          <cell r="H7956" t="str">
            <v>as-as</v>
          </cell>
          <cell r="I7956" t="str">
            <v>sim</v>
          </cell>
          <cell r="V7956" t="str">
            <v>antonym</v>
          </cell>
          <cell r="Y7956" t="str">
            <v>Past</v>
          </cell>
          <cell r="Z7956">
            <v>4.2</v>
          </cell>
          <cell r="AA7956">
            <v>0</v>
          </cell>
          <cell r="AB7956">
            <v>0</v>
          </cell>
        </row>
        <row r="7957">
          <cell r="G7957" t="str">
            <v>X3248_1</v>
          </cell>
          <cell r="H7957" t="str">
            <v>as-as</v>
          </cell>
          <cell r="I7957" t="str">
            <v>sim</v>
          </cell>
          <cell r="V7957" t="str">
            <v>antonym</v>
          </cell>
          <cell r="Y7957" t="str">
            <v>Past</v>
          </cell>
          <cell r="Z7957">
            <v>4.2</v>
          </cell>
          <cell r="AA7957">
            <v>0</v>
          </cell>
          <cell r="AB7957">
            <v>0</v>
          </cell>
        </row>
        <row r="7958">
          <cell r="G7958" t="str">
            <v>X3249_0</v>
          </cell>
          <cell r="H7958" t="str">
            <v>as-as</v>
          </cell>
          <cell r="I7958" t="str">
            <v>sim</v>
          </cell>
          <cell r="V7958" t="str">
            <v>antonym</v>
          </cell>
          <cell r="Y7958" t="str">
            <v>Pres</v>
          </cell>
          <cell r="Z7958">
            <v>4.9000000000000004</v>
          </cell>
          <cell r="AA7958">
            <v>0</v>
          </cell>
          <cell r="AB7958">
            <v>0</v>
          </cell>
        </row>
        <row r="7959">
          <cell r="G7959" t="str">
            <v>X3249_1</v>
          </cell>
          <cell r="H7959" t="str">
            <v>as-as</v>
          </cell>
          <cell r="I7959" t="str">
            <v>sim</v>
          </cell>
          <cell r="V7959" t="str">
            <v>antonym</v>
          </cell>
          <cell r="Y7959" t="str">
            <v>Pres</v>
          </cell>
          <cell r="Z7959">
            <v>4.9000000000000004</v>
          </cell>
          <cell r="AA7959">
            <v>0</v>
          </cell>
          <cell r="AB7959">
            <v>0</v>
          </cell>
        </row>
        <row r="7960">
          <cell r="G7960" t="str">
            <v>X3250_0</v>
          </cell>
          <cell r="H7960" t="str">
            <v/>
          </cell>
          <cell r="I7960" t="str">
            <v>met</v>
          </cell>
          <cell r="V7960" t="str">
            <v>0</v>
          </cell>
          <cell r="Y7960" t="str">
            <v>Pres</v>
          </cell>
          <cell r="Z7960">
            <v>2.68</v>
          </cell>
          <cell r="AA7960" t="str">
            <v>L</v>
          </cell>
          <cell r="AB7960">
            <v>0</v>
          </cell>
        </row>
        <row r="7961">
          <cell r="G7961" t="str">
            <v>X3250_1</v>
          </cell>
          <cell r="H7961" t="str">
            <v/>
          </cell>
          <cell r="I7961" t="str">
            <v>met</v>
          </cell>
          <cell r="V7961" t="str">
            <v>0</v>
          </cell>
          <cell r="Y7961" t="str">
            <v>Pres</v>
          </cell>
          <cell r="Z7961">
            <v>2.68</v>
          </cell>
          <cell r="AA7961" t="str">
            <v>L</v>
          </cell>
          <cell r="AB7961">
            <v>0</v>
          </cell>
        </row>
        <row r="7962">
          <cell r="G7962" t="str">
            <v>X3251_0</v>
          </cell>
          <cell r="H7962" t="str">
            <v>the-of</v>
          </cell>
          <cell r="I7962" t="str">
            <v>sim</v>
          </cell>
          <cell r="V7962" t="str">
            <v>not</v>
          </cell>
          <cell r="Y7962" t="str">
            <v>Past</v>
          </cell>
          <cell r="Z7962">
            <v>3.93</v>
          </cell>
          <cell r="AA7962">
            <v>0</v>
          </cell>
          <cell r="AB7962">
            <v>0</v>
          </cell>
        </row>
        <row r="7963">
          <cell r="G7963" t="str">
            <v>X3251_1</v>
          </cell>
          <cell r="H7963" t="str">
            <v>the-of</v>
          </cell>
          <cell r="I7963" t="str">
            <v>sim</v>
          </cell>
          <cell r="V7963" t="str">
            <v>not</v>
          </cell>
          <cell r="Y7963" t="str">
            <v>Past</v>
          </cell>
          <cell r="Z7963">
            <v>3.93</v>
          </cell>
          <cell r="AA7963">
            <v>0</v>
          </cell>
          <cell r="AB7963">
            <v>0</v>
          </cell>
        </row>
        <row r="7964">
          <cell r="G7964" t="str">
            <v>X3252_0</v>
          </cell>
          <cell r="H7964" t="str">
            <v/>
          </cell>
          <cell r="I7964" t="str">
            <v>met</v>
          </cell>
          <cell r="V7964" t="str">
            <v>0</v>
          </cell>
          <cell r="Y7964" t="str">
            <v>Pres</v>
          </cell>
          <cell r="Z7964">
            <v>4.5</v>
          </cell>
          <cell r="AA7964">
            <v>0</v>
          </cell>
          <cell r="AB7964">
            <v>0</v>
          </cell>
        </row>
        <row r="7965">
          <cell r="G7965" t="str">
            <v>X3252_1</v>
          </cell>
          <cell r="H7965" t="str">
            <v/>
          </cell>
          <cell r="I7965" t="str">
            <v>met</v>
          </cell>
          <cell r="V7965" t="str">
            <v>0</v>
          </cell>
          <cell r="Y7965" t="str">
            <v>Pres</v>
          </cell>
          <cell r="Z7965">
            <v>4.5</v>
          </cell>
          <cell r="AA7965">
            <v>0</v>
          </cell>
          <cell r="AB7965">
            <v>0</v>
          </cell>
        </row>
        <row r="7966">
          <cell r="G7966" t="str">
            <v>X3253_0</v>
          </cell>
          <cell r="H7966" t="str">
            <v>the-of</v>
          </cell>
          <cell r="I7966" t="str">
            <v>sim</v>
          </cell>
          <cell r="V7966" t="str">
            <v>not neg pair</v>
          </cell>
          <cell r="Y7966" t="str">
            <v>Past</v>
          </cell>
          <cell r="Z7966">
            <v>0</v>
          </cell>
          <cell r="AA7966">
            <v>0</v>
          </cell>
          <cell r="AB7966">
            <v>0</v>
          </cell>
        </row>
        <row r="7967">
          <cell r="G7967" t="str">
            <v>X3253_1</v>
          </cell>
          <cell r="H7967" t="str">
            <v>the-of</v>
          </cell>
          <cell r="I7967" t="str">
            <v>sim</v>
          </cell>
          <cell r="V7967" t="str">
            <v>not neg pair</v>
          </cell>
          <cell r="Y7967" t="str">
            <v>Past</v>
          </cell>
          <cell r="Z7967">
            <v>4.93</v>
          </cell>
          <cell r="AA7967" t="str">
            <v>H</v>
          </cell>
          <cell r="AB7967">
            <v>0</v>
          </cell>
        </row>
        <row r="7968">
          <cell r="G7968" t="str">
            <v>X3254_0</v>
          </cell>
          <cell r="H7968" t="str">
            <v>as-as</v>
          </cell>
          <cell r="I7968" t="str">
            <v>sim</v>
          </cell>
          <cell r="V7968" t="str">
            <v>not</v>
          </cell>
          <cell r="Y7968" t="str">
            <v>Pres</v>
          </cell>
          <cell r="Z7968">
            <v>2.83</v>
          </cell>
          <cell r="AA7968">
            <v>0</v>
          </cell>
          <cell r="AB7968">
            <v>0</v>
          </cell>
        </row>
        <row r="7969">
          <cell r="G7969" t="str">
            <v>X3254_1</v>
          </cell>
          <cell r="H7969" t="str">
            <v>as-as</v>
          </cell>
          <cell r="I7969" t="str">
            <v>sim</v>
          </cell>
          <cell r="V7969" t="str">
            <v>not</v>
          </cell>
          <cell r="Y7969" t="str">
            <v>Pres</v>
          </cell>
          <cell r="Z7969">
            <v>2.83</v>
          </cell>
          <cell r="AA7969">
            <v>0</v>
          </cell>
          <cell r="AB7969">
            <v>0</v>
          </cell>
        </row>
        <row r="7970">
          <cell r="G7970" t="str">
            <v>X3255_0</v>
          </cell>
          <cell r="H7970" t="str">
            <v>like</v>
          </cell>
          <cell r="I7970" t="str">
            <v>sim</v>
          </cell>
          <cell r="V7970" t="str">
            <v>not</v>
          </cell>
          <cell r="Y7970" t="str">
            <v>Pres</v>
          </cell>
          <cell r="Z7970">
            <v>4.42</v>
          </cell>
          <cell r="AA7970">
            <v>0</v>
          </cell>
          <cell r="AB7970">
            <v>0</v>
          </cell>
        </row>
        <row r="7971">
          <cell r="G7971" t="str">
            <v>X3255_1</v>
          </cell>
          <cell r="H7971" t="str">
            <v>like</v>
          </cell>
          <cell r="I7971" t="str">
            <v>sim</v>
          </cell>
          <cell r="V7971" t="str">
            <v>not</v>
          </cell>
          <cell r="Y7971" t="str">
            <v>Past</v>
          </cell>
          <cell r="Z7971">
            <v>4.42</v>
          </cell>
          <cell r="AA7971">
            <v>0</v>
          </cell>
          <cell r="AB7971">
            <v>0</v>
          </cell>
        </row>
        <row r="7972">
          <cell r="G7972" t="str">
            <v>X3256_0</v>
          </cell>
          <cell r="H7972" t="str">
            <v>like</v>
          </cell>
          <cell r="I7972" t="str">
            <v>sim</v>
          </cell>
          <cell r="V7972" t="str">
            <v>not neg pair</v>
          </cell>
          <cell r="Y7972" t="str">
            <v>Past</v>
          </cell>
          <cell r="Z7972">
            <v>5</v>
          </cell>
          <cell r="AA7972" t="str">
            <v>H</v>
          </cell>
          <cell r="AB7972">
            <v>0</v>
          </cell>
        </row>
        <row r="7973">
          <cell r="G7973" t="str">
            <v>X3256_1</v>
          </cell>
          <cell r="H7973" t="str">
            <v>like</v>
          </cell>
          <cell r="I7973" t="str">
            <v>sim</v>
          </cell>
          <cell r="V7973" t="str">
            <v>not neg pair</v>
          </cell>
          <cell r="Y7973" t="str">
            <v>Past</v>
          </cell>
          <cell r="Z7973">
            <v>5</v>
          </cell>
          <cell r="AA7973" t="str">
            <v>H</v>
          </cell>
          <cell r="AB7973">
            <v>0</v>
          </cell>
        </row>
        <row r="7974">
          <cell r="G7974" t="str">
            <v>X3257_0</v>
          </cell>
          <cell r="H7974" t="str">
            <v/>
          </cell>
          <cell r="I7974" t="str">
            <v>met</v>
          </cell>
          <cell r="V7974" t="str">
            <v>0</v>
          </cell>
          <cell r="Y7974" t="str">
            <v>Pres</v>
          </cell>
          <cell r="Z7974">
            <v>4.7699999999999996</v>
          </cell>
          <cell r="AA7974">
            <v>0</v>
          </cell>
          <cell r="AB7974">
            <v>0</v>
          </cell>
        </row>
        <row r="7975">
          <cell r="G7975" t="str">
            <v>X3257_1</v>
          </cell>
          <cell r="H7975" t="str">
            <v/>
          </cell>
          <cell r="I7975" t="str">
            <v>met</v>
          </cell>
          <cell r="V7975" t="str">
            <v>0</v>
          </cell>
          <cell r="Y7975" t="str">
            <v>Pres</v>
          </cell>
          <cell r="Z7975">
            <v>4.7699999999999996</v>
          </cell>
          <cell r="AA7975">
            <v>0</v>
          </cell>
          <cell r="AB7975">
            <v>0</v>
          </cell>
        </row>
        <row r="7976">
          <cell r="G7976" t="str">
            <v>X3258_0</v>
          </cell>
          <cell r="H7976" t="str">
            <v>the-of</v>
          </cell>
          <cell r="I7976" t="str">
            <v>sim</v>
          </cell>
          <cell r="V7976" t="str">
            <v>not neg pair</v>
          </cell>
          <cell r="Y7976" t="str">
            <v>Past</v>
          </cell>
          <cell r="Z7976">
            <v>5</v>
          </cell>
          <cell r="AA7976" t="str">
            <v>H</v>
          </cell>
          <cell r="AB7976">
            <v>0</v>
          </cell>
        </row>
        <row r="7977">
          <cell r="G7977" t="str">
            <v>X3258_1</v>
          </cell>
          <cell r="H7977" t="str">
            <v>the-of</v>
          </cell>
          <cell r="I7977" t="str">
            <v>sim</v>
          </cell>
          <cell r="V7977" t="str">
            <v>not neg pair</v>
          </cell>
          <cell r="Y7977" t="str">
            <v>Past</v>
          </cell>
          <cell r="Z7977">
            <v>5</v>
          </cell>
          <cell r="AA7977" t="str">
            <v>H</v>
          </cell>
          <cell r="AB7977">
            <v>0</v>
          </cell>
        </row>
        <row r="7978">
          <cell r="G7978" t="str">
            <v>X3259_0</v>
          </cell>
          <cell r="H7978" t="str">
            <v>as-as</v>
          </cell>
          <cell r="I7978" t="str">
            <v>sim</v>
          </cell>
          <cell r="V7978" t="str">
            <v>not</v>
          </cell>
          <cell r="Y7978" t="str">
            <v>Past</v>
          </cell>
          <cell r="Z7978">
            <v>2.54</v>
          </cell>
          <cell r="AA7978" t="str">
            <v>L</v>
          </cell>
          <cell r="AB7978">
            <v>0</v>
          </cell>
        </row>
        <row r="7979">
          <cell r="G7979" t="str">
            <v>X3259_1</v>
          </cell>
          <cell r="H7979" t="str">
            <v>as-as</v>
          </cell>
          <cell r="I7979" t="str">
            <v>sim</v>
          </cell>
          <cell r="V7979" t="str">
            <v>not</v>
          </cell>
          <cell r="Y7979" t="str">
            <v>Past</v>
          </cell>
          <cell r="Z7979">
            <v>2.54</v>
          </cell>
          <cell r="AA7979" t="str">
            <v>L</v>
          </cell>
          <cell r="AB7979">
            <v>0</v>
          </cell>
        </row>
        <row r="7980">
          <cell r="G7980" t="str">
            <v>X3260_0</v>
          </cell>
          <cell r="H7980" t="str">
            <v>as-as</v>
          </cell>
          <cell r="I7980" t="str">
            <v>sim</v>
          </cell>
          <cell r="V7980" t="str">
            <v>not neg pair</v>
          </cell>
          <cell r="Y7980" t="str">
            <v>Pres</v>
          </cell>
          <cell r="Z7980">
            <v>4.59</v>
          </cell>
          <cell r="AA7980">
            <v>0</v>
          </cell>
          <cell r="AB7980">
            <v>0</v>
          </cell>
        </row>
        <row r="7981">
          <cell r="G7981" t="str">
            <v>X3260_1</v>
          </cell>
          <cell r="H7981" t="str">
            <v>as-as</v>
          </cell>
          <cell r="I7981" t="str">
            <v>sim</v>
          </cell>
          <cell r="V7981" t="str">
            <v>not neg pair</v>
          </cell>
          <cell r="Y7981" t="str">
            <v>Pres</v>
          </cell>
          <cell r="Z7981">
            <v>4.59</v>
          </cell>
          <cell r="AA7981">
            <v>0</v>
          </cell>
          <cell r="AB7981">
            <v>0</v>
          </cell>
        </row>
        <row r="7982">
          <cell r="G7982" t="str">
            <v>X3261_0</v>
          </cell>
          <cell r="H7982" t="str">
            <v>as-as</v>
          </cell>
          <cell r="I7982" t="str">
            <v>sim</v>
          </cell>
          <cell r="V7982" t="str">
            <v>not</v>
          </cell>
          <cell r="Y7982" t="str">
            <v>Past</v>
          </cell>
          <cell r="Z7982">
            <v>4.92</v>
          </cell>
          <cell r="AA7982" t="str">
            <v>H</v>
          </cell>
          <cell r="AB7982">
            <v>0</v>
          </cell>
        </row>
        <row r="7983">
          <cell r="G7983" t="str">
            <v>X3261_1</v>
          </cell>
          <cell r="H7983" t="str">
            <v>as-as</v>
          </cell>
          <cell r="I7983" t="str">
            <v>sim</v>
          </cell>
          <cell r="V7983" t="str">
            <v>not</v>
          </cell>
          <cell r="Y7983" t="str">
            <v>Past</v>
          </cell>
          <cell r="Z7983">
            <v>4.92</v>
          </cell>
          <cell r="AA7983" t="str">
            <v>H</v>
          </cell>
          <cell r="AB7983">
            <v>0</v>
          </cell>
        </row>
        <row r="7984">
          <cell r="G7984" t="str">
            <v>X3262_0</v>
          </cell>
          <cell r="H7984" t="str">
            <v>the-of</v>
          </cell>
          <cell r="I7984" t="str">
            <v>sim</v>
          </cell>
          <cell r="V7984" t="str">
            <v>not neg pair</v>
          </cell>
          <cell r="Y7984" t="str">
            <v>Past</v>
          </cell>
          <cell r="Z7984">
            <v>3.07</v>
          </cell>
          <cell r="AA7984">
            <v>0</v>
          </cell>
          <cell r="AB7984">
            <v>0</v>
          </cell>
        </row>
        <row r="7985">
          <cell r="G7985" t="str">
            <v>X3262_1</v>
          </cell>
          <cell r="H7985" t="str">
            <v>the-of</v>
          </cell>
          <cell r="I7985" t="str">
            <v>sim</v>
          </cell>
          <cell r="V7985" t="str">
            <v>not neg pair</v>
          </cell>
          <cell r="Y7985" t="str">
            <v>Past</v>
          </cell>
          <cell r="Z7985">
            <v>3.07</v>
          </cell>
          <cell r="AA7985">
            <v>0</v>
          </cell>
          <cell r="AB7985">
            <v>0</v>
          </cell>
        </row>
        <row r="7986">
          <cell r="G7986" t="str">
            <v>X3263_0</v>
          </cell>
          <cell r="H7986" t="str">
            <v>the-of</v>
          </cell>
          <cell r="I7986" t="str">
            <v>sim</v>
          </cell>
          <cell r="V7986" t="str">
            <v>not neg pair</v>
          </cell>
          <cell r="Y7986" t="str">
            <v>Past</v>
          </cell>
          <cell r="Z7986">
            <v>4.46</v>
          </cell>
          <cell r="AA7986">
            <v>0</v>
          </cell>
          <cell r="AB7986">
            <v>0</v>
          </cell>
        </row>
        <row r="7987">
          <cell r="G7987" t="str">
            <v>X3263_1</v>
          </cell>
          <cell r="H7987" t="str">
            <v>the-of</v>
          </cell>
          <cell r="I7987" t="str">
            <v>sim</v>
          </cell>
          <cell r="V7987" t="str">
            <v>not neg pair</v>
          </cell>
          <cell r="Y7987" t="str">
            <v>Past</v>
          </cell>
          <cell r="Z7987">
            <v>1.73</v>
          </cell>
          <cell r="AA7987" t="str">
            <v>L</v>
          </cell>
          <cell r="AB7987">
            <v>0</v>
          </cell>
        </row>
        <row r="7988">
          <cell r="G7988" t="str">
            <v>X3264_0</v>
          </cell>
          <cell r="H7988" t="str">
            <v/>
          </cell>
          <cell r="I7988" t="str">
            <v>met</v>
          </cell>
          <cell r="V7988" t="str">
            <v>0</v>
          </cell>
          <cell r="Y7988" t="str">
            <v>Pres</v>
          </cell>
          <cell r="Z7988">
            <v>4.13</v>
          </cell>
          <cell r="AA7988">
            <v>0</v>
          </cell>
          <cell r="AB7988">
            <v>0</v>
          </cell>
        </row>
        <row r="7989">
          <cell r="G7989" t="str">
            <v>X3264_1</v>
          </cell>
          <cell r="H7989" t="str">
            <v/>
          </cell>
          <cell r="I7989" t="str">
            <v>met</v>
          </cell>
          <cell r="V7989" t="str">
            <v>0</v>
          </cell>
          <cell r="Y7989" t="str">
            <v>Pres</v>
          </cell>
          <cell r="Z7989">
            <v>4.13</v>
          </cell>
          <cell r="AA7989">
            <v>0</v>
          </cell>
          <cell r="AB7989">
            <v>0</v>
          </cell>
        </row>
        <row r="7990">
          <cell r="G7990" t="str">
            <v>X3265_0</v>
          </cell>
          <cell r="H7990" t="str">
            <v/>
          </cell>
          <cell r="I7990" t="str">
            <v>met</v>
          </cell>
          <cell r="V7990" t="str">
            <v>0</v>
          </cell>
          <cell r="Y7990" t="str">
            <v>Past</v>
          </cell>
          <cell r="Z7990">
            <v>1.97</v>
          </cell>
          <cell r="AA7990" t="str">
            <v>L</v>
          </cell>
          <cell r="AB7990">
            <v>0</v>
          </cell>
        </row>
        <row r="7991">
          <cell r="G7991" t="str">
            <v>X3265_1</v>
          </cell>
          <cell r="H7991" t="str">
            <v/>
          </cell>
          <cell r="I7991" t="str">
            <v>met</v>
          </cell>
          <cell r="V7991" t="str">
            <v>0</v>
          </cell>
          <cell r="Y7991" t="str">
            <v>Past</v>
          </cell>
          <cell r="Z7991">
            <v>1.97</v>
          </cell>
          <cell r="AA7991" t="str">
            <v>L</v>
          </cell>
          <cell r="AB7991">
            <v>0</v>
          </cell>
        </row>
        <row r="7992">
          <cell r="G7992" t="str">
            <v>X3266_0</v>
          </cell>
          <cell r="H7992" t="str">
            <v/>
          </cell>
          <cell r="I7992" t="str">
            <v>met</v>
          </cell>
          <cell r="V7992" t="str">
            <v>0</v>
          </cell>
          <cell r="Y7992" t="str">
            <v>Past</v>
          </cell>
          <cell r="Z7992">
            <v>4.8499999999999996</v>
          </cell>
          <cell r="AA7992">
            <v>0</v>
          </cell>
          <cell r="AB7992">
            <v>0</v>
          </cell>
        </row>
        <row r="7993">
          <cell r="G7993" t="str">
            <v>X3266_1</v>
          </cell>
          <cell r="H7993" t="str">
            <v/>
          </cell>
          <cell r="I7993" t="str">
            <v>met</v>
          </cell>
          <cell r="V7993" t="str">
            <v>0</v>
          </cell>
          <cell r="Y7993" t="str">
            <v>Past</v>
          </cell>
          <cell r="Z7993">
            <v>4.8499999999999996</v>
          </cell>
          <cell r="AA7993">
            <v>0</v>
          </cell>
          <cell r="AB7993">
            <v>0</v>
          </cell>
        </row>
        <row r="7994">
          <cell r="G7994" t="str">
            <v>X3267_0</v>
          </cell>
          <cell r="H7994" t="str">
            <v>as-as</v>
          </cell>
          <cell r="I7994" t="str">
            <v>sim</v>
          </cell>
          <cell r="V7994" t="str">
            <v>not</v>
          </cell>
          <cell r="Y7994" t="str">
            <v>Past</v>
          </cell>
          <cell r="Z7994">
            <v>4.5199999999999996</v>
          </cell>
          <cell r="AA7994">
            <v>0</v>
          </cell>
          <cell r="AB7994">
            <v>0</v>
          </cell>
        </row>
        <row r="7995">
          <cell r="G7995" t="str">
            <v>X3267_1</v>
          </cell>
          <cell r="H7995" t="str">
            <v>as-as</v>
          </cell>
          <cell r="I7995" t="str">
            <v>sim</v>
          </cell>
          <cell r="V7995" t="str">
            <v>not</v>
          </cell>
          <cell r="Y7995" t="str">
            <v>Past</v>
          </cell>
          <cell r="Z7995">
            <v>4.5199999999999996</v>
          </cell>
          <cell r="AA7995">
            <v>0</v>
          </cell>
          <cell r="AB7995">
            <v>0</v>
          </cell>
        </row>
        <row r="7996">
          <cell r="G7996" t="str">
            <v>X3268_0</v>
          </cell>
          <cell r="H7996" t="str">
            <v>as-as</v>
          </cell>
          <cell r="I7996" t="str">
            <v>sim</v>
          </cell>
          <cell r="V7996" t="str">
            <v>not neg pair</v>
          </cell>
          <cell r="Y7996" t="str">
            <v>Past</v>
          </cell>
          <cell r="Z7996">
            <v>2.41</v>
          </cell>
          <cell r="AA7996" t="str">
            <v>L</v>
          </cell>
          <cell r="AB7996">
            <v>0</v>
          </cell>
        </row>
        <row r="7997">
          <cell r="G7997" t="str">
            <v>X3268_1</v>
          </cell>
          <cell r="H7997" t="str">
            <v>as-as</v>
          </cell>
          <cell r="I7997" t="str">
            <v>sim</v>
          </cell>
          <cell r="V7997" t="str">
            <v>not neg pair</v>
          </cell>
          <cell r="Y7997" t="str">
            <v>Past</v>
          </cell>
          <cell r="Z7997">
            <v>2.41</v>
          </cell>
          <cell r="AA7997" t="str">
            <v>L</v>
          </cell>
          <cell r="AB7997">
            <v>0</v>
          </cell>
        </row>
        <row r="7998">
          <cell r="G7998" t="str">
            <v>X3269_0</v>
          </cell>
          <cell r="H7998" t="str">
            <v>as-as</v>
          </cell>
          <cell r="I7998" t="str">
            <v>sim</v>
          </cell>
          <cell r="V7998" t="str">
            <v>antonym</v>
          </cell>
          <cell r="Y7998" t="str">
            <v>Past</v>
          </cell>
          <cell r="Z7998">
            <v>2.29</v>
          </cell>
          <cell r="AA7998" t="str">
            <v>L</v>
          </cell>
          <cell r="AB7998">
            <v>0</v>
          </cell>
        </row>
        <row r="7999">
          <cell r="G7999" t="str">
            <v>X3269_1</v>
          </cell>
          <cell r="H7999" t="str">
            <v>as-as</v>
          </cell>
          <cell r="I7999" t="str">
            <v>sim</v>
          </cell>
          <cell r="V7999" t="str">
            <v>antonym</v>
          </cell>
          <cell r="Y7999" t="str">
            <v>Past</v>
          </cell>
          <cell r="Z7999">
            <v>2.29</v>
          </cell>
          <cell r="AA7999" t="str">
            <v>L</v>
          </cell>
          <cell r="AB7999">
            <v>0</v>
          </cell>
        </row>
        <row r="8000">
          <cell r="G8000" t="str">
            <v>X3270_0</v>
          </cell>
          <cell r="H8000" t="str">
            <v>as-as</v>
          </cell>
          <cell r="I8000" t="str">
            <v>sim</v>
          </cell>
          <cell r="V8000" t="str">
            <v>antonym</v>
          </cell>
          <cell r="Y8000" t="str">
            <v>Pres</v>
          </cell>
          <cell r="Z8000">
            <v>2.81</v>
          </cell>
          <cell r="AA8000">
            <v>0</v>
          </cell>
          <cell r="AB8000">
            <v>0</v>
          </cell>
        </row>
        <row r="8001">
          <cell r="G8001" t="str">
            <v>X3270_1</v>
          </cell>
          <cell r="H8001" t="str">
            <v>as-as</v>
          </cell>
          <cell r="I8001" t="str">
            <v>sim</v>
          </cell>
          <cell r="V8001" t="str">
            <v>antonym</v>
          </cell>
          <cell r="Y8001" t="str">
            <v>Pres</v>
          </cell>
          <cell r="Z8001">
            <v>2.81</v>
          </cell>
          <cell r="AA8001">
            <v>0</v>
          </cell>
          <cell r="AB8001">
            <v>0</v>
          </cell>
        </row>
        <row r="8002">
          <cell r="G8002" t="str">
            <v>X3271_0</v>
          </cell>
          <cell r="H8002" t="str">
            <v>the-of</v>
          </cell>
          <cell r="I8002" t="str">
            <v>sim</v>
          </cell>
          <cell r="V8002" t="str">
            <v>not</v>
          </cell>
          <cell r="Y8002" t="str">
            <v>Past</v>
          </cell>
          <cell r="Z8002">
            <v>4.6900000000000004</v>
          </cell>
          <cell r="AA8002">
            <v>0</v>
          </cell>
          <cell r="AB8002">
            <v>0</v>
          </cell>
        </row>
        <row r="8003">
          <cell r="G8003" t="str">
            <v>X3271_1</v>
          </cell>
          <cell r="H8003" t="str">
            <v>the-of</v>
          </cell>
          <cell r="I8003" t="str">
            <v>sim</v>
          </cell>
          <cell r="V8003" t="str">
            <v>not</v>
          </cell>
          <cell r="Y8003" t="str">
            <v>Past</v>
          </cell>
          <cell r="Z8003">
            <v>4.6900000000000004</v>
          </cell>
          <cell r="AA8003">
            <v>0</v>
          </cell>
          <cell r="AB8003">
            <v>0</v>
          </cell>
        </row>
        <row r="8004">
          <cell r="G8004" t="str">
            <v>X3272_0</v>
          </cell>
          <cell r="H8004" t="str">
            <v/>
          </cell>
          <cell r="I8004" t="str">
            <v>met</v>
          </cell>
          <cell r="V8004" t="str">
            <v>0</v>
          </cell>
          <cell r="Y8004" t="str">
            <v>Past</v>
          </cell>
          <cell r="Z8004">
            <v>5</v>
          </cell>
          <cell r="AA8004" t="str">
            <v>H</v>
          </cell>
          <cell r="AB8004">
            <v>0</v>
          </cell>
        </row>
        <row r="8005">
          <cell r="G8005" t="str">
            <v>X3272_1</v>
          </cell>
          <cell r="H8005" t="str">
            <v/>
          </cell>
          <cell r="I8005" t="str">
            <v>met</v>
          </cell>
          <cell r="V8005" t="str">
            <v>0</v>
          </cell>
          <cell r="Y8005" t="str">
            <v>Pres</v>
          </cell>
          <cell r="Z8005">
            <v>5</v>
          </cell>
          <cell r="AA8005" t="str">
            <v>H</v>
          </cell>
          <cell r="AB8005">
            <v>0</v>
          </cell>
        </row>
        <row r="8006">
          <cell r="G8006" t="str">
            <v>X3273_0</v>
          </cell>
          <cell r="H8006" t="str">
            <v>the-of</v>
          </cell>
          <cell r="I8006" t="str">
            <v>sim</v>
          </cell>
          <cell r="V8006" t="str">
            <v>not</v>
          </cell>
          <cell r="Y8006" t="str">
            <v>Pres</v>
          </cell>
          <cell r="Z8006">
            <v>3.93</v>
          </cell>
          <cell r="AA8006">
            <v>0</v>
          </cell>
          <cell r="AB8006">
            <v>0</v>
          </cell>
        </row>
        <row r="8007">
          <cell r="G8007" t="str">
            <v>X3273_1</v>
          </cell>
          <cell r="H8007" t="str">
            <v>the-of</v>
          </cell>
          <cell r="I8007" t="str">
            <v>sim</v>
          </cell>
          <cell r="V8007" t="str">
            <v>not</v>
          </cell>
          <cell r="Y8007" t="str">
            <v>Pres</v>
          </cell>
          <cell r="Z8007">
            <v>3.93</v>
          </cell>
          <cell r="AA8007">
            <v>0</v>
          </cell>
          <cell r="AB8007">
            <v>0</v>
          </cell>
        </row>
        <row r="8008">
          <cell r="G8008" t="str">
            <v>X3274_0</v>
          </cell>
          <cell r="H8008" t="str">
            <v>like</v>
          </cell>
          <cell r="I8008" t="str">
            <v>sim</v>
          </cell>
          <cell r="V8008" t="str">
            <v>not neg pair</v>
          </cell>
          <cell r="Y8008" t="str">
            <v>Past</v>
          </cell>
          <cell r="Z8008">
            <v>3.36</v>
          </cell>
          <cell r="AA8008">
            <v>0</v>
          </cell>
          <cell r="AB8008">
            <v>0</v>
          </cell>
        </row>
        <row r="8009">
          <cell r="G8009" t="str">
            <v>X3274_1</v>
          </cell>
          <cell r="H8009" t="str">
            <v>like</v>
          </cell>
          <cell r="I8009" t="str">
            <v>sim</v>
          </cell>
          <cell r="V8009" t="str">
            <v>not neg pair</v>
          </cell>
          <cell r="Y8009" t="str">
            <v>Past</v>
          </cell>
          <cell r="Z8009">
            <v>3.36</v>
          </cell>
          <cell r="AA8009">
            <v>0</v>
          </cell>
          <cell r="AB8009">
            <v>0</v>
          </cell>
        </row>
        <row r="8010">
          <cell r="G8010" t="str">
            <v>X3275_0</v>
          </cell>
          <cell r="H8010" t="str">
            <v/>
          </cell>
          <cell r="I8010" t="str">
            <v>met</v>
          </cell>
          <cell r="V8010" t="str">
            <v>0</v>
          </cell>
          <cell r="Y8010" t="str">
            <v>Past</v>
          </cell>
          <cell r="Z8010">
            <v>1.75</v>
          </cell>
          <cell r="AA8010" t="str">
            <v>L</v>
          </cell>
          <cell r="AB8010">
            <v>0</v>
          </cell>
        </row>
        <row r="8011">
          <cell r="G8011" t="str">
            <v>X3275_1</v>
          </cell>
          <cell r="H8011" t="str">
            <v/>
          </cell>
          <cell r="I8011" t="str">
            <v>met</v>
          </cell>
          <cell r="V8011" t="str">
            <v>0</v>
          </cell>
          <cell r="Y8011" t="str">
            <v>Past</v>
          </cell>
          <cell r="Z8011">
            <v>1.75</v>
          </cell>
          <cell r="AA8011" t="str">
            <v>L</v>
          </cell>
          <cell r="AB8011">
            <v>0</v>
          </cell>
        </row>
        <row r="8012">
          <cell r="G8012" t="str">
            <v>X3276_0</v>
          </cell>
          <cell r="H8012" t="str">
            <v>as-as</v>
          </cell>
          <cell r="I8012" t="str">
            <v>sim</v>
          </cell>
          <cell r="V8012" t="str">
            <v>not</v>
          </cell>
          <cell r="Y8012" t="str">
            <v>Past</v>
          </cell>
          <cell r="Z8012">
            <v>4.46</v>
          </cell>
          <cell r="AA8012">
            <v>0</v>
          </cell>
          <cell r="AB8012">
            <v>0</v>
          </cell>
        </row>
        <row r="8013">
          <cell r="G8013" t="str">
            <v>X3276_1</v>
          </cell>
          <cell r="H8013" t="str">
            <v>as-as</v>
          </cell>
          <cell r="I8013" t="str">
            <v>sim</v>
          </cell>
          <cell r="V8013" t="str">
            <v>not</v>
          </cell>
          <cell r="Y8013" t="str">
            <v>Past</v>
          </cell>
          <cell r="Z8013">
            <v>4.46</v>
          </cell>
          <cell r="AA8013">
            <v>0</v>
          </cell>
          <cell r="AB8013">
            <v>0</v>
          </cell>
        </row>
        <row r="8014">
          <cell r="G8014" t="str">
            <v>X3277_0</v>
          </cell>
          <cell r="H8014" t="str">
            <v>the-of</v>
          </cell>
          <cell r="I8014" t="str">
            <v>sim</v>
          </cell>
          <cell r="V8014" t="str">
            <v>not neg pair</v>
          </cell>
          <cell r="Y8014" t="str">
            <v>Past</v>
          </cell>
          <cell r="Z8014">
            <v>3.85</v>
          </cell>
          <cell r="AA8014">
            <v>0</v>
          </cell>
          <cell r="AB8014">
            <v>0</v>
          </cell>
        </row>
        <row r="8015">
          <cell r="G8015" t="str">
            <v>X3277_1</v>
          </cell>
          <cell r="H8015" t="str">
            <v>the-of</v>
          </cell>
          <cell r="I8015" t="str">
            <v>sim</v>
          </cell>
          <cell r="V8015" t="str">
            <v>not neg pair</v>
          </cell>
          <cell r="Y8015" t="str">
            <v>Past</v>
          </cell>
          <cell r="Z8015">
            <v>3.85</v>
          </cell>
          <cell r="AA8015">
            <v>0</v>
          </cell>
          <cell r="AB8015">
            <v>0</v>
          </cell>
        </row>
        <row r="8016">
          <cell r="G8016" t="str">
            <v>X3278_0</v>
          </cell>
          <cell r="H8016" t="str">
            <v/>
          </cell>
          <cell r="I8016" t="str">
            <v>met</v>
          </cell>
          <cell r="V8016" t="str">
            <v>0</v>
          </cell>
          <cell r="Y8016" t="str">
            <v>Past</v>
          </cell>
          <cell r="Z8016">
            <v>4.13</v>
          </cell>
          <cell r="AA8016">
            <v>0</v>
          </cell>
          <cell r="AB8016">
            <v>0</v>
          </cell>
        </row>
        <row r="8017">
          <cell r="G8017" t="str">
            <v>X3278_1</v>
          </cell>
          <cell r="H8017" t="str">
            <v/>
          </cell>
          <cell r="I8017" t="str">
            <v>met</v>
          </cell>
          <cell r="V8017" t="str">
            <v>0</v>
          </cell>
          <cell r="Y8017" t="str">
            <v>Past</v>
          </cell>
          <cell r="Z8017">
            <v>4.13</v>
          </cell>
          <cell r="AA8017">
            <v>0</v>
          </cell>
          <cell r="AB8017">
            <v>0</v>
          </cell>
        </row>
        <row r="8018">
          <cell r="G8018" t="str">
            <v>1_0</v>
          </cell>
          <cell r="H8018" t="str">
            <v>the-of</v>
          </cell>
          <cell r="I8018" t="str">
            <v>sim</v>
          </cell>
          <cell r="V8018" t="str">
            <v>not neg pair</v>
          </cell>
          <cell r="Y8018" t="str">
            <v>Past</v>
          </cell>
          <cell r="Z8018">
            <v>4.8499999999999996</v>
          </cell>
          <cell r="AA8018">
            <v>0</v>
          </cell>
          <cell r="AB8018">
            <v>0</v>
          </cell>
        </row>
        <row r="8019">
          <cell r="G8019" t="str">
            <v>1_1</v>
          </cell>
          <cell r="H8019" t="str">
            <v>the-of</v>
          </cell>
          <cell r="I8019" t="str">
            <v>sim</v>
          </cell>
          <cell r="V8019" t="str">
            <v>not neg pair</v>
          </cell>
          <cell r="Y8019" t="str">
            <v>Past</v>
          </cell>
          <cell r="Z8019">
            <v>4.8499999999999996</v>
          </cell>
          <cell r="AA8019">
            <v>0</v>
          </cell>
          <cell r="AB8019">
            <v>0</v>
          </cell>
        </row>
        <row r="8020">
          <cell r="G8020" t="str">
            <v>3_0</v>
          </cell>
          <cell r="H8020" t="str">
            <v>as-as</v>
          </cell>
          <cell r="I8020" t="str">
            <v>sim</v>
          </cell>
          <cell r="V8020" t="str">
            <v>antonym</v>
          </cell>
          <cell r="Y8020" t="str">
            <v>Past</v>
          </cell>
          <cell r="Z8020">
            <v>2.81</v>
          </cell>
          <cell r="AA8020">
            <v>0</v>
          </cell>
          <cell r="AB8020">
            <v>0</v>
          </cell>
        </row>
        <row r="8021">
          <cell r="G8021" t="str">
            <v>3_1</v>
          </cell>
          <cell r="H8021" t="str">
            <v>as-as</v>
          </cell>
          <cell r="I8021" t="str">
            <v>sim</v>
          </cell>
          <cell r="V8021" t="str">
            <v>antonym</v>
          </cell>
          <cell r="Y8021" t="str">
            <v>Past</v>
          </cell>
          <cell r="Z8021">
            <v>2.81</v>
          </cell>
          <cell r="AA8021">
            <v>0</v>
          </cell>
          <cell r="AB8021">
            <v>0</v>
          </cell>
        </row>
        <row r="8022">
          <cell r="G8022" t="str">
            <v>4_0</v>
          </cell>
          <cell r="H8022" t="str">
            <v>as-as</v>
          </cell>
          <cell r="I8022" t="str">
            <v>sim</v>
          </cell>
          <cell r="V8022" t="str">
            <v>not</v>
          </cell>
          <cell r="Y8022" t="str">
            <v>Past</v>
          </cell>
          <cell r="Z8022">
            <v>4.78</v>
          </cell>
          <cell r="AA8022">
            <v>0</v>
          </cell>
          <cell r="AB8022">
            <v>0</v>
          </cell>
        </row>
        <row r="8023">
          <cell r="G8023" t="str">
            <v>4_1</v>
          </cell>
          <cell r="H8023" t="str">
            <v>as-as</v>
          </cell>
          <cell r="I8023" t="str">
            <v>sim</v>
          </cell>
          <cell r="V8023" t="str">
            <v>not</v>
          </cell>
          <cell r="Y8023" t="str">
            <v>Past</v>
          </cell>
          <cell r="Z8023">
            <v>4.78</v>
          </cell>
          <cell r="AA8023">
            <v>0</v>
          </cell>
          <cell r="AB8023">
            <v>0</v>
          </cell>
        </row>
        <row r="8024">
          <cell r="G8024" t="str">
            <v>6_0</v>
          </cell>
          <cell r="H8024" t="str">
            <v/>
          </cell>
          <cell r="I8024" t="str">
            <v>met</v>
          </cell>
          <cell r="V8024" t="str">
            <v>0</v>
          </cell>
          <cell r="Y8024" t="str">
            <v>Pres</v>
          </cell>
          <cell r="Z8024">
            <v>3.44</v>
          </cell>
          <cell r="AA8024">
            <v>0</v>
          </cell>
          <cell r="AB8024">
            <v>0</v>
          </cell>
        </row>
        <row r="8025">
          <cell r="G8025" t="str">
            <v>6_1</v>
          </cell>
          <cell r="H8025" t="str">
            <v/>
          </cell>
          <cell r="I8025" t="str">
            <v>met</v>
          </cell>
          <cell r="V8025" t="str">
            <v>0</v>
          </cell>
          <cell r="Y8025" t="str">
            <v>Pres</v>
          </cell>
          <cell r="Z8025">
            <v>3.44</v>
          </cell>
          <cell r="AA8025">
            <v>0</v>
          </cell>
          <cell r="AB8025">
            <v>0</v>
          </cell>
        </row>
        <row r="8026">
          <cell r="G8026" t="str">
            <v>8_0</v>
          </cell>
          <cell r="H8026" t="str">
            <v/>
          </cell>
          <cell r="I8026" t="str">
            <v>met</v>
          </cell>
          <cell r="V8026" t="str">
            <v>0</v>
          </cell>
          <cell r="Y8026" t="str">
            <v>Pres</v>
          </cell>
          <cell r="Z8026">
            <v>3.63</v>
          </cell>
          <cell r="AA8026">
            <v>0</v>
          </cell>
          <cell r="AB8026">
            <v>0</v>
          </cell>
        </row>
        <row r="8027">
          <cell r="G8027" t="str">
            <v>8_1</v>
          </cell>
          <cell r="H8027" t="str">
            <v/>
          </cell>
          <cell r="I8027" t="str">
            <v>met</v>
          </cell>
          <cell r="V8027" t="str">
            <v>0</v>
          </cell>
          <cell r="Y8027" t="str">
            <v>Pres</v>
          </cell>
          <cell r="Z8027">
            <v>3.63</v>
          </cell>
          <cell r="AA8027">
            <v>0</v>
          </cell>
          <cell r="AB8027">
            <v>0</v>
          </cell>
        </row>
        <row r="8028">
          <cell r="G8028" t="str">
            <v>12_0</v>
          </cell>
          <cell r="H8028" t="str">
            <v>as-as</v>
          </cell>
          <cell r="I8028" t="str">
            <v>sim</v>
          </cell>
          <cell r="V8028" t="str">
            <v>not</v>
          </cell>
          <cell r="Y8028" t="str">
            <v>Pres</v>
          </cell>
          <cell r="Z8028">
            <v>2.81</v>
          </cell>
          <cell r="AA8028">
            <v>0</v>
          </cell>
          <cell r="AB8028">
            <v>0</v>
          </cell>
        </row>
        <row r="8029">
          <cell r="G8029" t="str">
            <v>12_1</v>
          </cell>
          <cell r="H8029" t="str">
            <v>as-as</v>
          </cell>
          <cell r="I8029" t="str">
            <v>sim</v>
          </cell>
          <cell r="V8029" t="str">
            <v>not</v>
          </cell>
          <cell r="Y8029" t="str">
            <v>Pres</v>
          </cell>
          <cell r="Z8029">
            <v>2.81</v>
          </cell>
          <cell r="AA8029">
            <v>0</v>
          </cell>
          <cell r="AB8029">
            <v>0</v>
          </cell>
        </row>
        <row r="8030">
          <cell r="G8030" t="str">
            <v>13_0</v>
          </cell>
          <cell r="H8030" t="str">
            <v>as-as</v>
          </cell>
          <cell r="I8030" t="str">
            <v>sim</v>
          </cell>
          <cell r="V8030" t="str">
            <v>not</v>
          </cell>
          <cell r="Y8030" t="str">
            <v>Pres</v>
          </cell>
          <cell r="Z8030">
            <v>2.81</v>
          </cell>
          <cell r="AA8030">
            <v>0</v>
          </cell>
          <cell r="AB8030">
            <v>0</v>
          </cell>
        </row>
        <row r="8031">
          <cell r="G8031" t="str">
            <v>13_1</v>
          </cell>
          <cell r="H8031" t="str">
            <v>as-as</v>
          </cell>
          <cell r="I8031" t="str">
            <v>sim</v>
          </cell>
          <cell r="V8031" t="str">
            <v>not</v>
          </cell>
          <cell r="Y8031" t="str">
            <v>Pres</v>
          </cell>
          <cell r="Z8031">
            <v>2.81</v>
          </cell>
          <cell r="AA8031">
            <v>0</v>
          </cell>
          <cell r="AB8031">
            <v>0</v>
          </cell>
        </row>
        <row r="8032">
          <cell r="G8032" t="str">
            <v>15_0</v>
          </cell>
          <cell r="H8032" t="str">
            <v>like</v>
          </cell>
          <cell r="I8032" t="str">
            <v>sim</v>
          </cell>
          <cell r="V8032" t="str">
            <v>not neg pair</v>
          </cell>
          <cell r="Y8032" t="str">
            <v>Past</v>
          </cell>
          <cell r="Z8032">
            <v>4.3099999999999996</v>
          </cell>
          <cell r="AA8032">
            <v>0</v>
          </cell>
          <cell r="AB8032">
            <v>0</v>
          </cell>
        </row>
        <row r="8033">
          <cell r="G8033" t="str">
            <v>15_1</v>
          </cell>
          <cell r="H8033" t="str">
            <v>like</v>
          </cell>
          <cell r="I8033" t="str">
            <v>sim</v>
          </cell>
          <cell r="V8033" t="str">
            <v>not neg pair</v>
          </cell>
          <cell r="Y8033" t="str">
            <v>Past</v>
          </cell>
          <cell r="Z8033">
            <v>4.3099999999999996</v>
          </cell>
          <cell r="AA8033">
            <v>0</v>
          </cell>
          <cell r="AB8033">
            <v>0</v>
          </cell>
        </row>
        <row r="8034">
          <cell r="G8034" t="str">
            <v>17_0</v>
          </cell>
          <cell r="H8034" t="str">
            <v>as-as</v>
          </cell>
          <cell r="I8034" t="str">
            <v>sim</v>
          </cell>
          <cell r="V8034" t="str">
            <v>not</v>
          </cell>
          <cell r="Y8034" t="str">
            <v>Pres</v>
          </cell>
          <cell r="Z8034">
            <v>3.19</v>
          </cell>
          <cell r="AA8034">
            <v>0</v>
          </cell>
          <cell r="AB8034">
            <v>0</v>
          </cell>
        </row>
        <row r="8035">
          <cell r="G8035" t="str">
            <v>17_1</v>
          </cell>
          <cell r="H8035" t="str">
            <v>as-as</v>
          </cell>
          <cell r="I8035" t="str">
            <v>sim</v>
          </cell>
          <cell r="V8035" t="str">
            <v>not</v>
          </cell>
          <cell r="Y8035" t="str">
            <v>Pres</v>
          </cell>
          <cell r="Z8035">
            <v>3.19</v>
          </cell>
          <cell r="AA8035">
            <v>0</v>
          </cell>
          <cell r="AB8035">
            <v>0</v>
          </cell>
        </row>
        <row r="8036">
          <cell r="G8036" t="str">
            <v>18_0</v>
          </cell>
          <cell r="H8036" t="str">
            <v/>
          </cell>
          <cell r="I8036" t="str">
            <v>met</v>
          </cell>
          <cell r="V8036" t="str">
            <v>0</v>
          </cell>
          <cell r="Y8036" t="str">
            <v>Pres</v>
          </cell>
          <cell r="Z8036">
            <v>1.62</v>
          </cell>
          <cell r="AA8036" t="str">
            <v>L</v>
          </cell>
          <cell r="AB8036">
            <v>0</v>
          </cell>
        </row>
        <row r="8037">
          <cell r="G8037" t="str">
            <v>18_1</v>
          </cell>
          <cell r="H8037" t="str">
            <v/>
          </cell>
          <cell r="I8037" t="str">
            <v>met</v>
          </cell>
          <cell r="V8037" t="str">
            <v>0</v>
          </cell>
          <cell r="Y8037" t="str">
            <v>Pres</v>
          </cell>
          <cell r="Z8037">
            <v>1.62</v>
          </cell>
          <cell r="AA8037" t="str">
            <v>L</v>
          </cell>
          <cell r="AB8037">
            <v>0</v>
          </cell>
        </row>
        <row r="8038">
          <cell r="G8038" t="str">
            <v>19_0</v>
          </cell>
          <cell r="H8038" t="str">
            <v/>
          </cell>
          <cell r="I8038" t="str">
            <v>met</v>
          </cell>
          <cell r="V8038" t="str">
            <v>0</v>
          </cell>
          <cell r="Y8038" t="str">
            <v>Pres</v>
          </cell>
          <cell r="Z8038">
            <v>4.76</v>
          </cell>
          <cell r="AA8038">
            <v>0</v>
          </cell>
          <cell r="AB8038">
            <v>0</v>
          </cell>
        </row>
        <row r="8039">
          <cell r="G8039" t="str">
            <v>19_1</v>
          </cell>
          <cell r="H8039" t="str">
            <v/>
          </cell>
          <cell r="I8039" t="str">
            <v>met</v>
          </cell>
          <cell r="V8039" t="str">
            <v>0</v>
          </cell>
          <cell r="Y8039" t="str">
            <v>Pres</v>
          </cell>
          <cell r="Z8039">
            <v>4.76</v>
          </cell>
          <cell r="AA8039">
            <v>0</v>
          </cell>
          <cell r="AB8039">
            <v>0</v>
          </cell>
        </row>
        <row r="8040">
          <cell r="G8040" t="str">
            <v>21_0</v>
          </cell>
          <cell r="H8040" t="str">
            <v>as-as</v>
          </cell>
          <cell r="I8040" t="str">
            <v>sim</v>
          </cell>
          <cell r="V8040" t="str">
            <v>not neg pair</v>
          </cell>
          <cell r="Y8040" t="str">
            <v>Past</v>
          </cell>
          <cell r="Z8040">
            <v>2.81</v>
          </cell>
          <cell r="AA8040">
            <v>0</v>
          </cell>
          <cell r="AB8040">
            <v>0</v>
          </cell>
        </row>
        <row r="8041">
          <cell r="G8041" t="str">
            <v>21_1</v>
          </cell>
          <cell r="H8041" t="str">
            <v>as-as</v>
          </cell>
          <cell r="I8041" t="str">
            <v>sim</v>
          </cell>
          <cell r="V8041" t="str">
            <v>not neg pair</v>
          </cell>
          <cell r="Y8041" t="str">
            <v>Past</v>
          </cell>
          <cell r="Z8041">
            <v>2.81</v>
          </cell>
          <cell r="AA8041">
            <v>0</v>
          </cell>
          <cell r="AB8041">
            <v>0</v>
          </cell>
        </row>
        <row r="8042">
          <cell r="G8042" t="str">
            <v>23_0</v>
          </cell>
          <cell r="H8042" t="str">
            <v>as-as</v>
          </cell>
          <cell r="I8042" t="str">
            <v>sim</v>
          </cell>
          <cell r="V8042" t="str">
            <v>not neg pair</v>
          </cell>
          <cell r="Y8042" t="str">
            <v>Past</v>
          </cell>
          <cell r="Z8042">
            <v>3.93</v>
          </cell>
          <cell r="AA8042">
            <v>0</v>
          </cell>
          <cell r="AB8042">
            <v>0</v>
          </cell>
        </row>
        <row r="8043">
          <cell r="G8043" t="str">
            <v>23_1</v>
          </cell>
          <cell r="H8043" t="str">
            <v>as-as</v>
          </cell>
          <cell r="I8043" t="str">
            <v>sim</v>
          </cell>
          <cell r="V8043" t="str">
            <v>not neg pair</v>
          </cell>
          <cell r="Y8043" t="str">
            <v>Past</v>
          </cell>
          <cell r="Z8043">
            <v>3.93</v>
          </cell>
          <cell r="AA8043">
            <v>0</v>
          </cell>
          <cell r="AB8043">
            <v>0</v>
          </cell>
        </row>
        <row r="8044">
          <cell r="G8044" t="str">
            <v>25_0</v>
          </cell>
          <cell r="H8044" t="str">
            <v>as</v>
          </cell>
          <cell r="I8044" t="str">
            <v>sim</v>
          </cell>
          <cell r="V8044" t="str">
            <v>not</v>
          </cell>
          <cell r="Y8044" t="str">
            <v>Past</v>
          </cell>
          <cell r="Z8044">
            <v>3.28</v>
          </cell>
          <cell r="AA8044">
            <v>0</v>
          </cell>
          <cell r="AB8044">
            <v>0</v>
          </cell>
        </row>
        <row r="8045">
          <cell r="G8045" t="str">
            <v>25_1</v>
          </cell>
          <cell r="H8045" t="str">
            <v>as</v>
          </cell>
          <cell r="I8045" t="str">
            <v>sim</v>
          </cell>
          <cell r="V8045" t="str">
            <v>not</v>
          </cell>
          <cell r="Y8045" t="str">
            <v>Past</v>
          </cell>
          <cell r="Z8045">
            <v>3.28</v>
          </cell>
          <cell r="AA8045">
            <v>0</v>
          </cell>
          <cell r="AB8045">
            <v>0</v>
          </cell>
        </row>
        <row r="8046">
          <cell r="G8046" t="str">
            <v>27_0</v>
          </cell>
          <cell r="H8046" t="str">
            <v>like</v>
          </cell>
          <cell r="I8046" t="str">
            <v>sim</v>
          </cell>
          <cell r="V8046" t="str">
            <v>not neg pair</v>
          </cell>
          <cell r="Y8046" t="str">
            <v>Past</v>
          </cell>
          <cell r="Z8046">
            <v>4.8</v>
          </cell>
          <cell r="AA8046">
            <v>0</v>
          </cell>
          <cell r="AB8046">
            <v>0</v>
          </cell>
        </row>
        <row r="8047">
          <cell r="G8047" t="str">
            <v>27_1</v>
          </cell>
          <cell r="H8047" t="str">
            <v>like</v>
          </cell>
          <cell r="I8047" t="str">
            <v>sim</v>
          </cell>
          <cell r="V8047" t="str">
            <v>not neg pair</v>
          </cell>
          <cell r="Y8047" t="str">
            <v>Past</v>
          </cell>
          <cell r="Z8047">
            <v>4.8</v>
          </cell>
          <cell r="AA8047">
            <v>0</v>
          </cell>
          <cell r="AB8047">
            <v>0</v>
          </cell>
        </row>
        <row r="8048">
          <cell r="G8048" t="str">
            <v>28_0</v>
          </cell>
          <cell r="H8048" t="str">
            <v>like</v>
          </cell>
          <cell r="I8048" t="str">
            <v>sim</v>
          </cell>
          <cell r="V8048" t="str">
            <v>not neg pair</v>
          </cell>
          <cell r="Y8048" t="str">
            <v>Past</v>
          </cell>
          <cell r="Z8048">
            <v>3.93</v>
          </cell>
          <cell r="AA8048">
            <v>0</v>
          </cell>
          <cell r="AB8048">
            <v>0</v>
          </cell>
        </row>
        <row r="8049">
          <cell r="G8049" t="str">
            <v>28_1</v>
          </cell>
          <cell r="H8049" t="str">
            <v>like</v>
          </cell>
          <cell r="I8049" t="str">
            <v>sim</v>
          </cell>
          <cell r="V8049" t="str">
            <v>not neg pair</v>
          </cell>
          <cell r="Y8049" t="str">
            <v>Past</v>
          </cell>
          <cell r="Z8049">
            <v>3.93</v>
          </cell>
          <cell r="AA8049">
            <v>0</v>
          </cell>
          <cell r="AB8049">
            <v>0</v>
          </cell>
        </row>
        <row r="8050">
          <cell r="G8050" t="str">
            <v>29_0</v>
          </cell>
          <cell r="H8050" t="str">
            <v>like</v>
          </cell>
          <cell r="I8050" t="str">
            <v>sim</v>
          </cell>
          <cell r="V8050" t="str">
            <v>not neg pair</v>
          </cell>
          <cell r="Y8050" t="str">
            <v>Past</v>
          </cell>
          <cell r="Z8050">
            <v>3.93</v>
          </cell>
          <cell r="AA8050">
            <v>0</v>
          </cell>
          <cell r="AB8050">
            <v>0</v>
          </cell>
        </row>
        <row r="8051">
          <cell r="G8051" t="str">
            <v>29_1</v>
          </cell>
          <cell r="H8051" t="str">
            <v>like</v>
          </cell>
          <cell r="I8051" t="str">
            <v>sim</v>
          </cell>
          <cell r="V8051" t="str">
            <v>not neg pair</v>
          </cell>
          <cell r="Y8051" t="str">
            <v>Past</v>
          </cell>
          <cell r="Z8051">
            <v>3.93</v>
          </cell>
          <cell r="AA8051">
            <v>0</v>
          </cell>
          <cell r="AB8051">
            <v>0</v>
          </cell>
        </row>
        <row r="8052">
          <cell r="G8052" t="str">
            <v>41_0</v>
          </cell>
          <cell r="H8052" t="str">
            <v>as-as</v>
          </cell>
          <cell r="I8052" t="str">
            <v>sim</v>
          </cell>
          <cell r="V8052" t="str">
            <v>not</v>
          </cell>
          <cell r="Y8052" t="str">
            <v>Pres</v>
          </cell>
          <cell r="Z8052">
            <v>2.81</v>
          </cell>
          <cell r="AA8052">
            <v>0</v>
          </cell>
          <cell r="AB8052">
            <v>0</v>
          </cell>
        </row>
        <row r="8053">
          <cell r="G8053" t="str">
            <v>41_1</v>
          </cell>
          <cell r="H8053" t="str">
            <v>as-as</v>
          </cell>
          <cell r="I8053" t="str">
            <v>sim</v>
          </cell>
          <cell r="V8053" t="str">
            <v>not</v>
          </cell>
          <cell r="Y8053" t="str">
            <v>Pres</v>
          </cell>
          <cell r="Z8053">
            <v>2.81</v>
          </cell>
          <cell r="AA8053">
            <v>0</v>
          </cell>
          <cell r="AB8053">
            <v>0</v>
          </cell>
        </row>
        <row r="8054">
          <cell r="G8054" t="str">
            <v>44_0</v>
          </cell>
          <cell r="H8054" t="str">
            <v>the-of</v>
          </cell>
          <cell r="I8054" t="str">
            <v>sim</v>
          </cell>
          <cell r="V8054" t="str">
            <v>not neg pair</v>
          </cell>
          <cell r="Y8054" t="str">
            <v>Past</v>
          </cell>
          <cell r="Z8054">
            <v>2.1800000000000002</v>
          </cell>
          <cell r="AA8054" t="str">
            <v>L</v>
          </cell>
          <cell r="AB8054">
            <v>0</v>
          </cell>
        </row>
        <row r="8055">
          <cell r="G8055" t="str">
            <v>44_1</v>
          </cell>
          <cell r="H8055" t="str">
            <v>the-of</v>
          </cell>
          <cell r="I8055" t="str">
            <v>sim</v>
          </cell>
          <cell r="V8055" t="str">
            <v>not neg pair</v>
          </cell>
          <cell r="Y8055" t="str">
            <v>Past</v>
          </cell>
          <cell r="Z8055">
            <v>2.1800000000000002</v>
          </cell>
          <cell r="AA8055" t="str">
            <v>L</v>
          </cell>
          <cell r="AB8055">
            <v>0</v>
          </cell>
        </row>
        <row r="8056">
          <cell r="G8056" t="str">
            <v>45_0</v>
          </cell>
          <cell r="H8056" t="str">
            <v/>
          </cell>
          <cell r="I8056" t="str">
            <v>met</v>
          </cell>
          <cell r="V8056" t="str">
            <v>0</v>
          </cell>
          <cell r="Y8056" t="str">
            <v>Past</v>
          </cell>
          <cell r="Z8056">
            <v>3.28</v>
          </cell>
          <cell r="AA8056">
            <v>0</v>
          </cell>
          <cell r="AB8056">
            <v>0</v>
          </cell>
        </row>
        <row r="8057">
          <cell r="G8057" t="str">
            <v>45_1</v>
          </cell>
          <cell r="H8057" t="str">
            <v/>
          </cell>
          <cell r="I8057" t="str">
            <v>met</v>
          </cell>
          <cell r="V8057" t="str">
            <v>0</v>
          </cell>
          <cell r="Y8057" t="str">
            <v>Past</v>
          </cell>
          <cell r="Z8057">
            <v>3.28</v>
          </cell>
          <cell r="AA8057">
            <v>0</v>
          </cell>
          <cell r="AB8057">
            <v>0</v>
          </cell>
        </row>
        <row r="8058">
          <cell r="G8058" t="str">
            <v>48_0</v>
          </cell>
          <cell r="H8058" t="str">
            <v>as-as</v>
          </cell>
          <cell r="I8058" t="str">
            <v>sim</v>
          </cell>
          <cell r="V8058" t="str">
            <v>not neg pair</v>
          </cell>
          <cell r="Y8058" t="str">
            <v>Past</v>
          </cell>
          <cell r="Z8058">
            <v>3.3</v>
          </cell>
          <cell r="AA8058">
            <v>0</v>
          </cell>
          <cell r="AB8058">
            <v>0</v>
          </cell>
        </row>
        <row r="8059">
          <cell r="G8059" t="str">
            <v>48_1</v>
          </cell>
          <cell r="H8059" t="str">
            <v>as-as</v>
          </cell>
          <cell r="I8059" t="str">
            <v>sim</v>
          </cell>
          <cell r="V8059" t="str">
            <v>not neg pair</v>
          </cell>
          <cell r="Y8059" t="str">
            <v>Past</v>
          </cell>
          <cell r="Z8059">
            <v>3.3</v>
          </cell>
          <cell r="AA8059">
            <v>0</v>
          </cell>
          <cell r="AB8059">
            <v>0</v>
          </cell>
        </row>
        <row r="8060">
          <cell r="G8060" t="str">
            <v>52_0</v>
          </cell>
          <cell r="H8060" t="str">
            <v/>
          </cell>
          <cell r="I8060" t="str">
            <v>met</v>
          </cell>
          <cell r="V8060" t="str">
            <v>0</v>
          </cell>
          <cell r="Y8060" t="str">
            <v>Past</v>
          </cell>
          <cell r="Z8060">
            <v>1.62</v>
          </cell>
          <cell r="AA8060" t="str">
            <v>L</v>
          </cell>
          <cell r="AB8060">
            <v>0</v>
          </cell>
        </row>
        <row r="8061">
          <cell r="G8061" t="str">
            <v>52_1</v>
          </cell>
          <cell r="H8061" t="str">
            <v/>
          </cell>
          <cell r="I8061" t="str">
            <v>met</v>
          </cell>
          <cell r="V8061" t="str">
            <v>0</v>
          </cell>
          <cell r="Y8061" t="str">
            <v>Past</v>
          </cell>
          <cell r="Z8061">
            <v>1.62</v>
          </cell>
          <cell r="AA8061" t="str">
            <v>L</v>
          </cell>
          <cell r="AB8061">
            <v>0</v>
          </cell>
        </row>
        <row r="8062">
          <cell r="G8062" t="str">
            <v>53_0</v>
          </cell>
          <cell r="H8062" t="str">
            <v/>
          </cell>
          <cell r="I8062" t="str">
            <v>met</v>
          </cell>
          <cell r="V8062" t="str">
            <v>0</v>
          </cell>
          <cell r="Y8062" t="str">
            <v>Past</v>
          </cell>
          <cell r="Z8062">
            <v>1.54</v>
          </cell>
          <cell r="AA8062" t="str">
            <v>L</v>
          </cell>
          <cell r="AB8062">
            <v>0</v>
          </cell>
        </row>
        <row r="8063">
          <cell r="G8063" t="str">
            <v>53_1</v>
          </cell>
          <cell r="H8063" t="str">
            <v/>
          </cell>
          <cell r="I8063" t="str">
            <v>met</v>
          </cell>
          <cell r="V8063" t="str">
            <v>0</v>
          </cell>
          <cell r="Y8063" t="str">
            <v>Past</v>
          </cell>
          <cell r="Z8063">
            <v>1.54</v>
          </cell>
          <cell r="AA8063" t="str">
            <v>L</v>
          </cell>
          <cell r="AB8063">
            <v>0</v>
          </cell>
        </row>
        <row r="8064">
          <cell r="G8064" t="str">
            <v>55_0</v>
          </cell>
          <cell r="H8064" t="str">
            <v>like</v>
          </cell>
          <cell r="I8064" t="str">
            <v>sim</v>
          </cell>
          <cell r="V8064" t="str">
            <v>not neg pair</v>
          </cell>
          <cell r="Y8064" t="str">
            <v>Pres</v>
          </cell>
          <cell r="Z8064">
            <v>4.13</v>
          </cell>
          <cell r="AA8064">
            <v>0</v>
          </cell>
          <cell r="AB8064">
            <v>0</v>
          </cell>
        </row>
        <row r="8065">
          <cell r="G8065" t="str">
            <v>55_1</v>
          </cell>
          <cell r="H8065" t="str">
            <v>like</v>
          </cell>
          <cell r="I8065" t="str">
            <v>sim</v>
          </cell>
          <cell r="V8065" t="str">
            <v>not neg pair</v>
          </cell>
          <cell r="Y8065" t="str">
            <v>Pres</v>
          </cell>
          <cell r="Z8065">
            <v>4.13</v>
          </cell>
          <cell r="AA8065">
            <v>0</v>
          </cell>
          <cell r="AB8065">
            <v>0</v>
          </cell>
        </row>
        <row r="8066">
          <cell r="G8066" t="str">
            <v>57_0</v>
          </cell>
          <cell r="H8066" t="str">
            <v>as-as</v>
          </cell>
          <cell r="I8066" t="str">
            <v>sim</v>
          </cell>
          <cell r="V8066" t="str">
            <v>not neg pair</v>
          </cell>
          <cell r="Y8066" t="str">
            <v>Past</v>
          </cell>
          <cell r="Z8066">
            <v>3.93</v>
          </cell>
          <cell r="AA8066">
            <v>0</v>
          </cell>
          <cell r="AB8066">
            <v>0</v>
          </cell>
        </row>
        <row r="8067">
          <cell r="G8067" t="str">
            <v>57_1</v>
          </cell>
          <cell r="H8067" t="str">
            <v>as-as</v>
          </cell>
          <cell r="I8067" t="str">
            <v>sim</v>
          </cell>
          <cell r="V8067" t="str">
            <v>not neg pair</v>
          </cell>
          <cell r="Y8067" t="str">
            <v>Past</v>
          </cell>
          <cell r="Z8067">
            <v>3.93</v>
          </cell>
          <cell r="AA8067">
            <v>0</v>
          </cell>
          <cell r="AB8067">
            <v>0</v>
          </cell>
        </row>
        <row r="8068">
          <cell r="G8068" t="str">
            <v>58_0</v>
          </cell>
          <cell r="H8068" t="str">
            <v>like</v>
          </cell>
          <cell r="I8068" t="str">
            <v>sim</v>
          </cell>
          <cell r="V8068" t="str">
            <v>not neg pair</v>
          </cell>
          <cell r="Y8068" t="str">
            <v>Past</v>
          </cell>
          <cell r="Z8068">
            <v>3.87</v>
          </cell>
          <cell r="AA8068">
            <v>0</v>
          </cell>
          <cell r="AB8068">
            <v>0</v>
          </cell>
        </row>
        <row r="8069">
          <cell r="G8069" t="str">
            <v>58_1</v>
          </cell>
          <cell r="H8069" t="str">
            <v>like</v>
          </cell>
          <cell r="I8069" t="str">
            <v>sim</v>
          </cell>
          <cell r="V8069" t="str">
            <v>not neg pair</v>
          </cell>
          <cell r="Y8069" t="str">
            <v>Past</v>
          </cell>
          <cell r="Z8069">
            <v>3.87</v>
          </cell>
          <cell r="AA8069">
            <v>0</v>
          </cell>
          <cell r="AB8069">
            <v>0</v>
          </cell>
        </row>
        <row r="8070">
          <cell r="G8070" t="str">
            <v>60_0</v>
          </cell>
          <cell r="H8070" t="str">
            <v>like</v>
          </cell>
          <cell r="I8070" t="str">
            <v>sim</v>
          </cell>
          <cell r="V8070" t="str">
            <v>not neg pair</v>
          </cell>
          <cell r="Y8070" t="str">
            <v>Pres</v>
          </cell>
          <cell r="Z8070">
            <v>4.79</v>
          </cell>
          <cell r="AA8070">
            <v>0</v>
          </cell>
          <cell r="AB8070">
            <v>0</v>
          </cell>
        </row>
        <row r="8071">
          <cell r="G8071" t="str">
            <v>60_1</v>
          </cell>
          <cell r="H8071" t="str">
            <v>like</v>
          </cell>
          <cell r="I8071" t="str">
            <v>sim</v>
          </cell>
          <cell r="V8071" t="str">
            <v>not neg pair</v>
          </cell>
          <cell r="Y8071" t="str">
            <v>Pres</v>
          </cell>
          <cell r="Z8071">
            <v>4.79</v>
          </cell>
          <cell r="AA8071">
            <v>0</v>
          </cell>
          <cell r="AB8071">
            <v>0</v>
          </cell>
        </row>
        <row r="8072">
          <cell r="G8072" t="str">
            <v>65_0</v>
          </cell>
          <cell r="H8072" t="str">
            <v>as-as</v>
          </cell>
          <cell r="I8072" t="str">
            <v>sim</v>
          </cell>
          <cell r="V8072" t="str">
            <v>not neg pair</v>
          </cell>
          <cell r="Y8072" t="str">
            <v>Pres</v>
          </cell>
          <cell r="Z8072">
            <v>4.66</v>
          </cell>
          <cell r="AA8072">
            <v>0</v>
          </cell>
          <cell r="AB8072">
            <v>0</v>
          </cell>
        </row>
        <row r="8073">
          <cell r="G8073" t="str">
            <v>65_1</v>
          </cell>
          <cell r="H8073" t="str">
            <v>as-as</v>
          </cell>
          <cell r="I8073" t="str">
            <v>sim</v>
          </cell>
          <cell r="V8073" t="str">
            <v>not neg pair</v>
          </cell>
          <cell r="Y8073" t="str">
            <v>Past</v>
          </cell>
          <cell r="Z8073">
            <v>4.66</v>
          </cell>
          <cell r="AA8073">
            <v>0</v>
          </cell>
          <cell r="AB8073">
            <v>0</v>
          </cell>
        </row>
        <row r="8074">
          <cell r="G8074" t="str">
            <v>69_0</v>
          </cell>
          <cell r="H8074" t="str">
            <v>as-as</v>
          </cell>
          <cell r="I8074" t="str">
            <v>sim</v>
          </cell>
          <cell r="V8074" t="str">
            <v>not neg pair</v>
          </cell>
          <cell r="Y8074" t="str">
            <v>Pres</v>
          </cell>
          <cell r="Z8074">
            <v>3.36</v>
          </cell>
          <cell r="AA8074">
            <v>0</v>
          </cell>
          <cell r="AB8074">
            <v>0</v>
          </cell>
        </row>
        <row r="8075">
          <cell r="G8075" t="str">
            <v>69_1</v>
          </cell>
          <cell r="H8075" t="str">
            <v>as-as</v>
          </cell>
          <cell r="I8075" t="str">
            <v>sim</v>
          </cell>
          <cell r="V8075" t="str">
            <v>not neg pair</v>
          </cell>
          <cell r="Y8075" t="str">
            <v>Pres</v>
          </cell>
          <cell r="Z8075">
            <v>3.36</v>
          </cell>
          <cell r="AA8075">
            <v>0</v>
          </cell>
          <cell r="AB8075">
            <v>0</v>
          </cell>
        </row>
        <row r="8076">
          <cell r="G8076" t="str">
            <v>73_0</v>
          </cell>
          <cell r="H8076" t="str">
            <v/>
          </cell>
          <cell r="I8076" t="str">
            <v>met</v>
          </cell>
          <cell r="V8076" t="str">
            <v>0</v>
          </cell>
          <cell r="Y8076" t="str">
            <v>Pres</v>
          </cell>
          <cell r="Z8076">
            <v>2.81</v>
          </cell>
          <cell r="AA8076">
            <v>0</v>
          </cell>
          <cell r="AB8076">
            <v>0</v>
          </cell>
        </row>
        <row r="8077">
          <cell r="G8077" t="str">
            <v>73_1</v>
          </cell>
          <cell r="H8077" t="str">
            <v/>
          </cell>
          <cell r="I8077" t="str">
            <v>met</v>
          </cell>
          <cell r="V8077" t="str">
            <v>0</v>
          </cell>
          <cell r="Y8077" t="str">
            <v>Pres</v>
          </cell>
          <cell r="Z8077">
            <v>2.81</v>
          </cell>
          <cell r="AA8077">
            <v>0</v>
          </cell>
          <cell r="AB8077">
            <v>0</v>
          </cell>
        </row>
        <row r="8078">
          <cell r="G8078" t="str">
            <v>81_0</v>
          </cell>
          <cell r="H8078" t="str">
            <v/>
          </cell>
          <cell r="I8078" t="str">
            <v>met</v>
          </cell>
          <cell r="V8078" t="str">
            <v>0</v>
          </cell>
          <cell r="Y8078" t="str">
            <v>Past</v>
          </cell>
          <cell r="Z8078">
            <v>2.85</v>
          </cell>
          <cell r="AA8078">
            <v>0</v>
          </cell>
          <cell r="AB8078">
            <v>0</v>
          </cell>
        </row>
        <row r="8079">
          <cell r="G8079" t="str">
            <v>81_1</v>
          </cell>
          <cell r="H8079" t="str">
            <v/>
          </cell>
          <cell r="I8079" t="str">
            <v>met</v>
          </cell>
          <cell r="V8079" t="str">
            <v>0</v>
          </cell>
          <cell r="Y8079" t="str">
            <v>Past</v>
          </cell>
          <cell r="Z8079">
            <v>2.85</v>
          </cell>
          <cell r="AA8079">
            <v>0</v>
          </cell>
          <cell r="AB8079">
            <v>0</v>
          </cell>
        </row>
        <row r="8080">
          <cell r="G8080" t="str">
            <v>84_0</v>
          </cell>
          <cell r="H8080" t="str">
            <v>the-of</v>
          </cell>
          <cell r="I8080" t="str">
            <v>sim</v>
          </cell>
          <cell r="V8080" t="str">
            <v>not neg pair</v>
          </cell>
          <cell r="Y8080" t="str">
            <v>Past</v>
          </cell>
          <cell r="Z8080">
            <v>5</v>
          </cell>
          <cell r="AA8080" t="str">
            <v>H</v>
          </cell>
          <cell r="AB8080">
            <v>0</v>
          </cell>
        </row>
        <row r="8081">
          <cell r="G8081" t="str">
            <v>84_1</v>
          </cell>
          <cell r="H8081" t="str">
            <v>the-of</v>
          </cell>
          <cell r="I8081" t="str">
            <v>sim</v>
          </cell>
          <cell r="V8081" t="str">
            <v>not neg pair</v>
          </cell>
          <cell r="Y8081" t="str">
            <v>Past</v>
          </cell>
          <cell r="Z8081">
            <v>5</v>
          </cell>
          <cell r="AA8081" t="str">
            <v>H</v>
          </cell>
          <cell r="AB8081">
            <v>0</v>
          </cell>
        </row>
        <row r="8082">
          <cell r="G8082" t="str">
            <v>94_0</v>
          </cell>
          <cell r="H8082" t="str">
            <v>the-of</v>
          </cell>
          <cell r="I8082" t="str">
            <v>sim</v>
          </cell>
          <cell r="V8082" t="str">
            <v>not</v>
          </cell>
          <cell r="Y8082" t="str">
            <v>Past</v>
          </cell>
          <cell r="Z8082">
            <v>5</v>
          </cell>
          <cell r="AA8082" t="str">
            <v>H</v>
          </cell>
          <cell r="AB8082">
            <v>0</v>
          </cell>
        </row>
        <row r="8083">
          <cell r="G8083" t="str">
            <v>94_1</v>
          </cell>
          <cell r="H8083" t="str">
            <v>the-of</v>
          </cell>
          <cell r="I8083" t="str">
            <v>sim</v>
          </cell>
          <cell r="V8083" t="str">
            <v>not</v>
          </cell>
          <cell r="Y8083" t="str">
            <v>Past</v>
          </cell>
          <cell r="Z8083">
            <v>5</v>
          </cell>
          <cell r="AA8083" t="str">
            <v>H</v>
          </cell>
          <cell r="AB8083">
            <v>0</v>
          </cell>
        </row>
        <row r="8084">
          <cell r="G8084" t="str">
            <v>97_0</v>
          </cell>
          <cell r="H8084" t="str">
            <v>the-of</v>
          </cell>
          <cell r="I8084" t="str">
            <v>sim</v>
          </cell>
          <cell r="V8084" t="str">
            <v>not</v>
          </cell>
          <cell r="Y8084" t="str">
            <v>Past</v>
          </cell>
          <cell r="Z8084">
            <v>4.93</v>
          </cell>
          <cell r="AA8084" t="str">
            <v>H</v>
          </cell>
          <cell r="AB8084">
            <v>0</v>
          </cell>
        </row>
        <row r="8085">
          <cell r="G8085" t="str">
            <v>97_1</v>
          </cell>
          <cell r="H8085" t="str">
            <v>the-of</v>
          </cell>
          <cell r="I8085" t="str">
            <v>sim</v>
          </cell>
          <cell r="V8085" t="str">
            <v>not</v>
          </cell>
          <cell r="Y8085" t="str">
            <v>Past</v>
          </cell>
          <cell r="Z8085">
            <v>4.93</v>
          </cell>
          <cell r="AA8085" t="str">
            <v>H</v>
          </cell>
          <cell r="AB8085">
            <v>0</v>
          </cell>
        </row>
        <row r="8086">
          <cell r="G8086" t="str">
            <v>104_0</v>
          </cell>
          <cell r="H8086" t="str">
            <v>as-as</v>
          </cell>
          <cell r="I8086" t="str">
            <v>sim</v>
          </cell>
          <cell r="V8086" t="str">
            <v>not</v>
          </cell>
          <cell r="Y8086" t="str">
            <v>Past</v>
          </cell>
          <cell r="Z8086">
            <v>3.97</v>
          </cell>
          <cell r="AA8086">
            <v>0</v>
          </cell>
          <cell r="AB8086">
            <v>0</v>
          </cell>
        </row>
        <row r="8087">
          <cell r="G8087" t="str">
            <v>104_1</v>
          </cell>
          <cell r="H8087" t="str">
            <v>as-as</v>
          </cell>
          <cell r="I8087" t="str">
            <v>sim</v>
          </cell>
          <cell r="V8087" t="str">
            <v>not</v>
          </cell>
          <cell r="Y8087" t="str">
            <v>Past</v>
          </cell>
          <cell r="Z8087">
            <v>3.97</v>
          </cell>
          <cell r="AA8087">
            <v>0</v>
          </cell>
          <cell r="AB8087">
            <v>0</v>
          </cell>
        </row>
        <row r="8088">
          <cell r="G8088" t="str">
            <v>105_0</v>
          </cell>
          <cell r="H8088" t="str">
            <v>as-as</v>
          </cell>
          <cell r="I8088" t="str">
            <v>sim</v>
          </cell>
          <cell r="V8088" t="str">
            <v>not</v>
          </cell>
          <cell r="Y8088" t="str">
            <v>Past</v>
          </cell>
          <cell r="Z8088">
            <v>4.9000000000000004</v>
          </cell>
          <cell r="AA8088">
            <v>0</v>
          </cell>
          <cell r="AB8088">
            <v>0</v>
          </cell>
        </row>
        <row r="8089">
          <cell r="G8089" t="str">
            <v>105_1</v>
          </cell>
          <cell r="H8089" t="str">
            <v>as-as</v>
          </cell>
          <cell r="I8089" t="str">
            <v>sim</v>
          </cell>
          <cell r="V8089" t="str">
            <v>not</v>
          </cell>
          <cell r="Y8089" t="str">
            <v>Past</v>
          </cell>
          <cell r="Z8089">
            <v>4.9000000000000004</v>
          </cell>
          <cell r="AA8089">
            <v>0</v>
          </cell>
          <cell r="AB8089">
            <v>0</v>
          </cell>
        </row>
        <row r="8090">
          <cell r="G8090" t="str">
            <v>108_0</v>
          </cell>
          <cell r="H8090" t="str">
            <v>as-as</v>
          </cell>
          <cell r="I8090" t="str">
            <v>sim</v>
          </cell>
          <cell r="V8090" t="str">
            <v>not neg pair</v>
          </cell>
          <cell r="Y8090" t="str">
            <v>Past</v>
          </cell>
          <cell r="Z8090">
            <v>4.93</v>
          </cell>
          <cell r="AA8090" t="str">
            <v>H</v>
          </cell>
          <cell r="AB8090">
            <v>0</v>
          </cell>
        </row>
        <row r="8091">
          <cell r="G8091" t="str">
            <v>108_1</v>
          </cell>
          <cell r="H8091" t="str">
            <v>as-as</v>
          </cell>
          <cell r="I8091" t="str">
            <v>sim</v>
          </cell>
          <cell r="V8091" t="str">
            <v>not neg pair</v>
          </cell>
          <cell r="Y8091" t="str">
            <v>Past</v>
          </cell>
          <cell r="Z8091">
            <v>4.93</v>
          </cell>
          <cell r="AA8091" t="str">
            <v>H</v>
          </cell>
          <cell r="AB8091">
            <v>0</v>
          </cell>
        </row>
        <row r="8092">
          <cell r="G8092" t="str">
            <v>111_0</v>
          </cell>
          <cell r="H8092" t="str">
            <v>as-as</v>
          </cell>
          <cell r="I8092" t="str">
            <v>sim</v>
          </cell>
          <cell r="V8092" t="str">
            <v>antonym</v>
          </cell>
          <cell r="Y8092" t="str">
            <v>Past</v>
          </cell>
          <cell r="Z8092">
            <v>4.46</v>
          </cell>
          <cell r="AA8092">
            <v>0</v>
          </cell>
          <cell r="AB8092">
            <v>0</v>
          </cell>
        </row>
        <row r="8093">
          <cell r="G8093" t="str">
            <v>111_1</v>
          </cell>
          <cell r="H8093" t="str">
            <v>as-as</v>
          </cell>
          <cell r="I8093" t="str">
            <v>sim</v>
          </cell>
          <cell r="V8093" t="str">
            <v>antonym</v>
          </cell>
          <cell r="Y8093" t="str">
            <v>Past</v>
          </cell>
          <cell r="Z8093">
            <v>4.46</v>
          </cell>
          <cell r="AA8093">
            <v>0</v>
          </cell>
          <cell r="AB8093">
            <v>0</v>
          </cell>
        </row>
        <row r="8094">
          <cell r="G8094" t="str">
            <v>114_0</v>
          </cell>
          <cell r="H8094" t="str">
            <v>the-of</v>
          </cell>
          <cell r="I8094" t="str">
            <v>sim</v>
          </cell>
          <cell r="V8094" t="str">
            <v>not</v>
          </cell>
          <cell r="Y8094" t="str">
            <v>Pres</v>
          </cell>
          <cell r="Z8094">
            <v>3.96</v>
          </cell>
          <cell r="AA8094">
            <v>0</v>
          </cell>
          <cell r="AB8094">
            <v>0</v>
          </cell>
        </row>
        <row r="8095">
          <cell r="G8095" t="str">
            <v>114_1</v>
          </cell>
          <cell r="H8095" t="str">
            <v>the-of</v>
          </cell>
          <cell r="I8095" t="str">
            <v>sim</v>
          </cell>
          <cell r="V8095" t="str">
            <v>not</v>
          </cell>
          <cell r="Y8095" t="str">
            <v>Pres</v>
          </cell>
          <cell r="Z8095">
            <v>3.96</v>
          </cell>
          <cell r="AA8095">
            <v>0</v>
          </cell>
          <cell r="AB8095">
            <v>0</v>
          </cell>
        </row>
        <row r="8096">
          <cell r="G8096" t="str">
            <v>116_0</v>
          </cell>
          <cell r="H8096" t="str">
            <v/>
          </cell>
          <cell r="I8096" t="str">
            <v>met</v>
          </cell>
          <cell r="V8096" t="str">
            <v>0</v>
          </cell>
          <cell r="Y8096" t="str">
            <v>Pres</v>
          </cell>
          <cell r="Z8096">
            <v>4.59</v>
          </cell>
          <cell r="AA8096">
            <v>0</v>
          </cell>
          <cell r="AB8096">
            <v>0</v>
          </cell>
        </row>
        <row r="8097">
          <cell r="G8097" t="str">
            <v>116_1</v>
          </cell>
          <cell r="H8097" t="str">
            <v/>
          </cell>
          <cell r="I8097" t="str">
            <v>met</v>
          </cell>
          <cell r="V8097" t="str">
            <v>0</v>
          </cell>
          <cell r="Y8097" t="str">
            <v>Pres</v>
          </cell>
          <cell r="Z8097">
            <v>4.59</v>
          </cell>
          <cell r="AA8097">
            <v>0</v>
          </cell>
          <cell r="AB8097">
            <v>0</v>
          </cell>
        </row>
        <row r="8098">
          <cell r="G8098" t="str">
            <v>117_0</v>
          </cell>
          <cell r="H8098" t="str">
            <v/>
          </cell>
          <cell r="I8098" t="str">
            <v>met</v>
          </cell>
          <cell r="V8098" t="str">
            <v>0</v>
          </cell>
          <cell r="Y8098" t="str">
            <v>Pres</v>
          </cell>
          <cell r="Z8098">
            <v>4.59</v>
          </cell>
          <cell r="AA8098">
            <v>0</v>
          </cell>
          <cell r="AB8098">
            <v>0</v>
          </cell>
        </row>
        <row r="8099">
          <cell r="G8099" t="str">
            <v>117_1</v>
          </cell>
          <cell r="H8099" t="str">
            <v/>
          </cell>
          <cell r="I8099" t="str">
            <v>met</v>
          </cell>
          <cell r="V8099" t="str">
            <v>0</v>
          </cell>
          <cell r="Y8099" t="str">
            <v>Pres</v>
          </cell>
          <cell r="Z8099">
            <v>4.59</v>
          </cell>
          <cell r="AA8099">
            <v>0</v>
          </cell>
          <cell r="AB8099">
            <v>0</v>
          </cell>
        </row>
        <row r="8100">
          <cell r="G8100" t="str">
            <v>123_0</v>
          </cell>
          <cell r="H8100" t="str">
            <v>as-as</v>
          </cell>
          <cell r="I8100" t="str">
            <v>sim</v>
          </cell>
          <cell r="V8100" t="str">
            <v>not neg pair</v>
          </cell>
          <cell r="Y8100" t="str">
            <v>Past</v>
          </cell>
          <cell r="Z8100">
            <v>3.36</v>
          </cell>
          <cell r="AA8100">
            <v>0</v>
          </cell>
          <cell r="AB8100">
            <v>0</v>
          </cell>
        </row>
        <row r="8101">
          <cell r="G8101" t="str">
            <v>123_1</v>
          </cell>
          <cell r="H8101" t="str">
            <v>as-as</v>
          </cell>
          <cell r="I8101" t="str">
            <v>sim</v>
          </cell>
          <cell r="V8101" t="str">
            <v>not neg pair</v>
          </cell>
          <cell r="Y8101" t="str">
            <v>Past</v>
          </cell>
          <cell r="Z8101">
            <v>3.36</v>
          </cell>
          <cell r="AA8101">
            <v>0</v>
          </cell>
          <cell r="AB8101">
            <v>0</v>
          </cell>
        </row>
        <row r="8102">
          <cell r="G8102" t="str">
            <v>124_0</v>
          </cell>
          <cell r="H8102" t="str">
            <v>like</v>
          </cell>
          <cell r="I8102" t="str">
            <v>sim</v>
          </cell>
          <cell r="V8102" t="str">
            <v>not neg pair</v>
          </cell>
          <cell r="Y8102" t="str">
            <v>Past</v>
          </cell>
          <cell r="Z8102">
            <v>4.8</v>
          </cell>
          <cell r="AA8102">
            <v>0</v>
          </cell>
          <cell r="AB8102">
            <v>0</v>
          </cell>
        </row>
        <row r="8103">
          <cell r="G8103" t="str">
            <v>124_1</v>
          </cell>
          <cell r="H8103" t="str">
            <v>like</v>
          </cell>
          <cell r="I8103" t="str">
            <v>sim</v>
          </cell>
          <cell r="V8103" t="str">
            <v>not neg pair</v>
          </cell>
          <cell r="Y8103" t="str">
            <v>Past</v>
          </cell>
          <cell r="Z8103">
            <v>4.8</v>
          </cell>
          <cell r="AA8103">
            <v>0</v>
          </cell>
          <cell r="AB8103">
            <v>0</v>
          </cell>
        </row>
        <row r="8104">
          <cell r="G8104" t="str">
            <v>127_0</v>
          </cell>
          <cell r="H8104" t="str">
            <v>as-as</v>
          </cell>
          <cell r="I8104" t="str">
            <v>sim</v>
          </cell>
          <cell r="V8104" t="str">
            <v>not neg pair</v>
          </cell>
          <cell r="Y8104" t="str">
            <v>Past</v>
          </cell>
          <cell r="Z8104">
            <v>4.16</v>
          </cell>
          <cell r="AA8104">
            <v>0</v>
          </cell>
          <cell r="AB8104">
            <v>0</v>
          </cell>
        </row>
        <row r="8105">
          <cell r="G8105" t="str">
            <v>127_1</v>
          </cell>
          <cell r="H8105" t="str">
            <v>as-as</v>
          </cell>
          <cell r="I8105" t="str">
            <v>sim</v>
          </cell>
          <cell r="V8105" t="str">
            <v>not neg pair</v>
          </cell>
          <cell r="Y8105" t="str">
            <v>Past</v>
          </cell>
          <cell r="Z8105">
            <v>4.16</v>
          </cell>
          <cell r="AA8105">
            <v>0</v>
          </cell>
          <cell r="AB8105">
            <v>0</v>
          </cell>
        </row>
        <row r="8106">
          <cell r="G8106" t="str">
            <v>136_0</v>
          </cell>
          <cell r="H8106" t="str">
            <v>as-as</v>
          </cell>
          <cell r="I8106" t="str">
            <v>sim</v>
          </cell>
          <cell r="V8106" t="str">
            <v>not neg pair</v>
          </cell>
          <cell r="Y8106" t="str">
            <v>Pres</v>
          </cell>
          <cell r="Z8106">
            <v>4.82</v>
          </cell>
          <cell r="AA8106">
            <v>0</v>
          </cell>
          <cell r="AB8106">
            <v>0</v>
          </cell>
        </row>
        <row r="8107">
          <cell r="G8107" t="str">
            <v>136_1</v>
          </cell>
          <cell r="H8107" t="str">
            <v>as-as</v>
          </cell>
          <cell r="I8107" t="str">
            <v>sim</v>
          </cell>
          <cell r="V8107" t="str">
            <v>not neg pair</v>
          </cell>
          <cell r="Y8107" t="str">
            <v>Pres</v>
          </cell>
          <cell r="Z8107">
            <v>3.97</v>
          </cell>
          <cell r="AA8107">
            <v>0</v>
          </cell>
          <cell r="AB8107">
            <v>0</v>
          </cell>
        </row>
        <row r="8108">
          <cell r="G8108" t="str">
            <v>137_0</v>
          </cell>
          <cell r="H8108" t="str">
            <v>as-as</v>
          </cell>
          <cell r="I8108" t="str">
            <v>sim</v>
          </cell>
          <cell r="V8108" t="str">
            <v>not neg pair</v>
          </cell>
          <cell r="Y8108" t="str">
            <v>Pres</v>
          </cell>
          <cell r="Z8108">
            <v>3.36</v>
          </cell>
          <cell r="AA8108">
            <v>0</v>
          </cell>
          <cell r="AB8108">
            <v>0</v>
          </cell>
        </row>
        <row r="8109">
          <cell r="G8109" t="str">
            <v>137_1</v>
          </cell>
          <cell r="H8109" t="str">
            <v>as-as</v>
          </cell>
          <cell r="I8109" t="str">
            <v>sim</v>
          </cell>
          <cell r="V8109" t="str">
            <v>not neg pair</v>
          </cell>
          <cell r="Y8109" t="str">
            <v>Pres</v>
          </cell>
          <cell r="Z8109">
            <v>3.36</v>
          </cell>
          <cell r="AA8109">
            <v>0</v>
          </cell>
          <cell r="AB8109">
            <v>0</v>
          </cell>
        </row>
        <row r="8110">
          <cell r="G8110" t="str">
            <v>141_0</v>
          </cell>
          <cell r="H8110" t="str">
            <v>like</v>
          </cell>
          <cell r="I8110" t="str">
            <v>sim</v>
          </cell>
          <cell r="V8110" t="str">
            <v>not neg pair</v>
          </cell>
          <cell r="Y8110" t="str">
            <v>Past</v>
          </cell>
          <cell r="Z8110">
            <v>4.87</v>
          </cell>
          <cell r="AA8110">
            <v>0</v>
          </cell>
          <cell r="AB8110">
            <v>0</v>
          </cell>
        </row>
        <row r="8111">
          <cell r="G8111" t="str">
            <v>141_1</v>
          </cell>
          <cell r="H8111" t="str">
            <v>like</v>
          </cell>
          <cell r="I8111" t="str">
            <v>sim</v>
          </cell>
          <cell r="V8111" t="str">
            <v>not neg pair</v>
          </cell>
          <cell r="Y8111" t="str">
            <v>Past</v>
          </cell>
          <cell r="Z8111">
            <v>4.87</v>
          </cell>
          <cell r="AA8111">
            <v>0</v>
          </cell>
          <cell r="AB8111">
            <v>0</v>
          </cell>
        </row>
        <row r="8112">
          <cell r="G8112" t="str">
            <v>146_0</v>
          </cell>
          <cell r="H8112" t="str">
            <v>the-of</v>
          </cell>
          <cell r="I8112" t="str">
            <v>sim</v>
          </cell>
          <cell r="V8112" t="str">
            <v>not neg pair</v>
          </cell>
          <cell r="Y8112" t="str">
            <v>Past</v>
          </cell>
          <cell r="Z8112">
            <v>3.93</v>
          </cell>
          <cell r="AA8112">
            <v>0</v>
          </cell>
          <cell r="AB8112">
            <v>0</v>
          </cell>
        </row>
        <row r="8113">
          <cell r="G8113" t="str">
            <v>146_1</v>
          </cell>
          <cell r="H8113" t="str">
            <v>the-of</v>
          </cell>
          <cell r="I8113" t="str">
            <v>sim</v>
          </cell>
          <cell r="V8113" t="str">
            <v>not neg pair</v>
          </cell>
          <cell r="Y8113" t="str">
            <v>Past</v>
          </cell>
          <cell r="Z8113">
            <v>3.93</v>
          </cell>
          <cell r="AA8113">
            <v>0</v>
          </cell>
          <cell r="AB8113">
            <v>0</v>
          </cell>
        </row>
        <row r="8114">
          <cell r="G8114" t="str">
            <v>147_0</v>
          </cell>
          <cell r="H8114" t="str">
            <v>the-of</v>
          </cell>
          <cell r="I8114" t="str">
            <v>sim</v>
          </cell>
          <cell r="V8114" t="str">
            <v>not neg pair</v>
          </cell>
          <cell r="Y8114" t="str">
            <v>Past</v>
          </cell>
          <cell r="Z8114">
            <v>4.46</v>
          </cell>
          <cell r="AA8114">
            <v>0</v>
          </cell>
          <cell r="AB8114">
            <v>0</v>
          </cell>
        </row>
        <row r="8115">
          <cell r="G8115" t="str">
            <v>147_1</v>
          </cell>
          <cell r="H8115" t="str">
            <v>the-of</v>
          </cell>
          <cell r="I8115" t="str">
            <v>sim</v>
          </cell>
          <cell r="V8115" t="str">
            <v>not neg pair</v>
          </cell>
          <cell r="Y8115" t="str">
            <v>Past</v>
          </cell>
          <cell r="Z8115">
            <v>4.46</v>
          </cell>
          <cell r="AA8115">
            <v>0</v>
          </cell>
          <cell r="AB8115">
            <v>0</v>
          </cell>
        </row>
        <row r="8116">
          <cell r="G8116" t="str">
            <v>154_0</v>
          </cell>
          <cell r="H8116" t="str">
            <v>as-as</v>
          </cell>
          <cell r="I8116" t="str">
            <v>sim</v>
          </cell>
          <cell r="V8116" t="str">
            <v>antonym</v>
          </cell>
          <cell r="Y8116" t="str">
            <v>Pres</v>
          </cell>
          <cell r="Z8116">
            <v>2.81</v>
          </cell>
          <cell r="AA8116">
            <v>0</v>
          </cell>
          <cell r="AB8116">
            <v>0</v>
          </cell>
        </row>
        <row r="8117">
          <cell r="G8117" t="str">
            <v>154_1</v>
          </cell>
          <cell r="H8117" t="str">
            <v>as-as</v>
          </cell>
          <cell r="I8117" t="str">
            <v>sim</v>
          </cell>
          <cell r="V8117" t="str">
            <v>antonym</v>
          </cell>
          <cell r="Y8117" t="str">
            <v>Pres</v>
          </cell>
          <cell r="Z8117">
            <v>2.81</v>
          </cell>
          <cell r="AA8117">
            <v>0</v>
          </cell>
          <cell r="AB8117">
            <v>0</v>
          </cell>
        </row>
        <row r="8118">
          <cell r="G8118" t="str">
            <v>155_0</v>
          </cell>
          <cell r="H8118" t="str">
            <v>as-as</v>
          </cell>
          <cell r="I8118" t="str">
            <v>sim</v>
          </cell>
          <cell r="V8118" t="str">
            <v>not neg pair</v>
          </cell>
          <cell r="Y8118" t="str">
            <v>Pres</v>
          </cell>
          <cell r="Z8118">
            <v>4.7699999999999996</v>
          </cell>
          <cell r="AA8118">
            <v>0</v>
          </cell>
          <cell r="AB8118">
            <v>0</v>
          </cell>
        </row>
        <row r="8119">
          <cell r="G8119" t="str">
            <v>155_1</v>
          </cell>
          <cell r="H8119" t="str">
            <v>as-as</v>
          </cell>
          <cell r="I8119" t="str">
            <v>sim</v>
          </cell>
          <cell r="V8119" t="str">
            <v>not neg pair</v>
          </cell>
          <cell r="Y8119" t="str">
            <v>Pres</v>
          </cell>
          <cell r="Z8119">
            <v>4.7699999999999996</v>
          </cell>
          <cell r="AA8119">
            <v>0</v>
          </cell>
          <cell r="AB8119">
            <v>0</v>
          </cell>
        </row>
        <row r="8120">
          <cell r="G8120" t="str">
            <v>160_0</v>
          </cell>
          <cell r="H8120" t="str">
            <v/>
          </cell>
          <cell r="I8120" t="str">
            <v>met</v>
          </cell>
          <cell r="V8120" t="str">
            <v>0</v>
          </cell>
          <cell r="Y8120" t="str">
            <v>Past</v>
          </cell>
          <cell r="Z8120">
            <v>4.1399999999999997</v>
          </cell>
          <cell r="AA8120">
            <v>0</v>
          </cell>
          <cell r="AB8120">
            <v>0</v>
          </cell>
        </row>
        <row r="8121">
          <cell r="G8121" t="str">
            <v>160_1</v>
          </cell>
          <cell r="H8121" t="str">
            <v/>
          </cell>
          <cell r="I8121" t="str">
            <v>met</v>
          </cell>
          <cell r="V8121" t="str">
            <v>0</v>
          </cell>
          <cell r="Y8121" t="str">
            <v>Past</v>
          </cell>
          <cell r="Z8121">
            <v>4.1399999999999997</v>
          </cell>
          <cell r="AA8121">
            <v>0</v>
          </cell>
          <cell r="AB8121">
            <v>0</v>
          </cell>
        </row>
        <row r="8122">
          <cell r="G8122" t="str">
            <v>161_0</v>
          </cell>
          <cell r="H8122" t="str">
            <v>as-as</v>
          </cell>
          <cell r="I8122" t="str">
            <v>sim</v>
          </cell>
          <cell r="V8122" t="str">
            <v>not neg pair</v>
          </cell>
          <cell r="Y8122" t="str">
            <v>Past</v>
          </cell>
          <cell r="Z8122">
            <v>3.93</v>
          </cell>
          <cell r="AA8122">
            <v>0</v>
          </cell>
          <cell r="AB8122">
            <v>0</v>
          </cell>
        </row>
        <row r="8123">
          <cell r="G8123" t="str">
            <v>161_1</v>
          </cell>
          <cell r="H8123" t="str">
            <v>as-as</v>
          </cell>
          <cell r="I8123" t="str">
            <v>sim</v>
          </cell>
          <cell r="V8123" t="str">
            <v>not neg pair</v>
          </cell>
          <cell r="Y8123" t="str">
            <v>Past</v>
          </cell>
          <cell r="Z8123">
            <v>3.93</v>
          </cell>
          <cell r="AA8123">
            <v>0</v>
          </cell>
          <cell r="AB8123">
            <v>0</v>
          </cell>
        </row>
        <row r="8124">
          <cell r="G8124" t="str">
            <v>162_0</v>
          </cell>
          <cell r="H8124" t="str">
            <v>as-as</v>
          </cell>
          <cell r="I8124" t="str">
            <v>sim</v>
          </cell>
          <cell r="V8124" t="str">
            <v>not neg pair</v>
          </cell>
          <cell r="Y8124" t="str">
            <v>Past</v>
          </cell>
          <cell r="Z8124">
            <v>3.36</v>
          </cell>
          <cell r="AA8124">
            <v>0</v>
          </cell>
          <cell r="AB8124">
            <v>0</v>
          </cell>
        </row>
        <row r="8125">
          <cell r="G8125" t="str">
            <v>162_1</v>
          </cell>
          <cell r="H8125" t="str">
            <v>as-as</v>
          </cell>
          <cell r="I8125" t="str">
            <v>sim</v>
          </cell>
          <cell r="V8125" t="str">
            <v>not neg pair</v>
          </cell>
          <cell r="Y8125" t="str">
            <v>Past</v>
          </cell>
          <cell r="Z8125">
            <v>3.36</v>
          </cell>
          <cell r="AA8125">
            <v>0</v>
          </cell>
          <cell r="AB8125">
            <v>0</v>
          </cell>
        </row>
        <row r="8126">
          <cell r="G8126" t="str">
            <v>164_0</v>
          </cell>
          <cell r="H8126" t="str">
            <v/>
          </cell>
          <cell r="I8126" t="str">
            <v>met</v>
          </cell>
          <cell r="V8126" t="str">
            <v>0</v>
          </cell>
          <cell r="Y8126" t="str">
            <v>Past</v>
          </cell>
          <cell r="Z8126">
            <v>3.93</v>
          </cell>
          <cell r="AA8126">
            <v>0</v>
          </cell>
          <cell r="AB8126">
            <v>0</v>
          </cell>
        </row>
        <row r="8127">
          <cell r="G8127" t="str">
            <v>164_1</v>
          </cell>
          <cell r="H8127" t="str">
            <v/>
          </cell>
          <cell r="I8127" t="str">
            <v>met</v>
          </cell>
          <cell r="V8127" t="str">
            <v>0</v>
          </cell>
          <cell r="Y8127" t="str">
            <v>Past</v>
          </cell>
          <cell r="Z8127">
            <v>3.93</v>
          </cell>
          <cell r="AA8127">
            <v>0</v>
          </cell>
          <cell r="AB8127">
            <v>0</v>
          </cell>
        </row>
        <row r="8128">
          <cell r="G8128" t="str">
            <v>165_0</v>
          </cell>
          <cell r="H8128" t="str">
            <v/>
          </cell>
          <cell r="I8128" t="str">
            <v>met</v>
          </cell>
          <cell r="V8128" t="str">
            <v>0</v>
          </cell>
          <cell r="Y8128" t="str">
            <v>Past</v>
          </cell>
          <cell r="Z8128">
            <v>3.36</v>
          </cell>
          <cell r="AA8128">
            <v>0</v>
          </cell>
          <cell r="AB8128">
            <v>0</v>
          </cell>
        </row>
        <row r="8129">
          <cell r="G8129" t="str">
            <v>165_1</v>
          </cell>
          <cell r="H8129" t="str">
            <v/>
          </cell>
          <cell r="I8129" t="str">
            <v>met</v>
          </cell>
          <cell r="V8129" t="str">
            <v>0</v>
          </cell>
          <cell r="Y8129" t="str">
            <v>Past</v>
          </cell>
          <cell r="Z8129">
            <v>3.36</v>
          </cell>
          <cell r="AA8129">
            <v>0</v>
          </cell>
          <cell r="AB8129">
            <v>0</v>
          </cell>
        </row>
        <row r="8130">
          <cell r="G8130" t="str">
            <v>166_0</v>
          </cell>
          <cell r="H8130" t="str">
            <v>the-of</v>
          </cell>
          <cell r="I8130" t="str">
            <v>sim</v>
          </cell>
          <cell r="V8130" t="str">
            <v>0</v>
          </cell>
          <cell r="Y8130" t="str">
            <v>Past</v>
          </cell>
          <cell r="Z8130">
            <v>4.8</v>
          </cell>
          <cell r="AA8130">
            <v>0</v>
          </cell>
          <cell r="AB8130">
            <v>0</v>
          </cell>
        </row>
        <row r="8131">
          <cell r="G8131" t="str">
            <v>166_1</v>
          </cell>
          <cell r="H8131" t="str">
            <v/>
          </cell>
          <cell r="I8131" t="str">
            <v>met</v>
          </cell>
          <cell r="V8131" t="str">
            <v>0</v>
          </cell>
          <cell r="Y8131" t="str">
            <v>Past</v>
          </cell>
          <cell r="Z8131">
            <v>4.8</v>
          </cell>
          <cell r="AA8131">
            <v>0</v>
          </cell>
          <cell r="AB8131">
            <v>0</v>
          </cell>
        </row>
        <row r="8132">
          <cell r="G8132" t="str">
            <v>168_0</v>
          </cell>
          <cell r="H8132" t="str">
            <v>as-as</v>
          </cell>
          <cell r="I8132" t="str">
            <v>sim</v>
          </cell>
          <cell r="V8132" t="str">
            <v>not neg pair</v>
          </cell>
          <cell r="Y8132" t="str">
            <v>Past</v>
          </cell>
          <cell r="Z8132">
            <v>4.8899999999999997</v>
          </cell>
          <cell r="AA8132">
            <v>0</v>
          </cell>
          <cell r="AB8132">
            <v>0</v>
          </cell>
        </row>
        <row r="8133">
          <cell r="G8133" t="str">
            <v>168_1</v>
          </cell>
          <cell r="H8133" t="str">
            <v>as-as</v>
          </cell>
          <cell r="I8133" t="str">
            <v>sim</v>
          </cell>
          <cell r="V8133" t="str">
            <v>not neg pair</v>
          </cell>
          <cell r="Y8133" t="str">
            <v>Past</v>
          </cell>
          <cell r="Z8133">
            <v>4.8899999999999997</v>
          </cell>
          <cell r="AA8133">
            <v>0</v>
          </cell>
          <cell r="AB8133">
            <v>0</v>
          </cell>
        </row>
        <row r="8134">
          <cell r="G8134" t="str">
            <v>173_0</v>
          </cell>
          <cell r="H8134" t="str">
            <v>like</v>
          </cell>
          <cell r="I8134" t="str">
            <v>sim</v>
          </cell>
          <cell r="V8134" t="str">
            <v>not neg pair</v>
          </cell>
          <cell r="Y8134" t="str">
            <v>Pres</v>
          </cell>
          <cell r="Z8134">
            <v>4.8499999999999996</v>
          </cell>
          <cell r="AA8134">
            <v>0</v>
          </cell>
          <cell r="AB8134">
            <v>0</v>
          </cell>
        </row>
        <row r="8135">
          <cell r="G8135" t="str">
            <v>173_1</v>
          </cell>
          <cell r="H8135" t="str">
            <v>like</v>
          </cell>
          <cell r="I8135" t="str">
            <v>sim</v>
          </cell>
          <cell r="V8135" t="str">
            <v>not neg pair</v>
          </cell>
          <cell r="Y8135" t="str">
            <v>Pres</v>
          </cell>
          <cell r="Z8135">
            <v>4.8499999999999996</v>
          </cell>
          <cell r="AA8135">
            <v>0</v>
          </cell>
          <cell r="AB8135">
            <v>0</v>
          </cell>
        </row>
        <row r="8136">
          <cell r="G8136" t="str">
            <v>177_0</v>
          </cell>
          <cell r="H8136" t="str">
            <v>as-as</v>
          </cell>
          <cell r="I8136" t="str">
            <v>sim</v>
          </cell>
          <cell r="V8136" t="str">
            <v>not</v>
          </cell>
          <cell r="Y8136" t="str">
            <v>Pres</v>
          </cell>
          <cell r="Z8136">
            <v>2.81</v>
          </cell>
          <cell r="AA8136">
            <v>0</v>
          </cell>
          <cell r="AB8136">
            <v>0</v>
          </cell>
        </row>
        <row r="8137">
          <cell r="G8137" t="str">
            <v>177_1</v>
          </cell>
          <cell r="H8137" t="str">
            <v>as-as</v>
          </cell>
          <cell r="I8137" t="str">
            <v>sim</v>
          </cell>
          <cell r="V8137" t="str">
            <v>not</v>
          </cell>
          <cell r="Y8137" t="str">
            <v>Pres</v>
          </cell>
          <cell r="Z8137">
            <v>2.81</v>
          </cell>
          <cell r="AA8137">
            <v>0</v>
          </cell>
          <cell r="AB8137">
            <v>0</v>
          </cell>
        </row>
        <row r="8138">
          <cell r="G8138" t="str">
            <v>178_0</v>
          </cell>
          <cell r="H8138" t="str">
            <v>as-as</v>
          </cell>
          <cell r="I8138" t="str">
            <v>sim</v>
          </cell>
          <cell r="V8138" t="str">
            <v>not neg pair</v>
          </cell>
          <cell r="Y8138" t="str">
            <v>Past</v>
          </cell>
          <cell r="Z8138">
            <v>1.41</v>
          </cell>
          <cell r="AA8138" t="str">
            <v>L</v>
          </cell>
          <cell r="AB8138">
            <v>0</v>
          </cell>
        </row>
        <row r="8139">
          <cell r="G8139" t="str">
            <v>178_1</v>
          </cell>
          <cell r="H8139" t="str">
            <v>as-as</v>
          </cell>
          <cell r="I8139" t="str">
            <v>sim</v>
          </cell>
          <cell r="V8139" t="str">
            <v>not neg pair</v>
          </cell>
          <cell r="Y8139" t="str">
            <v>Past</v>
          </cell>
          <cell r="Z8139">
            <v>1.41</v>
          </cell>
          <cell r="AA8139" t="str">
            <v>L</v>
          </cell>
          <cell r="AB8139">
            <v>0</v>
          </cell>
        </row>
        <row r="8140">
          <cell r="G8140" t="str">
            <v>183_0</v>
          </cell>
          <cell r="H8140" t="str">
            <v>the-of</v>
          </cell>
          <cell r="I8140" t="str">
            <v>sim</v>
          </cell>
          <cell r="V8140" t="str">
            <v>not neg pair</v>
          </cell>
          <cell r="Y8140" t="str">
            <v>Pres</v>
          </cell>
          <cell r="Z8140">
            <v>5</v>
          </cell>
          <cell r="AA8140" t="str">
            <v>H</v>
          </cell>
          <cell r="AB8140">
            <v>0</v>
          </cell>
        </row>
        <row r="8141">
          <cell r="G8141" t="str">
            <v>183_1</v>
          </cell>
          <cell r="H8141" t="str">
            <v>the-of</v>
          </cell>
          <cell r="I8141" t="str">
            <v>sim</v>
          </cell>
          <cell r="V8141" t="str">
            <v>not neg pair</v>
          </cell>
          <cell r="Y8141" t="str">
            <v>Pres</v>
          </cell>
          <cell r="Z8141">
            <v>5</v>
          </cell>
          <cell r="AA8141" t="str">
            <v>H</v>
          </cell>
          <cell r="AB8141">
            <v>0</v>
          </cell>
        </row>
        <row r="8142">
          <cell r="G8142" t="str">
            <v>184_0</v>
          </cell>
          <cell r="H8142" t="str">
            <v>like</v>
          </cell>
          <cell r="I8142" t="str">
            <v>sim</v>
          </cell>
          <cell r="V8142" t="str">
            <v>not neg pair</v>
          </cell>
          <cell r="Y8142" t="str">
            <v>Past</v>
          </cell>
          <cell r="Z8142">
            <v>3.07</v>
          </cell>
          <cell r="AA8142">
            <v>0</v>
          </cell>
          <cell r="AB8142">
            <v>0</v>
          </cell>
        </row>
        <row r="8143">
          <cell r="G8143" t="str">
            <v>184_1</v>
          </cell>
          <cell r="H8143" t="str">
            <v>like</v>
          </cell>
          <cell r="I8143" t="str">
            <v>sim</v>
          </cell>
          <cell r="V8143" t="str">
            <v>not neg pair</v>
          </cell>
          <cell r="Y8143" t="str">
            <v>Past</v>
          </cell>
          <cell r="Z8143">
            <v>3.07</v>
          </cell>
          <cell r="AA8143">
            <v>0</v>
          </cell>
          <cell r="AB8143">
            <v>0</v>
          </cell>
        </row>
        <row r="8144">
          <cell r="G8144" t="str">
            <v>188_0</v>
          </cell>
          <cell r="H8144" t="str">
            <v>the-of</v>
          </cell>
          <cell r="I8144" t="str">
            <v>sim</v>
          </cell>
          <cell r="V8144" t="str">
            <v>not neg pair</v>
          </cell>
          <cell r="Y8144" t="str">
            <v>Pres</v>
          </cell>
          <cell r="Z8144">
            <v>4.79</v>
          </cell>
          <cell r="AA8144">
            <v>0</v>
          </cell>
          <cell r="AB8144">
            <v>0</v>
          </cell>
        </row>
        <row r="8145">
          <cell r="G8145" t="str">
            <v>188_1</v>
          </cell>
          <cell r="H8145" t="str">
            <v>the-of</v>
          </cell>
          <cell r="I8145" t="str">
            <v>sim</v>
          </cell>
          <cell r="V8145" t="str">
            <v>not neg pair</v>
          </cell>
          <cell r="Y8145" t="str">
            <v>Pres</v>
          </cell>
          <cell r="Z8145">
            <v>4.79</v>
          </cell>
          <cell r="AA8145">
            <v>0</v>
          </cell>
          <cell r="AB8145">
            <v>0</v>
          </cell>
        </row>
        <row r="8146">
          <cell r="G8146" t="str">
            <v>192_0</v>
          </cell>
          <cell r="H8146" t="str">
            <v>as-as</v>
          </cell>
          <cell r="I8146" t="str">
            <v>sim</v>
          </cell>
          <cell r="V8146" t="str">
            <v>not neg pair</v>
          </cell>
          <cell r="Y8146" t="str">
            <v>Pres</v>
          </cell>
          <cell r="Z8146">
            <v>4.17</v>
          </cell>
          <cell r="AA8146">
            <v>0</v>
          </cell>
          <cell r="AB8146">
            <v>0</v>
          </cell>
        </row>
        <row r="8147">
          <cell r="G8147" t="str">
            <v>192_1</v>
          </cell>
          <cell r="H8147" t="str">
            <v>as-as</v>
          </cell>
          <cell r="I8147" t="str">
            <v>sim</v>
          </cell>
          <cell r="V8147" t="str">
            <v>not neg pair</v>
          </cell>
          <cell r="Y8147" t="str">
            <v>Pres</v>
          </cell>
          <cell r="Z8147">
            <v>4.17</v>
          </cell>
          <cell r="AA8147">
            <v>0</v>
          </cell>
          <cell r="AB8147">
            <v>0</v>
          </cell>
        </row>
        <row r="8148">
          <cell r="G8148" t="str">
            <v>194_0</v>
          </cell>
          <cell r="H8148" t="str">
            <v>as-as</v>
          </cell>
          <cell r="I8148" t="str">
            <v>sim</v>
          </cell>
          <cell r="V8148" t="str">
            <v>not neg pair</v>
          </cell>
          <cell r="Y8148" t="str">
            <v>Past</v>
          </cell>
          <cell r="Z8148">
            <v>4.75</v>
          </cell>
          <cell r="AA8148">
            <v>0</v>
          </cell>
          <cell r="AB8148">
            <v>0</v>
          </cell>
        </row>
        <row r="8149">
          <cell r="G8149" t="str">
            <v>194_1</v>
          </cell>
          <cell r="H8149" t="str">
            <v>as-as</v>
          </cell>
          <cell r="I8149" t="str">
            <v>sim</v>
          </cell>
          <cell r="V8149" t="str">
            <v>not neg pair</v>
          </cell>
          <cell r="Y8149" t="str">
            <v>Past</v>
          </cell>
          <cell r="Z8149">
            <v>4.75</v>
          </cell>
          <cell r="AA8149">
            <v>0</v>
          </cell>
          <cell r="AB8149">
            <v>0</v>
          </cell>
        </row>
        <row r="8150">
          <cell r="G8150" t="str">
            <v>196_0</v>
          </cell>
          <cell r="H8150" t="str">
            <v>as-as</v>
          </cell>
          <cell r="I8150" t="str">
            <v>sim</v>
          </cell>
          <cell r="V8150" t="str">
            <v>antonym</v>
          </cell>
          <cell r="Y8150" t="str">
            <v>Pres</v>
          </cell>
          <cell r="Z8150">
            <v>2.81</v>
          </cell>
          <cell r="AA8150">
            <v>0</v>
          </cell>
          <cell r="AB8150">
            <v>0</v>
          </cell>
        </row>
        <row r="8151">
          <cell r="G8151" t="str">
            <v>196_1</v>
          </cell>
          <cell r="H8151" t="str">
            <v>as-as</v>
          </cell>
          <cell r="I8151" t="str">
            <v>sim</v>
          </cell>
          <cell r="V8151" t="str">
            <v>antonym</v>
          </cell>
          <cell r="Y8151" t="str">
            <v>Pres</v>
          </cell>
          <cell r="Z8151">
            <v>2.81</v>
          </cell>
          <cell r="AA8151">
            <v>0</v>
          </cell>
          <cell r="AB8151">
            <v>0</v>
          </cell>
        </row>
        <row r="8152">
          <cell r="G8152" t="str">
            <v>197_0</v>
          </cell>
          <cell r="H8152" t="str">
            <v>the-of</v>
          </cell>
          <cell r="I8152" t="str">
            <v>sim</v>
          </cell>
          <cell r="V8152" t="str">
            <v>not neg pair</v>
          </cell>
          <cell r="Y8152">
            <v>0</v>
          </cell>
          <cell r="Z8152">
            <v>2.81</v>
          </cell>
          <cell r="AA8152">
            <v>0</v>
          </cell>
          <cell r="AB8152">
            <v>0</v>
          </cell>
        </row>
        <row r="8153">
          <cell r="G8153" t="str">
            <v>197_1</v>
          </cell>
          <cell r="H8153" t="str">
            <v>the-of</v>
          </cell>
          <cell r="I8153" t="str">
            <v>sim</v>
          </cell>
          <cell r="V8153" t="str">
            <v>not neg pair</v>
          </cell>
          <cell r="Y8153">
            <v>0</v>
          </cell>
          <cell r="Z8153">
            <v>2.81</v>
          </cell>
          <cell r="AA8153">
            <v>0</v>
          </cell>
          <cell r="AB8153">
            <v>0</v>
          </cell>
        </row>
        <row r="8154">
          <cell r="G8154" t="str">
            <v>201_0</v>
          </cell>
          <cell r="H8154" t="str">
            <v>as-as</v>
          </cell>
          <cell r="I8154" t="str">
            <v>sim</v>
          </cell>
          <cell r="V8154" t="str">
            <v>antonym</v>
          </cell>
          <cell r="Y8154" t="str">
            <v>Past</v>
          </cell>
          <cell r="Z8154">
            <v>4.9000000000000004</v>
          </cell>
          <cell r="AA8154">
            <v>0</v>
          </cell>
          <cell r="AB8154">
            <v>0</v>
          </cell>
        </row>
        <row r="8155">
          <cell r="G8155" t="str">
            <v>201_1</v>
          </cell>
          <cell r="H8155" t="str">
            <v>as-as</v>
          </cell>
          <cell r="I8155" t="str">
            <v>sim</v>
          </cell>
          <cell r="V8155" t="str">
            <v>antonym</v>
          </cell>
          <cell r="Y8155" t="str">
            <v>Past</v>
          </cell>
          <cell r="Z8155">
            <v>4.9000000000000004</v>
          </cell>
          <cell r="AA8155">
            <v>0</v>
          </cell>
          <cell r="AB8155">
            <v>0</v>
          </cell>
        </row>
        <row r="8156">
          <cell r="G8156" t="str">
            <v>206_0</v>
          </cell>
          <cell r="H8156" t="str">
            <v>as-as</v>
          </cell>
          <cell r="I8156" t="str">
            <v>sim</v>
          </cell>
          <cell r="V8156" t="str">
            <v>antonym</v>
          </cell>
          <cell r="Y8156" t="str">
            <v>Past</v>
          </cell>
          <cell r="Z8156">
            <v>3.36</v>
          </cell>
          <cell r="AA8156">
            <v>0</v>
          </cell>
          <cell r="AB8156">
            <v>0</v>
          </cell>
        </row>
        <row r="8157">
          <cell r="G8157" t="str">
            <v>206_1</v>
          </cell>
          <cell r="H8157" t="str">
            <v>as-as</v>
          </cell>
          <cell r="I8157" t="str">
            <v>sim</v>
          </cell>
          <cell r="V8157" t="str">
            <v>antonym</v>
          </cell>
          <cell r="Y8157" t="str">
            <v>Past</v>
          </cell>
          <cell r="Z8157">
            <v>3.36</v>
          </cell>
          <cell r="AA8157">
            <v>0</v>
          </cell>
          <cell r="AB8157">
            <v>0</v>
          </cell>
        </row>
        <row r="8158">
          <cell r="G8158" t="str">
            <v>213_0</v>
          </cell>
          <cell r="H8158" t="str">
            <v>the-of</v>
          </cell>
          <cell r="I8158" t="str">
            <v>sim</v>
          </cell>
          <cell r="V8158" t="str">
            <v>not neg pair</v>
          </cell>
          <cell r="Y8158" t="str">
            <v>Pres</v>
          </cell>
          <cell r="Z8158">
            <v>1.86</v>
          </cell>
          <cell r="AA8158" t="str">
            <v>L</v>
          </cell>
          <cell r="AB8158">
            <v>0</v>
          </cell>
        </row>
        <row r="8159">
          <cell r="G8159" t="str">
            <v>213_1</v>
          </cell>
          <cell r="H8159" t="str">
            <v>the-of</v>
          </cell>
          <cell r="I8159" t="str">
            <v>sim</v>
          </cell>
          <cell r="V8159" t="str">
            <v>not neg pair</v>
          </cell>
          <cell r="Y8159" t="str">
            <v>Pres</v>
          </cell>
          <cell r="Z8159">
            <v>1.86</v>
          </cell>
          <cell r="AA8159" t="str">
            <v>L</v>
          </cell>
          <cell r="AB8159">
            <v>0</v>
          </cell>
        </row>
        <row r="8160">
          <cell r="G8160" t="str">
            <v>216_0</v>
          </cell>
          <cell r="H8160" t="str">
            <v>like</v>
          </cell>
          <cell r="I8160" t="str">
            <v>sim</v>
          </cell>
          <cell r="V8160" t="str">
            <v>not</v>
          </cell>
          <cell r="Y8160" t="str">
            <v>Past</v>
          </cell>
          <cell r="Z8160">
            <v>2.6</v>
          </cell>
          <cell r="AA8160" t="str">
            <v>L</v>
          </cell>
          <cell r="AB8160">
            <v>0</v>
          </cell>
        </row>
        <row r="8161">
          <cell r="G8161" t="str">
            <v>216_1</v>
          </cell>
          <cell r="H8161" t="str">
            <v>like</v>
          </cell>
          <cell r="I8161" t="str">
            <v>sim</v>
          </cell>
          <cell r="V8161" t="str">
            <v>not</v>
          </cell>
          <cell r="Y8161" t="str">
            <v>Past</v>
          </cell>
          <cell r="Z8161">
            <v>2.6</v>
          </cell>
          <cell r="AA8161" t="str">
            <v>L</v>
          </cell>
          <cell r="AB8161">
            <v>0</v>
          </cell>
        </row>
        <row r="8162">
          <cell r="G8162" t="str">
            <v>217_0</v>
          </cell>
          <cell r="H8162" t="str">
            <v>as-as</v>
          </cell>
          <cell r="I8162" t="str">
            <v>sim</v>
          </cell>
          <cell r="V8162" t="str">
            <v>not neg pair</v>
          </cell>
          <cell r="Y8162" t="str">
            <v>Past</v>
          </cell>
          <cell r="Z8162">
            <v>2.68</v>
          </cell>
          <cell r="AA8162" t="str">
            <v>L</v>
          </cell>
          <cell r="AB8162">
            <v>0</v>
          </cell>
        </row>
        <row r="8163">
          <cell r="G8163" t="str">
            <v>217_1</v>
          </cell>
          <cell r="H8163" t="str">
            <v>as-as</v>
          </cell>
          <cell r="I8163" t="str">
            <v>sim</v>
          </cell>
          <cell r="V8163" t="str">
            <v>not neg pair</v>
          </cell>
          <cell r="Y8163" t="str">
            <v>Past</v>
          </cell>
          <cell r="Z8163">
            <v>2.68</v>
          </cell>
          <cell r="AA8163" t="str">
            <v>L</v>
          </cell>
          <cell r="AB8163">
            <v>0</v>
          </cell>
        </row>
        <row r="8164">
          <cell r="G8164" t="str">
            <v>218_0</v>
          </cell>
          <cell r="H8164" t="str">
            <v/>
          </cell>
          <cell r="I8164" t="str">
            <v>met</v>
          </cell>
          <cell r="V8164" t="str">
            <v>0</v>
          </cell>
          <cell r="Y8164" t="str">
            <v>Past</v>
          </cell>
          <cell r="Z8164">
            <v>4.8499999999999996</v>
          </cell>
          <cell r="AA8164">
            <v>0</v>
          </cell>
          <cell r="AB8164">
            <v>0</v>
          </cell>
        </row>
        <row r="8165">
          <cell r="G8165" t="str">
            <v>218_1</v>
          </cell>
          <cell r="H8165" t="str">
            <v/>
          </cell>
          <cell r="I8165" t="str">
            <v>met</v>
          </cell>
          <cell r="V8165" t="str">
            <v>0</v>
          </cell>
          <cell r="Y8165" t="str">
            <v>Past</v>
          </cell>
          <cell r="Z8165">
            <v>2.56</v>
          </cell>
          <cell r="AA8165" t="str">
            <v>L</v>
          </cell>
          <cell r="AB8165">
            <v>0</v>
          </cell>
        </row>
        <row r="8166">
          <cell r="G8166" t="str">
            <v>224_0</v>
          </cell>
          <cell r="H8166" t="str">
            <v/>
          </cell>
          <cell r="I8166" t="str">
            <v>met</v>
          </cell>
          <cell r="V8166" t="str">
            <v>0</v>
          </cell>
          <cell r="Y8166" t="str">
            <v>Pres</v>
          </cell>
          <cell r="Z8166">
            <v>4.9000000000000004</v>
          </cell>
          <cell r="AA8166">
            <v>0</v>
          </cell>
          <cell r="AB8166">
            <v>0</v>
          </cell>
        </row>
        <row r="8167">
          <cell r="G8167" t="str">
            <v>224_1</v>
          </cell>
          <cell r="H8167" t="str">
            <v/>
          </cell>
          <cell r="I8167" t="str">
            <v>met</v>
          </cell>
          <cell r="V8167" t="str">
            <v>0</v>
          </cell>
          <cell r="Y8167" t="str">
            <v>Pres</v>
          </cell>
          <cell r="Z8167">
            <v>2.59</v>
          </cell>
          <cell r="AA8167" t="str">
            <v>L</v>
          </cell>
          <cell r="AB8167">
            <v>0</v>
          </cell>
        </row>
        <row r="8168">
          <cell r="G8168" t="str">
            <v>229_0</v>
          </cell>
          <cell r="H8168" t="str">
            <v>the-of</v>
          </cell>
          <cell r="I8168" t="str">
            <v>sim</v>
          </cell>
          <cell r="V8168" t="str">
            <v>not</v>
          </cell>
          <cell r="Y8168" t="str">
            <v>Pres</v>
          </cell>
          <cell r="Z8168">
            <v>5</v>
          </cell>
          <cell r="AA8168" t="str">
            <v>H</v>
          </cell>
          <cell r="AB8168">
            <v>0</v>
          </cell>
        </row>
        <row r="8169">
          <cell r="G8169" t="str">
            <v>229_1</v>
          </cell>
          <cell r="H8169" t="str">
            <v>the-of</v>
          </cell>
          <cell r="I8169" t="str">
            <v>sim</v>
          </cell>
          <cell r="V8169" t="str">
            <v>not</v>
          </cell>
          <cell r="Y8169" t="str">
            <v>Pres</v>
          </cell>
          <cell r="Z8169">
            <v>4.79</v>
          </cell>
          <cell r="AA8169">
            <v>0</v>
          </cell>
          <cell r="AB8169">
            <v>0</v>
          </cell>
        </row>
        <row r="8170">
          <cell r="G8170" t="str">
            <v>233_0</v>
          </cell>
          <cell r="H8170" t="str">
            <v>as-as</v>
          </cell>
          <cell r="I8170" t="str">
            <v>sim</v>
          </cell>
          <cell r="V8170" t="str">
            <v>antonym</v>
          </cell>
          <cell r="Y8170" t="str">
            <v>Past</v>
          </cell>
          <cell r="Z8170">
            <v>4.63</v>
          </cell>
          <cell r="AA8170">
            <v>0</v>
          </cell>
          <cell r="AB8170">
            <v>0</v>
          </cell>
        </row>
        <row r="8171">
          <cell r="G8171" t="str">
            <v>233_1</v>
          </cell>
          <cell r="H8171" t="str">
            <v>as-as</v>
          </cell>
          <cell r="I8171" t="str">
            <v>sim</v>
          </cell>
          <cell r="V8171" t="str">
            <v>antonym</v>
          </cell>
          <cell r="Y8171" t="str">
            <v>Past</v>
          </cell>
          <cell r="Z8171">
            <v>4.63</v>
          </cell>
          <cell r="AA8171">
            <v>0</v>
          </cell>
          <cell r="AB8171">
            <v>0</v>
          </cell>
        </row>
        <row r="8172">
          <cell r="G8172" t="str">
            <v>237_0</v>
          </cell>
          <cell r="H8172" t="str">
            <v>like</v>
          </cell>
          <cell r="I8172" t="str">
            <v>sim</v>
          </cell>
          <cell r="V8172" t="str">
            <v>not neg pair</v>
          </cell>
          <cell r="Y8172" t="str">
            <v>Pres</v>
          </cell>
          <cell r="Z8172">
            <v>2.81</v>
          </cell>
          <cell r="AA8172">
            <v>0</v>
          </cell>
          <cell r="AB8172">
            <v>0</v>
          </cell>
        </row>
        <row r="8173">
          <cell r="G8173" t="str">
            <v>237_1</v>
          </cell>
          <cell r="H8173" t="str">
            <v>like</v>
          </cell>
          <cell r="I8173" t="str">
            <v>sim</v>
          </cell>
          <cell r="V8173" t="str">
            <v>not neg pair</v>
          </cell>
          <cell r="Y8173" t="str">
            <v>Pres</v>
          </cell>
          <cell r="Z8173">
            <v>2.81</v>
          </cell>
          <cell r="AA8173">
            <v>0</v>
          </cell>
          <cell r="AB8173">
            <v>0</v>
          </cell>
        </row>
        <row r="8174">
          <cell r="G8174" t="str">
            <v>245_0</v>
          </cell>
          <cell r="H8174" t="str">
            <v/>
          </cell>
          <cell r="I8174" t="str">
            <v>met</v>
          </cell>
          <cell r="V8174" t="str">
            <v>0</v>
          </cell>
          <cell r="Y8174" t="str">
            <v>Past</v>
          </cell>
          <cell r="Z8174">
            <v>4.16</v>
          </cell>
          <cell r="AA8174">
            <v>0</v>
          </cell>
          <cell r="AB8174">
            <v>0</v>
          </cell>
        </row>
        <row r="8175">
          <cell r="G8175" t="str">
            <v>245_1</v>
          </cell>
          <cell r="H8175" t="str">
            <v/>
          </cell>
          <cell r="I8175" t="str">
            <v>met</v>
          </cell>
          <cell r="V8175" t="str">
            <v>0</v>
          </cell>
          <cell r="Y8175" t="str">
            <v>Past</v>
          </cell>
          <cell r="Z8175">
            <v>4.16</v>
          </cell>
          <cell r="AA8175">
            <v>0</v>
          </cell>
          <cell r="AB8175">
            <v>0</v>
          </cell>
        </row>
        <row r="8176">
          <cell r="G8176" t="str">
            <v>253_0</v>
          </cell>
          <cell r="H8176" t="str">
            <v>the-of</v>
          </cell>
          <cell r="I8176" t="str">
            <v>sim</v>
          </cell>
          <cell r="V8176" t="str">
            <v>not</v>
          </cell>
          <cell r="Y8176" t="str">
            <v>Pres</v>
          </cell>
          <cell r="Z8176">
            <v>2.52</v>
          </cell>
          <cell r="AA8176" t="str">
            <v>L</v>
          </cell>
          <cell r="AB8176">
            <v>0</v>
          </cell>
        </row>
        <row r="8177">
          <cell r="G8177" t="str">
            <v>253_1</v>
          </cell>
          <cell r="H8177" t="str">
            <v>the-of</v>
          </cell>
          <cell r="I8177" t="str">
            <v>sim</v>
          </cell>
          <cell r="V8177" t="str">
            <v>not</v>
          </cell>
          <cell r="Y8177" t="str">
            <v>Pres</v>
          </cell>
          <cell r="Z8177">
            <v>2.52</v>
          </cell>
          <cell r="AA8177" t="str">
            <v>L</v>
          </cell>
          <cell r="AB8177">
            <v>0</v>
          </cell>
        </row>
        <row r="8178">
          <cell r="G8178" t="str">
            <v>254_0</v>
          </cell>
          <cell r="H8178" t="str">
            <v>as-as</v>
          </cell>
          <cell r="I8178" t="str">
            <v>sim</v>
          </cell>
          <cell r="V8178" t="str">
            <v>not</v>
          </cell>
          <cell r="Y8178" t="str">
            <v>Pres</v>
          </cell>
          <cell r="Z8178">
            <v>4.5199999999999996</v>
          </cell>
          <cell r="AA8178">
            <v>0</v>
          </cell>
          <cell r="AB8178">
            <v>0</v>
          </cell>
        </row>
        <row r="8179">
          <cell r="G8179" t="str">
            <v>254_1</v>
          </cell>
          <cell r="H8179" t="str">
            <v>as-as</v>
          </cell>
          <cell r="I8179" t="str">
            <v>sim</v>
          </cell>
          <cell r="V8179" t="str">
            <v>not</v>
          </cell>
          <cell r="Y8179" t="str">
            <v>Pres</v>
          </cell>
          <cell r="Z8179">
            <v>4.5199999999999996</v>
          </cell>
          <cell r="AA8179">
            <v>0</v>
          </cell>
          <cell r="AB8179">
            <v>0</v>
          </cell>
        </row>
        <row r="8180">
          <cell r="G8180" t="str">
            <v>259_0</v>
          </cell>
          <cell r="H8180" t="str">
            <v>the-of</v>
          </cell>
          <cell r="I8180" t="str">
            <v>sim</v>
          </cell>
          <cell r="V8180" t="str">
            <v>not neg pair</v>
          </cell>
          <cell r="Y8180" t="str">
            <v>Past</v>
          </cell>
          <cell r="Z8180">
            <v>4.97</v>
          </cell>
          <cell r="AA8180" t="str">
            <v>H</v>
          </cell>
          <cell r="AB8180">
            <v>0</v>
          </cell>
        </row>
        <row r="8181">
          <cell r="G8181" t="str">
            <v>259_1</v>
          </cell>
          <cell r="H8181" t="str">
            <v>the-of</v>
          </cell>
          <cell r="I8181" t="str">
            <v>sim</v>
          </cell>
          <cell r="V8181" t="str">
            <v>not neg pair</v>
          </cell>
          <cell r="Y8181" t="str">
            <v>Past</v>
          </cell>
          <cell r="Z8181">
            <v>4.97</v>
          </cell>
          <cell r="AA8181" t="str">
            <v>H</v>
          </cell>
          <cell r="AB8181">
            <v>0</v>
          </cell>
        </row>
        <row r="8182">
          <cell r="G8182" t="str">
            <v>260_0</v>
          </cell>
          <cell r="H8182" t="str">
            <v>the-of</v>
          </cell>
          <cell r="I8182" t="str">
            <v>sim</v>
          </cell>
          <cell r="V8182" t="str">
            <v>not</v>
          </cell>
          <cell r="Y8182" t="str">
            <v>Past</v>
          </cell>
          <cell r="Z8182">
            <v>3.85</v>
          </cell>
          <cell r="AA8182">
            <v>0</v>
          </cell>
          <cell r="AB8182">
            <v>0</v>
          </cell>
        </row>
        <row r="8183">
          <cell r="G8183" t="str">
            <v>260_1</v>
          </cell>
          <cell r="H8183" t="str">
            <v>the-of</v>
          </cell>
          <cell r="I8183" t="str">
            <v>sim</v>
          </cell>
          <cell r="V8183" t="str">
            <v>not</v>
          </cell>
          <cell r="Y8183" t="str">
            <v>Past</v>
          </cell>
          <cell r="Z8183">
            <v>3.85</v>
          </cell>
          <cell r="AA8183">
            <v>0</v>
          </cell>
          <cell r="AB8183">
            <v>0</v>
          </cell>
        </row>
        <row r="8184">
          <cell r="G8184" t="str">
            <v>268_0</v>
          </cell>
          <cell r="H8184" t="str">
            <v>as-as</v>
          </cell>
          <cell r="I8184" t="str">
            <v>sim</v>
          </cell>
          <cell r="V8184" t="str">
            <v>not neg pair</v>
          </cell>
          <cell r="Y8184" t="str">
            <v>Past</v>
          </cell>
          <cell r="Z8184">
            <v>5</v>
          </cell>
          <cell r="AA8184" t="str">
            <v>H</v>
          </cell>
          <cell r="AB8184">
            <v>0</v>
          </cell>
        </row>
        <row r="8185">
          <cell r="G8185" t="str">
            <v>268_1</v>
          </cell>
          <cell r="H8185" t="str">
            <v>as-as</v>
          </cell>
          <cell r="I8185" t="str">
            <v>sim</v>
          </cell>
          <cell r="V8185" t="str">
            <v>not neg pair</v>
          </cell>
          <cell r="Y8185" t="str">
            <v>Past</v>
          </cell>
          <cell r="Z8185">
            <v>5</v>
          </cell>
          <cell r="AA8185" t="str">
            <v>H</v>
          </cell>
          <cell r="AB8185">
            <v>0</v>
          </cell>
        </row>
        <row r="8186">
          <cell r="G8186" t="str">
            <v>270_0</v>
          </cell>
          <cell r="H8186" t="str">
            <v>as-as</v>
          </cell>
          <cell r="I8186" t="str">
            <v>sim</v>
          </cell>
          <cell r="V8186" t="str">
            <v>antonym</v>
          </cell>
          <cell r="Y8186" t="str">
            <v>Pres</v>
          </cell>
          <cell r="Z8186">
            <v>4.72</v>
          </cell>
          <cell r="AA8186">
            <v>0</v>
          </cell>
          <cell r="AB8186">
            <v>0</v>
          </cell>
        </row>
        <row r="8187">
          <cell r="G8187" t="str">
            <v>270_1</v>
          </cell>
          <cell r="H8187" t="str">
            <v>as-as</v>
          </cell>
          <cell r="I8187" t="str">
            <v>sim</v>
          </cell>
          <cell r="V8187" t="str">
            <v>antonym</v>
          </cell>
          <cell r="Y8187" t="str">
            <v>Pres</v>
          </cell>
          <cell r="Z8187">
            <v>4.72</v>
          </cell>
          <cell r="AA8187">
            <v>0</v>
          </cell>
          <cell r="AB8187">
            <v>0</v>
          </cell>
        </row>
        <row r="8188">
          <cell r="G8188" t="str">
            <v>274_0</v>
          </cell>
          <cell r="H8188" t="str">
            <v>as-as</v>
          </cell>
          <cell r="I8188" t="str">
            <v>sim</v>
          </cell>
          <cell r="V8188" t="str">
            <v>not</v>
          </cell>
          <cell r="Y8188" t="str">
            <v>Past</v>
          </cell>
          <cell r="Z8188">
            <v>3.36</v>
          </cell>
          <cell r="AA8188">
            <v>0</v>
          </cell>
          <cell r="AB8188">
            <v>0</v>
          </cell>
        </row>
        <row r="8189">
          <cell r="G8189" t="str">
            <v>274_1</v>
          </cell>
          <cell r="H8189" t="str">
            <v>as-as</v>
          </cell>
          <cell r="I8189" t="str">
            <v>sim</v>
          </cell>
          <cell r="V8189" t="str">
            <v>not</v>
          </cell>
          <cell r="Y8189" t="str">
            <v>Past</v>
          </cell>
          <cell r="Z8189">
            <v>3.36</v>
          </cell>
          <cell r="AA8189">
            <v>0</v>
          </cell>
          <cell r="AB8189">
            <v>0</v>
          </cell>
        </row>
        <row r="8190">
          <cell r="G8190" t="str">
            <v>276_0</v>
          </cell>
          <cell r="H8190" t="str">
            <v>as</v>
          </cell>
          <cell r="I8190" t="str">
            <v>sim</v>
          </cell>
          <cell r="V8190" t="str">
            <v>not neg pair</v>
          </cell>
          <cell r="Y8190" t="str">
            <v>Pres</v>
          </cell>
          <cell r="Z8190">
            <v>3.36</v>
          </cell>
          <cell r="AA8190">
            <v>0</v>
          </cell>
          <cell r="AB8190">
            <v>0</v>
          </cell>
        </row>
        <row r="8191">
          <cell r="G8191" t="str">
            <v>276_1</v>
          </cell>
          <cell r="H8191" t="str">
            <v>as</v>
          </cell>
          <cell r="I8191" t="str">
            <v>sim</v>
          </cell>
          <cell r="V8191" t="str">
            <v>not neg pair</v>
          </cell>
          <cell r="Y8191" t="str">
            <v>Pres</v>
          </cell>
          <cell r="Z8191">
            <v>3.36</v>
          </cell>
          <cell r="AA8191">
            <v>0</v>
          </cell>
          <cell r="AB8191">
            <v>0</v>
          </cell>
        </row>
        <row r="8192">
          <cell r="G8192" t="str">
            <v>277_0</v>
          </cell>
          <cell r="H8192" t="str">
            <v>as-as</v>
          </cell>
          <cell r="I8192" t="str">
            <v>sim</v>
          </cell>
          <cell r="V8192" t="str">
            <v>not neg pair</v>
          </cell>
          <cell r="Y8192" t="str">
            <v>Past</v>
          </cell>
          <cell r="Z8192">
            <v>4.3</v>
          </cell>
          <cell r="AA8192">
            <v>0</v>
          </cell>
          <cell r="AB8192">
            <v>0</v>
          </cell>
        </row>
        <row r="8193">
          <cell r="G8193" t="str">
            <v>277_1</v>
          </cell>
          <cell r="H8193" t="str">
            <v>as-as</v>
          </cell>
          <cell r="I8193" t="str">
            <v>sim</v>
          </cell>
          <cell r="V8193" t="str">
            <v>not neg pair</v>
          </cell>
          <cell r="Y8193" t="str">
            <v>Past</v>
          </cell>
          <cell r="Z8193">
            <v>4.3</v>
          </cell>
          <cell r="AA8193">
            <v>0</v>
          </cell>
          <cell r="AB8193">
            <v>0</v>
          </cell>
        </row>
        <row r="8194">
          <cell r="G8194" t="str">
            <v>278_0</v>
          </cell>
          <cell r="H8194" t="str">
            <v>as-as</v>
          </cell>
          <cell r="I8194" t="str">
            <v>sim</v>
          </cell>
          <cell r="V8194" t="str">
            <v>not</v>
          </cell>
          <cell r="Y8194" t="str">
            <v>Past</v>
          </cell>
          <cell r="Z8194">
            <v>3.93</v>
          </cell>
          <cell r="AA8194">
            <v>0</v>
          </cell>
          <cell r="AB8194">
            <v>0</v>
          </cell>
        </row>
        <row r="8195">
          <cell r="G8195" t="str">
            <v>278_1</v>
          </cell>
          <cell r="H8195" t="str">
            <v>as-as</v>
          </cell>
          <cell r="I8195" t="str">
            <v>sim</v>
          </cell>
          <cell r="V8195" t="str">
            <v>not</v>
          </cell>
          <cell r="Y8195" t="str">
            <v>Past</v>
          </cell>
          <cell r="Z8195">
            <v>3.93</v>
          </cell>
          <cell r="AA8195">
            <v>0</v>
          </cell>
          <cell r="AB8195">
            <v>0</v>
          </cell>
        </row>
        <row r="8196">
          <cell r="G8196" t="str">
            <v>281_0</v>
          </cell>
          <cell r="H8196" t="str">
            <v>as-as</v>
          </cell>
          <cell r="I8196" t="str">
            <v>sim</v>
          </cell>
          <cell r="V8196" t="str">
            <v>not</v>
          </cell>
          <cell r="Y8196" t="str">
            <v>Past</v>
          </cell>
          <cell r="Z8196">
            <v>4.6100000000000003</v>
          </cell>
          <cell r="AA8196">
            <v>0</v>
          </cell>
          <cell r="AB8196">
            <v>0</v>
          </cell>
        </row>
        <row r="8197">
          <cell r="G8197" t="str">
            <v>281_1</v>
          </cell>
          <cell r="H8197" t="str">
            <v>as-as</v>
          </cell>
          <cell r="I8197" t="str">
            <v>sim</v>
          </cell>
          <cell r="V8197" t="str">
            <v>not</v>
          </cell>
          <cell r="Y8197" t="str">
            <v>Past</v>
          </cell>
          <cell r="Z8197">
            <v>4.6100000000000003</v>
          </cell>
          <cell r="AA8197">
            <v>0</v>
          </cell>
          <cell r="AB8197">
            <v>0</v>
          </cell>
        </row>
        <row r="8198">
          <cell r="G8198" t="str">
            <v>282_0</v>
          </cell>
          <cell r="H8198" t="str">
            <v>as-as</v>
          </cell>
          <cell r="I8198" t="str">
            <v>sim</v>
          </cell>
          <cell r="V8198" t="str">
            <v>not</v>
          </cell>
          <cell r="Y8198" t="str">
            <v>Past</v>
          </cell>
          <cell r="Z8198">
            <v>4.9000000000000004</v>
          </cell>
          <cell r="AA8198">
            <v>0</v>
          </cell>
          <cell r="AB8198">
            <v>0</v>
          </cell>
        </row>
        <row r="8199">
          <cell r="G8199" t="str">
            <v>282_1</v>
          </cell>
          <cell r="H8199" t="str">
            <v>as-as</v>
          </cell>
          <cell r="I8199" t="str">
            <v>sim</v>
          </cell>
          <cell r="V8199" t="str">
            <v>not</v>
          </cell>
          <cell r="Y8199" t="str">
            <v>Past</v>
          </cell>
          <cell r="Z8199">
            <v>4.9000000000000004</v>
          </cell>
          <cell r="AA8199">
            <v>0</v>
          </cell>
          <cell r="AB8199">
            <v>0</v>
          </cell>
        </row>
        <row r="8200">
          <cell r="G8200" t="str">
            <v>284_0</v>
          </cell>
          <cell r="H8200" t="str">
            <v>as-as</v>
          </cell>
          <cell r="I8200" t="str">
            <v>sim</v>
          </cell>
          <cell r="V8200" t="str">
            <v>antonym</v>
          </cell>
          <cell r="Y8200" t="str">
            <v>Pres</v>
          </cell>
          <cell r="Z8200">
            <v>4.24</v>
          </cell>
          <cell r="AA8200">
            <v>0</v>
          </cell>
          <cell r="AB8200">
            <v>0</v>
          </cell>
        </row>
        <row r="8201">
          <cell r="G8201" t="str">
            <v>284_1</v>
          </cell>
          <cell r="H8201" t="str">
            <v>as-as</v>
          </cell>
          <cell r="I8201" t="str">
            <v>sim</v>
          </cell>
          <cell r="V8201" t="str">
            <v>antonym</v>
          </cell>
          <cell r="Y8201" t="str">
            <v>Pres</v>
          </cell>
          <cell r="Z8201">
            <v>4.24</v>
          </cell>
          <cell r="AA8201">
            <v>0</v>
          </cell>
          <cell r="AB8201">
            <v>0</v>
          </cell>
        </row>
        <row r="8202">
          <cell r="G8202" t="str">
            <v>287_0</v>
          </cell>
          <cell r="H8202" t="str">
            <v>as-as</v>
          </cell>
          <cell r="I8202" t="str">
            <v>sim</v>
          </cell>
          <cell r="V8202" t="str">
            <v>antonym</v>
          </cell>
          <cell r="Y8202" t="str">
            <v>Pres</v>
          </cell>
          <cell r="Z8202">
            <v>2.81</v>
          </cell>
          <cell r="AA8202">
            <v>0</v>
          </cell>
          <cell r="AB8202">
            <v>0</v>
          </cell>
        </row>
        <row r="8203">
          <cell r="G8203" t="str">
            <v>287_1</v>
          </cell>
          <cell r="H8203" t="str">
            <v>as-as</v>
          </cell>
          <cell r="I8203" t="str">
            <v>sim</v>
          </cell>
          <cell r="V8203" t="str">
            <v>antonym</v>
          </cell>
          <cell r="Y8203" t="str">
            <v>Pres</v>
          </cell>
          <cell r="Z8203">
            <v>2.81</v>
          </cell>
          <cell r="AA8203">
            <v>0</v>
          </cell>
          <cell r="AB8203">
            <v>0</v>
          </cell>
        </row>
        <row r="8204">
          <cell r="G8204" t="str">
            <v>288_0</v>
          </cell>
          <cell r="H8204" t="str">
            <v/>
          </cell>
          <cell r="I8204" t="str">
            <v>met</v>
          </cell>
          <cell r="V8204" t="str">
            <v>0</v>
          </cell>
          <cell r="Y8204" t="str">
            <v>Pres</v>
          </cell>
          <cell r="Z8204">
            <v>2.93</v>
          </cell>
          <cell r="AA8204">
            <v>0</v>
          </cell>
          <cell r="AB8204">
            <v>0</v>
          </cell>
        </row>
        <row r="8205">
          <cell r="G8205" t="str">
            <v>288_1</v>
          </cell>
          <cell r="H8205" t="str">
            <v/>
          </cell>
          <cell r="I8205" t="str">
            <v>met</v>
          </cell>
          <cell r="V8205" t="str">
            <v>0</v>
          </cell>
          <cell r="Y8205" t="str">
            <v>Pres</v>
          </cell>
          <cell r="Z8205">
            <v>2.93</v>
          </cell>
          <cell r="AA8205">
            <v>0</v>
          </cell>
          <cell r="AB8205">
            <v>0</v>
          </cell>
        </row>
        <row r="8206">
          <cell r="G8206" t="str">
            <v>292_0</v>
          </cell>
          <cell r="H8206" t="str">
            <v>as-as</v>
          </cell>
          <cell r="I8206" t="str">
            <v>sim</v>
          </cell>
          <cell r="V8206" t="str">
            <v>not neg pair</v>
          </cell>
          <cell r="Y8206" t="str">
            <v>Pres</v>
          </cell>
          <cell r="Z8206">
            <v>5</v>
          </cell>
          <cell r="AA8206" t="str">
            <v>H</v>
          </cell>
          <cell r="AB8206">
            <v>0</v>
          </cell>
        </row>
        <row r="8207">
          <cell r="G8207" t="str">
            <v>292_1</v>
          </cell>
          <cell r="H8207" t="str">
            <v>as-as</v>
          </cell>
          <cell r="I8207" t="str">
            <v>sim</v>
          </cell>
          <cell r="V8207" t="str">
            <v>not neg pair</v>
          </cell>
          <cell r="Y8207" t="str">
            <v>Pres</v>
          </cell>
          <cell r="Z8207">
            <v>5</v>
          </cell>
          <cell r="AA8207" t="str">
            <v>H</v>
          </cell>
          <cell r="AB8207">
            <v>0</v>
          </cell>
        </row>
        <row r="8208">
          <cell r="G8208" t="str">
            <v>299_0</v>
          </cell>
          <cell r="H8208" t="str">
            <v>as-as</v>
          </cell>
          <cell r="I8208" t="str">
            <v>sim</v>
          </cell>
          <cell r="V8208" t="str">
            <v>not</v>
          </cell>
          <cell r="Y8208" t="str">
            <v>Past</v>
          </cell>
          <cell r="Z8208">
            <v>4.57</v>
          </cell>
          <cell r="AA8208">
            <v>0</v>
          </cell>
          <cell r="AB8208">
            <v>0</v>
          </cell>
        </row>
        <row r="8209">
          <cell r="G8209" t="str">
            <v>299_1</v>
          </cell>
          <cell r="H8209" t="str">
            <v>as-as</v>
          </cell>
          <cell r="I8209" t="str">
            <v>sim</v>
          </cell>
          <cell r="V8209" t="str">
            <v>not</v>
          </cell>
          <cell r="Y8209" t="str">
            <v>Past</v>
          </cell>
          <cell r="Z8209">
            <v>4.57</v>
          </cell>
          <cell r="AA8209">
            <v>0</v>
          </cell>
          <cell r="AB8209">
            <v>0</v>
          </cell>
        </row>
        <row r="8210">
          <cell r="G8210" t="str">
            <v>301_0</v>
          </cell>
          <cell r="H8210" t="str">
            <v>like</v>
          </cell>
          <cell r="I8210" t="str">
            <v>sim</v>
          </cell>
          <cell r="V8210" t="str">
            <v>not neg pair</v>
          </cell>
          <cell r="Y8210" t="str">
            <v>Pres</v>
          </cell>
          <cell r="Z8210">
            <v>2.81</v>
          </cell>
          <cell r="AA8210">
            <v>0</v>
          </cell>
          <cell r="AB8210">
            <v>0</v>
          </cell>
        </row>
        <row r="8211">
          <cell r="G8211" t="str">
            <v>301_1</v>
          </cell>
          <cell r="H8211" t="str">
            <v>like</v>
          </cell>
          <cell r="I8211" t="str">
            <v>sim</v>
          </cell>
          <cell r="V8211" t="str">
            <v>not neg pair</v>
          </cell>
          <cell r="Y8211" t="str">
            <v>Pres</v>
          </cell>
          <cell r="Z8211">
            <v>2.81</v>
          </cell>
          <cell r="AA8211">
            <v>0</v>
          </cell>
          <cell r="AB8211">
            <v>0</v>
          </cell>
        </row>
        <row r="8212">
          <cell r="G8212" t="str">
            <v>303_0</v>
          </cell>
          <cell r="H8212" t="str">
            <v>the-of</v>
          </cell>
          <cell r="I8212" t="str">
            <v>sim</v>
          </cell>
          <cell r="V8212" t="str">
            <v>not</v>
          </cell>
          <cell r="Y8212" t="str">
            <v>Pres</v>
          </cell>
          <cell r="Z8212">
            <v>2.81</v>
          </cell>
          <cell r="AA8212">
            <v>0</v>
          </cell>
          <cell r="AB8212">
            <v>0</v>
          </cell>
        </row>
        <row r="8213">
          <cell r="G8213" t="str">
            <v>303_1</v>
          </cell>
          <cell r="H8213" t="str">
            <v>the-of</v>
          </cell>
          <cell r="I8213" t="str">
            <v>sim</v>
          </cell>
          <cell r="V8213" t="str">
            <v>not</v>
          </cell>
          <cell r="Y8213" t="str">
            <v>Pres</v>
          </cell>
          <cell r="Z8213">
            <v>2.81</v>
          </cell>
          <cell r="AA8213">
            <v>0</v>
          </cell>
          <cell r="AB8213">
            <v>0</v>
          </cell>
        </row>
        <row r="8214">
          <cell r="G8214" t="str">
            <v>306_0</v>
          </cell>
          <cell r="H8214" t="str">
            <v>the-of</v>
          </cell>
          <cell r="I8214" t="str">
            <v>sim</v>
          </cell>
          <cell r="V8214" t="str">
            <v>not neg pair</v>
          </cell>
          <cell r="Y8214" t="str">
            <v>Pres</v>
          </cell>
          <cell r="Z8214">
            <v>4.8899999999999997</v>
          </cell>
          <cell r="AA8214">
            <v>0</v>
          </cell>
          <cell r="AB8214">
            <v>0</v>
          </cell>
        </row>
        <row r="8215">
          <cell r="G8215" t="str">
            <v>306_1</v>
          </cell>
          <cell r="H8215" t="str">
            <v>the-of</v>
          </cell>
          <cell r="I8215" t="str">
            <v>sim</v>
          </cell>
          <cell r="V8215" t="str">
            <v>not neg pair</v>
          </cell>
          <cell r="Y8215" t="str">
            <v>Pres</v>
          </cell>
          <cell r="Z8215">
            <v>4.8899999999999997</v>
          </cell>
          <cell r="AA8215">
            <v>0</v>
          </cell>
          <cell r="AB8215">
            <v>0</v>
          </cell>
        </row>
        <row r="8216">
          <cell r="G8216" t="str">
            <v>311_0</v>
          </cell>
          <cell r="H8216" t="str">
            <v>as</v>
          </cell>
          <cell r="I8216" t="str">
            <v>sim</v>
          </cell>
          <cell r="V8216" t="str">
            <v>not neg pair</v>
          </cell>
          <cell r="Y8216" t="str">
            <v>Past</v>
          </cell>
          <cell r="Z8216">
            <v>3.74</v>
          </cell>
          <cell r="AA8216">
            <v>0</v>
          </cell>
          <cell r="AB8216">
            <v>0</v>
          </cell>
        </row>
        <row r="8217">
          <cell r="G8217" t="str">
            <v>311_1</v>
          </cell>
          <cell r="H8217" t="str">
            <v>as</v>
          </cell>
          <cell r="I8217" t="str">
            <v>sim</v>
          </cell>
          <cell r="V8217" t="str">
            <v>not neg pair</v>
          </cell>
          <cell r="Y8217" t="str">
            <v>Past</v>
          </cell>
          <cell r="Z8217">
            <v>3.74</v>
          </cell>
          <cell r="AA8217">
            <v>0</v>
          </cell>
          <cell r="AB8217">
            <v>0</v>
          </cell>
        </row>
        <row r="8218">
          <cell r="G8218" t="str">
            <v>322_0</v>
          </cell>
          <cell r="H8218" t="str">
            <v>as-as</v>
          </cell>
          <cell r="I8218" t="str">
            <v>sim</v>
          </cell>
          <cell r="V8218" t="str">
            <v>not neg pair</v>
          </cell>
          <cell r="Y8218" t="str">
            <v>Pres</v>
          </cell>
          <cell r="Z8218">
            <v>4.8899999999999997</v>
          </cell>
          <cell r="AA8218">
            <v>0</v>
          </cell>
          <cell r="AB8218">
            <v>0</v>
          </cell>
        </row>
        <row r="8219">
          <cell r="G8219" t="str">
            <v>322_1</v>
          </cell>
          <cell r="H8219" t="str">
            <v>as-as</v>
          </cell>
          <cell r="I8219" t="str">
            <v>sim</v>
          </cell>
          <cell r="V8219" t="str">
            <v>not neg pair</v>
          </cell>
          <cell r="Y8219" t="str">
            <v>Pres</v>
          </cell>
          <cell r="Z8219">
            <v>4.8899999999999997</v>
          </cell>
          <cell r="AA8219">
            <v>0</v>
          </cell>
          <cell r="AB8219">
            <v>0</v>
          </cell>
        </row>
        <row r="8220">
          <cell r="G8220" t="str">
            <v>330_0</v>
          </cell>
          <cell r="H8220" t="str">
            <v/>
          </cell>
          <cell r="I8220" t="str">
            <v>met</v>
          </cell>
          <cell r="V8220" t="str">
            <v>0</v>
          </cell>
          <cell r="Y8220" t="str">
            <v>Pres</v>
          </cell>
          <cell r="Z8220">
            <v>3.93</v>
          </cell>
          <cell r="AA8220">
            <v>0</v>
          </cell>
          <cell r="AB8220">
            <v>0</v>
          </cell>
        </row>
        <row r="8221">
          <cell r="G8221" t="str">
            <v>330_1</v>
          </cell>
          <cell r="H8221" t="str">
            <v/>
          </cell>
          <cell r="I8221" t="str">
            <v>met</v>
          </cell>
          <cell r="V8221" t="str">
            <v>0</v>
          </cell>
          <cell r="Y8221" t="str">
            <v>Pres</v>
          </cell>
          <cell r="Z8221">
            <v>3.93</v>
          </cell>
          <cell r="AA8221">
            <v>0</v>
          </cell>
          <cell r="AB8221">
            <v>0</v>
          </cell>
        </row>
        <row r="8222">
          <cell r="G8222" t="str">
            <v>334_0</v>
          </cell>
          <cell r="H8222" t="str">
            <v/>
          </cell>
          <cell r="I8222" t="str">
            <v>met</v>
          </cell>
          <cell r="V8222" t="str">
            <v>0</v>
          </cell>
          <cell r="Y8222" t="str">
            <v>Past</v>
          </cell>
          <cell r="Z8222">
            <v>4.79</v>
          </cell>
          <cell r="AA8222">
            <v>0</v>
          </cell>
          <cell r="AB8222">
            <v>0</v>
          </cell>
        </row>
        <row r="8223">
          <cell r="G8223" t="str">
            <v>334_1</v>
          </cell>
          <cell r="H8223" t="str">
            <v/>
          </cell>
          <cell r="I8223" t="str">
            <v>met</v>
          </cell>
          <cell r="V8223" t="str">
            <v>0</v>
          </cell>
          <cell r="Y8223" t="str">
            <v>Past</v>
          </cell>
          <cell r="Z8223">
            <v>4.79</v>
          </cell>
          <cell r="AA8223">
            <v>0</v>
          </cell>
          <cell r="AB8223">
            <v>0</v>
          </cell>
        </row>
        <row r="8224">
          <cell r="G8224" t="str">
            <v>335_0</v>
          </cell>
          <cell r="H8224" t="str">
            <v>as-as</v>
          </cell>
          <cell r="I8224" t="str">
            <v>sim</v>
          </cell>
          <cell r="V8224" t="str">
            <v>antonym</v>
          </cell>
          <cell r="Y8224" t="str">
            <v>Pres</v>
          </cell>
          <cell r="Z8224">
            <v>2.88</v>
          </cell>
          <cell r="AA8224">
            <v>0</v>
          </cell>
          <cell r="AB8224">
            <v>0</v>
          </cell>
        </row>
        <row r="8225">
          <cell r="G8225" t="str">
            <v>335_1</v>
          </cell>
          <cell r="H8225" t="str">
            <v>as-as</v>
          </cell>
          <cell r="I8225" t="str">
            <v>sim</v>
          </cell>
          <cell r="V8225" t="str">
            <v>antonym</v>
          </cell>
          <cell r="Y8225" t="str">
            <v>Pres</v>
          </cell>
          <cell r="Z8225">
            <v>2.88</v>
          </cell>
          <cell r="AA8225">
            <v>0</v>
          </cell>
          <cell r="AB8225">
            <v>0</v>
          </cell>
        </row>
        <row r="8226">
          <cell r="G8226" t="str">
            <v>336_0</v>
          </cell>
          <cell r="H8226" t="str">
            <v>as-as</v>
          </cell>
          <cell r="I8226" t="str">
            <v>sim</v>
          </cell>
          <cell r="V8226" t="str">
            <v>not neg pair</v>
          </cell>
          <cell r="Y8226" t="str">
            <v>Pres</v>
          </cell>
          <cell r="Z8226">
            <v>2.2400000000000002</v>
          </cell>
          <cell r="AA8226" t="str">
            <v>L</v>
          </cell>
          <cell r="AB8226">
            <v>0</v>
          </cell>
        </row>
        <row r="8227">
          <cell r="G8227" t="str">
            <v>336_1</v>
          </cell>
          <cell r="H8227" t="str">
            <v>as-as</v>
          </cell>
          <cell r="I8227" t="str">
            <v>sim</v>
          </cell>
          <cell r="V8227" t="str">
            <v>not neg pair</v>
          </cell>
          <cell r="Y8227" t="str">
            <v>Pres</v>
          </cell>
          <cell r="Z8227">
            <v>2.2400000000000002</v>
          </cell>
          <cell r="AA8227" t="str">
            <v>L</v>
          </cell>
          <cell r="AB8227">
            <v>0</v>
          </cell>
        </row>
        <row r="8228">
          <cell r="G8228" t="str">
            <v>339_0</v>
          </cell>
          <cell r="H8228" t="str">
            <v>as-as</v>
          </cell>
          <cell r="I8228" t="str">
            <v>sim</v>
          </cell>
          <cell r="V8228" t="str">
            <v>not neg pair</v>
          </cell>
          <cell r="Y8228" t="str">
            <v>Pres</v>
          </cell>
          <cell r="Z8228">
            <v>3.36</v>
          </cell>
          <cell r="AA8228">
            <v>0</v>
          </cell>
          <cell r="AB8228">
            <v>0</v>
          </cell>
        </row>
        <row r="8229">
          <cell r="G8229" t="str">
            <v>339_1</v>
          </cell>
          <cell r="H8229" t="str">
            <v>as-as</v>
          </cell>
          <cell r="I8229" t="str">
            <v>sim</v>
          </cell>
          <cell r="V8229" t="str">
            <v>not neg pair</v>
          </cell>
          <cell r="Y8229" t="str">
            <v>Pres</v>
          </cell>
          <cell r="Z8229">
            <v>3.36</v>
          </cell>
          <cell r="AA8229">
            <v>0</v>
          </cell>
          <cell r="AB8229">
            <v>0</v>
          </cell>
        </row>
        <row r="8230">
          <cell r="G8230" t="str">
            <v>340_0</v>
          </cell>
          <cell r="H8230" t="str">
            <v>as</v>
          </cell>
          <cell r="I8230" t="str">
            <v>sim</v>
          </cell>
          <cell r="V8230" t="str">
            <v>not neg pair</v>
          </cell>
          <cell r="Y8230" t="str">
            <v>Pres</v>
          </cell>
          <cell r="Z8230">
            <v>3.93</v>
          </cell>
          <cell r="AA8230">
            <v>0</v>
          </cell>
          <cell r="AB8230">
            <v>0</v>
          </cell>
        </row>
        <row r="8231">
          <cell r="G8231" t="str">
            <v>340_1</v>
          </cell>
          <cell r="H8231" t="str">
            <v>as</v>
          </cell>
          <cell r="I8231" t="str">
            <v>sim</v>
          </cell>
          <cell r="V8231" t="str">
            <v>not neg pair</v>
          </cell>
          <cell r="Y8231" t="str">
            <v>Pres</v>
          </cell>
          <cell r="Z8231">
            <v>3.93</v>
          </cell>
          <cell r="AA8231">
            <v>0</v>
          </cell>
          <cell r="AB8231">
            <v>0</v>
          </cell>
        </row>
        <row r="8232">
          <cell r="G8232" t="str">
            <v>344_0</v>
          </cell>
          <cell r="H8232" t="str">
            <v>as-as</v>
          </cell>
          <cell r="I8232" t="str">
            <v>sim</v>
          </cell>
          <cell r="V8232" t="str">
            <v>antonym</v>
          </cell>
          <cell r="Y8232" t="str">
            <v>Past</v>
          </cell>
          <cell r="Z8232">
            <v>4.9000000000000004</v>
          </cell>
          <cell r="AA8232">
            <v>0</v>
          </cell>
          <cell r="AB8232">
            <v>0</v>
          </cell>
        </row>
        <row r="8233">
          <cell r="G8233" t="str">
            <v>344_1</v>
          </cell>
          <cell r="H8233" t="str">
            <v>as-as</v>
          </cell>
          <cell r="I8233" t="str">
            <v>sim</v>
          </cell>
          <cell r="V8233" t="str">
            <v>antonym</v>
          </cell>
          <cell r="Y8233" t="str">
            <v>Past</v>
          </cell>
          <cell r="Z8233">
            <v>4.9000000000000004</v>
          </cell>
          <cell r="AA8233">
            <v>0</v>
          </cell>
          <cell r="AB8233">
            <v>0</v>
          </cell>
        </row>
        <row r="8234">
          <cell r="G8234" t="str">
            <v>348_0</v>
          </cell>
          <cell r="H8234" t="str">
            <v>as-as</v>
          </cell>
          <cell r="I8234" t="str">
            <v>sim</v>
          </cell>
          <cell r="V8234" t="str">
            <v>not</v>
          </cell>
          <cell r="Y8234" t="str">
            <v>Pres</v>
          </cell>
          <cell r="Z8234">
            <v>2.81</v>
          </cell>
          <cell r="AA8234">
            <v>0</v>
          </cell>
          <cell r="AB8234">
            <v>0</v>
          </cell>
        </row>
        <row r="8235">
          <cell r="G8235" t="str">
            <v>348_1</v>
          </cell>
          <cell r="H8235" t="str">
            <v>as-as</v>
          </cell>
          <cell r="I8235" t="str">
            <v>sim</v>
          </cell>
          <cell r="V8235" t="str">
            <v>not</v>
          </cell>
          <cell r="Y8235" t="str">
            <v>Pres</v>
          </cell>
          <cell r="Z8235">
            <v>2.81</v>
          </cell>
          <cell r="AA8235">
            <v>0</v>
          </cell>
          <cell r="AB8235">
            <v>0</v>
          </cell>
        </row>
        <row r="8236">
          <cell r="G8236" t="str">
            <v>351_0</v>
          </cell>
          <cell r="H8236" t="str">
            <v>the-of</v>
          </cell>
          <cell r="I8236" t="str">
            <v>sim</v>
          </cell>
          <cell r="V8236" t="str">
            <v>not neg pair</v>
          </cell>
          <cell r="Y8236" t="str">
            <v>Pres</v>
          </cell>
          <cell r="Z8236">
            <v>3.24</v>
          </cell>
          <cell r="AA8236">
            <v>0</v>
          </cell>
          <cell r="AB8236">
            <v>0</v>
          </cell>
        </row>
        <row r="8237">
          <cell r="G8237" t="str">
            <v>351_1</v>
          </cell>
          <cell r="H8237" t="str">
            <v>the-of</v>
          </cell>
          <cell r="I8237" t="str">
            <v>sim</v>
          </cell>
          <cell r="V8237" t="str">
            <v>not neg pair</v>
          </cell>
          <cell r="Y8237" t="str">
            <v>Pres</v>
          </cell>
          <cell r="Z8237">
            <v>3.24</v>
          </cell>
          <cell r="AA8237">
            <v>0</v>
          </cell>
          <cell r="AB8237">
            <v>0</v>
          </cell>
        </row>
        <row r="8238">
          <cell r="G8238" t="str">
            <v>353_0</v>
          </cell>
          <cell r="H8238" t="str">
            <v>as-as</v>
          </cell>
          <cell r="I8238" t="str">
            <v>sim</v>
          </cell>
          <cell r="V8238" t="str">
            <v>antonym</v>
          </cell>
          <cell r="Y8238" t="str">
            <v>Past</v>
          </cell>
          <cell r="Z8238">
            <v>4.8499999999999996</v>
          </cell>
          <cell r="AA8238">
            <v>0</v>
          </cell>
          <cell r="AB8238">
            <v>0</v>
          </cell>
        </row>
        <row r="8239">
          <cell r="G8239" t="str">
            <v>353_1</v>
          </cell>
          <cell r="H8239" t="str">
            <v>as-as</v>
          </cell>
          <cell r="I8239" t="str">
            <v>sim</v>
          </cell>
          <cell r="V8239" t="str">
            <v>antonym</v>
          </cell>
          <cell r="Y8239" t="str">
            <v>Past</v>
          </cell>
          <cell r="Z8239">
            <v>4.8499999999999996</v>
          </cell>
          <cell r="AA8239">
            <v>0</v>
          </cell>
          <cell r="AB8239">
            <v>0</v>
          </cell>
        </row>
        <row r="8240">
          <cell r="G8240" t="str">
            <v>356_0</v>
          </cell>
          <cell r="H8240" t="str">
            <v>the-of</v>
          </cell>
          <cell r="I8240" t="str">
            <v>sim</v>
          </cell>
          <cell r="V8240" t="str">
            <v>not neg pair</v>
          </cell>
          <cell r="Y8240" t="str">
            <v>Pres</v>
          </cell>
          <cell r="Z8240">
            <v>4.79</v>
          </cell>
          <cell r="AA8240">
            <v>0</v>
          </cell>
          <cell r="AB8240">
            <v>0</v>
          </cell>
        </row>
        <row r="8241">
          <cell r="G8241" t="str">
            <v>356_1</v>
          </cell>
          <cell r="H8241" t="str">
            <v>the-of</v>
          </cell>
          <cell r="I8241" t="str">
            <v>sim</v>
          </cell>
          <cell r="V8241" t="str">
            <v>not neg pair</v>
          </cell>
          <cell r="Y8241" t="str">
            <v>Pres</v>
          </cell>
          <cell r="Z8241">
            <v>4.79</v>
          </cell>
          <cell r="AA8241">
            <v>0</v>
          </cell>
          <cell r="AB8241">
            <v>0</v>
          </cell>
        </row>
        <row r="8242">
          <cell r="G8242" t="str">
            <v>361_0</v>
          </cell>
          <cell r="H8242" t="str">
            <v>as-as</v>
          </cell>
          <cell r="I8242" t="str">
            <v>sim</v>
          </cell>
          <cell r="V8242" t="str">
            <v>not neg pair</v>
          </cell>
          <cell r="Y8242" t="str">
            <v>Pres</v>
          </cell>
          <cell r="Z8242">
            <v>5</v>
          </cell>
          <cell r="AA8242" t="str">
            <v>H</v>
          </cell>
          <cell r="AB8242">
            <v>0</v>
          </cell>
        </row>
        <row r="8243">
          <cell r="G8243" t="str">
            <v>361_1</v>
          </cell>
          <cell r="H8243" t="str">
            <v>as-as</v>
          </cell>
          <cell r="I8243" t="str">
            <v>sim</v>
          </cell>
          <cell r="V8243" t="str">
            <v>not neg pair</v>
          </cell>
          <cell r="Y8243" t="str">
            <v>Pres</v>
          </cell>
          <cell r="Z8243">
            <v>5</v>
          </cell>
          <cell r="AA8243" t="str">
            <v>H</v>
          </cell>
          <cell r="AB8243">
            <v>0</v>
          </cell>
        </row>
        <row r="8244">
          <cell r="G8244" t="str">
            <v>362_0</v>
          </cell>
          <cell r="H8244" t="str">
            <v>as-as</v>
          </cell>
          <cell r="I8244" t="str">
            <v>sim</v>
          </cell>
          <cell r="V8244" t="str">
            <v>not neg pair</v>
          </cell>
          <cell r="Y8244" t="str">
            <v>Pres</v>
          </cell>
          <cell r="Z8244">
            <v>0</v>
          </cell>
          <cell r="AA8244">
            <v>0</v>
          </cell>
          <cell r="AB8244">
            <v>0</v>
          </cell>
        </row>
        <row r="8245">
          <cell r="G8245" t="str">
            <v>362_1</v>
          </cell>
          <cell r="H8245" t="str">
            <v>as-as</v>
          </cell>
          <cell r="I8245" t="str">
            <v>sim</v>
          </cell>
          <cell r="V8245" t="str">
            <v>not neg pair</v>
          </cell>
          <cell r="Y8245" t="str">
            <v>Pres</v>
          </cell>
          <cell r="Z8245">
            <v>4.92</v>
          </cell>
          <cell r="AA8245" t="str">
            <v>H</v>
          </cell>
          <cell r="AB8245">
            <v>0</v>
          </cell>
        </row>
        <row r="8246">
          <cell r="G8246" t="str">
            <v>363_0</v>
          </cell>
          <cell r="H8246" t="str">
            <v>like</v>
          </cell>
          <cell r="I8246" t="str">
            <v>sim</v>
          </cell>
          <cell r="V8246" t="str">
            <v>not neg pair</v>
          </cell>
          <cell r="Y8246" t="str">
            <v>Pres</v>
          </cell>
          <cell r="Z8246">
            <v>4.13</v>
          </cell>
          <cell r="AA8246">
            <v>0</v>
          </cell>
          <cell r="AB8246">
            <v>0</v>
          </cell>
        </row>
        <row r="8247">
          <cell r="G8247" t="str">
            <v>363_1</v>
          </cell>
          <cell r="H8247" t="str">
            <v>like</v>
          </cell>
          <cell r="I8247" t="str">
            <v>sim</v>
          </cell>
          <cell r="V8247" t="str">
            <v>not neg pair</v>
          </cell>
          <cell r="Y8247" t="str">
            <v>Pres</v>
          </cell>
          <cell r="Z8247">
            <v>4.13</v>
          </cell>
          <cell r="AA8247">
            <v>0</v>
          </cell>
          <cell r="AB8247">
            <v>0</v>
          </cell>
        </row>
        <row r="8248">
          <cell r="G8248" t="str">
            <v>365_0</v>
          </cell>
          <cell r="H8248" t="str">
            <v>as-as</v>
          </cell>
          <cell r="I8248" t="str">
            <v>sim</v>
          </cell>
          <cell r="V8248" t="str">
            <v>antonym</v>
          </cell>
          <cell r="Y8248" t="str">
            <v>Past</v>
          </cell>
          <cell r="Z8248">
            <v>4.26</v>
          </cell>
          <cell r="AA8248">
            <v>0</v>
          </cell>
          <cell r="AB8248">
            <v>0</v>
          </cell>
        </row>
        <row r="8249">
          <cell r="G8249" t="str">
            <v>365_1</v>
          </cell>
          <cell r="H8249" t="str">
            <v>as-as</v>
          </cell>
          <cell r="I8249" t="str">
            <v>sim</v>
          </cell>
          <cell r="V8249" t="str">
            <v>antonym</v>
          </cell>
          <cell r="Y8249" t="str">
            <v>Past</v>
          </cell>
          <cell r="Z8249">
            <v>4.26</v>
          </cell>
          <cell r="AA8249">
            <v>0</v>
          </cell>
          <cell r="AB8249">
            <v>0</v>
          </cell>
        </row>
        <row r="8250">
          <cell r="G8250" t="str">
            <v>366_0</v>
          </cell>
          <cell r="H8250" t="str">
            <v>as-as</v>
          </cell>
          <cell r="I8250" t="str">
            <v>sim</v>
          </cell>
          <cell r="V8250" t="str">
            <v>antonym</v>
          </cell>
          <cell r="Y8250" t="str">
            <v>Past</v>
          </cell>
          <cell r="Z8250">
            <v>4.75</v>
          </cell>
          <cell r="AA8250">
            <v>0</v>
          </cell>
          <cell r="AB8250">
            <v>0</v>
          </cell>
        </row>
        <row r="8251">
          <cell r="G8251" t="str">
            <v>366_1</v>
          </cell>
          <cell r="H8251" t="str">
            <v>as-as</v>
          </cell>
          <cell r="I8251" t="str">
            <v>sim</v>
          </cell>
          <cell r="V8251" t="str">
            <v>antonym</v>
          </cell>
          <cell r="Y8251" t="str">
            <v>Past</v>
          </cell>
          <cell r="Z8251">
            <v>4.75</v>
          </cell>
          <cell r="AA8251">
            <v>0</v>
          </cell>
          <cell r="AB8251">
            <v>0</v>
          </cell>
        </row>
        <row r="8252">
          <cell r="G8252" t="str">
            <v>367_0</v>
          </cell>
          <cell r="H8252" t="str">
            <v>as-as</v>
          </cell>
          <cell r="I8252" t="str">
            <v>sim</v>
          </cell>
          <cell r="V8252" t="str">
            <v>antonym</v>
          </cell>
          <cell r="Y8252" t="str">
            <v>Past</v>
          </cell>
          <cell r="Z8252">
            <v>4.33</v>
          </cell>
          <cell r="AA8252">
            <v>0</v>
          </cell>
          <cell r="AB8252">
            <v>0</v>
          </cell>
        </row>
        <row r="8253">
          <cell r="G8253" t="str">
            <v>367_1</v>
          </cell>
          <cell r="H8253" t="str">
            <v>as-as</v>
          </cell>
          <cell r="I8253" t="str">
            <v>sim</v>
          </cell>
          <cell r="V8253" t="str">
            <v>antonym</v>
          </cell>
          <cell r="Y8253" t="str">
            <v>Past</v>
          </cell>
          <cell r="Z8253">
            <v>4.33</v>
          </cell>
          <cell r="AA8253">
            <v>0</v>
          </cell>
          <cell r="AB8253">
            <v>0</v>
          </cell>
        </row>
        <row r="8254">
          <cell r="G8254" t="str">
            <v>368_0</v>
          </cell>
          <cell r="H8254" t="str">
            <v>as-as</v>
          </cell>
          <cell r="I8254" t="str">
            <v>sim</v>
          </cell>
          <cell r="V8254" t="str">
            <v>not</v>
          </cell>
          <cell r="Y8254" t="str">
            <v>Past</v>
          </cell>
          <cell r="Z8254">
            <v>3.31</v>
          </cell>
          <cell r="AA8254">
            <v>0</v>
          </cell>
          <cell r="AB8254">
            <v>0</v>
          </cell>
        </row>
        <row r="8255">
          <cell r="G8255" t="str">
            <v>368_1</v>
          </cell>
          <cell r="H8255" t="str">
            <v>as-as</v>
          </cell>
          <cell r="I8255" t="str">
            <v>sim</v>
          </cell>
          <cell r="V8255" t="str">
            <v>not</v>
          </cell>
          <cell r="Y8255" t="str">
            <v>Past</v>
          </cell>
          <cell r="Z8255">
            <v>3.31</v>
          </cell>
          <cell r="AA8255">
            <v>0</v>
          </cell>
          <cell r="AB8255">
            <v>0</v>
          </cell>
        </row>
        <row r="8256">
          <cell r="G8256" t="str">
            <v>372_0</v>
          </cell>
          <cell r="H8256" t="str">
            <v>like</v>
          </cell>
          <cell r="I8256" t="str">
            <v>sim</v>
          </cell>
          <cell r="V8256" t="str">
            <v>not neg pair</v>
          </cell>
          <cell r="Y8256" t="str">
            <v>Past</v>
          </cell>
          <cell r="Z8256">
            <v>3.93</v>
          </cell>
          <cell r="AA8256">
            <v>0</v>
          </cell>
          <cell r="AB8256">
            <v>0</v>
          </cell>
        </row>
        <row r="8257">
          <cell r="G8257" t="str">
            <v>372_1</v>
          </cell>
          <cell r="H8257" t="str">
            <v>like</v>
          </cell>
          <cell r="I8257" t="str">
            <v>sim</v>
          </cell>
          <cell r="V8257" t="str">
            <v>not neg pair</v>
          </cell>
          <cell r="Y8257" t="str">
            <v>Past</v>
          </cell>
          <cell r="Z8257">
            <v>3.93</v>
          </cell>
          <cell r="AA8257">
            <v>0</v>
          </cell>
          <cell r="AB8257">
            <v>0</v>
          </cell>
        </row>
        <row r="8258">
          <cell r="G8258" t="str">
            <v>373_0</v>
          </cell>
          <cell r="H8258" t="str">
            <v>like</v>
          </cell>
          <cell r="I8258" t="str">
            <v>sim</v>
          </cell>
          <cell r="V8258" t="str">
            <v>not neg pair</v>
          </cell>
          <cell r="Y8258" t="str">
            <v>Past</v>
          </cell>
          <cell r="Z8258">
            <v>4.59</v>
          </cell>
          <cell r="AA8258">
            <v>0</v>
          </cell>
          <cell r="AB8258">
            <v>0</v>
          </cell>
        </row>
        <row r="8259">
          <cell r="G8259" t="str">
            <v>373_1</v>
          </cell>
          <cell r="H8259" t="str">
            <v>like</v>
          </cell>
          <cell r="I8259" t="str">
            <v>sim</v>
          </cell>
          <cell r="V8259" t="str">
            <v>not neg pair</v>
          </cell>
          <cell r="Y8259" t="str">
            <v>Past</v>
          </cell>
          <cell r="Z8259">
            <v>4.59</v>
          </cell>
          <cell r="AA8259">
            <v>0</v>
          </cell>
          <cell r="AB8259">
            <v>0</v>
          </cell>
        </row>
        <row r="8260">
          <cell r="G8260" t="str">
            <v>374_0</v>
          </cell>
          <cell r="H8260" t="str">
            <v>as-as</v>
          </cell>
          <cell r="I8260" t="str">
            <v>sim</v>
          </cell>
          <cell r="V8260" t="str">
            <v>antonym</v>
          </cell>
          <cell r="Y8260" t="str">
            <v>Past</v>
          </cell>
          <cell r="Z8260">
            <v>5</v>
          </cell>
          <cell r="AA8260" t="str">
            <v>H</v>
          </cell>
          <cell r="AB8260">
            <v>0</v>
          </cell>
        </row>
        <row r="8261">
          <cell r="G8261" t="str">
            <v>374_1</v>
          </cell>
          <cell r="H8261" t="str">
            <v>as-as</v>
          </cell>
          <cell r="I8261" t="str">
            <v>sim</v>
          </cell>
          <cell r="V8261" t="str">
            <v>antonym</v>
          </cell>
          <cell r="Y8261" t="str">
            <v>Past</v>
          </cell>
          <cell r="Z8261">
            <v>5</v>
          </cell>
          <cell r="AA8261" t="str">
            <v>H</v>
          </cell>
          <cell r="AB8261">
            <v>0</v>
          </cell>
        </row>
        <row r="8262">
          <cell r="G8262" t="str">
            <v>375_0</v>
          </cell>
          <cell r="H8262" t="str">
            <v>the-of</v>
          </cell>
          <cell r="I8262" t="str">
            <v>sim</v>
          </cell>
          <cell r="V8262" t="str">
            <v>not neg pair</v>
          </cell>
          <cell r="Y8262" t="str">
            <v>Past</v>
          </cell>
          <cell r="Z8262">
            <v>5</v>
          </cell>
          <cell r="AA8262" t="str">
            <v>H</v>
          </cell>
          <cell r="AB8262">
            <v>0</v>
          </cell>
        </row>
        <row r="8263">
          <cell r="G8263" t="str">
            <v>375_1</v>
          </cell>
          <cell r="H8263" t="str">
            <v>the-of</v>
          </cell>
          <cell r="I8263" t="str">
            <v>sim</v>
          </cell>
          <cell r="V8263" t="str">
            <v>not neg pair</v>
          </cell>
          <cell r="Y8263" t="str">
            <v>Past</v>
          </cell>
          <cell r="Z8263">
            <v>5</v>
          </cell>
          <cell r="AA8263" t="str">
            <v>H</v>
          </cell>
          <cell r="AB8263">
            <v>0</v>
          </cell>
        </row>
        <row r="8264">
          <cell r="G8264" t="str">
            <v>377_0</v>
          </cell>
          <cell r="H8264" t="str">
            <v>the-of</v>
          </cell>
          <cell r="I8264" t="str">
            <v>sim</v>
          </cell>
          <cell r="V8264" t="str">
            <v>not neg pair</v>
          </cell>
          <cell r="Y8264" t="str">
            <v>Pres</v>
          </cell>
          <cell r="Z8264">
            <v>4.4000000000000004</v>
          </cell>
          <cell r="AA8264">
            <v>0</v>
          </cell>
          <cell r="AB8264">
            <v>0</v>
          </cell>
        </row>
        <row r="8265">
          <cell r="G8265" t="str">
            <v>377_1</v>
          </cell>
          <cell r="H8265" t="str">
            <v>the-of</v>
          </cell>
          <cell r="I8265" t="str">
            <v>sim</v>
          </cell>
          <cell r="V8265" t="str">
            <v>not neg pair</v>
          </cell>
          <cell r="Y8265" t="str">
            <v>Pres</v>
          </cell>
          <cell r="Z8265">
            <v>4.4000000000000004</v>
          </cell>
          <cell r="AA8265">
            <v>0</v>
          </cell>
          <cell r="AB8265">
            <v>0</v>
          </cell>
        </row>
        <row r="8266">
          <cell r="G8266" t="str">
            <v>378_0</v>
          </cell>
          <cell r="H8266" t="str">
            <v>the-of</v>
          </cell>
          <cell r="I8266" t="str">
            <v>sim</v>
          </cell>
          <cell r="V8266" t="str">
            <v>not neg pair</v>
          </cell>
          <cell r="Y8266" t="str">
            <v>Pres</v>
          </cell>
          <cell r="Z8266">
            <v>4.8899999999999997</v>
          </cell>
          <cell r="AA8266">
            <v>0</v>
          </cell>
          <cell r="AB8266">
            <v>0</v>
          </cell>
        </row>
        <row r="8267">
          <cell r="G8267" t="str">
            <v>378_1</v>
          </cell>
          <cell r="H8267" t="str">
            <v>the-of</v>
          </cell>
          <cell r="I8267" t="str">
            <v>sim</v>
          </cell>
          <cell r="V8267" t="str">
            <v>not neg pair</v>
          </cell>
          <cell r="Y8267" t="str">
            <v>Pres</v>
          </cell>
          <cell r="Z8267">
            <v>4.8899999999999997</v>
          </cell>
          <cell r="AA8267">
            <v>0</v>
          </cell>
          <cell r="AB8267">
            <v>0</v>
          </cell>
        </row>
        <row r="8268">
          <cell r="G8268" t="str">
            <v>380_0</v>
          </cell>
          <cell r="H8268" t="str">
            <v>the-of</v>
          </cell>
          <cell r="I8268" t="str">
            <v>sim</v>
          </cell>
          <cell r="V8268" t="str">
            <v>not neg pair</v>
          </cell>
          <cell r="Y8268" t="str">
            <v>Pres</v>
          </cell>
          <cell r="Z8268">
            <v>3.93</v>
          </cell>
          <cell r="AA8268">
            <v>0</v>
          </cell>
          <cell r="AB8268">
            <v>0</v>
          </cell>
        </row>
        <row r="8269">
          <cell r="G8269" t="str">
            <v>380_1</v>
          </cell>
          <cell r="H8269" t="str">
            <v>the-of</v>
          </cell>
          <cell r="I8269" t="str">
            <v>sim</v>
          </cell>
          <cell r="V8269" t="str">
            <v>not neg pair</v>
          </cell>
          <cell r="Y8269" t="str">
            <v>Pres</v>
          </cell>
          <cell r="Z8269">
            <v>3.93</v>
          </cell>
          <cell r="AA8269">
            <v>0</v>
          </cell>
          <cell r="AB8269">
            <v>0</v>
          </cell>
        </row>
        <row r="8270">
          <cell r="G8270" t="str">
            <v>382_0</v>
          </cell>
          <cell r="H8270" t="str">
            <v>the-of</v>
          </cell>
          <cell r="I8270" t="str">
            <v>sim</v>
          </cell>
          <cell r="V8270" t="str">
            <v>not neg pair</v>
          </cell>
          <cell r="Y8270" t="str">
            <v>Pres</v>
          </cell>
          <cell r="Z8270">
            <v>2.81</v>
          </cell>
          <cell r="AA8270">
            <v>0</v>
          </cell>
          <cell r="AB8270">
            <v>0</v>
          </cell>
        </row>
        <row r="8271">
          <cell r="G8271" t="str">
            <v>382_1</v>
          </cell>
          <cell r="H8271" t="str">
            <v>the-of</v>
          </cell>
          <cell r="I8271" t="str">
            <v>sim</v>
          </cell>
          <cell r="V8271" t="str">
            <v>not neg pair</v>
          </cell>
          <cell r="Y8271" t="str">
            <v>Pres</v>
          </cell>
          <cell r="Z8271">
            <v>2.81</v>
          </cell>
          <cell r="AA8271">
            <v>0</v>
          </cell>
          <cell r="AB8271">
            <v>0</v>
          </cell>
        </row>
        <row r="8272">
          <cell r="G8272" t="str">
            <v>384_0</v>
          </cell>
          <cell r="H8272" t="str">
            <v>as-as</v>
          </cell>
          <cell r="I8272" t="str">
            <v>sim</v>
          </cell>
          <cell r="V8272" t="str">
            <v>not</v>
          </cell>
          <cell r="Y8272" t="str">
            <v>Past</v>
          </cell>
          <cell r="Z8272">
            <v>2.81</v>
          </cell>
          <cell r="AA8272">
            <v>0</v>
          </cell>
          <cell r="AB8272">
            <v>0</v>
          </cell>
        </row>
        <row r="8273">
          <cell r="G8273" t="str">
            <v>384_1</v>
          </cell>
          <cell r="H8273" t="str">
            <v>as-as</v>
          </cell>
          <cell r="I8273" t="str">
            <v>sim</v>
          </cell>
          <cell r="V8273" t="str">
            <v>not</v>
          </cell>
          <cell r="Y8273" t="str">
            <v>Past</v>
          </cell>
          <cell r="Z8273">
            <v>2.81</v>
          </cell>
          <cell r="AA8273">
            <v>0</v>
          </cell>
          <cell r="AB8273">
            <v>0</v>
          </cell>
        </row>
        <row r="8274">
          <cell r="G8274" t="str">
            <v>386_0</v>
          </cell>
          <cell r="H8274" t="str">
            <v/>
          </cell>
          <cell r="I8274" t="str">
            <v>met</v>
          </cell>
          <cell r="V8274" t="str">
            <v>0</v>
          </cell>
          <cell r="Y8274" t="str">
            <v>Past</v>
          </cell>
          <cell r="Z8274">
            <v>2.86</v>
          </cell>
          <cell r="AA8274">
            <v>0</v>
          </cell>
          <cell r="AB8274">
            <v>0</v>
          </cell>
        </row>
        <row r="8275">
          <cell r="G8275" t="str">
            <v>386_1</v>
          </cell>
          <cell r="H8275" t="str">
            <v/>
          </cell>
          <cell r="I8275" t="str">
            <v>met</v>
          </cell>
          <cell r="V8275" t="str">
            <v>0</v>
          </cell>
          <cell r="Y8275" t="str">
            <v>Past</v>
          </cell>
          <cell r="Z8275">
            <v>2.86</v>
          </cell>
          <cell r="AA8275">
            <v>0</v>
          </cell>
          <cell r="AB8275">
            <v>0</v>
          </cell>
        </row>
        <row r="8276">
          <cell r="G8276" t="str">
            <v>389_0</v>
          </cell>
          <cell r="H8276" t="str">
            <v>as-as</v>
          </cell>
          <cell r="I8276" t="str">
            <v>sim</v>
          </cell>
          <cell r="V8276" t="str">
            <v>not</v>
          </cell>
          <cell r="Y8276" t="str">
            <v>Past</v>
          </cell>
          <cell r="Z8276">
            <v>3.93</v>
          </cell>
          <cell r="AA8276">
            <v>0</v>
          </cell>
          <cell r="AB8276">
            <v>0</v>
          </cell>
        </row>
        <row r="8277">
          <cell r="G8277" t="str">
            <v>389_1</v>
          </cell>
          <cell r="H8277" t="str">
            <v>as-as</v>
          </cell>
          <cell r="I8277" t="str">
            <v>sim</v>
          </cell>
          <cell r="V8277" t="str">
            <v>not</v>
          </cell>
          <cell r="Y8277" t="str">
            <v>Past</v>
          </cell>
          <cell r="Z8277">
            <v>3.93</v>
          </cell>
          <cell r="AA8277">
            <v>0</v>
          </cell>
          <cell r="AB8277">
            <v>0</v>
          </cell>
        </row>
        <row r="8278">
          <cell r="G8278" t="str">
            <v>390_0</v>
          </cell>
          <cell r="H8278" t="str">
            <v>as-as</v>
          </cell>
          <cell r="I8278" t="str">
            <v>sim</v>
          </cell>
          <cell r="V8278" t="str">
            <v>not neg pair</v>
          </cell>
          <cell r="Y8278" t="str">
            <v>Pres</v>
          </cell>
          <cell r="Z8278">
            <v>5</v>
          </cell>
          <cell r="AA8278" t="str">
            <v>H</v>
          </cell>
          <cell r="AB8278">
            <v>0</v>
          </cell>
        </row>
        <row r="8279">
          <cell r="G8279" t="str">
            <v>390_1</v>
          </cell>
          <cell r="H8279" t="str">
            <v>as-as</v>
          </cell>
          <cell r="I8279" t="str">
            <v>sim</v>
          </cell>
          <cell r="V8279" t="str">
            <v>not neg pair</v>
          </cell>
          <cell r="Y8279" t="str">
            <v>Past</v>
          </cell>
          <cell r="Z8279">
            <v>5</v>
          </cell>
          <cell r="AA8279" t="str">
            <v>H</v>
          </cell>
          <cell r="AB8279">
            <v>0</v>
          </cell>
        </row>
        <row r="8280">
          <cell r="G8280" t="str">
            <v>393_0</v>
          </cell>
          <cell r="H8280" t="str">
            <v>the-of</v>
          </cell>
          <cell r="I8280" t="str">
            <v>sim</v>
          </cell>
          <cell r="V8280" t="str">
            <v>not neg pair</v>
          </cell>
          <cell r="Y8280" t="str">
            <v>Past</v>
          </cell>
          <cell r="Z8280">
            <v>2.29</v>
          </cell>
          <cell r="AA8280" t="str">
            <v>L</v>
          </cell>
          <cell r="AB8280">
            <v>0</v>
          </cell>
        </row>
        <row r="8281">
          <cell r="G8281" t="str">
            <v>393_1</v>
          </cell>
          <cell r="H8281" t="str">
            <v>the-of</v>
          </cell>
          <cell r="I8281" t="str">
            <v>sim</v>
          </cell>
          <cell r="V8281" t="str">
            <v>not neg pair</v>
          </cell>
          <cell r="Y8281" t="str">
            <v>Past</v>
          </cell>
          <cell r="Z8281">
            <v>2.29</v>
          </cell>
          <cell r="AA8281" t="str">
            <v>L</v>
          </cell>
          <cell r="AB8281">
            <v>0</v>
          </cell>
        </row>
        <row r="8282">
          <cell r="G8282" t="str">
            <v>404_0</v>
          </cell>
          <cell r="H8282" t="str">
            <v/>
          </cell>
          <cell r="I8282" t="str">
            <v>met</v>
          </cell>
          <cell r="V8282" t="str">
            <v>0</v>
          </cell>
          <cell r="Y8282" t="str">
            <v>Past</v>
          </cell>
          <cell r="Z8282">
            <v>2.52</v>
          </cell>
          <cell r="AA8282" t="str">
            <v>L</v>
          </cell>
          <cell r="AB8282">
            <v>0</v>
          </cell>
        </row>
        <row r="8283">
          <cell r="G8283" t="str">
            <v>404_1</v>
          </cell>
          <cell r="H8283" t="str">
            <v/>
          </cell>
          <cell r="I8283" t="str">
            <v>met</v>
          </cell>
          <cell r="V8283" t="str">
            <v>0</v>
          </cell>
          <cell r="Y8283" t="str">
            <v>Past</v>
          </cell>
          <cell r="Z8283">
            <v>2.52</v>
          </cell>
          <cell r="AA8283" t="str">
            <v>L</v>
          </cell>
          <cell r="AB8283">
            <v>0</v>
          </cell>
        </row>
        <row r="8284">
          <cell r="G8284" t="str">
            <v>421_0</v>
          </cell>
          <cell r="H8284" t="str">
            <v>as-as</v>
          </cell>
          <cell r="I8284" t="str">
            <v>sim</v>
          </cell>
          <cell r="V8284" t="str">
            <v>not neg pair</v>
          </cell>
          <cell r="Y8284" t="str">
            <v>Past</v>
          </cell>
          <cell r="Z8284">
            <v>2.0699999999999998</v>
          </cell>
          <cell r="AA8284" t="str">
            <v>L</v>
          </cell>
          <cell r="AB8284">
            <v>0</v>
          </cell>
        </row>
        <row r="8285">
          <cell r="G8285" t="str">
            <v>421_1</v>
          </cell>
          <cell r="H8285" t="str">
            <v>as</v>
          </cell>
          <cell r="I8285" t="str">
            <v>sim</v>
          </cell>
          <cell r="V8285" t="str">
            <v>not neg pair</v>
          </cell>
          <cell r="Y8285" t="str">
            <v>Past</v>
          </cell>
          <cell r="Z8285">
            <v>2.0699999999999998</v>
          </cell>
          <cell r="AA8285" t="str">
            <v>L</v>
          </cell>
          <cell r="AB8285">
            <v>0</v>
          </cell>
        </row>
        <row r="8286">
          <cell r="G8286" t="str">
            <v>422_0</v>
          </cell>
          <cell r="H8286" t="str">
            <v>like</v>
          </cell>
          <cell r="I8286" t="str">
            <v>sim</v>
          </cell>
          <cell r="V8286" t="str">
            <v>not neg pair</v>
          </cell>
          <cell r="Y8286" t="str">
            <v>Past</v>
          </cell>
          <cell r="Z8286">
            <v>4.9000000000000004</v>
          </cell>
          <cell r="AA8286">
            <v>0</v>
          </cell>
          <cell r="AB8286">
            <v>0</v>
          </cell>
        </row>
        <row r="8287">
          <cell r="G8287" t="str">
            <v>422_1</v>
          </cell>
          <cell r="H8287" t="str">
            <v>like</v>
          </cell>
          <cell r="I8287" t="str">
            <v>sim</v>
          </cell>
          <cell r="V8287" t="str">
            <v>not neg pair</v>
          </cell>
          <cell r="Y8287" t="str">
            <v>Past</v>
          </cell>
          <cell r="Z8287">
            <v>4.9000000000000004</v>
          </cell>
          <cell r="AA8287">
            <v>0</v>
          </cell>
          <cell r="AB8287">
            <v>0</v>
          </cell>
        </row>
        <row r="8288">
          <cell r="G8288" t="str">
            <v>423_0</v>
          </cell>
          <cell r="H8288" t="str">
            <v>like</v>
          </cell>
          <cell r="I8288" t="str">
            <v>sim</v>
          </cell>
          <cell r="V8288" t="str">
            <v>not neg pair</v>
          </cell>
          <cell r="Y8288" t="str">
            <v>Past</v>
          </cell>
          <cell r="Z8288">
            <v>1.97</v>
          </cell>
          <cell r="AA8288" t="str">
            <v>L</v>
          </cell>
          <cell r="AB8288">
            <v>0</v>
          </cell>
        </row>
        <row r="8289">
          <cell r="G8289" t="str">
            <v>423_1</v>
          </cell>
          <cell r="H8289" t="str">
            <v>like</v>
          </cell>
          <cell r="I8289" t="str">
            <v>sim</v>
          </cell>
          <cell r="V8289" t="str">
            <v>not neg pair</v>
          </cell>
          <cell r="Y8289" t="str">
            <v>Past</v>
          </cell>
          <cell r="Z8289">
            <v>1.97</v>
          </cell>
          <cell r="AA8289" t="str">
            <v>L</v>
          </cell>
          <cell r="AB8289">
            <v>0</v>
          </cell>
        </row>
        <row r="8290">
          <cell r="G8290" t="str">
            <v>424_0</v>
          </cell>
          <cell r="H8290" t="str">
            <v/>
          </cell>
          <cell r="I8290" t="str">
            <v>met</v>
          </cell>
          <cell r="V8290" t="str">
            <v>0</v>
          </cell>
          <cell r="Y8290" t="str">
            <v>Past</v>
          </cell>
          <cell r="Z8290">
            <v>1.74</v>
          </cell>
          <cell r="AA8290" t="str">
            <v>L</v>
          </cell>
          <cell r="AB8290">
            <v>0</v>
          </cell>
        </row>
        <row r="8291">
          <cell r="G8291" t="str">
            <v>424_1</v>
          </cell>
          <cell r="H8291" t="str">
            <v/>
          </cell>
          <cell r="I8291" t="str">
            <v>met</v>
          </cell>
          <cell r="V8291" t="str">
            <v>0</v>
          </cell>
          <cell r="Y8291" t="str">
            <v>Past</v>
          </cell>
          <cell r="Z8291">
            <v>1.74</v>
          </cell>
          <cell r="AA8291" t="str">
            <v>L</v>
          </cell>
          <cell r="AB8291">
            <v>0</v>
          </cell>
        </row>
        <row r="8292">
          <cell r="G8292" t="str">
            <v>425_0</v>
          </cell>
          <cell r="H8292" t="str">
            <v/>
          </cell>
          <cell r="I8292" t="str">
            <v>met</v>
          </cell>
          <cell r="V8292" t="str">
            <v>0</v>
          </cell>
          <cell r="Y8292" t="str">
            <v>Pres</v>
          </cell>
          <cell r="Z8292">
            <v>3.93</v>
          </cell>
          <cell r="AA8292">
            <v>0</v>
          </cell>
          <cell r="AB8292">
            <v>0</v>
          </cell>
        </row>
        <row r="8293">
          <cell r="G8293" t="str">
            <v>425_1</v>
          </cell>
          <cell r="H8293" t="str">
            <v/>
          </cell>
          <cell r="I8293" t="str">
            <v>met</v>
          </cell>
          <cell r="V8293" t="str">
            <v>0</v>
          </cell>
          <cell r="Y8293" t="str">
            <v>Pres</v>
          </cell>
          <cell r="Z8293">
            <v>2.38</v>
          </cell>
          <cell r="AA8293" t="str">
            <v>L</v>
          </cell>
          <cell r="AB8293">
            <v>0</v>
          </cell>
        </row>
        <row r="8294">
          <cell r="G8294" t="str">
            <v>429_0</v>
          </cell>
          <cell r="H8294" t="str">
            <v>like</v>
          </cell>
          <cell r="I8294" t="str">
            <v>sim</v>
          </cell>
          <cell r="V8294" t="str">
            <v>not neg pair</v>
          </cell>
          <cell r="Y8294" t="str">
            <v>Past</v>
          </cell>
          <cell r="Z8294">
            <v>4.5999999999999996</v>
          </cell>
          <cell r="AA8294">
            <v>0</v>
          </cell>
          <cell r="AB8294">
            <v>0</v>
          </cell>
        </row>
        <row r="8295">
          <cell r="G8295" t="str">
            <v>429_1</v>
          </cell>
          <cell r="H8295" t="str">
            <v>like</v>
          </cell>
          <cell r="I8295" t="str">
            <v>sim</v>
          </cell>
          <cell r="V8295" t="str">
            <v>not neg pair</v>
          </cell>
          <cell r="Y8295" t="str">
            <v>Past</v>
          </cell>
          <cell r="Z8295">
            <v>4.5999999999999996</v>
          </cell>
          <cell r="AA8295">
            <v>0</v>
          </cell>
          <cell r="AB8295">
            <v>0</v>
          </cell>
        </row>
        <row r="8296">
          <cell r="G8296" t="str">
            <v>439_0</v>
          </cell>
          <cell r="H8296" t="str">
            <v>as</v>
          </cell>
          <cell r="I8296" t="str">
            <v>sim</v>
          </cell>
          <cell r="V8296" t="str">
            <v>not neg pair</v>
          </cell>
          <cell r="Y8296" t="str">
            <v>Past</v>
          </cell>
          <cell r="Z8296">
            <v>3.37</v>
          </cell>
          <cell r="AA8296">
            <v>0</v>
          </cell>
          <cell r="AB8296">
            <v>0</v>
          </cell>
        </row>
        <row r="8297">
          <cell r="G8297" t="str">
            <v>439_1</v>
          </cell>
          <cell r="H8297" t="str">
            <v>as</v>
          </cell>
          <cell r="I8297" t="str">
            <v>sim</v>
          </cell>
          <cell r="V8297" t="str">
            <v>not neg pair</v>
          </cell>
          <cell r="Y8297" t="str">
            <v>Past</v>
          </cell>
          <cell r="Z8297">
            <v>3.37</v>
          </cell>
          <cell r="AA8297">
            <v>0</v>
          </cell>
          <cell r="AB8297">
            <v>0</v>
          </cell>
        </row>
        <row r="8298">
          <cell r="G8298" t="str">
            <v>446_0</v>
          </cell>
          <cell r="H8298" t="str">
            <v>as-as</v>
          </cell>
          <cell r="I8298" t="str">
            <v>sim</v>
          </cell>
          <cell r="V8298" t="str">
            <v>not neg pair</v>
          </cell>
          <cell r="Y8298" t="str">
            <v>Pres</v>
          </cell>
          <cell r="Z8298">
            <v>4.1100000000000003</v>
          </cell>
          <cell r="AA8298">
            <v>0</v>
          </cell>
          <cell r="AB8298">
            <v>0</v>
          </cell>
        </row>
        <row r="8299">
          <cell r="G8299" t="str">
            <v>446_1</v>
          </cell>
          <cell r="H8299" t="str">
            <v>as-as</v>
          </cell>
          <cell r="I8299" t="str">
            <v>sim</v>
          </cell>
          <cell r="V8299" t="str">
            <v>not neg pair</v>
          </cell>
          <cell r="Y8299" t="str">
            <v>Pres</v>
          </cell>
          <cell r="Z8299">
            <v>4.1100000000000003</v>
          </cell>
          <cell r="AA8299">
            <v>0</v>
          </cell>
          <cell r="AB8299">
            <v>0</v>
          </cell>
        </row>
        <row r="8300">
          <cell r="G8300" t="str">
            <v>447_0</v>
          </cell>
          <cell r="H8300" t="str">
            <v>as-as</v>
          </cell>
          <cell r="I8300" t="str">
            <v>sim</v>
          </cell>
          <cell r="V8300" t="str">
            <v>not neg pair</v>
          </cell>
          <cell r="Y8300" t="str">
            <v>Pres</v>
          </cell>
          <cell r="Z8300">
            <v>4.97</v>
          </cell>
          <cell r="AA8300" t="str">
            <v>H</v>
          </cell>
          <cell r="AB8300">
            <v>0</v>
          </cell>
        </row>
        <row r="8301">
          <cell r="G8301" t="str">
            <v>447_1</v>
          </cell>
          <cell r="H8301" t="str">
            <v>as-as</v>
          </cell>
          <cell r="I8301" t="str">
            <v>sim</v>
          </cell>
          <cell r="V8301" t="str">
            <v>not neg pair</v>
          </cell>
          <cell r="Y8301" t="str">
            <v>Pres</v>
          </cell>
          <cell r="Z8301">
            <v>4.79</v>
          </cell>
          <cell r="AA8301">
            <v>0</v>
          </cell>
          <cell r="AB8301">
            <v>0</v>
          </cell>
        </row>
        <row r="8302">
          <cell r="G8302" t="str">
            <v>453_0</v>
          </cell>
          <cell r="H8302" t="str">
            <v>as-as</v>
          </cell>
          <cell r="I8302" t="str">
            <v>sim</v>
          </cell>
          <cell r="V8302" t="str">
            <v>not neg pair</v>
          </cell>
          <cell r="Y8302" t="str">
            <v>Pres</v>
          </cell>
          <cell r="Z8302">
            <v>4.8499999999999996</v>
          </cell>
          <cell r="AA8302">
            <v>0</v>
          </cell>
          <cell r="AB8302">
            <v>0</v>
          </cell>
        </row>
        <row r="8303">
          <cell r="G8303" t="str">
            <v>453_1</v>
          </cell>
          <cell r="H8303" t="str">
            <v>as-as</v>
          </cell>
          <cell r="I8303" t="str">
            <v>sim</v>
          </cell>
          <cell r="V8303" t="str">
            <v>not neg pair</v>
          </cell>
          <cell r="Y8303" t="str">
            <v>Pres</v>
          </cell>
          <cell r="Z8303">
            <v>4.8499999999999996</v>
          </cell>
          <cell r="AA8303">
            <v>0</v>
          </cell>
          <cell r="AB8303">
            <v>0</v>
          </cell>
        </row>
        <row r="8304">
          <cell r="G8304" t="str">
            <v>457_0</v>
          </cell>
          <cell r="H8304" t="str">
            <v>as</v>
          </cell>
          <cell r="I8304" t="str">
            <v>sim</v>
          </cell>
          <cell r="V8304" t="str">
            <v>not</v>
          </cell>
          <cell r="Y8304" t="str">
            <v>Pres</v>
          </cell>
          <cell r="Z8304">
            <v>3.08</v>
          </cell>
          <cell r="AA8304">
            <v>0</v>
          </cell>
          <cell r="AB8304">
            <v>0</v>
          </cell>
        </row>
        <row r="8305">
          <cell r="G8305" t="str">
            <v>457_1</v>
          </cell>
          <cell r="H8305" t="str">
            <v>like</v>
          </cell>
          <cell r="I8305" t="str">
            <v>sim</v>
          </cell>
          <cell r="V8305" t="str">
            <v>not</v>
          </cell>
          <cell r="Y8305" t="str">
            <v>Pres</v>
          </cell>
          <cell r="Z8305">
            <v>3.08</v>
          </cell>
          <cell r="AA8305">
            <v>0</v>
          </cell>
          <cell r="AB8305">
            <v>0</v>
          </cell>
        </row>
        <row r="8306">
          <cell r="G8306" t="str">
            <v>458_0</v>
          </cell>
          <cell r="H8306" t="str">
            <v>the-of</v>
          </cell>
          <cell r="I8306" t="str">
            <v>sim</v>
          </cell>
          <cell r="V8306" t="str">
            <v>not neg pair</v>
          </cell>
          <cell r="Y8306" t="str">
            <v>Pres</v>
          </cell>
          <cell r="Z8306">
            <v>4.9000000000000004</v>
          </cell>
          <cell r="AA8306">
            <v>0</v>
          </cell>
          <cell r="AB8306">
            <v>0</v>
          </cell>
        </row>
        <row r="8307">
          <cell r="G8307" t="str">
            <v>458_1</v>
          </cell>
          <cell r="H8307" t="str">
            <v>the-of</v>
          </cell>
          <cell r="I8307" t="str">
            <v>sim</v>
          </cell>
          <cell r="V8307" t="str">
            <v>not neg pair</v>
          </cell>
          <cell r="Y8307" t="str">
            <v>Pres</v>
          </cell>
          <cell r="Z8307">
            <v>4.9000000000000004</v>
          </cell>
          <cell r="AA8307">
            <v>0</v>
          </cell>
          <cell r="AB8307">
            <v>0</v>
          </cell>
        </row>
        <row r="8308">
          <cell r="G8308" t="str">
            <v>459_0</v>
          </cell>
          <cell r="H8308" t="str">
            <v>the-of</v>
          </cell>
          <cell r="I8308" t="str">
            <v>sim</v>
          </cell>
          <cell r="V8308" t="str">
            <v>not</v>
          </cell>
          <cell r="Y8308" t="str">
            <v>Pres</v>
          </cell>
          <cell r="Z8308">
            <v>4.76</v>
          </cell>
          <cell r="AA8308">
            <v>0</v>
          </cell>
          <cell r="AB8308">
            <v>0</v>
          </cell>
        </row>
        <row r="8309">
          <cell r="G8309" t="str">
            <v>459_1</v>
          </cell>
          <cell r="H8309" t="str">
            <v>the-of</v>
          </cell>
          <cell r="I8309" t="str">
            <v>sim</v>
          </cell>
          <cell r="V8309" t="str">
            <v>not</v>
          </cell>
          <cell r="Y8309" t="str">
            <v>Pres</v>
          </cell>
          <cell r="Z8309">
            <v>4.76</v>
          </cell>
          <cell r="AA8309">
            <v>0</v>
          </cell>
          <cell r="AB8309">
            <v>0</v>
          </cell>
        </row>
        <row r="8310">
          <cell r="G8310" t="str">
            <v>460_0</v>
          </cell>
          <cell r="H8310" t="str">
            <v>the-of</v>
          </cell>
          <cell r="I8310" t="str">
            <v>sim</v>
          </cell>
          <cell r="V8310" t="str">
            <v>not neg pair</v>
          </cell>
          <cell r="Y8310" t="str">
            <v>Pres</v>
          </cell>
          <cell r="Z8310">
            <v>2.81</v>
          </cell>
          <cell r="AA8310">
            <v>0</v>
          </cell>
          <cell r="AB8310">
            <v>0</v>
          </cell>
        </row>
        <row r="8311">
          <cell r="G8311" t="str">
            <v>460_1</v>
          </cell>
          <cell r="H8311" t="str">
            <v>the-of</v>
          </cell>
          <cell r="I8311" t="str">
            <v>sim</v>
          </cell>
          <cell r="V8311" t="str">
            <v>not neg pair</v>
          </cell>
          <cell r="Y8311" t="str">
            <v>Pres</v>
          </cell>
          <cell r="Z8311">
            <v>2.81</v>
          </cell>
          <cell r="AA8311">
            <v>0</v>
          </cell>
          <cell r="AB8311">
            <v>0</v>
          </cell>
        </row>
        <row r="8312">
          <cell r="G8312" t="str">
            <v>461_0</v>
          </cell>
          <cell r="H8312" t="str">
            <v>like</v>
          </cell>
          <cell r="I8312" t="str">
            <v>sim</v>
          </cell>
          <cell r="V8312" t="str">
            <v>not neg pair</v>
          </cell>
          <cell r="Y8312" t="str">
            <v>Past</v>
          </cell>
          <cell r="Z8312">
            <v>3.36</v>
          </cell>
          <cell r="AA8312">
            <v>0</v>
          </cell>
          <cell r="AB8312">
            <v>0</v>
          </cell>
        </row>
        <row r="8313">
          <cell r="G8313" t="str">
            <v>461_1</v>
          </cell>
          <cell r="H8313" t="str">
            <v>like</v>
          </cell>
          <cell r="I8313" t="str">
            <v>sim</v>
          </cell>
          <cell r="V8313" t="str">
            <v>not neg pair</v>
          </cell>
          <cell r="Y8313" t="str">
            <v>Past</v>
          </cell>
          <cell r="Z8313">
            <v>3.36</v>
          </cell>
          <cell r="AA8313">
            <v>0</v>
          </cell>
          <cell r="AB8313">
            <v>0</v>
          </cell>
        </row>
        <row r="8314">
          <cell r="G8314" t="str">
            <v>462_0</v>
          </cell>
          <cell r="H8314" t="str">
            <v>as-as</v>
          </cell>
          <cell r="I8314" t="str">
            <v>sim</v>
          </cell>
          <cell r="V8314" t="str">
            <v>not neg pair</v>
          </cell>
          <cell r="Y8314" t="str">
            <v>Pres</v>
          </cell>
          <cell r="Z8314">
            <v>2.81</v>
          </cell>
          <cell r="AA8314">
            <v>0</v>
          </cell>
          <cell r="AB8314">
            <v>0</v>
          </cell>
        </row>
        <row r="8315">
          <cell r="G8315" t="str">
            <v>462_1</v>
          </cell>
          <cell r="H8315" t="str">
            <v>as-as</v>
          </cell>
          <cell r="I8315" t="str">
            <v>sim</v>
          </cell>
          <cell r="V8315" t="str">
            <v>not neg pair</v>
          </cell>
          <cell r="Y8315" t="str">
            <v>Pres</v>
          </cell>
          <cell r="Z8315">
            <v>2.81</v>
          </cell>
          <cell r="AA8315">
            <v>0</v>
          </cell>
          <cell r="AB8315">
            <v>0</v>
          </cell>
        </row>
        <row r="8316">
          <cell r="G8316" t="str">
            <v>463_0</v>
          </cell>
          <cell r="H8316" t="str">
            <v>as</v>
          </cell>
          <cell r="I8316" t="str">
            <v>sim</v>
          </cell>
          <cell r="V8316" t="str">
            <v>not</v>
          </cell>
          <cell r="Y8316" t="str">
            <v>Pres</v>
          </cell>
          <cell r="Z8316">
            <v>2.81</v>
          </cell>
          <cell r="AA8316">
            <v>0</v>
          </cell>
          <cell r="AB8316">
            <v>0</v>
          </cell>
        </row>
        <row r="8317">
          <cell r="G8317" t="str">
            <v>463_1</v>
          </cell>
          <cell r="H8317" t="str">
            <v>as</v>
          </cell>
          <cell r="I8317" t="str">
            <v>sim</v>
          </cell>
          <cell r="V8317" t="str">
            <v>not</v>
          </cell>
          <cell r="Y8317" t="str">
            <v>Pres</v>
          </cell>
          <cell r="Z8317">
            <v>2.81</v>
          </cell>
          <cell r="AA8317">
            <v>0</v>
          </cell>
          <cell r="AB8317">
            <v>0</v>
          </cell>
        </row>
        <row r="8318">
          <cell r="G8318" t="str">
            <v>464_0</v>
          </cell>
          <cell r="H8318" t="str">
            <v>like</v>
          </cell>
          <cell r="I8318" t="str">
            <v>sim</v>
          </cell>
          <cell r="V8318" t="str">
            <v>not neg pair</v>
          </cell>
          <cell r="Y8318" t="str">
            <v>Pres</v>
          </cell>
          <cell r="Z8318">
            <v>5</v>
          </cell>
          <cell r="AA8318" t="str">
            <v>H</v>
          </cell>
          <cell r="AB8318">
            <v>0</v>
          </cell>
        </row>
        <row r="8319">
          <cell r="G8319" t="str">
            <v>464_1</v>
          </cell>
          <cell r="H8319" t="str">
            <v>like</v>
          </cell>
          <cell r="I8319" t="str">
            <v>sim</v>
          </cell>
          <cell r="V8319" t="str">
            <v>not neg pair</v>
          </cell>
          <cell r="Y8319" t="str">
            <v>Pres</v>
          </cell>
          <cell r="Z8319">
            <v>5</v>
          </cell>
          <cell r="AA8319" t="str">
            <v>H</v>
          </cell>
          <cell r="AB8319">
            <v>0</v>
          </cell>
        </row>
        <row r="8320">
          <cell r="G8320" t="str">
            <v>468_0</v>
          </cell>
          <cell r="H8320" t="str">
            <v>as-as</v>
          </cell>
          <cell r="I8320" t="str">
            <v>sim</v>
          </cell>
          <cell r="V8320" t="str">
            <v>not</v>
          </cell>
          <cell r="Y8320" t="str">
            <v>Past</v>
          </cell>
          <cell r="Z8320">
            <v>4.8</v>
          </cell>
          <cell r="AA8320">
            <v>0</v>
          </cell>
          <cell r="AB8320">
            <v>0</v>
          </cell>
        </row>
        <row r="8321">
          <cell r="G8321" t="str">
            <v>468_1</v>
          </cell>
          <cell r="H8321" t="str">
            <v>as-as</v>
          </cell>
          <cell r="I8321" t="str">
            <v>sim</v>
          </cell>
          <cell r="V8321" t="str">
            <v>not</v>
          </cell>
          <cell r="Y8321" t="str">
            <v>Past</v>
          </cell>
          <cell r="Z8321">
            <v>4.8</v>
          </cell>
          <cell r="AA8321">
            <v>0</v>
          </cell>
          <cell r="AB8321">
            <v>0</v>
          </cell>
        </row>
        <row r="8322">
          <cell r="G8322" t="str">
            <v>469_0</v>
          </cell>
          <cell r="H8322" t="str">
            <v>as-as</v>
          </cell>
          <cell r="I8322" t="str">
            <v>sim</v>
          </cell>
          <cell r="V8322" t="str">
            <v>antonym</v>
          </cell>
          <cell r="Y8322" t="str">
            <v>Past</v>
          </cell>
          <cell r="Z8322">
            <v>4.88</v>
          </cell>
          <cell r="AA8322">
            <v>0</v>
          </cell>
          <cell r="AB8322">
            <v>0</v>
          </cell>
        </row>
        <row r="8323">
          <cell r="G8323" t="str">
            <v>469_1</v>
          </cell>
          <cell r="H8323" t="str">
            <v>as-as</v>
          </cell>
          <cell r="I8323" t="str">
            <v>sim</v>
          </cell>
          <cell r="V8323" t="str">
            <v>antonym</v>
          </cell>
          <cell r="Y8323" t="str">
            <v>Past</v>
          </cell>
          <cell r="Z8323">
            <v>4.88</v>
          </cell>
          <cell r="AA8323">
            <v>0</v>
          </cell>
          <cell r="AB8323">
            <v>0</v>
          </cell>
        </row>
        <row r="8324">
          <cell r="G8324" t="str">
            <v>472_0</v>
          </cell>
          <cell r="H8324" t="str">
            <v>as-as</v>
          </cell>
          <cell r="I8324" t="str">
            <v>sim</v>
          </cell>
          <cell r="V8324" t="str">
            <v>antonym</v>
          </cell>
          <cell r="Y8324" t="str">
            <v>Pres</v>
          </cell>
          <cell r="Z8324">
            <v>4.76</v>
          </cell>
          <cell r="AA8324">
            <v>0</v>
          </cell>
          <cell r="AB8324">
            <v>0</v>
          </cell>
        </row>
        <row r="8325">
          <cell r="G8325" t="str">
            <v>472_1</v>
          </cell>
          <cell r="H8325" t="str">
            <v>as-as</v>
          </cell>
          <cell r="I8325" t="str">
            <v>sim</v>
          </cell>
          <cell r="V8325" t="str">
            <v>antonym</v>
          </cell>
          <cell r="Y8325" t="str">
            <v>Pres</v>
          </cell>
          <cell r="Z8325">
            <v>4.76</v>
          </cell>
          <cell r="AA8325">
            <v>0</v>
          </cell>
          <cell r="AB8325">
            <v>0</v>
          </cell>
        </row>
        <row r="8326">
          <cell r="G8326" t="str">
            <v>482_0</v>
          </cell>
          <cell r="H8326" t="str">
            <v>the-of</v>
          </cell>
          <cell r="I8326" t="str">
            <v>sim</v>
          </cell>
          <cell r="V8326" t="str">
            <v>not</v>
          </cell>
          <cell r="Y8326" t="str">
            <v>Past</v>
          </cell>
          <cell r="Z8326">
            <v>4.62</v>
          </cell>
          <cell r="AA8326">
            <v>0</v>
          </cell>
          <cell r="AB8326">
            <v>0</v>
          </cell>
        </row>
        <row r="8327">
          <cell r="G8327" t="str">
            <v>482_1</v>
          </cell>
          <cell r="H8327" t="str">
            <v>the-of</v>
          </cell>
          <cell r="I8327" t="str">
            <v>sim</v>
          </cell>
          <cell r="V8327" t="str">
            <v>not</v>
          </cell>
          <cell r="Y8327" t="str">
            <v>Past</v>
          </cell>
          <cell r="Z8327">
            <v>4.62</v>
          </cell>
          <cell r="AA8327">
            <v>0</v>
          </cell>
          <cell r="AB8327">
            <v>0</v>
          </cell>
        </row>
        <row r="8328">
          <cell r="G8328" t="str">
            <v>498_0</v>
          </cell>
          <cell r="H8328" t="str">
            <v>like</v>
          </cell>
          <cell r="I8328" t="str">
            <v>sim</v>
          </cell>
          <cell r="V8328" t="str">
            <v>not neg pair</v>
          </cell>
          <cell r="Y8328" t="str">
            <v>Pres</v>
          </cell>
          <cell r="Z8328">
            <v>4.9000000000000004</v>
          </cell>
          <cell r="AA8328">
            <v>0</v>
          </cell>
          <cell r="AB8328">
            <v>0</v>
          </cell>
        </row>
        <row r="8329">
          <cell r="G8329" t="str">
            <v>498_1</v>
          </cell>
          <cell r="H8329" t="str">
            <v>like</v>
          </cell>
          <cell r="I8329" t="str">
            <v>sim</v>
          </cell>
          <cell r="V8329" t="str">
            <v>not neg pair</v>
          </cell>
          <cell r="Y8329" t="str">
            <v>Pres</v>
          </cell>
          <cell r="Z8329">
            <v>4.9000000000000004</v>
          </cell>
          <cell r="AA8329">
            <v>0</v>
          </cell>
          <cell r="AB8329">
            <v>0</v>
          </cell>
        </row>
        <row r="8330">
          <cell r="G8330" t="str">
            <v>502_0</v>
          </cell>
          <cell r="H8330" t="str">
            <v>like</v>
          </cell>
          <cell r="I8330" t="str">
            <v>sim</v>
          </cell>
          <cell r="V8330" t="str">
            <v>not neg pair</v>
          </cell>
          <cell r="Y8330" t="str">
            <v>Past</v>
          </cell>
          <cell r="Z8330">
            <v>3.79</v>
          </cell>
          <cell r="AA8330">
            <v>0</v>
          </cell>
          <cell r="AB8330">
            <v>0</v>
          </cell>
        </row>
        <row r="8331">
          <cell r="G8331" t="str">
            <v>502_1</v>
          </cell>
          <cell r="H8331" t="str">
            <v>like</v>
          </cell>
          <cell r="I8331" t="str">
            <v>sim</v>
          </cell>
          <cell r="V8331" t="str">
            <v>not neg pair</v>
          </cell>
          <cell r="Y8331" t="str">
            <v>Past</v>
          </cell>
          <cell r="Z8331">
            <v>3.79</v>
          </cell>
          <cell r="AA8331">
            <v>0</v>
          </cell>
          <cell r="AB8331">
            <v>0</v>
          </cell>
        </row>
        <row r="8332">
          <cell r="G8332" t="str">
            <v>504_0</v>
          </cell>
          <cell r="H8332" t="str">
            <v>as-as</v>
          </cell>
          <cell r="I8332" t="str">
            <v>sim</v>
          </cell>
          <cell r="V8332" t="str">
            <v>antonym</v>
          </cell>
          <cell r="Y8332" t="str">
            <v>Past</v>
          </cell>
          <cell r="Z8332">
            <v>4.93</v>
          </cell>
          <cell r="AA8332" t="str">
            <v>H</v>
          </cell>
          <cell r="AB8332">
            <v>0</v>
          </cell>
        </row>
        <row r="8333">
          <cell r="G8333" t="str">
            <v>504_1</v>
          </cell>
          <cell r="H8333" t="str">
            <v>as-as</v>
          </cell>
          <cell r="I8333" t="str">
            <v>sim</v>
          </cell>
          <cell r="V8333" t="str">
            <v>antonym</v>
          </cell>
          <cell r="Y8333" t="str">
            <v>Past</v>
          </cell>
          <cell r="Z8333">
            <v>4.93</v>
          </cell>
          <cell r="AA8333" t="str">
            <v>H</v>
          </cell>
          <cell r="AB8333">
            <v>0</v>
          </cell>
        </row>
        <row r="8334">
          <cell r="G8334" t="str">
            <v>508_0</v>
          </cell>
          <cell r="H8334" t="str">
            <v>the-of</v>
          </cell>
          <cell r="I8334" t="str">
            <v>sim</v>
          </cell>
          <cell r="V8334" t="str">
            <v>not neg pair</v>
          </cell>
          <cell r="Y8334" t="str">
            <v>Past</v>
          </cell>
          <cell r="Z8334">
            <v>3.93</v>
          </cell>
          <cell r="AA8334">
            <v>0</v>
          </cell>
          <cell r="AB8334">
            <v>0</v>
          </cell>
        </row>
        <row r="8335">
          <cell r="G8335" t="str">
            <v>508_1</v>
          </cell>
          <cell r="H8335" t="str">
            <v>the-of</v>
          </cell>
          <cell r="I8335" t="str">
            <v>sim</v>
          </cell>
          <cell r="V8335" t="str">
            <v>not neg pair</v>
          </cell>
          <cell r="Y8335" t="str">
            <v>Past</v>
          </cell>
          <cell r="Z8335">
            <v>3.93</v>
          </cell>
          <cell r="AA8335">
            <v>0</v>
          </cell>
          <cell r="AB8335">
            <v>0</v>
          </cell>
        </row>
        <row r="8336">
          <cell r="G8336" t="str">
            <v>509_0</v>
          </cell>
          <cell r="H8336" t="str">
            <v>as-as</v>
          </cell>
          <cell r="I8336" t="str">
            <v>sim</v>
          </cell>
          <cell r="V8336" t="str">
            <v>antonym</v>
          </cell>
          <cell r="Y8336" t="str">
            <v>Past</v>
          </cell>
          <cell r="Z8336">
            <v>2.31</v>
          </cell>
          <cell r="AA8336" t="str">
            <v>L</v>
          </cell>
          <cell r="AB8336">
            <v>0</v>
          </cell>
        </row>
        <row r="8337">
          <cell r="G8337" t="str">
            <v>509_1</v>
          </cell>
          <cell r="H8337" t="str">
            <v>as-as</v>
          </cell>
          <cell r="I8337" t="str">
            <v>sim</v>
          </cell>
          <cell r="V8337" t="str">
            <v>antonym</v>
          </cell>
          <cell r="Y8337" t="str">
            <v>Past</v>
          </cell>
          <cell r="Z8337">
            <v>2.31</v>
          </cell>
          <cell r="AA8337" t="str">
            <v>L</v>
          </cell>
          <cell r="AB8337">
            <v>0</v>
          </cell>
        </row>
        <row r="8338">
          <cell r="G8338" t="str">
            <v>511_0</v>
          </cell>
          <cell r="H8338" t="str">
            <v>as-as</v>
          </cell>
          <cell r="I8338" t="str">
            <v>sim</v>
          </cell>
          <cell r="V8338" t="str">
            <v>not neg pair</v>
          </cell>
          <cell r="Y8338" t="str">
            <v>Pres</v>
          </cell>
          <cell r="Z8338">
            <v>4.68</v>
          </cell>
          <cell r="AA8338">
            <v>0</v>
          </cell>
          <cell r="AB8338">
            <v>0</v>
          </cell>
        </row>
        <row r="8339">
          <cell r="G8339" t="str">
            <v>511_1</v>
          </cell>
          <cell r="H8339" t="str">
            <v>as-as</v>
          </cell>
          <cell r="I8339" t="str">
            <v>sim</v>
          </cell>
          <cell r="V8339" t="str">
            <v>not neg pair</v>
          </cell>
          <cell r="Y8339" t="str">
            <v>Pres</v>
          </cell>
          <cell r="Z8339">
            <v>4.68</v>
          </cell>
          <cell r="AA8339">
            <v>0</v>
          </cell>
          <cell r="AB8339">
            <v>0</v>
          </cell>
        </row>
        <row r="8340">
          <cell r="G8340" t="str">
            <v>523_0</v>
          </cell>
          <cell r="H8340" t="str">
            <v>as-as</v>
          </cell>
          <cell r="I8340" t="str">
            <v>sim</v>
          </cell>
          <cell r="V8340" t="str">
            <v>not</v>
          </cell>
          <cell r="Y8340" t="str">
            <v>Past</v>
          </cell>
          <cell r="Z8340">
            <v>2.39</v>
          </cell>
          <cell r="AA8340" t="str">
            <v>L</v>
          </cell>
          <cell r="AB8340">
            <v>0</v>
          </cell>
        </row>
        <row r="8341">
          <cell r="G8341" t="str">
            <v>523_1</v>
          </cell>
          <cell r="H8341" t="str">
            <v>as-as</v>
          </cell>
          <cell r="I8341" t="str">
            <v>sim</v>
          </cell>
          <cell r="V8341" t="str">
            <v>not</v>
          </cell>
          <cell r="Y8341" t="str">
            <v>Past</v>
          </cell>
          <cell r="Z8341">
            <v>2.39</v>
          </cell>
          <cell r="AA8341" t="str">
            <v>L</v>
          </cell>
          <cell r="AB8341">
            <v>0</v>
          </cell>
        </row>
        <row r="8342">
          <cell r="G8342" t="str">
            <v>524_0</v>
          </cell>
          <cell r="H8342" t="str">
            <v>as-as</v>
          </cell>
          <cell r="I8342" t="str">
            <v>sim</v>
          </cell>
          <cell r="V8342" t="str">
            <v>antonym</v>
          </cell>
          <cell r="Y8342" t="str">
            <v>Past</v>
          </cell>
          <cell r="Z8342">
            <v>4.78</v>
          </cell>
          <cell r="AA8342">
            <v>0</v>
          </cell>
          <cell r="AB8342">
            <v>0</v>
          </cell>
        </row>
        <row r="8343">
          <cell r="G8343" t="str">
            <v>524_1</v>
          </cell>
          <cell r="H8343" t="str">
            <v>as-as</v>
          </cell>
          <cell r="I8343" t="str">
            <v>sim</v>
          </cell>
          <cell r="V8343" t="str">
            <v>antonym</v>
          </cell>
          <cell r="Y8343">
            <v>0</v>
          </cell>
          <cell r="Z8343">
            <v>4.78</v>
          </cell>
          <cell r="AA8343">
            <v>0</v>
          </cell>
          <cell r="AB8343">
            <v>0</v>
          </cell>
        </row>
        <row r="8344">
          <cell r="G8344" t="str">
            <v>531_0</v>
          </cell>
          <cell r="H8344" t="str">
            <v>as-as</v>
          </cell>
          <cell r="I8344" t="str">
            <v>sim</v>
          </cell>
          <cell r="V8344" t="str">
            <v>antonym</v>
          </cell>
          <cell r="Y8344" t="str">
            <v>Pres</v>
          </cell>
          <cell r="Z8344">
            <v>3.93</v>
          </cell>
          <cell r="AA8344">
            <v>0</v>
          </cell>
          <cell r="AB8344">
            <v>0</v>
          </cell>
        </row>
        <row r="8345">
          <cell r="G8345" t="str">
            <v>531_1</v>
          </cell>
          <cell r="H8345" t="str">
            <v>as-as</v>
          </cell>
          <cell r="I8345" t="str">
            <v>sim</v>
          </cell>
          <cell r="V8345" t="str">
            <v>antonym</v>
          </cell>
          <cell r="Y8345" t="str">
            <v>Pres</v>
          </cell>
          <cell r="Z8345">
            <v>3.93</v>
          </cell>
          <cell r="AA8345">
            <v>0</v>
          </cell>
          <cell r="AB8345">
            <v>0</v>
          </cell>
        </row>
        <row r="8346">
          <cell r="G8346" t="str">
            <v>532_0</v>
          </cell>
          <cell r="H8346" t="str">
            <v>the-of</v>
          </cell>
          <cell r="I8346" t="str">
            <v>sim</v>
          </cell>
          <cell r="V8346" t="str">
            <v>not neg pair</v>
          </cell>
          <cell r="Y8346" t="str">
            <v>Pres</v>
          </cell>
          <cell r="Z8346">
            <v>3.93</v>
          </cell>
          <cell r="AA8346">
            <v>0</v>
          </cell>
          <cell r="AB8346">
            <v>0</v>
          </cell>
        </row>
        <row r="8347">
          <cell r="G8347" t="str">
            <v>532_1</v>
          </cell>
          <cell r="H8347" t="str">
            <v>the-of</v>
          </cell>
          <cell r="I8347" t="str">
            <v>sim</v>
          </cell>
          <cell r="V8347" t="str">
            <v>not neg pair</v>
          </cell>
          <cell r="Y8347" t="str">
            <v>Pres</v>
          </cell>
          <cell r="Z8347">
            <v>3.93</v>
          </cell>
          <cell r="AA8347">
            <v>0</v>
          </cell>
          <cell r="AB8347">
            <v>0</v>
          </cell>
        </row>
        <row r="8348">
          <cell r="G8348" t="str">
            <v>535_0</v>
          </cell>
          <cell r="H8348" t="str">
            <v>the-of</v>
          </cell>
          <cell r="I8348" t="str">
            <v>sim</v>
          </cell>
          <cell r="V8348" t="str">
            <v>not neg pair</v>
          </cell>
          <cell r="Y8348" t="str">
            <v>Pres</v>
          </cell>
          <cell r="Z8348">
            <v>3.36</v>
          </cell>
          <cell r="AA8348">
            <v>0</v>
          </cell>
          <cell r="AB8348">
            <v>0</v>
          </cell>
        </row>
        <row r="8349">
          <cell r="G8349" t="str">
            <v>535_1</v>
          </cell>
          <cell r="H8349" t="str">
            <v>the-of</v>
          </cell>
          <cell r="I8349" t="str">
            <v>sim</v>
          </cell>
          <cell r="V8349" t="str">
            <v>not neg pair</v>
          </cell>
          <cell r="Y8349" t="str">
            <v>Pres</v>
          </cell>
          <cell r="Z8349">
            <v>3.36</v>
          </cell>
          <cell r="AA8349">
            <v>0</v>
          </cell>
          <cell r="AB8349">
            <v>0</v>
          </cell>
        </row>
        <row r="8350">
          <cell r="G8350" t="str">
            <v>537_0</v>
          </cell>
          <cell r="H8350" t="str">
            <v/>
          </cell>
          <cell r="I8350" t="str">
            <v>met</v>
          </cell>
          <cell r="V8350" t="str">
            <v>0</v>
          </cell>
          <cell r="Y8350" t="str">
            <v>Past</v>
          </cell>
          <cell r="Z8350">
            <v>3.36</v>
          </cell>
          <cell r="AA8350">
            <v>0</v>
          </cell>
          <cell r="AB8350">
            <v>0</v>
          </cell>
        </row>
        <row r="8351">
          <cell r="G8351" t="str">
            <v>537_1</v>
          </cell>
          <cell r="H8351" t="str">
            <v/>
          </cell>
          <cell r="I8351" t="str">
            <v>met</v>
          </cell>
          <cell r="V8351" t="str">
            <v>0</v>
          </cell>
          <cell r="Y8351" t="str">
            <v>Past</v>
          </cell>
          <cell r="Z8351">
            <v>3.36</v>
          </cell>
          <cell r="AA8351">
            <v>0</v>
          </cell>
          <cell r="AB8351">
            <v>0</v>
          </cell>
        </row>
        <row r="8352">
          <cell r="G8352" t="str">
            <v>539_0</v>
          </cell>
          <cell r="H8352" t="str">
            <v>the-of</v>
          </cell>
          <cell r="I8352" t="str">
            <v>sim</v>
          </cell>
          <cell r="V8352" t="str">
            <v>not neg pair</v>
          </cell>
          <cell r="Y8352" t="str">
            <v>Pres</v>
          </cell>
          <cell r="Z8352">
            <v>4.79</v>
          </cell>
          <cell r="AA8352">
            <v>0</v>
          </cell>
          <cell r="AB8352">
            <v>0</v>
          </cell>
        </row>
        <row r="8353">
          <cell r="G8353" t="str">
            <v>539_1</v>
          </cell>
          <cell r="H8353" t="str">
            <v>the-of</v>
          </cell>
          <cell r="I8353" t="str">
            <v>sim</v>
          </cell>
          <cell r="V8353" t="str">
            <v>not neg pair</v>
          </cell>
          <cell r="Y8353" t="str">
            <v>Pres</v>
          </cell>
          <cell r="Z8353">
            <v>4.79</v>
          </cell>
          <cell r="AA8353">
            <v>0</v>
          </cell>
          <cell r="AB8353">
            <v>0</v>
          </cell>
        </row>
        <row r="8354">
          <cell r="G8354" t="str">
            <v>540_0</v>
          </cell>
          <cell r="H8354" t="str">
            <v>as-as</v>
          </cell>
          <cell r="I8354" t="str">
            <v>sim</v>
          </cell>
          <cell r="V8354" t="str">
            <v>antonym</v>
          </cell>
          <cell r="Y8354" t="str">
            <v>Pres</v>
          </cell>
          <cell r="Z8354">
            <v>5</v>
          </cell>
          <cell r="AA8354" t="str">
            <v>H</v>
          </cell>
          <cell r="AB8354">
            <v>0</v>
          </cell>
        </row>
        <row r="8355">
          <cell r="G8355" t="str">
            <v>540_1</v>
          </cell>
          <cell r="H8355" t="str">
            <v>as-as</v>
          </cell>
          <cell r="I8355" t="str">
            <v>sim</v>
          </cell>
          <cell r="V8355" t="str">
            <v>antonym</v>
          </cell>
          <cell r="Y8355" t="str">
            <v>Pres</v>
          </cell>
          <cell r="Z8355">
            <v>5</v>
          </cell>
          <cell r="AA8355" t="str">
            <v>H</v>
          </cell>
          <cell r="AB8355">
            <v>0</v>
          </cell>
        </row>
        <row r="8356">
          <cell r="G8356" t="str">
            <v>547_0</v>
          </cell>
          <cell r="H8356" t="str">
            <v>the-of</v>
          </cell>
          <cell r="I8356" t="str">
            <v>sim</v>
          </cell>
          <cell r="V8356" t="str">
            <v>not</v>
          </cell>
          <cell r="Y8356" t="str">
            <v>Pres</v>
          </cell>
          <cell r="Z8356">
            <v>3.36</v>
          </cell>
          <cell r="AA8356">
            <v>0</v>
          </cell>
          <cell r="AB8356">
            <v>0</v>
          </cell>
        </row>
        <row r="8357">
          <cell r="G8357" t="str">
            <v>547_1</v>
          </cell>
          <cell r="H8357" t="str">
            <v>the-of</v>
          </cell>
          <cell r="I8357" t="str">
            <v>sim</v>
          </cell>
          <cell r="V8357" t="str">
            <v>not</v>
          </cell>
          <cell r="Y8357" t="str">
            <v>Pres</v>
          </cell>
          <cell r="Z8357">
            <v>3.36</v>
          </cell>
          <cell r="AA8357">
            <v>0</v>
          </cell>
          <cell r="AB8357">
            <v>0</v>
          </cell>
        </row>
        <row r="8358">
          <cell r="G8358" t="str">
            <v>552_0</v>
          </cell>
          <cell r="H8358" t="str">
            <v>the-of</v>
          </cell>
          <cell r="I8358" t="str">
            <v>sim</v>
          </cell>
          <cell r="V8358" t="str">
            <v>not</v>
          </cell>
          <cell r="Y8358" t="str">
            <v>Pres</v>
          </cell>
          <cell r="Z8358">
            <v>3.93</v>
          </cell>
          <cell r="AA8358">
            <v>0</v>
          </cell>
          <cell r="AB8358">
            <v>0</v>
          </cell>
        </row>
        <row r="8359">
          <cell r="G8359" t="str">
            <v>552_1</v>
          </cell>
          <cell r="H8359" t="str">
            <v>the-of</v>
          </cell>
          <cell r="I8359" t="str">
            <v>sim</v>
          </cell>
          <cell r="V8359" t="str">
            <v>not</v>
          </cell>
          <cell r="Y8359" t="str">
            <v>Pres</v>
          </cell>
          <cell r="Z8359">
            <v>3.93</v>
          </cell>
          <cell r="AA8359">
            <v>0</v>
          </cell>
          <cell r="AB8359">
            <v>0</v>
          </cell>
        </row>
        <row r="8360">
          <cell r="G8360" t="str">
            <v>554_0</v>
          </cell>
          <cell r="H8360" t="str">
            <v/>
          </cell>
          <cell r="I8360" t="str">
            <v>met</v>
          </cell>
          <cell r="V8360" t="str">
            <v>0</v>
          </cell>
          <cell r="Y8360" t="str">
            <v>Past</v>
          </cell>
          <cell r="Z8360">
            <v>1.7</v>
          </cell>
          <cell r="AA8360" t="str">
            <v>L</v>
          </cell>
          <cell r="AB8360">
            <v>0</v>
          </cell>
        </row>
        <row r="8361">
          <cell r="G8361" t="str">
            <v>554_1</v>
          </cell>
          <cell r="H8361" t="str">
            <v/>
          </cell>
          <cell r="I8361" t="str">
            <v>met</v>
          </cell>
          <cell r="V8361" t="str">
            <v>0</v>
          </cell>
          <cell r="Y8361" t="str">
            <v>Past</v>
          </cell>
          <cell r="Z8361">
            <v>1.7</v>
          </cell>
          <cell r="AA8361" t="str">
            <v>L</v>
          </cell>
          <cell r="AB8361">
            <v>0</v>
          </cell>
        </row>
        <row r="8362">
          <cell r="G8362" t="str">
            <v>558_0</v>
          </cell>
          <cell r="H8362" t="str">
            <v>like</v>
          </cell>
          <cell r="I8362" t="str">
            <v>sim</v>
          </cell>
          <cell r="V8362" t="str">
            <v>not neg pair</v>
          </cell>
          <cell r="Y8362" t="str">
            <v>Past</v>
          </cell>
          <cell r="Z8362">
            <v>3.93</v>
          </cell>
          <cell r="AA8362">
            <v>0</v>
          </cell>
          <cell r="AB8362">
            <v>0</v>
          </cell>
        </row>
        <row r="8363">
          <cell r="G8363" t="str">
            <v>558_1</v>
          </cell>
          <cell r="H8363" t="str">
            <v>like</v>
          </cell>
          <cell r="I8363" t="str">
            <v>sim</v>
          </cell>
          <cell r="V8363" t="str">
            <v>not neg pair</v>
          </cell>
          <cell r="Y8363" t="str">
            <v>Past</v>
          </cell>
          <cell r="Z8363">
            <v>3.93</v>
          </cell>
          <cell r="AA8363">
            <v>0</v>
          </cell>
          <cell r="AB8363">
            <v>0</v>
          </cell>
        </row>
        <row r="8364">
          <cell r="G8364" t="str">
            <v>564_0</v>
          </cell>
          <cell r="H8364" t="str">
            <v>like</v>
          </cell>
          <cell r="I8364" t="str">
            <v>sim</v>
          </cell>
          <cell r="V8364" t="str">
            <v>not</v>
          </cell>
          <cell r="Y8364" t="str">
            <v>Pres</v>
          </cell>
          <cell r="Z8364">
            <v>2.93</v>
          </cell>
          <cell r="AA8364">
            <v>0</v>
          </cell>
          <cell r="AB8364">
            <v>0</v>
          </cell>
        </row>
        <row r="8365">
          <cell r="G8365" t="str">
            <v>564_1</v>
          </cell>
          <cell r="H8365" t="str">
            <v>like</v>
          </cell>
          <cell r="I8365" t="str">
            <v>sim</v>
          </cell>
          <cell r="V8365" t="str">
            <v>not</v>
          </cell>
          <cell r="Y8365" t="str">
            <v>Pres</v>
          </cell>
          <cell r="Z8365">
            <v>2.93</v>
          </cell>
          <cell r="AA8365">
            <v>0</v>
          </cell>
          <cell r="AB8365">
            <v>0</v>
          </cell>
        </row>
        <row r="8366">
          <cell r="G8366" t="str">
            <v>568_0</v>
          </cell>
          <cell r="H8366" t="str">
            <v>as-as</v>
          </cell>
          <cell r="I8366" t="str">
            <v>sim</v>
          </cell>
          <cell r="V8366" t="str">
            <v>antonym</v>
          </cell>
          <cell r="Y8366" t="str">
            <v>Past</v>
          </cell>
          <cell r="Z8366">
            <v>5</v>
          </cell>
          <cell r="AA8366" t="str">
            <v>H</v>
          </cell>
          <cell r="AB8366">
            <v>0</v>
          </cell>
        </row>
        <row r="8367">
          <cell r="G8367" t="str">
            <v>568_1</v>
          </cell>
          <cell r="H8367" t="str">
            <v>as-as</v>
          </cell>
          <cell r="I8367" t="str">
            <v>sim</v>
          </cell>
          <cell r="V8367" t="str">
            <v>antonym</v>
          </cell>
          <cell r="Y8367" t="str">
            <v>Past</v>
          </cell>
          <cell r="Z8367">
            <v>5</v>
          </cell>
          <cell r="AA8367" t="str">
            <v>H</v>
          </cell>
          <cell r="AB8367">
            <v>0</v>
          </cell>
        </row>
        <row r="8368">
          <cell r="G8368" t="str">
            <v>569_0</v>
          </cell>
          <cell r="H8368" t="str">
            <v>like</v>
          </cell>
          <cell r="I8368" t="str">
            <v>sim</v>
          </cell>
          <cell r="V8368" t="str">
            <v>not neg pair</v>
          </cell>
          <cell r="Y8368" t="str">
            <v>Pres</v>
          </cell>
          <cell r="Z8368">
            <v>2.5</v>
          </cell>
          <cell r="AA8368" t="str">
            <v>L</v>
          </cell>
          <cell r="AB8368">
            <v>0</v>
          </cell>
        </row>
        <row r="8369">
          <cell r="G8369" t="str">
            <v>569_1</v>
          </cell>
          <cell r="H8369" t="str">
            <v>like</v>
          </cell>
          <cell r="I8369" t="str">
            <v>sim</v>
          </cell>
          <cell r="V8369" t="str">
            <v>not neg pair</v>
          </cell>
          <cell r="Y8369" t="str">
            <v>Pres</v>
          </cell>
          <cell r="Z8369">
            <v>2.5</v>
          </cell>
          <cell r="AA8369" t="str">
            <v>L</v>
          </cell>
          <cell r="AB8369">
            <v>0</v>
          </cell>
        </row>
        <row r="8370">
          <cell r="G8370" t="str">
            <v>570_0</v>
          </cell>
          <cell r="H8370" t="str">
            <v>the-of</v>
          </cell>
          <cell r="I8370" t="str">
            <v>sim</v>
          </cell>
          <cell r="V8370" t="str">
            <v>not neg pair</v>
          </cell>
          <cell r="Y8370" t="str">
            <v>Pres</v>
          </cell>
          <cell r="Z8370">
            <v>3.19</v>
          </cell>
          <cell r="AA8370">
            <v>0</v>
          </cell>
          <cell r="AB8370">
            <v>0</v>
          </cell>
        </row>
        <row r="8371">
          <cell r="G8371" t="str">
            <v>570_1</v>
          </cell>
          <cell r="H8371" t="str">
            <v>the-of</v>
          </cell>
          <cell r="I8371" t="str">
            <v>sim</v>
          </cell>
          <cell r="V8371" t="str">
            <v>not neg pair</v>
          </cell>
          <cell r="Y8371" t="str">
            <v>Pres</v>
          </cell>
          <cell r="Z8371">
            <v>3.19</v>
          </cell>
          <cell r="AA8371">
            <v>0</v>
          </cell>
          <cell r="AB8371">
            <v>0</v>
          </cell>
        </row>
        <row r="8372">
          <cell r="G8372" t="str">
            <v>575_0</v>
          </cell>
          <cell r="H8372" t="str">
            <v>the-of</v>
          </cell>
          <cell r="I8372" t="str">
            <v>sim</v>
          </cell>
          <cell r="V8372" t="str">
            <v>not</v>
          </cell>
          <cell r="Y8372" t="str">
            <v>Pres</v>
          </cell>
          <cell r="Z8372">
            <v>1.93</v>
          </cell>
          <cell r="AA8372" t="str">
            <v>L</v>
          </cell>
          <cell r="AB8372">
            <v>0</v>
          </cell>
        </row>
        <row r="8373">
          <cell r="G8373" t="str">
            <v>575_1</v>
          </cell>
          <cell r="H8373" t="str">
            <v>the-of</v>
          </cell>
          <cell r="I8373" t="str">
            <v>sim</v>
          </cell>
          <cell r="V8373" t="str">
            <v>not</v>
          </cell>
          <cell r="Y8373" t="str">
            <v>Pres</v>
          </cell>
          <cell r="Z8373">
            <v>1.93</v>
          </cell>
          <cell r="AA8373" t="str">
            <v>L</v>
          </cell>
          <cell r="AB8373">
            <v>0</v>
          </cell>
        </row>
        <row r="8374">
          <cell r="G8374" t="str">
            <v>576_0</v>
          </cell>
          <cell r="H8374" t="str">
            <v>the-of</v>
          </cell>
          <cell r="I8374" t="str">
            <v>sim</v>
          </cell>
          <cell r="V8374" t="str">
            <v>not</v>
          </cell>
          <cell r="Y8374" t="str">
            <v>Pres</v>
          </cell>
          <cell r="Z8374">
            <v>3.36</v>
          </cell>
          <cell r="AA8374">
            <v>0</v>
          </cell>
          <cell r="AB8374">
            <v>0</v>
          </cell>
        </row>
        <row r="8375">
          <cell r="G8375" t="str">
            <v>576_1</v>
          </cell>
          <cell r="H8375" t="str">
            <v>the-of</v>
          </cell>
          <cell r="I8375" t="str">
            <v>sim</v>
          </cell>
          <cell r="V8375" t="str">
            <v>not</v>
          </cell>
          <cell r="Y8375" t="str">
            <v>Pres</v>
          </cell>
          <cell r="Z8375">
            <v>3.36</v>
          </cell>
          <cell r="AA8375">
            <v>0</v>
          </cell>
          <cell r="AB8375">
            <v>0</v>
          </cell>
        </row>
        <row r="8376">
          <cell r="G8376" t="str">
            <v>579_0</v>
          </cell>
          <cell r="H8376" t="str">
            <v>the-of</v>
          </cell>
          <cell r="I8376" t="str">
            <v>sim</v>
          </cell>
          <cell r="V8376" t="str">
            <v>not neg pair</v>
          </cell>
          <cell r="Y8376" t="str">
            <v>Past</v>
          </cell>
          <cell r="Z8376">
            <v>4.5199999999999996</v>
          </cell>
          <cell r="AA8376">
            <v>0</v>
          </cell>
          <cell r="AB8376">
            <v>0</v>
          </cell>
        </row>
        <row r="8377">
          <cell r="G8377" t="str">
            <v>579_1</v>
          </cell>
          <cell r="H8377" t="str">
            <v>the-of</v>
          </cell>
          <cell r="I8377" t="str">
            <v>sim</v>
          </cell>
          <cell r="V8377" t="str">
            <v>not neg pair</v>
          </cell>
          <cell r="Y8377" t="str">
            <v>Past</v>
          </cell>
          <cell r="Z8377">
            <v>4.5199999999999996</v>
          </cell>
          <cell r="AA8377">
            <v>0</v>
          </cell>
          <cell r="AB8377">
            <v>0</v>
          </cell>
        </row>
        <row r="8378">
          <cell r="G8378" t="str">
            <v>586_0</v>
          </cell>
          <cell r="H8378" t="str">
            <v>the-of</v>
          </cell>
          <cell r="I8378" t="str">
            <v>sim</v>
          </cell>
          <cell r="V8378" t="str">
            <v>not neg pair</v>
          </cell>
          <cell r="Y8378" t="str">
            <v>Past</v>
          </cell>
          <cell r="Z8378">
            <v>4.8499999999999996</v>
          </cell>
          <cell r="AA8378">
            <v>0</v>
          </cell>
          <cell r="AB8378">
            <v>0</v>
          </cell>
        </row>
        <row r="8379">
          <cell r="G8379" t="str">
            <v>586_1</v>
          </cell>
          <cell r="H8379" t="str">
            <v>the-of</v>
          </cell>
          <cell r="I8379" t="str">
            <v>sim</v>
          </cell>
          <cell r="V8379" t="str">
            <v>not neg pair</v>
          </cell>
          <cell r="Y8379" t="str">
            <v>Past</v>
          </cell>
          <cell r="Z8379">
            <v>4.8499999999999996</v>
          </cell>
          <cell r="AA8379">
            <v>0</v>
          </cell>
          <cell r="AB8379">
            <v>0</v>
          </cell>
        </row>
        <row r="8380">
          <cell r="G8380" t="str">
            <v>587_0</v>
          </cell>
          <cell r="H8380" t="str">
            <v>the-of</v>
          </cell>
          <cell r="I8380" t="str">
            <v>sim</v>
          </cell>
          <cell r="V8380" t="str">
            <v>not neg pair</v>
          </cell>
          <cell r="Y8380" t="str">
            <v>Past</v>
          </cell>
          <cell r="Z8380">
            <v>3.93</v>
          </cell>
          <cell r="AA8380">
            <v>0</v>
          </cell>
          <cell r="AB8380">
            <v>0</v>
          </cell>
        </row>
        <row r="8381">
          <cell r="G8381" t="str">
            <v>587_1</v>
          </cell>
          <cell r="H8381" t="str">
            <v>the-of</v>
          </cell>
          <cell r="I8381" t="str">
            <v>sim</v>
          </cell>
          <cell r="V8381" t="str">
            <v>not neg pair</v>
          </cell>
          <cell r="Y8381" t="str">
            <v>Past</v>
          </cell>
          <cell r="Z8381">
            <v>3.93</v>
          </cell>
          <cell r="AA8381">
            <v>0</v>
          </cell>
          <cell r="AB8381">
            <v>0</v>
          </cell>
        </row>
        <row r="8382">
          <cell r="G8382" t="str">
            <v>589_0</v>
          </cell>
          <cell r="H8382" t="str">
            <v/>
          </cell>
          <cell r="I8382" t="str">
            <v>met</v>
          </cell>
          <cell r="V8382" t="str">
            <v>0</v>
          </cell>
          <cell r="Y8382" t="str">
            <v>Pres</v>
          </cell>
          <cell r="Z8382">
            <v>0</v>
          </cell>
          <cell r="AA8382">
            <v>0</v>
          </cell>
          <cell r="AB8382">
            <v>0</v>
          </cell>
        </row>
        <row r="8383">
          <cell r="G8383" t="str">
            <v>589_1</v>
          </cell>
          <cell r="H8383" t="str">
            <v/>
          </cell>
          <cell r="I8383" t="str">
            <v>met</v>
          </cell>
          <cell r="V8383" t="str">
            <v>0</v>
          </cell>
          <cell r="Y8383" t="str">
            <v>Pres</v>
          </cell>
          <cell r="Z8383">
            <v>0</v>
          </cell>
          <cell r="AA8383">
            <v>0</v>
          </cell>
          <cell r="AB8383">
            <v>0</v>
          </cell>
        </row>
        <row r="8384">
          <cell r="G8384" t="str">
            <v>601_0</v>
          </cell>
          <cell r="H8384" t="str">
            <v>the-of</v>
          </cell>
          <cell r="I8384" t="str">
            <v>sim</v>
          </cell>
          <cell r="V8384" t="str">
            <v>not neg pair</v>
          </cell>
          <cell r="Y8384" t="str">
            <v>Pres</v>
          </cell>
          <cell r="Z8384">
            <v>4.8600000000000003</v>
          </cell>
          <cell r="AA8384">
            <v>0</v>
          </cell>
          <cell r="AB8384">
            <v>0</v>
          </cell>
        </row>
        <row r="8385">
          <cell r="G8385" t="str">
            <v>601_1</v>
          </cell>
          <cell r="H8385" t="str">
            <v>the-of</v>
          </cell>
          <cell r="I8385" t="str">
            <v>sim</v>
          </cell>
          <cell r="V8385" t="str">
            <v>not neg pair</v>
          </cell>
          <cell r="Y8385" t="str">
            <v>Pres</v>
          </cell>
          <cell r="Z8385">
            <v>4.8600000000000003</v>
          </cell>
          <cell r="AA8385">
            <v>0</v>
          </cell>
          <cell r="AB8385">
            <v>0</v>
          </cell>
        </row>
        <row r="8386">
          <cell r="G8386" t="str">
            <v>605_0</v>
          </cell>
          <cell r="H8386" t="str">
            <v>as-as</v>
          </cell>
          <cell r="I8386" t="str">
            <v>sim</v>
          </cell>
          <cell r="V8386" t="str">
            <v>antonym</v>
          </cell>
          <cell r="Y8386" t="str">
            <v>Pres</v>
          </cell>
          <cell r="Z8386">
            <v>4.8499999999999996</v>
          </cell>
          <cell r="AA8386">
            <v>0</v>
          </cell>
          <cell r="AB8386">
            <v>0</v>
          </cell>
        </row>
        <row r="8387">
          <cell r="G8387" t="str">
            <v>605_1</v>
          </cell>
          <cell r="H8387" t="str">
            <v>as-as</v>
          </cell>
          <cell r="I8387" t="str">
            <v>sim</v>
          </cell>
          <cell r="V8387" t="str">
            <v>antonym</v>
          </cell>
          <cell r="Y8387" t="str">
            <v>Pres</v>
          </cell>
          <cell r="Z8387">
            <v>4.8499999999999996</v>
          </cell>
          <cell r="AA8387">
            <v>0</v>
          </cell>
          <cell r="AB8387">
            <v>0</v>
          </cell>
        </row>
        <row r="8388">
          <cell r="G8388" t="str">
            <v>607_0</v>
          </cell>
          <cell r="H8388" t="str">
            <v>as-as</v>
          </cell>
          <cell r="I8388" t="str">
            <v>sim</v>
          </cell>
          <cell r="V8388" t="str">
            <v>antonym</v>
          </cell>
          <cell r="Y8388" t="str">
            <v>Past</v>
          </cell>
          <cell r="Z8388">
            <v>2.86</v>
          </cell>
          <cell r="AA8388">
            <v>0</v>
          </cell>
          <cell r="AB8388">
            <v>0</v>
          </cell>
        </row>
        <row r="8389">
          <cell r="G8389" t="str">
            <v>607_1</v>
          </cell>
          <cell r="H8389" t="str">
            <v>as-as</v>
          </cell>
          <cell r="I8389" t="str">
            <v>sim</v>
          </cell>
          <cell r="V8389" t="str">
            <v>antonym</v>
          </cell>
          <cell r="Y8389" t="str">
            <v>Past</v>
          </cell>
          <cell r="Z8389">
            <v>2.86</v>
          </cell>
          <cell r="AA8389">
            <v>0</v>
          </cell>
          <cell r="AB8389">
            <v>0</v>
          </cell>
        </row>
        <row r="8390">
          <cell r="G8390" t="str">
            <v>613_0</v>
          </cell>
          <cell r="H8390" t="str">
            <v>as-as</v>
          </cell>
          <cell r="I8390" t="str">
            <v>sim</v>
          </cell>
          <cell r="V8390" t="str">
            <v>not neg pair</v>
          </cell>
          <cell r="Y8390" t="str">
            <v>Pres</v>
          </cell>
          <cell r="Z8390">
            <v>4.8</v>
          </cell>
          <cell r="AA8390">
            <v>0</v>
          </cell>
          <cell r="AB8390">
            <v>0</v>
          </cell>
        </row>
        <row r="8391">
          <cell r="G8391" t="str">
            <v>613_1</v>
          </cell>
          <cell r="H8391" t="str">
            <v>as-as</v>
          </cell>
          <cell r="I8391" t="str">
            <v>sim</v>
          </cell>
          <cell r="V8391" t="str">
            <v>not neg pair</v>
          </cell>
          <cell r="Y8391" t="str">
            <v>Pres</v>
          </cell>
          <cell r="Z8391">
            <v>4.8</v>
          </cell>
          <cell r="AA8391">
            <v>0</v>
          </cell>
          <cell r="AB8391">
            <v>0</v>
          </cell>
        </row>
        <row r="8392">
          <cell r="G8392" t="str">
            <v>614_0</v>
          </cell>
          <cell r="H8392" t="str">
            <v>as-as</v>
          </cell>
          <cell r="I8392" t="str">
            <v>sim</v>
          </cell>
          <cell r="V8392" t="str">
            <v>antonym</v>
          </cell>
          <cell r="Y8392" t="str">
            <v>Pres</v>
          </cell>
          <cell r="Z8392">
            <v>4.75</v>
          </cell>
          <cell r="AA8392">
            <v>0</v>
          </cell>
          <cell r="AB8392">
            <v>0</v>
          </cell>
        </row>
        <row r="8393">
          <cell r="G8393" t="str">
            <v>614_1</v>
          </cell>
          <cell r="H8393" t="str">
            <v>as-as</v>
          </cell>
          <cell r="I8393" t="str">
            <v>sim</v>
          </cell>
          <cell r="V8393" t="str">
            <v>antonym</v>
          </cell>
          <cell r="Y8393" t="str">
            <v>Pres</v>
          </cell>
          <cell r="Z8393">
            <v>4.75</v>
          </cell>
          <cell r="AA8393">
            <v>0</v>
          </cell>
          <cell r="AB8393">
            <v>0</v>
          </cell>
        </row>
        <row r="8394">
          <cell r="G8394" t="str">
            <v>616_0</v>
          </cell>
          <cell r="H8394" t="str">
            <v>as-as</v>
          </cell>
          <cell r="I8394" t="str">
            <v>sim</v>
          </cell>
          <cell r="V8394" t="str">
            <v>not</v>
          </cell>
          <cell r="Y8394">
            <v>0</v>
          </cell>
          <cell r="Z8394">
            <v>4.1100000000000003</v>
          </cell>
          <cell r="AA8394">
            <v>0</v>
          </cell>
          <cell r="AB8394">
            <v>0</v>
          </cell>
        </row>
        <row r="8395">
          <cell r="G8395" t="str">
            <v>616_1</v>
          </cell>
          <cell r="H8395" t="str">
            <v>as-as</v>
          </cell>
          <cell r="I8395" t="str">
            <v>sim</v>
          </cell>
          <cell r="V8395" t="str">
            <v>not</v>
          </cell>
          <cell r="Y8395">
            <v>0</v>
          </cell>
          <cell r="Z8395">
            <v>4.1100000000000003</v>
          </cell>
          <cell r="AA8395">
            <v>0</v>
          </cell>
          <cell r="AB8395">
            <v>0</v>
          </cell>
        </row>
        <row r="8396">
          <cell r="G8396" t="str">
            <v>618_0</v>
          </cell>
          <cell r="H8396" t="str">
            <v/>
          </cell>
          <cell r="I8396" t="str">
            <v>met</v>
          </cell>
          <cell r="V8396" t="str">
            <v>0</v>
          </cell>
          <cell r="Y8396" t="str">
            <v>Pres</v>
          </cell>
          <cell r="Z8396">
            <v>3.93</v>
          </cell>
          <cell r="AA8396">
            <v>0</v>
          </cell>
          <cell r="AB8396">
            <v>0</v>
          </cell>
        </row>
        <row r="8397">
          <cell r="G8397" t="str">
            <v>618_1</v>
          </cell>
          <cell r="H8397" t="str">
            <v/>
          </cell>
          <cell r="I8397" t="str">
            <v>met</v>
          </cell>
          <cell r="V8397" t="str">
            <v>0</v>
          </cell>
          <cell r="Y8397" t="str">
            <v>Pres</v>
          </cell>
          <cell r="Z8397">
            <v>3.93</v>
          </cell>
          <cell r="AA8397">
            <v>0</v>
          </cell>
          <cell r="AB8397">
            <v>0</v>
          </cell>
        </row>
        <row r="8398">
          <cell r="G8398" t="str">
            <v>619_0</v>
          </cell>
          <cell r="H8398" t="str">
            <v>the-of</v>
          </cell>
          <cell r="I8398" t="str">
            <v>sim</v>
          </cell>
          <cell r="V8398" t="str">
            <v>not neg pair</v>
          </cell>
          <cell r="Y8398" t="str">
            <v>Pres</v>
          </cell>
          <cell r="Z8398">
            <v>4.59</v>
          </cell>
          <cell r="AA8398">
            <v>0</v>
          </cell>
          <cell r="AB8398">
            <v>0</v>
          </cell>
        </row>
        <row r="8399">
          <cell r="G8399" t="str">
            <v>619_1</v>
          </cell>
          <cell r="H8399" t="str">
            <v>the-of</v>
          </cell>
          <cell r="I8399" t="str">
            <v>sim</v>
          </cell>
          <cell r="V8399" t="str">
            <v>not neg pair</v>
          </cell>
          <cell r="Y8399" t="str">
            <v>Pres</v>
          </cell>
          <cell r="Z8399">
            <v>3.11</v>
          </cell>
          <cell r="AA8399">
            <v>0</v>
          </cell>
          <cell r="AB8399">
            <v>0</v>
          </cell>
        </row>
        <row r="8400">
          <cell r="G8400" t="str">
            <v>622_0</v>
          </cell>
          <cell r="H8400" t="str">
            <v>the-of</v>
          </cell>
          <cell r="I8400" t="str">
            <v>sim</v>
          </cell>
          <cell r="V8400" t="str">
            <v>not neg pair</v>
          </cell>
          <cell r="Y8400" t="str">
            <v>Pres</v>
          </cell>
          <cell r="Z8400">
            <v>3.3</v>
          </cell>
          <cell r="AA8400">
            <v>0</v>
          </cell>
          <cell r="AB8400">
            <v>0</v>
          </cell>
        </row>
        <row r="8401">
          <cell r="G8401" t="str">
            <v>622_1</v>
          </cell>
          <cell r="H8401" t="str">
            <v>the-of</v>
          </cell>
          <cell r="I8401" t="str">
            <v>sim</v>
          </cell>
          <cell r="V8401" t="str">
            <v>not neg pair</v>
          </cell>
          <cell r="Y8401" t="str">
            <v>Pres</v>
          </cell>
          <cell r="Z8401">
            <v>3.3</v>
          </cell>
          <cell r="AA8401">
            <v>0</v>
          </cell>
          <cell r="AB8401">
            <v>0</v>
          </cell>
        </row>
        <row r="8402">
          <cell r="G8402" t="str">
            <v>630_0</v>
          </cell>
          <cell r="H8402" t="str">
            <v>as-as</v>
          </cell>
          <cell r="I8402" t="str">
            <v>sim</v>
          </cell>
          <cell r="V8402" t="str">
            <v>not neg pair</v>
          </cell>
          <cell r="Y8402" t="str">
            <v>Past</v>
          </cell>
          <cell r="Z8402">
            <v>3.36</v>
          </cell>
          <cell r="AA8402">
            <v>0</v>
          </cell>
          <cell r="AB8402">
            <v>0</v>
          </cell>
        </row>
        <row r="8403">
          <cell r="G8403" t="str">
            <v>630_1</v>
          </cell>
          <cell r="H8403" t="str">
            <v>as-as</v>
          </cell>
          <cell r="I8403" t="str">
            <v>sim</v>
          </cell>
          <cell r="V8403" t="str">
            <v>not neg pair</v>
          </cell>
          <cell r="Y8403" t="str">
            <v>Past</v>
          </cell>
          <cell r="Z8403">
            <v>3.36</v>
          </cell>
          <cell r="AA8403">
            <v>0</v>
          </cell>
          <cell r="AB8403">
            <v>0</v>
          </cell>
        </row>
        <row r="8404">
          <cell r="G8404" t="str">
            <v>639_0</v>
          </cell>
          <cell r="H8404" t="str">
            <v>as-as</v>
          </cell>
          <cell r="I8404" t="str">
            <v>sim</v>
          </cell>
          <cell r="V8404" t="str">
            <v>not neg pair</v>
          </cell>
          <cell r="Y8404" t="str">
            <v>Pres</v>
          </cell>
          <cell r="Z8404">
            <v>3.19</v>
          </cell>
          <cell r="AA8404">
            <v>0</v>
          </cell>
          <cell r="AB8404">
            <v>0</v>
          </cell>
        </row>
        <row r="8405">
          <cell r="G8405" t="str">
            <v>639_1</v>
          </cell>
          <cell r="H8405" t="str">
            <v>as-as</v>
          </cell>
          <cell r="I8405" t="str">
            <v>sim</v>
          </cell>
          <cell r="V8405" t="str">
            <v>not neg pair</v>
          </cell>
          <cell r="Y8405" t="str">
            <v>Pres</v>
          </cell>
          <cell r="Z8405">
            <v>3.19</v>
          </cell>
          <cell r="AA8405">
            <v>0</v>
          </cell>
          <cell r="AB8405">
            <v>0</v>
          </cell>
        </row>
        <row r="8406">
          <cell r="G8406" t="str">
            <v>640_0</v>
          </cell>
          <cell r="H8406" t="str">
            <v>as-as</v>
          </cell>
          <cell r="I8406" t="str">
            <v>sim</v>
          </cell>
          <cell r="V8406" t="str">
            <v>not neg pair</v>
          </cell>
          <cell r="Y8406" t="str">
            <v>Pres</v>
          </cell>
          <cell r="Z8406">
            <v>4.9000000000000004</v>
          </cell>
          <cell r="AA8406">
            <v>0</v>
          </cell>
          <cell r="AB8406">
            <v>0</v>
          </cell>
        </row>
        <row r="8407">
          <cell r="G8407" t="str">
            <v>640_1</v>
          </cell>
          <cell r="H8407" t="str">
            <v>as-as</v>
          </cell>
          <cell r="I8407" t="str">
            <v>sim</v>
          </cell>
          <cell r="V8407" t="str">
            <v>not neg pair</v>
          </cell>
          <cell r="Y8407" t="str">
            <v>Pres</v>
          </cell>
          <cell r="Z8407">
            <v>4.9000000000000004</v>
          </cell>
          <cell r="AA8407">
            <v>0</v>
          </cell>
          <cell r="AB8407">
            <v>0</v>
          </cell>
        </row>
        <row r="8408">
          <cell r="G8408" t="str">
            <v>643_0</v>
          </cell>
          <cell r="H8408" t="str">
            <v>the-of</v>
          </cell>
          <cell r="I8408" t="str">
            <v>sim</v>
          </cell>
          <cell r="V8408" t="str">
            <v>not neg pair</v>
          </cell>
          <cell r="Y8408" t="str">
            <v>Past</v>
          </cell>
          <cell r="Z8408">
            <v>3.9</v>
          </cell>
          <cell r="AA8408">
            <v>0</v>
          </cell>
          <cell r="AB8408">
            <v>0</v>
          </cell>
        </row>
        <row r="8409">
          <cell r="G8409" t="str">
            <v>643_1</v>
          </cell>
          <cell r="H8409" t="str">
            <v>the-of</v>
          </cell>
          <cell r="I8409" t="str">
            <v>sim</v>
          </cell>
          <cell r="V8409" t="str">
            <v>not neg pair</v>
          </cell>
          <cell r="Y8409" t="str">
            <v>Past</v>
          </cell>
          <cell r="Z8409">
            <v>3.9</v>
          </cell>
          <cell r="AA8409">
            <v>0</v>
          </cell>
          <cell r="AB8409">
            <v>0</v>
          </cell>
        </row>
        <row r="8410">
          <cell r="G8410" t="str">
            <v>652_0</v>
          </cell>
          <cell r="H8410" t="str">
            <v>as-as</v>
          </cell>
          <cell r="I8410" t="str">
            <v>sim</v>
          </cell>
          <cell r="V8410" t="str">
            <v>antonym</v>
          </cell>
          <cell r="Y8410" t="str">
            <v>Pres</v>
          </cell>
          <cell r="Z8410">
            <v>4.0999999999999996</v>
          </cell>
          <cell r="AA8410">
            <v>0</v>
          </cell>
          <cell r="AB8410">
            <v>0</v>
          </cell>
        </row>
        <row r="8411">
          <cell r="G8411" t="str">
            <v>652_1</v>
          </cell>
          <cell r="H8411" t="str">
            <v>as-as</v>
          </cell>
          <cell r="I8411" t="str">
            <v>sim</v>
          </cell>
          <cell r="V8411" t="str">
            <v>antonym</v>
          </cell>
          <cell r="Y8411" t="str">
            <v>Pres</v>
          </cell>
          <cell r="Z8411">
            <v>4.0999999999999996</v>
          </cell>
          <cell r="AA8411">
            <v>0</v>
          </cell>
          <cell r="AB8411">
            <v>0</v>
          </cell>
        </row>
        <row r="8412">
          <cell r="G8412" t="str">
            <v>653_0</v>
          </cell>
          <cell r="H8412" t="str">
            <v>like</v>
          </cell>
          <cell r="I8412" t="str">
            <v>sim</v>
          </cell>
          <cell r="V8412" t="str">
            <v>not neg pair</v>
          </cell>
          <cell r="Y8412" t="str">
            <v>Pres</v>
          </cell>
          <cell r="Z8412">
            <v>4.5</v>
          </cell>
          <cell r="AA8412">
            <v>0</v>
          </cell>
          <cell r="AB8412">
            <v>0</v>
          </cell>
        </row>
        <row r="8413">
          <cell r="G8413" t="str">
            <v>653_1</v>
          </cell>
          <cell r="H8413" t="str">
            <v>like</v>
          </cell>
          <cell r="I8413" t="str">
            <v>sim</v>
          </cell>
          <cell r="V8413" t="str">
            <v>not neg pair</v>
          </cell>
          <cell r="Y8413" t="str">
            <v>Pres</v>
          </cell>
          <cell r="Z8413">
            <v>4.5</v>
          </cell>
          <cell r="AA8413">
            <v>0</v>
          </cell>
          <cell r="AB8413">
            <v>0</v>
          </cell>
        </row>
        <row r="8414">
          <cell r="G8414" t="str">
            <v>656_0</v>
          </cell>
          <cell r="H8414" t="str">
            <v>as-as</v>
          </cell>
          <cell r="I8414" t="str">
            <v>sim</v>
          </cell>
          <cell r="V8414" t="str">
            <v>not neg pair</v>
          </cell>
          <cell r="Y8414" t="str">
            <v>Pres</v>
          </cell>
          <cell r="Z8414">
            <v>3.36</v>
          </cell>
          <cell r="AA8414">
            <v>0</v>
          </cell>
          <cell r="AB8414">
            <v>0</v>
          </cell>
        </row>
        <row r="8415">
          <cell r="G8415" t="str">
            <v>656_1</v>
          </cell>
          <cell r="H8415" t="str">
            <v>as-as</v>
          </cell>
          <cell r="I8415" t="str">
            <v>sim</v>
          </cell>
          <cell r="V8415" t="str">
            <v>not neg pair</v>
          </cell>
          <cell r="Y8415" t="str">
            <v>Pres</v>
          </cell>
          <cell r="Z8415">
            <v>3.36</v>
          </cell>
          <cell r="AA8415">
            <v>0</v>
          </cell>
          <cell r="AB8415">
            <v>0</v>
          </cell>
        </row>
        <row r="8416">
          <cell r="G8416" t="str">
            <v>657_0</v>
          </cell>
          <cell r="H8416" t="str">
            <v/>
          </cell>
          <cell r="I8416" t="str">
            <v>met</v>
          </cell>
          <cell r="V8416" t="str">
            <v>0</v>
          </cell>
          <cell r="Y8416" t="str">
            <v>Past</v>
          </cell>
          <cell r="Z8416">
            <v>3.56</v>
          </cell>
          <cell r="AA8416">
            <v>0</v>
          </cell>
          <cell r="AB8416">
            <v>0</v>
          </cell>
        </row>
        <row r="8417">
          <cell r="G8417" t="str">
            <v>657_1</v>
          </cell>
          <cell r="H8417" t="str">
            <v/>
          </cell>
          <cell r="I8417" t="str">
            <v>met</v>
          </cell>
          <cell r="V8417" t="str">
            <v>0</v>
          </cell>
          <cell r="Y8417" t="str">
            <v>Past</v>
          </cell>
          <cell r="Z8417">
            <v>3.56</v>
          </cell>
          <cell r="AA8417">
            <v>0</v>
          </cell>
          <cell r="AB8417">
            <v>0</v>
          </cell>
        </row>
        <row r="8418">
          <cell r="G8418" t="str">
            <v>658_0</v>
          </cell>
          <cell r="H8418" t="str">
            <v/>
          </cell>
          <cell r="I8418" t="str">
            <v>met</v>
          </cell>
          <cell r="V8418" t="str">
            <v>0</v>
          </cell>
          <cell r="Y8418" t="str">
            <v>Past</v>
          </cell>
          <cell r="Z8418">
            <v>4.5199999999999996</v>
          </cell>
          <cell r="AA8418">
            <v>0</v>
          </cell>
          <cell r="AB8418">
            <v>0</v>
          </cell>
        </row>
        <row r="8419">
          <cell r="G8419" t="str">
            <v>658_1</v>
          </cell>
          <cell r="H8419" t="str">
            <v/>
          </cell>
          <cell r="I8419" t="str">
            <v>met</v>
          </cell>
          <cell r="V8419" t="str">
            <v>0</v>
          </cell>
          <cell r="Y8419" t="str">
            <v>Past</v>
          </cell>
          <cell r="Z8419">
            <v>4.5199999999999996</v>
          </cell>
          <cell r="AA8419">
            <v>0</v>
          </cell>
          <cell r="AB8419">
            <v>0</v>
          </cell>
        </row>
        <row r="8420">
          <cell r="G8420" t="str">
            <v>664_0</v>
          </cell>
          <cell r="H8420" t="str">
            <v>like</v>
          </cell>
          <cell r="I8420" t="str">
            <v>sim</v>
          </cell>
          <cell r="V8420" t="str">
            <v>not</v>
          </cell>
          <cell r="Y8420" t="str">
            <v>Past</v>
          </cell>
          <cell r="Z8420">
            <v>3.93</v>
          </cell>
          <cell r="AA8420">
            <v>0</v>
          </cell>
          <cell r="AB8420">
            <v>0</v>
          </cell>
        </row>
        <row r="8421">
          <cell r="G8421" t="str">
            <v>664_1</v>
          </cell>
          <cell r="H8421" t="str">
            <v>like</v>
          </cell>
          <cell r="I8421" t="str">
            <v>sim</v>
          </cell>
          <cell r="V8421" t="str">
            <v>not</v>
          </cell>
          <cell r="Y8421" t="str">
            <v>Pres</v>
          </cell>
          <cell r="Z8421">
            <v>3.93</v>
          </cell>
          <cell r="AA8421">
            <v>0</v>
          </cell>
          <cell r="AB8421">
            <v>0</v>
          </cell>
        </row>
        <row r="8422">
          <cell r="G8422" t="str">
            <v>668_0</v>
          </cell>
          <cell r="H8422" t="str">
            <v>the-of</v>
          </cell>
          <cell r="I8422" t="str">
            <v>sim</v>
          </cell>
          <cell r="V8422" t="str">
            <v>not neg pair</v>
          </cell>
          <cell r="Y8422" t="str">
            <v>Pres</v>
          </cell>
          <cell r="Z8422">
            <v>4.93</v>
          </cell>
          <cell r="AA8422" t="str">
            <v>H</v>
          </cell>
          <cell r="AB8422">
            <v>0</v>
          </cell>
        </row>
        <row r="8423">
          <cell r="G8423" t="str">
            <v>668_1</v>
          </cell>
          <cell r="H8423" t="str">
            <v>the-of</v>
          </cell>
          <cell r="I8423" t="str">
            <v>sim</v>
          </cell>
          <cell r="V8423" t="str">
            <v>not neg pair</v>
          </cell>
          <cell r="Y8423" t="str">
            <v>Pres</v>
          </cell>
          <cell r="Z8423">
            <v>4.93</v>
          </cell>
          <cell r="AA8423" t="str">
            <v>H</v>
          </cell>
          <cell r="AB8423">
            <v>0</v>
          </cell>
        </row>
        <row r="8424">
          <cell r="G8424" t="str">
            <v>672_0</v>
          </cell>
          <cell r="H8424" t="str">
            <v>as-as</v>
          </cell>
          <cell r="I8424" t="str">
            <v>sim</v>
          </cell>
          <cell r="V8424" t="str">
            <v>not</v>
          </cell>
          <cell r="Y8424" t="str">
            <v>Past</v>
          </cell>
          <cell r="Z8424">
            <v>4.5199999999999996</v>
          </cell>
          <cell r="AA8424">
            <v>0</v>
          </cell>
          <cell r="AB8424">
            <v>0</v>
          </cell>
        </row>
        <row r="8425">
          <cell r="G8425" t="str">
            <v>672_1</v>
          </cell>
          <cell r="H8425" t="str">
            <v>as-as</v>
          </cell>
          <cell r="I8425" t="str">
            <v>sim</v>
          </cell>
          <cell r="V8425" t="str">
            <v>not</v>
          </cell>
          <cell r="Y8425" t="str">
            <v>Past</v>
          </cell>
          <cell r="Z8425">
            <v>4.5199999999999996</v>
          </cell>
          <cell r="AA8425">
            <v>0</v>
          </cell>
          <cell r="AB8425">
            <v>0</v>
          </cell>
        </row>
        <row r="8426">
          <cell r="G8426" t="str">
            <v>678_0</v>
          </cell>
          <cell r="H8426" t="str">
            <v>the-of</v>
          </cell>
          <cell r="I8426" t="str">
            <v>sim</v>
          </cell>
          <cell r="V8426" t="str">
            <v>not neg pair</v>
          </cell>
          <cell r="Y8426" t="str">
            <v>Past</v>
          </cell>
          <cell r="Z8426">
            <v>2.92</v>
          </cell>
          <cell r="AA8426">
            <v>0</v>
          </cell>
          <cell r="AB8426">
            <v>0</v>
          </cell>
        </row>
        <row r="8427">
          <cell r="G8427" t="str">
            <v>678_1</v>
          </cell>
          <cell r="H8427" t="str">
            <v>the-of</v>
          </cell>
          <cell r="I8427" t="str">
            <v>sim</v>
          </cell>
          <cell r="V8427" t="str">
            <v>not neg pair</v>
          </cell>
          <cell r="Y8427" t="str">
            <v>Past</v>
          </cell>
          <cell r="Z8427">
            <v>2.92</v>
          </cell>
          <cell r="AA8427">
            <v>0</v>
          </cell>
          <cell r="AB8427">
            <v>0</v>
          </cell>
        </row>
        <row r="8428">
          <cell r="G8428" t="str">
            <v>683_0</v>
          </cell>
          <cell r="H8428" t="str">
            <v>the-of</v>
          </cell>
          <cell r="I8428" t="str">
            <v>sim</v>
          </cell>
          <cell r="V8428" t="str">
            <v>not neg pair</v>
          </cell>
          <cell r="Y8428" t="str">
            <v>Pres</v>
          </cell>
          <cell r="Z8428">
            <v>4.1100000000000003</v>
          </cell>
          <cell r="AA8428">
            <v>0</v>
          </cell>
          <cell r="AB8428">
            <v>0</v>
          </cell>
        </row>
        <row r="8429">
          <cell r="G8429" t="str">
            <v>683_1</v>
          </cell>
          <cell r="H8429" t="str">
            <v>the-of</v>
          </cell>
          <cell r="I8429" t="str">
            <v>sim</v>
          </cell>
          <cell r="V8429" t="str">
            <v>not neg pair</v>
          </cell>
          <cell r="Y8429" t="str">
            <v>Pres</v>
          </cell>
          <cell r="Z8429">
            <v>4.1100000000000003</v>
          </cell>
          <cell r="AA8429">
            <v>0</v>
          </cell>
          <cell r="AB8429">
            <v>0</v>
          </cell>
        </row>
        <row r="8430">
          <cell r="G8430" t="str">
            <v>687_0</v>
          </cell>
          <cell r="H8430" t="str">
            <v>as-as</v>
          </cell>
          <cell r="I8430" t="str">
            <v>sim</v>
          </cell>
          <cell r="V8430" t="str">
            <v>antonym</v>
          </cell>
          <cell r="Y8430" t="str">
            <v>Pres</v>
          </cell>
          <cell r="Z8430">
            <v>3.36</v>
          </cell>
          <cell r="AA8430">
            <v>0</v>
          </cell>
          <cell r="AB8430">
            <v>0</v>
          </cell>
        </row>
        <row r="8431">
          <cell r="G8431" t="str">
            <v>687_1</v>
          </cell>
          <cell r="H8431" t="str">
            <v>as-as</v>
          </cell>
          <cell r="I8431" t="str">
            <v>sim</v>
          </cell>
          <cell r="V8431" t="str">
            <v>antonym</v>
          </cell>
          <cell r="Y8431" t="str">
            <v>Pres</v>
          </cell>
          <cell r="Z8431">
            <v>3.36</v>
          </cell>
          <cell r="AA8431">
            <v>0</v>
          </cell>
          <cell r="AB8431">
            <v>0</v>
          </cell>
        </row>
        <row r="8432">
          <cell r="G8432" t="str">
            <v>688_0</v>
          </cell>
          <cell r="H8432" t="str">
            <v>like</v>
          </cell>
          <cell r="I8432" t="str">
            <v>sim</v>
          </cell>
          <cell r="V8432" t="str">
            <v>not neg pair</v>
          </cell>
          <cell r="Y8432" t="str">
            <v>Pres</v>
          </cell>
          <cell r="Z8432">
            <v>3.36</v>
          </cell>
          <cell r="AA8432">
            <v>0</v>
          </cell>
          <cell r="AB8432">
            <v>0</v>
          </cell>
        </row>
        <row r="8433">
          <cell r="G8433" t="str">
            <v>688_1</v>
          </cell>
          <cell r="H8433" t="str">
            <v>like</v>
          </cell>
          <cell r="I8433" t="str">
            <v>sim</v>
          </cell>
          <cell r="V8433" t="str">
            <v>not neg pair</v>
          </cell>
          <cell r="Y8433" t="str">
            <v>Pres</v>
          </cell>
          <cell r="Z8433">
            <v>3.36</v>
          </cell>
          <cell r="AA8433">
            <v>0</v>
          </cell>
          <cell r="AB8433">
            <v>0</v>
          </cell>
        </row>
        <row r="8434">
          <cell r="G8434" t="str">
            <v>689_0</v>
          </cell>
          <cell r="H8434" t="str">
            <v>as-as</v>
          </cell>
          <cell r="I8434" t="str">
            <v>sim</v>
          </cell>
          <cell r="V8434" t="str">
            <v>not</v>
          </cell>
          <cell r="Y8434" t="str">
            <v>Pres</v>
          </cell>
          <cell r="Z8434">
            <v>3.93</v>
          </cell>
          <cell r="AA8434">
            <v>0</v>
          </cell>
          <cell r="AB8434">
            <v>0</v>
          </cell>
        </row>
        <row r="8435">
          <cell r="G8435" t="str">
            <v>689_1</v>
          </cell>
          <cell r="H8435" t="str">
            <v>as-as</v>
          </cell>
          <cell r="I8435" t="str">
            <v>sim</v>
          </cell>
          <cell r="V8435" t="str">
            <v>not</v>
          </cell>
          <cell r="Y8435" t="str">
            <v>Pres</v>
          </cell>
          <cell r="Z8435">
            <v>3.93</v>
          </cell>
          <cell r="AA8435">
            <v>0</v>
          </cell>
          <cell r="AB8435">
            <v>0</v>
          </cell>
        </row>
        <row r="8436">
          <cell r="G8436" t="str">
            <v>690_0</v>
          </cell>
          <cell r="H8436" t="str">
            <v>the-of</v>
          </cell>
          <cell r="I8436" t="str">
            <v>sim</v>
          </cell>
          <cell r="V8436" t="str">
            <v>not neg pair</v>
          </cell>
          <cell r="Y8436" t="str">
            <v>Pres</v>
          </cell>
          <cell r="Z8436">
            <v>1.75</v>
          </cell>
          <cell r="AA8436" t="str">
            <v>L</v>
          </cell>
          <cell r="AB8436">
            <v>0</v>
          </cell>
        </row>
        <row r="8437">
          <cell r="G8437" t="str">
            <v>690_1</v>
          </cell>
          <cell r="H8437" t="str">
            <v>the-of</v>
          </cell>
          <cell r="I8437" t="str">
            <v>sim</v>
          </cell>
          <cell r="V8437" t="str">
            <v>not neg pair</v>
          </cell>
          <cell r="Y8437" t="str">
            <v>Pres</v>
          </cell>
          <cell r="Z8437">
            <v>1.75</v>
          </cell>
          <cell r="AA8437" t="str">
            <v>L</v>
          </cell>
          <cell r="AB8437">
            <v>0</v>
          </cell>
        </row>
        <row r="8438">
          <cell r="G8438" t="str">
            <v>693_0</v>
          </cell>
          <cell r="H8438" t="str">
            <v>like</v>
          </cell>
          <cell r="I8438" t="str">
            <v>sim</v>
          </cell>
          <cell r="V8438" t="str">
            <v>not neg pair</v>
          </cell>
          <cell r="Y8438" t="str">
            <v>Pres</v>
          </cell>
          <cell r="Z8438">
            <v>3.36</v>
          </cell>
          <cell r="AA8438">
            <v>0</v>
          </cell>
          <cell r="AB8438">
            <v>0</v>
          </cell>
        </row>
        <row r="8439">
          <cell r="G8439" t="str">
            <v>693_1</v>
          </cell>
          <cell r="H8439" t="str">
            <v>like</v>
          </cell>
          <cell r="I8439" t="str">
            <v>sim</v>
          </cell>
          <cell r="V8439" t="str">
            <v>not neg pair</v>
          </cell>
          <cell r="Y8439" t="str">
            <v>Pres</v>
          </cell>
          <cell r="Z8439">
            <v>3.36</v>
          </cell>
          <cell r="AA8439">
            <v>0</v>
          </cell>
          <cell r="AB8439">
            <v>0</v>
          </cell>
        </row>
        <row r="8440">
          <cell r="G8440" t="str">
            <v>694_0</v>
          </cell>
          <cell r="H8440" t="str">
            <v>like</v>
          </cell>
          <cell r="I8440" t="str">
            <v>sim</v>
          </cell>
          <cell r="V8440" t="str">
            <v>not</v>
          </cell>
          <cell r="Y8440" t="str">
            <v>Past</v>
          </cell>
          <cell r="Z8440">
            <v>2.72</v>
          </cell>
          <cell r="AA8440" t="str">
            <v>L</v>
          </cell>
          <cell r="AB8440">
            <v>0</v>
          </cell>
        </row>
        <row r="8441">
          <cell r="G8441" t="str">
            <v>694_1</v>
          </cell>
          <cell r="H8441" t="str">
            <v>like</v>
          </cell>
          <cell r="I8441" t="str">
            <v>sim</v>
          </cell>
          <cell r="V8441" t="str">
            <v>not</v>
          </cell>
          <cell r="Y8441" t="str">
            <v>Past</v>
          </cell>
          <cell r="Z8441">
            <v>2.72</v>
          </cell>
          <cell r="AA8441" t="str">
            <v>L</v>
          </cell>
          <cell r="AB8441">
            <v>0</v>
          </cell>
        </row>
        <row r="8442">
          <cell r="G8442" t="str">
            <v>707_0</v>
          </cell>
          <cell r="H8442" t="str">
            <v/>
          </cell>
          <cell r="I8442" t="str">
            <v>met</v>
          </cell>
          <cell r="V8442" t="str">
            <v>0</v>
          </cell>
          <cell r="Y8442" t="str">
            <v>Past</v>
          </cell>
          <cell r="Z8442">
            <v>3.79</v>
          </cell>
          <cell r="AA8442">
            <v>0</v>
          </cell>
          <cell r="AB8442">
            <v>0</v>
          </cell>
        </row>
        <row r="8443">
          <cell r="G8443" t="str">
            <v>707_1</v>
          </cell>
          <cell r="H8443" t="str">
            <v/>
          </cell>
          <cell r="I8443" t="str">
            <v>met</v>
          </cell>
          <cell r="V8443" t="str">
            <v>0</v>
          </cell>
          <cell r="Y8443" t="str">
            <v>Past</v>
          </cell>
          <cell r="Z8443">
            <v>3.79</v>
          </cell>
          <cell r="AA8443">
            <v>0</v>
          </cell>
          <cell r="AB8443">
            <v>0</v>
          </cell>
        </row>
        <row r="8444">
          <cell r="G8444" t="str">
            <v>708_0</v>
          </cell>
          <cell r="H8444" t="str">
            <v>like</v>
          </cell>
          <cell r="I8444" t="str">
            <v>sim</v>
          </cell>
          <cell r="V8444" t="str">
            <v>not neg pair</v>
          </cell>
          <cell r="Y8444" t="str">
            <v>Past</v>
          </cell>
          <cell r="Z8444">
            <v>2.72</v>
          </cell>
          <cell r="AA8444" t="str">
            <v>L</v>
          </cell>
          <cell r="AB8444">
            <v>0</v>
          </cell>
        </row>
        <row r="8445">
          <cell r="G8445" t="str">
            <v>708_1</v>
          </cell>
          <cell r="H8445" t="str">
            <v>like</v>
          </cell>
          <cell r="I8445" t="str">
            <v>sim</v>
          </cell>
          <cell r="V8445" t="str">
            <v>not neg pair</v>
          </cell>
          <cell r="Y8445" t="str">
            <v>Past</v>
          </cell>
          <cell r="Z8445">
            <v>2.72</v>
          </cell>
          <cell r="AA8445" t="str">
            <v>L</v>
          </cell>
          <cell r="AB8445">
            <v>0</v>
          </cell>
        </row>
        <row r="8446">
          <cell r="G8446" t="str">
            <v>712_0</v>
          </cell>
          <cell r="H8446" t="str">
            <v>like</v>
          </cell>
          <cell r="I8446" t="str">
            <v>sim</v>
          </cell>
          <cell r="V8446" t="str">
            <v>not neg pair</v>
          </cell>
          <cell r="Y8446" t="str">
            <v>Pres</v>
          </cell>
          <cell r="Z8446">
            <v>4.22</v>
          </cell>
          <cell r="AA8446">
            <v>0</v>
          </cell>
          <cell r="AB8446">
            <v>0</v>
          </cell>
        </row>
        <row r="8447">
          <cell r="G8447" t="str">
            <v>712_1</v>
          </cell>
          <cell r="H8447" t="str">
            <v>like</v>
          </cell>
          <cell r="I8447" t="str">
            <v>sim</v>
          </cell>
          <cell r="V8447" t="str">
            <v>not neg pair</v>
          </cell>
          <cell r="Y8447" t="str">
            <v>Pres</v>
          </cell>
          <cell r="Z8447">
            <v>4.22</v>
          </cell>
          <cell r="AA8447">
            <v>0</v>
          </cell>
          <cell r="AB8447">
            <v>0</v>
          </cell>
        </row>
        <row r="8448">
          <cell r="G8448" t="str">
            <v>714_0</v>
          </cell>
          <cell r="H8448" t="str">
            <v/>
          </cell>
          <cell r="I8448" t="str">
            <v>met</v>
          </cell>
          <cell r="V8448" t="str">
            <v>0</v>
          </cell>
          <cell r="Y8448" t="str">
            <v>Past</v>
          </cell>
          <cell r="Z8448">
            <v>2.72</v>
          </cell>
          <cell r="AA8448" t="str">
            <v>L</v>
          </cell>
          <cell r="AB8448">
            <v>0</v>
          </cell>
        </row>
        <row r="8449">
          <cell r="G8449" t="str">
            <v>714_1</v>
          </cell>
          <cell r="H8449" t="str">
            <v/>
          </cell>
          <cell r="I8449" t="str">
            <v>met</v>
          </cell>
          <cell r="V8449" t="str">
            <v>0</v>
          </cell>
          <cell r="Y8449" t="str">
            <v>Pres</v>
          </cell>
          <cell r="Z8449">
            <v>2.72</v>
          </cell>
          <cell r="AA8449" t="str">
            <v>L</v>
          </cell>
          <cell r="AB8449">
            <v>0</v>
          </cell>
        </row>
        <row r="8450">
          <cell r="G8450" t="str">
            <v>716_0</v>
          </cell>
          <cell r="H8450" t="str">
            <v/>
          </cell>
          <cell r="I8450" t="str">
            <v>met</v>
          </cell>
          <cell r="V8450" t="str">
            <v>0</v>
          </cell>
          <cell r="Y8450" t="str">
            <v>Past</v>
          </cell>
          <cell r="Z8450">
            <v>4.8</v>
          </cell>
          <cell r="AA8450">
            <v>0</v>
          </cell>
          <cell r="AB8450">
            <v>0</v>
          </cell>
        </row>
        <row r="8451">
          <cell r="G8451" t="str">
            <v>716_1</v>
          </cell>
          <cell r="H8451" t="str">
            <v/>
          </cell>
          <cell r="I8451" t="str">
            <v>met</v>
          </cell>
          <cell r="V8451" t="str">
            <v>0</v>
          </cell>
          <cell r="Y8451" t="str">
            <v>Past</v>
          </cell>
          <cell r="Z8451">
            <v>4.8</v>
          </cell>
          <cell r="AA8451">
            <v>0</v>
          </cell>
          <cell r="AB8451">
            <v>0</v>
          </cell>
        </row>
        <row r="8452">
          <cell r="G8452" t="str">
            <v>718_0</v>
          </cell>
          <cell r="H8452" t="str">
            <v/>
          </cell>
          <cell r="I8452" t="str">
            <v>met</v>
          </cell>
          <cell r="V8452" t="str">
            <v>0</v>
          </cell>
          <cell r="Y8452" t="str">
            <v>Pres</v>
          </cell>
          <cell r="Z8452">
            <v>4.87</v>
          </cell>
          <cell r="AA8452">
            <v>0</v>
          </cell>
          <cell r="AB8452">
            <v>0</v>
          </cell>
        </row>
        <row r="8453">
          <cell r="G8453" t="str">
            <v>718_1</v>
          </cell>
          <cell r="H8453" t="str">
            <v/>
          </cell>
          <cell r="I8453" t="str">
            <v>met</v>
          </cell>
          <cell r="V8453" t="str">
            <v>0</v>
          </cell>
          <cell r="Y8453" t="str">
            <v>Pres</v>
          </cell>
          <cell r="Z8453">
            <v>4.87</v>
          </cell>
          <cell r="AA8453">
            <v>0</v>
          </cell>
          <cell r="AB8453">
            <v>0</v>
          </cell>
        </row>
        <row r="8454">
          <cell r="G8454" t="str">
            <v>719_0</v>
          </cell>
          <cell r="H8454" t="str">
            <v/>
          </cell>
          <cell r="I8454" t="str">
            <v>met</v>
          </cell>
          <cell r="V8454" t="str">
            <v>0</v>
          </cell>
          <cell r="Y8454" t="str">
            <v>Pres</v>
          </cell>
          <cell r="Z8454">
            <v>4.71</v>
          </cell>
          <cell r="AA8454">
            <v>0</v>
          </cell>
          <cell r="AB8454">
            <v>0</v>
          </cell>
        </row>
        <row r="8455">
          <cell r="G8455" t="str">
            <v>719_1</v>
          </cell>
          <cell r="H8455" t="str">
            <v/>
          </cell>
          <cell r="I8455" t="str">
            <v>met</v>
          </cell>
          <cell r="V8455" t="str">
            <v>0</v>
          </cell>
          <cell r="Y8455" t="str">
            <v>Pres</v>
          </cell>
          <cell r="Z8455">
            <v>4.71</v>
          </cell>
          <cell r="AA8455">
            <v>0</v>
          </cell>
          <cell r="AB8455">
            <v>0</v>
          </cell>
        </row>
        <row r="8456">
          <cell r="G8456" t="str">
            <v>731_0</v>
          </cell>
          <cell r="H8456" t="str">
            <v/>
          </cell>
          <cell r="I8456" t="str">
            <v>met</v>
          </cell>
          <cell r="V8456" t="str">
            <v>0</v>
          </cell>
          <cell r="Y8456" t="str">
            <v>Past</v>
          </cell>
          <cell r="Z8456">
            <v>4.9000000000000004</v>
          </cell>
          <cell r="AA8456">
            <v>0</v>
          </cell>
          <cell r="AB8456">
            <v>0</v>
          </cell>
        </row>
        <row r="8457">
          <cell r="G8457" t="str">
            <v>731_1</v>
          </cell>
          <cell r="H8457" t="str">
            <v/>
          </cell>
          <cell r="I8457" t="str">
            <v>met</v>
          </cell>
          <cell r="V8457" t="str">
            <v>0</v>
          </cell>
          <cell r="Y8457" t="str">
            <v>Past</v>
          </cell>
          <cell r="Z8457">
            <v>4.9000000000000004</v>
          </cell>
          <cell r="AA8457">
            <v>0</v>
          </cell>
          <cell r="AB8457">
            <v>0</v>
          </cell>
        </row>
        <row r="8458">
          <cell r="G8458" t="str">
            <v>734_0</v>
          </cell>
          <cell r="H8458" t="str">
            <v>the-of</v>
          </cell>
          <cell r="I8458" t="str">
            <v>sim</v>
          </cell>
          <cell r="V8458" t="str">
            <v>not neg pair</v>
          </cell>
          <cell r="Y8458" t="str">
            <v>Pres</v>
          </cell>
          <cell r="Z8458">
            <v>3.36</v>
          </cell>
          <cell r="AA8458">
            <v>0</v>
          </cell>
          <cell r="AB8458">
            <v>0</v>
          </cell>
        </row>
        <row r="8459">
          <cell r="G8459" t="str">
            <v>734_1</v>
          </cell>
          <cell r="H8459" t="str">
            <v>the-of</v>
          </cell>
          <cell r="I8459" t="str">
            <v>sim</v>
          </cell>
          <cell r="V8459" t="str">
            <v>not neg pair</v>
          </cell>
          <cell r="Y8459" t="str">
            <v>Pres</v>
          </cell>
          <cell r="Z8459">
            <v>3.36</v>
          </cell>
          <cell r="AA8459">
            <v>0</v>
          </cell>
          <cell r="AB8459">
            <v>0</v>
          </cell>
        </row>
        <row r="8460">
          <cell r="G8460" t="str">
            <v>735_0</v>
          </cell>
          <cell r="H8460" t="str">
            <v>the-of</v>
          </cell>
          <cell r="I8460" t="str">
            <v>sim</v>
          </cell>
          <cell r="V8460" t="str">
            <v>not</v>
          </cell>
          <cell r="Y8460" t="str">
            <v>Pres</v>
          </cell>
          <cell r="Z8460">
            <v>4.3899999999999997</v>
          </cell>
          <cell r="AA8460">
            <v>0</v>
          </cell>
          <cell r="AB8460">
            <v>0</v>
          </cell>
        </row>
        <row r="8461">
          <cell r="G8461" t="str">
            <v>735_1</v>
          </cell>
          <cell r="H8461" t="str">
            <v>the-of</v>
          </cell>
          <cell r="I8461" t="str">
            <v>sim</v>
          </cell>
          <cell r="V8461" t="str">
            <v>not</v>
          </cell>
          <cell r="Y8461" t="str">
            <v>Pres</v>
          </cell>
          <cell r="Z8461">
            <v>4.3899999999999997</v>
          </cell>
          <cell r="AA8461">
            <v>0</v>
          </cell>
          <cell r="AB8461">
            <v>0</v>
          </cell>
        </row>
        <row r="8462">
          <cell r="G8462" t="str">
            <v>736_0</v>
          </cell>
          <cell r="H8462" t="str">
            <v>as-as</v>
          </cell>
          <cell r="I8462" t="str">
            <v>sim</v>
          </cell>
          <cell r="V8462" t="str">
            <v>not neg pair</v>
          </cell>
          <cell r="Y8462" t="str">
            <v>Pres</v>
          </cell>
          <cell r="Z8462">
            <v>4.88</v>
          </cell>
          <cell r="AA8462">
            <v>0</v>
          </cell>
          <cell r="AB8462">
            <v>0</v>
          </cell>
        </row>
        <row r="8463">
          <cell r="G8463" t="str">
            <v>736_1</v>
          </cell>
          <cell r="H8463" t="str">
            <v>as-as</v>
          </cell>
          <cell r="I8463" t="str">
            <v>sim</v>
          </cell>
          <cell r="V8463" t="str">
            <v>not neg pair</v>
          </cell>
          <cell r="Y8463" t="str">
            <v>Pres</v>
          </cell>
          <cell r="Z8463">
            <v>4.88</v>
          </cell>
          <cell r="AA8463">
            <v>0</v>
          </cell>
          <cell r="AB8463">
            <v>0</v>
          </cell>
        </row>
        <row r="8464">
          <cell r="G8464" t="str">
            <v>740_0</v>
          </cell>
          <cell r="H8464" t="str">
            <v>as-as</v>
          </cell>
          <cell r="I8464" t="str">
            <v>sim</v>
          </cell>
          <cell r="V8464" t="str">
            <v>antonym</v>
          </cell>
          <cell r="Y8464" t="str">
            <v>Pres</v>
          </cell>
          <cell r="Z8464">
            <v>4.46</v>
          </cell>
          <cell r="AA8464">
            <v>0</v>
          </cell>
          <cell r="AB8464">
            <v>0</v>
          </cell>
        </row>
        <row r="8465">
          <cell r="G8465" t="str">
            <v>740_1</v>
          </cell>
          <cell r="H8465" t="str">
            <v>as-as</v>
          </cell>
          <cell r="I8465" t="str">
            <v>sim</v>
          </cell>
          <cell r="V8465" t="str">
            <v>antonym</v>
          </cell>
          <cell r="Y8465" t="str">
            <v>Pres</v>
          </cell>
          <cell r="Z8465">
            <v>4.46</v>
          </cell>
          <cell r="AA8465">
            <v>0</v>
          </cell>
          <cell r="AB8465">
            <v>0</v>
          </cell>
        </row>
        <row r="8466">
          <cell r="G8466" t="str">
            <v>744_0</v>
          </cell>
          <cell r="H8466" t="str">
            <v/>
          </cell>
          <cell r="I8466" t="str">
            <v>met</v>
          </cell>
          <cell r="V8466" t="str">
            <v>0</v>
          </cell>
          <cell r="Y8466" t="str">
            <v>Pres</v>
          </cell>
          <cell r="Z8466">
            <v>3.7</v>
          </cell>
          <cell r="AA8466">
            <v>0</v>
          </cell>
          <cell r="AB8466">
            <v>0</v>
          </cell>
        </row>
        <row r="8467">
          <cell r="G8467" t="str">
            <v>744_1</v>
          </cell>
          <cell r="H8467" t="str">
            <v/>
          </cell>
          <cell r="I8467" t="str">
            <v>met</v>
          </cell>
          <cell r="V8467" t="str">
            <v>0</v>
          </cell>
          <cell r="Y8467" t="str">
            <v>Pres</v>
          </cell>
          <cell r="Z8467">
            <v>3.7</v>
          </cell>
          <cell r="AA8467">
            <v>0</v>
          </cell>
          <cell r="AB8467">
            <v>0</v>
          </cell>
        </row>
        <row r="8468">
          <cell r="G8468" t="str">
            <v>749_0</v>
          </cell>
          <cell r="H8468" t="str">
            <v>the-of</v>
          </cell>
          <cell r="I8468" t="str">
            <v>sim</v>
          </cell>
          <cell r="V8468" t="str">
            <v>not neg pair</v>
          </cell>
          <cell r="Y8468" t="str">
            <v>Pres</v>
          </cell>
          <cell r="Z8468">
            <v>4.3899999999999997</v>
          </cell>
          <cell r="AA8468">
            <v>0</v>
          </cell>
          <cell r="AB8468">
            <v>0</v>
          </cell>
        </row>
        <row r="8469">
          <cell r="G8469" t="str">
            <v>749_1</v>
          </cell>
          <cell r="H8469" t="str">
            <v>the-of</v>
          </cell>
          <cell r="I8469" t="str">
            <v>sim</v>
          </cell>
          <cell r="V8469" t="str">
            <v>not neg pair</v>
          </cell>
          <cell r="Y8469" t="str">
            <v>Pres</v>
          </cell>
          <cell r="Z8469">
            <v>4.3899999999999997</v>
          </cell>
          <cell r="AA8469">
            <v>0</v>
          </cell>
          <cell r="AB8469">
            <v>0</v>
          </cell>
        </row>
        <row r="8470">
          <cell r="G8470" t="str">
            <v>754_0</v>
          </cell>
          <cell r="H8470" t="str">
            <v/>
          </cell>
          <cell r="I8470" t="str">
            <v>met</v>
          </cell>
          <cell r="V8470" t="str">
            <v>0</v>
          </cell>
          <cell r="Y8470" t="str">
            <v>Pres</v>
          </cell>
          <cell r="Z8470">
            <v>4.8600000000000003</v>
          </cell>
          <cell r="AA8470">
            <v>0</v>
          </cell>
          <cell r="AB8470">
            <v>0</v>
          </cell>
        </row>
        <row r="8471">
          <cell r="G8471" t="str">
            <v>754_1</v>
          </cell>
          <cell r="H8471" t="str">
            <v>as-as</v>
          </cell>
          <cell r="I8471" t="str">
            <v>sim</v>
          </cell>
          <cell r="V8471" t="str">
            <v>0</v>
          </cell>
          <cell r="Y8471" t="str">
            <v>Pres</v>
          </cell>
          <cell r="Z8471">
            <v>4.8600000000000003</v>
          </cell>
          <cell r="AA8471">
            <v>0</v>
          </cell>
          <cell r="AB8471">
            <v>0</v>
          </cell>
        </row>
        <row r="8472">
          <cell r="G8472" t="str">
            <v>755_0</v>
          </cell>
          <cell r="H8472" t="str">
            <v>as-as</v>
          </cell>
          <cell r="I8472" t="str">
            <v>sim</v>
          </cell>
          <cell r="V8472" t="str">
            <v>0</v>
          </cell>
          <cell r="Y8472" t="str">
            <v>Past</v>
          </cell>
          <cell r="Z8472">
            <v>3.85</v>
          </cell>
          <cell r="AA8472">
            <v>0</v>
          </cell>
          <cell r="AB8472">
            <v>0</v>
          </cell>
        </row>
        <row r="8473">
          <cell r="G8473" t="str">
            <v>755_1</v>
          </cell>
          <cell r="H8473" t="str">
            <v/>
          </cell>
          <cell r="I8473" t="str">
            <v>met</v>
          </cell>
          <cell r="V8473" t="str">
            <v>0</v>
          </cell>
          <cell r="Y8473" t="str">
            <v>Past</v>
          </cell>
          <cell r="Z8473">
            <v>3.85</v>
          </cell>
          <cell r="AA8473">
            <v>0</v>
          </cell>
          <cell r="AB8473">
            <v>0</v>
          </cell>
        </row>
        <row r="8474">
          <cell r="G8474" t="str">
            <v>757_0</v>
          </cell>
          <cell r="H8474" t="str">
            <v/>
          </cell>
          <cell r="I8474" t="str">
            <v>met</v>
          </cell>
          <cell r="V8474" t="str">
            <v>0</v>
          </cell>
          <cell r="Y8474" t="str">
            <v>Past</v>
          </cell>
          <cell r="Z8474">
            <v>3.93</v>
          </cell>
          <cell r="AA8474">
            <v>0</v>
          </cell>
          <cell r="AB8474">
            <v>0</v>
          </cell>
        </row>
        <row r="8475">
          <cell r="G8475" t="str">
            <v>757_1</v>
          </cell>
          <cell r="H8475" t="str">
            <v/>
          </cell>
          <cell r="I8475" t="str">
            <v>met</v>
          </cell>
          <cell r="V8475" t="str">
            <v>0</v>
          </cell>
          <cell r="Y8475" t="str">
            <v>Past</v>
          </cell>
          <cell r="Z8475">
            <v>4.13</v>
          </cell>
          <cell r="AA8475">
            <v>0</v>
          </cell>
          <cell r="AB8475">
            <v>0</v>
          </cell>
        </row>
        <row r="8476">
          <cell r="G8476" t="str">
            <v>758_0</v>
          </cell>
          <cell r="H8476" t="str">
            <v/>
          </cell>
          <cell r="I8476" t="str">
            <v>met</v>
          </cell>
          <cell r="V8476" t="str">
            <v>0</v>
          </cell>
          <cell r="Y8476" t="str">
            <v>Past</v>
          </cell>
          <cell r="Z8476">
            <v>0</v>
          </cell>
          <cell r="AA8476">
            <v>0</v>
          </cell>
          <cell r="AB8476">
            <v>0</v>
          </cell>
        </row>
        <row r="8477">
          <cell r="G8477" t="str">
            <v>758_1</v>
          </cell>
          <cell r="H8477" t="str">
            <v/>
          </cell>
          <cell r="I8477" t="str">
            <v>met</v>
          </cell>
          <cell r="V8477" t="str">
            <v>0</v>
          </cell>
          <cell r="Y8477" t="str">
            <v>Pres</v>
          </cell>
          <cell r="Z8477">
            <v>5</v>
          </cell>
          <cell r="AA8477" t="str">
            <v>H</v>
          </cell>
          <cell r="AB8477">
            <v>0</v>
          </cell>
        </row>
        <row r="8478">
          <cell r="G8478" t="str">
            <v>764_0</v>
          </cell>
          <cell r="H8478" t="str">
            <v>as-as</v>
          </cell>
          <cell r="I8478" t="str">
            <v>sim</v>
          </cell>
          <cell r="V8478" t="str">
            <v>not neg pair</v>
          </cell>
          <cell r="Y8478" t="str">
            <v>Past</v>
          </cell>
          <cell r="Z8478">
            <v>4.79</v>
          </cell>
          <cell r="AA8478">
            <v>0</v>
          </cell>
          <cell r="AB8478">
            <v>0</v>
          </cell>
        </row>
        <row r="8479">
          <cell r="G8479" t="str">
            <v>764_1</v>
          </cell>
          <cell r="H8479" t="str">
            <v>as-as</v>
          </cell>
          <cell r="I8479" t="str">
            <v>sim</v>
          </cell>
          <cell r="V8479" t="str">
            <v>not neg pair</v>
          </cell>
          <cell r="Y8479" t="str">
            <v>Past</v>
          </cell>
          <cell r="Z8479">
            <v>4.79</v>
          </cell>
          <cell r="AA8479">
            <v>0</v>
          </cell>
          <cell r="AB8479">
            <v>0</v>
          </cell>
        </row>
        <row r="8480">
          <cell r="G8480" t="str">
            <v>768_0</v>
          </cell>
          <cell r="H8480" t="str">
            <v/>
          </cell>
          <cell r="I8480" t="str">
            <v>met</v>
          </cell>
          <cell r="V8480" t="str">
            <v>0</v>
          </cell>
          <cell r="Y8480" t="str">
            <v>Pres</v>
          </cell>
          <cell r="Z8480">
            <v>4.87</v>
          </cell>
          <cell r="AA8480">
            <v>0</v>
          </cell>
          <cell r="AB8480">
            <v>0</v>
          </cell>
        </row>
        <row r="8481">
          <cell r="G8481" t="str">
            <v>768_1</v>
          </cell>
          <cell r="H8481" t="str">
            <v/>
          </cell>
          <cell r="I8481" t="str">
            <v>met</v>
          </cell>
          <cell r="V8481" t="str">
            <v>0</v>
          </cell>
          <cell r="Y8481" t="str">
            <v>Pres</v>
          </cell>
          <cell r="Z8481">
            <v>4.87</v>
          </cell>
          <cell r="AA8481">
            <v>0</v>
          </cell>
          <cell r="AB8481">
            <v>0</v>
          </cell>
        </row>
        <row r="8482">
          <cell r="G8482" t="str">
            <v>769_0</v>
          </cell>
          <cell r="H8482" t="str">
            <v/>
          </cell>
          <cell r="I8482" t="str">
            <v>met</v>
          </cell>
          <cell r="V8482" t="str">
            <v>0</v>
          </cell>
          <cell r="Y8482" t="str">
            <v>Pres</v>
          </cell>
          <cell r="Z8482">
            <v>4.5199999999999996</v>
          </cell>
          <cell r="AA8482">
            <v>0</v>
          </cell>
          <cell r="AB8482">
            <v>0</v>
          </cell>
        </row>
        <row r="8483">
          <cell r="G8483" t="str">
            <v>769_1</v>
          </cell>
          <cell r="H8483" t="str">
            <v/>
          </cell>
          <cell r="I8483" t="str">
            <v>met</v>
          </cell>
          <cell r="V8483" t="str">
            <v>0</v>
          </cell>
          <cell r="Y8483" t="str">
            <v>Pres</v>
          </cell>
          <cell r="Z8483">
            <v>4.5199999999999996</v>
          </cell>
          <cell r="AA8483">
            <v>0</v>
          </cell>
          <cell r="AB8483">
            <v>0</v>
          </cell>
        </row>
        <row r="8484">
          <cell r="G8484" t="str">
            <v>772_0</v>
          </cell>
          <cell r="H8484" t="str">
            <v/>
          </cell>
          <cell r="I8484" t="str">
            <v>met</v>
          </cell>
          <cell r="V8484" t="str">
            <v>0</v>
          </cell>
          <cell r="Y8484" t="str">
            <v>Pres</v>
          </cell>
          <cell r="Z8484">
            <v>4.25</v>
          </cell>
          <cell r="AA8484">
            <v>0</v>
          </cell>
          <cell r="AB8484">
            <v>0</v>
          </cell>
        </row>
        <row r="8485">
          <cell r="G8485" t="str">
            <v>772_1</v>
          </cell>
          <cell r="H8485" t="str">
            <v/>
          </cell>
          <cell r="I8485" t="str">
            <v>met</v>
          </cell>
          <cell r="V8485" t="str">
            <v>0</v>
          </cell>
          <cell r="Y8485" t="str">
            <v>Pres</v>
          </cell>
          <cell r="Z8485">
            <v>4.25</v>
          </cell>
          <cell r="AA8485">
            <v>0</v>
          </cell>
          <cell r="AB8485">
            <v>0</v>
          </cell>
        </row>
        <row r="8486">
          <cell r="G8486" t="str">
            <v>780_0</v>
          </cell>
          <cell r="H8486" t="str">
            <v/>
          </cell>
          <cell r="I8486" t="str">
            <v>met</v>
          </cell>
          <cell r="V8486" t="str">
            <v>0</v>
          </cell>
          <cell r="Y8486" t="str">
            <v>Past</v>
          </cell>
          <cell r="Z8486">
            <v>4.9000000000000004</v>
          </cell>
          <cell r="AA8486">
            <v>0</v>
          </cell>
          <cell r="AB8486">
            <v>0</v>
          </cell>
        </row>
        <row r="8487">
          <cell r="G8487" t="str">
            <v>780_1</v>
          </cell>
          <cell r="H8487" t="str">
            <v/>
          </cell>
          <cell r="I8487" t="str">
            <v>met</v>
          </cell>
          <cell r="V8487" t="str">
            <v>0</v>
          </cell>
          <cell r="Y8487" t="str">
            <v>Past</v>
          </cell>
          <cell r="Z8487">
            <v>4.9000000000000004</v>
          </cell>
          <cell r="AA8487">
            <v>0</v>
          </cell>
          <cell r="AB8487">
            <v>0</v>
          </cell>
        </row>
        <row r="8488">
          <cell r="G8488" t="str">
            <v>785_0</v>
          </cell>
          <cell r="H8488" t="str">
            <v/>
          </cell>
          <cell r="I8488" t="str">
            <v>met</v>
          </cell>
          <cell r="V8488" t="str">
            <v>0</v>
          </cell>
          <cell r="Y8488" t="str">
            <v>Past</v>
          </cell>
          <cell r="Z8488">
            <v>4.79</v>
          </cell>
          <cell r="AA8488">
            <v>0</v>
          </cell>
          <cell r="AB8488">
            <v>0</v>
          </cell>
        </row>
        <row r="8489">
          <cell r="G8489" t="str">
            <v>785_1</v>
          </cell>
          <cell r="H8489" t="str">
            <v/>
          </cell>
          <cell r="I8489" t="str">
            <v>met</v>
          </cell>
          <cell r="V8489" t="str">
            <v>0</v>
          </cell>
          <cell r="Y8489" t="str">
            <v>Past</v>
          </cell>
          <cell r="Z8489">
            <v>4.79</v>
          </cell>
          <cell r="AA8489">
            <v>0</v>
          </cell>
          <cell r="AB8489">
            <v>0</v>
          </cell>
        </row>
        <row r="8490">
          <cell r="G8490" t="str">
            <v>789_0</v>
          </cell>
          <cell r="H8490" t="str">
            <v/>
          </cell>
          <cell r="I8490" t="str">
            <v>met</v>
          </cell>
          <cell r="V8490" t="str">
            <v>0</v>
          </cell>
          <cell r="Y8490" t="str">
            <v>Past</v>
          </cell>
          <cell r="Z8490">
            <v>2.5</v>
          </cell>
          <cell r="AA8490" t="str">
            <v>L</v>
          </cell>
          <cell r="AB8490">
            <v>0</v>
          </cell>
        </row>
        <row r="8491">
          <cell r="G8491" t="str">
            <v>789_1</v>
          </cell>
          <cell r="H8491" t="str">
            <v/>
          </cell>
          <cell r="I8491" t="str">
            <v>met</v>
          </cell>
          <cell r="V8491" t="str">
            <v>0</v>
          </cell>
          <cell r="Y8491" t="str">
            <v>Past</v>
          </cell>
          <cell r="Z8491">
            <v>2.5</v>
          </cell>
          <cell r="AA8491" t="str">
            <v>L</v>
          </cell>
          <cell r="AB8491">
            <v>0</v>
          </cell>
        </row>
        <row r="8492">
          <cell r="G8492" t="str">
            <v>791_0</v>
          </cell>
          <cell r="H8492" t="str">
            <v>as-as</v>
          </cell>
          <cell r="I8492" t="str">
            <v>sim</v>
          </cell>
          <cell r="V8492" t="str">
            <v>not</v>
          </cell>
          <cell r="Y8492" t="str">
            <v>Past</v>
          </cell>
          <cell r="Z8492">
            <v>4.79</v>
          </cell>
          <cell r="AA8492">
            <v>0</v>
          </cell>
          <cell r="AB8492">
            <v>0</v>
          </cell>
        </row>
        <row r="8493">
          <cell r="G8493" t="str">
            <v>791_1</v>
          </cell>
          <cell r="H8493" t="str">
            <v>as-as</v>
          </cell>
          <cell r="I8493" t="str">
            <v>sim</v>
          </cell>
          <cell r="V8493" t="str">
            <v>not</v>
          </cell>
          <cell r="Y8493" t="str">
            <v>Past</v>
          </cell>
          <cell r="Z8493">
            <v>4.79</v>
          </cell>
          <cell r="AA8493">
            <v>0</v>
          </cell>
          <cell r="AB8493">
            <v>0</v>
          </cell>
        </row>
        <row r="8494">
          <cell r="G8494" t="str">
            <v>792_0</v>
          </cell>
          <cell r="H8494" t="str">
            <v>as-as</v>
          </cell>
          <cell r="I8494" t="str">
            <v>sim</v>
          </cell>
          <cell r="V8494" t="str">
            <v>not</v>
          </cell>
          <cell r="Y8494" t="str">
            <v>Past</v>
          </cell>
          <cell r="Z8494">
            <v>4.79</v>
          </cell>
          <cell r="AA8494">
            <v>0</v>
          </cell>
          <cell r="AB8494">
            <v>0</v>
          </cell>
        </row>
        <row r="8495">
          <cell r="G8495" t="str">
            <v>792_1</v>
          </cell>
          <cell r="H8495" t="str">
            <v>as-as</v>
          </cell>
          <cell r="I8495" t="str">
            <v>sim</v>
          </cell>
          <cell r="V8495" t="str">
            <v>not</v>
          </cell>
          <cell r="Y8495" t="str">
            <v>Past</v>
          </cell>
          <cell r="Z8495">
            <v>4.79</v>
          </cell>
          <cell r="AA8495">
            <v>0</v>
          </cell>
          <cell r="AB8495">
            <v>0</v>
          </cell>
        </row>
        <row r="8496">
          <cell r="G8496" t="str">
            <v>797_0</v>
          </cell>
          <cell r="H8496" t="str">
            <v>like</v>
          </cell>
          <cell r="I8496" t="str">
            <v>sim</v>
          </cell>
          <cell r="V8496" t="str">
            <v>not neg pair</v>
          </cell>
          <cell r="Y8496" t="str">
            <v>Past</v>
          </cell>
          <cell r="Z8496">
            <v>3.93</v>
          </cell>
          <cell r="AA8496">
            <v>0</v>
          </cell>
          <cell r="AB8496">
            <v>0</v>
          </cell>
        </row>
        <row r="8497">
          <cell r="G8497" t="str">
            <v>797_1</v>
          </cell>
          <cell r="H8497" t="str">
            <v>like</v>
          </cell>
          <cell r="I8497" t="str">
            <v>sim</v>
          </cell>
          <cell r="V8497" t="str">
            <v>not neg pair</v>
          </cell>
          <cell r="Y8497" t="str">
            <v>Past</v>
          </cell>
          <cell r="Z8497">
            <v>3.93</v>
          </cell>
          <cell r="AA8497">
            <v>0</v>
          </cell>
          <cell r="AB8497">
            <v>0</v>
          </cell>
        </row>
        <row r="8498">
          <cell r="G8498" t="str">
            <v>798_0</v>
          </cell>
          <cell r="H8498" t="str">
            <v>as-as</v>
          </cell>
          <cell r="I8498" t="str">
            <v>sim</v>
          </cell>
          <cell r="V8498" t="str">
            <v>not</v>
          </cell>
          <cell r="Y8498" t="str">
            <v>Pres</v>
          </cell>
          <cell r="Z8498">
            <v>2.81</v>
          </cell>
          <cell r="AA8498">
            <v>0</v>
          </cell>
          <cell r="AB8498">
            <v>0</v>
          </cell>
        </row>
        <row r="8499">
          <cell r="G8499" t="str">
            <v>798_1</v>
          </cell>
          <cell r="H8499" t="str">
            <v>as-as</v>
          </cell>
          <cell r="I8499" t="str">
            <v>sim</v>
          </cell>
          <cell r="V8499" t="str">
            <v>not</v>
          </cell>
          <cell r="Y8499" t="str">
            <v>Pres</v>
          </cell>
          <cell r="Z8499">
            <v>2.81</v>
          </cell>
          <cell r="AA8499">
            <v>0</v>
          </cell>
          <cell r="AB8499">
            <v>0</v>
          </cell>
        </row>
        <row r="8500">
          <cell r="G8500" t="str">
            <v>802_0</v>
          </cell>
          <cell r="H8500" t="str">
            <v>as</v>
          </cell>
          <cell r="I8500" t="str">
            <v>sim</v>
          </cell>
          <cell r="V8500" t="str">
            <v>not neg pair</v>
          </cell>
          <cell r="Y8500" t="str">
            <v>Pres</v>
          </cell>
          <cell r="Z8500">
            <v>5</v>
          </cell>
          <cell r="AA8500" t="str">
            <v>H</v>
          </cell>
          <cell r="AB8500">
            <v>0</v>
          </cell>
        </row>
        <row r="8501">
          <cell r="G8501" t="str">
            <v>802_1</v>
          </cell>
          <cell r="H8501" t="str">
            <v>as</v>
          </cell>
          <cell r="I8501" t="str">
            <v>sim</v>
          </cell>
          <cell r="V8501" t="str">
            <v>not neg pair</v>
          </cell>
          <cell r="Y8501" t="str">
            <v>Pres</v>
          </cell>
          <cell r="Z8501">
            <v>5</v>
          </cell>
          <cell r="AA8501" t="str">
            <v>H</v>
          </cell>
          <cell r="AB8501">
            <v>0</v>
          </cell>
        </row>
        <row r="8502">
          <cell r="G8502" t="str">
            <v>803_0</v>
          </cell>
          <cell r="H8502" t="str">
            <v>like</v>
          </cell>
          <cell r="I8502" t="str">
            <v>sim</v>
          </cell>
          <cell r="V8502" t="str">
            <v>not neg pair</v>
          </cell>
          <cell r="Y8502" t="str">
            <v>Past</v>
          </cell>
          <cell r="Z8502">
            <v>4.93</v>
          </cell>
          <cell r="AA8502" t="str">
            <v>H</v>
          </cell>
          <cell r="AB8502">
            <v>0</v>
          </cell>
        </row>
        <row r="8503">
          <cell r="G8503" t="str">
            <v>803_1</v>
          </cell>
          <cell r="H8503" t="str">
            <v>like</v>
          </cell>
          <cell r="I8503" t="str">
            <v>sim</v>
          </cell>
          <cell r="V8503" t="str">
            <v>not neg pair</v>
          </cell>
          <cell r="Y8503" t="str">
            <v>Past</v>
          </cell>
          <cell r="Z8503">
            <v>4.93</v>
          </cell>
          <cell r="AA8503" t="str">
            <v>H</v>
          </cell>
          <cell r="AB8503">
            <v>0</v>
          </cell>
        </row>
        <row r="8504">
          <cell r="G8504" t="str">
            <v>806_0</v>
          </cell>
          <cell r="H8504" t="str">
            <v>the-of</v>
          </cell>
          <cell r="I8504" t="str">
            <v>sim</v>
          </cell>
          <cell r="V8504" t="str">
            <v>not neg pair</v>
          </cell>
          <cell r="Y8504" t="str">
            <v>Pres</v>
          </cell>
          <cell r="Z8504">
            <v>3.08</v>
          </cell>
          <cell r="AA8504">
            <v>0</v>
          </cell>
          <cell r="AB8504">
            <v>0</v>
          </cell>
        </row>
        <row r="8505">
          <cell r="G8505" t="str">
            <v>806_1</v>
          </cell>
          <cell r="H8505" t="str">
            <v>the-of</v>
          </cell>
          <cell r="I8505" t="str">
            <v>sim</v>
          </cell>
          <cell r="V8505" t="str">
            <v>not neg pair</v>
          </cell>
          <cell r="Y8505" t="str">
            <v>Pres</v>
          </cell>
          <cell r="Z8505">
            <v>3.08</v>
          </cell>
          <cell r="AA8505">
            <v>0</v>
          </cell>
          <cell r="AB8505">
            <v>0</v>
          </cell>
        </row>
        <row r="8506">
          <cell r="G8506" t="str">
            <v>808_0</v>
          </cell>
          <cell r="H8506" t="str">
            <v>the-of</v>
          </cell>
          <cell r="I8506" t="str">
            <v>sim</v>
          </cell>
          <cell r="V8506" t="str">
            <v>not neg pair</v>
          </cell>
          <cell r="Y8506" t="str">
            <v>Pres</v>
          </cell>
          <cell r="Z8506">
            <v>2.04</v>
          </cell>
          <cell r="AA8506" t="str">
            <v>L</v>
          </cell>
          <cell r="AB8506">
            <v>0</v>
          </cell>
        </row>
        <row r="8507">
          <cell r="G8507" t="str">
            <v>808_1</v>
          </cell>
          <cell r="H8507" t="str">
            <v>the-of</v>
          </cell>
          <cell r="I8507" t="str">
            <v>sim</v>
          </cell>
          <cell r="V8507" t="str">
            <v>not neg pair</v>
          </cell>
          <cell r="Y8507" t="str">
            <v>Pres</v>
          </cell>
          <cell r="Z8507">
            <v>2.04</v>
          </cell>
          <cell r="AA8507" t="str">
            <v>L</v>
          </cell>
          <cell r="AB8507">
            <v>0</v>
          </cell>
        </row>
        <row r="8508">
          <cell r="G8508" t="str">
            <v>809_0</v>
          </cell>
          <cell r="H8508" t="str">
            <v/>
          </cell>
          <cell r="I8508" t="str">
            <v>met</v>
          </cell>
          <cell r="V8508" t="str">
            <v>0</v>
          </cell>
          <cell r="Y8508" t="str">
            <v>Pres</v>
          </cell>
          <cell r="Z8508">
            <v>4.75</v>
          </cell>
          <cell r="AA8508">
            <v>0</v>
          </cell>
          <cell r="AB8508">
            <v>0</v>
          </cell>
        </row>
        <row r="8509">
          <cell r="G8509" t="str">
            <v>809_1</v>
          </cell>
          <cell r="H8509" t="str">
            <v/>
          </cell>
          <cell r="I8509" t="str">
            <v>met</v>
          </cell>
          <cell r="V8509" t="str">
            <v>0</v>
          </cell>
          <cell r="Y8509" t="str">
            <v>Pres</v>
          </cell>
          <cell r="Z8509">
            <v>4.75</v>
          </cell>
          <cell r="AA8509">
            <v>0</v>
          </cell>
          <cell r="AB8509">
            <v>0</v>
          </cell>
        </row>
        <row r="8510">
          <cell r="G8510" t="str">
            <v>811_0</v>
          </cell>
          <cell r="H8510" t="str">
            <v>like</v>
          </cell>
          <cell r="I8510" t="str">
            <v>sim</v>
          </cell>
          <cell r="V8510" t="str">
            <v>not neg pair</v>
          </cell>
          <cell r="Y8510" t="str">
            <v>Past</v>
          </cell>
          <cell r="Z8510">
            <v>4.9000000000000004</v>
          </cell>
          <cell r="AA8510">
            <v>0</v>
          </cell>
          <cell r="AB8510">
            <v>0</v>
          </cell>
        </row>
        <row r="8511">
          <cell r="G8511" t="str">
            <v>811_1</v>
          </cell>
          <cell r="H8511" t="str">
            <v>like</v>
          </cell>
          <cell r="I8511" t="str">
            <v>sim</v>
          </cell>
          <cell r="V8511" t="str">
            <v>not neg pair</v>
          </cell>
          <cell r="Y8511" t="str">
            <v>Past</v>
          </cell>
          <cell r="Z8511">
            <v>4.9000000000000004</v>
          </cell>
          <cell r="AA8511">
            <v>0</v>
          </cell>
          <cell r="AB8511">
            <v>0</v>
          </cell>
        </row>
        <row r="8512">
          <cell r="G8512" t="str">
            <v>814_0</v>
          </cell>
          <cell r="H8512" t="str">
            <v>as-as</v>
          </cell>
          <cell r="I8512" t="str">
            <v>sim</v>
          </cell>
          <cell r="V8512" t="str">
            <v>not neg pair</v>
          </cell>
          <cell r="Y8512" t="str">
            <v>Pres</v>
          </cell>
          <cell r="Z8512">
            <v>0</v>
          </cell>
          <cell r="AA8512">
            <v>0</v>
          </cell>
          <cell r="AB8512">
            <v>0</v>
          </cell>
        </row>
        <row r="8513">
          <cell r="G8513" t="str">
            <v>814_1</v>
          </cell>
          <cell r="H8513" t="str">
            <v>as-as</v>
          </cell>
          <cell r="I8513" t="str">
            <v>sim</v>
          </cell>
          <cell r="V8513" t="str">
            <v>not neg pair</v>
          </cell>
          <cell r="Y8513" t="str">
            <v>Pres</v>
          </cell>
          <cell r="Z8513">
            <v>0</v>
          </cell>
          <cell r="AA8513">
            <v>0</v>
          </cell>
          <cell r="AB8513">
            <v>0</v>
          </cell>
        </row>
        <row r="8514">
          <cell r="G8514" t="str">
            <v>823_0</v>
          </cell>
          <cell r="H8514" t="str">
            <v>the-of</v>
          </cell>
          <cell r="I8514" t="str">
            <v>sim</v>
          </cell>
          <cell r="V8514" t="str">
            <v>not</v>
          </cell>
          <cell r="Y8514" t="str">
            <v>Pres</v>
          </cell>
          <cell r="Z8514">
            <v>2.04</v>
          </cell>
          <cell r="AA8514" t="str">
            <v>L</v>
          </cell>
          <cell r="AB8514">
            <v>0</v>
          </cell>
        </row>
        <row r="8515">
          <cell r="G8515" t="str">
            <v>823_1</v>
          </cell>
          <cell r="H8515" t="str">
            <v>the-of</v>
          </cell>
          <cell r="I8515" t="str">
            <v>sim</v>
          </cell>
          <cell r="V8515" t="str">
            <v>not</v>
          </cell>
          <cell r="Y8515" t="str">
            <v>Pres</v>
          </cell>
          <cell r="Z8515">
            <v>2.04</v>
          </cell>
          <cell r="AA8515" t="str">
            <v>L</v>
          </cell>
          <cell r="AB8515">
            <v>0</v>
          </cell>
        </row>
        <row r="8516">
          <cell r="G8516" t="str">
            <v>825_0</v>
          </cell>
          <cell r="H8516" t="str">
            <v>the-of</v>
          </cell>
          <cell r="I8516" t="str">
            <v>sim</v>
          </cell>
          <cell r="V8516" t="str">
            <v>not</v>
          </cell>
          <cell r="Y8516" t="str">
            <v>Pres</v>
          </cell>
          <cell r="Z8516">
            <v>3.36</v>
          </cell>
          <cell r="AA8516">
            <v>0</v>
          </cell>
          <cell r="AB8516">
            <v>0</v>
          </cell>
        </row>
        <row r="8517">
          <cell r="G8517" t="str">
            <v>825_1</v>
          </cell>
          <cell r="H8517" t="str">
            <v>the-of</v>
          </cell>
          <cell r="I8517" t="str">
            <v>sim</v>
          </cell>
          <cell r="V8517" t="str">
            <v>not</v>
          </cell>
          <cell r="Y8517" t="str">
            <v>Pres</v>
          </cell>
          <cell r="Z8517">
            <v>3.36</v>
          </cell>
          <cell r="AA8517">
            <v>0</v>
          </cell>
          <cell r="AB8517">
            <v>0</v>
          </cell>
        </row>
        <row r="8518">
          <cell r="G8518" t="str">
            <v>829_0</v>
          </cell>
          <cell r="H8518" t="str">
            <v>as-as</v>
          </cell>
          <cell r="I8518" t="str">
            <v>sim</v>
          </cell>
          <cell r="V8518" t="str">
            <v>not</v>
          </cell>
          <cell r="Y8518" t="str">
            <v>Pres</v>
          </cell>
          <cell r="Z8518">
            <v>3.48</v>
          </cell>
          <cell r="AA8518">
            <v>0</v>
          </cell>
          <cell r="AB8518">
            <v>0</v>
          </cell>
        </row>
        <row r="8519">
          <cell r="G8519" t="str">
            <v>829_1</v>
          </cell>
          <cell r="H8519" t="str">
            <v>as-as</v>
          </cell>
          <cell r="I8519" t="str">
            <v>sim</v>
          </cell>
          <cell r="V8519" t="str">
            <v>not</v>
          </cell>
          <cell r="Y8519" t="str">
            <v>Pres</v>
          </cell>
          <cell r="Z8519">
            <v>3.48</v>
          </cell>
          <cell r="AA8519">
            <v>0</v>
          </cell>
          <cell r="AB8519">
            <v>0</v>
          </cell>
        </row>
        <row r="8520">
          <cell r="G8520" t="str">
            <v>832_0</v>
          </cell>
          <cell r="H8520" t="str">
            <v>as-as</v>
          </cell>
          <cell r="I8520" t="str">
            <v>sim</v>
          </cell>
          <cell r="V8520" t="str">
            <v>antonym</v>
          </cell>
          <cell r="Y8520" t="str">
            <v>Pres</v>
          </cell>
          <cell r="Z8520">
            <v>3.93</v>
          </cell>
          <cell r="AA8520">
            <v>0</v>
          </cell>
          <cell r="AB8520">
            <v>0</v>
          </cell>
        </row>
        <row r="8521">
          <cell r="G8521" t="str">
            <v>832_1</v>
          </cell>
          <cell r="H8521" t="str">
            <v>as-as</v>
          </cell>
          <cell r="I8521" t="str">
            <v>sim</v>
          </cell>
          <cell r="V8521" t="str">
            <v>antonym</v>
          </cell>
          <cell r="Y8521" t="str">
            <v>Pres</v>
          </cell>
          <cell r="Z8521">
            <v>3.93</v>
          </cell>
          <cell r="AA8521">
            <v>0</v>
          </cell>
          <cell r="AB8521">
            <v>0</v>
          </cell>
        </row>
        <row r="8522">
          <cell r="G8522" t="str">
            <v>841_0</v>
          </cell>
          <cell r="H8522" t="str">
            <v>the-of</v>
          </cell>
          <cell r="I8522" t="str">
            <v>sim</v>
          </cell>
          <cell r="V8522" t="str">
            <v>not neg pair</v>
          </cell>
          <cell r="Y8522" t="str">
            <v>Pres</v>
          </cell>
          <cell r="Z8522">
            <v>4.83</v>
          </cell>
          <cell r="AA8522">
            <v>0</v>
          </cell>
          <cell r="AB8522">
            <v>0</v>
          </cell>
        </row>
        <row r="8523">
          <cell r="G8523" t="str">
            <v>841_1</v>
          </cell>
          <cell r="H8523" t="str">
            <v>the-of</v>
          </cell>
          <cell r="I8523" t="str">
            <v>sim</v>
          </cell>
          <cell r="V8523" t="str">
            <v>not neg pair</v>
          </cell>
          <cell r="Y8523" t="str">
            <v>Pres</v>
          </cell>
          <cell r="Z8523">
            <v>4.83</v>
          </cell>
          <cell r="AA8523">
            <v>0</v>
          </cell>
          <cell r="AB8523">
            <v>0</v>
          </cell>
        </row>
        <row r="8524">
          <cell r="G8524" t="str">
            <v>850_0</v>
          </cell>
          <cell r="H8524" t="str">
            <v>as-as</v>
          </cell>
          <cell r="I8524" t="str">
            <v>sim</v>
          </cell>
          <cell r="V8524" t="str">
            <v>not neg pair</v>
          </cell>
          <cell r="Y8524" t="str">
            <v>Pres</v>
          </cell>
          <cell r="Z8524">
            <v>4.8499999999999996</v>
          </cell>
          <cell r="AA8524">
            <v>0</v>
          </cell>
          <cell r="AB8524">
            <v>0</v>
          </cell>
        </row>
        <row r="8525">
          <cell r="G8525" t="str">
            <v>850_1</v>
          </cell>
          <cell r="H8525" t="str">
            <v>as-as</v>
          </cell>
          <cell r="I8525" t="str">
            <v>sim</v>
          </cell>
          <cell r="V8525" t="str">
            <v>not neg pair</v>
          </cell>
          <cell r="Y8525" t="str">
            <v>Pres</v>
          </cell>
          <cell r="Z8525">
            <v>4.8499999999999996</v>
          </cell>
          <cell r="AA8525">
            <v>0</v>
          </cell>
          <cell r="AB8525">
            <v>0</v>
          </cell>
        </row>
        <row r="8526">
          <cell r="G8526" t="str">
            <v>851_0</v>
          </cell>
          <cell r="H8526" t="str">
            <v>as-as</v>
          </cell>
          <cell r="I8526" t="str">
            <v>sim</v>
          </cell>
          <cell r="V8526" t="str">
            <v>not neg pair</v>
          </cell>
          <cell r="Y8526" t="str">
            <v>Pres</v>
          </cell>
          <cell r="Z8526">
            <v>4.66</v>
          </cell>
          <cell r="AA8526">
            <v>0</v>
          </cell>
          <cell r="AB8526">
            <v>0</v>
          </cell>
        </row>
        <row r="8527">
          <cell r="G8527" t="str">
            <v>851_1</v>
          </cell>
          <cell r="H8527" t="str">
            <v>as-as</v>
          </cell>
          <cell r="I8527" t="str">
            <v>sim</v>
          </cell>
          <cell r="V8527" t="str">
            <v>not neg pair</v>
          </cell>
          <cell r="Y8527" t="str">
            <v>Pres</v>
          </cell>
          <cell r="Z8527">
            <v>4.66</v>
          </cell>
          <cell r="AA8527">
            <v>0</v>
          </cell>
          <cell r="AB8527">
            <v>0</v>
          </cell>
        </row>
        <row r="8528">
          <cell r="G8528" t="str">
            <v>852_0</v>
          </cell>
          <cell r="H8528" t="str">
            <v>as-as</v>
          </cell>
          <cell r="I8528" t="str">
            <v>sim</v>
          </cell>
          <cell r="V8528" t="str">
            <v>not neg pair</v>
          </cell>
          <cell r="Y8528" t="str">
            <v>Pres</v>
          </cell>
          <cell r="Z8528">
            <v>4.7699999999999996</v>
          </cell>
          <cell r="AA8528">
            <v>0</v>
          </cell>
          <cell r="AB8528">
            <v>0</v>
          </cell>
        </row>
        <row r="8529">
          <cell r="G8529" t="str">
            <v>852_1</v>
          </cell>
          <cell r="H8529" t="str">
            <v>like</v>
          </cell>
          <cell r="I8529" t="str">
            <v>sim</v>
          </cell>
          <cell r="V8529" t="str">
            <v>not neg pair</v>
          </cell>
          <cell r="Y8529" t="str">
            <v>Pres</v>
          </cell>
          <cell r="Z8529">
            <v>4.7699999999999996</v>
          </cell>
          <cell r="AA8529">
            <v>0</v>
          </cell>
          <cell r="AB8529">
            <v>0</v>
          </cell>
        </row>
        <row r="8530">
          <cell r="G8530" t="str">
            <v>860_0</v>
          </cell>
          <cell r="H8530" t="str">
            <v>the-of</v>
          </cell>
          <cell r="I8530" t="str">
            <v>sim</v>
          </cell>
          <cell r="V8530" t="str">
            <v>not</v>
          </cell>
          <cell r="Y8530" t="str">
            <v>Pres</v>
          </cell>
          <cell r="Z8530">
            <v>4.6900000000000004</v>
          </cell>
          <cell r="AA8530">
            <v>0</v>
          </cell>
          <cell r="AB8530">
            <v>0</v>
          </cell>
        </row>
        <row r="8531">
          <cell r="G8531" t="str">
            <v>860_1</v>
          </cell>
          <cell r="H8531" t="str">
            <v>the-of</v>
          </cell>
          <cell r="I8531" t="str">
            <v>sim</v>
          </cell>
          <cell r="V8531" t="str">
            <v>not</v>
          </cell>
          <cell r="Y8531" t="str">
            <v>Pres</v>
          </cell>
          <cell r="Z8531">
            <v>4.6900000000000004</v>
          </cell>
          <cell r="AA8531">
            <v>0</v>
          </cell>
          <cell r="AB8531">
            <v>0</v>
          </cell>
        </row>
        <row r="8532">
          <cell r="G8532" t="str">
            <v>862_0</v>
          </cell>
          <cell r="H8532" t="str">
            <v>as-as</v>
          </cell>
          <cell r="I8532" t="str">
            <v>sim</v>
          </cell>
          <cell r="V8532" t="str">
            <v>not</v>
          </cell>
          <cell r="Y8532" t="str">
            <v>Past</v>
          </cell>
          <cell r="Z8532">
            <v>4.8499999999999996</v>
          </cell>
          <cell r="AA8532">
            <v>0</v>
          </cell>
          <cell r="AB8532">
            <v>0</v>
          </cell>
        </row>
        <row r="8533">
          <cell r="G8533" t="str">
            <v>862_1</v>
          </cell>
          <cell r="H8533" t="str">
            <v>as-as</v>
          </cell>
          <cell r="I8533" t="str">
            <v>sim</v>
          </cell>
          <cell r="V8533" t="str">
            <v>not</v>
          </cell>
          <cell r="Y8533" t="str">
            <v>Pres</v>
          </cell>
          <cell r="Z8533">
            <v>4.8499999999999996</v>
          </cell>
          <cell r="AA8533">
            <v>0</v>
          </cell>
          <cell r="AB8533">
            <v>0</v>
          </cell>
        </row>
        <row r="8534">
          <cell r="G8534" t="str">
            <v>869_0</v>
          </cell>
          <cell r="H8534" t="str">
            <v>the-of</v>
          </cell>
          <cell r="I8534" t="str">
            <v>sim</v>
          </cell>
          <cell r="V8534" t="str">
            <v>not</v>
          </cell>
          <cell r="Y8534" t="str">
            <v>Pres</v>
          </cell>
          <cell r="Z8534">
            <v>4.82</v>
          </cell>
          <cell r="AA8534">
            <v>0</v>
          </cell>
          <cell r="AB8534">
            <v>0</v>
          </cell>
        </row>
        <row r="8535">
          <cell r="G8535" t="str">
            <v>869_1</v>
          </cell>
          <cell r="H8535" t="str">
            <v>the-of</v>
          </cell>
          <cell r="I8535" t="str">
            <v>sim</v>
          </cell>
          <cell r="V8535" t="str">
            <v>not</v>
          </cell>
          <cell r="Y8535" t="str">
            <v>Pres</v>
          </cell>
          <cell r="Z8535">
            <v>4.82</v>
          </cell>
          <cell r="AA8535">
            <v>0</v>
          </cell>
          <cell r="AB8535">
            <v>0</v>
          </cell>
        </row>
        <row r="8536">
          <cell r="G8536" t="str">
            <v>871_0</v>
          </cell>
          <cell r="H8536" t="str">
            <v>the-of</v>
          </cell>
          <cell r="I8536" t="str">
            <v>sim</v>
          </cell>
          <cell r="V8536" t="str">
            <v>not neg pair</v>
          </cell>
          <cell r="Y8536" t="str">
            <v>Pres</v>
          </cell>
          <cell r="Z8536">
            <v>3.36</v>
          </cell>
          <cell r="AA8536">
            <v>0</v>
          </cell>
          <cell r="AB8536">
            <v>0</v>
          </cell>
        </row>
        <row r="8537">
          <cell r="G8537" t="str">
            <v>871_1</v>
          </cell>
          <cell r="H8537" t="str">
            <v>the-of</v>
          </cell>
          <cell r="I8537" t="str">
            <v>sim</v>
          </cell>
          <cell r="V8537" t="str">
            <v>not neg pair</v>
          </cell>
          <cell r="Y8537" t="str">
            <v>Pres</v>
          </cell>
          <cell r="Z8537">
            <v>3.36</v>
          </cell>
          <cell r="AA8537">
            <v>0</v>
          </cell>
          <cell r="AB8537">
            <v>0</v>
          </cell>
        </row>
        <row r="8538">
          <cell r="G8538" t="str">
            <v>875_0</v>
          </cell>
          <cell r="H8538" t="str">
            <v>the-of</v>
          </cell>
          <cell r="I8538" t="str">
            <v>sim</v>
          </cell>
          <cell r="V8538" t="str">
            <v>not neg pair</v>
          </cell>
          <cell r="Y8538" t="str">
            <v>Past</v>
          </cell>
          <cell r="Z8538">
            <v>3.93</v>
          </cell>
          <cell r="AA8538">
            <v>0</v>
          </cell>
          <cell r="AB8538">
            <v>0</v>
          </cell>
        </row>
        <row r="8539">
          <cell r="G8539" t="str">
            <v>875_1</v>
          </cell>
          <cell r="H8539" t="str">
            <v>the-of</v>
          </cell>
          <cell r="I8539" t="str">
            <v>sim</v>
          </cell>
          <cell r="V8539" t="str">
            <v>not neg pair</v>
          </cell>
          <cell r="Y8539" t="str">
            <v>Past</v>
          </cell>
          <cell r="Z8539">
            <v>3.93</v>
          </cell>
          <cell r="AA8539">
            <v>0</v>
          </cell>
          <cell r="AB8539">
            <v>0</v>
          </cell>
        </row>
        <row r="8540">
          <cell r="G8540" t="str">
            <v>877_0</v>
          </cell>
          <cell r="H8540" t="str">
            <v>the-of</v>
          </cell>
          <cell r="I8540" t="str">
            <v>sim</v>
          </cell>
          <cell r="V8540" t="str">
            <v>not</v>
          </cell>
          <cell r="Y8540" t="str">
            <v>Pres</v>
          </cell>
          <cell r="Z8540">
            <v>3.93</v>
          </cell>
          <cell r="AA8540">
            <v>0</v>
          </cell>
          <cell r="AB8540">
            <v>0</v>
          </cell>
        </row>
        <row r="8541">
          <cell r="G8541" t="str">
            <v>877_1</v>
          </cell>
          <cell r="H8541" t="str">
            <v>the-of</v>
          </cell>
          <cell r="I8541" t="str">
            <v>sim</v>
          </cell>
          <cell r="V8541" t="str">
            <v>not</v>
          </cell>
          <cell r="Y8541" t="str">
            <v>Past</v>
          </cell>
          <cell r="Z8541">
            <v>3.93</v>
          </cell>
          <cell r="AA8541">
            <v>0</v>
          </cell>
          <cell r="AB8541">
            <v>0</v>
          </cell>
        </row>
        <row r="8542">
          <cell r="G8542" t="str">
            <v>878_0</v>
          </cell>
          <cell r="H8542" t="str">
            <v/>
          </cell>
          <cell r="I8542" t="str">
            <v>met</v>
          </cell>
          <cell r="V8542" t="str">
            <v>0</v>
          </cell>
          <cell r="Y8542" t="str">
            <v>Pres</v>
          </cell>
          <cell r="Z8542">
            <v>4.59</v>
          </cell>
          <cell r="AA8542">
            <v>0</v>
          </cell>
          <cell r="AB8542">
            <v>0</v>
          </cell>
        </row>
        <row r="8543">
          <cell r="G8543" t="str">
            <v>878_1</v>
          </cell>
          <cell r="H8543" t="str">
            <v/>
          </cell>
          <cell r="I8543" t="str">
            <v>met</v>
          </cell>
          <cell r="V8543" t="str">
            <v>0</v>
          </cell>
          <cell r="Y8543" t="str">
            <v>Pres</v>
          </cell>
          <cell r="Z8543">
            <v>4.59</v>
          </cell>
          <cell r="AA8543">
            <v>0</v>
          </cell>
          <cell r="AB8543">
            <v>0</v>
          </cell>
        </row>
        <row r="8544">
          <cell r="G8544" t="str">
            <v>883_0</v>
          </cell>
          <cell r="H8544" t="str">
            <v>the-of</v>
          </cell>
          <cell r="I8544" t="str">
            <v>sim</v>
          </cell>
          <cell r="V8544" t="str">
            <v>not</v>
          </cell>
          <cell r="Y8544" t="str">
            <v>Pres</v>
          </cell>
          <cell r="Z8544">
            <v>3.93</v>
          </cell>
          <cell r="AA8544">
            <v>0</v>
          </cell>
          <cell r="AB8544">
            <v>0</v>
          </cell>
        </row>
        <row r="8545">
          <cell r="G8545" t="str">
            <v>883_1</v>
          </cell>
          <cell r="H8545" t="str">
            <v>the-of</v>
          </cell>
          <cell r="I8545" t="str">
            <v>sim</v>
          </cell>
          <cell r="V8545" t="str">
            <v>not</v>
          </cell>
          <cell r="Y8545" t="str">
            <v>Pres</v>
          </cell>
          <cell r="Z8545">
            <v>3.93</v>
          </cell>
          <cell r="AA8545">
            <v>0</v>
          </cell>
          <cell r="AB8545">
            <v>0</v>
          </cell>
        </row>
        <row r="8546">
          <cell r="G8546" t="str">
            <v>885_0</v>
          </cell>
          <cell r="H8546" t="str">
            <v>the-of</v>
          </cell>
          <cell r="I8546" t="str">
            <v>sim</v>
          </cell>
          <cell r="V8546" t="str">
            <v>not neg pair</v>
          </cell>
          <cell r="Y8546" t="str">
            <v>Pres</v>
          </cell>
          <cell r="Z8546">
            <v>4.97</v>
          </cell>
          <cell r="AA8546" t="str">
            <v>H</v>
          </cell>
          <cell r="AB8546">
            <v>0</v>
          </cell>
        </row>
        <row r="8547">
          <cell r="G8547" t="str">
            <v>885_1</v>
          </cell>
          <cell r="H8547" t="str">
            <v>the-of</v>
          </cell>
          <cell r="I8547" t="str">
            <v>sim</v>
          </cell>
          <cell r="V8547" t="str">
            <v>not neg pair</v>
          </cell>
          <cell r="Y8547" t="str">
            <v>Pres</v>
          </cell>
          <cell r="Z8547">
            <v>4.97</v>
          </cell>
          <cell r="AA8547" t="str">
            <v>H</v>
          </cell>
          <cell r="AB8547">
            <v>0</v>
          </cell>
        </row>
        <row r="8548">
          <cell r="G8548" t="str">
            <v>886_0</v>
          </cell>
          <cell r="H8548" t="str">
            <v>as-as</v>
          </cell>
          <cell r="I8548" t="str">
            <v>sim</v>
          </cell>
          <cell r="V8548" t="str">
            <v>not neg pair</v>
          </cell>
          <cell r="Y8548" t="str">
            <v>Past</v>
          </cell>
          <cell r="Z8548">
            <v>4.9000000000000004</v>
          </cell>
          <cell r="AA8548">
            <v>0</v>
          </cell>
          <cell r="AB8548">
            <v>0</v>
          </cell>
        </row>
        <row r="8549">
          <cell r="G8549" t="str">
            <v>886_1</v>
          </cell>
          <cell r="H8549" t="str">
            <v>as-as</v>
          </cell>
          <cell r="I8549" t="str">
            <v>sim</v>
          </cell>
          <cell r="V8549" t="str">
            <v>not neg pair</v>
          </cell>
          <cell r="Y8549" t="str">
            <v>Past</v>
          </cell>
          <cell r="Z8549">
            <v>4.9000000000000004</v>
          </cell>
          <cell r="AA8549">
            <v>0</v>
          </cell>
          <cell r="AB8549">
            <v>0</v>
          </cell>
        </row>
        <row r="8550">
          <cell r="G8550" t="str">
            <v>890_0</v>
          </cell>
          <cell r="H8550" t="str">
            <v>as-as</v>
          </cell>
          <cell r="I8550" t="str">
            <v>sim</v>
          </cell>
          <cell r="V8550" t="str">
            <v>not</v>
          </cell>
          <cell r="Y8550" t="str">
            <v>Past</v>
          </cell>
          <cell r="Z8550">
            <v>4.93</v>
          </cell>
          <cell r="AA8550" t="str">
            <v>H</v>
          </cell>
          <cell r="AB8550">
            <v>0</v>
          </cell>
        </row>
        <row r="8551">
          <cell r="G8551" t="str">
            <v>890_1</v>
          </cell>
          <cell r="H8551" t="str">
            <v>as-as</v>
          </cell>
          <cell r="I8551" t="str">
            <v>sim</v>
          </cell>
          <cell r="V8551" t="str">
            <v>not</v>
          </cell>
          <cell r="Y8551" t="str">
            <v>Past</v>
          </cell>
          <cell r="Z8551">
            <v>4.93</v>
          </cell>
          <cell r="AA8551" t="str">
            <v>H</v>
          </cell>
          <cell r="AB8551">
            <v>0</v>
          </cell>
        </row>
        <row r="8552">
          <cell r="G8552" t="str">
            <v>892_0</v>
          </cell>
          <cell r="H8552" t="str">
            <v>as-as</v>
          </cell>
          <cell r="I8552" t="str">
            <v>sim</v>
          </cell>
          <cell r="V8552" t="str">
            <v>not</v>
          </cell>
          <cell r="Y8552" t="str">
            <v>Pres</v>
          </cell>
          <cell r="Z8552">
            <v>3.93</v>
          </cell>
          <cell r="AA8552">
            <v>0</v>
          </cell>
          <cell r="AB8552">
            <v>0</v>
          </cell>
        </row>
        <row r="8553">
          <cell r="G8553" t="str">
            <v>892_1</v>
          </cell>
          <cell r="H8553" t="str">
            <v>as-as</v>
          </cell>
          <cell r="I8553" t="str">
            <v>sim</v>
          </cell>
          <cell r="V8553" t="str">
            <v>not</v>
          </cell>
          <cell r="Y8553" t="str">
            <v>Pres</v>
          </cell>
          <cell r="Z8553">
            <v>3.93</v>
          </cell>
          <cell r="AA8553">
            <v>0</v>
          </cell>
          <cell r="AB8553">
            <v>0</v>
          </cell>
        </row>
        <row r="8554">
          <cell r="G8554" t="str">
            <v>897_0</v>
          </cell>
          <cell r="H8554" t="str">
            <v>like</v>
          </cell>
          <cell r="I8554" t="str">
            <v>sim</v>
          </cell>
          <cell r="V8554" t="str">
            <v>not neg pair</v>
          </cell>
          <cell r="Y8554" t="str">
            <v>Past</v>
          </cell>
          <cell r="Z8554">
            <v>1.97</v>
          </cell>
          <cell r="AA8554" t="str">
            <v>L</v>
          </cell>
          <cell r="AB8554">
            <v>0</v>
          </cell>
        </row>
        <row r="8555">
          <cell r="G8555" t="str">
            <v>897_1</v>
          </cell>
          <cell r="H8555" t="str">
            <v>like</v>
          </cell>
          <cell r="I8555" t="str">
            <v>sim</v>
          </cell>
          <cell r="V8555" t="str">
            <v>not neg pair</v>
          </cell>
          <cell r="Y8555" t="str">
            <v>Past</v>
          </cell>
          <cell r="Z8555">
            <v>1.97</v>
          </cell>
          <cell r="AA8555" t="str">
            <v>L</v>
          </cell>
          <cell r="AB8555">
            <v>0</v>
          </cell>
        </row>
        <row r="8556">
          <cell r="G8556" t="str">
            <v>899_0</v>
          </cell>
          <cell r="H8556" t="str">
            <v>as-as</v>
          </cell>
          <cell r="I8556" t="str">
            <v>sim</v>
          </cell>
          <cell r="V8556" t="str">
            <v>not neg pair</v>
          </cell>
          <cell r="Y8556" t="str">
            <v>Past</v>
          </cell>
          <cell r="Z8556">
            <v>4.43</v>
          </cell>
          <cell r="AA8556">
            <v>0</v>
          </cell>
          <cell r="AB8556">
            <v>0</v>
          </cell>
        </row>
        <row r="8557">
          <cell r="G8557" t="str">
            <v>899_1</v>
          </cell>
          <cell r="H8557" t="str">
            <v>as-as</v>
          </cell>
          <cell r="I8557" t="str">
            <v>sim</v>
          </cell>
          <cell r="V8557" t="str">
            <v>not neg pair</v>
          </cell>
          <cell r="Y8557" t="str">
            <v>Past</v>
          </cell>
          <cell r="Z8557">
            <v>4.43</v>
          </cell>
          <cell r="AA8557">
            <v>0</v>
          </cell>
          <cell r="AB8557">
            <v>0</v>
          </cell>
        </row>
        <row r="8558">
          <cell r="G8558" t="str">
            <v>904_0</v>
          </cell>
          <cell r="H8558" t="str">
            <v>as-as</v>
          </cell>
          <cell r="I8558" t="str">
            <v>sim</v>
          </cell>
          <cell r="V8558" t="str">
            <v>not neg pair</v>
          </cell>
          <cell r="Y8558" t="str">
            <v>Pres</v>
          </cell>
          <cell r="Z8558">
            <v>1.86</v>
          </cell>
          <cell r="AA8558" t="str">
            <v>L</v>
          </cell>
          <cell r="AB8558">
            <v>0</v>
          </cell>
        </row>
        <row r="8559">
          <cell r="G8559" t="str">
            <v>904_1</v>
          </cell>
          <cell r="H8559" t="str">
            <v>as-as</v>
          </cell>
          <cell r="I8559" t="str">
            <v>sim</v>
          </cell>
          <cell r="V8559" t="str">
            <v>not neg pair</v>
          </cell>
          <cell r="Y8559" t="str">
            <v>Pres</v>
          </cell>
          <cell r="Z8559">
            <v>1.86</v>
          </cell>
          <cell r="AA8559" t="str">
            <v>L</v>
          </cell>
          <cell r="AB8559">
            <v>0</v>
          </cell>
        </row>
        <row r="8560">
          <cell r="G8560" t="str">
            <v>910_0</v>
          </cell>
          <cell r="H8560" t="str">
            <v>the-of</v>
          </cell>
          <cell r="I8560" t="str">
            <v>sim</v>
          </cell>
          <cell r="V8560" t="str">
            <v>not</v>
          </cell>
          <cell r="Y8560" t="str">
            <v>Pres</v>
          </cell>
          <cell r="Z8560">
            <v>3.93</v>
          </cell>
          <cell r="AA8560">
            <v>0</v>
          </cell>
          <cell r="AB8560">
            <v>0</v>
          </cell>
        </row>
        <row r="8561">
          <cell r="G8561" t="str">
            <v>910_1</v>
          </cell>
          <cell r="H8561" t="str">
            <v>the-of</v>
          </cell>
          <cell r="I8561" t="str">
            <v>sim</v>
          </cell>
          <cell r="V8561" t="str">
            <v>not</v>
          </cell>
          <cell r="Y8561" t="str">
            <v>Pres</v>
          </cell>
          <cell r="Z8561">
            <v>3.93</v>
          </cell>
          <cell r="AA8561">
            <v>0</v>
          </cell>
          <cell r="AB8561">
            <v>0</v>
          </cell>
        </row>
        <row r="8562">
          <cell r="G8562" t="str">
            <v>911_0</v>
          </cell>
          <cell r="H8562" t="str">
            <v>the-of</v>
          </cell>
          <cell r="I8562" t="str">
            <v>sim</v>
          </cell>
          <cell r="V8562" t="str">
            <v>not neg pair</v>
          </cell>
          <cell r="Y8562" t="str">
            <v>Past</v>
          </cell>
          <cell r="Z8562">
            <v>4.71</v>
          </cell>
          <cell r="AA8562">
            <v>0</v>
          </cell>
          <cell r="AB8562">
            <v>0</v>
          </cell>
        </row>
        <row r="8563">
          <cell r="G8563" t="str">
            <v>911_1</v>
          </cell>
          <cell r="H8563" t="str">
            <v>the-of</v>
          </cell>
          <cell r="I8563" t="str">
            <v>sim</v>
          </cell>
          <cell r="V8563" t="str">
            <v>not neg pair</v>
          </cell>
          <cell r="Y8563" t="str">
            <v>Past</v>
          </cell>
          <cell r="Z8563">
            <v>4.71</v>
          </cell>
          <cell r="AA8563">
            <v>0</v>
          </cell>
          <cell r="AB8563">
            <v>0</v>
          </cell>
        </row>
        <row r="8564">
          <cell r="G8564" t="str">
            <v>913_0</v>
          </cell>
          <cell r="H8564" t="str">
            <v>as-as</v>
          </cell>
          <cell r="I8564" t="str">
            <v>sim</v>
          </cell>
          <cell r="V8564" t="str">
            <v>not neg pair</v>
          </cell>
          <cell r="Y8564" t="str">
            <v>Pres</v>
          </cell>
          <cell r="Z8564">
            <v>4.6900000000000004</v>
          </cell>
          <cell r="AA8564">
            <v>0</v>
          </cell>
          <cell r="AB8564">
            <v>0</v>
          </cell>
        </row>
        <row r="8565">
          <cell r="G8565" t="str">
            <v>913_1</v>
          </cell>
          <cell r="H8565" t="str">
            <v>as-as</v>
          </cell>
          <cell r="I8565" t="str">
            <v>sim</v>
          </cell>
          <cell r="V8565" t="str">
            <v>not neg pair</v>
          </cell>
          <cell r="Y8565" t="str">
            <v>Pres</v>
          </cell>
          <cell r="Z8565">
            <v>4.6900000000000004</v>
          </cell>
          <cell r="AA8565">
            <v>0</v>
          </cell>
          <cell r="AB8565">
            <v>0</v>
          </cell>
        </row>
        <row r="8566">
          <cell r="G8566" t="str">
            <v>924_0</v>
          </cell>
          <cell r="H8566" t="str">
            <v>the-of</v>
          </cell>
          <cell r="I8566" t="str">
            <v>sim</v>
          </cell>
          <cell r="V8566" t="str">
            <v>not</v>
          </cell>
          <cell r="Y8566" t="str">
            <v>Past</v>
          </cell>
          <cell r="Z8566">
            <v>3.37</v>
          </cell>
          <cell r="AA8566">
            <v>0</v>
          </cell>
          <cell r="AB8566">
            <v>0</v>
          </cell>
        </row>
        <row r="8567">
          <cell r="G8567" t="str">
            <v>924_1</v>
          </cell>
          <cell r="H8567" t="str">
            <v>the-of</v>
          </cell>
          <cell r="I8567" t="str">
            <v>sim</v>
          </cell>
          <cell r="V8567" t="str">
            <v>not</v>
          </cell>
          <cell r="Y8567" t="str">
            <v>Past</v>
          </cell>
          <cell r="Z8567">
            <v>3.37</v>
          </cell>
          <cell r="AA8567">
            <v>0</v>
          </cell>
          <cell r="AB8567">
            <v>0</v>
          </cell>
        </row>
        <row r="8568">
          <cell r="G8568" t="str">
            <v>925_0</v>
          </cell>
          <cell r="H8568" t="str">
            <v>as-as</v>
          </cell>
          <cell r="I8568" t="str">
            <v>sim</v>
          </cell>
          <cell r="V8568" t="str">
            <v>not neg pair</v>
          </cell>
          <cell r="Y8568" t="str">
            <v>Pres</v>
          </cell>
          <cell r="Z8568">
            <v>3.48</v>
          </cell>
          <cell r="AA8568">
            <v>0</v>
          </cell>
          <cell r="AB8568">
            <v>0</v>
          </cell>
        </row>
        <row r="8569">
          <cell r="G8569" t="str">
            <v>925_1</v>
          </cell>
          <cell r="H8569" t="str">
            <v>as-as</v>
          </cell>
          <cell r="I8569" t="str">
            <v>sim</v>
          </cell>
          <cell r="V8569" t="str">
            <v>not neg pair</v>
          </cell>
          <cell r="Y8569" t="str">
            <v>Pres</v>
          </cell>
          <cell r="Z8569">
            <v>3.48</v>
          </cell>
          <cell r="AA8569">
            <v>0</v>
          </cell>
          <cell r="AB8569">
            <v>0</v>
          </cell>
        </row>
        <row r="8570">
          <cell r="G8570" t="str">
            <v>926_0</v>
          </cell>
          <cell r="H8570" t="str">
            <v/>
          </cell>
          <cell r="I8570" t="str">
            <v>met</v>
          </cell>
          <cell r="V8570" t="str">
            <v>0</v>
          </cell>
          <cell r="Y8570" t="str">
            <v>Pres</v>
          </cell>
          <cell r="Z8570">
            <v>4.12</v>
          </cell>
          <cell r="AA8570">
            <v>0</v>
          </cell>
          <cell r="AB8570">
            <v>0</v>
          </cell>
        </row>
        <row r="8571">
          <cell r="G8571" t="str">
            <v>926_1</v>
          </cell>
          <cell r="H8571" t="str">
            <v/>
          </cell>
          <cell r="I8571" t="str">
            <v>met</v>
          </cell>
          <cell r="V8571" t="str">
            <v>0</v>
          </cell>
          <cell r="Y8571" t="str">
            <v>Pres</v>
          </cell>
          <cell r="Z8571">
            <v>4.12</v>
          </cell>
          <cell r="AA8571">
            <v>0</v>
          </cell>
          <cell r="AB8571">
            <v>0</v>
          </cell>
        </row>
        <row r="8572">
          <cell r="G8572" t="str">
            <v>928_0</v>
          </cell>
          <cell r="H8572" t="str">
            <v>like</v>
          </cell>
          <cell r="I8572" t="str">
            <v>sim</v>
          </cell>
          <cell r="V8572" t="str">
            <v>not</v>
          </cell>
          <cell r="Y8572" t="str">
            <v>Pres</v>
          </cell>
          <cell r="Z8572">
            <v>2.93</v>
          </cell>
          <cell r="AA8572">
            <v>0</v>
          </cell>
          <cell r="AB8572">
            <v>0</v>
          </cell>
        </row>
        <row r="8573">
          <cell r="G8573" t="str">
            <v>928_1</v>
          </cell>
          <cell r="H8573" t="str">
            <v>like</v>
          </cell>
          <cell r="I8573" t="str">
            <v>sim</v>
          </cell>
          <cell r="V8573" t="str">
            <v>not</v>
          </cell>
          <cell r="Y8573" t="str">
            <v>Pres</v>
          </cell>
          <cell r="Z8573">
            <v>2.93</v>
          </cell>
          <cell r="AA8573">
            <v>0</v>
          </cell>
          <cell r="AB8573">
            <v>0</v>
          </cell>
        </row>
        <row r="8574">
          <cell r="G8574" t="str">
            <v>929_0</v>
          </cell>
          <cell r="H8574" t="str">
            <v>the-of</v>
          </cell>
          <cell r="I8574" t="str">
            <v>sim</v>
          </cell>
          <cell r="V8574" t="str">
            <v>not</v>
          </cell>
          <cell r="Y8574" t="str">
            <v>Pres</v>
          </cell>
          <cell r="Z8574">
            <v>3.93</v>
          </cell>
          <cell r="AA8574">
            <v>0</v>
          </cell>
          <cell r="AB8574">
            <v>0</v>
          </cell>
        </row>
        <row r="8575">
          <cell r="G8575" t="str">
            <v>929_1</v>
          </cell>
          <cell r="H8575" t="str">
            <v>the-of</v>
          </cell>
          <cell r="I8575" t="str">
            <v>sim</v>
          </cell>
          <cell r="V8575" t="str">
            <v>not</v>
          </cell>
          <cell r="Y8575" t="str">
            <v>Past</v>
          </cell>
          <cell r="Z8575">
            <v>3.93</v>
          </cell>
          <cell r="AA8575">
            <v>0</v>
          </cell>
          <cell r="AB8575">
            <v>0</v>
          </cell>
        </row>
        <row r="8576">
          <cell r="G8576" t="str">
            <v>930_0</v>
          </cell>
          <cell r="H8576" t="str">
            <v>the-of</v>
          </cell>
          <cell r="I8576" t="str">
            <v>sim</v>
          </cell>
          <cell r="V8576" t="str">
            <v>not neg pair</v>
          </cell>
          <cell r="Y8576" t="str">
            <v>Pres</v>
          </cell>
          <cell r="Z8576">
            <v>3.93</v>
          </cell>
          <cell r="AA8576">
            <v>0</v>
          </cell>
          <cell r="AB8576">
            <v>0</v>
          </cell>
        </row>
        <row r="8577">
          <cell r="G8577" t="str">
            <v>930_1</v>
          </cell>
          <cell r="H8577" t="str">
            <v>the-of</v>
          </cell>
          <cell r="I8577" t="str">
            <v>sim</v>
          </cell>
          <cell r="V8577" t="str">
            <v>not neg pair</v>
          </cell>
          <cell r="Y8577" t="str">
            <v>Pres</v>
          </cell>
          <cell r="Z8577">
            <v>3.93</v>
          </cell>
          <cell r="AA8577">
            <v>0</v>
          </cell>
          <cell r="AB8577">
            <v>0</v>
          </cell>
        </row>
        <row r="8578">
          <cell r="G8578" t="str">
            <v>933_0</v>
          </cell>
          <cell r="H8578" t="str">
            <v>as-as</v>
          </cell>
          <cell r="I8578" t="str">
            <v>sim</v>
          </cell>
          <cell r="V8578" t="str">
            <v>not</v>
          </cell>
          <cell r="Y8578" t="str">
            <v>Past</v>
          </cell>
          <cell r="Z8578">
            <v>3.36</v>
          </cell>
          <cell r="AA8578">
            <v>0</v>
          </cell>
          <cell r="AB8578">
            <v>0</v>
          </cell>
        </row>
        <row r="8579">
          <cell r="G8579" t="str">
            <v>933_1</v>
          </cell>
          <cell r="H8579" t="str">
            <v>as-as</v>
          </cell>
          <cell r="I8579" t="str">
            <v>sim</v>
          </cell>
          <cell r="V8579" t="str">
            <v>not</v>
          </cell>
          <cell r="Y8579" t="str">
            <v>Past</v>
          </cell>
          <cell r="Z8579">
            <v>3.36</v>
          </cell>
          <cell r="AA8579">
            <v>0</v>
          </cell>
          <cell r="AB8579">
            <v>0</v>
          </cell>
        </row>
        <row r="8580">
          <cell r="G8580" t="str">
            <v>935_0</v>
          </cell>
          <cell r="H8580" t="str">
            <v>the-of</v>
          </cell>
          <cell r="I8580" t="str">
            <v>sim</v>
          </cell>
          <cell r="V8580" t="str">
            <v>not neg pair</v>
          </cell>
          <cell r="Y8580" t="str">
            <v>Pres</v>
          </cell>
          <cell r="Z8580">
            <v>3.36</v>
          </cell>
          <cell r="AA8580">
            <v>0</v>
          </cell>
          <cell r="AB8580">
            <v>0</v>
          </cell>
        </row>
        <row r="8581">
          <cell r="G8581" t="str">
            <v>935_1</v>
          </cell>
          <cell r="H8581" t="str">
            <v>the-of</v>
          </cell>
          <cell r="I8581" t="str">
            <v>sim</v>
          </cell>
          <cell r="V8581" t="str">
            <v>not neg pair</v>
          </cell>
          <cell r="Y8581" t="str">
            <v>Pres</v>
          </cell>
          <cell r="Z8581">
            <v>3.36</v>
          </cell>
          <cell r="AA8581">
            <v>0</v>
          </cell>
          <cell r="AB8581">
            <v>0</v>
          </cell>
        </row>
        <row r="8582">
          <cell r="G8582" t="str">
            <v>936_0</v>
          </cell>
          <cell r="H8582" t="str">
            <v>the-of</v>
          </cell>
          <cell r="I8582" t="str">
            <v>sim</v>
          </cell>
          <cell r="V8582" t="str">
            <v>not neg pair</v>
          </cell>
          <cell r="Y8582" t="str">
            <v>Pres</v>
          </cell>
          <cell r="Z8582">
            <v>5</v>
          </cell>
          <cell r="AA8582" t="str">
            <v>H</v>
          </cell>
          <cell r="AB8582">
            <v>0</v>
          </cell>
        </row>
        <row r="8583">
          <cell r="G8583" t="str">
            <v>936_1</v>
          </cell>
          <cell r="H8583" t="str">
            <v>the-of</v>
          </cell>
          <cell r="I8583" t="str">
            <v>sim</v>
          </cell>
          <cell r="V8583" t="str">
            <v>not neg pair</v>
          </cell>
          <cell r="Y8583" t="str">
            <v>Pres</v>
          </cell>
          <cell r="Z8583">
            <v>5</v>
          </cell>
          <cell r="AA8583" t="str">
            <v>H</v>
          </cell>
          <cell r="AB8583">
            <v>0</v>
          </cell>
        </row>
        <row r="8584">
          <cell r="G8584" t="str">
            <v>938_0</v>
          </cell>
          <cell r="H8584" t="str">
            <v>the-of</v>
          </cell>
          <cell r="I8584" t="str">
            <v>sim</v>
          </cell>
          <cell r="V8584" t="str">
            <v>not neg pair</v>
          </cell>
          <cell r="Y8584" t="str">
            <v>Pres</v>
          </cell>
          <cell r="Z8584">
            <v>4.55</v>
          </cell>
          <cell r="AA8584">
            <v>0</v>
          </cell>
          <cell r="AB8584">
            <v>0</v>
          </cell>
        </row>
        <row r="8585">
          <cell r="G8585" t="str">
            <v>938_1</v>
          </cell>
          <cell r="H8585" t="str">
            <v>the-of</v>
          </cell>
          <cell r="I8585" t="str">
            <v>sim</v>
          </cell>
          <cell r="V8585" t="str">
            <v>not neg pair</v>
          </cell>
          <cell r="Y8585" t="str">
            <v>Pres</v>
          </cell>
          <cell r="Z8585">
            <v>4.55</v>
          </cell>
          <cell r="AA8585">
            <v>0</v>
          </cell>
          <cell r="AB8585">
            <v>0</v>
          </cell>
        </row>
        <row r="8586">
          <cell r="G8586" t="str">
            <v>941_0</v>
          </cell>
          <cell r="H8586" t="str">
            <v>the-of</v>
          </cell>
          <cell r="I8586" t="str">
            <v>sim</v>
          </cell>
          <cell r="V8586" t="str">
            <v>not neg pair</v>
          </cell>
          <cell r="Y8586" t="str">
            <v>Past</v>
          </cell>
          <cell r="Z8586">
            <v>4.6100000000000003</v>
          </cell>
          <cell r="AA8586">
            <v>0</v>
          </cell>
          <cell r="AB8586">
            <v>0</v>
          </cell>
        </row>
        <row r="8587">
          <cell r="G8587" t="str">
            <v>941_1</v>
          </cell>
          <cell r="H8587" t="str">
            <v>the-of</v>
          </cell>
          <cell r="I8587" t="str">
            <v>sim</v>
          </cell>
          <cell r="V8587" t="str">
            <v>not neg pair</v>
          </cell>
          <cell r="Y8587" t="str">
            <v>Past</v>
          </cell>
          <cell r="Z8587">
            <v>4.6100000000000003</v>
          </cell>
          <cell r="AA8587">
            <v>0</v>
          </cell>
          <cell r="AB8587">
            <v>0</v>
          </cell>
        </row>
        <row r="8588">
          <cell r="G8588" t="str">
            <v>944_0</v>
          </cell>
          <cell r="H8588" t="str">
            <v>as-as</v>
          </cell>
          <cell r="I8588" t="str">
            <v>sim</v>
          </cell>
          <cell r="V8588" t="str">
            <v>not neg pair</v>
          </cell>
          <cell r="Y8588" t="str">
            <v>Pres</v>
          </cell>
          <cell r="Z8588">
            <v>4.8499999999999996</v>
          </cell>
          <cell r="AA8588">
            <v>0</v>
          </cell>
          <cell r="AB8588">
            <v>0</v>
          </cell>
        </row>
        <row r="8589">
          <cell r="G8589" t="str">
            <v>944_1</v>
          </cell>
          <cell r="H8589" t="str">
            <v>as-as</v>
          </cell>
          <cell r="I8589" t="str">
            <v>sim</v>
          </cell>
          <cell r="V8589" t="str">
            <v>not neg pair</v>
          </cell>
          <cell r="Y8589" t="str">
            <v>Pres</v>
          </cell>
          <cell r="Z8589">
            <v>4.8499999999999996</v>
          </cell>
          <cell r="AA8589">
            <v>0</v>
          </cell>
          <cell r="AB8589">
            <v>0</v>
          </cell>
        </row>
        <row r="8590">
          <cell r="G8590" t="str">
            <v>957_0</v>
          </cell>
          <cell r="H8590" t="str">
            <v>the-of</v>
          </cell>
          <cell r="I8590" t="str">
            <v>sim</v>
          </cell>
          <cell r="V8590" t="str">
            <v>not neg pair</v>
          </cell>
          <cell r="Y8590" t="str">
            <v>Pres</v>
          </cell>
          <cell r="Z8590">
            <v>4.92</v>
          </cell>
          <cell r="AA8590" t="str">
            <v>H</v>
          </cell>
          <cell r="AB8590">
            <v>0</v>
          </cell>
        </row>
        <row r="8591">
          <cell r="G8591" t="str">
            <v>957_1</v>
          </cell>
          <cell r="H8591" t="str">
            <v>the-of</v>
          </cell>
          <cell r="I8591" t="str">
            <v>sim</v>
          </cell>
          <cell r="V8591" t="str">
            <v>not neg pair</v>
          </cell>
          <cell r="Y8591" t="str">
            <v>Pres</v>
          </cell>
          <cell r="Z8591">
            <v>4.92</v>
          </cell>
          <cell r="AA8591" t="str">
            <v>H</v>
          </cell>
          <cell r="AB8591">
            <v>0</v>
          </cell>
        </row>
        <row r="8592">
          <cell r="G8592" t="str">
            <v>966_0</v>
          </cell>
          <cell r="H8592" t="str">
            <v/>
          </cell>
          <cell r="I8592" t="str">
            <v>met</v>
          </cell>
          <cell r="V8592" t="str">
            <v>0</v>
          </cell>
          <cell r="Y8592" t="str">
            <v>Pres</v>
          </cell>
          <cell r="Z8592">
            <v>4.87</v>
          </cell>
          <cell r="AA8592">
            <v>0</v>
          </cell>
          <cell r="AB8592">
            <v>0</v>
          </cell>
        </row>
        <row r="8593">
          <cell r="G8593" t="str">
            <v>966_1</v>
          </cell>
          <cell r="H8593" t="str">
            <v/>
          </cell>
          <cell r="I8593" t="str">
            <v>met</v>
          </cell>
          <cell r="V8593" t="str">
            <v>0</v>
          </cell>
          <cell r="Y8593" t="str">
            <v>Pres</v>
          </cell>
          <cell r="Z8593">
            <v>4.87</v>
          </cell>
          <cell r="AA8593">
            <v>0</v>
          </cell>
          <cell r="AB8593">
            <v>0</v>
          </cell>
        </row>
        <row r="8594">
          <cell r="G8594" t="str">
            <v>979_0</v>
          </cell>
          <cell r="H8594" t="str">
            <v>as-as</v>
          </cell>
          <cell r="I8594" t="str">
            <v>sim</v>
          </cell>
          <cell r="V8594" t="str">
            <v>antonym</v>
          </cell>
          <cell r="Y8594" t="str">
            <v>Past</v>
          </cell>
          <cell r="Z8594">
            <v>3.48</v>
          </cell>
          <cell r="AA8594">
            <v>0</v>
          </cell>
          <cell r="AB8594">
            <v>0</v>
          </cell>
        </row>
        <row r="8595">
          <cell r="G8595" t="str">
            <v>979_1</v>
          </cell>
          <cell r="H8595" t="str">
            <v>as-as</v>
          </cell>
          <cell r="I8595" t="str">
            <v>sim</v>
          </cell>
          <cell r="V8595" t="str">
            <v>antonym</v>
          </cell>
          <cell r="Y8595" t="str">
            <v>Past</v>
          </cell>
          <cell r="Z8595">
            <v>3.48</v>
          </cell>
          <cell r="AA8595">
            <v>0</v>
          </cell>
          <cell r="AB8595">
            <v>0</v>
          </cell>
        </row>
        <row r="8596">
          <cell r="G8596" t="str">
            <v>982_0</v>
          </cell>
          <cell r="H8596" t="str">
            <v>as-as</v>
          </cell>
          <cell r="I8596" t="str">
            <v>sim</v>
          </cell>
          <cell r="V8596" t="str">
            <v>not</v>
          </cell>
          <cell r="Y8596" t="str">
            <v>Pres</v>
          </cell>
          <cell r="Z8596">
            <v>4.41</v>
          </cell>
          <cell r="AA8596">
            <v>0</v>
          </cell>
          <cell r="AB8596">
            <v>0</v>
          </cell>
        </row>
        <row r="8597">
          <cell r="G8597" t="str">
            <v>982_1</v>
          </cell>
          <cell r="H8597" t="str">
            <v>as-as</v>
          </cell>
          <cell r="I8597" t="str">
            <v>sim</v>
          </cell>
          <cell r="V8597" t="str">
            <v>not</v>
          </cell>
          <cell r="Y8597" t="str">
            <v>Pres</v>
          </cell>
          <cell r="Z8597">
            <v>4.41</v>
          </cell>
          <cell r="AA8597">
            <v>0</v>
          </cell>
          <cell r="AB8597">
            <v>0</v>
          </cell>
        </row>
        <row r="8598">
          <cell r="G8598" t="str">
            <v>983_0</v>
          </cell>
          <cell r="H8598" t="str">
            <v>as-as</v>
          </cell>
          <cell r="I8598" t="str">
            <v>sim</v>
          </cell>
          <cell r="V8598" t="str">
            <v>not</v>
          </cell>
          <cell r="Y8598" t="str">
            <v>Past</v>
          </cell>
          <cell r="Z8598">
            <v>3.93</v>
          </cell>
          <cell r="AA8598">
            <v>0</v>
          </cell>
          <cell r="AB8598">
            <v>0</v>
          </cell>
        </row>
        <row r="8599">
          <cell r="G8599" t="str">
            <v>983_1</v>
          </cell>
          <cell r="H8599" t="str">
            <v>as-as</v>
          </cell>
          <cell r="I8599" t="str">
            <v>sim</v>
          </cell>
          <cell r="V8599" t="str">
            <v>not</v>
          </cell>
          <cell r="Y8599" t="str">
            <v>Past</v>
          </cell>
          <cell r="Z8599">
            <v>3.93</v>
          </cell>
          <cell r="AA8599">
            <v>0</v>
          </cell>
          <cell r="AB8599">
            <v>0</v>
          </cell>
        </row>
        <row r="8600">
          <cell r="G8600" t="str">
            <v>985_0</v>
          </cell>
          <cell r="H8600" t="str">
            <v>the-of</v>
          </cell>
          <cell r="I8600" t="str">
            <v>sim</v>
          </cell>
          <cell r="V8600" t="str">
            <v>not neg pair</v>
          </cell>
          <cell r="Y8600" t="str">
            <v>Pres</v>
          </cell>
          <cell r="Z8600">
            <v>4.87</v>
          </cell>
          <cell r="AA8600">
            <v>0</v>
          </cell>
          <cell r="AB8600">
            <v>0</v>
          </cell>
        </row>
        <row r="8601">
          <cell r="G8601" t="str">
            <v>985_1</v>
          </cell>
          <cell r="H8601" t="str">
            <v>the-of</v>
          </cell>
          <cell r="I8601" t="str">
            <v>sim</v>
          </cell>
          <cell r="V8601" t="str">
            <v>not neg pair</v>
          </cell>
          <cell r="Y8601" t="str">
            <v>Pres</v>
          </cell>
          <cell r="Z8601">
            <v>4.87</v>
          </cell>
          <cell r="AA8601">
            <v>0</v>
          </cell>
          <cell r="AB8601">
            <v>0</v>
          </cell>
        </row>
        <row r="8602">
          <cell r="G8602" t="str">
            <v>995_0</v>
          </cell>
          <cell r="H8602" t="str">
            <v>as</v>
          </cell>
          <cell r="I8602" t="str">
            <v>sim</v>
          </cell>
          <cell r="V8602" t="str">
            <v>not</v>
          </cell>
          <cell r="Y8602" t="str">
            <v>Pres</v>
          </cell>
          <cell r="Z8602">
            <v>4.1100000000000003</v>
          </cell>
          <cell r="AA8602">
            <v>0</v>
          </cell>
          <cell r="AB8602">
            <v>0</v>
          </cell>
        </row>
        <row r="8603">
          <cell r="G8603" t="str">
            <v>995_1</v>
          </cell>
          <cell r="H8603" t="str">
            <v>as</v>
          </cell>
          <cell r="I8603" t="str">
            <v>sim</v>
          </cell>
          <cell r="V8603" t="str">
            <v>not</v>
          </cell>
          <cell r="Y8603" t="str">
            <v>Pres</v>
          </cell>
          <cell r="Z8603">
            <v>4.1100000000000003</v>
          </cell>
          <cell r="AA8603">
            <v>0</v>
          </cell>
          <cell r="AB8603">
            <v>0</v>
          </cell>
        </row>
        <row r="8604">
          <cell r="G8604" t="str">
            <v>996_0</v>
          </cell>
          <cell r="H8604" t="str">
            <v>as-as</v>
          </cell>
          <cell r="I8604" t="str">
            <v>sim</v>
          </cell>
          <cell r="V8604" t="str">
            <v>not</v>
          </cell>
          <cell r="Y8604" t="str">
            <v>Pres</v>
          </cell>
          <cell r="Z8604">
            <v>3.62</v>
          </cell>
          <cell r="AA8604">
            <v>0</v>
          </cell>
          <cell r="AB8604">
            <v>0</v>
          </cell>
        </row>
        <row r="8605">
          <cell r="G8605" t="str">
            <v>996_1</v>
          </cell>
          <cell r="H8605" t="str">
            <v>as-as</v>
          </cell>
          <cell r="I8605" t="str">
            <v>sim</v>
          </cell>
          <cell r="V8605" t="str">
            <v>not</v>
          </cell>
          <cell r="Y8605" t="str">
            <v>Pres</v>
          </cell>
          <cell r="Z8605">
            <v>3.62</v>
          </cell>
          <cell r="AA8605">
            <v>0</v>
          </cell>
          <cell r="AB8605">
            <v>0</v>
          </cell>
        </row>
        <row r="8606">
          <cell r="G8606" t="str">
            <v>1002_0</v>
          </cell>
          <cell r="H8606" t="str">
            <v>as-as</v>
          </cell>
          <cell r="I8606" t="str">
            <v>sim</v>
          </cell>
          <cell r="V8606" t="str">
            <v>not</v>
          </cell>
          <cell r="Y8606" t="str">
            <v>Pres</v>
          </cell>
          <cell r="Z8606">
            <v>3.93</v>
          </cell>
          <cell r="AA8606">
            <v>0</v>
          </cell>
          <cell r="AB8606">
            <v>0</v>
          </cell>
        </row>
        <row r="8607">
          <cell r="G8607" t="str">
            <v>1002_1</v>
          </cell>
          <cell r="H8607" t="str">
            <v>as-as</v>
          </cell>
          <cell r="I8607" t="str">
            <v>sim</v>
          </cell>
          <cell r="V8607" t="str">
            <v>not</v>
          </cell>
          <cell r="Y8607" t="str">
            <v>Pres</v>
          </cell>
          <cell r="Z8607">
            <v>3.93</v>
          </cell>
          <cell r="AA8607">
            <v>0</v>
          </cell>
          <cell r="AB8607">
            <v>0</v>
          </cell>
        </row>
        <row r="8608">
          <cell r="G8608" t="str">
            <v>1005_0</v>
          </cell>
          <cell r="H8608" t="str">
            <v>the-of</v>
          </cell>
          <cell r="I8608" t="str">
            <v>sim</v>
          </cell>
          <cell r="V8608" t="str">
            <v>not neg pair</v>
          </cell>
          <cell r="Y8608" t="str">
            <v>Pres</v>
          </cell>
          <cell r="Z8608">
            <v>4.93</v>
          </cell>
          <cell r="AA8608" t="str">
            <v>H</v>
          </cell>
          <cell r="AB8608">
            <v>0</v>
          </cell>
        </row>
        <row r="8609">
          <cell r="G8609" t="str">
            <v>1005_1</v>
          </cell>
          <cell r="H8609" t="str">
            <v>the-of</v>
          </cell>
          <cell r="I8609" t="str">
            <v>sim</v>
          </cell>
          <cell r="V8609" t="str">
            <v>not neg pair</v>
          </cell>
          <cell r="Y8609" t="str">
            <v>Pres</v>
          </cell>
          <cell r="Z8609">
            <v>4.93</v>
          </cell>
          <cell r="AA8609" t="str">
            <v>H</v>
          </cell>
          <cell r="AB8609">
            <v>0</v>
          </cell>
        </row>
        <row r="8610">
          <cell r="G8610" t="str">
            <v>1008_0</v>
          </cell>
          <cell r="H8610" t="str">
            <v>the-of</v>
          </cell>
          <cell r="I8610" t="str">
            <v>sim</v>
          </cell>
          <cell r="V8610" t="str">
            <v>not neg pair</v>
          </cell>
          <cell r="Y8610" t="str">
            <v>Pres</v>
          </cell>
          <cell r="Z8610">
            <v>4.8600000000000003</v>
          </cell>
          <cell r="AA8610">
            <v>0</v>
          </cell>
          <cell r="AB8610">
            <v>0</v>
          </cell>
        </row>
        <row r="8611">
          <cell r="G8611" t="str">
            <v>1008_1</v>
          </cell>
          <cell r="H8611" t="str">
            <v>the-of</v>
          </cell>
          <cell r="I8611" t="str">
            <v>sim</v>
          </cell>
          <cell r="V8611" t="str">
            <v>not neg pair</v>
          </cell>
          <cell r="Y8611" t="str">
            <v>Pres</v>
          </cell>
          <cell r="Z8611">
            <v>4.8600000000000003</v>
          </cell>
          <cell r="AA8611">
            <v>0</v>
          </cell>
          <cell r="AB8611">
            <v>0</v>
          </cell>
        </row>
        <row r="8612">
          <cell r="G8612" t="str">
            <v>1011_0</v>
          </cell>
          <cell r="H8612" t="str">
            <v>the-of</v>
          </cell>
          <cell r="I8612" t="str">
            <v>sim</v>
          </cell>
          <cell r="V8612" t="str">
            <v>not neg pair</v>
          </cell>
          <cell r="Y8612" t="str">
            <v>Pres</v>
          </cell>
          <cell r="Z8612">
            <v>4.46</v>
          </cell>
          <cell r="AA8612">
            <v>0</v>
          </cell>
          <cell r="AB8612">
            <v>0</v>
          </cell>
        </row>
        <row r="8613">
          <cell r="G8613" t="str">
            <v>1011_1</v>
          </cell>
          <cell r="H8613" t="str">
            <v>the-of</v>
          </cell>
          <cell r="I8613" t="str">
            <v>sim</v>
          </cell>
          <cell r="V8613" t="str">
            <v>not neg pair</v>
          </cell>
          <cell r="Y8613" t="str">
            <v>Pres</v>
          </cell>
          <cell r="Z8613">
            <v>4.46</v>
          </cell>
          <cell r="AA8613">
            <v>0</v>
          </cell>
          <cell r="AB8613">
            <v>0</v>
          </cell>
        </row>
        <row r="8614">
          <cell r="G8614" t="str">
            <v>1014_0</v>
          </cell>
          <cell r="H8614" t="str">
            <v>the-of</v>
          </cell>
          <cell r="I8614" t="str">
            <v>sim</v>
          </cell>
          <cell r="V8614" t="str">
            <v>not</v>
          </cell>
          <cell r="Y8614" t="str">
            <v>Pres</v>
          </cell>
          <cell r="Z8614">
            <v>4.21</v>
          </cell>
          <cell r="AA8614">
            <v>0</v>
          </cell>
          <cell r="AB8614">
            <v>0</v>
          </cell>
        </row>
        <row r="8615">
          <cell r="G8615" t="str">
            <v>1014_1</v>
          </cell>
          <cell r="H8615" t="str">
            <v>the-of</v>
          </cell>
          <cell r="I8615" t="str">
            <v>sim</v>
          </cell>
          <cell r="V8615" t="str">
            <v>not</v>
          </cell>
          <cell r="Y8615" t="str">
            <v>Pres</v>
          </cell>
          <cell r="Z8615">
            <v>4.21</v>
          </cell>
          <cell r="AA8615">
            <v>0</v>
          </cell>
          <cell r="AB8615">
            <v>0</v>
          </cell>
        </row>
        <row r="8616">
          <cell r="G8616" t="str">
            <v>1021_0</v>
          </cell>
          <cell r="H8616" t="str">
            <v>as-as</v>
          </cell>
          <cell r="I8616" t="str">
            <v>sim</v>
          </cell>
          <cell r="V8616" t="str">
            <v>not neg pair</v>
          </cell>
          <cell r="Y8616" t="str">
            <v>Pres</v>
          </cell>
          <cell r="Z8616">
            <v>5</v>
          </cell>
          <cell r="AA8616" t="str">
            <v>H</v>
          </cell>
          <cell r="AB8616">
            <v>0</v>
          </cell>
        </row>
        <row r="8617">
          <cell r="G8617" t="str">
            <v>1021_1</v>
          </cell>
          <cell r="H8617" t="str">
            <v>as-as</v>
          </cell>
          <cell r="I8617" t="str">
            <v>sim</v>
          </cell>
          <cell r="V8617" t="str">
            <v>not neg pair</v>
          </cell>
          <cell r="Y8617" t="str">
            <v>Pres</v>
          </cell>
          <cell r="Z8617">
            <v>5</v>
          </cell>
          <cell r="AA8617" t="str">
            <v>H</v>
          </cell>
          <cell r="AB8617">
            <v>0</v>
          </cell>
        </row>
        <row r="8618">
          <cell r="G8618" t="str">
            <v>1025_0</v>
          </cell>
          <cell r="H8618" t="str">
            <v>the-of</v>
          </cell>
          <cell r="I8618" t="str">
            <v>sim</v>
          </cell>
          <cell r="V8618" t="str">
            <v>not neg pair</v>
          </cell>
          <cell r="Y8618" t="str">
            <v>Pres</v>
          </cell>
          <cell r="Z8618">
            <v>4.59</v>
          </cell>
          <cell r="AA8618">
            <v>0</v>
          </cell>
          <cell r="AB8618">
            <v>0</v>
          </cell>
        </row>
        <row r="8619">
          <cell r="G8619" t="str">
            <v>1025_1</v>
          </cell>
          <cell r="H8619" t="str">
            <v>the-of</v>
          </cell>
          <cell r="I8619" t="str">
            <v>sim</v>
          </cell>
          <cell r="V8619" t="str">
            <v>not neg pair</v>
          </cell>
          <cell r="Y8619" t="str">
            <v>Pres</v>
          </cell>
          <cell r="Z8619">
            <v>4.59</v>
          </cell>
          <cell r="AA8619">
            <v>0</v>
          </cell>
          <cell r="AB8619">
            <v>0</v>
          </cell>
        </row>
        <row r="8620">
          <cell r="G8620" t="str">
            <v>1033_0</v>
          </cell>
          <cell r="H8620" t="str">
            <v>the-of</v>
          </cell>
          <cell r="I8620" t="str">
            <v>sim</v>
          </cell>
          <cell r="V8620" t="str">
            <v>not</v>
          </cell>
          <cell r="Y8620" t="str">
            <v>Pres</v>
          </cell>
          <cell r="Z8620">
            <v>4.72</v>
          </cell>
          <cell r="AA8620">
            <v>0</v>
          </cell>
          <cell r="AB8620">
            <v>0</v>
          </cell>
        </row>
        <row r="8621">
          <cell r="G8621" t="str">
            <v>1033_1</v>
          </cell>
          <cell r="H8621" t="str">
            <v>the-of</v>
          </cell>
          <cell r="I8621" t="str">
            <v>sim</v>
          </cell>
          <cell r="V8621" t="str">
            <v>not</v>
          </cell>
          <cell r="Y8621" t="str">
            <v>Pres</v>
          </cell>
          <cell r="Z8621">
            <v>4.72</v>
          </cell>
          <cell r="AA8621">
            <v>0</v>
          </cell>
          <cell r="AB8621">
            <v>0</v>
          </cell>
        </row>
        <row r="8622">
          <cell r="G8622" t="str">
            <v>1034_0</v>
          </cell>
          <cell r="H8622" t="str">
            <v>the-of</v>
          </cell>
          <cell r="I8622" t="str">
            <v>sim</v>
          </cell>
          <cell r="V8622" t="str">
            <v>not neg pair</v>
          </cell>
          <cell r="Y8622" t="str">
            <v>Pres</v>
          </cell>
          <cell r="Z8622">
            <v>5</v>
          </cell>
          <cell r="AA8622" t="str">
            <v>H</v>
          </cell>
          <cell r="AB8622">
            <v>0</v>
          </cell>
        </row>
        <row r="8623">
          <cell r="G8623" t="str">
            <v>1034_1</v>
          </cell>
          <cell r="H8623" t="str">
            <v>the-of</v>
          </cell>
          <cell r="I8623" t="str">
            <v>sim</v>
          </cell>
          <cell r="V8623" t="str">
            <v>not neg pair</v>
          </cell>
          <cell r="Y8623">
            <v>0</v>
          </cell>
          <cell r="Z8623">
            <v>5</v>
          </cell>
          <cell r="AA8623" t="str">
            <v>H</v>
          </cell>
          <cell r="AB8623">
            <v>0</v>
          </cell>
        </row>
        <row r="8624">
          <cell r="G8624" t="str">
            <v>1037_0</v>
          </cell>
          <cell r="H8624" t="str">
            <v>as-as</v>
          </cell>
          <cell r="I8624" t="str">
            <v>sim</v>
          </cell>
          <cell r="V8624" t="str">
            <v>not neg pair</v>
          </cell>
          <cell r="Y8624" t="str">
            <v>Past</v>
          </cell>
          <cell r="Z8624">
            <v>1.61</v>
          </cell>
          <cell r="AA8624" t="str">
            <v>L</v>
          </cell>
          <cell r="AB8624">
            <v>0</v>
          </cell>
        </row>
        <row r="8625">
          <cell r="G8625" t="str">
            <v>1037_1</v>
          </cell>
          <cell r="H8625" t="str">
            <v>as-as</v>
          </cell>
          <cell r="I8625" t="str">
            <v>sim</v>
          </cell>
          <cell r="V8625" t="str">
            <v>not neg pair</v>
          </cell>
          <cell r="Y8625" t="str">
            <v>Past</v>
          </cell>
          <cell r="Z8625">
            <v>1.61</v>
          </cell>
          <cell r="AA8625" t="str">
            <v>L</v>
          </cell>
          <cell r="AB8625">
            <v>0</v>
          </cell>
        </row>
        <row r="8626">
          <cell r="G8626" t="str">
            <v>1038_0</v>
          </cell>
          <cell r="H8626" t="str">
            <v>as-as</v>
          </cell>
          <cell r="I8626" t="str">
            <v>sim</v>
          </cell>
          <cell r="V8626" t="str">
            <v>not neg pair</v>
          </cell>
          <cell r="Y8626" t="str">
            <v>Past</v>
          </cell>
          <cell r="Z8626">
            <v>4.8499999999999996</v>
          </cell>
          <cell r="AA8626">
            <v>0</v>
          </cell>
          <cell r="AB8626">
            <v>0</v>
          </cell>
        </row>
        <row r="8627">
          <cell r="G8627" t="str">
            <v>1038_1</v>
          </cell>
          <cell r="H8627" t="str">
            <v>as-as</v>
          </cell>
          <cell r="I8627" t="str">
            <v>sim</v>
          </cell>
          <cell r="V8627" t="str">
            <v>not neg pair</v>
          </cell>
          <cell r="Y8627" t="str">
            <v>Past</v>
          </cell>
          <cell r="Z8627">
            <v>4.8499999999999996</v>
          </cell>
          <cell r="AA8627">
            <v>0</v>
          </cell>
          <cell r="AB8627">
            <v>0</v>
          </cell>
        </row>
        <row r="8628">
          <cell r="G8628" t="str">
            <v>1039_0</v>
          </cell>
          <cell r="H8628" t="str">
            <v>as</v>
          </cell>
          <cell r="I8628" t="str">
            <v>sim</v>
          </cell>
          <cell r="V8628" t="str">
            <v>0</v>
          </cell>
          <cell r="Y8628" t="str">
            <v>Pres</v>
          </cell>
          <cell r="Z8628">
            <v>3.68</v>
          </cell>
          <cell r="AA8628">
            <v>0</v>
          </cell>
          <cell r="AB8628">
            <v>0</v>
          </cell>
        </row>
        <row r="8629">
          <cell r="G8629" t="str">
            <v>1039_1</v>
          </cell>
          <cell r="H8629" t="str">
            <v/>
          </cell>
          <cell r="I8629" t="str">
            <v>met</v>
          </cell>
          <cell r="V8629" t="str">
            <v>0</v>
          </cell>
          <cell r="Y8629" t="str">
            <v>Pres</v>
          </cell>
          <cell r="Z8629">
            <v>3.68</v>
          </cell>
          <cell r="AA8629">
            <v>0</v>
          </cell>
          <cell r="AB8629">
            <v>0</v>
          </cell>
        </row>
        <row r="8630">
          <cell r="G8630" t="str">
            <v>1042_0</v>
          </cell>
          <cell r="H8630" t="str">
            <v/>
          </cell>
          <cell r="I8630" t="str">
            <v>met</v>
          </cell>
          <cell r="V8630" t="str">
            <v>0</v>
          </cell>
          <cell r="Y8630" t="str">
            <v>Pres</v>
          </cell>
          <cell r="Z8630">
            <v>3.04</v>
          </cell>
          <cell r="AA8630">
            <v>0</v>
          </cell>
          <cell r="AB8630">
            <v>0</v>
          </cell>
        </row>
        <row r="8631">
          <cell r="G8631" t="str">
            <v>1042_1</v>
          </cell>
          <cell r="H8631" t="str">
            <v/>
          </cell>
          <cell r="I8631" t="str">
            <v>met</v>
          </cell>
          <cell r="V8631" t="str">
            <v>0</v>
          </cell>
          <cell r="Y8631" t="str">
            <v>Pres</v>
          </cell>
          <cell r="Z8631">
            <v>3.04</v>
          </cell>
          <cell r="AA8631">
            <v>0</v>
          </cell>
          <cell r="AB8631">
            <v>0</v>
          </cell>
        </row>
        <row r="8632">
          <cell r="G8632" t="str">
            <v>1043_0</v>
          </cell>
          <cell r="H8632" t="str">
            <v>the-of</v>
          </cell>
          <cell r="I8632" t="str">
            <v>sim</v>
          </cell>
          <cell r="V8632" t="str">
            <v>not neg pair</v>
          </cell>
          <cell r="Y8632" t="str">
            <v>Pres</v>
          </cell>
          <cell r="Z8632">
            <v>5</v>
          </cell>
          <cell r="AA8632" t="str">
            <v>H</v>
          </cell>
          <cell r="AB8632">
            <v>0</v>
          </cell>
        </row>
        <row r="8633">
          <cell r="G8633" t="str">
            <v>1043_1</v>
          </cell>
          <cell r="H8633" t="str">
            <v>the-of</v>
          </cell>
          <cell r="I8633" t="str">
            <v>sim</v>
          </cell>
          <cell r="V8633" t="str">
            <v>not neg pair</v>
          </cell>
          <cell r="Y8633" t="str">
            <v>Pres</v>
          </cell>
          <cell r="Z8633">
            <v>5</v>
          </cell>
          <cell r="AA8633" t="str">
            <v>H</v>
          </cell>
          <cell r="AB8633">
            <v>0</v>
          </cell>
        </row>
        <row r="8634">
          <cell r="G8634" t="str">
            <v>1044_0</v>
          </cell>
          <cell r="H8634" t="str">
            <v>the-of</v>
          </cell>
          <cell r="I8634" t="str">
            <v>sim</v>
          </cell>
          <cell r="V8634" t="str">
            <v>not neg pair</v>
          </cell>
          <cell r="Y8634" t="str">
            <v>Past</v>
          </cell>
          <cell r="Z8634">
            <v>2.8</v>
          </cell>
          <cell r="AA8634" t="str">
            <v>L</v>
          </cell>
          <cell r="AB8634">
            <v>0</v>
          </cell>
        </row>
        <row r="8635">
          <cell r="G8635" t="str">
            <v>1044_1</v>
          </cell>
          <cell r="H8635" t="str">
            <v>the-of</v>
          </cell>
          <cell r="I8635" t="str">
            <v>sim</v>
          </cell>
          <cell r="V8635" t="str">
            <v>not neg pair</v>
          </cell>
          <cell r="Y8635" t="str">
            <v>Past</v>
          </cell>
          <cell r="Z8635">
            <v>2.8</v>
          </cell>
          <cell r="AA8635" t="str">
            <v>L</v>
          </cell>
          <cell r="AB8635">
            <v>0</v>
          </cell>
        </row>
        <row r="8636">
          <cell r="G8636" t="str">
            <v>1049_0</v>
          </cell>
          <cell r="H8636" t="str">
            <v>like</v>
          </cell>
          <cell r="I8636" t="str">
            <v>sim</v>
          </cell>
          <cell r="V8636" t="str">
            <v>not neg pair</v>
          </cell>
          <cell r="Y8636" t="str">
            <v>Past</v>
          </cell>
          <cell r="Z8636">
            <v>0</v>
          </cell>
          <cell r="AA8636">
            <v>0</v>
          </cell>
          <cell r="AB8636">
            <v>0</v>
          </cell>
        </row>
        <row r="8637">
          <cell r="G8637" t="str">
            <v>1049_1</v>
          </cell>
          <cell r="H8637" t="str">
            <v>like</v>
          </cell>
          <cell r="I8637" t="str">
            <v>sim</v>
          </cell>
          <cell r="V8637" t="str">
            <v>not neg pair</v>
          </cell>
          <cell r="Y8637" t="str">
            <v>Past</v>
          </cell>
          <cell r="Z8637">
            <v>0</v>
          </cell>
          <cell r="AA8637">
            <v>0</v>
          </cell>
          <cell r="AB8637">
            <v>0</v>
          </cell>
        </row>
        <row r="8638">
          <cell r="G8638" t="str">
            <v>1050_0</v>
          </cell>
          <cell r="H8638" t="str">
            <v>the-of</v>
          </cell>
          <cell r="I8638" t="str">
            <v>sim</v>
          </cell>
          <cell r="V8638" t="str">
            <v>not neg pair</v>
          </cell>
          <cell r="Y8638" t="str">
            <v>Pres</v>
          </cell>
          <cell r="Z8638">
            <v>4.59</v>
          </cell>
          <cell r="AA8638">
            <v>0</v>
          </cell>
          <cell r="AB8638">
            <v>0</v>
          </cell>
        </row>
        <row r="8639">
          <cell r="G8639" t="str">
            <v>1050_1</v>
          </cell>
          <cell r="H8639" t="str">
            <v>the-of</v>
          </cell>
          <cell r="I8639" t="str">
            <v>sim</v>
          </cell>
          <cell r="V8639" t="str">
            <v>not neg pair</v>
          </cell>
          <cell r="Y8639" t="str">
            <v>Pres</v>
          </cell>
          <cell r="Z8639">
            <v>4.59</v>
          </cell>
          <cell r="AA8639">
            <v>0</v>
          </cell>
          <cell r="AB8639">
            <v>0</v>
          </cell>
        </row>
        <row r="8640">
          <cell r="G8640" t="str">
            <v>1053_0</v>
          </cell>
          <cell r="H8640" t="str">
            <v>the-of</v>
          </cell>
          <cell r="I8640" t="str">
            <v>sim</v>
          </cell>
          <cell r="V8640" t="str">
            <v>not neg pair</v>
          </cell>
          <cell r="Y8640" t="str">
            <v>Past</v>
          </cell>
          <cell r="Z8640">
            <v>4.32</v>
          </cell>
          <cell r="AA8640">
            <v>0</v>
          </cell>
          <cell r="AB8640">
            <v>0</v>
          </cell>
        </row>
        <row r="8641">
          <cell r="G8641" t="str">
            <v>1053_1</v>
          </cell>
          <cell r="H8641" t="str">
            <v>the-of</v>
          </cell>
          <cell r="I8641" t="str">
            <v>sim</v>
          </cell>
          <cell r="V8641" t="str">
            <v>not neg pair</v>
          </cell>
          <cell r="Y8641" t="str">
            <v>Past</v>
          </cell>
          <cell r="Z8641">
            <v>4.32</v>
          </cell>
          <cell r="AA8641">
            <v>0</v>
          </cell>
          <cell r="AB8641">
            <v>0</v>
          </cell>
        </row>
        <row r="8642">
          <cell r="G8642" t="str">
            <v>1054_0</v>
          </cell>
          <cell r="H8642" t="str">
            <v>the-of</v>
          </cell>
          <cell r="I8642" t="str">
            <v>sim</v>
          </cell>
          <cell r="V8642" t="str">
            <v>not neg pair</v>
          </cell>
          <cell r="Y8642" t="str">
            <v>Past</v>
          </cell>
          <cell r="Z8642">
            <v>4.9000000000000004</v>
          </cell>
          <cell r="AA8642">
            <v>0</v>
          </cell>
          <cell r="AB8642">
            <v>0</v>
          </cell>
        </row>
        <row r="8643">
          <cell r="G8643" t="str">
            <v>1054_1</v>
          </cell>
          <cell r="H8643" t="str">
            <v>the-of</v>
          </cell>
          <cell r="I8643" t="str">
            <v>sim</v>
          </cell>
          <cell r="V8643" t="str">
            <v>not neg pair</v>
          </cell>
          <cell r="Y8643" t="str">
            <v>Past</v>
          </cell>
          <cell r="Z8643">
            <v>4.9000000000000004</v>
          </cell>
          <cell r="AA8643">
            <v>0</v>
          </cell>
          <cell r="AB8643">
            <v>0</v>
          </cell>
        </row>
        <row r="8644">
          <cell r="G8644" t="str">
            <v>1056_0</v>
          </cell>
          <cell r="H8644" t="str">
            <v>as-as</v>
          </cell>
          <cell r="I8644" t="str">
            <v>sim</v>
          </cell>
          <cell r="V8644" t="str">
            <v>not neg pair</v>
          </cell>
          <cell r="Y8644" t="str">
            <v>Past</v>
          </cell>
          <cell r="Z8644">
            <v>2.41</v>
          </cell>
          <cell r="AA8644" t="str">
            <v>L</v>
          </cell>
          <cell r="AB8644">
            <v>0</v>
          </cell>
        </row>
        <row r="8645">
          <cell r="G8645" t="str">
            <v>1056_1</v>
          </cell>
          <cell r="H8645" t="str">
            <v>as-as</v>
          </cell>
          <cell r="I8645" t="str">
            <v>sim</v>
          </cell>
          <cell r="V8645" t="str">
            <v>not neg pair</v>
          </cell>
          <cell r="Y8645" t="str">
            <v>Past</v>
          </cell>
          <cell r="Z8645">
            <v>2.41</v>
          </cell>
          <cell r="AA8645" t="str">
            <v>L</v>
          </cell>
          <cell r="AB8645">
            <v>0</v>
          </cell>
        </row>
        <row r="8646">
          <cell r="G8646" t="str">
            <v>1060_0</v>
          </cell>
          <cell r="H8646" t="str">
            <v>as-as</v>
          </cell>
          <cell r="I8646" t="str">
            <v>sim</v>
          </cell>
          <cell r="V8646" t="str">
            <v>antonym</v>
          </cell>
          <cell r="Y8646" t="str">
            <v>Pres</v>
          </cell>
          <cell r="Z8646">
            <v>4.46</v>
          </cell>
          <cell r="AA8646">
            <v>0</v>
          </cell>
          <cell r="AB8646">
            <v>0</v>
          </cell>
        </row>
        <row r="8647">
          <cell r="G8647" t="str">
            <v>1060_1</v>
          </cell>
          <cell r="H8647" t="str">
            <v>as-as</v>
          </cell>
          <cell r="I8647" t="str">
            <v>sim</v>
          </cell>
          <cell r="V8647" t="str">
            <v>antonym</v>
          </cell>
          <cell r="Y8647" t="str">
            <v>Pres</v>
          </cell>
          <cell r="Z8647">
            <v>4.46</v>
          </cell>
          <cell r="AA8647">
            <v>0</v>
          </cell>
          <cell r="AB8647">
            <v>0</v>
          </cell>
        </row>
        <row r="8648">
          <cell r="G8648" t="str">
            <v>1062_0</v>
          </cell>
          <cell r="H8648" t="str">
            <v>the-of</v>
          </cell>
          <cell r="I8648" t="str">
            <v>sim</v>
          </cell>
          <cell r="V8648" t="str">
            <v>not neg pair</v>
          </cell>
          <cell r="Y8648" t="str">
            <v>Pres</v>
          </cell>
          <cell r="Z8648">
            <v>4.5</v>
          </cell>
          <cell r="AA8648">
            <v>0</v>
          </cell>
          <cell r="AB8648">
            <v>0</v>
          </cell>
        </row>
        <row r="8649">
          <cell r="G8649" t="str">
            <v>1062_1</v>
          </cell>
          <cell r="H8649" t="str">
            <v>the-of</v>
          </cell>
          <cell r="I8649" t="str">
            <v>sim</v>
          </cell>
          <cell r="V8649" t="str">
            <v>not neg pair</v>
          </cell>
          <cell r="Y8649" t="str">
            <v>Pres</v>
          </cell>
          <cell r="Z8649">
            <v>4.5</v>
          </cell>
          <cell r="AA8649">
            <v>0</v>
          </cell>
          <cell r="AB8649">
            <v>0</v>
          </cell>
        </row>
        <row r="8650">
          <cell r="G8650" t="str">
            <v>1066_0</v>
          </cell>
          <cell r="H8650" t="str">
            <v/>
          </cell>
          <cell r="I8650" t="str">
            <v>met</v>
          </cell>
          <cell r="V8650" t="str">
            <v>0</v>
          </cell>
          <cell r="Y8650" t="str">
            <v>Pres</v>
          </cell>
          <cell r="Z8650">
            <v>4.55</v>
          </cell>
          <cell r="AA8650">
            <v>0</v>
          </cell>
          <cell r="AB8650">
            <v>0</v>
          </cell>
        </row>
        <row r="8651">
          <cell r="G8651" t="str">
            <v>1066_1</v>
          </cell>
          <cell r="H8651" t="str">
            <v/>
          </cell>
          <cell r="I8651" t="str">
            <v>met</v>
          </cell>
          <cell r="V8651" t="str">
            <v>0</v>
          </cell>
          <cell r="Y8651" t="str">
            <v>Pres</v>
          </cell>
          <cell r="Z8651">
            <v>4.55</v>
          </cell>
          <cell r="AA8651">
            <v>0</v>
          </cell>
          <cell r="AB8651">
            <v>0</v>
          </cell>
        </row>
        <row r="8652">
          <cell r="G8652" t="str">
            <v>1078_0</v>
          </cell>
          <cell r="H8652" t="str">
            <v>like</v>
          </cell>
          <cell r="I8652" t="str">
            <v>sim</v>
          </cell>
          <cell r="V8652" t="str">
            <v>not neg pair</v>
          </cell>
          <cell r="Y8652" t="str">
            <v>Past</v>
          </cell>
          <cell r="Z8652">
            <v>3.71</v>
          </cell>
          <cell r="AA8652">
            <v>0</v>
          </cell>
          <cell r="AB8652">
            <v>0</v>
          </cell>
        </row>
        <row r="8653">
          <cell r="G8653" t="str">
            <v>1078_1</v>
          </cell>
          <cell r="H8653" t="str">
            <v>like</v>
          </cell>
          <cell r="I8653" t="str">
            <v>sim</v>
          </cell>
          <cell r="V8653" t="str">
            <v>not neg pair</v>
          </cell>
          <cell r="Y8653" t="str">
            <v>Past</v>
          </cell>
          <cell r="Z8653">
            <v>3.71</v>
          </cell>
          <cell r="AA8653">
            <v>0</v>
          </cell>
          <cell r="AB8653">
            <v>0</v>
          </cell>
        </row>
        <row r="8654">
          <cell r="G8654" t="str">
            <v>1082_0</v>
          </cell>
          <cell r="H8654" t="str">
            <v>like</v>
          </cell>
          <cell r="I8654" t="str">
            <v>sim</v>
          </cell>
          <cell r="V8654" t="str">
            <v>not neg pair</v>
          </cell>
          <cell r="Y8654" t="str">
            <v>Pres</v>
          </cell>
          <cell r="Z8654">
            <v>4.3099999999999996</v>
          </cell>
          <cell r="AA8654">
            <v>0</v>
          </cell>
          <cell r="AB8654">
            <v>0</v>
          </cell>
        </row>
        <row r="8655">
          <cell r="G8655" t="str">
            <v>1082_1</v>
          </cell>
          <cell r="H8655" t="str">
            <v>like</v>
          </cell>
          <cell r="I8655" t="str">
            <v>sim</v>
          </cell>
          <cell r="V8655" t="str">
            <v>not neg pair</v>
          </cell>
          <cell r="Y8655" t="str">
            <v>Pres</v>
          </cell>
          <cell r="Z8655">
            <v>4.3099999999999996</v>
          </cell>
          <cell r="AA8655">
            <v>0</v>
          </cell>
          <cell r="AB8655">
            <v>0</v>
          </cell>
        </row>
        <row r="8656">
          <cell r="G8656" t="str">
            <v>1085_0</v>
          </cell>
          <cell r="H8656" t="str">
            <v/>
          </cell>
          <cell r="I8656" t="str">
            <v>met</v>
          </cell>
          <cell r="V8656" t="str">
            <v>0</v>
          </cell>
          <cell r="Y8656" t="str">
            <v>Pres</v>
          </cell>
          <cell r="Z8656">
            <v>4.17</v>
          </cell>
          <cell r="AA8656">
            <v>0</v>
          </cell>
          <cell r="AB8656">
            <v>0</v>
          </cell>
        </row>
        <row r="8657">
          <cell r="G8657" t="str">
            <v>1085_1</v>
          </cell>
          <cell r="H8657" t="str">
            <v/>
          </cell>
          <cell r="I8657" t="str">
            <v>met</v>
          </cell>
          <cell r="V8657" t="str">
            <v>0</v>
          </cell>
          <cell r="Y8657" t="str">
            <v>Pres</v>
          </cell>
          <cell r="Z8657">
            <v>4.17</v>
          </cell>
          <cell r="AA8657">
            <v>0</v>
          </cell>
          <cell r="AB8657">
            <v>0</v>
          </cell>
        </row>
        <row r="8658">
          <cell r="G8658" t="str">
            <v>1087_0</v>
          </cell>
          <cell r="H8658" t="str">
            <v>as-as</v>
          </cell>
          <cell r="I8658" t="str">
            <v>sim</v>
          </cell>
          <cell r="V8658" t="str">
            <v>not</v>
          </cell>
          <cell r="Y8658" t="str">
            <v>Pres</v>
          </cell>
          <cell r="Z8658">
            <v>2.81</v>
          </cell>
          <cell r="AA8658">
            <v>0</v>
          </cell>
          <cell r="AB8658">
            <v>0</v>
          </cell>
        </row>
        <row r="8659">
          <cell r="G8659" t="str">
            <v>1087_1</v>
          </cell>
          <cell r="H8659" t="str">
            <v>as-as</v>
          </cell>
          <cell r="I8659" t="str">
            <v>sim</v>
          </cell>
          <cell r="V8659" t="str">
            <v>not</v>
          </cell>
          <cell r="Y8659" t="str">
            <v>Pres</v>
          </cell>
          <cell r="Z8659">
            <v>2.81</v>
          </cell>
          <cell r="AA8659">
            <v>0</v>
          </cell>
          <cell r="AB8659">
            <v>0</v>
          </cell>
        </row>
        <row r="8660">
          <cell r="G8660" t="str">
            <v>1092_0</v>
          </cell>
          <cell r="H8660" t="str">
            <v>the-of</v>
          </cell>
          <cell r="I8660" t="str">
            <v>sim</v>
          </cell>
          <cell r="V8660" t="str">
            <v>not neg pair</v>
          </cell>
          <cell r="Y8660" t="str">
            <v>Pres</v>
          </cell>
          <cell r="Z8660">
            <v>4.9000000000000004</v>
          </cell>
          <cell r="AA8660">
            <v>0</v>
          </cell>
          <cell r="AB8660">
            <v>0</v>
          </cell>
        </row>
        <row r="8661">
          <cell r="G8661" t="str">
            <v>1092_1</v>
          </cell>
          <cell r="H8661" t="str">
            <v>the-of</v>
          </cell>
          <cell r="I8661" t="str">
            <v>sim</v>
          </cell>
          <cell r="V8661" t="str">
            <v>not neg pair</v>
          </cell>
          <cell r="Y8661" t="str">
            <v>Pres</v>
          </cell>
          <cell r="Z8661">
            <v>4.9000000000000004</v>
          </cell>
          <cell r="AA8661">
            <v>0</v>
          </cell>
          <cell r="AB8661">
            <v>0</v>
          </cell>
        </row>
        <row r="8662">
          <cell r="G8662" t="str">
            <v>1094_0</v>
          </cell>
          <cell r="H8662" t="str">
            <v>as-as</v>
          </cell>
          <cell r="I8662" t="str">
            <v>sim</v>
          </cell>
          <cell r="V8662" t="str">
            <v>antonym</v>
          </cell>
          <cell r="Y8662" t="str">
            <v>Pres</v>
          </cell>
          <cell r="Z8662">
            <v>4.1100000000000003</v>
          </cell>
          <cell r="AA8662">
            <v>0</v>
          </cell>
          <cell r="AB8662">
            <v>0</v>
          </cell>
        </row>
        <row r="8663">
          <cell r="G8663" t="str">
            <v>1094_1</v>
          </cell>
          <cell r="H8663" t="str">
            <v>as-as</v>
          </cell>
          <cell r="I8663" t="str">
            <v>sim</v>
          </cell>
          <cell r="V8663" t="str">
            <v>antonym</v>
          </cell>
          <cell r="Y8663" t="str">
            <v>Pres</v>
          </cell>
          <cell r="Z8663">
            <v>4.1100000000000003</v>
          </cell>
          <cell r="AA8663">
            <v>0</v>
          </cell>
          <cell r="AB8663">
            <v>0</v>
          </cell>
        </row>
        <row r="8664">
          <cell r="G8664" t="str">
            <v>1098_0</v>
          </cell>
          <cell r="H8664" t="str">
            <v>as-as</v>
          </cell>
          <cell r="I8664" t="str">
            <v>sim</v>
          </cell>
          <cell r="V8664" t="str">
            <v>not</v>
          </cell>
          <cell r="Y8664" t="str">
            <v>Pres</v>
          </cell>
          <cell r="Z8664">
            <v>3.93</v>
          </cell>
          <cell r="AA8664">
            <v>0</v>
          </cell>
          <cell r="AB8664">
            <v>0</v>
          </cell>
        </row>
        <row r="8665">
          <cell r="G8665" t="str">
            <v>1098_1</v>
          </cell>
          <cell r="H8665" t="str">
            <v>as-as</v>
          </cell>
          <cell r="I8665" t="str">
            <v>sim</v>
          </cell>
          <cell r="V8665" t="str">
            <v>not</v>
          </cell>
          <cell r="Y8665" t="str">
            <v>Pres</v>
          </cell>
          <cell r="Z8665">
            <v>3.93</v>
          </cell>
          <cell r="AA8665">
            <v>0</v>
          </cell>
          <cell r="AB8665">
            <v>0</v>
          </cell>
        </row>
        <row r="8666">
          <cell r="G8666" t="str">
            <v>1103_0</v>
          </cell>
          <cell r="H8666" t="str">
            <v/>
          </cell>
          <cell r="I8666" t="str">
            <v>met</v>
          </cell>
          <cell r="V8666" t="str">
            <v>0</v>
          </cell>
          <cell r="Y8666" t="str">
            <v>Pres</v>
          </cell>
          <cell r="Z8666">
            <v>4.5199999999999996</v>
          </cell>
          <cell r="AA8666">
            <v>0</v>
          </cell>
          <cell r="AB8666">
            <v>0</v>
          </cell>
        </row>
        <row r="8667">
          <cell r="G8667" t="str">
            <v>1103_1</v>
          </cell>
          <cell r="H8667" t="str">
            <v/>
          </cell>
          <cell r="I8667" t="str">
            <v>met</v>
          </cell>
          <cell r="V8667" t="str">
            <v>0</v>
          </cell>
          <cell r="Y8667" t="str">
            <v>Pres</v>
          </cell>
          <cell r="Z8667">
            <v>4.5199999999999996</v>
          </cell>
          <cell r="AA8667">
            <v>0</v>
          </cell>
          <cell r="AB8667">
            <v>0</v>
          </cell>
        </row>
        <row r="8668">
          <cell r="G8668" t="str">
            <v>1104_0</v>
          </cell>
          <cell r="H8668" t="str">
            <v/>
          </cell>
          <cell r="I8668" t="str">
            <v>met</v>
          </cell>
          <cell r="V8668" t="str">
            <v>0</v>
          </cell>
          <cell r="Y8668" t="str">
            <v>Pres</v>
          </cell>
          <cell r="Z8668">
            <v>4.29</v>
          </cell>
          <cell r="AA8668">
            <v>0</v>
          </cell>
          <cell r="AB8668">
            <v>0</v>
          </cell>
        </row>
        <row r="8669">
          <cell r="G8669" t="str">
            <v>1104_1</v>
          </cell>
          <cell r="H8669" t="str">
            <v/>
          </cell>
          <cell r="I8669" t="str">
            <v>met</v>
          </cell>
          <cell r="V8669" t="str">
            <v>0</v>
          </cell>
          <cell r="Y8669" t="str">
            <v>Pres</v>
          </cell>
          <cell r="Z8669">
            <v>4.29</v>
          </cell>
          <cell r="AA8669">
            <v>0</v>
          </cell>
          <cell r="AB8669">
            <v>0</v>
          </cell>
        </row>
        <row r="8670">
          <cell r="G8670" t="str">
            <v>1107_0</v>
          </cell>
          <cell r="H8670" t="str">
            <v>as-as</v>
          </cell>
          <cell r="I8670" t="str">
            <v>sim</v>
          </cell>
          <cell r="V8670" t="str">
            <v>not</v>
          </cell>
          <cell r="Y8670" t="str">
            <v>Past</v>
          </cell>
          <cell r="Z8670">
            <v>5</v>
          </cell>
          <cell r="AA8670" t="str">
            <v>H</v>
          </cell>
          <cell r="AB8670">
            <v>0</v>
          </cell>
        </row>
        <row r="8671">
          <cell r="G8671" t="str">
            <v>1107_1</v>
          </cell>
          <cell r="H8671" t="str">
            <v>as-as</v>
          </cell>
          <cell r="I8671" t="str">
            <v>sim</v>
          </cell>
          <cell r="V8671" t="str">
            <v>not</v>
          </cell>
          <cell r="Y8671" t="str">
            <v>Past</v>
          </cell>
          <cell r="Z8671">
            <v>5</v>
          </cell>
          <cell r="AA8671" t="str">
            <v>H</v>
          </cell>
          <cell r="AB8671">
            <v>0</v>
          </cell>
        </row>
        <row r="8672">
          <cell r="G8672" t="str">
            <v>1114_0</v>
          </cell>
          <cell r="H8672" t="str">
            <v>the-of</v>
          </cell>
          <cell r="I8672" t="str">
            <v>sim</v>
          </cell>
          <cell r="V8672" t="str">
            <v>not neg pair</v>
          </cell>
          <cell r="Y8672" t="str">
            <v>Past</v>
          </cell>
          <cell r="Z8672">
            <v>4.93</v>
          </cell>
          <cell r="AA8672" t="str">
            <v>H</v>
          </cell>
          <cell r="AB8672">
            <v>0</v>
          </cell>
        </row>
        <row r="8673">
          <cell r="G8673" t="str">
            <v>1114_1</v>
          </cell>
          <cell r="H8673" t="str">
            <v>the-of</v>
          </cell>
          <cell r="I8673" t="str">
            <v>sim</v>
          </cell>
          <cell r="V8673" t="str">
            <v>not neg pair</v>
          </cell>
          <cell r="Y8673" t="str">
            <v>Past</v>
          </cell>
          <cell r="Z8673">
            <v>4.93</v>
          </cell>
          <cell r="AA8673" t="str">
            <v>H</v>
          </cell>
          <cell r="AB8673">
            <v>0</v>
          </cell>
        </row>
        <row r="8674">
          <cell r="G8674" t="str">
            <v>1119_0</v>
          </cell>
          <cell r="H8674" t="str">
            <v>the-of</v>
          </cell>
          <cell r="I8674" t="str">
            <v>sim</v>
          </cell>
          <cell r="V8674" t="str">
            <v>not neg pair</v>
          </cell>
          <cell r="Y8674" t="str">
            <v>Past</v>
          </cell>
          <cell r="Z8674">
            <v>4.6399999999999997</v>
          </cell>
          <cell r="AA8674">
            <v>0</v>
          </cell>
          <cell r="AB8674">
            <v>0</v>
          </cell>
        </row>
        <row r="8675">
          <cell r="G8675" t="str">
            <v>1119_1</v>
          </cell>
          <cell r="H8675" t="str">
            <v>the-of</v>
          </cell>
          <cell r="I8675" t="str">
            <v>sim</v>
          </cell>
          <cell r="V8675" t="str">
            <v>not neg pair</v>
          </cell>
          <cell r="Y8675" t="str">
            <v>Past</v>
          </cell>
          <cell r="Z8675">
            <v>3.96</v>
          </cell>
          <cell r="AA8675">
            <v>0</v>
          </cell>
          <cell r="AB8675">
            <v>0</v>
          </cell>
        </row>
        <row r="8676">
          <cell r="G8676" t="str">
            <v>1120_0</v>
          </cell>
          <cell r="H8676" t="str">
            <v>the-of</v>
          </cell>
          <cell r="I8676" t="str">
            <v>sim</v>
          </cell>
          <cell r="V8676" t="str">
            <v>not neg pair</v>
          </cell>
          <cell r="Y8676" t="str">
            <v>Pres</v>
          </cell>
          <cell r="Z8676">
            <v>0</v>
          </cell>
          <cell r="AA8676">
            <v>0</v>
          </cell>
          <cell r="AB8676">
            <v>0</v>
          </cell>
        </row>
        <row r="8677">
          <cell r="G8677" t="str">
            <v>1120_1</v>
          </cell>
          <cell r="H8677" t="str">
            <v>the-of</v>
          </cell>
          <cell r="I8677" t="str">
            <v>sim</v>
          </cell>
          <cell r="V8677" t="str">
            <v>not neg pair</v>
          </cell>
          <cell r="Y8677">
            <v>0</v>
          </cell>
          <cell r="Z8677">
            <v>0</v>
          </cell>
          <cell r="AA8677">
            <v>0</v>
          </cell>
          <cell r="AB8677">
            <v>0</v>
          </cell>
        </row>
        <row r="8678">
          <cell r="G8678" t="str">
            <v>1124_0</v>
          </cell>
          <cell r="H8678" t="str">
            <v>like</v>
          </cell>
          <cell r="I8678" t="str">
            <v>sim</v>
          </cell>
          <cell r="V8678" t="str">
            <v>not neg pair</v>
          </cell>
          <cell r="Y8678" t="str">
            <v>Pres</v>
          </cell>
          <cell r="Z8678">
            <v>2.41</v>
          </cell>
          <cell r="AA8678" t="str">
            <v>L</v>
          </cell>
          <cell r="AB8678">
            <v>0</v>
          </cell>
        </row>
        <row r="8679">
          <cell r="G8679" t="str">
            <v>1124_1</v>
          </cell>
          <cell r="H8679" t="str">
            <v>like</v>
          </cell>
          <cell r="I8679" t="str">
            <v>sim</v>
          </cell>
          <cell r="V8679" t="str">
            <v>not neg pair</v>
          </cell>
          <cell r="Y8679" t="str">
            <v>Pres</v>
          </cell>
          <cell r="Z8679">
            <v>2.41</v>
          </cell>
          <cell r="AA8679" t="str">
            <v>L</v>
          </cell>
          <cell r="AB8679">
            <v>0</v>
          </cell>
        </row>
        <row r="8680">
          <cell r="G8680" t="str">
            <v>1129_0</v>
          </cell>
          <cell r="H8680" t="str">
            <v>as-as</v>
          </cell>
          <cell r="I8680" t="str">
            <v>sim</v>
          </cell>
          <cell r="V8680" t="str">
            <v>not neg pair</v>
          </cell>
          <cell r="Y8680" t="str">
            <v>Past</v>
          </cell>
          <cell r="Z8680">
            <v>3.93</v>
          </cell>
          <cell r="AA8680">
            <v>0</v>
          </cell>
          <cell r="AB8680">
            <v>0</v>
          </cell>
        </row>
        <row r="8681">
          <cell r="G8681" t="str">
            <v>1129_1</v>
          </cell>
          <cell r="H8681" t="str">
            <v>as-as</v>
          </cell>
          <cell r="I8681" t="str">
            <v>sim</v>
          </cell>
          <cell r="V8681" t="str">
            <v>not neg pair</v>
          </cell>
          <cell r="Y8681" t="str">
            <v>Past</v>
          </cell>
          <cell r="Z8681">
            <v>4.82</v>
          </cell>
          <cell r="AA8681">
            <v>0</v>
          </cell>
          <cell r="AB8681">
            <v>0</v>
          </cell>
        </row>
        <row r="8682">
          <cell r="G8682" t="str">
            <v>1133_0</v>
          </cell>
          <cell r="H8682" t="str">
            <v>as-as</v>
          </cell>
          <cell r="I8682" t="str">
            <v>sim</v>
          </cell>
          <cell r="V8682" t="str">
            <v>not</v>
          </cell>
          <cell r="Y8682" t="str">
            <v>Past</v>
          </cell>
          <cell r="Z8682">
            <v>3.93</v>
          </cell>
          <cell r="AA8682">
            <v>0</v>
          </cell>
          <cell r="AB8682">
            <v>0</v>
          </cell>
        </row>
        <row r="8683">
          <cell r="G8683" t="str">
            <v>1133_1</v>
          </cell>
          <cell r="H8683" t="str">
            <v>as-as</v>
          </cell>
          <cell r="I8683" t="str">
            <v>sim</v>
          </cell>
          <cell r="V8683" t="str">
            <v>not</v>
          </cell>
          <cell r="Y8683" t="str">
            <v>Past</v>
          </cell>
          <cell r="Z8683">
            <v>3.93</v>
          </cell>
          <cell r="AA8683">
            <v>0</v>
          </cell>
          <cell r="AB8683">
            <v>0</v>
          </cell>
        </row>
        <row r="8684">
          <cell r="G8684" t="str">
            <v>1134_0</v>
          </cell>
          <cell r="H8684" t="str">
            <v>as</v>
          </cell>
          <cell r="I8684" t="str">
            <v>sim</v>
          </cell>
          <cell r="V8684" t="str">
            <v>not</v>
          </cell>
          <cell r="Y8684" t="str">
            <v>Pres</v>
          </cell>
          <cell r="Z8684">
            <v>4.1100000000000003</v>
          </cell>
          <cell r="AA8684">
            <v>0</v>
          </cell>
          <cell r="AB8684">
            <v>0</v>
          </cell>
        </row>
        <row r="8685">
          <cell r="G8685" t="str">
            <v>1134_1</v>
          </cell>
          <cell r="H8685" t="str">
            <v>as</v>
          </cell>
          <cell r="I8685" t="str">
            <v>sim</v>
          </cell>
          <cell r="V8685" t="str">
            <v>not</v>
          </cell>
          <cell r="Y8685" t="str">
            <v>Pres</v>
          </cell>
          <cell r="Z8685">
            <v>4.1100000000000003</v>
          </cell>
          <cell r="AA8685">
            <v>0</v>
          </cell>
          <cell r="AB8685">
            <v>0</v>
          </cell>
        </row>
        <row r="8686">
          <cell r="G8686" t="str">
            <v>1136_0</v>
          </cell>
          <cell r="H8686" t="str">
            <v>the-of</v>
          </cell>
          <cell r="I8686" t="str">
            <v>sim</v>
          </cell>
          <cell r="V8686" t="str">
            <v>not</v>
          </cell>
          <cell r="Y8686" t="str">
            <v>Past</v>
          </cell>
          <cell r="Z8686">
            <v>4.46</v>
          </cell>
          <cell r="AA8686">
            <v>0</v>
          </cell>
          <cell r="AB8686">
            <v>0</v>
          </cell>
        </row>
        <row r="8687">
          <cell r="G8687" t="str">
            <v>1136_1</v>
          </cell>
          <cell r="H8687" t="str">
            <v>the-of</v>
          </cell>
          <cell r="I8687" t="str">
            <v>sim</v>
          </cell>
          <cell r="V8687" t="str">
            <v>not</v>
          </cell>
          <cell r="Y8687" t="str">
            <v>Past</v>
          </cell>
          <cell r="Z8687">
            <v>4.46</v>
          </cell>
          <cell r="AA8687">
            <v>0</v>
          </cell>
          <cell r="AB8687">
            <v>0</v>
          </cell>
        </row>
        <row r="8688">
          <cell r="G8688" t="str">
            <v>1137_0</v>
          </cell>
          <cell r="H8688" t="str">
            <v>the-of</v>
          </cell>
          <cell r="I8688" t="str">
            <v>sim</v>
          </cell>
          <cell r="V8688" t="str">
            <v>not</v>
          </cell>
          <cell r="Y8688" t="str">
            <v>Past</v>
          </cell>
          <cell r="Z8688">
            <v>4.79</v>
          </cell>
          <cell r="AA8688">
            <v>0</v>
          </cell>
          <cell r="AB8688">
            <v>0</v>
          </cell>
        </row>
        <row r="8689">
          <cell r="G8689" t="str">
            <v>1137_1</v>
          </cell>
          <cell r="H8689" t="str">
            <v>the-of</v>
          </cell>
          <cell r="I8689" t="str">
            <v>sim</v>
          </cell>
          <cell r="V8689" t="str">
            <v>not</v>
          </cell>
          <cell r="Y8689" t="str">
            <v>Past</v>
          </cell>
          <cell r="Z8689">
            <v>4.79</v>
          </cell>
          <cell r="AA8689">
            <v>0</v>
          </cell>
          <cell r="AB8689">
            <v>0</v>
          </cell>
        </row>
        <row r="8690">
          <cell r="G8690" t="str">
            <v>1144_0</v>
          </cell>
          <cell r="H8690" t="str">
            <v>the-of</v>
          </cell>
          <cell r="I8690" t="str">
            <v>sim</v>
          </cell>
          <cell r="V8690" t="str">
            <v>0</v>
          </cell>
          <cell r="Y8690" t="str">
            <v>Past</v>
          </cell>
          <cell r="Z8690">
            <v>4.6900000000000004</v>
          </cell>
          <cell r="AA8690">
            <v>0</v>
          </cell>
          <cell r="AB8690">
            <v>0</v>
          </cell>
        </row>
        <row r="8691">
          <cell r="G8691" t="str">
            <v>1144_1</v>
          </cell>
          <cell r="H8691" t="str">
            <v/>
          </cell>
          <cell r="I8691" t="str">
            <v>met</v>
          </cell>
          <cell r="V8691" t="str">
            <v>0</v>
          </cell>
          <cell r="Y8691" t="str">
            <v>Past</v>
          </cell>
          <cell r="Z8691">
            <v>4.6900000000000004</v>
          </cell>
          <cell r="AA8691">
            <v>0</v>
          </cell>
          <cell r="AB8691">
            <v>0</v>
          </cell>
        </row>
        <row r="8692">
          <cell r="G8692" t="str">
            <v>1146_0</v>
          </cell>
          <cell r="H8692" t="str">
            <v>the-of</v>
          </cell>
          <cell r="I8692" t="str">
            <v>sim</v>
          </cell>
          <cell r="V8692" t="str">
            <v>not neg pair</v>
          </cell>
          <cell r="Y8692" t="str">
            <v>Pres</v>
          </cell>
          <cell r="Z8692">
            <v>2.59</v>
          </cell>
          <cell r="AA8692" t="str">
            <v>L</v>
          </cell>
          <cell r="AB8692">
            <v>0</v>
          </cell>
        </row>
        <row r="8693">
          <cell r="G8693" t="str">
            <v>1146_1</v>
          </cell>
          <cell r="H8693" t="str">
            <v>the-of</v>
          </cell>
          <cell r="I8693" t="str">
            <v>sim</v>
          </cell>
          <cell r="V8693" t="str">
            <v>not neg pair</v>
          </cell>
          <cell r="Y8693" t="str">
            <v>Pres</v>
          </cell>
          <cell r="Z8693">
            <v>2.59</v>
          </cell>
          <cell r="AA8693" t="str">
            <v>L</v>
          </cell>
          <cell r="AB8693">
            <v>0</v>
          </cell>
        </row>
        <row r="8694">
          <cell r="G8694" t="str">
            <v>1147_0</v>
          </cell>
          <cell r="H8694" t="str">
            <v>like</v>
          </cell>
          <cell r="I8694" t="str">
            <v>sim</v>
          </cell>
          <cell r="V8694" t="str">
            <v>not neg pair</v>
          </cell>
          <cell r="Y8694" t="str">
            <v>Pres</v>
          </cell>
          <cell r="Z8694">
            <v>4.5</v>
          </cell>
          <cell r="AA8694">
            <v>0</v>
          </cell>
          <cell r="AB8694">
            <v>0</v>
          </cell>
        </row>
        <row r="8695">
          <cell r="G8695" t="str">
            <v>1147_1</v>
          </cell>
          <cell r="H8695" t="str">
            <v>like</v>
          </cell>
          <cell r="I8695" t="str">
            <v>sim</v>
          </cell>
          <cell r="V8695" t="str">
            <v>not neg pair</v>
          </cell>
          <cell r="Y8695" t="str">
            <v>Pres</v>
          </cell>
          <cell r="Z8695">
            <v>4.5</v>
          </cell>
          <cell r="AA8695">
            <v>0</v>
          </cell>
          <cell r="AB8695">
            <v>0</v>
          </cell>
        </row>
        <row r="8696">
          <cell r="G8696" t="str">
            <v>1150_0</v>
          </cell>
          <cell r="H8696" t="str">
            <v/>
          </cell>
          <cell r="I8696" t="str">
            <v>met</v>
          </cell>
          <cell r="V8696" t="str">
            <v>0</v>
          </cell>
          <cell r="Y8696" t="str">
            <v>Past</v>
          </cell>
          <cell r="Z8696">
            <v>0</v>
          </cell>
          <cell r="AA8696">
            <v>0</v>
          </cell>
          <cell r="AB8696">
            <v>0</v>
          </cell>
        </row>
        <row r="8697">
          <cell r="G8697" t="str">
            <v>1150_1</v>
          </cell>
          <cell r="H8697" t="str">
            <v/>
          </cell>
          <cell r="I8697" t="str">
            <v>met</v>
          </cell>
          <cell r="V8697" t="str">
            <v>0</v>
          </cell>
          <cell r="Y8697" t="str">
            <v>Past</v>
          </cell>
          <cell r="Z8697">
            <v>0</v>
          </cell>
          <cell r="AA8697">
            <v>0</v>
          </cell>
          <cell r="AB8697">
            <v>0</v>
          </cell>
        </row>
        <row r="8698">
          <cell r="G8698" t="str">
            <v>1153_0</v>
          </cell>
          <cell r="H8698" t="str">
            <v>the-of</v>
          </cell>
          <cell r="I8698" t="str">
            <v>sim</v>
          </cell>
          <cell r="V8698" t="str">
            <v>not neg pair</v>
          </cell>
          <cell r="Y8698" t="str">
            <v>Past</v>
          </cell>
          <cell r="Z8698">
            <v>3.93</v>
          </cell>
          <cell r="AA8698">
            <v>0</v>
          </cell>
          <cell r="AB8698">
            <v>0</v>
          </cell>
        </row>
        <row r="8699">
          <cell r="G8699" t="str">
            <v>1153_1</v>
          </cell>
          <cell r="H8699" t="str">
            <v>the-of</v>
          </cell>
          <cell r="I8699" t="str">
            <v>sim</v>
          </cell>
          <cell r="V8699" t="str">
            <v>not neg pair</v>
          </cell>
          <cell r="Y8699" t="str">
            <v>Past</v>
          </cell>
          <cell r="Z8699">
            <v>3.93</v>
          </cell>
          <cell r="AA8699">
            <v>0</v>
          </cell>
          <cell r="AB8699">
            <v>0</v>
          </cell>
        </row>
        <row r="8700">
          <cell r="G8700" t="str">
            <v>1154_0</v>
          </cell>
          <cell r="H8700" t="str">
            <v>as-as</v>
          </cell>
          <cell r="I8700" t="str">
            <v>sim</v>
          </cell>
          <cell r="V8700" t="str">
            <v>antonym</v>
          </cell>
          <cell r="Y8700" t="str">
            <v>Pres</v>
          </cell>
          <cell r="Z8700">
            <v>0</v>
          </cell>
          <cell r="AA8700">
            <v>0</v>
          </cell>
          <cell r="AB8700">
            <v>0</v>
          </cell>
        </row>
        <row r="8701">
          <cell r="G8701" t="str">
            <v>1154_1</v>
          </cell>
          <cell r="H8701" t="str">
            <v>as-as</v>
          </cell>
          <cell r="I8701" t="str">
            <v>sim</v>
          </cell>
          <cell r="V8701" t="str">
            <v>antonym</v>
          </cell>
          <cell r="Y8701" t="str">
            <v>Pres</v>
          </cell>
          <cell r="Z8701">
            <v>0</v>
          </cell>
          <cell r="AA8701">
            <v>0</v>
          </cell>
          <cell r="AB8701">
            <v>0</v>
          </cell>
        </row>
        <row r="8702">
          <cell r="G8702" t="str">
            <v>1155_0</v>
          </cell>
          <cell r="H8702" t="str">
            <v>as</v>
          </cell>
          <cell r="I8702" t="str">
            <v>sim</v>
          </cell>
          <cell r="V8702" t="str">
            <v>not neg pair</v>
          </cell>
          <cell r="Y8702" t="str">
            <v>Pres</v>
          </cell>
          <cell r="Z8702">
            <v>0</v>
          </cell>
          <cell r="AA8702">
            <v>0</v>
          </cell>
          <cell r="AB8702">
            <v>0</v>
          </cell>
        </row>
        <row r="8703">
          <cell r="G8703" t="str">
            <v>1155_1</v>
          </cell>
          <cell r="H8703" t="str">
            <v>as</v>
          </cell>
          <cell r="I8703" t="str">
            <v>sim</v>
          </cell>
          <cell r="V8703" t="str">
            <v>not neg pair</v>
          </cell>
          <cell r="Y8703" t="str">
            <v>Pres</v>
          </cell>
          <cell r="Z8703">
            <v>0</v>
          </cell>
          <cell r="AA8703">
            <v>0</v>
          </cell>
          <cell r="AB8703">
            <v>0</v>
          </cell>
        </row>
        <row r="8704">
          <cell r="G8704" t="str">
            <v>1156_0</v>
          </cell>
          <cell r="H8704" t="str">
            <v/>
          </cell>
          <cell r="I8704" t="str">
            <v>met</v>
          </cell>
          <cell r="V8704" t="str">
            <v>0</v>
          </cell>
          <cell r="Y8704" t="str">
            <v>Past</v>
          </cell>
          <cell r="Z8704">
            <v>5</v>
          </cell>
          <cell r="AA8704" t="str">
            <v>H</v>
          </cell>
          <cell r="AB8704">
            <v>0</v>
          </cell>
        </row>
        <row r="8705">
          <cell r="G8705" t="str">
            <v>1156_1</v>
          </cell>
          <cell r="H8705" t="str">
            <v/>
          </cell>
          <cell r="I8705" t="str">
            <v>met</v>
          </cell>
          <cell r="V8705" t="str">
            <v>0</v>
          </cell>
          <cell r="Y8705" t="str">
            <v>Past</v>
          </cell>
          <cell r="Z8705">
            <v>5</v>
          </cell>
          <cell r="AA8705" t="str">
            <v>H</v>
          </cell>
          <cell r="AB8705">
            <v>0</v>
          </cell>
        </row>
        <row r="8706">
          <cell r="G8706" t="str">
            <v>1163_0</v>
          </cell>
          <cell r="H8706" t="str">
            <v/>
          </cell>
          <cell r="I8706" t="str">
            <v>met</v>
          </cell>
          <cell r="V8706" t="str">
            <v>0</v>
          </cell>
          <cell r="Y8706" t="str">
            <v>Past</v>
          </cell>
          <cell r="Z8706">
            <v>5</v>
          </cell>
          <cell r="AA8706" t="str">
            <v>H</v>
          </cell>
          <cell r="AB8706">
            <v>0</v>
          </cell>
        </row>
        <row r="8707">
          <cell r="G8707" t="str">
            <v>1163_1</v>
          </cell>
          <cell r="H8707" t="str">
            <v/>
          </cell>
          <cell r="I8707" t="str">
            <v>met</v>
          </cell>
          <cell r="V8707" t="str">
            <v>0</v>
          </cell>
          <cell r="Y8707" t="str">
            <v>Past</v>
          </cell>
          <cell r="Z8707">
            <v>5</v>
          </cell>
          <cell r="AA8707" t="str">
            <v>H</v>
          </cell>
          <cell r="AB8707">
            <v>0</v>
          </cell>
        </row>
        <row r="8708">
          <cell r="G8708" t="str">
            <v>1170_0</v>
          </cell>
          <cell r="H8708" t="str">
            <v>as-as</v>
          </cell>
          <cell r="I8708" t="str">
            <v>sim</v>
          </cell>
          <cell r="V8708" t="str">
            <v>antonym</v>
          </cell>
          <cell r="Y8708" t="str">
            <v>Pres</v>
          </cell>
          <cell r="Z8708">
            <v>4.92</v>
          </cell>
          <cell r="AA8708" t="str">
            <v>H</v>
          </cell>
          <cell r="AB8708">
            <v>0</v>
          </cell>
        </row>
        <row r="8709">
          <cell r="G8709" t="str">
            <v>1170_1</v>
          </cell>
          <cell r="H8709" t="str">
            <v>as-as</v>
          </cell>
          <cell r="I8709" t="str">
            <v>sim</v>
          </cell>
          <cell r="V8709" t="str">
            <v>antonym</v>
          </cell>
          <cell r="Y8709" t="str">
            <v>Pres</v>
          </cell>
          <cell r="Z8709">
            <v>4.92</v>
          </cell>
          <cell r="AA8709" t="str">
            <v>H</v>
          </cell>
          <cell r="AB8709">
            <v>0</v>
          </cell>
        </row>
        <row r="8710">
          <cell r="G8710" t="str">
            <v>1173_0</v>
          </cell>
          <cell r="H8710" t="str">
            <v/>
          </cell>
          <cell r="I8710" t="str">
            <v>met</v>
          </cell>
          <cell r="V8710" t="str">
            <v>0</v>
          </cell>
          <cell r="Y8710" t="str">
            <v>Pres</v>
          </cell>
          <cell r="Z8710">
            <v>5</v>
          </cell>
          <cell r="AA8710" t="str">
            <v>H</v>
          </cell>
          <cell r="AB8710">
            <v>0</v>
          </cell>
        </row>
        <row r="8711">
          <cell r="G8711" t="str">
            <v>1173_1</v>
          </cell>
          <cell r="H8711" t="str">
            <v/>
          </cell>
          <cell r="I8711" t="str">
            <v>met</v>
          </cell>
          <cell r="V8711" t="str">
            <v>0</v>
          </cell>
          <cell r="Y8711" t="str">
            <v>Pres</v>
          </cell>
          <cell r="Z8711">
            <v>5</v>
          </cell>
          <cell r="AA8711" t="str">
            <v>H</v>
          </cell>
          <cell r="AB8711">
            <v>0</v>
          </cell>
        </row>
        <row r="8712">
          <cell r="G8712" t="str">
            <v>1187_0</v>
          </cell>
          <cell r="H8712" t="str">
            <v>as-as</v>
          </cell>
          <cell r="I8712" t="str">
            <v>sim</v>
          </cell>
          <cell r="V8712" t="str">
            <v>not</v>
          </cell>
          <cell r="Y8712" t="str">
            <v>Pres</v>
          </cell>
          <cell r="Z8712">
            <v>1.85</v>
          </cell>
          <cell r="AA8712" t="str">
            <v>L</v>
          </cell>
          <cell r="AB8712">
            <v>0</v>
          </cell>
        </row>
        <row r="8713">
          <cell r="G8713" t="str">
            <v>1187_1</v>
          </cell>
          <cell r="H8713" t="str">
            <v>as-as</v>
          </cell>
          <cell r="I8713" t="str">
            <v>sim</v>
          </cell>
          <cell r="V8713" t="str">
            <v>not</v>
          </cell>
          <cell r="Y8713" t="str">
            <v>Pres</v>
          </cell>
          <cell r="Z8713">
            <v>1.85</v>
          </cell>
          <cell r="AA8713" t="str">
            <v>L</v>
          </cell>
          <cell r="AB8713">
            <v>0</v>
          </cell>
        </row>
        <row r="8714">
          <cell r="G8714" t="str">
            <v>1188_0</v>
          </cell>
          <cell r="H8714" t="str">
            <v>as-as</v>
          </cell>
          <cell r="I8714" t="str">
            <v>sim</v>
          </cell>
          <cell r="V8714" t="str">
            <v>not</v>
          </cell>
          <cell r="Y8714" t="str">
            <v>Past</v>
          </cell>
          <cell r="Z8714">
            <v>3.93</v>
          </cell>
          <cell r="AA8714">
            <v>0</v>
          </cell>
          <cell r="AB8714">
            <v>0</v>
          </cell>
        </row>
        <row r="8715">
          <cell r="G8715" t="str">
            <v>1188_1</v>
          </cell>
          <cell r="H8715" t="str">
            <v>as-as</v>
          </cell>
          <cell r="I8715" t="str">
            <v>sim</v>
          </cell>
          <cell r="V8715" t="str">
            <v>not</v>
          </cell>
          <cell r="Y8715" t="str">
            <v>Past</v>
          </cell>
          <cell r="Z8715">
            <v>3.93</v>
          </cell>
          <cell r="AA8715">
            <v>0</v>
          </cell>
          <cell r="AB8715">
            <v>0</v>
          </cell>
        </row>
        <row r="8716">
          <cell r="G8716" t="str">
            <v>1192_0</v>
          </cell>
          <cell r="H8716" t="str">
            <v/>
          </cell>
          <cell r="I8716" t="str">
            <v>met</v>
          </cell>
          <cell r="V8716" t="str">
            <v>0</v>
          </cell>
          <cell r="Y8716" t="str">
            <v>Pres</v>
          </cell>
          <cell r="Z8716">
            <v>4.8899999999999997</v>
          </cell>
          <cell r="AA8716">
            <v>0</v>
          </cell>
          <cell r="AB8716">
            <v>0</v>
          </cell>
        </row>
        <row r="8717">
          <cell r="G8717" t="str">
            <v>1192_1</v>
          </cell>
          <cell r="H8717" t="str">
            <v/>
          </cell>
          <cell r="I8717" t="str">
            <v>met</v>
          </cell>
          <cell r="V8717" t="str">
            <v>0</v>
          </cell>
          <cell r="Y8717" t="str">
            <v>Pres</v>
          </cell>
          <cell r="Z8717">
            <v>4.8899999999999997</v>
          </cell>
          <cell r="AA8717">
            <v>0</v>
          </cell>
          <cell r="AB8717">
            <v>0</v>
          </cell>
        </row>
        <row r="8718">
          <cell r="G8718" t="str">
            <v>1194_0</v>
          </cell>
          <cell r="H8718" t="str">
            <v/>
          </cell>
          <cell r="I8718" t="str">
            <v>met</v>
          </cell>
          <cell r="V8718" t="str">
            <v>0</v>
          </cell>
          <cell r="Y8718" t="str">
            <v>Pres</v>
          </cell>
          <cell r="Z8718">
            <v>4.83</v>
          </cell>
          <cell r="AA8718">
            <v>0</v>
          </cell>
          <cell r="AB8718">
            <v>0</v>
          </cell>
        </row>
        <row r="8719">
          <cell r="G8719" t="str">
            <v>1194_1</v>
          </cell>
          <cell r="H8719" t="str">
            <v/>
          </cell>
          <cell r="I8719" t="str">
            <v>met</v>
          </cell>
          <cell r="V8719" t="str">
            <v>0</v>
          </cell>
          <cell r="Y8719" t="str">
            <v>Pres</v>
          </cell>
          <cell r="Z8719">
            <v>4.83</v>
          </cell>
          <cell r="AA8719">
            <v>0</v>
          </cell>
          <cell r="AB8719">
            <v>0</v>
          </cell>
        </row>
        <row r="8720">
          <cell r="G8720" t="str">
            <v>1196_0</v>
          </cell>
          <cell r="H8720" t="str">
            <v/>
          </cell>
          <cell r="I8720" t="str">
            <v>met</v>
          </cell>
          <cell r="V8720" t="str">
            <v>0</v>
          </cell>
          <cell r="Y8720" t="str">
            <v>Pres</v>
          </cell>
          <cell r="Z8720">
            <v>4.5</v>
          </cell>
          <cell r="AA8720">
            <v>0</v>
          </cell>
          <cell r="AB8720">
            <v>0</v>
          </cell>
        </row>
        <row r="8721">
          <cell r="G8721" t="str">
            <v>1196_1</v>
          </cell>
          <cell r="H8721" t="str">
            <v/>
          </cell>
          <cell r="I8721" t="str">
            <v>met</v>
          </cell>
          <cell r="V8721" t="str">
            <v>0</v>
          </cell>
          <cell r="Y8721" t="str">
            <v>Pres</v>
          </cell>
          <cell r="Z8721">
            <v>4.5</v>
          </cell>
          <cell r="AA8721">
            <v>0</v>
          </cell>
          <cell r="AB8721">
            <v>0</v>
          </cell>
        </row>
        <row r="8722">
          <cell r="G8722" t="str">
            <v>1197_0</v>
          </cell>
          <cell r="H8722" t="str">
            <v/>
          </cell>
          <cell r="I8722" t="str">
            <v>met</v>
          </cell>
          <cell r="V8722" t="str">
            <v>0</v>
          </cell>
          <cell r="Y8722" t="str">
            <v>Past</v>
          </cell>
          <cell r="Z8722">
            <v>3.31</v>
          </cell>
          <cell r="AA8722">
            <v>0</v>
          </cell>
          <cell r="AB8722">
            <v>0</v>
          </cell>
        </row>
        <row r="8723">
          <cell r="G8723" t="str">
            <v>1197_1</v>
          </cell>
          <cell r="H8723" t="str">
            <v/>
          </cell>
          <cell r="I8723" t="str">
            <v>met</v>
          </cell>
          <cell r="V8723" t="str">
            <v>0</v>
          </cell>
          <cell r="Y8723" t="str">
            <v>Past</v>
          </cell>
          <cell r="Z8723">
            <v>3.31</v>
          </cell>
          <cell r="AA8723">
            <v>0</v>
          </cell>
          <cell r="AB8723">
            <v>0</v>
          </cell>
        </row>
        <row r="8724">
          <cell r="G8724" t="str">
            <v>1211_0</v>
          </cell>
          <cell r="H8724" t="str">
            <v>as-as</v>
          </cell>
          <cell r="I8724" t="str">
            <v>sim</v>
          </cell>
          <cell r="V8724" t="str">
            <v>not neg pair</v>
          </cell>
          <cell r="Y8724" t="str">
            <v>Pres</v>
          </cell>
          <cell r="Z8724">
            <v>3.93</v>
          </cell>
          <cell r="AA8724">
            <v>0</v>
          </cell>
          <cell r="AB8724">
            <v>0</v>
          </cell>
        </row>
        <row r="8725">
          <cell r="G8725" t="str">
            <v>1211_1</v>
          </cell>
          <cell r="H8725" t="str">
            <v>as-as</v>
          </cell>
          <cell r="I8725" t="str">
            <v>sim</v>
          </cell>
          <cell r="V8725" t="str">
            <v>not neg pair</v>
          </cell>
          <cell r="Y8725" t="str">
            <v>Pres</v>
          </cell>
          <cell r="Z8725">
            <v>3.93</v>
          </cell>
          <cell r="AA8725">
            <v>0</v>
          </cell>
          <cell r="AB8725">
            <v>0</v>
          </cell>
        </row>
        <row r="8726">
          <cell r="G8726" t="str">
            <v>1212_0</v>
          </cell>
          <cell r="H8726" t="str">
            <v/>
          </cell>
          <cell r="I8726" t="str">
            <v>met</v>
          </cell>
          <cell r="V8726" t="str">
            <v>0</v>
          </cell>
          <cell r="Y8726" t="str">
            <v>Pres</v>
          </cell>
          <cell r="Z8726">
            <v>4.88</v>
          </cell>
          <cell r="AA8726">
            <v>0</v>
          </cell>
          <cell r="AB8726">
            <v>0</v>
          </cell>
        </row>
        <row r="8727">
          <cell r="G8727" t="str">
            <v>1212_1</v>
          </cell>
          <cell r="H8727" t="str">
            <v/>
          </cell>
          <cell r="I8727" t="str">
            <v>met</v>
          </cell>
          <cell r="V8727" t="str">
            <v>0</v>
          </cell>
          <cell r="Y8727" t="str">
            <v>Pres</v>
          </cell>
          <cell r="Z8727">
            <v>4.88</v>
          </cell>
          <cell r="AA8727">
            <v>0</v>
          </cell>
          <cell r="AB8727">
            <v>0</v>
          </cell>
        </row>
        <row r="8728">
          <cell r="G8728" t="str">
            <v>1216_0</v>
          </cell>
          <cell r="H8728" t="str">
            <v/>
          </cell>
          <cell r="I8728" t="str">
            <v>met</v>
          </cell>
          <cell r="V8728" t="str">
            <v>0</v>
          </cell>
          <cell r="Y8728" t="str">
            <v>Pres</v>
          </cell>
          <cell r="Z8728">
            <v>4.8899999999999997</v>
          </cell>
          <cell r="AA8728">
            <v>0</v>
          </cell>
          <cell r="AB8728">
            <v>0</v>
          </cell>
        </row>
        <row r="8729">
          <cell r="G8729" t="str">
            <v>1216_1</v>
          </cell>
          <cell r="H8729" t="str">
            <v/>
          </cell>
          <cell r="I8729" t="str">
            <v>met</v>
          </cell>
          <cell r="V8729" t="str">
            <v>0</v>
          </cell>
          <cell r="Y8729" t="str">
            <v>Pres</v>
          </cell>
          <cell r="Z8729">
            <v>4.8899999999999997</v>
          </cell>
          <cell r="AA8729">
            <v>0</v>
          </cell>
          <cell r="AB8729">
            <v>0</v>
          </cell>
        </row>
        <row r="8730">
          <cell r="G8730" t="str">
            <v>1217_0</v>
          </cell>
          <cell r="H8730" t="str">
            <v>the-of</v>
          </cell>
          <cell r="I8730" t="str">
            <v>sim</v>
          </cell>
          <cell r="V8730" t="str">
            <v>not neg pair</v>
          </cell>
          <cell r="Y8730" t="str">
            <v>Pres</v>
          </cell>
          <cell r="Z8730">
            <v>0</v>
          </cell>
          <cell r="AA8730">
            <v>0</v>
          </cell>
          <cell r="AB8730">
            <v>0</v>
          </cell>
        </row>
        <row r="8731">
          <cell r="G8731" t="str">
            <v>1217_1</v>
          </cell>
          <cell r="H8731" t="str">
            <v>the-of</v>
          </cell>
          <cell r="I8731" t="str">
            <v>sim</v>
          </cell>
          <cell r="V8731" t="str">
            <v>not neg pair</v>
          </cell>
          <cell r="Y8731" t="str">
            <v>Pres</v>
          </cell>
          <cell r="Z8731">
            <v>3.33</v>
          </cell>
          <cell r="AA8731">
            <v>0</v>
          </cell>
          <cell r="AB8731">
            <v>0</v>
          </cell>
        </row>
        <row r="8732">
          <cell r="G8732" t="str">
            <v>1221_0</v>
          </cell>
          <cell r="H8732" t="str">
            <v>like</v>
          </cell>
          <cell r="I8732" t="str">
            <v>sim</v>
          </cell>
          <cell r="V8732" t="str">
            <v>not</v>
          </cell>
          <cell r="Y8732" t="str">
            <v>Past</v>
          </cell>
          <cell r="Z8732">
            <v>4.9000000000000004</v>
          </cell>
          <cell r="AA8732">
            <v>0</v>
          </cell>
          <cell r="AB8732">
            <v>0</v>
          </cell>
        </row>
        <row r="8733">
          <cell r="G8733" t="str">
            <v>1221_1</v>
          </cell>
          <cell r="H8733" t="str">
            <v>like</v>
          </cell>
          <cell r="I8733" t="str">
            <v>sim</v>
          </cell>
          <cell r="V8733" t="str">
            <v>not</v>
          </cell>
          <cell r="Y8733" t="str">
            <v>Past</v>
          </cell>
          <cell r="Z8733">
            <v>4.9000000000000004</v>
          </cell>
          <cell r="AA8733">
            <v>0</v>
          </cell>
          <cell r="AB8733">
            <v>0</v>
          </cell>
        </row>
        <row r="8734">
          <cell r="G8734" t="str">
            <v>1223_0</v>
          </cell>
          <cell r="H8734" t="str">
            <v>like</v>
          </cell>
          <cell r="I8734" t="str">
            <v>sim</v>
          </cell>
          <cell r="V8734" t="str">
            <v>not</v>
          </cell>
          <cell r="Y8734">
            <v>0</v>
          </cell>
          <cell r="Z8734">
            <v>3.93</v>
          </cell>
          <cell r="AA8734">
            <v>0</v>
          </cell>
          <cell r="AB8734">
            <v>0</v>
          </cell>
        </row>
        <row r="8735">
          <cell r="G8735" t="str">
            <v>1223_1</v>
          </cell>
          <cell r="H8735" t="str">
            <v>like</v>
          </cell>
          <cell r="I8735" t="str">
            <v>sim</v>
          </cell>
          <cell r="V8735" t="str">
            <v>not</v>
          </cell>
          <cell r="Y8735" t="str">
            <v>Pres</v>
          </cell>
          <cell r="Z8735">
            <v>3.93</v>
          </cell>
          <cell r="AA8735">
            <v>0</v>
          </cell>
          <cell r="AB8735">
            <v>0</v>
          </cell>
        </row>
        <row r="8736">
          <cell r="G8736" t="str">
            <v>1224_0</v>
          </cell>
          <cell r="H8736" t="str">
            <v/>
          </cell>
          <cell r="I8736" t="str">
            <v>met</v>
          </cell>
          <cell r="V8736" t="str">
            <v>0</v>
          </cell>
          <cell r="Y8736" t="str">
            <v>Pres</v>
          </cell>
          <cell r="Z8736">
            <v>3.36</v>
          </cell>
          <cell r="AA8736">
            <v>0</v>
          </cell>
          <cell r="AB8736">
            <v>0</v>
          </cell>
        </row>
        <row r="8737">
          <cell r="G8737" t="str">
            <v>1224_1</v>
          </cell>
          <cell r="H8737" t="str">
            <v/>
          </cell>
          <cell r="I8737" t="str">
            <v>met</v>
          </cell>
          <cell r="V8737" t="str">
            <v>0</v>
          </cell>
          <cell r="Y8737" t="str">
            <v>Pres</v>
          </cell>
          <cell r="Z8737">
            <v>3.36</v>
          </cell>
          <cell r="AA8737">
            <v>0</v>
          </cell>
          <cell r="AB8737">
            <v>0</v>
          </cell>
        </row>
        <row r="8738">
          <cell r="G8738" t="str">
            <v>1225_0</v>
          </cell>
          <cell r="H8738" t="str">
            <v>as-as</v>
          </cell>
          <cell r="I8738" t="str">
            <v>sim</v>
          </cell>
          <cell r="V8738" t="str">
            <v>antonym</v>
          </cell>
          <cell r="Y8738" t="str">
            <v>Past</v>
          </cell>
          <cell r="Z8738">
            <v>4.46</v>
          </cell>
          <cell r="AA8738">
            <v>0</v>
          </cell>
          <cell r="AB8738">
            <v>0</v>
          </cell>
        </row>
        <row r="8739">
          <cell r="G8739" t="str">
            <v>1225_1</v>
          </cell>
          <cell r="H8739" t="str">
            <v>as-as</v>
          </cell>
          <cell r="I8739" t="str">
            <v>sim</v>
          </cell>
          <cell r="V8739" t="str">
            <v>antonym</v>
          </cell>
          <cell r="Y8739" t="str">
            <v>Past</v>
          </cell>
          <cell r="Z8739">
            <v>4.46</v>
          </cell>
          <cell r="AA8739">
            <v>0</v>
          </cell>
          <cell r="AB8739">
            <v>0</v>
          </cell>
        </row>
        <row r="8740">
          <cell r="G8740" t="str">
            <v>1227_0</v>
          </cell>
          <cell r="H8740" t="str">
            <v/>
          </cell>
          <cell r="I8740" t="str">
            <v>met</v>
          </cell>
          <cell r="V8740" t="str">
            <v>0</v>
          </cell>
          <cell r="Y8740" t="str">
            <v>Pres</v>
          </cell>
          <cell r="Z8740">
            <v>4.9000000000000004</v>
          </cell>
          <cell r="AA8740">
            <v>0</v>
          </cell>
          <cell r="AB8740">
            <v>0</v>
          </cell>
        </row>
        <row r="8741">
          <cell r="G8741" t="str">
            <v>1227_1</v>
          </cell>
          <cell r="H8741" t="str">
            <v/>
          </cell>
          <cell r="I8741" t="str">
            <v>met</v>
          </cell>
          <cell r="V8741" t="str">
            <v>0</v>
          </cell>
          <cell r="Y8741" t="str">
            <v>Pres</v>
          </cell>
          <cell r="Z8741">
            <v>4.9000000000000004</v>
          </cell>
          <cell r="AA8741">
            <v>0</v>
          </cell>
          <cell r="AB8741">
            <v>0</v>
          </cell>
        </row>
        <row r="8742">
          <cell r="G8742" t="str">
            <v>1231_0</v>
          </cell>
          <cell r="H8742" t="str">
            <v>as-as</v>
          </cell>
          <cell r="I8742" t="str">
            <v>sim</v>
          </cell>
          <cell r="V8742" t="str">
            <v>antonym</v>
          </cell>
          <cell r="Y8742" t="str">
            <v>Pres</v>
          </cell>
          <cell r="Z8742">
            <v>3.36</v>
          </cell>
          <cell r="AA8742">
            <v>0</v>
          </cell>
          <cell r="AB8742">
            <v>0</v>
          </cell>
        </row>
        <row r="8743">
          <cell r="G8743" t="str">
            <v>1231_1</v>
          </cell>
          <cell r="H8743" t="str">
            <v>as-as</v>
          </cell>
          <cell r="I8743" t="str">
            <v>sim</v>
          </cell>
          <cell r="V8743" t="str">
            <v>antonym</v>
          </cell>
          <cell r="Y8743" t="str">
            <v>Pres</v>
          </cell>
          <cell r="Z8743">
            <v>3.36</v>
          </cell>
          <cell r="AA8743">
            <v>0</v>
          </cell>
          <cell r="AB8743">
            <v>0</v>
          </cell>
        </row>
        <row r="8744">
          <cell r="G8744" t="str">
            <v>1234_0</v>
          </cell>
          <cell r="H8744" t="str">
            <v>as-as</v>
          </cell>
          <cell r="I8744" t="str">
            <v>sim</v>
          </cell>
          <cell r="V8744" t="str">
            <v>antonym</v>
          </cell>
          <cell r="Y8744" t="str">
            <v>Past</v>
          </cell>
          <cell r="Z8744">
            <v>5</v>
          </cell>
          <cell r="AA8744" t="str">
            <v>H</v>
          </cell>
          <cell r="AB8744">
            <v>0</v>
          </cell>
        </row>
        <row r="8745">
          <cell r="G8745" t="str">
            <v>1234_1</v>
          </cell>
          <cell r="H8745" t="str">
            <v>as-as</v>
          </cell>
          <cell r="I8745" t="str">
            <v>sim</v>
          </cell>
          <cell r="V8745" t="str">
            <v>antonym</v>
          </cell>
          <cell r="Y8745" t="str">
            <v>Past</v>
          </cell>
          <cell r="Z8745">
            <v>5</v>
          </cell>
          <cell r="AA8745" t="str">
            <v>H</v>
          </cell>
          <cell r="AB8745">
            <v>0</v>
          </cell>
        </row>
        <row r="8746">
          <cell r="G8746" t="str">
            <v>1235_0</v>
          </cell>
          <cell r="H8746" t="str">
            <v>the-of</v>
          </cell>
          <cell r="I8746" t="str">
            <v>sim</v>
          </cell>
          <cell r="V8746" t="str">
            <v>not neg pair</v>
          </cell>
          <cell r="Y8746" t="str">
            <v>Past</v>
          </cell>
          <cell r="Z8746">
            <v>4.9000000000000004</v>
          </cell>
          <cell r="AA8746">
            <v>0</v>
          </cell>
          <cell r="AB8746">
            <v>0</v>
          </cell>
        </row>
        <row r="8747">
          <cell r="G8747" t="str">
            <v>1235_1</v>
          </cell>
          <cell r="H8747" t="str">
            <v>the-of</v>
          </cell>
          <cell r="I8747" t="str">
            <v>sim</v>
          </cell>
          <cell r="V8747" t="str">
            <v>not neg pair</v>
          </cell>
          <cell r="Y8747" t="str">
            <v>Past</v>
          </cell>
          <cell r="Z8747">
            <v>4.9000000000000004</v>
          </cell>
          <cell r="AA8747">
            <v>0</v>
          </cell>
          <cell r="AB8747">
            <v>0</v>
          </cell>
        </row>
        <row r="8748">
          <cell r="G8748" t="str">
            <v>1240_0</v>
          </cell>
          <cell r="H8748" t="str">
            <v/>
          </cell>
          <cell r="I8748" t="str">
            <v>met</v>
          </cell>
          <cell r="V8748" t="str">
            <v>0</v>
          </cell>
          <cell r="Y8748" t="str">
            <v>Pres</v>
          </cell>
          <cell r="Z8748">
            <v>4.9000000000000004</v>
          </cell>
          <cell r="AA8748">
            <v>0</v>
          </cell>
          <cell r="AB8748">
            <v>0</v>
          </cell>
        </row>
        <row r="8749">
          <cell r="G8749" t="str">
            <v>1240_1</v>
          </cell>
          <cell r="H8749" t="str">
            <v/>
          </cell>
          <cell r="I8749" t="str">
            <v>met</v>
          </cell>
          <cell r="V8749" t="str">
            <v>0</v>
          </cell>
          <cell r="Y8749" t="str">
            <v>Pres</v>
          </cell>
          <cell r="Z8749">
            <v>4.9000000000000004</v>
          </cell>
          <cell r="AA8749">
            <v>0</v>
          </cell>
          <cell r="AB8749">
            <v>0</v>
          </cell>
        </row>
        <row r="8750">
          <cell r="G8750" t="str">
            <v>1245_0</v>
          </cell>
          <cell r="H8750" t="str">
            <v/>
          </cell>
          <cell r="I8750" t="str">
            <v>met</v>
          </cell>
          <cell r="V8750" t="str">
            <v>0</v>
          </cell>
          <cell r="Y8750" t="str">
            <v>Pres</v>
          </cell>
          <cell r="Z8750">
            <v>3.93</v>
          </cell>
          <cell r="AA8750">
            <v>0</v>
          </cell>
          <cell r="AB8750">
            <v>0</v>
          </cell>
        </row>
        <row r="8751">
          <cell r="G8751" t="str">
            <v>1245_1</v>
          </cell>
          <cell r="H8751" t="str">
            <v/>
          </cell>
          <cell r="I8751" t="str">
            <v>met</v>
          </cell>
          <cell r="V8751" t="str">
            <v>0</v>
          </cell>
          <cell r="Y8751" t="str">
            <v>Pres</v>
          </cell>
          <cell r="Z8751">
            <v>3.93</v>
          </cell>
          <cell r="AA8751">
            <v>0</v>
          </cell>
          <cell r="AB8751">
            <v>0</v>
          </cell>
        </row>
        <row r="8752">
          <cell r="G8752" t="str">
            <v>1251_0</v>
          </cell>
          <cell r="H8752" t="str">
            <v/>
          </cell>
          <cell r="I8752" t="str">
            <v>met</v>
          </cell>
          <cell r="V8752" t="str">
            <v>0</v>
          </cell>
          <cell r="Y8752" t="str">
            <v>Pres</v>
          </cell>
          <cell r="Z8752">
            <v>4.7300000000000004</v>
          </cell>
          <cell r="AA8752">
            <v>0</v>
          </cell>
          <cell r="AB8752">
            <v>0</v>
          </cell>
        </row>
        <row r="8753">
          <cell r="G8753" t="str">
            <v>1251_1</v>
          </cell>
          <cell r="H8753" t="str">
            <v/>
          </cell>
          <cell r="I8753" t="str">
            <v>met</v>
          </cell>
          <cell r="V8753" t="str">
            <v>0</v>
          </cell>
          <cell r="Y8753" t="str">
            <v>Pres</v>
          </cell>
          <cell r="Z8753">
            <v>4.7300000000000004</v>
          </cell>
          <cell r="AA8753">
            <v>0</v>
          </cell>
          <cell r="AB8753">
            <v>0</v>
          </cell>
        </row>
        <row r="8754">
          <cell r="G8754" t="str">
            <v>1252_0</v>
          </cell>
          <cell r="H8754" t="str">
            <v>as-as</v>
          </cell>
          <cell r="I8754" t="str">
            <v>sim</v>
          </cell>
          <cell r="V8754" t="str">
            <v>antonym</v>
          </cell>
          <cell r="Y8754" t="str">
            <v>Pres</v>
          </cell>
          <cell r="Z8754">
            <v>3.93</v>
          </cell>
          <cell r="AA8754">
            <v>0</v>
          </cell>
          <cell r="AB8754">
            <v>0</v>
          </cell>
        </row>
        <row r="8755">
          <cell r="G8755" t="str">
            <v>1252_1</v>
          </cell>
          <cell r="H8755" t="str">
            <v>as-as</v>
          </cell>
          <cell r="I8755" t="str">
            <v>sim</v>
          </cell>
          <cell r="V8755" t="str">
            <v>antonym</v>
          </cell>
          <cell r="Y8755" t="str">
            <v>Pres</v>
          </cell>
          <cell r="Z8755">
            <v>3.93</v>
          </cell>
          <cell r="AA8755">
            <v>0</v>
          </cell>
          <cell r="AB8755">
            <v>0</v>
          </cell>
        </row>
        <row r="8756">
          <cell r="G8756" t="str">
            <v>1254_0</v>
          </cell>
          <cell r="H8756" t="str">
            <v>as-as</v>
          </cell>
          <cell r="I8756" t="str">
            <v>sim</v>
          </cell>
          <cell r="V8756" t="str">
            <v>antonym</v>
          </cell>
          <cell r="Y8756" t="str">
            <v>Pres</v>
          </cell>
          <cell r="Z8756">
            <v>3.36</v>
          </cell>
          <cell r="AA8756">
            <v>0</v>
          </cell>
          <cell r="AB8756">
            <v>0</v>
          </cell>
        </row>
        <row r="8757">
          <cell r="G8757" t="str">
            <v>1254_1</v>
          </cell>
          <cell r="H8757" t="str">
            <v>as-as</v>
          </cell>
          <cell r="I8757" t="str">
            <v>sim</v>
          </cell>
          <cell r="V8757" t="str">
            <v>antonym</v>
          </cell>
          <cell r="Y8757" t="str">
            <v>Pres</v>
          </cell>
          <cell r="Z8757">
            <v>3.36</v>
          </cell>
          <cell r="AA8757">
            <v>0</v>
          </cell>
          <cell r="AB8757">
            <v>0</v>
          </cell>
        </row>
        <row r="8758">
          <cell r="G8758" t="str">
            <v>1257_0</v>
          </cell>
          <cell r="H8758" t="str">
            <v>as-as</v>
          </cell>
          <cell r="I8758" t="str">
            <v>sim</v>
          </cell>
          <cell r="V8758" t="str">
            <v>antonym</v>
          </cell>
          <cell r="Y8758" t="str">
            <v>Past</v>
          </cell>
          <cell r="Z8758">
            <v>4.8899999999999997</v>
          </cell>
          <cell r="AA8758">
            <v>0</v>
          </cell>
          <cell r="AB8758">
            <v>0</v>
          </cell>
        </row>
        <row r="8759">
          <cell r="G8759" t="str">
            <v>1257_1</v>
          </cell>
          <cell r="H8759" t="str">
            <v>as-as</v>
          </cell>
          <cell r="I8759" t="str">
            <v>sim</v>
          </cell>
          <cell r="V8759" t="str">
            <v>antonym</v>
          </cell>
          <cell r="Y8759" t="str">
            <v>Past</v>
          </cell>
          <cell r="Z8759">
            <v>4.8899999999999997</v>
          </cell>
          <cell r="AA8759">
            <v>0</v>
          </cell>
          <cell r="AB8759">
            <v>0</v>
          </cell>
        </row>
        <row r="8760">
          <cell r="G8760" t="str">
            <v>1267_0</v>
          </cell>
          <cell r="H8760" t="str">
            <v>as-as</v>
          </cell>
          <cell r="I8760" t="str">
            <v>sim</v>
          </cell>
          <cell r="V8760" t="str">
            <v>not</v>
          </cell>
          <cell r="Y8760" t="str">
            <v>Pres</v>
          </cell>
          <cell r="Z8760">
            <v>2.93</v>
          </cell>
          <cell r="AA8760">
            <v>0</v>
          </cell>
          <cell r="AB8760">
            <v>0</v>
          </cell>
        </row>
        <row r="8761">
          <cell r="G8761" t="str">
            <v>1267_1</v>
          </cell>
          <cell r="H8761" t="str">
            <v>as-as</v>
          </cell>
          <cell r="I8761" t="str">
            <v>sim</v>
          </cell>
          <cell r="V8761" t="str">
            <v>not</v>
          </cell>
          <cell r="Y8761" t="str">
            <v>Pres</v>
          </cell>
          <cell r="Z8761">
            <v>2.93</v>
          </cell>
          <cell r="AA8761">
            <v>0</v>
          </cell>
          <cell r="AB8761">
            <v>0</v>
          </cell>
        </row>
        <row r="8762">
          <cell r="G8762" t="str">
            <v>1269_0</v>
          </cell>
          <cell r="H8762" t="str">
            <v>as-as</v>
          </cell>
          <cell r="I8762" t="str">
            <v>sim</v>
          </cell>
          <cell r="V8762" t="str">
            <v>not neg pair</v>
          </cell>
          <cell r="Y8762" t="str">
            <v>Past</v>
          </cell>
          <cell r="Z8762">
            <v>2.29</v>
          </cell>
          <cell r="AA8762" t="str">
            <v>L</v>
          </cell>
          <cell r="AB8762">
            <v>0</v>
          </cell>
        </row>
        <row r="8763">
          <cell r="G8763" t="str">
            <v>1269_1</v>
          </cell>
          <cell r="H8763" t="str">
            <v>as-as</v>
          </cell>
          <cell r="I8763" t="str">
            <v>sim</v>
          </cell>
          <cell r="V8763" t="str">
            <v>not neg pair</v>
          </cell>
          <cell r="Y8763" t="str">
            <v>Past</v>
          </cell>
          <cell r="Z8763">
            <v>2.29</v>
          </cell>
          <cell r="AA8763" t="str">
            <v>L</v>
          </cell>
          <cell r="AB8763">
            <v>0</v>
          </cell>
        </row>
        <row r="8764">
          <cell r="G8764" t="str">
            <v>1272_0</v>
          </cell>
          <cell r="H8764" t="str">
            <v>like</v>
          </cell>
          <cell r="I8764" t="str">
            <v>sim</v>
          </cell>
          <cell r="V8764" t="str">
            <v>not</v>
          </cell>
          <cell r="Y8764" t="str">
            <v>Past</v>
          </cell>
          <cell r="Z8764">
            <v>3.36</v>
          </cell>
          <cell r="AA8764">
            <v>0</v>
          </cell>
          <cell r="AB8764">
            <v>0</v>
          </cell>
        </row>
        <row r="8765">
          <cell r="G8765" t="str">
            <v>1272_1</v>
          </cell>
          <cell r="H8765" t="str">
            <v>like</v>
          </cell>
          <cell r="I8765" t="str">
            <v>sim</v>
          </cell>
          <cell r="V8765" t="str">
            <v>not</v>
          </cell>
          <cell r="Y8765" t="str">
            <v>Past</v>
          </cell>
          <cell r="Z8765">
            <v>3.36</v>
          </cell>
          <cell r="AA8765">
            <v>0</v>
          </cell>
          <cell r="AB8765">
            <v>0</v>
          </cell>
        </row>
        <row r="8766">
          <cell r="G8766" t="str">
            <v>1273_0</v>
          </cell>
          <cell r="H8766" t="str">
            <v>as-as</v>
          </cell>
          <cell r="I8766" t="str">
            <v>sim</v>
          </cell>
          <cell r="V8766" t="str">
            <v>antonym</v>
          </cell>
          <cell r="Y8766" t="str">
            <v>Past</v>
          </cell>
          <cell r="Z8766">
            <v>4.13</v>
          </cell>
          <cell r="AA8766">
            <v>0</v>
          </cell>
          <cell r="AB8766">
            <v>0</v>
          </cell>
        </row>
        <row r="8767">
          <cell r="G8767" t="str">
            <v>1273_1</v>
          </cell>
          <cell r="H8767" t="str">
            <v>as-as</v>
          </cell>
          <cell r="I8767" t="str">
            <v>sim</v>
          </cell>
          <cell r="V8767" t="str">
            <v>antonym</v>
          </cell>
          <cell r="Y8767" t="str">
            <v>Past</v>
          </cell>
          <cell r="Z8767">
            <v>4.13</v>
          </cell>
          <cell r="AA8767">
            <v>0</v>
          </cell>
          <cell r="AB8767">
            <v>0</v>
          </cell>
        </row>
        <row r="8768">
          <cell r="G8768" t="str">
            <v>1274_0</v>
          </cell>
          <cell r="H8768" t="str">
            <v>the-of</v>
          </cell>
          <cell r="I8768" t="str">
            <v>sim</v>
          </cell>
          <cell r="V8768" t="str">
            <v>not neg pair</v>
          </cell>
          <cell r="Y8768" t="str">
            <v>Pres</v>
          </cell>
          <cell r="Z8768">
            <v>4.71</v>
          </cell>
          <cell r="AA8768">
            <v>0</v>
          </cell>
          <cell r="AB8768">
            <v>0</v>
          </cell>
        </row>
        <row r="8769">
          <cell r="G8769" t="str">
            <v>1274_1</v>
          </cell>
          <cell r="H8769" t="str">
            <v>the-of</v>
          </cell>
          <cell r="I8769" t="str">
            <v>sim</v>
          </cell>
          <cell r="V8769" t="str">
            <v>not neg pair</v>
          </cell>
          <cell r="Y8769" t="str">
            <v>Pres</v>
          </cell>
          <cell r="Z8769">
            <v>4.71</v>
          </cell>
          <cell r="AA8769">
            <v>0</v>
          </cell>
          <cell r="AB8769">
            <v>0</v>
          </cell>
        </row>
        <row r="8770">
          <cell r="G8770" t="str">
            <v>1275_0</v>
          </cell>
          <cell r="H8770" t="str">
            <v>the-of</v>
          </cell>
          <cell r="I8770" t="str">
            <v>sim</v>
          </cell>
          <cell r="V8770" t="str">
            <v>not neg pair</v>
          </cell>
          <cell r="Y8770" t="str">
            <v>Pres</v>
          </cell>
          <cell r="Z8770">
            <v>4.9000000000000004</v>
          </cell>
          <cell r="AA8770">
            <v>0</v>
          </cell>
          <cell r="AB8770">
            <v>0</v>
          </cell>
        </row>
        <row r="8771">
          <cell r="G8771" t="str">
            <v>1275_1</v>
          </cell>
          <cell r="H8771" t="str">
            <v>the-of</v>
          </cell>
          <cell r="I8771" t="str">
            <v>sim</v>
          </cell>
          <cell r="V8771" t="str">
            <v>not neg pair</v>
          </cell>
          <cell r="Y8771" t="str">
            <v>Pres</v>
          </cell>
          <cell r="Z8771">
            <v>4.9000000000000004</v>
          </cell>
          <cell r="AA8771">
            <v>0</v>
          </cell>
          <cell r="AB8771">
            <v>0</v>
          </cell>
        </row>
        <row r="8772">
          <cell r="G8772" t="str">
            <v>1278_0</v>
          </cell>
          <cell r="H8772" t="str">
            <v>the-of</v>
          </cell>
          <cell r="I8772" t="str">
            <v>sim</v>
          </cell>
          <cell r="V8772" t="str">
            <v>not neg pair</v>
          </cell>
          <cell r="Y8772" t="str">
            <v>Pres</v>
          </cell>
          <cell r="Z8772">
            <v>4.9000000000000004</v>
          </cell>
          <cell r="AA8772">
            <v>0</v>
          </cell>
          <cell r="AB8772">
            <v>0</v>
          </cell>
        </row>
        <row r="8773">
          <cell r="G8773" t="str">
            <v>1278_1</v>
          </cell>
          <cell r="H8773" t="str">
            <v>the-of</v>
          </cell>
          <cell r="I8773" t="str">
            <v>sim</v>
          </cell>
          <cell r="V8773" t="str">
            <v>not neg pair</v>
          </cell>
          <cell r="Y8773" t="str">
            <v>Pres</v>
          </cell>
          <cell r="Z8773">
            <v>4.9000000000000004</v>
          </cell>
          <cell r="AA8773">
            <v>0</v>
          </cell>
          <cell r="AB8773">
            <v>0</v>
          </cell>
        </row>
        <row r="8774">
          <cell r="G8774" t="str">
            <v>1279_0</v>
          </cell>
          <cell r="H8774" t="str">
            <v/>
          </cell>
          <cell r="I8774" t="str">
            <v>met</v>
          </cell>
          <cell r="V8774" t="str">
            <v>0</v>
          </cell>
          <cell r="Y8774" t="str">
            <v>Past</v>
          </cell>
          <cell r="Z8774">
            <v>4.6399999999999997</v>
          </cell>
          <cell r="AA8774">
            <v>0</v>
          </cell>
          <cell r="AB8774">
            <v>0</v>
          </cell>
        </row>
        <row r="8775">
          <cell r="G8775" t="str">
            <v>1279_1</v>
          </cell>
          <cell r="H8775" t="str">
            <v/>
          </cell>
          <cell r="I8775" t="str">
            <v>met</v>
          </cell>
          <cell r="V8775" t="str">
            <v>0</v>
          </cell>
          <cell r="Y8775" t="str">
            <v>Past</v>
          </cell>
          <cell r="Z8775">
            <v>4.6399999999999997</v>
          </cell>
          <cell r="AA8775">
            <v>0</v>
          </cell>
          <cell r="AB8775">
            <v>0</v>
          </cell>
        </row>
        <row r="8776">
          <cell r="G8776" t="str">
            <v>1284_0</v>
          </cell>
          <cell r="H8776" t="str">
            <v>as</v>
          </cell>
          <cell r="I8776" t="str">
            <v>sim</v>
          </cell>
          <cell r="V8776" t="str">
            <v>not neg pair</v>
          </cell>
          <cell r="Y8776" t="str">
            <v>Pres</v>
          </cell>
          <cell r="Z8776">
            <v>4.8</v>
          </cell>
          <cell r="AA8776">
            <v>0</v>
          </cell>
          <cell r="AB8776">
            <v>0</v>
          </cell>
        </row>
        <row r="8777">
          <cell r="G8777" t="str">
            <v>1284_1</v>
          </cell>
          <cell r="H8777" t="str">
            <v>as</v>
          </cell>
          <cell r="I8777" t="str">
            <v>sim</v>
          </cell>
          <cell r="V8777" t="str">
            <v>not neg pair</v>
          </cell>
          <cell r="Y8777" t="str">
            <v>Pres</v>
          </cell>
          <cell r="Z8777">
            <v>4.8</v>
          </cell>
          <cell r="AA8777">
            <v>0</v>
          </cell>
          <cell r="AB8777">
            <v>0</v>
          </cell>
        </row>
        <row r="8778">
          <cell r="G8778" t="str">
            <v>1288_0</v>
          </cell>
          <cell r="H8778" t="str">
            <v/>
          </cell>
          <cell r="I8778" t="str">
            <v>met</v>
          </cell>
          <cell r="V8778" t="str">
            <v>0</v>
          </cell>
          <cell r="Y8778" t="str">
            <v>Past</v>
          </cell>
          <cell r="Z8778">
            <v>4.1500000000000004</v>
          </cell>
          <cell r="AA8778">
            <v>0</v>
          </cell>
          <cell r="AB8778">
            <v>0</v>
          </cell>
        </row>
        <row r="8779">
          <cell r="G8779" t="str">
            <v>1288_1</v>
          </cell>
          <cell r="H8779" t="str">
            <v/>
          </cell>
          <cell r="I8779" t="str">
            <v>met</v>
          </cell>
          <cell r="V8779" t="str">
            <v>0</v>
          </cell>
          <cell r="Y8779" t="str">
            <v>Past</v>
          </cell>
          <cell r="Z8779">
            <v>4.1500000000000004</v>
          </cell>
          <cell r="AA8779">
            <v>0</v>
          </cell>
          <cell r="AB8779">
            <v>0</v>
          </cell>
        </row>
        <row r="8780">
          <cell r="G8780" t="str">
            <v>1290_0</v>
          </cell>
          <cell r="H8780" t="str">
            <v>like</v>
          </cell>
          <cell r="I8780" t="str">
            <v>sim</v>
          </cell>
          <cell r="V8780" t="str">
            <v>not</v>
          </cell>
          <cell r="Y8780" t="str">
            <v>Past</v>
          </cell>
          <cell r="Z8780">
            <v>3.93</v>
          </cell>
          <cell r="AA8780">
            <v>0</v>
          </cell>
          <cell r="AB8780">
            <v>0</v>
          </cell>
        </row>
        <row r="8781">
          <cell r="G8781" t="str">
            <v>1290_1</v>
          </cell>
          <cell r="H8781" t="str">
            <v>like</v>
          </cell>
          <cell r="I8781" t="str">
            <v>sim</v>
          </cell>
          <cell r="V8781" t="str">
            <v>not</v>
          </cell>
          <cell r="Y8781" t="str">
            <v>Past</v>
          </cell>
          <cell r="Z8781">
            <v>3.93</v>
          </cell>
          <cell r="AA8781">
            <v>0</v>
          </cell>
          <cell r="AB8781">
            <v>0</v>
          </cell>
        </row>
        <row r="8782">
          <cell r="G8782" t="str">
            <v>1291_0</v>
          </cell>
          <cell r="H8782" t="str">
            <v>as-as</v>
          </cell>
          <cell r="I8782" t="str">
            <v>sim</v>
          </cell>
          <cell r="V8782" t="str">
            <v>not</v>
          </cell>
          <cell r="Y8782" t="str">
            <v>Past</v>
          </cell>
          <cell r="Z8782">
            <v>3.36</v>
          </cell>
          <cell r="AA8782">
            <v>0</v>
          </cell>
          <cell r="AB8782">
            <v>0</v>
          </cell>
        </row>
        <row r="8783">
          <cell r="G8783" t="str">
            <v>1291_1</v>
          </cell>
          <cell r="H8783" t="str">
            <v>as-as</v>
          </cell>
          <cell r="I8783" t="str">
            <v>sim</v>
          </cell>
          <cell r="V8783" t="str">
            <v>not</v>
          </cell>
          <cell r="Y8783" t="str">
            <v>Past</v>
          </cell>
          <cell r="Z8783">
            <v>3.36</v>
          </cell>
          <cell r="AA8783">
            <v>0</v>
          </cell>
          <cell r="AB8783">
            <v>0</v>
          </cell>
        </row>
        <row r="8784">
          <cell r="G8784" t="str">
            <v>1293_0</v>
          </cell>
          <cell r="H8784" t="str">
            <v>the-of</v>
          </cell>
          <cell r="I8784" t="str">
            <v>sim</v>
          </cell>
          <cell r="V8784" t="str">
            <v>not</v>
          </cell>
          <cell r="Y8784" t="str">
            <v>Pres</v>
          </cell>
          <cell r="Z8784">
            <v>4.8499999999999996</v>
          </cell>
          <cell r="AA8784">
            <v>0</v>
          </cell>
          <cell r="AB8784">
            <v>0</v>
          </cell>
        </row>
        <row r="8785">
          <cell r="G8785" t="str">
            <v>1293_1</v>
          </cell>
          <cell r="H8785" t="str">
            <v>the-of</v>
          </cell>
          <cell r="I8785" t="str">
            <v>sim</v>
          </cell>
          <cell r="V8785" t="str">
            <v>not</v>
          </cell>
          <cell r="Y8785" t="str">
            <v>Pres</v>
          </cell>
          <cell r="Z8785">
            <v>4.8499999999999996</v>
          </cell>
          <cell r="AA8785">
            <v>0</v>
          </cell>
          <cell r="AB8785">
            <v>0</v>
          </cell>
        </row>
        <row r="8786">
          <cell r="G8786" t="str">
            <v>1296_0</v>
          </cell>
          <cell r="H8786" t="str">
            <v>the-of</v>
          </cell>
          <cell r="I8786" t="str">
            <v>sim</v>
          </cell>
          <cell r="V8786" t="str">
            <v>not neg pair</v>
          </cell>
          <cell r="Y8786" t="str">
            <v>Past</v>
          </cell>
          <cell r="Z8786">
            <v>2.1800000000000002</v>
          </cell>
          <cell r="AA8786" t="str">
            <v>L</v>
          </cell>
          <cell r="AB8786">
            <v>0</v>
          </cell>
        </row>
        <row r="8787">
          <cell r="G8787" t="str">
            <v>1296_1</v>
          </cell>
          <cell r="H8787" t="str">
            <v>the-of</v>
          </cell>
          <cell r="I8787" t="str">
            <v>sim</v>
          </cell>
          <cell r="V8787" t="str">
            <v>not neg pair</v>
          </cell>
          <cell r="Y8787" t="str">
            <v>Past</v>
          </cell>
          <cell r="Z8787">
            <v>2.1800000000000002</v>
          </cell>
          <cell r="AA8787" t="str">
            <v>L</v>
          </cell>
          <cell r="AB8787">
            <v>0</v>
          </cell>
        </row>
        <row r="8788">
          <cell r="G8788" t="str">
            <v>1298_0</v>
          </cell>
          <cell r="H8788" t="str">
            <v/>
          </cell>
          <cell r="I8788" t="str">
            <v>met</v>
          </cell>
          <cell r="V8788" t="str">
            <v>0</v>
          </cell>
          <cell r="Y8788" t="str">
            <v>Pres</v>
          </cell>
          <cell r="Z8788">
            <v>2.69</v>
          </cell>
          <cell r="AA8788" t="str">
            <v>L</v>
          </cell>
          <cell r="AB8788">
            <v>0</v>
          </cell>
        </row>
        <row r="8789">
          <cell r="G8789" t="str">
            <v>1298_1</v>
          </cell>
          <cell r="H8789" t="str">
            <v/>
          </cell>
          <cell r="I8789" t="str">
            <v>met</v>
          </cell>
          <cell r="V8789" t="str">
            <v>0</v>
          </cell>
          <cell r="Y8789" t="str">
            <v>Pres</v>
          </cell>
          <cell r="Z8789">
            <v>2.69</v>
          </cell>
          <cell r="AA8789" t="str">
            <v>L</v>
          </cell>
          <cell r="AB8789">
            <v>0</v>
          </cell>
        </row>
        <row r="8790">
          <cell r="G8790" t="str">
            <v>1303_0</v>
          </cell>
          <cell r="H8790" t="str">
            <v/>
          </cell>
          <cell r="I8790" t="str">
            <v>met</v>
          </cell>
          <cell r="V8790" t="str">
            <v>0</v>
          </cell>
          <cell r="Y8790" t="str">
            <v>Pres</v>
          </cell>
          <cell r="Z8790">
            <v>2.69</v>
          </cell>
          <cell r="AA8790" t="str">
            <v>L</v>
          </cell>
          <cell r="AB8790">
            <v>0</v>
          </cell>
        </row>
        <row r="8791">
          <cell r="G8791" t="str">
            <v>1303_1</v>
          </cell>
          <cell r="H8791" t="str">
            <v/>
          </cell>
          <cell r="I8791" t="str">
            <v>met</v>
          </cell>
          <cell r="V8791" t="str">
            <v>0</v>
          </cell>
          <cell r="Y8791" t="str">
            <v>Pres</v>
          </cell>
          <cell r="Z8791">
            <v>2.69</v>
          </cell>
          <cell r="AA8791" t="str">
            <v>L</v>
          </cell>
          <cell r="AB8791">
            <v>0</v>
          </cell>
        </row>
        <row r="8792">
          <cell r="G8792" t="str">
            <v>1309_0</v>
          </cell>
          <cell r="H8792" t="str">
            <v>as-as</v>
          </cell>
          <cell r="I8792" t="str">
            <v>sim</v>
          </cell>
          <cell r="V8792" t="str">
            <v>antonym</v>
          </cell>
          <cell r="Y8792" t="str">
            <v>Past</v>
          </cell>
          <cell r="Z8792">
            <v>4.5</v>
          </cell>
          <cell r="AA8792">
            <v>0</v>
          </cell>
          <cell r="AB8792">
            <v>0</v>
          </cell>
        </row>
        <row r="8793">
          <cell r="G8793" t="str">
            <v>1309_1</v>
          </cell>
          <cell r="H8793" t="str">
            <v>as-as</v>
          </cell>
          <cell r="I8793" t="str">
            <v>sim</v>
          </cell>
          <cell r="V8793" t="str">
            <v>antonym</v>
          </cell>
          <cell r="Y8793" t="str">
            <v>Past</v>
          </cell>
          <cell r="Z8793">
            <v>4.5</v>
          </cell>
          <cell r="AA8793">
            <v>0</v>
          </cell>
          <cell r="AB8793">
            <v>0</v>
          </cell>
        </row>
        <row r="8794">
          <cell r="G8794" t="str">
            <v>1315_0</v>
          </cell>
          <cell r="H8794" t="str">
            <v>the-of</v>
          </cell>
          <cell r="I8794" t="str">
            <v>sim</v>
          </cell>
          <cell r="V8794" t="str">
            <v>0</v>
          </cell>
          <cell r="Y8794" t="str">
            <v>Pres</v>
          </cell>
          <cell r="Z8794">
            <v>2.0699999999999998</v>
          </cell>
          <cell r="AA8794" t="str">
            <v>L</v>
          </cell>
          <cell r="AB8794">
            <v>0</v>
          </cell>
        </row>
        <row r="8795">
          <cell r="G8795" t="str">
            <v>1315_1</v>
          </cell>
          <cell r="H8795" t="str">
            <v/>
          </cell>
          <cell r="I8795" t="str">
            <v>met</v>
          </cell>
          <cell r="V8795" t="str">
            <v>0</v>
          </cell>
          <cell r="Y8795" t="str">
            <v>Pres</v>
          </cell>
          <cell r="Z8795">
            <v>2.0699999999999998</v>
          </cell>
          <cell r="AA8795" t="str">
            <v>L</v>
          </cell>
          <cell r="AB8795">
            <v>0</v>
          </cell>
        </row>
        <row r="8796">
          <cell r="G8796" t="str">
            <v>1316_0</v>
          </cell>
          <cell r="H8796" t="str">
            <v/>
          </cell>
          <cell r="I8796" t="str">
            <v>met</v>
          </cell>
          <cell r="V8796" t="str">
            <v>0</v>
          </cell>
          <cell r="Y8796" t="str">
            <v>Pres</v>
          </cell>
          <cell r="Z8796">
            <v>2.0699999999999998</v>
          </cell>
          <cell r="AA8796" t="str">
            <v>L</v>
          </cell>
          <cell r="AB8796">
            <v>0</v>
          </cell>
        </row>
        <row r="8797">
          <cell r="G8797" t="str">
            <v>1316_1</v>
          </cell>
          <cell r="H8797" t="str">
            <v/>
          </cell>
          <cell r="I8797" t="str">
            <v>met</v>
          </cell>
          <cell r="V8797" t="str">
            <v>0</v>
          </cell>
          <cell r="Y8797" t="str">
            <v>Pres</v>
          </cell>
          <cell r="Z8797">
            <v>2.0699999999999998</v>
          </cell>
          <cell r="AA8797" t="str">
            <v>L</v>
          </cell>
          <cell r="AB8797">
            <v>0</v>
          </cell>
        </row>
        <row r="8798">
          <cell r="G8798" t="str">
            <v>1317_0</v>
          </cell>
          <cell r="H8798" t="str">
            <v/>
          </cell>
          <cell r="I8798" t="str">
            <v>met</v>
          </cell>
          <cell r="V8798" t="str">
            <v>0</v>
          </cell>
          <cell r="Y8798" t="str">
            <v>Pres</v>
          </cell>
          <cell r="Z8798">
            <v>3.25</v>
          </cell>
          <cell r="AA8798">
            <v>0</v>
          </cell>
          <cell r="AB8798">
            <v>0</v>
          </cell>
        </row>
        <row r="8799">
          <cell r="G8799" t="str">
            <v>1317_1</v>
          </cell>
          <cell r="H8799" t="str">
            <v/>
          </cell>
          <cell r="I8799" t="str">
            <v>met</v>
          </cell>
          <cell r="V8799" t="str">
            <v>0</v>
          </cell>
          <cell r="Y8799" t="str">
            <v>Pres</v>
          </cell>
          <cell r="Z8799">
            <v>3.25</v>
          </cell>
          <cell r="AA8799">
            <v>0</v>
          </cell>
          <cell r="AB8799">
            <v>0</v>
          </cell>
        </row>
        <row r="8800">
          <cell r="G8800" t="str">
            <v>1318_0</v>
          </cell>
          <cell r="H8800" t="str">
            <v>as-as</v>
          </cell>
          <cell r="I8800" t="str">
            <v>sim</v>
          </cell>
          <cell r="V8800" t="str">
            <v>antonym</v>
          </cell>
          <cell r="Y8800" t="str">
            <v>Past</v>
          </cell>
          <cell r="Z8800">
            <v>4.9000000000000004</v>
          </cell>
          <cell r="AA8800">
            <v>0</v>
          </cell>
          <cell r="AB8800">
            <v>0</v>
          </cell>
        </row>
        <row r="8801">
          <cell r="G8801" t="str">
            <v>1318_1</v>
          </cell>
          <cell r="H8801" t="str">
            <v>as-as</v>
          </cell>
          <cell r="I8801" t="str">
            <v>sim</v>
          </cell>
          <cell r="V8801" t="str">
            <v>antonym</v>
          </cell>
          <cell r="Y8801" t="str">
            <v>Past</v>
          </cell>
          <cell r="Z8801">
            <v>4.9000000000000004</v>
          </cell>
          <cell r="AA8801">
            <v>0</v>
          </cell>
          <cell r="AB8801">
            <v>0</v>
          </cell>
        </row>
        <row r="8802">
          <cell r="G8802" t="str">
            <v>1319_0</v>
          </cell>
          <cell r="H8802" t="str">
            <v>as-as</v>
          </cell>
          <cell r="I8802" t="str">
            <v>sim</v>
          </cell>
          <cell r="V8802" t="str">
            <v>not neg pair</v>
          </cell>
          <cell r="Y8802" t="str">
            <v>Pres</v>
          </cell>
          <cell r="Z8802">
            <v>4.46</v>
          </cell>
          <cell r="AA8802">
            <v>0</v>
          </cell>
          <cell r="AB8802">
            <v>0</v>
          </cell>
        </row>
        <row r="8803">
          <cell r="G8803" t="str">
            <v>1319_1</v>
          </cell>
          <cell r="H8803" t="str">
            <v>as-as</v>
          </cell>
          <cell r="I8803" t="str">
            <v>sim</v>
          </cell>
          <cell r="V8803" t="str">
            <v>not neg pair</v>
          </cell>
          <cell r="Y8803" t="str">
            <v>Pres</v>
          </cell>
          <cell r="Z8803">
            <v>4.46</v>
          </cell>
          <cell r="AA8803">
            <v>0</v>
          </cell>
          <cell r="AB8803">
            <v>0</v>
          </cell>
        </row>
        <row r="8804">
          <cell r="G8804" t="str">
            <v>1325_0</v>
          </cell>
          <cell r="H8804" t="str">
            <v>as-as</v>
          </cell>
          <cell r="I8804" t="str">
            <v>sim</v>
          </cell>
          <cell r="V8804" t="str">
            <v>antonym</v>
          </cell>
          <cell r="Y8804" t="str">
            <v>Past</v>
          </cell>
          <cell r="Z8804">
            <v>4.76</v>
          </cell>
          <cell r="AA8804">
            <v>0</v>
          </cell>
          <cell r="AB8804">
            <v>0</v>
          </cell>
        </row>
        <row r="8805">
          <cell r="G8805" t="str">
            <v>1325_1</v>
          </cell>
          <cell r="H8805" t="str">
            <v>as-as</v>
          </cell>
          <cell r="I8805" t="str">
            <v>sim</v>
          </cell>
          <cell r="V8805" t="str">
            <v>antonym</v>
          </cell>
          <cell r="Y8805" t="str">
            <v>Past</v>
          </cell>
          <cell r="Z8805">
            <v>4.76</v>
          </cell>
          <cell r="AA8805">
            <v>0</v>
          </cell>
          <cell r="AB8805">
            <v>0</v>
          </cell>
        </row>
        <row r="8806">
          <cell r="G8806" t="str">
            <v>1327_0</v>
          </cell>
          <cell r="H8806" t="str">
            <v>as-as</v>
          </cell>
          <cell r="I8806" t="str">
            <v>sim</v>
          </cell>
          <cell r="V8806" t="str">
            <v>not neg pair</v>
          </cell>
          <cell r="Y8806" t="str">
            <v>Past</v>
          </cell>
          <cell r="Z8806">
            <v>2.59</v>
          </cell>
          <cell r="AA8806" t="str">
            <v>L</v>
          </cell>
          <cell r="AB8806">
            <v>0</v>
          </cell>
        </row>
        <row r="8807">
          <cell r="G8807" t="str">
            <v>1327_1</v>
          </cell>
          <cell r="H8807" t="str">
            <v>as-as</v>
          </cell>
          <cell r="I8807" t="str">
            <v>sim</v>
          </cell>
          <cell r="V8807" t="str">
            <v>not neg pair</v>
          </cell>
          <cell r="Y8807" t="str">
            <v>Past</v>
          </cell>
          <cell r="Z8807">
            <v>2.59</v>
          </cell>
          <cell r="AA8807" t="str">
            <v>L</v>
          </cell>
          <cell r="AB8807">
            <v>0</v>
          </cell>
        </row>
        <row r="8808">
          <cell r="G8808" t="str">
            <v>1329_0</v>
          </cell>
          <cell r="H8808" t="str">
            <v>the-of</v>
          </cell>
          <cell r="I8808" t="str">
            <v>sim</v>
          </cell>
          <cell r="V8808" t="str">
            <v>not neg pair</v>
          </cell>
          <cell r="Y8808" t="str">
            <v>Pres</v>
          </cell>
          <cell r="Z8808">
            <v>3.93</v>
          </cell>
          <cell r="AA8808">
            <v>0</v>
          </cell>
          <cell r="AB8808">
            <v>0</v>
          </cell>
        </row>
        <row r="8809">
          <cell r="G8809" t="str">
            <v>1329_1</v>
          </cell>
          <cell r="H8809" t="str">
            <v>the-of</v>
          </cell>
          <cell r="I8809" t="str">
            <v>sim</v>
          </cell>
          <cell r="V8809" t="str">
            <v>not neg pair</v>
          </cell>
          <cell r="Y8809">
            <v>0</v>
          </cell>
          <cell r="Z8809">
            <v>3.93</v>
          </cell>
          <cell r="AA8809">
            <v>0</v>
          </cell>
          <cell r="AB8809">
            <v>0</v>
          </cell>
        </row>
        <row r="8810">
          <cell r="G8810" t="str">
            <v>1330_0</v>
          </cell>
          <cell r="H8810" t="str">
            <v/>
          </cell>
          <cell r="I8810" t="str">
            <v>met</v>
          </cell>
          <cell r="V8810" t="str">
            <v>0</v>
          </cell>
          <cell r="Y8810" t="str">
            <v>Pres</v>
          </cell>
          <cell r="Z8810">
            <v>3.36</v>
          </cell>
          <cell r="AA8810">
            <v>0</v>
          </cell>
          <cell r="AB8810">
            <v>0</v>
          </cell>
        </row>
        <row r="8811">
          <cell r="G8811" t="str">
            <v>1330_1</v>
          </cell>
          <cell r="H8811" t="str">
            <v/>
          </cell>
          <cell r="I8811" t="str">
            <v>met</v>
          </cell>
          <cell r="V8811" t="str">
            <v>0</v>
          </cell>
          <cell r="Y8811" t="str">
            <v>Pres</v>
          </cell>
          <cell r="Z8811">
            <v>3.36</v>
          </cell>
          <cell r="AA8811">
            <v>0</v>
          </cell>
          <cell r="AB8811">
            <v>0</v>
          </cell>
        </row>
        <row r="8812">
          <cell r="G8812" t="str">
            <v>1336_0</v>
          </cell>
          <cell r="H8812" t="str">
            <v>as-as</v>
          </cell>
          <cell r="I8812" t="str">
            <v>sim</v>
          </cell>
          <cell r="V8812" t="str">
            <v>antonym</v>
          </cell>
          <cell r="Y8812" t="str">
            <v>Pres</v>
          </cell>
          <cell r="Z8812">
            <v>4.92</v>
          </cell>
          <cell r="AA8812" t="str">
            <v>H</v>
          </cell>
          <cell r="AB8812">
            <v>0</v>
          </cell>
        </row>
        <row r="8813">
          <cell r="G8813" t="str">
            <v>1336_1</v>
          </cell>
          <cell r="H8813" t="str">
            <v>as-as</v>
          </cell>
          <cell r="I8813" t="str">
            <v>sim</v>
          </cell>
          <cell r="V8813" t="str">
            <v>antonym</v>
          </cell>
          <cell r="Y8813" t="str">
            <v>Pres</v>
          </cell>
          <cell r="Z8813">
            <v>4.92</v>
          </cell>
          <cell r="AA8813" t="str">
            <v>H</v>
          </cell>
          <cell r="AB8813">
            <v>0</v>
          </cell>
        </row>
        <row r="8814">
          <cell r="G8814" t="str">
            <v>1339_0</v>
          </cell>
          <cell r="H8814" t="str">
            <v>like</v>
          </cell>
          <cell r="I8814" t="str">
            <v>sim</v>
          </cell>
          <cell r="V8814" t="str">
            <v>not neg pair</v>
          </cell>
          <cell r="Y8814" t="str">
            <v>Pres</v>
          </cell>
          <cell r="Z8814">
            <v>4.8899999999999997</v>
          </cell>
          <cell r="AA8814">
            <v>0</v>
          </cell>
          <cell r="AB8814">
            <v>0</v>
          </cell>
        </row>
        <row r="8815">
          <cell r="G8815" t="str">
            <v>1339_1</v>
          </cell>
          <cell r="H8815" t="str">
            <v>like</v>
          </cell>
          <cell r="I8815" t="str">
            <v>sim</v>
          </cell>
          <cell r="V8815" t="str">
            <v>not neg pair</v>
          </cell>
          <cell r="Y8815" t="str">
            <v>Pres</v>
          </cell>
          <cell r="Z8815">
            <v>4.8899999999999997</v>
          </cell>
          <cell r="AA8815">
            <v>0</v>
          </cell>
          <cell r="AB8815">
            <v>0</v>
          </cell>
        </row>
        <row r="8816">
          <cell r="G8816" t="str">
            <v>1341_0</v>
          </cell>
          <cell r="H8816" t="str">
            <v>like</v>
          </cell>
          <cell r="I8816" t="str">
            <v>sim</v>
          </cell>
          <cell r="V8816" t="str">
            <v>not neg pair</v>
          </cell>
          <cell r="Y8816" t="str">
            <v>Past</v>
          </cell>
          <cell r="Z8816">
            <v>3.71</v>
          </cell>
          <cell r="AA8816">
            <v>0</v>
          </cell>
          <cell r="AB8816">
            <v>0</v>
          </cell>
        </row>
        <row r="8817">
          <cell r="G8817" t="str">
            <v>1341_1</v>
          </cell>
          <cell r="H8817" t="str">
            <v>like</v>
          </cell>
          <cell r="I8817" t="str">
            <v>sim</v>
          </cell>
          <cell r="V8817" t="str">
            <v>not neg pair</v>
          </cell>
          <cell r="Y8817" t="str">
            <v>Past</v>
          </cell>
          <cell r="Z8817">
            <v>3.71</v>
          </cell>
          <cell r="AA8817">
            <v>0</v>
          </cell>
          <cell r="AB8817">
            <v>0</v>
          </cell>
        </row>
        <row r="8818">
          <cell r="G8818" t="str">
            <v>1343_0</v>
          </cell>
          <cell r="H8818" t="str">
            <v>the-of</v>
          </cell>
          <cell r="I8818" t="str">
            <v>sim</v>
          </cell>
          <cell r="V8818" t="str">
            <v>not neg pair</v>
          </cell>
          <cell r="Y8818" t="str">
            <v>Pres</v>
          </cell>
          <cell r="Z8818">
            <v>5</v>
          </cell>
          <cell r="AA8818" t="str">
            <v>H</v>
          </cell>
          <cell r="AB8818">
            <v>0</v>
          </cell>
        </row>
        <row r="8819">
          <cell r="G8819" t="str">
            <v>1343_1</v>
          </cell>
          <cell r="H8819" t="str">
            <v>the-of</v>
          </cell>
          <cell r="I8819" t="str">
            <v>sim</v>
          </cell>
          <cell r="V8819" t="str">
            <v>not neg pair</v>
          </cell>
          <cell r="Y8819" t="str">
            <v>Pres</v>
          </cell>
          <cell r="Z8819">
            <v>5</v>
          </cell>
          <cell r="AA8819" t="str">
            <v>H</v>
          </cell>
          <cell r="AB8819">
            <v>0</v>
          </cell>
        </row>
        <row r="8820">
          <cell r="G8820" t="str">
            <v>1344_0</v>
          </cell>
          <cell r="H8820" t="str">
            <v>the-of</v>
          </cell>
          <cell r="I8820" t="str">
            <v>sim</v>
          </cell>
          <cell r="V8820" t="str">
            <v>not neg pair</v>
          </cell>
          <cell r="Y8820" t="str">
            <v>Pres</v>
          </cell>
          <cell r="Z8820">
            <v>4.4000000000000004</v>
          </cell>
          <cell r="AA8820">
            <v>0</v>
          </cell>
          <cell r="AB8820">
            <v>0</v>
          </cell>
        </row>
        <row r="8821">
          <cell r="G8821" t="str">
            <v>1344_1</v>
          </cell>
          <cell r="H8821" t="str">
            <v>the-of</v>
          </cell>
          <cell r="I8821" t="str">
            <v>sim</v>
          </cell>
          <cell r="V8821" t="str">
            <v>not neg pair</v>
          </cell>
          <cell r="Y8821" t="str">
            <v>Pres</v>
          </cell>
          <cell r="Z8821">
            <v>4.4000000000000004</v>
          </cell>
          <cell r="AA8821">
            <v>0</v>
          </cell>
          <cell r="AB8821">
            <v>0</v>
          </cell>
        </row>
        <row r="8822">
          <cell r="G8822" t="str">
            <v>1347_0</v>
          </cell>
          <cell r="H8822" t="str">
            <v>the-of</v>
          </cell>
          <cell r="I8822" t="str">
            <v>sim</v>
          </cell>
          <cell r="V8822" t="str">
            <v>not</v>
          </cell>
          <cell r="Y8822" t="str">
            <v>Pres</v>
          </cell>
          <cell r="Z8822">
            <v>3.37</v>
          </cell>
          <cell r="AA8822">
            <v>0</v>
          </cell>
          <cell r="AB8822">
            <v>0</v>
          </cell>
        </row>
        <row r="8823">
          <cell r="G8823" t="str">
            <v>1347_1</v>
          </cell>
          <cell r="H8823" t="str">
            <v>the-of</v>
          </cell>
          <cell r="I8823" t="str">
            <v>sim</v>
          </cell>
          <cell r="V8823" t="str">
            <v>not</v>
          </cell>
          <cell r="Y8823" t="str">
            <v>Pres</v>
          </cell>
          <cell r="Z8823">
            <v>3.37</v>
          </cell>
          <cell r="AA8823">
            <v>0</v>
          </cell>
          <cell r="AB8823">
            <v>0</v>
          </cell>
        </row>
        <row r="8824">
          <cell r="G8824" t="str">
            <v>1348_0</v>
          </cell>
          <cell r="H8824" t="str">
            <v>the-of</v>
          </cell>
          <cell r="I8824" t="str">
            <v>sim</v>
          </cell>
          <cell r="V8824" t="str">
            <v>not neg pair</v>
          </cell>
          <cell r="Y8824" t="str">
            <v>Pres</v>
          </cell>
          <cell r="Z8824">
            <v>3.93</v>
          </cell>
          <cell r="AA8824">
            <v>0</v>
          </cell>
          <cell r="AB8824">
            <v>0</v>
          </cell>
        </row>
        <row r="8825">
          <cell r="G8825" t="str">
            <v>1348_1</v>
          </cell>
          <cell r="H8825" t="str">
            <v>the-of</v>
          </cell>
          <cell r="I8825" t="str">
            <v>sim</v>
          </cell>
          <cell r="V8825" t="str">
            <v>not neg pair</v>
          </cell>
          <cell r="Y8825" t="str">
            <v>Pres</v>
          </cell>
          <cell r="Z8825">
            <v>3.93</v>
          </cell>
          <cell r="AA8825">
            <v>0</v>
          </cell>
          <cell r="AB8825">
            <v>0</v>
          </cell>
        </row>
        <row r="8826">
          <cell r="G8826" t="str">
            <v>1349_0</v>
          </cell>
          <cell r="H8826" t="str">
            <v>like</v>
          </cell>
          <cell r="I8826" t="str">
            <v>sim</v>
          </cell>
          <cell r="V8826" t="str">
            <v>not</v>
          </cell>
          <cell r="Y8826" t="str">
            <v>Pres</v>
          </cell>
          <cell r="Z8826">
            <v>4.9000000000000004</v>
          </cell>
          <cell r="AA8826">
            <v>0</v>
          </cell>
          <cell r="AB8826">
            <v>0</v>
          </cell>
        </row>
        <row r="8827">
          <cell r="G8827" t="str">
            <v>1349_1</v>
          </cell>
          <cell r="H8827" t="str">
            <v>like</v>
          </cell>
          <cell r="I8827" t="str">
            <v>sim</v>
          </cell>
          <cell r="V8827" t="str">
            <v>not</v>
          </cell>
          <cell r="Y8827" t="str">
            <v>Pres</v>
          </cell>
          <cell r="Z8827">
            <v>4.9000000000000004</v>
          </cell>
          <cell r="AA8827">
            <v>0</v>
          </cell>
          <cell r="AB8827">
            <v>0</v>
          </cell>
        </row>
        <row r="8828">
          <cell r="G8828" t="str">
            <v>1350_0</v>
          </cell>
          <cell r="H8828" t="str">
            <v>as-as</v>
          </cell>
          <cell r="I8828" t="str">
            <v>sim</v>
          </cell>
          <cell r="V8828" t="str">
            <v>not</v>
          </cell>
          <cell r="Y8828" t="str">
            <v>Pres</v>
          </cell>
          <cell r="Z8828">
            <v>3.93</v>
          </cell>
          <cell r="AA8828">
            <v>0</v>
          </cell>
          <cell r="AB8828">
            <v>0</v>
          </cell>
        </row>
        <row r="8829">
          <cell r="G8829" t="str">
            <v>1350_1</v>
          </cell>
          <cell r="H8829" t="str">
            <v>as-as</v>
          </cell>
          <cell r="I8829" t="str">
            <v>sim</v>
          </cell>
          <cell r="V8829" t="str">
            <v>not</v>
          </cell>
          <cell r="Y8829" t="str">
            <v>Pres</v>
          </cell>
          <cell r="Z8829">
            <v>3.93</v>
          </cell>
          <cell r="AA8829">
            <v>0</v>
          </cell>
          <cell r="AB8829">
            <v>0</v>
          </cell>
        </row>
        <row r="8830">
          <cell r="G8830" t="str">
            <v>1351_0</v>
          </cell>
          <cell r="H8830" t="str">
            <v>the-of</v>
          </cell>
          <cell r="I8830" t="str">
            <v>sim</v>
          </cell>
          <cell r="V8830" t="str">
            <v>not neg pair</v>
          </cell>
          <cell r="Y8830" t="str">
            <v>Pres</v>
          </cell>
          <cell r="Z8830">
            <v>5</v>
          </cell>
          <cell r="AA8830" t="str">
            <v>H</v>
          </cell>
          <cell r="AB8830">
            <v>0</v>
          </cell>
        </row>
        <row r="8831">
          <cell r="G8831" t="str">
            <v>1351_1</v>
          </cell>
          <cell r="H8831" t="str">
            <v>the-of</v>
          </cell>
          <cell r="I8831" t="str">
            <v>sim</v>
          </cell>
          <cell r="V8831" t="str">
            <v>not neg pair</v>
          </cell>
          <cell r="Y8831" t="str">
            <v>Pres</v>
          </cell>
          <cell r="Z8831">
            <v>5</v>
          </cell>
          <cell r="AA8831" t="str">
            <v>H</v>
          </cell>
          <cell r="AB8831">
            <v>0</v>
          </cell>
        </row>
        <row r="8832">
          <cell r="G8832" t="str">
            <v>1353_0</v>
          </cell>
          <cell r="H8832" t="str">
            <v>like</v>
          </cell>
          <cell r="I8832" t="str">
            <v>sim</v>
          </cell>
          <cell r="V8832" t="str">
            <v>not neg pair</v>
          </cell>
          <cell r="Y8832" t="str">
            <v>Pres</v>
          </cell>
          <cell r="Z8832">
            <v>3.36</v>
          </cell>
          <cell r="AA8832">
            <v>0</v>
          </cell>
          <cell r="AB8832">
            <v>0</v>
          </cell>
        </row>
        <row r="8833">
          <cell r="G8833" t="str">
            <v>1353_1</v>
          </cell>
          <cell r="H8833" t="str">
            <v>like</v>
          </cell>
          <cell r="I8833" t="str">
            <v>sim</v>
          </cell>
          <cell r="V8833" t="str">
            <v>not neg pair</v>
          </cell>
          <cell r="Y8833" t="str">
            <v>Pres</v>
          </cell>
          <cell r="Z8833">
            <v>3.36</v>
          </cell>
          <cell r="AA8833">
            <v>0</v>
          </cell>
          <cell r="AB8833">
            <v>0</v>
          </cell>
        </row>
        <row r="8834">
          <cell r="G8834" t="str">
            <v>1355_0</v>
          </cell>
          <cell r="H8834" t="str">
            <v>as-as</v>
          </cell>
          <cell r="I8834" t="str">
            <v>sim</v>
          </cell>
          <cell r="V8834" t="str">
            <v>not neg pair</v>
          </cell>
          <cell r="Y8834" t="str">
            <v>Past</v>
          </cell>
          <cell r="Z8834">
            <v>3.93</v>
          </cell>
          <cell r="AA8834">
            <v>0</v>
          </cell>
          <cell r="AB8834">
            <v>0</v>
          </cell>
        </row>
        <row r="8835">
          <cell r="G8835" t="str">
            <v>1355_1</v>
          </cell>
          <cell r="H8835" t="str">
            <v>as-as</v>
          </cell>
          <cell r="I8835" t="str">
            <v>sim</v>
          </cell>
          <cell r="V8835" t="str">
            <v>not neg pair</v>
          </cell>
          <cell r="Y8835" t="str">
            <v>Past</v>
          </cell>
          <cell r="Z8835">
            <v>3.93</v>
          </cell>
          <cell r="AA8835">
            <v>0</v>
          </cell>
          <cell r="AB8835">
            <v>0</v>
          </cell>
        </row>
        <row r="8836">
          <cell r="G8836" t="str">
            <v>1357_0</v>
          </cell>
          <cell r="H8836" t="str">
            <v>the-of</v>
          </cell>
          <cell r="I8836" t="str">
            <v>sim</v>
          </cell>
          <cell r="V8836" t="str">
            <v>not neg pair</v>
          </cell>
          <cell r="Y8836" t="str">
            <v>Pres</v>
          </cell>
          <cell r="Z8836">
            <v>4.8099999999999996</v>
          </cell>
          <cell r="AA8836">
            <v>0</v>
          </cell>
          <cell r="AB8836">
            <v>0</v>
          </cell>
        </row>
        <row r="8837">
          <cell r="G8837" t="str">
            <v>1357_1</v>
          </cell>
          <cell r="H8837" t="str">
            <v>the-of</v>
          </cell>
          <cell r="I8837" t="str">
            <v>sim</v>
          </cell>
          <cell r="V8837" t="str">
            <v>not neg pair</v>
          </cell>
          <cell r="Y8837" t="str">
            <v>Pres</v>
          </cell>
          <cell r="Z8837">
            <v>4.8099999999999996</v>
          </cell>
          <cell r="AA8837">
            <v>0</v>
          </cell>
          <cell r="AB8837">
            <v>0</v>
          </cell>
        </row>
        <row r="8838">
          <cell r="G8838" t="str">
            <v>1364_0</v>
          </cell>
          <cell r="H8838" t="str">
            <v>like</v>
          </cell>
          <cell r="I8838" t="str">
            <v>sim</v>
          </cell>
          <cell r="V8838" t="str">
            <v>not</v>
          </cell>
          <cell r="Y8838" t="str">
            <v>Past</v>
          </cell>
          <cell r="Z8838">
            <v>2.83</v>
          </cell>
          <cell r="AA8838">
            <v>0</v>
          </cell>
          <cell r="AB8838">
            <v>0</v>
          </cell>
        </row>
        <row r="8839">
          <cell r="G8839" t="str">
            <v>1364_1</v>
          </cell>
          <cell r="H8839" t="str">
            <v>like</v>
          </cell>
          <cell r="I8839" t="str">
            <v>sim</v>
          </cell>
          <cell r="V8839" t="str">
            <v>not</v>
          </cell>
          <cell r="Y8839" t="str">
            <v>Past</v>
          </cell>
          <cell r="Z8839">
            <v>2.83</v>
          </cell>
          <cell r="AA8839">
            <v>0</v>
          </cell>
          <cell r="AB8839">
            <v>0</v>
          </cell>
        </row>
        <row r="8840">
          <cell r="G8840" t="str">
            <v>1369_0</v>
          </cell>
          <cell r="H8840" t="str">
            <v>the-of</v>
          </cell>
          <cell r="I8840" t="str">
            <v>sim</v>
          </cell>
          <cell r="V8840" t="str">
            <v>not neg pair</v>
          </cell>
          <cell r="Y8840" t="str">
            <v>Pres</v>
          </cell>
          <cell r="Z8840">
            <v>4.62</v>
          </cell>
          <cell r="AA8840">
            <v>0</v>
          </cell>
          <cell r="AB8840">
            <v>0</v>
          </cell>
        </row>
        <row r="8841">
          <cell r="G8841" t="str">
            <v>1369_1</v>
          </cell>
          <cell r="H8841" t="str">
            <v>the-of</v>
          </cell>
          <cell r="I8841" t="str">
            <v>sim</v>
          </cell>
          <cell r="V8841" t="str">
            <v>not neg pair</v>
          </cell>
          <cell r="Y8841" t="str">
            <v>Pres</v>
          </cell>
          <cell r="Z8841">
            <v>4.62</v>
          </cell>
          <cell r="AA8841">
            <v>0</v>
          </cell>
          <cell r="AB8841">
            <v>0</v>
          </cell>
        </row>
        <row r="8842">
          <cell r="G8842" t="str">
            <v>1370_0</v>
          </cell>
          <cell r="H8842" t="str">
            <v>the-of</v>
          </cell>
          <cell r="I8842" t="str">
            <v>sim</v>
          </cell>
          <cell r="V8842" t="str">
            <v>not neg pair</v>
          </cell>
          <cell r="Y8842" t="str">
            <v>Pres</v>
          </cell>
          <cell r="Z8842">
            <v>4.57</v>
          </cell>
          <cell r="AA8842">
            <v>0</v>
          </cell>
          <cell r="AB8842">
            <v>0</v>
          </cell>
        </row>
        <row r="8843">
          <cell r="G8843" t="str">
            <v>1370_1</v>
          </cell>
          <cell r="H8843" t="str">
            <v>the-of</v>
          </cell>
          <cell r="I8843" t="str">
            <v>sim</v>
          </cell>
          <cell r="V8843" t="str">
            <v>not neg pair</v>
          </cell>
          <cell r="Y8843" t="str">
            <v>Pres</v>
          </cell>
          <cell r="Z8843">
            <v>4.57</v>
          </cell>
          <cell r="AA8843">
            <v>0</v>
          </cell>
          <cell r="AB8843">
            <v>0</v>
          </cell>
        </row>
        <row r="8844">
          <cell r="G8844" t="str">
            <v>1373_0</v>
          </cell>
          <cell r="H8844" t="str">
            <v>the-of</v>
          </cell>
          <cell r="I8844" t="str">
            <v>sim</v>
          </cell>
          <cell r="V8844" t="str">
            <v>not</v>
          </cell>
          <cell r="Y8844" t="str">
            <v>Pres</v>
          </cell>
          <cell r="Z8844">
            <v>3.93</v>
          </cell>
          <cell r="AA8844">
            <v>0</v>
          </cell>
          <cell r="AB8844">
            <v>0</v>
          </cell>
        </row>
        <row r="8845">
          <cell r="G8845" t="str">
            <v>1373_1</v>
          </cell>
          <cell r="H8845" t="str">
            <v>the-of</v>
          </cell>
          <cell r="I8845" t="str">
            <v>sim</v>
          </cell>
          <cell r="V8845" t="str">
            <v>not</v>
          </cell>
          <cell r="Y8845" t="str">
            <v>Pres</v>
          </cell>
          <cell r="Z8845">
            <v>3.93</v>
          </cell>
          <cell r="AA8845">
            <v>0</v>
          </cell>
          <cell r="AB8845">
            <v>0</v>
          </cell>
        </row>
        <row r="8846">
          <cell r="G8846" t="str">
            <v>1383_0</v>
          </cell>
          <cell r="H8846" t="str">
            <v>as-as</v>
          </cell>
          <cell r="I8846" t="str">
            <v>sim</v>
          </cell>
          <cell r="V8846" t="str">
            <v>not neg pair</v>
          </cell>
          <cell r="Y8846" t="str">
            <v>Pres</v>
          </cell>
          <cell r="Z8846">
            <v>1.85</v>
          </cell>
          <cell r="AA8846" t="str">
            <v>L</v>
          </cell>
          <cell r="AB8846">
            <v>0</v>
          </cell>
        </row>
        <row r="8847">
          <cell r="G8847" t="str">
            <v>1383_1</v>
          </cell>
          <cell r="H8847" t="str">
            <v>as-as</v>
          </cell>
          <cell r="I8847" t="str">
            <v>sim</v>
          </cell>
          <cell r="V8847" t="str">
            <v>not neg pair</v>
          </cell>
          <cell r="Y8847" t="str">
            <v>Pres</v>
          </cell>
          <cell r="Z8847">
            <v>1.85</v>
          </cell>
          <cell r="AA8847" t="str">
            <v>L</v>
          </cell>
          <cell r="AB8847">
            <v>0</v>
          </cell>
        </row>
        <row r="8848">
          <cell r="G8848" t="str">
            <v>1384_0</v>
          </cell>
          <cell r="H8848" t="str">
            <v>as-as</v>
          </cell>
          <cell r="I8848" t="str">
            <v>sim</v>
          </cell>
          <cell r="V8848" t="str">
            <v>not</v>
          </cell>
          <cell r="Y8848" t="str">
            <v>Pres</v>
          </cell>
          <cell r="Z8848">
            <v>2.0299999999999998</v>
          </cell>
          <cell r="AA8848" t="str">
            <v>L</v>
          </cell>
          <cell r="AB8848">
            <v>0</v>
          </cell>
        </row>
        <row r="8849">
          <cell r="G8849" t="str">
            <v>1384_1</v>
          </cell>
          <cell r="H8849" t="str">
            <v>as-as</v>
          </cell>
          <cell r="I8849" t="str">
            <v>sim</v>
          </cell>
          <cell r="V8849" t="str">
            <v>not</v>
          </cell>
          <cell r="Y8849" t="str">
            <v>Pres</v>
          </cell>
          <cell r="Z8849">
            <v>2.0299999999999998</v>
          </cell>
          <cell r="AA8849" t="str">
            <v>L</v>
          </cell>
          <cell r="AB8849">
            <v>0</v>
          </cell>
        </row>
        <row r="8850">
          <cell r="G8850" t="str">
            <v>1385_0</v>
          </cell>
          <cell r="H8850" t="str">
            <v>the-of</v>
          </cell>
          <cell r="I8850" t="str">
            <v>sim</v>
          </cell>
          <cell r="V8850" t="str">
            <v>not neg pair</v>
          </cell>
          <cell r="Y8850" t="str">
            <v>Pres</v>
          </cell>
          <cell r="Z8850">
            <v>4.79</v>
          </cell>
          <cell r="AA8850">
            <v>0</v>
          </cell>
          <cell r="AB8850">
            <v>0</v>
          </cell>
        </row>
        <row r="8851">
          <cell r="G8851" t="str">
            <v>1385_1</v>
          </cell>
          <cell r="H8851" t="str">
            <v>the-of</v>
          </cell>
          <cell r="I8851" t="str">
            <v>sim</v>
          </cell>
          <cell r="V8851" t="str">
            <v>not neg pair</v>
          </cell>
          <cell r="Y8851" t="str">
            <v>Pres</v>
          </cell>
          <cell r="Z8851">
            <v>4.79</v>
          </cell>
          <cell r="AA8851">
            <v>0</v>
          </cell>
          <cell r="AB8851">
            <v>0</v>
          </cell>
        </row>
        <row r="8852">
          <cell r="G8852" t="str">
            <v>1390_0</v>
          </cell>
          <cell r="H8852" t="str">
            <v>as-as</v>
          </cell>
          <cell r="I8852" t="str">
            <v>sim</v>
          </cell>
          <cell r="V8852" t="str">
            <v>not</v>
          </cell>
          <cell r="Y8852" t="str">
            <v>Past</v>
          </cell>
          <cell r="Z8852">
            <v>3.48</v>
          </cell>
          <cell r="AA8852">
            <v>0</v>
          </cell>
          <cell r="AB8852">
            <v>0</v>
          </cell>
        </row>
        <row r="8853">
          <cell r="G8853" t="str">
            <v>1390_1</v>
          </cell>
          <cell r="H8853" t="str">
            <v>as-as</v>
          </cell>
          <cell r="I8853" t="str">
            <v>sim</v>
          </cell>
          <cell r="V8853" t="str">
            <v>not</v>
          </cell>
          <cell r="Y8853" t="str">
            <v>Past</v>
          </cell>
          <cell r="Z8853">
            <v>3.48</v>
          </cell>
          <cell r="AA8853">
            <v>0</v>
          </cell>
          <cell r="AB8853">
            <v>0</v>
          </cell>
        </row>
        <row r="8854">
          <cell r="G8854" t="str">
            <v>1392_0</v>
          </cell>
          <cell r="H8854" t="str">
            <v>the-of</v>
          </cell>
          <cell r="I8854" t="str">
            <v>sim</v>
          </cell>
          <cell r="V8854" t="str">
            <v>not</v>
          </cell>
          <cell r="Y8854">
            <v>0</v>
          </cell>
          <cell r="Z8854">
            <v>4.93</v>
          </cell>
          <cell r="AA8854" t="str">
            <v>H</v>
          </cell>
          <cell r="AB8854">
            <v>0</v>
          </cell>
        </row>
        <row r="8855">
          <cell r="G8855" t="str">
            <v>1392_1</v>
          </cell>
          <cell r="H8855" t="str">
            <v>the-of</v>
          </cell>
          <cell r="I8855" t="str">
            <v>sim</v>
          </cell>
          <cell r="V8855" t="str">
            <v>not</v>
          </cell>
          <cell r="Y8855" t="str">
            <v>Pres</v>
          </cell>
          <cell r="Z8855">
            <v>4.93</v>
          </cell>
          <cell r="AA8855" t="str">
            <v>H</v>
          </cell>
          <cell r="AB8855">
            <v>0</v>
          </cell>
        </row>
        <row r="8856">
          <cell r="G8856" t="str">
            <v>1394_0</v>
          </cell>
          <cell r="H8856" t="str">
            <v>as-as</v>
          </cell>
          <cell r="I8856" t="str">
            <v>sim</v>
          </cell>
          <cell r="V8856" t="str">
            <v>not</v>
          </cell>
          <cell r="Y8856" t="str">
            <v>Pres</v>
          </cell>
          <cell r="Z8856">
            <v>3.59</v>
          </cell>
          <cell r="AA8856">
            <v>0</v>
          </cell>
          <cell r="AB8856">
            <v>0</v>
          </cell>
        </row>
        <row r="8857">
          <cell r="G8857" t="str">
            <v>1394_1</v>
          </cell>
          <cell r="H8857" t="str">
            <v>as-as</v>
          </cell>
          <cell r="I8857" t="str">
            <v>sim</v>
          </cell>
          <cell r="V8857" t="str">
            <v>not</v>
          </cell>
          <cell r="Y8857" t="str">
            <v>Pres</v>
          </cell>
          <cell r="Z8857">
            <v>3.59</v>
          </cell>
          <cell r="AA8857">
            <v>0</v>
          </cell>
          <cell r="AB8857">
            <v>0</v>
          </cell>
        </row>
        <row r="8858">
          <cell r="G8858" t="str">
            <v>1399_0</v>
          </cell>
          <cell r="H8858" t="str">
            <v>like</v>
          </cell>
          <cell r="I8858" t="str">
            <v>sim</v>
          </cell>
          <cell r="V8858" t="str">
            <v>0</v>
          </cell>
          <cell r="Y8858" t="str">
            <v>Pres</v>
          </cell>
          <cell r="Z8858">
            <v>3.93</v>
          </cell>
          <cell r="AA8858">
            <v>0</v>
          </cell>
          <cell r="AB8858">
            <v>0</v>
          </cell>
        </row>
        <row r="8859">
          <cell r="G8859" t="str">
            <v>1399_1</v>
          </cell>
          <cell r="H8859" t="str">
            <v/>
          </cell>
          <cell r="I8859" t="str">
            <v>met</v>
          </cell>
          <cell r="V8859" t="str">
            <v>0</v>
          </cell>
          <cell r="Y8859" t="str">
            <v>Pres</v>
          </cell>
          <cell r="Z8859">
            <v>3.93</v>
          </cell>
          <cell r="AA8859">
            <v>0</v>
          </cell>
          <cell r="AB8859">
            <v>0</v>
          </cell>
        </row>
        <row r="8860">
          <cell r="G8860" t="str">
            <v>1400_0</v>
          </cell>
          <cell r="H8860" t="str">
            <v>like</v>
          </cell>
          <cell r="I8860" t="str">
            <v>sim</v>
          </cell>
          <cell r="V8860" t="str">
            <v>not neg pair</v>
          </cell>
          <cell r="Y8860" t="str">
            <v>Pres</v>
          </cell>
          <cell r="Z8860">
            <v>4.8600000000000003</v>
          </cell>
          <cell r="AA8860">
            <v>0</v>
          </cell>
          <cell r="AB8860">
            <v>0</v>
          </cell>
        </row>
        <row r="8861">
          <cell r="G8861" t="str">
            <v>1400_1</v>
          </cell>
          <cell r="H8861" t="str">
            <v>like</v>
          </cell>
          <cell r="I8861" t="str">
            <v>sim</v>
          </cell>
          <cell r="V8861" t="str">
            <v>not neg pair</v>
          </cell>
          <cell r="Y8861" t="str">
            <v>Pres</v>
          </cell>
          <cell r="Z8861">
            <v>4.8600000000000003</v>
          </cell>
          <cell r="AA8861">
            <v>0</v>
          </cell>
          <cell r="AB8861">
            <v>0</v>
          </cell>
        </row>
        <row r="8862">
          <cell r="G8862" t="str">
            <v>1401_0</v>
          </cell>
          <cell r="H8862" t="str">
            <v>the-of</v>
          </cell>
          <cell r="I8862" t="str">
            <v>sim</v>
          </cell>
          <cell r="V8862" t="str">
            <v>not neg pair</v>
          </cell>
          <cell r="Y8862" t="str">
            <v>Pres</v>
          </cell>
          <cell r="Z8862">
            <v>4.9000000000000004</v>
          </cell>
          <cell r="AA8862">
            <v>0</v>
          </cell>
          <cell r="AB8862">
            <v>0</v>
          </cell>
        </row>
        <row r="8863">
          <cell r="G8863" t="str">
            <v>1401_1</v>
          </cell>
          <cell r="H8863" t="str">
            <v>the-of</v>
          </cell>
          <cell r="I8863" t="str">
            <v>sim</v>
          </cell>
          <cell r="V8863" t="str">
            <v>not neg pair</v>
          </cell>
          <cell r="Y8863" t="str">
            <v>Pres</v>
          </cell>
          <cell r="Z8863">
            <v>4.9000000000000004</v>
          </cell>
          <cell r="AA8863">
            <v>0</v>
          </cell>
          <cell r="AB8863">
            <v>0</v>
          </cell>
        </row>
        <row r="8864">
          <cell r="G8864" t="str">
            <v>1405_0</v>
          </cell>
          <cell r="H8864" t="str">
            <v>as-as</v>
          </cell>
          <cell r="I8864" t="str">
            <v>sim</v>
          </cell>
          <cell r="V8864" t="str">
            <v>not neg pair</v>
          </cell>
          <cell r="Y8864" t="str">
            <v>Pres</v>
          </cell>
          <cell r="Z8864">
            <v>4.93</v>
          </cell>
          <cell r="AA8864" t="str">
            <v>H</v>
          </cell>
          <cell r="AB8864">
            <v>0</v>
          </cell>
        </row>
        <row r="8865">
          <cell r="G8865" t="str">
            <v>1405_1</v>
          </cell>
          <cell r="H8865" t="str">
            <v>as-as</v>
          </cell>
          <cell r="I8865" t="str">
            <v>sim</v>
          </cell>
          <cell r="V8865" t="str">
            <v>not neg pair</v>
          </cell>
          <cell r="Y8865" t="str">
            <v>Pres</v>
          </cell>
          <cell r="Z8865">
            <v>4.93</v>
          </cell>
          <cell r="AA8865" t="str">
            <v>H</v>
          </cell>
          <cell r="AB8865">
            <v>0</v>
          </cell>
        </row>
        <row r="8866">
          <cell r="G8866" t="str">
            <v>1408_0</v>
          </cell>
          <cell r="H8866" t="str">
            <v>as-as</v>
          </cell>
          <cell r="I8866" t="str">
            <v>sim</v>
          </cell>
          <cell r="V8866" t="str">
            <v>antonym</v>
          </cell>
          <cell r="Y8866" t="str">
            <v>Pres</v>
          </cell>
          <cell r="Z8866">
            <v>4.84</v>
          </cell>
          <cell r="AA8866">
            <v>0</v>
          </cell>
          <cell r="AB8866">
            <v>0</v>
          </cell>
        </row>
        <row r="8867">
          <cell r="G8867" t="str">
            <v>1408_1</v>
          </cell>
          <cell r="H8867" t="str">
            <v>as-as</v>
          </cell>
          <cell r="I8867" t="str">
            <v>sim</v>
          </cell>
          <cell r="V8867" t="str">
            <v>antonym</v>
          </cell>
          <cell r="Y8867" t="str">
            <v>Pres</v>
          </cell>
          <cell r="Z8867">
            <v>4.84</v>
          </cell>
          <cell r="AA8867">
            <v>0</v>
          </cell>
          <cell r="AB8867">
            <v>0</v>
          </cell>
        </row>
        <row r="8868">
          <cell r="G8868" t="str">
            <v>1412_0</v>
          </cell>
          <cell r="H8868" t="str">
            <v>as-as</v>
          </cell>
          <cell r="I8868" t="str">
            <v>sim</v>
          </cell>
          <cell r="V8868" t="str">
            <v>antonym</v>
          </cell>
          <cell r="Y8868" t="str">
            <v>Pres</v>
          </cell>
          <cell r="Z8868">
            <v>3.36</v>
          </cell>
          <cell r="AA8868">
            <v>0</v>
          </cell>
          <cell r="AB8868">
            <v>0</v>
          </cell>
        </row>
        <row r="8869">
          <cell r="G8869" t="str">
            <v>1412_1</v>
          </cell>
          <cell r="H8869" t="str">
            <v>as-as</v>
          </cell>
          <cell r="I8869" t="str">
            <v>sim</v>
          </cell>
          <cell r="V8869" t="str">
            <v>antonym</v>
          </cell>
          <cell r="Y8869" t="str">
            <v>Pres</v>
          </cell>
          <cell r="Z8869">
            <v>3.36</v>
          </cell>
          <cell r="AA8869">
            <v>0</v>
          </cell>
          <cell r="AB8869">
            <v>0</v>
          </cell>
        </row>
        <row r="8870">
          <cell r="G8870" t="str">
            <v>1414_0</v>
          </cell>
          <cell r="H8870" t="str">
            <v/>
          </cell>
          <cell r="I8870" t="str">
            <v>met</v>
          </cell>
          <cell r="V8870" t="str">
            <v>0</v>
          </cell>
          <cell r="Y8870" t="str">
            <v>Pres</v>
          </cell>
          <cell r="Z8870">
            <v>5</v>
          </cell>
          <cell r="AA8870" t="str">
            <v>H</v>
          </cell>
          <cell r="AB8870">
            <v>0</v>
          </cell>
        </row>
        <row r="8871">
          <cell r="G8871" t="str">
            <v>1414_1</v>
          </cell>
          <cell r="H8871" t="str">
            <v/>
          </cell>
          <cell r="I8871" t="str">
            <v>met</v>
          </cell>
          <cell r="V8871" t="str">
            <v>0</v>
          </cell>
          <cell r="Y8871" t="str">
            <v>Pres</v>
          </cell>
          <cell r="Z8871">
            <v>5</v>
          </cell>
          <cell r="AA8871" t="str">
            <v>H</v>
          </cell>
          <cell r="AB8871">
            <v>0</v>
          </cell>
        </row>
        <row r="8872">
          <cell r="G8872" t="str">
            <v>1415_0</v>
          </cell>
          <cell r="H8872" t="str">
            <v>as-as</v>
          </cell>
          <cell r="I8872" t="str">
            <v>sim</v>
          </cell>
          <cell r="V8872" t="str">
            <v>not</v>
          </cell>
          <cell r="Y8872" t="str">
            <v>Pres</v>
          </cell>
          <cell r="Z8872">
            <v>4.1100000000000003</v>
          </cell>
          <cell r="AA8872">
            <v>0</v>
          </cell>
          <cell r="AB8872">
            <v>0</v>
          </cell>
        </row>
        <row r="8873">
          <cell r="G8873" t="str">
            <v>1415_1</v>
          </cell>
          <cell r="H8873" t="str">
            <v>as-as</v>
          </cell>
          <cell r="I8873" t="str">
            <v>sim</v>
          </cell>
          <cell r="V8873" t="str">
            <v>not</v>
          </cell>
          <cell r="Y8873" t="str">
            <v>Pres</v>
          </cell>
          <cell r="Z8873">
            <v>4.1100000000000003</v>
          </cell>
          <cell r="AA8873">
            <v>0</v>
          </cell>
          <cell r="AB8873">
            <v>0</v>
          </cell>
        </row>
        <row r="8874">
          <cell r="G8874" t="str">
            <v>1421_0</v>
          </cell>
          <cell r="H8874" t="str">
            <v>the-of</v>
          </cell>
          <cell r="I8874" t="str">
            <v>sim</v>
          </cell>
          <cell r="V8874" t="str">
            <v>not neg pair</v>
          </cell>
          <cell r="Y8874" t="str">
            <v>Pres</v>
          </cell>
          <cell r="Z8874">
            <v>3.48</v>
          </cell>
          <cell r="AA8874">
            <v>0</v>
          </cell>
          <cell r="AB8874">
            <v>0</v>
          </cell>
        </row>
        <row r="8875">
          <cell r="G8875" t="str">
            <v>1421_1</v>
          </cell>
          <cell r="H8875" t="str">
            <v>the-of</v>
          </cell>
          <cell r="I8875" t="str">
            <v>sim</v>
          </cell>
          <cell r="V8875" t="str">
            <v>not neg pair</v>
          </cell>
          <cell r="Y8875" t="str">
            <v>Pres</v>
          </cell>
          <cell r="Z8875">
            <v>3.48</v>
          </cell>
          <cell r="AA8875">
            <v>0</v>
          </cell>
          <cell r="AB8875">
            <v>0</v>
          </cell>
        </row>
        <row r="8876">
          <cell r="G8876" t="str">
            <v>1423_0</v>
          </cell>
          <cell r="H8876" t="str">
            <v>like</v>
          </cell>
          <cell r="I8876" t="str">
            <v>sim</v>
          </cell>
          <cell r="V8876" t="str">
            <v>not neg pair</v>
          </cell>
          <cell r="Y8876" t="str">
            <v>Past</v>
          </cell>
          <cell r="Z8876">
            <v>2.48</v>
          </cell>
          <cell r="AA8876" t="str">
            <v>L</v>
          </cell>
          <cell r="AB8876">
            <v>0</v>
          </cell>
        </row>
        <row r="8877">
          <cell r="G8877" t="str">
            <v>1423_1</v>
          </cell>
          <cell r="H8877" t="str">
            <v>like</v>
          </cell>
          <cell r="I8877" t="str">
            <v>sim</v>
          </cell>
          <cell r="V8877" t="str">
            <v>not neg pair</v>
          </cell>
          <cell r="Y8877" t="str">
            <v>Past</v>
          </cell>
          <cell r="Z8877">
            <v>2.48</v>
          </cell>
          <cell r="AA8877" t="str">
            <v>L</v>
          </cell>
          <cell r="AB8877">
            <v>0</v>
          </cell>
        </row>
        <row r="8878">
          <cell r="G8878" t="str">
            <v>1428_0</v>
          </cell>
          <cell r="H8878" t="str">
            <v>as-as</v>
          </cell>
          <cell r="I8878" t="str">
            <v>sim</v>
          </cell>
          <cell r="V8878" t="str">
            <v>not neg pair</v>
          </cell>
          <cell r="Y8878" t="str">
            <v>Pres</v>
          </cell>
          <cell r="Z8878">
            <v>3.36</v>
          </cell>
          <cell r="AA8878">
            <v>0</v>
          </cell>
          <cell r="AB8878">
            <v>0</v>
          </cell>
        </row>
        <row r="8879">
          <cell r="G8879" t="str">
            <v>1428_1</v>
          </cell>
          <cell r="H8879" t="str">
            <v>as-as</v>
          </cell>
          <cell r="I8879" t="str">
            <v>sim</v>
          </cell>
          <cell r="V8879" t="str">
            <v>not neg pair</v>
          </cell>
          <cell r="Y8879" t="str">
            <v>Pres</v>
          </cell>
          <cell r="Z8879">
            <v>3.36</v>
          </cell>
          <cell r="AA8879">
            <v>0</v>
          </cell>
          <cell r="AB8879">
            <v>0</v>
          </cell>
        </row>
        <row r="8880">
          <cell r="G8880" t="str">
            <v>1430_0</v>
          </cell>
          <cell r="H8880" t="str">
            <v>the-of</v>
          </cell>
          <cell r="I8880" t="str">
            <v>sim</v>
          </cell>
          <cell r="V8880" t="str">
            <v>not neg pair</v>
          </cell>
          <cell r="Y8880" t="str">
            <v>Pres</v>
          </cell>
          <cell r="Z8880">
            <v>3.93</v>
          </cell>
          <cell r="AA8880">
            <v>0</v>
          </cell>
          <cell r="AB8880">
            <v>0</v>
          </cell>
        </row>
        <row r="8881">
          <cell r="G8881" t="str">
            <v>1430_1</v>
          </cell>
          <cell r="H8881" t="str">
            <v>the-of</v>
          </cell>
          <cell r="I8881" t="str">
            <v>sim</v>
          </cell>
          <cell r="V8881" t="str">
            <v>not neg pair</v>
          </cell>
          <cell r="Y8881" t="str">
            <v>Pres</v>
          </cell>
          <cell r="Z8881">
            <v>3.93</v>
          </cell>
          <cell r="AA8881">
            <v>0</v>
          </cell>
          <cell r="AB8881">
            <v>0</v>
          </cell>
        </row>
        <row r="8882">
          <cell r="G8882" t="str">
            <v>1433_0</v>
          </cell>
          <cell r="H8882" t="str">
            <v>as-as</v>
          </cell>
          <cell r="I8882" t="str">
            <v>sim</v>
          </cell>
          <cell r="V8882" t="str">
            <v>antonym</v>
          </cell>
          <cell r="Y8882" t="str">
            <v>Pres</v>
          </cell>
          <cell r="Z8882">
            <v>4.8099999999999996</v>
          </cell>
          <cell r="AA8882">
            <v>0</v>
          </cell>
          <cell r="AB8882">
            <v>0</v>
          </cell>
        </row>
        <row r="8883">
          <cell r="G8883" t="str">
            <v>1433_1</v>
          </cell>
          <cell r="H8883" t="str">
            <v>as-as</v>
          </cell>
          <cell r="I8883" t="str">
            <v>sim</v>
          </cell>
          <cell r="V8883" t="str">
            <v>antonym</v>
          </cell>
          <cell r="Y8883" t="str">
            <v>Pres</v>
          </cell>
          <cell r="Z8883">
            <v>4.8099999999999996</v>
          </cell>
          <cell r="AA8883">
            <v>0</v>
          </cell>
          <cell r="AB8883">
            <v>0</v>
          </cell>
        </row>
        <row r="8884">
          <cell r="G8884" t="str">
            <v>1447_0</v>
          </cell>
          <cell r="H8884" t="str">
            <v>the-of</v>
          </cell>
          <cell r="I8884" t="str">
            <v>sim</v>
          </cell>
          <cell r="V8884" t="str">
            <v>0</v>
          </cell>
          <cell r="Y8884" t="str">
            <v>Pres</v>
          </cell>
          <cell r="Z8884">
            <v>3.7</v>
          </cell>
          <cell r="AA8884">
            <v>0</v>
          </cell>
          <cell r="AB8884">
            <v>0</v>
          </cell>
        </row>
        <row r="8885">
          <cell r="G8885" t="str">
            <v>1447_1</v>
          </cell>
          <cell r="H8885" t="str">
            <v/>
          </cell>
          <cell r="I8885" t="str">
            <v>met</v>
          </cell>
          <cell r="V8885" t="str">
            <v>0</v>
          </cell>
          <cell r="Y8885" t="str">
            <v>Pres</v>
          </cell>
          <cell r="Z8885">
            <v>3.7</v>
          </cell>
          <cell r="AA8885">
            <v>0</v>
          </cell>
          <cell r="AB8885">
            <v>0</v>
          </cell>
        </row>
        <row r="8886">
          <cell r="G8886" t="str">
            <v>1448_0</v>
          </cell>
          <cell r="H8886" t="str">
            <v>as-as</v>
          </cell>
          <cell r="I8886" t="str">
            <v>sim</v>
          </cell>
          <cell r="V8886" t="str">
            <v>not neg pair</v>
          </cell>
          <cell r="Y8886" t="str">
            <v>Past</v>
          </cell>
          <cell r="Z8886">
            <v>4.46</v>
          </cell>
          <cell r="AA8886">
            <v>0</v>
          </cell>
          <cell r="AB8886">
            <v>0</v>
          </cell>
        </row>
        <row r="8887">
          <cell r="G8887" t="str">
            <v>1448_1</v>
          </cell>
          <cell r="H8887" t="str">
            <v>as-as</v>
          </cell>
          <cell r="I8887" t="str">
            <v>sim</v>
          </cell>
          <cell r="V8887" t="str">
            <v>not neg pair</v>
          </cell>
          <cell r="Y8887" t="str">
            <v>Past</v>
          </cell>
          <cell r="Z8887">
            <v>4.46</v>
          </cell>
          <cell r="AA8887">
            <v>0</v>
          </cell>
          <cell r="AB8887">
            <v>0</v>
          </cell>
        </row>
        <row r="8888">
          <cell r="G8888" t="str">
            <v>1457_0</v>
          </cell>
          <cell r="H8888" t="str">
            <v/>
          </cell>
          <cell r="I8888" t="str">
            <v>met</v>
          </cell>
          <cell r="V8888" t="str">
            <v>0</v>
          </cell>
          <cell r="Y8888" t="str">
            <v>Pres</v>
          </cell>
          <cell r="Z8888">
            <v>1.78</v>
          </cell>
          <cell r="AA8888" t="str">
            <v>L</v>
          </cell>
          <cell r="AB8888">
            <v>0</v>
          </cell>
        </row>
        <row r="8889">
          <cell r="G8889" t="str">
            <v>1457_1</v>
          </cell>
          <cell r="H8889" t="str">
            <v/>
          </cell>
          <cell r="I8889" t="str">
            <v>met</v>
          </cell>
          <cell r="V8889" t="str">
            <v>0</v>
          </cell>
          <cell r="Y8889" t="str">
            <v>Pres</v>
          </cell>
          <cell r="Z8889">
            <v>1.78</v>
          </cell>
          <cell r="AA8889" t="str">
            <v>L</v>
          </cell>
          <cell r="AB8889">
            <v>0</v>
          </cell>
        </row>
        <row r="8890">
          <cell r="G8890" t="str">
            <v>1458_0</v>
          </cell>
          <cell r="H8890" t="str">
            <v>as-as</v>
          </cell>
          <cell r="I8890" t="str">
            <v>sim</v>
          </cell>
          <cell r="V8890" t="str">
            <v>0</v>
          </cell>
          <cell r="Y8890" t="str">
            <v>Pres</v>
          </cell>
          <cell r="Z8890">
            <v>4.68</v>
          </cell>
          <cell r="AA8890">
            <v>0</v>
          </cell>
          <cell r="AB8890">
            <v>0</v>
          </cell>
        </row>
        <row r="8891">
          <cell r="G8891" t="str">
            <v>1458_1</v>
          </cell>
          <cell r="H8891" t="str">
            <v/>
          </cell>
          <cell r="I8891" t="str">
            <v>met</v>
          </cell>
          <cell r="V8891" t="str">
            <v>0</v>
          </cell>
          <cell r="Y8891" t="str">
            <v>Pres</v>
          </cell>
          <cell r="Z8891">
            <v>4.68</v>
          </cell>
          <cell r="AA8891">
            <v>0</v>
          </cell>
          <cell r="AB8891">
            <v>0</v>
          </cell>
        </row>
        <row r="8892">
          <cell r="G8892" t="str">
            <v>1459_0</v>
          </cell>
          <cell r="H8892" t="str">
            <v/>
          </cell>
          <cell r="I8892" t="str">
            <v>met</v>
          </cell>
          <cell r="V8892" t="str">
            <v>0</v>
          </cell>
          <cell r="Y8892" t="str">
            <v>Pres</v>
          </cell>
          <cell r="Z8892">
            <v>2.93</v>
          </cell>
          <cell r="AA8892">
            <v>0</v>
          </cell>
          <cell r="AB8892">
            <v>0</v>
          </cell>
        </row>
        <row r="8893">
          <cell r="G8893" t="str">
            <v>1459_1</v>
          </cell>
          <cell r="H8893" t="str">
            <v/>
          </cell>
          <cell r="I8893" t="str">
            <v>met</v>
          </cell>
          <cell r="V8893" t="str">
            <v>0</v>
          </cell>
          <cell r="Y8893" t="str">
            <v>Pres</v>
          </cell>
          <cell r="Z8893">
            <v>2.93</v>
          </cell>
          <cell r="AA8893">
            <v>0</v>
          </cell>
          <cell r="AB8893">
            <v>0</v>
          </cell>
        </row>
        <row r="8894">
          <cell r="G8894" t="str">
            <v>1463_0</v>
          </cell>
          <cell r="H8894" t="str">
            <v>the-of</v>
          </cell>
          <cell r="I8894" t="str">
            <v>sim</v>
          </cell>
          <cell r="V8894" t="str">
            <v>not neg pair</v>
          </cell>
          <cell r="Y8894" t="str">
            <v>Pres</v>
          </cell>
          <cell r="Z8894">
            <v>4.46</v>
          </cell>
          <cell r="AA8894">
            <v>0</v>
          </cell>
          <cell r="AB8894">
            <v>0</v>
          </cell>
        </row>
        <row r="8895">
          <cell r="G8895" t="str">
            <v>1463_1</v>
          </cell>
          <cell r="H8895" t="str">
            <v>the-of</v>
          </cell>
          <cell r="I8895" t="str">
            <v>sim</v>
          </cell>
          <cell r="V8895" t="str">
            <v>not neg pair</v>
          </cell>
          <cell r="Y8895" t="str">
            <v>Pres</v>
          </cell>
          <cell r="Z8895">
            <v>4.46</v>
          </cell>
          <cell r="AA8895">
            <v>0</v>
          </cell>
          <cell r="AB8895">
            <v>0</v>
          </cell>
        </row>
        <row r="8896">
          <cell r="G8896" t="str">
            <v>1470_0</v>
          </cell>
          <cell r="H8896" t="str">
            <v>as-as</v>
          </cell>
          <cell r="I8896" t="str">
            <v>sim</v>
          </cell>
          <cell r="V8896" t="str">
            <v>not</v>
          </cell>
          <cell r="Y8896" t="str">
            <v>Pres</v>
          </cell>
          <cell r="Z8896">
            <v>3.14</v>
          </cell>
          <cell r="AA8896">
            <v>0</v>
          </cell>
          <cell r="AB8896">
            <v>0</v>
          </cell>
        </row>
        <row r="8897">
          <cell r="G8897" t="str">
            <v>1470_1</v>
          </cell>
          <cell r="H8897" t="str">
            <v>as-as</v>
          </cell>
          <cell r="I8897" t="str">
            <v>sim</v>
          </cell>
          <cell r="V8897" t="str">
            <v>not</v>
          </cell>
          <cell r="Y8897" t="str">
            <v>Pres</v>
          </cell>
          <cell r="Z8897">
            <v>3.14</v>
          </cell>
          <cell r="AA8897">
            <v>0</v>
          </cell>
          <cell r="AB8897">
            <v>0</v>
          </cell>
        </row>
        <row r="8898">
          <cell r="G8898" t="str">
            <v>1473_0</v>
          </cell>
          <cell r="H8898" t="str">
            <v>as-as</v>
          </cell>
          <cell r="I8898" t="str">
            <v>sim</v>
          </cell>
          <cell r="V8898" t="str">
            <v>antonym</v>
          </cell>
          <cell r="Y8898" t="str">
            <v>Past</v>
          </cell>
          <cell r="Z8898">
            <v>3.08</v>
          </cell>
          <cell r="AA8898">
            <v>0</v>
          </cell>
          <cell r="AB8898">
            <v>0</v>
          </cell>
        </row>
        <row r="8899">
          <cell r="G8899" t="str">
            <v>1473_1</v>
          </cell>
          <cell r="H8899" t="str">
            <v>as-as</v>
          </cell>
          <cell r="I8899" t="str">
            <v>sim</v>
          </cell>
          <cell r="V8899" t="str">
            <v>antonym</v>
          </cell>
          <cell r="Y8899" t="str">
            <v>Past</v>
          </cell>
          <cell r="Z8899">
            <v>3.08</v>
          </cell>
          <cell r="AA8899">
            <v>0</v>
          </cell>
          <cell r="AB8899">
            <v>0</v>
          </cell>
        </row>
        <row r="8900">
          <cell r="G8900" t="str">
            <v>1474_0</v>
          </cell>
          <cell r="H8900" t="str">
            <v>like</v>
          </cell>
          <cell r="I8900" t="str">
            <v>sim</v>
          </cell>
          <cell r="V8900" t="str">
            <v>not neg pair</v>
          </cell>
          <cell r="Y8900" t="str">
            <v>Past</v>
          </cell>
          <cell r="Z8900">
            <v>3.36</v>
          </cell>
          <cell r="AA8900">
            <v>0</v>
          </cell>
          <cell r="AB8900">
            <v>0</v>
          </cell>
        </row>
        <row r="8901">
          <cell r="G8901" t="str">
            <v>1474_1</v>
          </cell>
          <cell r="H8901" t="str">
            <v>like</v>
          </cell>
          <cell r="I8901" t="str">
            <v>sim</v>
          </cell>
          <cell r="V8901" t="str">
            <v>not neg pair</v>
          </cell>
          <cell r="Y8901" t="str">
            <v>Past</v>
          </cell>
          <cell r="Z8901">
            <v>3.36</v>
          </cell>
          <cell r="AA8901">
            <v>0</v>
          </cell>
          <cell r="AB8901">
            <v>0</v>
          </cell>
        </row>
        <row r="8902">
          <cell r="G8902" t="str">
            <v>1476_0</v>
          </cell>
          <cell r="H8902" t="str">
            <v/>
          </cell>
          <cell r="I8902" t="str">
            <v>met</v>
          </cell>
          <cell r="V8902" t="str">
            <v>0</v>
          </cell>
          <cell r="Y8902" t="str">
            <v>Pres</v>
          </cell>
          <cell r="Z8902">
            <v>0</v>
          </cell>
          <cell r="AA8902">
            <v>0</v>
          </cell>
          <cell r="AB8902">
            <v>0</v>
          </cell>
        </row>
        <row r="8903">
          <cell r="G8903" t="str">
            <v>1476_1</v>
          </cell>
          <cell r="H8903" t="str">
            <v/>
          </cell>
          <cell r="I8903" t="str">
            <v>met</v>
          </cell>
          <cell r="V8903" t="str">
            <v>0</v>
          </cell>
          <cell r="Y8903" t="str">
            <v>Pres</v>
          </cell>
          <cell r="Z8903">
            <v>0</v>
          </cell>
          <cell r="AA8903">
            <v>0</v>
          </cell>
          <cell r="AB8903">
            <v>0</v>
          </cell>
        </row>
        <row r="8904">
          <cell r="G8904" t="str">
            <v>1478_0</v>
          </cell>
          <cell r="H8904" t="str">
            <v>like</v>
          </cell>
          <cell r="I8904" t="str">
            <v>sim</v>
          </cell>
          <cell r="V8904" t="str">
            <v>not</v>
          </cell>
          <cell r="Y8904" t="str">
            <v>Pres</v>
          </cell>
          <cell r="Z8904">
            <v>3.93</v>
          </cell>
          <cell r="AA8904">
            <v>0</v>
          </cell>
          <cell r="AB8904">
            <v>0</v>
          </cell>
        </row>
        <row r="8905">
          <cell r="G8905" t="str">
            <v>1478_1</v>
          </cell>
          <cell r="H8905" t="str">
            <v>like</v>
          </cell>
          <cell r="I8905" t="str">
            <v>sim</v>
          </cell>
          <cell r="V8905" t="str">
            <v>not</v>
          </cell>
          <cell r="Y8905" t="str">
            <v>Pres</v>
          </cell>
          <cell r="Z8905">
            <v>2.39</v>
          </cell>
          <cell r="AA8905" t="str">
            <v>L</v>
          </cell>
          <cell r="AB8905">
            <v>0</v>
          </cell>
        </row>
        <row r="8906">
          <cell r="G8906" t="str">
            <v>1479_0</v>
          </cell>
          <cell r="H8906" t="str">
            <v>like</v>
          </cell>
          <cell r="I8906" t="str">
            <v>sim</v>
          </cell>
          <cell r="V8906" t="str">
            <v>not neg pair</v>
          </cell>
          <cell r="Y8906" t="str">
            <v>Pres</v>
          </cell>
          <cell r="Z8906">
            <v>4.13</v>
          </cell>
          <cell r="AA8906">
            <v>0</v>
          </cell>
          <cell r="AB8906">
            <v>0</v>
          </cell>
        </row>
        <row r="8907">
          <cell r="G8907" t="str">
            <v>1479_1</v>
          </cell>
          <cell r="H8907" t="str">
            <v>like</v>
          </cell>
          <cell r="I8907" t="str">
            <v>sim</v>
          </cell>
          <cell r="V8907" t="str">
            <v>not neg pair</v>
          </cell>
          <cell r="Y8907" t="str">
            <v>Pres</v>
          </cell>
          <cell r="Z8907">
            <v>4.13</v>
          </cell>
          <cell r="AA8907">
            <v>0</v>
          </cell>
          <cell r="AB8907">
            <v>0</v>
          </cell>
        </row>
        <row r="8908">
          <cell r="G8908" t="str">
            <v>1480_0</v>
          </cell>
          <cell r="H8908" t="str">
            <v>as-as</v>
          </cell>
          <cell r="I8908" t="str">
            <v>sim</v>
          </cell>
          <cell r="V8908" t="str">
            <v>antonym</v>
          </cell>
          <cell r="Y8908" t="str">
            <v>Pres</v>
          </cell>
          <cell r="Z8908">
            <v>4.8499999999999996</v>
          </cell>
          <cell r="AA8908">
            <v>0</v>
          </cell>
          <cell r="AB8908">
            <v>0</v>
          </cell>
        </row>
        <row r="8909">
          <cell r="G8909" t="str">
            <v>1480_1</v>
          </cell>
          <cell r="H8909" t="str">
            <v>as-as</v>
          </cell>
          <cell r="I8909" t="str">
            <v>sim</v>
          </cell>
          <cell r="V8909" t="str">
            <v>antonym</v>
          </cell>
          <cell r="Y8909" t="str">
            <v>Pres</v>
          </cell>
          <cell r="Z8909">
            <v>4.8499999999999996</v>
          </cell>
          <cell r="AA8909">
            <v>0</v>
          </cell>
          <cell r="AB8909">
            <v>0</v>
          </cell>
        </row>
        <row r="8910">
          <cell r="G8910" t="str">
            <v>1484_0</v>
          </cell>
          <cell r="H8910" t="str">
            <v>like</v>
          </cell>
          <cell r="I8910" t="str">
            <v>sim</v>
          </cell>
          <cell r="V8910" t="str">
            <v>not neg pair</v>
          </cell>
          <cell r="Y8910" t="str">
            <v>Past</v>
          </cell>
          <cell r="Z8910">
            <v>4.12</v>
          </cell>
          <cell r="AA8910">
            <v>0</v>
          </cell>
          <cell r="AB8910">
            <v>0</v>
          </cell>
        </row>
        <row r="8911">
          <cell r="G8911" t="str">
            <v>1484_1</v>
          </cell>
          <cell r="H8911" t="str">
            <v>like</v>
          </cell>
          <cell r="I8911" t="str">
            <v>sim</v>
          </cell>
          <cell r="V8911" t="str">
            <v>not neg pair</v>
          </cell>
          <cell r="Y8911" t="str">
            <v>Past</v>
          </cell>
          <cell r="Z8911">
            <v>4.12</v>
          </cell>
          <cell r="AA8911">
            <v>0</v>
          </cell>
          <cell r="AB8911">
            <v>0</v>
          </cell>
        </row>
        <row r="8912">
          <cell r="G8912" t="str">
            <v>1485_0</v>
          </cell>
          <cell r="H8912" t="str">
            <v>as-as</v>
          </cell>
          <cell r="I8912" t="str">
            <v>sim</v>
          </cell>
          <cell r="V8912" t="str">
            <v>not neg pair</v>
          </cell>
          <cell r="Y8912" t="str">
            <v>Pres</v>
          </cell>
          <cell r="Z8912">
            <v>4.46</v>
          </cell>
          <cell r="AA8912">
            <v>0</v>
          </cell>
          <cell r="AB8912">
            <v>0</v>
          </cell>
        </row>
        <row r="8913">
          <cell r="G8913" t="str">
            <v>1485_1</v>
          </cell>
          <cell r="H8913" t="str">
            <v>as-as</v>
          </cell>
          <cell r="I8913" t="str">
            <v>sim</v>
          </cell>
          <cell r="V8913" t="str">
            <v>not neg pair</v>
          </cell>
          <cell r="Y8913" t="str">
            <v>Pres</v>
          </cell>
          <cell r="Z8913">
            <v>4.46</v>
          </cell>
          <cell r="AA8913">
            <v>0</v>
          </cell>
          <cell r="AB8913">
            <v>0</v>
          </cell>
        </row>
        <row r="8914">
          <cell r="G8914" t="str">
            <v>1489_0</v>
          </cell>
          <cell r="H8914" t="str">
            <v/>
          </cell>
          <cell r="I8914" t="str">
            <v>met</v>
          </cell>
          <cell r="V8914" t="str">
            <v>0</v>
          </cell>
          <cell r="Y8914" t="str">
            <v>Pres</v>
          </cell>
          <cell r="Z8914">
            <v>0</v>
          </cell>
          <cell r="AA8914">
            <v>0</v>
          </cell>
          <cell r="AB8914">
            <v>0</v>
          </cell>
        </row>
        <row r="8915">
          <cell r="G8915" t="str">
            <v>1489_1</v>
          </cell>
          <cell r="H8915" t="str">
            <v/>
          </cell>
          <cell r="I8915" t="str">
            <v>met</v>
          </cell>
          <cell r="V8915" t="str">
            <v>0</v>
          </cell>
          <cell r="Y8915" t="str">
            <v>Pres</v>
          </cell>
          <cell r="Z8915">
            <v>4.75</v>
          </cell>
          <cell r="AA8915">
            <v>0</v>
          </cell>
          <cell r="AB8915">
            <v>0</v>
          </cell>
        </row>
        <row r="8916">
          <cell r="G8916" t="str">
            <v>1490_0</v>
          </cell>
          <cell r="H8916" t="str">
            <v>the-of</v>
          </cell>
          <cell r="I8916" t="str">
            <v>sim</v>
          </cell>
          <cell r="V8916" t="str">
            <v>not</v>
          </cell>
          <cell r="Y8916">
            <v>0</v>
          </cell>
          <cell r="Z8916">
            <v>4.8499999999999996</v>
          </cell>
          <cell r="AA8916">
            <v>0</v>
          </cell>
          <cell r="AB8916">
            <v>0</v>
          </cell>
        </row>
        <row r="8917">
          <cell r="G8917" t="str">
            <v>1490_1</v>
          </cell>
          <cell r="H8917" t="str">
            <v>the-of</v>
          </cell>
          <cell r="I8917" t="str">
            <v>sim</v>
          </cell>
          <cell r="V8917" t="str">
            <v>not</v>
          </cell>
          <cell r="Y8917">
            <v>0</v>
          </cell>
          <cell r="Z8917">
            <v>4.8499999999999996</v>
          </cell>
          <cell r="AA8917">
            <v>0</v>
          </cell>
          <cell r="AB8917">
            <v>0</v>
          </cell>
        </row>
        <row r="8918">
          <cell r="G8918" t="str">
            <v>1495_0</v>
          </cell>
          <cell r="H8918" t="str">
            <v>like</v>
          </cell>
          <cell r="I8918" t="str">
            <v>sim</v>
          </cell>
          <cell r="V8918" t="str">
            <v>not neg pair</v>
          </cell>
          <cell r="Y8918" t="str">
            <v>Pres</v>
          </cell>
          <cell r="Z8918">
            <v>0</v>
          </cell>
          <cell r="AA8918">
            <v>0</v>
          </cell>
          <cell r="AB8918">
            <v>0</v>
          </cell>
        </row>
        <row r="8919">
          <cell r="G8919" t="str">
            <v>1495_1</v>
          </cell>
          <cell r="H8919" t="str">
            <v>like</v>
          </cell>
          <cell r="I8919" t="str">
            <v>sim</v>
          </cell>
          <cell r="V8919" t="str">
            <v>not neg pair</v>
          </cell>
          <cell r="Y8919" t="str">
            <v>Pres</v>
          </cell>
          <cell r="Z8919">
            <v>0</v>
          </cell>
          <cell r="AA8919">
            <v>0</v>
          </cell>
          <cell r="AB8919">
            <v>0</v>
          </cell>
        </row>
        <row r="8920">
          <cell r="G8920" t="str">
            <v>1496_0</v>
          </cell>
          <cell r="H8920" t="str">
            <v>as</v>
          </cell>
          <cell r="I8920" t="str">
            <v>sim</v>
          </cell>
          <cell r="V8920" t="str">
            <v>not neg pair</v>
          </cell>
          <cell r="Y8920" t="str">
            <v>Pres</v>
          </cell>
          <cell r="Z8920">
            <v>4.8600000000000003</v>
          </cell>
          <cell r="AA8920">
            <v>0</v>
          </cell>
          <cell r="AB8920">
            <v>0</v>
          </cell>
        </row>
        <row r="8921">
          <cell r="G8921" t="str">
            <v>1496_1</v>
          </cell>
          <cell r="H8921" t="str">
            <v>as</v>
          </cell>
          <cell r="I8921" t="str">
            <v>sim</v>
          </cell>
          <cell r="V8921" t="str">
            <v>not neg pair</v>
          </cell>
          <cell r="Y8921" t="str">
            <v>Pres</v>
          </cell>
          <cell r="Z8921">
            <v>4.8600000000000003</v>
          </cell>
          <cell r="AA8921">
            <v>0</v>
          </cell>
          <cell r="AB8921">
            <v>0</v>
          </cell>
        </row>
        <row r="8922">
          <cell r="G8922" t="str">
            <v>1499_0</v>
          </cell>
          <cell r="H8922" t="str">
            <v/>
          </cell>
          <cell r="I8922" t="str">
            <v>met</v>
          </cell>
          <cell r="V8922" t="str">
            <v>0</v>
          </cell>
          <cell r="Y8922" t="str">
            <v>Pres</v>
          </cell>
          <cell r="Z8922">
            <v>4.96</v>
          </cell>
          <cell r="AA8922" t="str">
            <v>H</v>
          </cell>
          <cell r="AB8922">
            <v>0</v>
          </cell>
        </row>
        <row r="8923">
          <cell r="G8923" t="str">
            <v>1499_1</v>
          </cell>
          <cell r="H8923" t="str">
            <v/>
          </cell>
          <cell r="I8923" t="str">
            <v>met</v>
          </cell>
          <cell r="V8923" t="str">
            <v>0</v>
          </cell>
          <cell r="Y8923" t="str">
            <v>Pres</v>
          </cell>
          <cell r="Z8923">
            <v>4.96</v>
          </cell>
          <cell r="AA8923" t="str">
            <v>H</v>
          </cell>
          <cell r="AB8923">
            <v>0</v>
          </cell>
        </row>
        <row r="8924">
          <cell r="G8924" t="str">
            <v>1505_0</v>
          </cell>
          <cell r="H8924" t="str">
            <v>the-of</v>
          </cell>
          <cell r="I8924" t="str">
            <v>sim</v>
          </cell>
          <cell r="V8924" t="str">
            <v>not</v>
          </cell>
          <cell r="Y8924">
            <v>0</v>
          </cell>
          <cell r="Z8924">
            <v>4.79</v>
          </cell>
          <cell r="AA8924">
            <v>0</v>
          </cell>
          <cell r="AB8924">
            <v>0</v>
          </cell>
        </row>
        <row r="8925">
          <cell r="G8925" t="str">
            <v>1505_1</v>
          </cell>
          <cell r="H8925" t="str">
            <v>the-of</v>
          </cell>
          <cell r="I8925" t="str">
            <v>sim</v>
          </cell>
          <cell r="V8925" t="str">
            <v>not</v>
          </cell>
          <cell r="Y8925" t="str">
            <v>Pres</v>
          </cell>
          <cell r="Z8925">
            <v>4.79</v>
          </cell>
          <cell r="AA8925">
            <v>0</v>
          </cell>
          <cell r="AB8925">
            <v>0</v>
          </cell>
        </row>
        <row r="8926">
          <cell r="G8926" t="str">
            <v>1506_0</v>
          </cell>
          <cell r="H8926" t="str">
            <v>the-of</v>
          </cell>
          <cell r="I8926" t="str">
            <v>sim</v>
          </cell>
          <cell r="V8926" t="str">
            <v>not neg pair</v>
          </cell>
          <cell r="Y8926" t="str">
            <v>Pres</v>
          </cell>
          <cell r="Z8926">
            <v>4.79</v>
          </cell>
          <cell r="AA8926">
            <v>0</v>
          </cell>
          <cell r="AB8926">
            <v>0</v>
          </cell>
        </row>
        <row r="8927">
          <cell r="G8927" t="str">
            <v>1506_1</v>
          </cell>
          <cell r="H8927" t="str">
            <v>the-of</v>
          </cell>
          <cell r="I8927" t="str">
            <v>sim</v>
          </cell>
          <cell r="V8927" t="str">
            <v>not neg pair</v>
          </cell>
          <cell r="Y8927" t="str">
            <v>Pres</v>
          </cell>
          <cell r="Z8927">
            <v>4.79</v>
          </cell>
          <cell r="AA8927">
            <v>0</v>
          </cell>
          <cell r="AB8927">
            <v>0</v>
          </cell>
        </row>
        <row r="8928">
          <cell r="G8928" t="str">
            <v>1507_0</v>
          </cell>
          <cell r="H8928" t="str">
            <v>the-of</v>
          </cell>
          <cell r="I8928" t="str">
            <v>sim</v>
          </cell>
          <cell r="V8928" t="str">
            <v>not neg pair</v>
          </cell>
          <cell r="Y8928" t="str">
            <v>Pres</v>
          </cell>
          <cell r="Z8928">
            <v>4.21</v>
          </cell>
          <cell r="AA8928">
            <v>0</v>
          </cell>
          <cell r="AB8928">
            <v>0</v>
          </cell>
        </row>
        <row r="8929">
          <cell r="G8929" t="str">
            <v>1507_1</v>
          </cell>
          <cell r="H8929" t="str">
            <v>the-of</v>
          </cell>
          <cell r="I8929" t="str">
            <v>sim</v>
          </cell>
          <cell r="V8929" t="str">
            <v>not neg pair</v>
          </cell>
          <cell r="Y8929" t="str">
            <v>Pres</v>
          </cell>
          <cell r="Z8929">
            <v>4.21</v>
          </cell>
          <cell r="AA8929">
            <v>0</v>
          </cell>
          <cell r="AB8929">
            <v>0</v>
          </cell>
        </row>
        <row r="8930">
          <cell r="G8930" t="str">
            <v>1511_0</v>
          </cell>
          <cell r="H8930" t="str">
            <v>as-as</v>
          </cell>
          <cell r="I8930" t="str">
            <v>sim</v>
          </cell>
          <cell r="V8930" t="str">
            <v>antonym</v>
          </cell>
          <cell r="Y8930" t="str">
            <v>Past</v>
          </cell>
          <cell r="Z8930">
            <v>3.86</v>
          </cell>
          <cell r="AA8930">
            <v>0</v>
          </cell>
          <cell r="AB8930">
            <v>0</v>
          </cell>
        </row>
        <row r="8931">
          <cell r="G8931" t="str">
            <v>1511_1</v>
          </cell>
          <cell r="H8931" t="str">
            <v>as-as</v>
          </cell>
          <cell r="I8931" t="str">
            <v>sim</v>
          </cell>
          <cell r="V8931" t="str">
            <v>antonym</v>
          </cell>
          <cell r="Y8931" t="str">
            <v>Past</v>
          </cell>
          <cell r="Z8931">
            <v>3.86</v>
          </cell>
          <cell r="AA8931">
            <v>0</v>
          </cell>
          <cell r="AB8931">
            <v>0</v>
          </cell>
        </row>
        <row r="8932">
          <cell r="G8932" t="str">
            <v>1519_0</v>
          </cell>
          <cell r="H8932" t="str">
            <v>the-of</v>
          </cell>
          <cell r="I8932" t="str">
            <v>sim</v>
          </cell>
          <cell r="V8932" t="str">
            <v>not</v>
          </cell>
          <cell r="Y8932" t="str">
            <v>Past</v>
          </cell>
          <cell r="Z8932">
            <v>3.93</v>
          </cell>
          <cell r="AA8932">
            <v>0</v>
          </cell>
          <cell r="AB8932">
            <v>0</v>
          </cell>
        </row>
        <row r="8933">
          <cell r="G8933" t="str">
            <v>1519_1</v>
          </cell>
          <cell r="H8933" t="str">
            <v>the-of</v>
          </cell>
          <cell r="I8933" t="str">
            <v>sim</v>
          </cell>
          <cell r="V8933" t="str">
            <v>not</v>
          </cell>
          <cell r="Y8933" t="str">
            <v>Past</v>
          </cell>
          <cell r="Z8933">
            <v>3.93</v>
          </cell>
          <cell r="AA8933">
            <v>0</v>
          </cell>
          <cell r="AB8933">
            <v>0</v>
          </cell>
        </row>
        <row r="8934">
          <cell r="G8934" t="str">
            <v>1520_0</v>
          </cell>
          <cell r="H8934" t="str">
            <v/>
          </cell>
          <cell r="I8934" t="str">
            <v>met</v>
          </cell>
          <cell r="V8934" t="str">
            <v>0</v>
          </cell>
          <cell r="Y8934" t="str">
            <v>Past</v>
          </cell>
          <cell r="Z8934">
            <v>3.36</v>
          </cell>
          <cell r="AA8934">
            <v>0</v>
          </cell>
          <cell r="AB8934">
            <v>0</v>
          </cell>
        </row>
        <row r="8935">
          <cell r="G8935" t="str">
            <v>1520_1</v>
          </cell>
          <cell r="H8935" t="str">
            <v/>
          </cell>
          <cell r="I8935" t="str">
            <v>met</v>
          </cell>
          <cell r="V8935" t="str">
            <v>0</v>
          </cell>
          <cell r="Y8935" t="str">
            <v>Past</v>
          </cell>
          <cell r="Z8935">
            <v>3.36</v>
          </cell>
          <cell r="AA8935">
            <v>0</v>
          </cell>
          <cell r="AB8935">
            <v>0</v>
          </cell>
        </row>
        <row r="8936">
          <cell r="G8936" t="str">
            <v>1525_0</v>
          </cell>
          <cell r="H8936" t="str">
            <v>the-of</v>
          </cell>
          <cell r="I8936" t="str">
            <v>sim</v>
          </cell>
          <cell r="V8936" t="str">
            <v>not neg pair</v>
          </cell>
          <cell r="Y8936" t="str">
            <v>Pres</v>
          </cell>
          <cell r="Z8936">
            <v>3.93</v>
          </cell>
          <cell r="AA8936">
            <v>0</v>
          </cell>
          <cell r="AB8936">
            <v>0</v>
          </cell>
        </row>
        <row r="8937">
          <cell r="G8937" t="str">
            <v>1525_1</v>
          </cell>
          <cell r="H8937" t="str">
            <v>the-of</v>
          </cell>
          <cell r="I8937" t="str">
            <v>sim</v>
          </cell>
          <cell r="V8937" t="str">
            <v>not neg pair</v>
          </cell>
          <cell r="Y8937" t="str">
            <v>Pres</v>
          </cell>
          <cell r="Z8937">
            <v>3.93</v>
          </cell>
          <cell r="AA8937">
            <v>0</v>
          </cell>
          <cell r="AB8937">
            <v>0</v>
          </cell>
        </row>
        <row r="8938">
          <cell r="G8938" t="str">
            <v>1527_0</v>
          </cell>
          <cell r="H8938" t="str">
            <v>the-of</v>
          </cell>
          <cell r="I8938" t="str">
            <v>sim</v>
          </cell>
          <cell r="V8938" t="str">
            <v>not neg pair</v>
          </cell>
          <cell r="Y8938" t="str">
            <v>Pres</v>
          </cell>
          <cell r="Z8938">
            <v>3.65</v>
          </cell>
          <cell r="AA8938">
            <v>0</v>
          </cell>
          <cell r="AB8938">
            <v>0</v>
          </cell>
        </row>
        <row r="8939">
          <cell r="G8939" t="str">
            <v>1527_1</v>
          </cell>
          <cell r="H8939" t="str">
            <v>the-of</v>
          </cell>
          <cell r="I8939" t="str">
            <v>sim</v>
          </cell>
          <cell r="V8939" t="str">
            <v>not neg pair</v>
          </cell>
          <cell r="Y8939" t="str">
            <v>Pres</v>
          </cell>
          <cell r="Z8939">
            <v>3.65</v>
          </cell>
          <cell r="AA8939">
            <v>0</v>
          </cell>
          <cell r="AB8939">
            <v>0</v>
          </cell>
        </row>
        <row r="8940">
          <cell r="G8940" t="str">
            <v>1528_0</v>
          </cell>
          <cell r="H8940" t="str">
            <v>the-of</v>
          </cell>
          <cell r="I8940" t="str">
            <v>sim</v>
          </cell>
          <cell r="V8940" t="str">
            <v>not neg pair</v>
          </cell>
          <cell r="Y8940" t="str">
            <v>Pres</v>
          </cell>
          <cell r="Z8940">
            <v>4.6900000000000004</v>
          </cell>
          <cell r="AA8940">
            <v>0</v>
          </cell>
          <cell r="AB8940">
            <v>0</v>
          </cell>
        </row>
        <row r="8941">
          <cell r="G8941" t="str">
            <v>1528_1</v>
          </cell>
          <cell r="H8941" t="str">
            <v>the-of</v>
          </cell>
          <cell r="I8941" t="str">
            <v>sim</v>
          </cell>
          <cell r="V8941" t="str">
            <v>not neg pair</v>
          </cell>
          <cell r="Y8941" t="str">
            <v>Pres</v>
          </cell>
          <cell r="Z8941">
            <v>4.6900000000000004</v>
          </cell>
          <cell r="AA8941">
            <v>0</v>
          </cell>
          <cell r="AB8941">
            <v>0</v>
          </cell>
        </row>
        <row r="8942">
          <cell r="G8942" t="str">
            <v>1529_0</v>
          </cell>
          <cell r="H8942" t="str">
            <v>the-of</v>
          </cell>
          <cell r="I8942" t="str">
            <v>sim</v>
          </cell>
          <cell r="V8942" t="str">
            <v>not neg pair</v>
          </cell>
          <cell r="Y8942" t="str">
            <v>Pres</v>
          </cell>
          <cell r="Z8942">
            <v>4.79</v>
          </cell>
          <cell r="AA8942">
            <v>0</v>
          </cell>
          <cell r="AB8942">
            <v>0</v>
          </cell>
        </row>
        <row r="8943">
          <cell r="G8943" t="str">
            <v>1529_1</v>
          </cell>
          <cell r="H8943" t="str">
            <v>the-of</v>
          </cell>
          <cell r="I8943" t="str">
            <v>sim</v>
          </cell>
          <cell r="V8943" t="str">
            <v>not neg pair</v>
          </cell>
          <cell r="Y8943" t="str">
            <v>Pres</v>
          </cell>
          <cell r="Z8943">
            <v>4.79</v>
          </cell>
          <cell r="AA8943">
            <v>0</v>
          </cell>
          <cell r="AB8943">
            <v>0</v>
          </cell>
        </row>
        <row r="8944">
          <cell r="G8944" t="str">
            <v>1535_0</v>
          </cell>
          <cell r="H8944" t="str">
            <v>as-as</v>
          </cell>
          <cell r="I8944" t="str">
            <v>sim</v>
          </cell>
          <cell r="V8944" t="str">
            <v>antonym</v>
          </cell>
          <cell r="Y8944" t="str">
            <v>Past</v>
          </cell>
          <cell r="Z8944">
            <v>1.96</v>
          </cell>
          <cell r="AA8944" t="str">
            <v>L</v>
          </cell>
          <cell r="AB8944">
            <v>0</v>
          </cell>
        </row>
        <row r="8945">
          <cell r="G8945" t="str">
            <v>1535_1</v>
          </cell>
          <cell r="H8945" t="str">
            <v>as-as</v>
          </cell>
          <cell r="I8945" t="str">
            <v>sim</v>
          </cell>
          <cell r="V8945" t="str">
            <v>antonym</v>
          </cell>
          <cell r="Y8945" t="str">
            <v>Past</v>
          </cell>
          <cell r="Z8945">
            <v>1.96</v>
          </cell>
          <cell r="AA8945" t="str">
            <v>L</v>
          </cell>
          <cell r="AB8945">
            <v>0</v>
          </cell>
        </row>
        <row r="8946">
          <cell r="G8946" t="str">
            <v>1537_0</v>
          </cell>
          <cell r="H8946" t="str">
            <v>as-as</v>
          </cell>
          <cell r="I8946" t="str">
            <v>sim</v>
          </cell>
          <cell r="V8946" t="str">
            <v>not</v>
          </cell>
          <cell r="Y8946" t="str">
            <v>Past</v>
          </cell>
          <cell r="Z8946">
            <v>3.69</v>
          </cell>
          <cell r="AA8946">
            <v>0</v>
          </cell>
          <cell r="AB8946">
            <v>0</v>
          </cell>
        </row>
        <row r="8947">
          <cell r="G8947" t="str">
            <v>1537_1</v>
          </cell>
          <cell r="H8947" t="str">
            <v>as-as</v>
          </cell>
          <cell r="I8947" t="str">
            <v>sim</v>
          </cell>
          <cell r="V8947" t="str">
            <v>not</v>
          </cell>
          <cell r="Y8947" t="str">
            <v>Past</v>
          </cell>
          <cell r="Z8947">
            <v>3.69</v>
          </cell>
          <cell r="AA8947">
            <v>0</v>
          </cell>
          <cell r="AB8947">
            <v>0</v>
          </cell>
        </row>
        <row r="8948">
          <cell r="G8948" t="str">
            <v>1546_0</v>
          </cell>
          <cell r="H8948" t="str">
            <v>as-as</v>
          </cell>
          <cell r="I8948" t="str">
            <v>sim</v>
          </cell>
          <cell r="V8948" t="str">
            <v>antonym</v>
          </cell>
          <cell r="Y8948" t="str">
            <v>Past</v>
          </cell>
          <cell r="Z8948">
            <v>3.93</v>
          </cell>
          <cell r="AA8948">
            <v>0</v>
          </cell>
          <cell r="AB8948">
            <v>0</v>
          </cell>
        </row>
        <row r="8949">
          <cell r="G8949" t="str">
            <v>1546_1</v>
          </cell>
          <cell r="H8949" t="str">
            <v>as-as</v>
          </cell>
          <cell r="I8949" t="str">
            <v>sim</v>
          </cell>
          <cell r="V8949" t="str">
            <v>antonym</v>
          </cell>
          <cell r="Y8949" t="str">
            <v>Past</v>
          </cell>
          <cell r="Z8949">
            <v>3.93</v>
          </cell>
          <cell r="AA8949">
            <v>0</v>
          </cell>
          <cell r="AB8949">
            <v>0</v>
          </cell>
        </row>
        <row r="8950">
          <cell r="G8950" t="str">
            <v>1550_0</v>
          </cell>
          <cell r="H8950" t="str">
            <v>as-as</v>
          </cell>
          <cell r="I8950" t="str">
            <v>sim</v>
          </cell>
          <cell r="V8950" t="str">
            <v>antonym</v>
          </cell>
          <cell r="Y8950" t="str">
            <v>Pres</v>
          </cell>
          <cell r="Z8950">
            <v>4.8</v>
          </cell>
          <cell r="AA8950">
            <v>0</v>
          </cell>
          <cell r="AB8950">
            <v>0</v>
          </cell>
        </row>
        <row r="8951">
          <cell r="G8951" t="str">
            <v>1550_1</v>
          </cell>
          <cell r="H8951" t="str">
            <v>as-as</v>
          </cell>
          <cell r="I8951" t="str">
            <v>sim</v>
          </cell>
          <cell r="V8951" t="str">
            <v>antonym</v>
          </cell>
          <cell r="Y8951" t="str">
            <v>Pres</v>
          </cell>
          <cell r="Z8951">
            <v>4.8</v>
          </cell>
          <cell r="AA8951">
            <v>0</v>
          </cell>
          <cell r="AB8951">
            <v>0</v>
          </cell>
        </row>
        <row r="8952">
          <cell r="G8952" t="str">
            <v>1553_0</v>
          </cell>
          <cell r="H8952" t="str">
            <v>the-of</v>
          </cell>
          <cell r="I8952" t="str">
            <v>sim</v>
          </cell>
          <cell r="V8952" t="str">
            <v>not</v>
          </cell>
          <cell r="Y8952" t="str">
            <v>Past</v>
          </cell>
          <cell r="Z8952">
            <v>3.57</v>
          </cell>
          <cell r="AA8952">
            <v>0</v>
          </cell>
          <cell r="AB8952">
            <v>0</v>
          </cell>
        </row>
        <row r="8953">
          <cell r="G8953" t="str">
            <v>1553_1</v>
          </cell>
          <cell r="H8953" t="str">
            <v>the-of</v>
          </cell>
          <cell r="I8953" t="str">
            <v>sim</v>
          </cell>
          <cell r="V8953" t="str">
            <v>not</v>
          </cell>
          <cell r="Y8953" t="str">
            <v>Pres</v>
          </cell>
          <cell r="Z8953">
            <v>3.57</v>
          </cell>
          <cell r="AA8953">
            <v>0</v>
          </cell>
          <cell r="AB8953">
            <v>0</v>
          </cell>
        </row>
        <row r="8954">
          <cell r="G8954" t="str">
            <v>1555_0</v>
          </cell>
          <cell r="H8954" t="str">
            <v>the-of</v>
          </cell>
          <cell r="I8954" t="str">
            <v>sim</v>
          </cell>
          <cell r="V8954" t="str">
            <v>not</v>
          </cell>
          <cell r="Y8954" t="str">
            <v>Past</v>
          </cell>
          <cell r="Z8954">
            <v>2.5</v>
          </cell>
          <cell r="AA8954" t="str">
            <v>L</v>
          </cell>
          <cell r="AB8954">
            <v>0</v>
          </cell>
        </row>
        <row r="8955">
          <cell r="G8955" t="str">
            <v>1555_1</v>
          </cell>
          <cell r="H8955" t="str">
            <v>the-of</v>
          </cell>
          <cell r="I8955" t="str">
            <v>sim</v>
          </cell>
          <cell r="V8955" t="str">
            <v>not</v>
          </cell>
          <cell r="Y8955" t="str">
            <v>Past</v>
          </cell>
          <cell r="Z8955">
            <v>2.5</v>
          </cell>
          <cell r="AA8955" t="str">
            <v>L</v>
          </cell>
          <cell r="AB8955">
            <v>0</v>
          </cell>
        </row>
        <row r="8956">
          <cell r="G8956" t="str">
            <v>1558_0</v>
          </cell>
          <cell r="H8956" t="str">
            <v>as-as</v>
          </cell>
          <cell r="I8956" t="str">
            <v>sim</v>
          </cell>
          <cell r="V8956" t="str">
            <v>not</v>
          </cell>
          <cell r="Y8956" t="str">
            <v>Past</v>
          </cell>
          <cell r="Z8956">
            <v>3.93</v>
          </cell>
          <cell r="AA8956">
            <v>0</v>
          </cell>
          <cell r="AB8956">
            <v>0</v>
          </cell>
        </row>
        <row r="8957">
          <cell r="G8957" t="str">
            <v>1558_1</v>
          </cell>
          <cell r="H8957" t="str">
            <v>as-as</v>
          </cell>
          <cell r="I8957" t="str">
            <v>sim</v>
          </cell>
          <cell r="V8957" t="str">
            <v>not</v>
          </cell>
          <cell r="Y8957" t="str">
            <v>Past</v>
          </cell>
          <cell r="Z8957">
            <v>3.93</v>
          </cell>
          <cell r="AA8957">
            <v>0</v>
          </cell>
          <cell r="AB8957">
            <v>0</v>
          </cell>
        </row>
        <row r="8958">
          <cell r="G8958" t="str">
            <v>1562_0</v>
          </cell>
          <cell r="H8958" t="str">
            <v>like</v>
          </cell>
          <cell r="I8958" t="str">
            <v>sim</v>
          </cell>
          <cell r="V8958" t="str">
            <v>0</v>
          </cell>
          <cell r="Y8958" t="str">
            <v>Past</v>
          </cell>
          <cell r="Z8958">
            <v>2.57</v>
          </cell>
          <cell r="AA8958" t="str">
            <v>L</v>
          </cell>
          <cell r="AB8958">
            <v>0</v>
          </cell>
        </row>
        <row r="8959">
          <cell r="G8959" t="str">
            <v>1562_1</v>
          </cell>
          <cell r="H8959" t="str">
            <v/>
          </cell>
          <cell r="I8959" t="str">
            <v>met</v>
          </cell>
          <cell r="V8959" t="str">
            <v>0</v>
          </cell>
          <cell r="Y8959" t="str">
            <v>Past</v>
          </cell>
          <cell r="Z8959">
            <v>2.57</v>
          </cell>
          <cell r="AA8959" t="str">
            <v>L</v>
          </cell>
          <cell r="AB8959">
            <v>0</v>
          </cell>
        </row>
        <row r="8960">
          <cell r="G8960" t="str">
            <v>1575_0</v>
          </cell>
          <cell r="H8960" t="str">
            <v/>
          </cell>
          <cell r="I8960" t="str">
            <v>met</v>
          </cell>
          <cell r="V8960" t="str">
            <v>0</v>
          </cell>
          <cell r="Y8960" t="str">
            <v>Past</v>
          </cell>
          <cell r="Z8960">
            <v>4.97</v>
          </cell>
          <cell r="AA8960" t="str">
            <v>H</v>
          </cell>
          <cell r="AB8960">
            <v>0</v>
          </cell>
        </row>
        <row r="8961">
          <cell r="G8961" t="str">
            <v>1575_1</v>
          </cell>
          <cell r="H8961" t="str">
            <v/>
          </cell>
          <cell r="I8961" t="str">
            <v>met</v>
          </cell>
          <cell r="V8961" t="str">
            <v>0</v>
          </cell>
          <cell r="Y8961" t="str">
            <v>Past</v>
          </cell>
          <cell r="Z8961">
            <v>4.97</v>
          </cell>
          <cell r="AA8961" t="str">
            <v>H</v>
          </cell>
          <cell r="AB8961">
            <v>0</v>
          </cell>
        </row>
        <row r="8962">
          <cell r="G8962" t="str">
            <v>1576_0</v>
          </cell>
          <cell r="H8962" t="str">
            <v/>
          </cell>
          <cell r="I8962" t="str">
            <v>met</v>
          </cell>
          <cell r="V8962" t="str">
            <v>0</v>
          </cell>
          <cell r="Y8962" t="str">
            <v>Past</v>
          </cell>
          <cell r="Z8962">
            <v>4.8899999999999997</v>
          </cell>
          <cell r="AA8962">
            <v>0</v>
          </cell>
          <cell r="AB8962">
            <v>0</v>
          </cell>
        </row>
        <row r="8963">
          <cell r="G8963" t="str">
            <v>1576_1</v>
          </cell>
          <cell r="H8963" t="str">
            <v/>
          </cell>
          <cell r="I8963" t="str">
            <v>met</v>
          </cell>
          <cell r="V8963" t="str">
            <v>0</v>
          </cell>
          <cell r="Y8963" t="str">
            <v>Past</v>
          </cell>
          <cell r="Z8963">
            <v>4.8899999999999997</v>
          </cell>
          <cell r="AA8963">
            <v>0</v>
          </cell>
          <cell r="AB8963">
            <v>0</v>
          </cell>
        </row>
        <row r="8964">
          <cell r="G8964" t="str">
            <v>1581_0</v>
          </cell>
          <cell r="H8964" t="str">
            <v>the-of</v>
          </cell>
          <cell r="I8964" t="str">
            <v>sim</v>
          </cell>
          <cell r="V8964" t="str">
            <v>not</v>
          </cell>
          <cell r="Y8964" t="str">
            <v>Pres</v>
          </cell>
          <cell r="Z8964">
            <v>4.8600000000000003</v>
          </cell>
          <cell r="AA8964">
            <v>0</v>
          </cell>
          <cell r="AB8964">
            <v>0</v>
          </cell>
        </row>
        <row r="8965">
          <cell r="G8965" t="str">
            <v>1581_1</v>
          </cell>
          <cell r="H8965" t="str">
            <v>the-of</v>
          </cell>
          <cell r="I8965" t="str">
            <v>sim</v>
          </cell>
          <cell r="V8965" t="str">
            <v>not</v>
          </cell>
          <cell r="Y8965" t="str">
            <v>Pres</v>
          </cell>
          <cell r="Z8965">
            <v>4.8600000000000003</v>
          </cell>
          <cell r="AA8965">
            <v>0</v>
          </cell>
          <cell r="AB8965">
            <v>0</v>
          </cell>
        </row>
        <row r="8966">
          <cell r="G8966" t="str">
            <v>1582_0</v>
          </cell>
          <cell r="H8966" t="str">
            <v>as-as</v>
          </cell>
          <cell r="I8966" t="str">
            <v>sim</v>
          </cell>
          <cell r="V8966" t="str">
            <v>antonym</v>
          </cell>
          <cell r="Y8966" t="str">
            <v>Past</v>
          </cell>
          <cell r="Z8966">
            <v>3.93</v>
          </cell>
          <cell r="AA8966">
            <v>0</v>
          </cell>
          <cell r="AB8966">
            <v>0</v>
          </cell>
        </row>
        <row r="8967">
          <cell r="G8967" t="str">
            <v>1582_1</v>
          </cell>
          <cell r="H8967" t="str">
            <v>as-as</v>
          </cell>
          <cell r="I8967" t="str">
            <v>sim</v>
          </cell>
          <cell r="V8967" t="str">
            <v>antonym</v>
          </cell>
          <cell r="Y8967" t="str">
            <v>Past</v>
          </cell>
          <cell r="Z8967">
            <v>3.93</v>
          </cell>
          <cell r="AA8967">
            <v>0</v>
          </cell>
          <cell r="AB8967">
            <v>0</v>
          </cell>
        </row>
        <row r="8968">
          <cell r="G8968" t="str">
            <v>1585_0</v>
          </cell>
          <cell r="H8968" t="str">
            <v>the-of</v>
          </cell>
          <cell r="I8968" t="str">
            <v>sim</v>
          </cell>
          <cell r="V8968" t="str">
            <v>not neg pair</v>
          </cell>
          <cell r="Y8968" t="str">
            <v>Pres</v>
          </cell>
          <cell r="Z8968">
            <v>3.36</v>
          </cell>
          <cell r="AA8968">
            <v>0</v>
          </cell>
          <cell r="AB8968">
            <v>0</v>
          </cell>
        </row>
        <row r="8969">
          <cell r="G8969" t="str">
            <v>1585_1</v>
          </cell>
          <cell r="H8969" t="str">
            <v>the-of</v>
          </cell>
          <cell r="I8969" t="str">
            <v>sim</v>
          </cell>
          <cell r="V8969" t="str">
            <v>not neg pair</v>
          </cell>
          <cell r="Y8969" t="str">
            <v>Pres</v>
          </cell>
          <cell r="Z8969">
            <v>3.36</v>
          </cell>
          <cell r="AA8969">
            <v>0</v>
          </cell>
          <cell r="AB8969">
            <v>0</v>
          </cell>
        </row>
        <row r="8970">
          <cell r="G8970" t="str">
            <v>1592_0</v>
          </cell>
          <cell r="H8970" t="str">
            <v>as-as</v>
          </cell>
          <cell r="I8970" t="str">
            <v>sim</v>
          </cell>
          <cell r="V8970" t="str">
            <v>not neg pair</v>
          </cell>
          <cell r="Y8970" t="str">
            <v>Pres</v>
          </cell>
          <cell r="Z8970">
            <v>3.36</v>
          </cell>
          <cell r="AA8970">
            <v>0</v>
          </cell>
          <cell r="AB8970">
            <v>0</v>
          </cell>
        </row>
        <row r="8971">
          <cell r="G8971" t="str">
            <v>1592_1</v>
          </cell>
          <cell r="H8971" t="str">
            <v>as-as</v>
          </cell>
          <cell r="I8971" t="str">
            <v>sim</v>
          </cell>
          <cell r="V8971" t="str">
            <v>not neg pair</v>
          </cell>
          <cell r="Y8971" t="str">
            <v>Pres</v>
          </cell>
          <cell r="Z8971">
            <v>3.36</v>
          </cell>
          <cell r="AA8971">
            <v>0</v>
          </cell>
          <cell r="AB8971">
            <v>0</v>
          </cell>
        </row>
        <row r="8972">
          <cell r="G8972" t="str">
            <v>1594_0</v>
          </cell>
          <cell r="H8972" t="str">
            <v>as-as</v>
          </cell>
          <cell r="I8972" t="str">
            <v>sim</v>
          </cell>
          <cell r="V8972" t="str">
            <v>not</v>
          </cell>
          <cell r="Y8972" t="str">
            <v>Past</v>
          </cell>
          <cell r="Z8972">
            <v>2.63</v>
          </cell>
          <cell r="AA8972" t="str">
            <v>L</v>
          </cell>
          <cell r="AB8972">
            <v>0</v>
          </cell>
        </row>
        <row r="8973">
          <cell r="G8973" t="str">
            <v>1594_1</v>
          </cell>
          <cell r="H8973" t="str">
            <v>as-as</v>
          </cell>
          <cell r="I8973" t="str">
            <v>sim</v>
          </cell>
          <cell r="V8973" t="str">
            <v>not</v>
          </cell>
          <cell r="Y8973" t="str">
            <v>Past</v>
          </cell>
          <cell r="Z8973">
            <v>2.63</v>
          </cell>
          <cell r="AA8973" t="str">
            <v>L</v>
          </cell>
          <cell r="AB8973">
            <v>0</v>
          </cell>
        </row>
        <row r="8974">
          <cell r="G8974" t="str">
            <v>1595_0</v>
          </cell>
          <cell r="H8974" t="str">
            <v>like</v>
          </cell>
          <cell r="I8974" t="str">
            <v>sim</v>
          </cell>
          <cell r="V8974" t="str">
            <v>not neg pair</v>
          </cell>
          <cell r="Y8974" t="str">
            <v>Past</v>
          </cell>
          <cell r="Z8974">
            <v>4.8499999999999996</v>
          </cell>
          <cell r="AA8974">
            <v>0</v>
          </cell>
          <cell r="AB8974">
            <v>0</v>
          </cell>
        </row>
        <row r="8975">
          <cell r="G8975" t="str">
            <v>1595_1</v>
          </cell>
          <cell r="H8975" t="str">
            <v>like</v>
          </cell>
          <cell r="I8975" t="str">
            <v>sim</v>
          </cell>
          <cell r="V8975" t="str">
            <v>not neg pair</v>
          </cell>
          <cell r="Y8975" t="str">
            <v>Past</v>
          </cell>
          <cell r="Z8975">
            <v>4.8499999999999996</v>
          </cell>
          <cell r="AA8975">
            <v>0</v>
          </cell>
          <cell r="AB8975">
            <v>0</v>
          </cell>
        </row>
        <row r="8976">
          <cell r="G8976" t="str">
            <v>1602_0</v>
          </cell>
          <cell r="H8976" t="str">
            <v>the-of</v>
          </cell>
          <cell r="I8976" t="str">
            <v>sim</v>
          </cell>
          <cell r="V8976" t="str">
            <v>not neg pair</v>
          </cell>
          <cell r="Y8976" t="str">
            <v>Pres</v>
          </cell>
          <cell r="Z8976">
            <v>0</v>
          </cell>
          <cell r="AA8976">
            <v>0</v>
          </cell>
          <cell r="AB8976">
            <v>0</v>
          </cell>
        </row>
        <row r="8977">
          <cell r="G8977" t="str">
            <v>1602_1</v>
          </cell>
          <cell r="H8977" t="str">
            <v>the-of</v>
          </cell>
          <cell r="I8977" t="str">
            <v>sim</v>
          </cell>
          <cell r="V8977" t="str">
            <v>not neg pair</v>
          </cell>
          <cell r="Y8977" t="str">
            <v>Pres</v>
          </cell>
          <cell r="Z8977">
            <v>0</v>
          </cell>
          <cell r="AA8977">
            <v>0</v>
          </cell>
          <cell r="AB8977">
            <v>0</v>
          </cell>
        </row>
        <row r="8978">
          <cell r="G8978" t="str">
            <v>1603_0</v>
          </cell>
          <cell r="H8978" t="str">
            <v/>
          </cell>
          <cell r="I8978" t="str">
            <v>met</v>
          </cell>
          <cell r="V8978" t="str">
            <v>0</v>
          </cell>
          <cell r="Y8978" t="str">
            <v>Pres</v>
          </cell>
          <cell r="Z8978">
            <v>4.3600000000000003</v>
          </cell>
          <cell r="AA8978">
            <v>0</v>
          </cell>
          <cell r="AB8978">
            <v>0</v>
          </cell>
        </row>
        <row r="8979">
          <cell r="G8979" t="str">
            <v>1603_1</v>
          </cell>
          <cell r="H8979" t="str">
            <v/>
          </cell>
          <cell r="I8979" t="str">
            <v>met</v>
          </cell>
          <cell r="V8979" t="str">
            <v>0</v>
          </cell>
          <cell r="Y8979" t="str">
            <v>Pres</v>
          </cell>
          <cell r="Z8979">
            <v>4.3600000000000003</v>
          </cell>
          <cell r="AA8979">
            <v>0</v>
          </cell>
          <cell r="AB8979">
            <v>0</v>
          </cell>
        </row>
        <row r="8980">
          <cell r="G8980" t="str">
            <v>1604_0</v>
          </cell>
          <cell r="H8980" t="str">
            <v>the-of</v>
          </cell>
          <cell r="I8980" t="str">
            <v>sim</v>
          </cell>
          <cell r="V8980" t="str">
            <v>not</v>
          </cell>
          <cell r="Y8980" t="str">
            <v>Pres</v>
          </cell>
          <cell r="Z8980">
            <v>1.47</v>
          </cell>
          <cell r="AA8980" t="str">
            <v>L</v>
          </cell>
          <cell r="AB8980">
            <v>0</v>
          </cell>
        </row>
        <row r="8981">
          <cell r="G8981" t="str">
            <v>1604_1</v>
          </cell>
          <cell r="H8981" t="str">
            <v>the-of</v>
          </cell>
          <cell r="I8981" t="str">
            <v>sim</v>
          </cell>
          <cell r="V8981" t="str">
            <v>not</v>
          </cell>
          <cell r="Y8981" t="str">
            <v>Pres</v>
          </cell>
          <cell r="Z8981">
            <v>1.47</v>
          </cell>
          <cell r="AA8981" t="str">
            <v>L</v>
          </cell>
          <cell r="AB8981">
            <v>0</v>
          </cell>
        </row>
        <row r="8982">
          <cell r="G8982" t="str">
            <v>1609_0</v>
          </cell>
          <cell r="H8982" t="str">
            <v>like</v>
          </cell>
          <cell r="I8982" t="str">
            <v>sim</v>
          </cell>
          <cell r="V8982" t="str">
            <v>not neg pair</v>
          </cell>
          <cell r="Y8982" t="str">
            <v>Past</v>
          </cell>
          <cell r="Z8982">
            <v>4.33</v>
          </cell>
          <cell r="AA8982">
            <v>0</v>
          </cell>
          <cell r="AB8982">
            <v>0</v>
          </cell>
        </row>
        <row r="8983">
          <cell r="G8983" t="str">
            <v>1609_1</v>
          </cell>
          <cell r="H8983" t="str">
            <v>like</v>
          </cell>
          <cell r="I8983" t="str">
            <v>sim</v>
          </cell>
          <cell r="V8983" t="str">
            <v>not neg pair</v>
          </cell>
          <cell r="Y8983" t="str">
            <v>Past</v>
          </cell>
          <cell r="Z8983">
            <v>4.33</v>
          </cell>
          <cell r="AA8983">
            <v>0</v>
          </cell>
          <cell r="AB8983">
            <v>0</v>
          </cell>
        </row>
        <row r="8984">
          <cell r="G8984" t="str">
            <v>1614_0</v>
          </cell>
          <cell r="H8984" t="str">
            <v>as-as</v>
          </cell>
          <cell r="I8984" t="str">
            <v>sim</v>
          </cell>
          <cell r="V8984" t="str">
            <v>antonym</v>
          </cell>
          <cell r="Y8984">
            <v>0</v>
          </cell>
          <cell r="Z8984">
            <v>3.36</v>
          </cell>
          <cell r="AA8984">
            <v>0</v>
          </cell>
          <cell r="AB8984">
            <v>0</v>
          </cell>
        </row>
        <row r="8985">
          <cell r="G8985" t="str">
            <v>1614_1</v>
          </cell>
          <cell r="H8985" t="str">
            <v>as-as</v>
          </cell>
          <cell r="I8985" t="str">
            <v>sim</v>
          </cell>
          <cell r="V8985" t="str">
            <v>antonym</v>
          </cell>
          <cell r="Y8985">
            <v>0</v>
          </cell>
          <cell r="Z8985">
            <v>3.36</v>
          </cell>
          <cell r="AA8985">
            <v>0</v>
          </cell>
          <cell r="AB8985">
            <v>0</v>
          </cell>
        </row>
        <row r="8986">
          <cell r="G8986" t="str">
            <v>1616_0</v>
          </cell>
          <cell r="H8986" t="str">
            <v>the-of</v>
          </cell>
          <cell r="I8986" t="str">
            <v>sim</v>
          </cell>
          <cell r="V8986" t="str">
            <v>not neg pair</v>
          </cell>
          <cell r="Y8986" t="str">
            <v>Pres</v>
          </cell>
          <cell r="Z8986">
            <v>4.33</v>
          </cell>
          <cell r="AA8986">
            <v>0</v>
          </cell>
          <cell r="AB8986">
            <v>0</v>
          </cell>
        </row>
        <row r="8987">
          <cell r="G8987" t="str">
            <v>1616_1</v>
          </cell>
          <cell r="H8987" t="str">
            <v>the-of</v>
          </cell>
          <cell r="I8987" t="str">
            <v>sim</v>
          </cell>
          <cell r="V8987" t="str">
            <v>not neg pair</v>
          </cell>
          <cell r="Y8987" t="str">
            <v>Pres</v>
          </cell>
          <cell r="Z8987">
            <v>4.33</v>
          </cell>
          <cell r="AA8987">
            <v>0</v>
          </cell>
          <cell r="AB8987">
            <v>0</v>
          </cell>
        </row>
        <row r="8988">
          <cell r="G8988" t="str">
            <v>1626_0</v>
          </cell>
          <cell r="H8988" t="str">
            <v>like</v>
          </cell>
          <cell r="I8988" t="str">
            <v>sim</v>
          </cell>
          <cell r="V8988" t="str">
            <v>not neg pair</v>
          </cell>
          <cell r="Y8988" t="str">
            <v>Pres</v>
          </cell>
          <cell r="Z8988">
            <v>4.97</v>
          </cell>
          <cell r="AA8988" t="str">
            <v>H</v>
          </cell>
          <cell r="AB8988">
            <v>0</v>
          </cell>
        </row>
        <row r="8989">
          <cell r="G8989" t="str">
            <v>1626_1</v>
          </cell>
          <cell r="H8989" t="str">
            <v>like</v>
          </cell>
          <cell r="I8989" t="str">
            <v>sim</v>
          </cell>
          <cell r="V8989" t="str">
            <v>not neg pair</v>
          </cell>
          <cell r="Y8989" t="str">
            <v>Pres</v>
          </cell>
          <cell r="Z8989">
            <v>4.97</v>
          </cell>
          <cell r="AA8989" t="str">
            <v>H</v>
          </cell>
          <cell r="AB8989">
            <v>0</v>
          </cell>
        </row>
        <row r="8990">
          <cell r="G8990" t="str">
            <v>1628_0</v>
          </cell>
          <cell r="H8990" t="str">
            <v>like</v>
          </cell>
          <cell r="I8990" t="str">
            <v>sim</v>
          </cell>
          <cell r="V8990" t="str">
            <v>not neg pair</v>
          </cell>
          <cell r="Y8990" t="str">
            <v>Pres</v>
          </cell>
          <cell r="Z8990">
            <v>3.97</v>
          </cell>
          <cell r="AA8990">
            <v>0</v>
          </cell>
          <cell r="AB8990">
            <v>0</v>
          </cell>
        </row>
        <row r="8991">
          <cell r="G8991" t="str">
            <v>1628_1</v>
          </cell>
          <cell r="H8991" t="str">
            <v>like</v>
          </cell>
          <cell r="I8991" t="str">
            <v>sim</v>
          </cell>
          <cell r="V8991" t="str">
            <v>not neg pair</v>
          </cell>
          <cell r="Y8991" t="str">
            <v>Pres</v>
          </cell>
          <cell r="Z8991">
            <v>3.97</v>
          </cell>
          <cell r="AA8991">
            <v>0</v>
          </cell>
          <cell r="AB8991">
            <v>0</v>
          </cell>
        </row>
        <row r="8992">
          <cell r="G8992" t="str">
            <v>1629_0</v>
          </cell>
          <cell r="H8992" t="str">
            <v>the-of</v>
          </cell>
          <cell r="I8992" t="str">
            <v>sim</v>
          </cell>
          <cell r="V8992" t="str">
            <v>not</v>
          </cell>
          <cell r="Y8992" t="str">
            <v>Pres</v>
          </cell>
          <cell r="Z8992">
            <v>3.36</v>
          </cell>
          <cell r="AA8992">
            <v>0</v>
          </cell>
          <cell r="AB8992">
            <v>0</v>
          </cell>
        </row>
        <row r="8993">
          <cell r="G8993" t="str">
            <v>1629_1</v>
          </cell>
          <cell r="H8993" t="str">
            <v>the-of</v>
          </cell>
          <cell r="I8993" t="str">
            <v>sim</v>
          </cell>
          <cell r="V8993" t="str">
            <v>not</v>
          </cell>
          <cell r="Y8993" t="str">
            <v>Pres</v>
          </cell>
          <cell r="Z8993">
            <v>3.36</v>
          </cell>
          <cell r="AA8993">
            <v>0</v>
          </cell>
          <cell r="AB8993">
            <v>0</v>
          </cell>
        </row>
        <row r="8994">
          <cell r="G8994" t="str">
            <v>1640_0</v>
          </cell>
          <cell r="H8994" t="str">
            <v>as-as</v>
          </cell>
          <cell r="I8994" t="str">
            <v>sim</v>
          </cell>
          <cell r="V8994" t="str">
            <v>not</v>
          </cell>
          <cell r="Y8994" t="str">
            <v>Past</v>
          </cell>
          <cell r="Z8994">
            <v>4.46</v>
          </cell>
          <cell r="AA8994">
            <v>0</v>
          </cell>
          <cell r="AB8994">
            <v>0</v>
          </cell>
        </row>
        <row r="8995">
          <cell r="G8995" t="str">
            <v>1640_1</v>
          </cell>
          <cell r="H8995" t="str">
            <v>as-as</v>
          </cell>
          <cell r="I8995" t="str">
            <v>sim</v>
          </cell>
          <cell r="V8995" t="str">
            <v>not</v>
          </cell>
          <cell r="Y8995" t="str">
            <v>Past</v>
          </cell>
          <cell r="Z8995">
            <v>4.46</v>
          </cell>
          <cell r="AA8995">
            <v>0</v>
          </cell>
          <cell r="AB8995">
            <v>0</v>
          </cell>
        </row>
        <row r="8996">
          <cell r="G8996" t="str">
            <v>1644_0</v>
          </cell>
          <cell r="H8996" t="str">
            <v>like</v>
          </cell>
          <cell r="I8996" t="str">
            <v>sim</v>
          </cell>
          <cell r="V8996" t="str">
            <v>not neg pair</v>
          </cell>
          <cell r="Y8996" t="str">
            <v>Past</v>
          </cell>
          <cell r="Z8996">
            <v>4.8499999999999996</v>
          </cell>
          <cell r="AA8996">
            <v>0</v>
          </cell>
          <cell r="AB8996">
            <v>0</v>
          </cell>
        </row>
        <row r="8997">
          <cell r="G8997" t="str">
            <v>1644_1</v>
          </cell>
          <cell r="H8997" t="str">
            <v>like</v>
          </cell>
          <cell r="I8997" t="str">
            <v>sim</v>
          </cell>
          <cell r="V8997" t="str">
            <v>not neg pair</v>
          </cell>
          <cell r="Y8997" t="str">
            <v>Past</v>
          </cell>
          <cell r="Z8997">
            <v>4.8499999999999996</v>
          </cell>
          <cell r="AA8997">
            <v>0</v>
          </cell>
          <cell r="AB8997">
            <v>0</v>
          </cell>
        </row>
        <row r="8998">
          <cell r="G8998" t="str">
            <v>1646_0</v>
          </cell>
          <cell r="H8998" t="str">
            <v>as</v>
          </cell>
          <cell r="I8998" t="str">
            <v>sim</v>
          </cell>
          <cell r="V8998" t="str">
            <v>not neg pair</v>
          </cell>
          <cell r="Y8998" t="str">
            <v>Pres</v>
          </cell>
          <cell r="Z8998">
            <v>5</v>
          </cell>
          <cell r="AA8998" t="str">
            <v>H</v>
          </cell>
          <cell r="AB8998">
            <v>0</v>
          </cell>
        </row>
        <row r="8999">
          <cell r="G8999" t="str">
            <v>1646_1</v>
          </cell>
          <cell r="H8999" t="str">
            <v>as</v>
          </cell>
          <cell r="I8999" t="str">
            <v>sim</v>
          </cell>
          <cell r="V8999" t="str">
            <v>not neg pair</v>
          </cell>
          <cell r="Y8999" t="str">
            <v>Pres</v>
          </cell>
          <cell r="Z8999">
            <v>5</v>
          </cell>
          <cell r="AA8999" t="str">
            <v>H</v>
          </cell>
          <cell r="AB8999">
            <v>0</v>
          </cell>
        </row>
        <row r="9000">
          <cell r="G9000" t="str">
            <v>1649_0</v>
          </cell>
          <cell r="H9000" t="str">
            <v>as-as</v>
          </cell>
          <cell r="I9000" t="str">
            <v>sim</v>
          </cell>
          <cell r="V9000" t="str">
            <v>not neg pair</v>
          </cell>
          <cell r="Y9000" t="str">
            <v>Pres</v>
          </cell>
          <cell r="Z9000">
            <v>4.83</v>
          </cell>
          <cell r="AA9000">
            <v>0</v>
          </cell>
          <cell r="AB9000">
            <v>0</v>
          </cell>
        </row>
        <row r="9001">
          <cell r="G9001" t="str">
            <v>1649_1</v>
          </cell>
          <cell r="H9001" t="str">
            <v>as-as</v>
          </cell>
          <cell r="I9001" t="str">
            <v>sim</v>
          </cell>
          <cell r="V9001" t="str">
            <v>not neg pair</v>
          </cell>
          <cell r="Y9001" t="str">
            <v>Pres</v>
          </cell>
          <cell r="Z9001">
            <v>4.83</v>
          </cell>
          <cell r="AA9001">
            <v>0</v>
          </cell>
          <cell r="AB9001">
            <v>0</v>
          </cell>
        </row>
        <row r="9002">
          <cell r="G9002" t="str">
            <v>1650_0</v>
          </cell>
          <cell r="H9002" t="str">
            <v>as-as</v>
          </cell>
          <cell r="I9002" t="str">
            <v>sim</v>
          </cell>
          <cell r="V9002" t="str">
            <v>not neg pair</v>
          </cell>
          <cell r="Y9002" t="str">
            <v>Past</v>
          </cell>
          <cell r="Z9002">
            <v>4.78</v>
          </cell>
          <cell r="AA9002">
            <v>0</v>
          </cell>
          <cell r="AB9002">
            <v>0</v>
          </cell>
        </row>
        <row r="9003">
          <cell r="G9003" t="str">
            <v>1650_1</v>
          </cell>
          <cell r="H9003" t="str">
            <v>as-as</v>
          </cell>
          <cell r="I9003" t="str">
            <v>sim</v>
          </cell>
          <cell r="V9003" t="str">
            <v>not neg pair</v>
          </cell>
          <cell r="Y9003" t="str">
            <v>Past</v>
          </cell>
          <cell r="Z9003">
            <v>4.78</v>
          </cell>
          <cell r="AA9003">
            <v>0</v>
          </cell>
          <cell r="AB9003">
            <v>0</v>
          </cell>
        </row>
        <row r="9004">
          <cell r="G9004" t="str">
            <v>1652_0</v>
          </cell>
          <cell r="H9004" t="str">
            <v>as-as</v>
          </cell>
          <cell r="I9004" t="str">
            <v>sim</v>
          </cell>
          <cell r="V9004" t="str">
            <v>not neg pair</v>
          </cell>
          <cell r="Y9004" t="str">
            <v>Past</v>
          </cell>
          <cell r="Z9004">
            <v>1.68</v>
          </cell>
          <cell r="AA9004" t="str">
            <v>L</v>
          </cell>
          <cell r="AB9004">
            <v>0</v>
          </cell>
        </row>
        <row r="9005">
          <cell r="G9005" t="str">
            <v>1652_1</v>
          </cell>
          <cell r="H9005" t="str">
            <v>as-as</v>
          </cell>
          <cell r="I9005" t="str">
            <v>sim</v>
          </cell>
          <cell r="V9005" t="str">
            <v>not neg pair</v>
          </cell>
          <cell r="Y9005" t="str">
            <v>Pres</v>
          </cell>
          <cell r="Z9005">
            <v>1.74</v>
          </cell>
          <cell r="AA9005" t="str">
            <v>L</v>
          </cell>
          <cell r="AB9005">
            <v>0</v>
          </cell>
        </row>
        <row r="9006">
          <cell r="G9006" t="str">
            <v>1654_0</v>
          </cell>
          <cell r="H9006" t="str">
            <v/>
          </cell>
          <cell r="I9006" t="str">
            <v>met</v>
          </cell>
          <cell r="V9006" t="str">
            <v>0</v>
          </cell>
          <cell r="Y9006" t="str">
            <v>Pres</v>
          </cell>
          <cell r="Z9006">
            <v>3.14</v>
          </cell>
          <cell r="AA9006">
            <v>0</v>
          </cell>
          <cell r="AB9006">
            <v>0</v>
          </cell>
        </row>
        <row r="9007">
          <cell r="G9007" t="str">
            <v>1654_1</v>
          </cell>
          <cell r="H9007" t="str">
            <v/>
          </cell>
          <cell r="I9007" t="str">
            <v>met</v>
          </cell>
          <cell r="V9007" t="str">
            <v>0</v>
          </cell>
          <cell r="Y9007" t="str">
            <v>Pres</v>
          </cell>
          <cell r="Z9007">
            <v>3.93</v>
          </cell>
          <cell r="AA9007">
            <v>0</v>
          </cell>
          <cell r="AB9007">
            <v>0</v>
          </cell>
        </row>
        <row r="9008">
          <cell r="G9008" t="str">
            <v>1657_0</v>
          </cell>
          <cell r="H9008" t="str">
            <v>like</v>
          </cell>
          <cell r="I9008" t="str">
            <v>sim</v>
          </cell>
          <cell r="V9008" t="str">
            <v>not neg pair</v>
          </cell>
          <cell r="Y9008" t="str">
            <v>Past</v>
          </cell>
          <cell r="Z9008">
            <v>2.21</v>
          </cell>
          <cell r="AA9008" t="str">
            <v>L</v>
          </cell>
          <cell r="AB9008">
            <v>0</v>
          </cell>
        </row>
        <row r="9009">
          <cell r="G9009" t="str">
            <v>1657_1</v>
          </cell>
          <cell r="H9009" t="str">
            <v>like</v>
          </cell>
          <cell r="I9009" t="str">
            <v>sim</v>
          </cell>
          <cell r="V9009" t="str">
            <v>not neg pair</v>
          </cell>
          <cell r="Y9009" t="str">
            <v>Past</v>
          </cell>
          <cell r="Z9009">
            <v>2.21</v>
          </cell>
          <cell r="AA9009" t="str">
            <v>L</v>
          </cell>
          <cell r="AB9009">
            <v>0</v>
          </cell>
        </row>
        <row r="9010">
          <cell r="G9010" t="str">
            <v>1660_0</v>
          </cell>
          <cell r="H9010" t="str">
            <v>as-as</v>
          </cell>
          <cell r="I9010" t="str">
            <v>sim</v>
          </cell>
          <cell r="V9010" t="str">
            <v>not</v>
          </cell>
          <cell r="Y9010" t="str">
            <v>Pres</v>
          </cell>
          <cell r="Z9010">
            <v>4.79</v>
          </cell>
          <cell r="AA9010">
            <v>0</v>
          </cell>
          <cell r="AB9010">
            <v>0</v>
          </cell>
        </row>
        <row r="9011">
          <cell r="G9011" t="str">
            <v>1660_1</v>
          </cell>
          <cell r="H9011" t="str">
            <v>as-as</v>
          </cell>
          <cell r="I9011" t="str">
            <v>sim</v>
          </cell>
          <cell r="V9011" t="str">
            <v>not</v>
          </cell>
          <cell r="Y9011" t="str">
            <v>Pres</v>
          </cell>
          <cell r="Z9011">
            <v>4.79</v>
          </cell>
          <cell r="AA9011">
            <v>0</v>
          </cell>
          <cell r="AB9011">
            <v>0</v>
          </cell>
        </row>
        <row r="9012">
          <cell r="G9012" t="str">
            <v>1663_0</v>
          </cell>
          <cell r="H9012" t="str">
            <v/>
          </cell>
          <cell r="I9012" t="str">
            <v>met</v>
          </cell>
          <cell r="V9012" t="str">
            <v>0</v>
          </cell>
          <cell r="Y9012" t="str">
            <v>Pres</v>
          </cell>
          <cell r="Z9012">
            <v>4.13</v>
          </cell>
          <cell r="AA9012">
            <v>0</v>
          </cell>
          <cell r="AB9012">
            <v>0</v>
          </cell>
        </row>
        <row r="9013">
          <cell r="G9013" t="str">
            <v>1663_1</v>
          </cell>
          <cell r="H9013" t="str">
            <v/>
          </cell>
          <cell r="I9013" t="str">
            <v>met</v>
          </cell>
          <cell r="V9013" t="str">
            <v>0</v>
          </cell>
          <cell r="Y9013" t="str">
            <v>Pres</v>
          </cell>
          <cell r="Z9013">
            <v>4.13</v>
          </cell>
          <cell r="AA9013">
            <v>0</v>
          </cell>
          <cell r="AB9013">
            <v>0</v>
          </cell>
        </row>
        <row r="9014">
          <cell r="G9014" t="str">
            <v>1665_0</v>
          </cell>
          <cell r="H9014" t="str">
            <v>as-as</v>
          </cell>
          <cell r="I9014" t="str">
            <v>sim</v>
          </cell>
          <cell r="V9014" t="str">
            <v>antonym</v>
          </cell>
          <cell r="Y9014" t="str">
            <v>Pres</v>
          </cell>
          <cell r="Z9014">
            <v>3.36</v>
          </cell>
          <cell r="AA9014">
            <v>0</v>
          </cell>
          <cell r="AB9014">
            <v>0</v>
          </cell>
        </row>
        <row r="9015">
          <cell r="G9015" t="str">
            <v>1665_1</v>
          </cell>
          <cell r="H9015" t="str">
            <v>as-as</v>
          </cell>
          <cell r="I9015" t="str">
            <v>sim</v>
          </cell>
          <cell r="V9015" t="str">
            <v>antonym</v>
          </cell>
          <cell r="Y9015" t="str">
            <v>Pres</v>
          </cell>
          <cell r="Z9015">
            <v>3.36</v>
          </cell>
          <cell r="AA9015">
            <v>0</v>
          </cell>
          <cell r="AB9015">
            <v>0</v>
          </cell>
        </row>
        <row r="9016">
          <cell r="G9016" t="str">
            <v>1668_0</v>
          </cell>
          <cell r="H9016" t="str">
            <v>the-of</v>
          </cell>
          <cell r="I9016" t="str">
            <v>sim</v>
          </cell>
          <cell r="V9016" t="str">
            <v>not neg pair</v>
          </cell>
          <cell r="Y9016" t="str">
            <v>Past</v>
          </cell>
          <cell r="Z9016">
            <v>4.7699999999999996</v>
          </cell>
          <cell r="AA9016">
            <v>0</v>
          </cell>
          <cell r="AB9016">
            <v>0</v>
          </cell>
        </row>
        <row r="9017">
          <cell r="G9017" t="str">
            <v>1668_1</v>
          </cell>
          <cell r="H9017" t="str">
            <v>the-of</v>
          </cell>
          <cell r="I9017" t="str">
            <v>sim</v>
          </cell>
          <cell r="V9017" t="str">
            <v>not neg pair</v>
          </cell>
          <cell r="Y9017" t="str">
            <v>Past</v>
          </cell>
          <cell r="Z9017">
            <v>4.7699999999999996</v>
          </cell>
          <cell r="AA9017">
            <v>0</v>
          </cell>
          <cell r="AB9017">
            <v>0</v>
          </cell>
        </row>
        <row r="9018">
          <cell r="G9018" t="str">
            <v>1670_0</v>
          </cell>
          <cell r="H9018" t="str">
            <v>as-as</v>
          </cell>
          <cell r="I9018" t="str">
            <v>sim</v>
          </cell>
          <cell r="V9018" t="str">
            <v>not neg pair</v>
          </cell>
          <cell r="Y9018" t="str">
            <v>Pres</v>
          </cell>
          <cell r="Z9018">
            <v>3.36</v>
          </cell>
          <cell r="AA9018">
            <v>0</v>
          </cell>
          <cell r="AB9018">
            <v>0</v>
          </cell>
        </row>
        <row r="9019">
          <cell r="G9019" t="str">
            <v>1670_1</v>
          </cell>
          <cell r="H9019" t="str">
            <v>as-as</v>
          </cell>
          <cell r="I9019" t="str">
            <v>sim</v>
          </cell>
          <cell r="V9019" t="str">
            <v>not neg pair</v>
          </cell>
          <cell r="Y9019" t="str">
            <v>Pres</v>
          </cell>
          <cell r="Z9019">
            <v>3.36</v>
          </cell>
          <cell r="AA9019">
            <v>0</v>
          </cell>
          <cell r="AB9019">
            <v>0</v>
          </cell>
        </row>
        <row r="9020">
          <cell r="G9020" t="str">
            <v>1671_0</v>
          </cell>
          <cell r="H9020" t="str">
            <v>as-as</v>
          </cell>
          <cell r="I9020" t="str">
            <v>sim</v>
          </cell>
          <cell r="V9020" t="str">
            <v>not neg pair</v>
          </cell>
          <cell r="Y9020" t="str">
            <v>Pres</v>
          </cell>
          <cell r="Z9020">
            <v>3.83</v>
          </cell>
          <cell r="AA9020">
            <v>0</v>
          </cell>
          <cell r="AB9020">
            <v>0</v>
          </cell>
        </row>
        <row r="9021">
          <cell r="G9021" t="str">
            <v>1671_1</v>
          </cell>
          <cell r="H9021" t="str">
            <v>as-as</v>
          </cell>
          <cell r="I9021" t="str">
            <v>sim</v>
          </cell>
          <cell r="V9021" t="str">
            <v>not neg pair</v>
          </cell>
          <cell r="Y9021" t="str">
            <v>Pres</v>
          </cell>
          <cell r="Z9021">
            <v>3.83</v>
          </cell>
          <cell r="AA9021">
            <v>0</v>
          </cell>
          <cell r="AB9021">
            <v>0</v>
          </cell>
        </row>
        <row r="9022">
          <cell r="G9022" t="str">
            <v>1673_0</v>
          </cell>
          <cell r="H9022" t="str">
            <v>the-of</v>
          </cell>
          <cell r="I9022" t="str">
            <v>sim</v>
          </cell>
          <cell r="V9022" t="str">
            <v>not neg pair</v>
          </cell>
          <cell r="Y9022" t="str">
            <v>Past</v>
          </cell>
          <cell r="Z9022">
            <v>0</v>
          </cell>
          <cell r="AA9022">
            <v>0</v>
          </cell>
          <cell r="AB9022">
            <v>0</v>
          </cell>
        </row>
        <row r="9023">
          <cell r="G9023" t="str">
            <v>1673_1</v>
          </cell>
          <cell r="H9023" t="str">
            <v>the-of</v>
          </cell>
          <cell r="I9023" t="str">
            <v>sim</v>
          </cell>
          <cell r="V9023" t="str">
            <v>not neg pair</v>
          </cell>
          <cell r="Y9023" t="str">
            <v>Past</v>
          </cell>
          <cell r="Z9023">
            <v>0</v>
          </cell>
          <cell r="AA9023">
            <v>0</v>
          </cell>
          <cell r="AB9023">
            <v>0</v>
          </cell>
        </row>
        <row r="9024">
          <cell r="G9024" t="str">
            <v>1678_0</v>
          </cell>
          <cell r="H9024" t="str">
            <v>as-as</v>
          </cell>
          <cell r="I9024" t="str">
            <v>sim</v>
          </cell>
          <cell r="V9024" t="str">
            <v>antonym</v>
          </cell>
          <cell r="Y9024" t="str">
            <v>Pres</v>
          </cell>
          <cell r="Z9024">
            <v>2.0699999999999998</v>
          </cell>
          <cell r="AA9024" t="str">
            <v>L</v>
          </cell>
          <cell r="AB9024">
            <v>0</v>
          </cell>
        </row>
        <row r="9025">
          <cell r="G9025" t="str">
            <v>1678_1</v>
          </cell>
          <cell r="H9025" t="str">
            <v>as-as</v>
          </cell>
          <cell r="I9025" t="str">
            <v>sim</v>
          </cell>
          <cell r="V9025" t="str">
            <v>antonym</v>
          </cell>
          <cell r="Y9025" t="str">
            <v>Pres</v>
          </cell>
          <cell r="Z9025">
            <v>2.0699999999999998</v>
          </cell>
          <cell r="AA9025" t="str">
            <v>L</v>
          </cell>
          <cell r="AB9025">
            <v>0</v>
          </cell>
        </row>
        <row r="9026">
          <cell r="G9026" t="str">
            <v>1679_0</v>
          </cell>
          <cell r="H9026" t="str">
            <v>as-as</v>
          </cell>
          <cell r="I9026" t="str">
            <v>sim</v>
          </cell>
          <cell r="V9026" t="str">
            <v>antonym</v>
          </cell>
          <cell r="Y9026" t="str">
            <v>Past</v>
          </cell>
          <cell r="Z9026">
            <v>4.8600000000000003</v>
          </cell>
          <cell r="AA9026">
            <v>0</v>
          </cell>
          <cell r="AB9026">
            <v>0</v>
          </cell>
        </row>
        <row r="9027">
          <cell r="G9027" t="str">
            <v>1679_1</v>
          </cell>
          <cell r="H9027" t="str">
            <v>as-as</v>
          </cell>
          <cell r="I9027" t="str">
            <v>sim</v>
          </cell>
          <cell r="V9027" t="str">
            <v>antonym</v>
          </cell>
          <cell r="Y9027" t="str">
            <v>Past</v>
          </cell>
          <cell r="Z9027">
            <v>4.8600000000000003</v>
          </cell>
          <cell r="AA9027">
            <v>0</v>
          </cell>
          <cell r="AB9027">
            <v>0</v>
          </cell>
        </row>
        <row r="9028">
          <cell r="G9028" t="str">
            <v>1684_0</v>
          </cell>
          <cell r="H9028" t="str">
            <v>as-as</v>
          </cell>
          <cell r="I9028" t="str">
            <v>sim</v>
          </cell>
          <cell r="V9028" t="str">
            <v>not</v>
          </cell>
          <cell r="Y9028" t="str">
            <v>Pres</v>
          </cell>
          <cell r="Z9028">
            <v>2.2599999999999998</v>
          </cell>
          <cell r="AA9028" t="str">
            <v>L</v>
          </cell>
          <cell r="AB9028">
            <v>0</v>
          </cell>
        </row>
        <row r="9029">
          <cell r="G9029" t="str">
            <v>1684_1</v>
          </cell>
          <cell r="H9029" t="str">
            <v>as-as</v>
          </cell>
          <cell r="I9029" t="str">
            <v>sim</v>
          </cell>
          <cell r="V9029" t="str">
            <v>not</v>
          </cell>
          <cell r="Y9029" t="str">
            <v>Pres</v>
          </cell>
          <cell r="Z9029">
            <v>2.2599999999999998</v>
          </cell>
          <cell r="AA9029" t="str">
            <v>L</v>
          </cell>
          <cell r="AB9029">
            <v>0</v>
          </cell>
        </row>
        <row r="9030">
          <cell r="G9030" t="str">
            <v>1685_0</v>
          </cell>
          <cell r="H9030" t="str">
            <v/>
          </cell>
          <cell r="I9030" t="str">
            <v>met</v>
          </cell>
          <cell r="V9030" t="str">
            <v>0</v>
          </cell>
          <cell r="Y9030" t="str">
            <v>Pres</v>
          </cell>
          <cell r="Z9030">
            <v>2.89</v>
          </cell>
          <cell r="AA9030">
            <v>0</v>
          </cell>
          <cell r="AB9030">
            <v>0</v>
          </cell>
        </row>
        <row r="9031">
          <cell r="G9031" t="str">
            <v>1685_1</v>
          </cell>
          <cell r="H9031" t="str">
            <v/>
          </cell>
          <cell r="I9031" t="str">
            <v>met</v>
          </cell>
          <cell r="V9031" t="str">
            <v>0</v>
          </cell>
          <cell r="Y9031" t="str">
            <v>Pres</v>
          </cell>
          <cell r="Z9031">
            <v>2.89</v>
          </cell>
          <cell r="AA9031">
            <v>0</v>
          </cell>
          <cell r="AB9031">
            <v>0</v>
          </cell>
        </row>
        <row r="9032">
          <cell r="G9032" t="str">
            <v>1686_0</v>
          </cell>
          <cell r="H9032" t="str">
            <v>the-of</v>
          </cell>
          <cell r="I9032" t="str">
            <v>sim</v>
          </cell>
          <cell r="V9032" t="str">
            <v>not</v>
          </cell>
          <cell r="Y9032" t="str">
            <v>Pres</v>
          </cell>
          <cell r="Z9032">
            <v>3.93</v>
          </cell>
          <cell r="AA9032">
            <v>0</v>
          </cell>
          <cell r="AB9032">
            <v>0</v>
          </cell>
        </row>
        <row r="9033">
          <cell r="G9033" t="str">
            <v>1686_1</v>
          </cell>
          <cell r="H9033" t="str">
            <v>the-of</v>
          </cell>
          <cell r="I9033" t="str">
            <v>sim</v>
          </cell>
          <cell r="V9033" t="str">
            <v>not</v>
          </cell>
          <cell r="Y9033" t="str">
            <v>Pres</v>
          </cell>
          <cell r="Z9033">
            <v>3.93</v>
          </cell>
          <cell r="AA9033">
            <v>0</v>
          </cell>
          <cell r="AB9033">
            <v>0</v>
          </cell>
        </row>
        <row r="9034">
          <cell r="G9034" t="str">
            <v>1689_0</v>
          </cell>
          <cell r="H9034" t="str">
            <v>the-of</v>
          </cell>
          <cell r="I9034" t="str">
            <v>sim</v>
          </cell>
          <cell r="V9034" t="str">
            <v>not</v>
          </cell>
          <cell r="Y9034" t="str">
            <v>Pres</v>
          </cell>
          <cell r="Z9034">
            <v>2.79</v>
          </cell>
          <cell r="AA9034" t="str">
            <v>L</v>
          </cell>
          <cell r="AB9034">
            <v>0</v>
          </cell>
        </row>
        <row r="9035">
          <cell r="G9035" t="str">
            <v>1689_1</v>
          </cell>
          <cell r="H9035" t="str">
            <v>the-of</v>
          </cell>
          <cell r="I9035" t="str">
            <v>sim</v>
          </cell>
          <cell r="V9035" t="str">
            <v>not</v>
          </cell>
          <cell r="Y9035" t="str">
            <v>Pres</v>
          </cell>
          <cell r="Z9035">
            <v>2.79</v>
          </cell>
          <cell r="AA9035" t="str">
            <v>L</v>
          </cell>
          <cell r="AB9035">
            <v>0</v>
          </cell>
        </row>
        <row r="9036">
          <cell r="G9036" t="str">
            <v>1692_0</v>
          </cell>
          <cell r="H9036" t="str">
            <v>as-as</v>
          </cell>
          <cell r="I9036" t="str">
            <v>sim</v>
          </cell>
          <cell r="V9036" t="str">
            <v>not neg pair</v>
          </cell>
          <cell r="Y9036" t="str">
            <v>Past</v>
          </cell>
          <cell r="Z9036">
            <v>3.93</v>
          </cell>
          <cell r="AA9036">
            <v>0</v>
          </cell>
          <cell r="AB9036">
            <v>0</v>
          </cell>
        </row>
        <row r="9037">
          <cell r="G9037" t="str">
            <v>1692_1</v>
          </cell>
          <cell r="H9037" t="str">
            <v>as-as</v>
          </cell>
          <cell r="I9037" t="str">
            <v>sim</v>
          </cell>
          <cell r="V9037" t="str">
            <v>not neg pair</v>
          </cell>
          <cell r="Y9037" t="str">
            <v>Past</v>
          </cell>
          <cell r="Z9037">
            <v>3.93</v>
          </cell>
          <cell r="AA9037">
            <v>0</v>
          </cell>
          <cell r="AB9037">
            <v>0</v>
          </cell>
        </row>
        <row r="9038">
          <cell r="G9038" t="str">
            <v>1694_0</v>
          </cell>
          <cell r="H9038" t="str">
            <v/>
          </cell>
          <cell r="I9038" t="str">
            <v>met</v>
          </cell>
          <cell r="V9038" t="str">
            <v>0</v>
          </cell>
          <cell r="Y9038" t="str">
            <v>Pres</v>
          </cell>
          <cell r="Z9038">
            <v>3.64</v>
          </cell>
          <cell r="AA9038">
            <v>0</v>
          </cell>
          <cell r="AB9038">
            <v>0</v>
          </cell>
        </row>
        <row r="9039">
          <cell r="G9039" t="str">
            <v>1694_1</v>
          </cell>
          <cell r="H9039" t="str">
            <v/>
          </cell>
          <cell r="I9039" t="str">
            <v>met</v>
          </cell>
          <cell r="V9039" t="str">
            <v>0</v>
          </cell>
          <cell r="Y9039" t="str">
            <v>Pres</v>
          </cell>
          <cell r="Z9039">
            <v>3.64</v>
          </cell>
          <cell r="AA9039">
            <v>0</v>
          </cell>
          <cell r="AB9039">
            <v>0</v>
          </cell>
        </row>
        <row r="9040">
          <cell r="G9040" t="str">
            <v>1695_0</v>
          </cell>
          <cell r="H9040" t="str">
            <v/>
          </cell>
          <cell r="I9040" t="str">
            <v>met</v>
          </cell>
          <cell r="V9040" t="str">
            <v>0</v>
          </cell>
          <cell r="Y9040" t="str">
            <v>Pres</v>
          </cell>
          <cell r="Z9040">
            <v>2.9</v>
          </cell>
          <cell r="AA9040">
            <v>0</v>
          </cell>
          <cell r="AB9040">
            <v>0</v>
          </cell>
        </row>
        <row r="9041">
          <cell r="G9041" t="str">
            <v>1695_1</v>
          </cell>
          <cell r="H9041" t="str">
            <v/>
          </cell>
          <cell r="I9041" t="str">
            <v>met</v>
          </cell>
          <cell r="V9041" t="str">
            <v>0</v>
          </cell>
          <cell r="Y9041" t="str">
            <v>Pres</v>
          </cell>
          <cell r="Z9041">
            <v>2.9</v>
          </cell>
          <cell r="AA9041">
            <v>0</v>
          </cell>
          <cell r="AB9041">
            <v>0</v>
          </cell>
        </row>
        <row r="9042">
          <cell r="G9042" t="str">
            <v>1700_0</v>
          </cell>
          <cell r="H9042" t="str">
            <v>as-as</v>
          </cell>
          <cell r="I9042" t="str">
            <v>sim</v>
          </cell>
          <cell r="V9042" t="str">
            <v>antonym</v>
          </cell>
          <cell r="Y9042" t="str">
            <v>Past</v>
          </cell>
          <cell r="Z9042">
            <v>4.8499999999999996</v>
          </cell>
          <cell r="AA9042">
            <v>0</v>
          </cell>
          <cell r="AB9042">
            <v>0</v>
          </cell>
        </row>
        <row r="9043">
          <cell r="G9043" t="str">
            <v>1700_1</v>
          </cell>
          <cell r="H9043" t="str">
            <v>as-as</v>
          </cell>
          <cell r="I9043" t="str">
            <v>sim</v>
          </cell>
          <cell r="V9043" t="str">
            <v>antonym</v>
          </cell>
          <cell r="Y9043" t="str">
            <v>Past</v>
          </cell>
          <cell r="Z9043">
            <v>4.8499999999999996</v>
          </cell>
          <cell r="AA9043">
            <v>0</v>
          </cell>
          <cell r="AB9043">
            <v>0</v>
          </cell>
        </row>
        <row r="9044">
          <cell r="G9044" t="str">
            <v>1704_0</v>
          </cell>
          <cell r="H9044" t="str">
            <v/>
          </cell>
          <cell r="I9044" t="str">
            <v>met</v>
          </cell>
          <cell r="V9044" t="str">
            <v>0</v>
          </cell>
          <cell r="Y9044" t="str">
            <v>Past</v>
          </cell>
          <cell r="Z9044">
            <v>4.8499999999999996</v>
          </cell>
          <cell r="AA9044">
            <v>0</v>
          </cell>
          <cell r="AB9044">
            <v>0</v>
          </cell>
        </row>
        <row r="9045">
          <cell r="G9045" t="str">
            <v>1704_1</v>
          </cell>
          <cell r="H9045" t="str">
            <v/>
          </cell>
          <cell r="I9045" t="str">
            <v>met</v>
          </cell>
          <cell r="V9045" t="str">
            <v>0</v>
          </cell>
          <cell r="Y9045" t="str">
            <v>Past</v>
          </cell>
          <cell r="Z9045">
            <v>4.8499999999999996</v>
          </cell>
          <cell r="AA9045">
            <v>0</v>
          </cell>
          <cell r="AB9045">
            <v>0</v>
          </cell>
        </row>
        <row r="9046">
          <cell r="G9046" t="str">
            <v>1706_0</v>
          </cell>
          <cell r="H9046" t="str">
            <v>as-as</v>
          </cell>
          <cell r="I9046" t="str">
            <v>sim</v>
          </cell>
          <cell r="V9046" t="str">
            <v>antonym</v>
          </cell>
          <cell r="Y9046" t="str">
            <v>Pres</v>
          </cell>
          <cell r="Z9046">
            <v>5</v>
          </cell>
          <cell r="AA9046" t="str">
            <v>H</v>
          </cell>
          <cell r="AB9046">
            <v>0</v>
          </cell>
        </row>
        <row r="9047">
          <cell r="G9047" t="str">
            <v>1706_1</v>
          </cell>
          <cell r="H9047" t="str">
            <v>as-as</v>
          </cell>
          <cell r="I9047" t="str">
            <v>sim</v>
          </cell>
          <cell r="V9047" t="str">
            <v>antonym</v>
          </cell>
          <cell r="Y9047" t="str">
            <v>Pres</v>
          </cell>
          <cell r="Z9047">
            <v>5</v>
          </cell>
          <cell r="AA9047" t="str">
            <v>H</v>
          </cell>
          <cell r="AB9047">
            <v>0</v>
          </cell>
        </row>
        <row r="9048">
          <cell r="G9048" t="str">
            <v>1714_0</v>
          </cell>
          <cell r="H9048" t="str">
            <v>as-as</v>
          </cell>
          <cell r="I9048" t="str">
            <v>sim</v>
          </cell>
          <cell r="V9048" t="str">
            <v>antonym</v>
          </cell>
          <cell r="Y9048" t="str">
            <v>Pres</v>
          </cell>
          <cell r="Z9048">
            <v>2.81</v>
          </cell>
          <cell r="AA9048">
            <v>0</v>
          </cell>
          <cell r="AB9048">
            <v>0</v>
          </cell>
        </row>
        <row r="9049">
          <cell r="G9049" t="str">
            <v>1714_1</v>
          </cell>
          <cell r="H9049" t="str">
            <v>as-as</v>
          </cell>
          <cell r="I9049" t="str">
            <v>sim</v>
          </cell>
          <cell r="V9049" t="str">
            <v>antonym</v>
          </cell>
          <cell r="Y9049" t="str">
            <v>Pres</v>
          </cell>
          <cell r="Z9049">
            <v>2.81</v>
          </cell>
          <cell r="AA9049">
            <v>0</v>
          </cell>
          <cell r="AB9049">
            <v>0</v>
          </cell>
        </row>
        <row r="9050">
          <cell r="G9050" t="str">
            <v>1716_0</v>
          </cell>
          <cell r="H9050" t="str">
            <v>like</v>
          </cell>
          <cell r="I9050" t="str">
            <v>sim</v>
          </cell>
          <cell r="V9050" t="str">
            <v>not</v>
          </cell>
          <cell r="Y9050">
            <v>0</v>
          </cell>
          <cell r="Z9050">
            <v>3.93</v>
          </cell>
          <cell r="AA9050">
            <v>0</v>
          </cell>
          <cell r="AB9050">
            <v>0</v>
          </cell>
        </row>
        <row r="9051">
          <cell r="G9051" t="str">
            <v>1716_1</v>
          </cell>
          <cell r="H9051" t="str">
            <v>like</v>
          </cell>
          <cell r="I9051" t="str">
            <v>sim</v>
          </cell>
          <cell r="V9051" t="str">
            <v>not</v>
          </cell>
          <cell r="Y9051">
            <v>0</v>
          </cell>
          <cell r="Z9051">
            <v>3.93</v>
          </cell>
          <cell r="AA9051">
            <v>0</v>
          </cell>
          <cell r="AB9051">
            <v>0</v>
          </cell>
        </row>
        <row r="9052">
          <cell r="G9052" t="str">
            <v>1726_0</v>
          </cell>
          <cell r="H9052" t="str">
            <v>the-of</v>
          </cell>
          <cell r="I9052" t="str">
            <v>sim</v>
          </cell>
          <cell r="V9052" t="str">
            <v>not neg pair</v>
          </cell>
          <cell r="Y9052" t="str">
            <v>Pres</v>
          </cell>
          <cell r="Z9052">
            <v>4.34</v>
          </cell>
          <cell r="AA9052">
            <v>0</v>
          </cell>
          <cell r="AB9052">
            <v>0</v>
          </cell>
        </row>
        <row r="9053">
          <cell r="G9053" t="str">
            <v>1726_1</v>
          </cell>
          <cell r="H9053" t="str">
            <v>the-of</v>
          </cell>
          <cell r="I9053" t="str">
            <v>sim</v>
          </cell>
          <cell r="V9053" t="str">
            <v>not neg pair</v>
          </cell>
          <cell r="Y9053" t="str">
            <v>Pres</v>
          </cell>
          <cell r="Z9053">
            <v>4.34</v>
          </cell>
          <cell r="AA9053">
            <v>0</v>
          </cell>
          <cell r="AB9053">
            <v>0</v>
          </cell>
        </row>
        <row r="9054">
          <cell r="G9054" t="str">
            <v>1728_0</v>
          </cell>
          <cell r="H9054" t="str">
            <v>the-of</v>
          </cell>
          <cell r="I9054" t="str">
            <v>sim</v>
          </cell>
          <cell r="V9054" t="str">
            <v>not neg pair</v>
          </cell>
          <cell r="Y9054" t="str">
            <v>Pres</v>
          </cell>
          <cell r="Z9054">
            <v>4.82</v>
          </cell>
          <cell r="AA9054">
            <v>0</v>
          </cell>
          <cell r="AB9054">
            <v>0</v>
          </cell>
        </row>
        <row r="9055">
          <cell r="G9055" t="str">
            <v>1728_1</v>
          </cell>
          <cell r="H9055" t="str">
            <v>the-of</v>
          </cell>
          <cell r="I9055" t="str">
            <v>sim</v>
          </cell>
          <cell r="V9055" t="str">
            <v>not neg pair</v>
          </cell>
          <cell r="Y9055" t="str">
            <v>Pres</v>
          </cell>
          <cell r="Z9055">
            <v>4.82</v>
          </cell>
          <cell r="AA9055">
            <v>0</v>
          </cell>
          <cell r="AB9055">
            <v>0</v>
          </cell>
        </row>
        <row r="9056">
          <cell r="G9056" t="str">
            <v>1732_0</v>
          </cell>
          <cell r="H9056" t="str">
            <v>as-as</v>
          </cell>
          <cell r="I9056" t="str">
            <v>sim</v>
          </cell>
          <cell r="V9056" t="str">
            <v>antonym</v>
          </cell>
          <cell r="Y9056" t="str">
            <v>Past</v>
          </cell>
          <cell r="Z9056">
            <v>3.79</v>
          </cell>
          <cell r="AA9056">
            <v>0</v>
          </cell>
          <cell r="AB9056">
            <v>0</v>
          </cell>
        </row>
        <row r="9057">
          <cell r="G9057" t="str">
            <v>1732_1</v>
          </cell>
          <cell r="H9057" t="str">
            <v>as-as</v>
          </cell>
          <cell r="I9057" t="str">
            <v>sim</v>
          </cell>
          <cell r="V9057" t="str">
            <v>antonym</v>
          </cell>
          <cell r="Y9057" t="str">
            <v>Past</v>
          </cell>
          <cell r="Z9057">
            <v>3.79</v>
          </cell>
          <cell r="AA9057">
            <v>0</v>
          </cell>
          <cell r="AB9057">
            <v>0</v>
          </cell>
        </row>
        <row r="9058">
          <cell r="G9058" t="str">
            <v>1748_0</v>
          </cell>
          <cell r="H9058" t="str">
            <v>as-as</v>
          </cell>
          <cell r="I9058" t="str">
            <v>sim</v>
          </cell>
          <cell r="V9058" t="str">
            <v>not neg pair</v>
          </cell>
          <cell r="Y9058" t="str">
            <v>Pres</v>
          </cell>
          <cell r="Z9058">
            <v>3.27</v>
          </cell>
          <cell r="AA9058">
            <v>0</v>
          </cell>
          <cell r="AB9058">
            <v>0</v>
          </cell>
        </row>
        <row r="9059">
          <cell r="G9059" t="str">
            <v>1748_1</v>
          </cell>
          <cell r="H9059" t="str">
            <v>like</v>
          </cell>
          <cell r="I9059" t="str">
            <v>sim</v>
          </cell>
          <cell r="V9059" t="str">
            <v>not neg pair</v>
          </cell>
          <cell r="Y9059" t="str">
            <v>Pres</v>
          </cell>
          <cell r="Z9059">
            <v>3.27</v>
          </cell>
          <cell r="AA9059">
            <v>0</v>
          </cell>
          <cell r="AB9059">
            <v>0</v>
          </cell>
        </row>
        <row r="9060">
          <cell r="G9060" t="str">
            <v>1753_0</v>
          </cell>
          <cell r="H9060" t="str">
            <v>as-as</v>
          </cell>
          <cell r="I9060" t="str">
            <v>sim</v>
          </cell>
          <cell r="V9060" t="str">
            <v>antonym</v>
          </cell>
          <cell r="Y9060" t="str">
            <v>Past</v>
          </cell>
          <cell r="Z9060">
            <v>3.63</v>
          </cell>
          <cell r="AA9060">
            <v>0</v>
          </cell>
          <cell r="AB9060">
            <v>0</v>
          </cell>
        </row>
        <row r="9061">
          <cell r="G9061" t="str">
            <v>1753_1</v>
          </cell>
          <cell r="H9061" t="str">
            <v>as-as</v>
          </cell>
          <cell r="I9061" t="str">
            <v>sim</v>
          </cell>
          <cell r="V9061" t="str">
            <v>antonym</v>
          </cell>
          <cell r="Y9061" t="str">
            <v>Past</v>
          </cell>
          <cell r="Z9061">
            <v>3.63</v>
          </cell>
          <cell r="AA9061">
            <v>0</v>
          </cell>
          <cell r="AB9061">
            <v>0</v>
          </cell>
        </row>
        <row r="9062">
          <cell r="G9062" t="str">
            <v>1755_0</v>
          </cell>
          <cell r="H9062" t="str">
            <v>the-of</v>
          </cell>
          <cell r="I9062" t="str">
            <v>sim</v>
          </cell>
          <cell r="V9062" t="str">
            <v>not neg pair</v>
          </cell>
          <cell r="Y9062" t="str">
            <v>Pres</v>
          </cell>
          <cell r="Z9062">
            <v>2.85</v>
          </cell>
          <cell r="AA9062">
            <v>0</v>
          </cell>
          <cell r="AB9062">
            <v>0</v>
          </cell>
        </row>
        <row r="9063">
          <cell r="G9063" t="str">
            <v>1755_1</v>
          </cell>
          <cell r="H9063" t="str">
            <v>the-of</v>
          </cell>
          <cell r="I9063" t="str">
            <v>sim</v>
          </cell>
          <cell r="V9063" t="str">
            <v>not neg pair</v>
          </cell>
          <cell r="Y9063" t="str">
            <v>Pres</v>
          </cell>
          <cell r="Z9063">
            <v>2.85</v>
          </cell>
          <cell r="AA9063">
            <v>0</v>
          </cell>
          <cell r="AB9063">
            <v>0</v>
          </cell>
        </row>
        <row r="9064">
          <cell r="G9064" t="str">
            <v>1758_0</v>
          </cell>
          <cell r="H9064" t="str">
            <v>the-of</v>
          </cell>
          <cell r="I9064" t="str">
            <v>sim</v>
          </cell>
          <cell r="V9064" t="str">
            <v>not</v>
          </cell>
          <cell r="Y9064" t="str">
            <v>Pres</v>
          </cell>
          <cell r="Z9064">
            <v>4.8499999999999996</v>
          </cell>
          <cell r="AA9064">
            <v>0</v>
          </cell>
          <cell r="AB9064">
            <v>0</v>
          </cell>
        </row>
        <row r="9065">
          <cell r="G9065" t="str">
            <v>1758_1</v>
          </cell>
          <cell r="H9065" t="str">
            <v>the-of</v>
          </cell>
          <cell r="I9065" t="str">
            <v>sim</v>
          </cell>
          <cell r="V9065" t="str">
            <v>not</v>
          </cell>
          <cell r="Y9065" t="str">
            <v>Pres</v>
          </cell>
          <cell r="Z9065">
            <v>4.8499999999999996</v>
          </cell>
          <cell r="AA9065">
            <v>0</v>
          </cell>
          <cell r="AB9065">
            <v>0</v>
          </cell>
        </row>
        <row r="9066">
          <cell r="G9066" t="str">
            <v>1763_0</v>
          </cell>
          <cell r="H9066" t="str">
            <v>as-as</v>
          </cell>
          <cell r="I9066" t="str">
            <v>sim</v>
          </cell>
          <cell r="V9066" t="str">
            <v>not neg pair</v>
          </cell>
          <cell r="Y9066" t="str">
            <v>Past</v>
          </cell>
          <cell r="Z9066">
            <v>3.04</v>
          </cell>
          <cell r="AA9066">
            <v>0</v>
          </cell>
          <cell r="AB9066">
            <v>0</v>
          </cell>
        </row>
        <row r="9067">
          <cell r="G9067" t="str">
            <v>1763_1</v>
          </cell>
          <cell r="H9067" t="str">
            <v>as-as</v>
          </cell>
          <cell r="I9067" t="str">
            <v>sim</v>
          </cell>
          <cell r="V9067" t="str">
            <v>not neg pair</v>
          </cell>
          <cell r="Y9067" t="str">
            <v>Past</v>
          </cell>
          <cell r="Z9067">
            <v>3.04</v>
          </cell>
          <cell r="AA9067">
            <v>0</v>
          </cell>
          <cell r="AB9067">
            <v>0</v>
          </cell>
        </row>
        <row r="9068">
          <cell r="G9068" t="str">
            <v>1768_0</v>
          </cell>
          <cell r="H9068" t="str">
            <v/>
          </cell>
          <cell r="I9068" t="str">
            <v>met</v>
          </cell>
          <cell r="V9068" t="str">
            <v>0</v>
          </cell>
          <cell r="Y9068" t="str">
            <v>Pres</v>
          </cell>
          <cell r="Z9068">
            <v>3.48</v>
          </cell>
          <cell r="AA9068">
            <v>0</v>
          </cell>
          <cell r="AB9068">
            <v>0</v>
          </cell>
        </row>
        <row r="9069">
          <cell r="G9069" t="str">
            <v>1768_1</v>
          </cell>
          <cell r="H9069" t="str">
            <v/>
          </cell>
          <cell r="I9069" t="str">
            <v>met</v>
          </cell>
          <cell r="V9069" t="str">
            <v>0</v>
          </cell>
          <cell r="Y9069" t="str">
            <v>Pres</v>
          </cell>
          <cell r="Z9069">
            <v>3.48</v>
          </cell>
          <cell r="AA9069">
            <v>0</v>
          </cell>
          <cell r="AB9069">
            <v>0</v>
          </cell>
        </row>
        <row r="9070">
          <cell r="G9070" t="str">
            <v>1770_0</v>
          </cell>
          <cell r="H9070" t="str">
            <v/>
          </cell>
          <cell r="I9070" t="str">
            <v>met</v>
          </cell>
          <cell r="V9070" t="str">
            <v>0</v>
          </cell>
          <cell r="Y9070" t="str">
            <v>Pres</v>
          </cell>
          <cell r="Z9070">
            <v>2.84</v>
          </cell>
          <cell r="AA9070">
            <v>0</v>
          </cell>
          <cell r="AB9070">
            <v>0</v>
          </cell>
        </row>
        <row r="9071">
          <cell r="G9071" t="str">
            <v>1770_1</v>
          </cell>
          <cell r="H9071" t="str">
            <v/>
          </cell>
          <cell r="I9071" t="str">
            <v>met</v>
          </cell>
          <cell r="V9071" t="str">
            <v>0</v>
          </cell>
          <cell r="Y9071" t="str">
            <v>Pres</v>
          </cell>
          <cell r="Z9071">
            <v>2.84</v>
          </cell>
          <cell r="AA9071">
            <v>0</v>
          </cell>
          <cell r="AB9071">
            <v>0</v>
          </cell>
        </row>
        <row r="9072">
          <cell r="G9072" t="str">
            <v>1771_0</v>
          </cell>
          <cell r="H9072" t="str">
            <v/>
          </cell>
          <cell r="I9072" t="str">
            <v>met</v>
          </cell>
          <cell r="V9072" t="str">
            <v>0</v>
          </cell>
          <cell r="Y9072" t="str">
            <v>Pres</v>
          </cell>
          <cell r="Z9072">
            <v>4.4000000000000004</v>
          </cell>
          <cell r="AA9072">
            <v>0</v>
          </cell>
          <cell r="AB9072">
            <v>0</v>
          </cell>
        </row>
        <row r="9073">
          <cell r="G9073" t="str">
            <v>1771_1</v>
          </cell>
          <cell r="H9073" t="str">
            <v/>
          </cell>
          <cell r="I9073" t="str">
            <v>met</v>
          </cell>
          <cell r="V9073" t="str">
            <v>0</v>
          </cell>
          <cell r="Y9073" t="str">
            <v>Pres</v>
          </cell>
          <cell r="Z9073">
            <v>4.4000000000000004</v>
          </cell>
          <cell r="AA9073">
            <v>0</v>
          </cell>
          <cell r="AB9073">
            <v>0</v>
          </cell>
        </row>
        <row r="9074">
          <cell r="G9074" t="str">
            <v>1775_0</v>
          </cell>
          <cell r="H9074" t="str">
            <v>the-of</v>
          </cell>
          <cell r="I9074" t="str">
            <v>sim</v>
          </cell>
          <cell r="V9074" t="str">
            <v>not neg pair</v>
          </cell>
          <cell r="Y9074" t="str">
            <v>Past</v>
          </cell>
          <cell r="Z9074">
            <v>4.54</v>
          </cell>
          <cell r="AA9074">
            <v>0</v>
          </cell>
          <cell r="AB9074">
            <v>0</v>
          </cell>
        </row>
        <row r="9075">
          <cell r="G9075" t="str">
            <v>1775_1</v>
          </cell>
          <cell r="H9075" t="str">
            <v>the-of</v>
          </cell>
          <cell r="I9075" t="str">
            <v>sim</v>
          </cell>
          <cell r="V9075" t="str">
            <v>not neg pair</v>
          </cell>
          <cell r="Y9075" t="str">
            <v>Past</v>
          </cell>
          <cell r="Z9075">
            <v>4.54</v>
          </cell>
          <cell r="AA9075">
            <v>0</v>
          </cell>
          <cell r="AB9075">
            <v>0</v>
          </cell>
        </row>
        <row r="9076">
          <cell r="G9076" t="str">
            <v>1779_0</v>
          </cell>
          <cell r="H9076" t="str">
            <v/>
          </cell>
          <cell r="I9076" t="str">
            <v>met</v>
          </cell>
          <cell r="V9076" t="str">
            <v>0</v>
          </cell>
          <cell r="Y9076" t="str">
            <v>Pres</v>
          </cell>
          <cell r="Z9076">
            <v>4.6900000000000004</v>
          </cell>
          <cell r="AA9076">
            <v>0</v>
          </cell>
          <cell r="AB9076">
            <v>0</v>
          </cell>
        </row>
        <row r="9077">
          <cell r="G9077" t="str">
            <v>1779_1</v>
          </cell>
          <cell r="H9077" t="str">
            <v/>
          </cell>
          <cell r="I9077" t="str">
            <v>met</v>
          </cell>
          <cell r="V9077" t="str">
            <v>0</v>
          </cell>
          <cell r="Y9077" t="str">
            <v>Pres</v>
          </cell>
          <cell r="Z9077">
            <v>4.6900000000000004</v>
          </cell>
          <cell r="AA9077">
            <v>0</v>
          </cell>
          <cell r="AB9077">
            <v>0</v>
          </cell>
        </row>
        <row r="9078">
          <cell r="G9078" t="str">
            <v>1781_0</v>
          </cell>
          <cell r="H9078" t="str">
            <v/>
          </cell>
          <cell r="I9078" t="str">
            <v>met</v>
          </cell>
          <cell r="V9078" t="str">
            <v>0</v>
          </cell>
          <cell r="Y9078" t="str">
            <v>Pres</v>
          </cell>
          <cell r="Z9078">
            <v>4.55</v>
          </cell>
          <cell r="AA9078">
            <v>0</v>
          </cell>
          <cell r="AB9078">
            <v>0</v>
          </cell>
        </row>
        <row r="9079">
          <cell r="G9079" t="str">
            <v>1781_1</v>
          </cell>
          <cell r="H9079" t="str">
            <v>the-of</v>
          </cell>
          <cell r="I9079" t="str">
            <v>sim</v>
          </cell>
          <cell r="V9079" t="str">
            <v>0</v>
          </cell>
          <cell r="Y9079" t="str">
            <v>Pres</v>
          </cell>
          <cell r="Z9079">
            <v>4.55</v>
          </cell>
          <cell r="AA9079">
            <v>0</v>
          </cell>
          <cell r="AB9079">
            <v>0</v>
          </cell>
        </row>
        <row r="9080">
          <cell r="G9080" t="str">
            <v>1782_0</v>
          </cell>
          <cell r="H9080" t="str">
            <v>the-of</v>
          </cell>
          <cell r="I9080" t="str">
            <v>sim</v>
          </cell>
          <cell r="V9080" t="str">
            <v>0</v>
          </cell>
          <cell r="Y9080" t="str">
            <v>Pres</v>
          </cell>
          <cell r="Z9080">
            <v>3.93</v>
          </cell>
          <cell r="AA9080">
            <v>0</v>
          </cell>
          <cell r="AB9080">
            <v>0</v>
          </cell>
        </row>
        <row r="9081">
          <cell r="G9081" t="str">
            <v>1782_1</v>
          </cell>
          <cell r="H9081" t="str">
            <v/>
          </cell>
          <cell r="I9081" t="str">
            <v>met</v>
          </cell>
          <cell r="V9081" t="str">
            <v>0</v>
          </cell>
          <cell r="Y9081" t="str">
            <v>Pres</v>
          </cell>
          <cell r="Z9081">
            <v>3.93</v>
          </cell>
          <cell r="AA9081">
            <v>0</v>
          </cell>
          <cell r="AB9081">
            <v>0</v>
          </cell>
        </row>
        <row r="9082">
          <cell r="G9082" t="str">
            <v>1783_0</v>
          </cell>
          <cell r="H9082" t="str">
            <v>the-of</v>
          </cell>
          <cell r="I9082" t="str">
            <v>sim</v>
          </cell>
          <cell r="V9082" t="str">
            <v>0</v>
          </cell>
          <cell r="Y9082" t="str">
            <v>Pres</v>
          </cell>
          <cell r="Z9082">
            <v>4.21</v>
          </cell>
          <cell r="AA9082">
            <v>0</v>
          </cell>
          <cell r="AB9082">
            <v>0</v>
          </cell>
        </row>
        <row r="9083">
          <cell r="G9083" t="str">
            <v>1783_1</v>
          </cell>
          <cell r="H9083" t="str">
            <v/>
          </cell>
          <cell r="I9083" t="str">
            <v>met</v>
          </cell>
          <cell r="V9083" t="str">
            <v>0</v>
          </cell>
          <cell r="Y9083" t="str">
            <v>Pres</v>
          </cell>
          <cell r="Z9083">
            <v>4.21</v>
          </cell>
          <cell r="AA9083">
            <v>0</v>
          </cell>
          <cell r="AB9083">
            <v>0</v>
          </cell>
        </row>
        <row r="9084">
          <cell r="G9084" t="str">
            <v>1784_0</v>
          </cell>
          <cell r="H9084" t="str">
            <v>the-of</v>
          </cell>
          <cell r="I9084" t="str">
            <v>sim</v>
          </cell>
          <cell r="V9084" t="str">
            <v>not neg pair</v>
          </cell>
          <cell r="Y9084" t="str">
            <v>Pres</v>
          </cell>
          <cell r="Z9084">
            <v>4.3099999999999996</v>
          </cell>
          <cell r="AA9084">
            <v>0</v>
          </cell>
          <cell r="AB9084">
            <v>0</v>
          </cell>
        </row>
        <row r="9085">
          <cell r="G9085" t="str">
            <v>1784_1</v>
          </cell>
          <cell r="H9085" t="str">
            <v>the-of</v>
          </cell>
          <cell r="I9085" t="str">
            <v>sim</v>
          </cell>
          <cell r="V9085" t="str">
            <v>not neg pair</v>
          </cell>
          <cell r="Y9085" t="str">
            <v>Pres</v>
          </cell>
          <cell r="Z9085">
            <v>4.3099999999999996</v>
          </cell>
          <cell r="AA9085">
            <v>0</v>
          </cell>
          <cell r="AB9085">
            <v>0</v>
          </cell>
        </row>
        <row r="9086">
          <cell r="G9086" t="str">
            <v>1788_0</v>
          </cell>
          <cell r="H9086" t="str">
            <v/>
          </cell>
          <cell r="I9086" t="str">
            <v>met</v>
          </cell>
          <cell r="V9086" t="str">
            <v>0</v>
          </cell>
          <cell r="Y9086">
            <v>0</v>
          </cell>
          <cell r="Z9086">
            <v>4.93</v>
          </cell>
          <cell r="AA9086" t="str">
            <v>H</v>
          </cell>
          <cell r="AB9086">
            <v>0</v>
          </cell>
        </row>
        <row r="9087">
          <cell r="G9087" t="str">
            <v>1788_1</v>
          </cell>
          <cell r="H9087" t="str">
            <v/>
          </cell>
          <cell r="I9087" t="str">
            <v>met</v>
          </cell>
          <cell r="V9087" t="str">
            <v>0</v>
          </cell>
          <cell r="Y9087">
            <v>0</v>
          </cell>
          <cell r="Z9087">
            <v>4.93</v>
          </cell>
          <cell r="AA9087" t="str">
            <v>H</v>
          </cell>
          <cell r="AB9087">
            <v>0</v>
          </cell>
        </row>
        <row r="9088">
          <cell r="G9088" t="str">
            <v>1790_0</v>
          </cell>
          <cell r="H9088" t="str">
            <v>as-as</v>
          </cell>
          <cell r="I9088" t="str">
            <v>sim</v>
          </cell>
          <cell r="V9088" t="str">
            <v>not neg pair</v>
          </cell>
          <cell r="Y9088" t="str">
            <v>Past</v>
          </cell>
          <cell r="Z9088">
            <v>4.79</v>
          </cell>
          <cell r="AA9088">
            <v>0</v>
          </cell>
          <cell r="AB9088">
            <v>0</v>
          </cell>
        </row>
        <row r="9089">
          <cell r="G9089" t="str">
            <v>1790_1</v>
          </cell>
          <cell r="H9089" t="str">
            <v>as-as</v>
          </cell>
          <cell r="I9089" t="str">
            <v>sim</v>
          </cell>
          <cell r="V9089" t="str">
            <v>not neg pair</v>
          </cell>
          <cell r="Y9089" t="str">
            <v>Past</v>
          </cell>
          <cell r="Z9089">
            <v>4.79</v>
          </cell>
          <cell r="AA9089">
            <v>0</v>
          </cell>
          <cell r="AB9089">
            <v>0</v>
          </cell>
        </row>
        <row r="9090">
          <cell r="G9090" t="str">
            <v>1792_0</v>
          </cell>
          <cell r="H9090" t="str">
            <v>as-as</v>
          </cell>
          <cell r="I9090" t="str">
            <v>sim</v>
          </cell>
          <cell r="V9090" t="str">
            <v>antonym</v>
          </cell>
          <cell r="Y9090" t="str">
            <v>Past</v>
          </cell>
          <cell r="Z9090">
            <v>4.87</v>
          </cell>
          <cell r="AA9090">
            <v>0</v>
          </cell>
          <cell r="AB9090">
            <v>0</v>
          </cell>
        </row>
        <row r="9091">
          <cell r="G9091" t="str">
            <v>1792_1</v>
          </cell>
          <cell r="H9091" t="str">
            <v>as-as</v>
          </cell>
          <cell r="I9091" t="str">
            <v>sim</v>
          </cell>
          <cell r="V9091" t="str">
            <v>antonym</v>
          </cell>
          <cell r="Y9091" t="str">
            <v>Past</v>
          </cell>
          <cell r="Z9091">
            <v>4.87</v>
          </cell>
          <cell r="AA9091">
            <v>0</v>
          </cell>
          <cell r="AB9091">
            <v>0</v>
          </cell>
        </row>
        <row r="9092">
          <cell r="G9092" t="str">
            <v>1793_0</v>
          </cell>
          <cell r="H9092" t="str">
            <v>the-of</v>
          </cell>
          <cell r="I9092" t="str">
            <v>sim</v>
          </cell>
          <cell r="V9092" t="str">
            <v>not</v>
          </cell>
          <cell r="Y9092" t="str">
            <v>Pres</v>
          </cell>
          <cell r="Z9092">
            <v>3.36</v>
          </cell>
          <cell r="AA9092">
            <v>0</v>
          </cell>
          <cell r="AB9092">
            <v>0</v>
          </cell>
        </row>
        <row r="9093">
          <cell r="G9093" t="str">
            <v>1793_1</v>
          </cell>
          <cell r="H9093" t="str">
            <v>the-of</v>
          </cell>
          <cell r="I9093" t="str">
            <v>sim</v>
          </cell>
          <cell r="V9093" t="str">
            <v>not</v>
          </cell>
          <cell r="Y9093" t="str">
            <v>Pres</v>
          </cell>
          <cell r="Z9093">
            <v>3.36</v>
          </cell>
          <cell r="AA9093">
            <v>0</v>
          </cell>
          <cell r="AB9093">
            <v>0</v>
          </cell>
        </row>
        <row r="9094">
          <cell r="G9094" t="str">
            <v>1797_0</v>
          </cell>
          <cell r="H9094" t="str">
            <v>as-as</v>
          </cell>
          <cell r="I9094" t="str">
            <v>sim</v>
          </cell>
          <cell r="V9094" t="str">
            <v>antonym</v>
          </cell>
          <cell r="Y9094" t="str">
            <v>Pres</v>
          </cell>
          <cell r="Z9094">
            <v>5</v>
          </cell>
          <cell r="AA9094" t="str">
            <v>H</v>
          </cell>
          <cell r="AB9094">
            <v>0</v>
          </cell>
        </row>
        <row r="9095">
          <cell r="G9095" t="str">
            <v>1797_1</v>
          </cell>
          <cell r="H9095" t="str">
            <v>as-as</v>
          </cell>
          <cell r="I9095" t="str">
            <v>sim</v>
          </cell>
          <cell r="V9095" t="str">
            <v>antonym</v>
          </cell>
          <cell r="Y9095" t="str">
            <v>Pres</v>
          </cell>
          <cell r="Z9095">
            <v>5</v>
          </cell>
          <cell r="AA9095" t="str">
            <v>H</v>
          </cell>
          <cell r="AB9095">
            <v>0</v>
          </cell>
        </row>
        <row r="9096">
          <cell r="G9096" t="str">
            <v>1798_0</v>
          </cell>
          <cell r="H9096" t="str">
            <v>like</v>
          </cell>
          <cell r="I9096" t="str">
            <v>sim</v>
          </cell>
          <cell r="V9096" t="str">
            <v>not neg pair</v>
          </cell>
          <cell r="Y9096" t="str">
            <v>Pres</v>
          </cell>
          <cell r="Z9096">
            <v>4.97</v>
          </cell>
          <cell r="AA9096" t="str">
            <v>H</v>
          </cell>
          <cell r="AB9096">
            <v>0</v>
          </cell>
        </row>
        <row r="9097">
          <cell r="G9097" t="str">
            <v>1798_1</v>
          </cell>
          <cell r="H9097" t="str">
            <v>like</v>
          </cell>
          <cell r="I9097" t="str">
            <v>sim</v>
          </cell>
          <cell r="V9097" t="str">
            <v>not neg pair</v>
          </cell>
          <cell r="Y9097" t="str">
            <v>Pres</v>
          </cell>
          <cell r="Z9097">
            <v>4.97</v>
          </cell>
          <cell r="AA9097" t="str">
            <v>H</v>
          </cell>
          <cell r="AB9097">
            <v>0</v>
          </cell>
        </row>
        <row r="9098">
          <cell r="G9098" t="str">
            <v>1809_0</v>
          </cell>
          <cell r="H9098" t="str">
            <v>the-of</v>
          </cell>
          <cell r="I9098" t="str">
            <v>sim</v>
          </cell>
          <cell r="V9098" t="str">
            <v>not neg pair</v>
          </cell>
          <cell r="Y9098" t="str">
            <v>Pres</v>
          </cell>
          <cell r="Z9098">
            <v>5</v>
          </cell>
          <cell r="AA9098" t="str">
            <v>H</v>
          </cell>
          <cell r="AB9098">
            <v>0</v>
          </cell>
        </row>
        <row r="9099">
          <cell r="G9099" t="str">
            <v>1809_1</v>
          </cell>
          <cell r="H9099" t="str">
            <v>the-of</v>
          </cell>
          <cell r="I9099" t="str">
            <v>sim</v>
          </cell>
          <cell r="V9099" t="str">
            <v>not neg pair</v>
          </cell>
          <cell r="Y9099" t="str">
            <v>Pres</v>
          </cell>
          <cell r="Z9099">
            <v>5</v>
          </cell>
          <cell r="AA9099" t="str">
            <v>H</v>
          </cell>
          <cell r="AB9099">
            <v>0</v>
          </cell>
        </row>
        <row r="9100">
          <cell r="G9100" t="str">
            <v>1811_0</v>
          </cell>
          <cell r="H9100" t="str">
            <v>the-of</v>
          </cell>
          <cell r="I9100" t="str">
            <v>sim</v>
          </cell>
          <cell r="V9100" t="str">
            <v>not neg pair</v>
          </cell>
          <cell r="Y9100" t="str">
            <v>Past</v>
          </cell>
          <cell r="Z9100">
            <v>2.86</v>
          </cell>
          <cell r="AA9100">
            <v>0</v>
          </cell>
          <cell r="AB9100">
            <v>0</v>
          </cell>
        </row>
        <row r="9101">
          <cell r="G9101" t="str">
            <v>1811_1</v>
          </cell>
          <cell r="H9101" t="str">
            <v>the-of</v>
          </cell>
          <cell r="I9101" t="str">
            <v>sim</v>
          </cell>
          <cell r="V9101" t="str">
            <v>not neg pair</v>
          </cell>
          <cell r="Y9101" t="str">
            <v>Past</v>
          </cell>
          <cell r="Z9101">
            <v>2.86</v>
          </cell>
          <cell r="AA9101">
            <v>0</v>
          </cell>
          <cell r="AB9101">
            <v>0</v>
          </cell>
        </row>
        <row r="9102">
          <cell r="G9102" t="str">
            <v>1814_0</v>
          </cell>
          <cell r="H9102" t="str">
            <v>as-as</v>
          </cell>
          <cell r="I9102" t="str">
            <v>sim</v>
          </cell>
          <cell r="V9102" t="str">
            <v>0</v>
          </cell>
          <cell r="Y9102" t="str">
            <v>Past</v>
          </cell>
          <cell r="Z9102">
            <v>3.93</v>
          </cell>
          <cell r="AA9102">
            <v>0</v>
          </cell>
          <cell r="AB9102">
            <v>0</v>
          </cell>
        </row>
        <row r="9103">
          <cell r="G9103" t="str">
            <v>1814_1</v>
          </cell>
          <cell r="H9103" t="str">
            <v/>
          </cell>
          <cell r="I9103" t="str">
            <v>met</v>
          </cell>
          <cell r="V9103" t="str">
            <v>0</v>
          </cell>
          <cell r="Y9103" t="str">
            <v>Past</v>
          </cell>
          <cell r="Z9103">
            <v>3.93</v>
          </cell>
          <cell r="AA9103">
            <v>0</v>
          </cell>
          <cell r="AB9103">
            <v>0</v>
          </cell>
        </row>
        <row r="9104">
          <cell r="G9104" t="str">
            <v>1816_0</v>
          </cell>
          <cell r="H9104" t="str">
            <v>the-of</v>
          </cell>
          <cell r="I9104" t="str">
            <v>sim</v>
          </cell>
          <cell r="V9104" t="str">
            <v>not neg pair</v>
          </cell>
          <cell r="Y9104" t="str">
            <v>Pres</v>
          </cell>
          <cell r="Z9104">
            <v>4.79</v>
          </cell>
          <cell r="AA9104">
            <v>0</v>
          </cell>
          <cell r="AB9104">
            <v>0</v>
          </cell>
        </row>
        <row r="9105">
          <cell r="G9105" t="str">
            <v>1816_1</v>
          </cell>
          <cell r="H9105" t="str">
            <v>the-of</v>
          </cell>
          <cell r="I9105" t="str">
            <v>sim</v>
          </cell>
          <cell r="V9105" t="str">
            <v>not neg pair</v>
          </cell>
          <cell r="Y9105" t="str">
            <v>Pres</v>
          </cell>
          <cell r="Z9105">
            <v>4.79</v>
          </cell>
          <cell r="AA9105">
            <v>0</v>
          </cell>
          <cell r="AB9105">
            <v>0</v>
          </cell>
        </row>
        <row r="9106">
          <cell r="G9106" t="str">
            <v>1817_0</v>
          </cell>
          <cell r="H9106" t="str">
            <v>as-as</v>
          </cell>
          <cell r="I9106" t="str">
            <v>sim</v>
          </cell>
          <cell r="V9106" t="str">
            <v>antonym</v>
          </cell>
          <cell r="Y9106" t="str">
            <v>Pres</v>
          </cell>
          <cell r="Z9106">
            <v>4.6900000000000004</v>
          </cell>
          <cell r="AA9106">
            <v>0</v>
          </cell>
          <cell r="AB9106">
            <v>0</v>
          </cell>
        </row>
        <row r="9107">
          <cell r="G9107" t="str">
            <v>1817_1</v>
          </cell>
          <cell r="H9107" t="str">
            <v>as-as</v>
          </cell>
          <cell r="I9107" t="str">
            <v>sim</v>
          </cell>
          <cell r="V9107" t="str">
            <v>antonym</v>
          </cell>
          <cell r="Y9107" t="str">
            <v>Pres</v>
          </cell>
          <cell r="Z9107">
            <v>4.6900000000000004</v>
          </cell>
          <cell r="AA9107">
            <v>0</v>
          </cell>
          <cell r="AB9107">
            <v>0</v>
          </cell>
        </row>
        <row r="9108">
          <cell r="G9108" t="str">
            <v>1819_0</v>
          </cell>
          <cell r="H9108" t="str">
            <v>as-as</v>
          </cell>
          <cell r="I9108" t="str">
            <v>sim</v>
          </cell>
          <cell r="V9108" t="str">
            <v>not neg pair</v>
          </cell>
          <cell r="Y9108" t="str">
            <v>Past</v>
          </cell>
          <cell r="Z9108">
            <v>4.5</v>
          </cell>
          <cell r="AA9108">
            <v>0</v>
          </cell>
          <cell r="AB9108">
            <v>0</v>
          </cell>
        </row>
        <row r="9109">
          <cell r="G9109" t="str">
            <v>1819_1</v>
          </cell>
          <cell r="H9109" t="str">
            <v>as-as</v>
          </cell>
          <cell r="I9109" t="str">
            <v>sim</v>
          </cell>
          <cell r="V9109" t="str">
            <v>not neg pair</v>
          </cell>
          <cell r="Y9109" t="str">
            <v>Past</v>
          </cell>
          <cell r="Z9109">
            <v>4.5</v>
          </cell>
          <cell r="AA9109">
            <v>0</v>
          </cell>
          <cell r="AB9109">
            <v>0</v>
          </cell>
        </row>
        <row r="9110">
          <cell r="G9110" t="str">
            <v>1821_0</v>
          </cell>
          <cell r="H9110" t="str">
            <v>like</v>
          </cell>
          <cell r="I9110" t="str">
            <v>sim</v>
          </cell>
          <cell r="V9110" t="str">
            <v>not neg pair</v>
          </cell>
          <cell r="Y9110" t="str">
            <v>Past</v>
          </cell>
          <cell r="Z9110">
            <v>1.87</v>
          </cell>
          <cell r="AA9110" t="str">
            <v>L</v>
          </cell>
          <cell r="AB9110">
            <v>0</v>
          </cell>
        </row>
        <row r="9111">
          <cell r="G9111" t="str">
            <v>1821_1</v>
          </cell>
          <cell r="H9111" t="str">
            <v>like</v>
          </cell>
          <cell r="I9111" t="str">
            <v>sim</v>
          </cell>
          <cell r="V9111" t="str">
            <v>not neg pair</v>
          </cell>
          <cell r="Y9111" t="str">
            <v>Past</v>
          </cell>
          <cell r="Z9111">
            <v>0</v>
          </cell>
          <cell r="AA9111">
            <v>0</v>
          </cell>
          <cell r="AB9111">
            <v>0</v>
          </cell>
        </row>
        <row r="9112">
          <cell r="AB9112">
            <v>0</v>
          </cell>
        </row>
        <row r="9113">
          <cell r="AB9113">
            <v>0</v>
          </cell>
        </row>
        <row r="9114">
          <cell r="AB9114">
            <v>0</v>
          </cell>
        </row>
        <row r="9115">
          <cell r="AB9115">
            <v>0</v>
          </cell>
        </row>
        <row r="9116">
          <cell r="AB9116">
            <v>0</v>
          </cell>
        </row>
        <row r="9117">
          <cell r="AB9117">
            <v>0</v>
          </cell>
        </row>
        <row r="9118">
          <cell r="AB9118">
            <v>0</v>
          </cell>
        </row>
        <row r="9119">
          <cell r="AB9119">
            <v>0</v>
          </cell>
        </row>
        <row r="9120">
          <cell r="AB9120">
            <v>0</v>
          </cell>
        </row>
        <row r="9121">
          <cell r="AB9121">
            <v>0</v>
          </cell>
        </row>
        <row r="9122">
          <cell r="AB9122">
            <v>0</v>
          </cell>
        </row>
        <row r="9123">
          <cell r="AB9123">
            <v>0</v>
          </cell>
        </row>
        <row r="9124">
          <cell r="AB9124">
            <v>0</v>
          </cell>
        </row>
        <row r="9125">
          <cell r="AB9125">
            <v>0</v>
          </cell>
        </row>
        <row r="9126">
          <cell r="AB9126">
            <v>0</v>
          </cell>
        </row>
        <row r="9127">
          <cell r="AB9127">
            <v>0</v>
          </cell>
        </row>
        <row r="9128">
          <cell r="AB9128">
            <v>0</v>
          </cell>
        </row>
        <row r="9129">
          <cell r="AB9129">
            <v>0</v>
          </cell>
        </row>
        <row r="9130">
          <cell r="AB9130">
            <v>0</v>
          </cell>
        </row>
        <row r="9131">
          <cell r="AB9131">
            <v>0</v>
          </cell>
        </row>
        <row r="9132">
          <cell r="AB9132">
            <v>0</v>
          </cell>
        </row>
        <row r="9133">
          <cell r="AB9133">
            <v>0</v>
          </cell>
        </row>
        <row r="9134">
          <cell r="AB9134">
            <v>0</v>
          </cell>
        </row>
        <row r="9135">
          <cell r="AB9135">
            <v>0</v>
          </cell>
        </row>
        <row r="9136">
          <cell r="AB9136">
            <v>0</v>
          </cell>
        </row>
        <row r="9137">
          <cell r="AB9137">
            <v>0</v>
          </cell>
        </row>
        <row r="9138">
          <cell r="AB9138">
            <v>0</v>
          </cell>
        </row>
        <row r="9139">
          <cell r="AB9139">
            <v>0</v>
          </cell>
        </row>
        <row r="9140">
          <cell r="AB9140">
            <v>0</v>
          </cell>
        </row>
        <row r="9141">
          <cell r="AB9141">
            <v>0</v>
          </cell>
        </row>
        <row r="9142">
          <cell r="AB9142">
            <v>0</v>
          </cell>
        </row>
        <row r="9143">
          <cell r="AB9143">
            <v>0</v>
          </cell>
        </row>
        <row r="9144">
          <cell r="AB9144">
            <v>0</v>
          </cell>
        </row>
        <row r="9145">
          <cell r="AB9145">
            <v>0</v>
          </cell>
        </row>
        <row r="9146">
          <cell r="AB9146">
            <v>0</v>
          </cell>
        </row>
        <row r="9147">
          <cell r="AB9147">
            <v>0</v>
          </cell>
        </row>
        <row r="9148">
          <cell r="AB9148">
            <v>0</v>
          </cell>
        </row>
        <row r="9149">
          <cell r="AB9149">
            <v>0</v>
          </cell>
        </row>
        <row r="9150">
          <cell r="AB9150">
            <v>0</v>
          </cell>
        </row>
        <row r="9151">
          <cell r="AB9151">
            <v>0</v>
          </cell>
        </row>
        <row r="9152">
          <cell r="AB9152">
            <v>0</v>
          </cell>
        </row>
        <row r="9153">
          <cell r="AB9153">
            <v>0</v>
          </cell>
        </row>
        <row r="9154">
          <cell r="AB9154">
            <v>0</v>
          </cell>
        </row>
        <row r="9155">
          <cell r="AB9155">
            <v>0</v>
          </cell>
        </row>
        <row r="9156">
          <cell r="AB9156">
            <v>0</v>
          </cell>
        </row>
        <row r="9157">
          <cell r="AB9157">
            <v>0</v>
          </cell>
        </row>
        <row r="9158">
          <cell r="AB9158">
            <v>0</v>
          </cell>
        </row>
        <row r="9159">
          <cell r="AB9159">
            <v>0</v>
          </cell>
        </row>
        <row r="9160">
          <cell r="AB9160">
            <v>0</v>
          </cell>
        </row>
        <row r="9161">
          <cell r="AB9161">
            <v>0</v>
          </cell>
        </row>
        <row r="9162">
          <cell r="AB9162">
            <v>0</v>
          </cell>
        </row>
        <row r="9163">
          <cell r="AB9163">
            <v>0</v>
          </cell>
        </row>
        <row r="9164">
          <cell r="AB9164">
            <v>0</v>
          </cell>
        </row>
        <row r="9165">
          <cell r="AB9165">
            <v>0</v>
          </cell>
        </row>
        <row r="9166">
          <cell r="AB9166">
            <v>0</v>
          </cell>
        </row>
        <row r="9167">
          <cell r="AB9167">
            <v>0</v>
          </cell>
        </row>
        <row r="9168">
          <cell r="AB9168">
            <v>0</v>
          </cell>
        </row>
        <row r="9169">
          <cell r="AB9169">
            <v>0</v>
          </cell>
        </row>
        <row r="9170">
          <cell r="AB9170">
            <v>0</v>
          </cell>
        </row>
        <row r="9171">
          <cell r="AB9171">
            <v>0</v>
          </cell>
        </row>
        <row r="9172">
          <cell r="AB9172">
            <v>0</v>
          </cell>
        </row>
        <row r="9173">
          <cell r="AB9173">
            <v>0</v>
          </cell>
        </row>
        <row r="9174">
          <cell r="AB9174">
            <v>0</v>
          </cell>
        </row>
        <row r="9175">
          <cell r="AB9175">
            <v>0</v>
          </cell>
        </row>
        <row r="9176">
          <cell r="AB9176">
            <v>0</v>
          </cell>
        </row>
        <row r="9177">
          <cell r="AB9177">
            <v>0</v>
          </cell>
        </row>
        <row r="9178">
          <cell r="AB9178">
            <v>0</v>
          </cell>
        </row>
        <row r="9179">
          <cell r="AB9179">
            <v>0</v>
          </cell>
        </row>
        <row r="9180">
          <cell r="AB9180">
            <v>0</v>
          </cell>
        </row>
        <row r="9181">
          <cell r="AB9181">
            <v>0</v>
          </cell>
        </row>
        <row r="9182">
          <cell r="AB9182">
            <v>0</v>
          </cell>
        </row>
        <row r="9183">
          <cell r="AB9183">
            <v>0</v>
          </cell>
        </row>
        <row r="9184">
          <cell r="AB9184">
            <v>0</v>
          </cell>
        </row>
        <row r="9185">
          <cell r="AB9185">
            <v>0</v>
          </cell>
        </row>
        <row r="9186">
          <cell r="AB9186">
            <v>0</v>
          </cell>
        </row>
        <row r="9187">
          <cell r="AB9187">
            <v>0</v>
          </cell>
        </row>
        <row r="9188">
          <cell r="AB9188">
            <v>0</v>
          </cell>
        </row>
        <row r="9189">
          <cell r="AB9189">
            <v>0</v>
          </cell>
        </row>
        <row r="9190">
          <cell r="AB9190">
            <v>0</v>
          </cell>
        </row>
        <row r="9191">
          <cell r="AB9191">
            <v>0</v>
          </cell>
        </row>
        <row r="9192">
          <cell r="AB9192">
            <v>0</v>
          </cell>
        </row>
        <row r="9193">
          <cell r="AB9193">
            <v>0</v>
          </cell>
        </row>
        <row r="9194">
          <cell r="AB9194">
            <v>0</v>
          </cell>
        </row>
        <row r="9195">
          <cell r="AB9195">
            <v>0</v>
          </cell>
        </row>
        <row r="9196">
          <cell r="AB9196">
            <v>0</v>
          </cell>
        </row>
        <row r="9197">
          <cell r="AB9197">
            <v>0</v>
          </cell>
        </row>
        <row r="9198">
          <cell r="AB9198">
            <v>0</v>
          </cell>
        </row>
        <row r="9199">
          <cell r="AB9199">
            <v>0</v>
          </cell>
        </row>
        <row r="9200">
          <cell r="AB9200">
            <v>0</v>
          </cell>
        </row>
        <row r="9201">
          <cell r="AB9201">
            <v>0</v>
          </cell>
        </row>
        <row r="9202">
          <cell r="AB9202">
            <v>0</v>
          </cell>
        </row>
        <row r="9203">
          <cell r="AB9203">
            <v>0</v>
          </cell>
        </row>
        <row r="9204">
          <cell r="AB9204">
            <v>0</v>
          </cell>
        </row>
        <row r="9205">
          <cell r="AB9205">
            <v>0</v>
          </cell>
        </row>
        <row r="9206">
          <cell r="AB9206">
            <v>0</v>
          </cell>
        </row>
        <row r="9207">
          <cell r="AB9207">
            <v>0</v>
          </cell>
        </row>
        <row r="9208">
          <cell r="AB9208">
            <v>0</v>
          </cell>
        </row>
        <row r="9209">
          <cell r="AB9209">
            <v>0</v>
          </cell>
        </row>
        <row r="9210">
          <cell r="AB9210">
            <v>0</v>
          </cell>
        </row>
        <row r="9211">
          <cell r="AB9211">
            <v>0</v>
          </cell>
        </row>
        <row r="9212">
          <cell r="AB9212">
            <v>0</v>
          </cell>
        </row>
        <row r="9213">
          <cell r="AB9213">
            <v>0</v>
          </cell>
        </row>
        <row r="9214">
          <cell r="AB9214">
            <v>0</v>
          </cell>
        </row>
        <row r="9215">
          <cell r="AB9215">
            <v>0</v>
          </cell>
        </row>
        <row r="9216">
          <cell r="AB9216">
            <v>0</v>
          </cell>
        </row>
        <row r="9217">
          <cell r="AB9217">
            <v>0</v>
          </cell>
        </row>
        <row r="9218">
          <cell r="AB9218">
            <v>0</v>
          </cell>
        </row>
        <row r="9219">
          <cell r="AB9219">
            <v>0</v>
          </cell>
        </row>
        <row r="9220">
          <cell r="AB9220">
            <v>0</v>
          </cell>
        </row>
        <row r="9221">
          <cell r="AB9221">
            <v>0</v>
          </cell>
        </row>
        <row r="9222">
          <cell r="AB9222">
            <v>0</v>
          </cell>
        </row>
        <row r="9223">
          <cell r="AB9223">
            <v>0</v>
          </cell>
        </row>
        <row r="9224">
          <cell r="AB9224">
            <v>0</v>
          </cell>
        </row>
        <row r="9225">
          <cell r="AB9225">
            <v>0</v>
          </cell>
        </row>
        <row r="9226">
          <cell r="AB9226">
            <v>0</v>
          </cell>
        </row>
        <row r="9227">
          <cell r="AB9227">
            <v>0</v>
          </cell>
        </row>
        <row r="9228">
          <cell r="AB9228">
            <v>0</v>
          </cell>
        </row>
        <row r="9229">
          <cell r="AB9229">
            <v>0</v>
          </cell>
        </row>
        <row r="9230">
          <cell r="AB9230">
            <v>0</v>
          </cell>
        </row>
        <row r="9231">
          <cell r="AB9231">
            <v>0</v>
          </cell>
        </row>
        <row r="9232">
          <cell r="AB9232">
            <v>0</v>
          </cell>
        </row>
        <row r="9233">
          <cell r="AB9233">
            <v>0</v>
          </cell>
        </row>
        <row r="9234">
          <cell r="AB9234">
            <v>0</v>
          </cell>
        </row>
        <row r="9235">
          <cell r="AB9235">
            <v>0</v>
          </cell>
        </row>
        <row r="9236">
          <cell r="AB9236">
            <v>0</v>
          </cell>
        </row>
        <row r="9237">
          <cell r="AB9237">
            <v>0</v>
          </cell>
        </row>
        <row r="9238">
          <cell r="AB9238">
            <v>0</v>
          </cell>
        </row>
        <row r="9239">
          <cell r="AB9239">
            <v>0</v>
          </cell>
        </row>
        <row r="9240">
          <cell r="AB9240">
            <v>0</v>
          </cell>
        </row>
        <row r="9241">
          <cell r="AB9241">
            <v>0</v>
          </cell>
        </row>
        <row r="9242">
          <cell r="AB9242">
            <v>0</v>
          </cell>
        </row>
        <row r="9243">
          <cell r="AB9243">
            <v>0</v>
          </cell>
        </row>
        <row r="9244">
          <cell r="AB9244">
            <v>0</v>
          </cell>
        </row>
        <row r="9245">
          <cell r="AB9245">
            <v>0</v>
          </cell>
        </row>
        <row r="9246">
          <cell r="AB9246">
            <v>0</v>
          </cell>
        </row>
        <row r="9247">
          <cell r="AB9247">
            <v>0</v>
          </cell>
        </row>
        <row r="9248">
          <cell r="AB9248">
            <v>0</v>
          </cell>
        </row>
        <row r="9249">
          <cell r="AB9249">
            <v>0</v>
          </cell>
        </row>
        <row r="9250">
          <cell r="AB9250">
            <v>0</v>
          </cell>
        </row>
        <row r="9251">
          <cell r="AB9251">
            <v>0</v>
          </cell>
        </row>
        <row r="9252">
          <cell r="AB9252">
            <v>0</v>
          </cell>
        </row>
        <row r="9253">
          <cell r="AB9253">
            <v>0</v>
          </cell>
        </row>
        <row r="9254">
          <cell r="AB9254">
            <v>0</v>
          </cell>
        </row>
        <row r="9255">
          <cell r="AB9255">
            <v>0</v>
          </cell>
        </row>
        <row r="9256">
          <cell r="AB9256">
            <v>0</v>
          </cell>
        </row>
        <row r="9257">
          <cell r="AB9257">
            <v>0</v>
          </cell>
        </row>
        <row r="9258">
          <cell r="AB9258">
            <v>0</v>
          </cell>
        </row>
        <row r="9259">
          <cell r="AB9259">
            <v>0</v>
          </cell>
        </row>
        <row r="9260">
          <cell r="AB9260">
            <v>0</v>
          </cell>
        </row>
        <row r="9261">
          <cell r="AB9261">
            <v>0</v>
          </cell>
        </row>
        <row r="9262">
          <cell r="AB9262">
            <v>0</v>
          </cell>
        </row>
        <row r="9263">
          <cell r="AB9263">
            <v>0</v>
          </cell>
        </row>
        <row r="9264">
          <cell r="AB9264">
            <v>0</v>
          </cell>
        </row>
        <row r="9265">
          <cell r="AB9265">
            <v>0</v>
          </cell>
        </row>
        <row r="9266">
          <cell r="AB9266">
            <v>0</v>
          </cell>
        </row>
        <row r="9267">
          <cell r="AB9267">
            <v>0</v>
          </cell>
        </row>
        <row r="9268">
          <cell r="AB9268">
            <v>0</v>
          </cell>
        </row>
        <row r="9269">
          <cell r="AB9269">
            <v>0</v>
          </cell>
        </row>
        <row r="9270">
          <cell r="AB9270">
            <v>0</v>
          </cell>
        </row>
        <row r="9271">
          <cell r="AB9271">
            <v>0</v>
          </cell>
        </row>
        <row r="9272">
          <cell r="AB9272">
            <v>0</v>
          </cell>
        </row>
        <row r="9273">
          <cell r="AB9273">
            <v>0</v>
          </cell>
        </row>
        <row r="9274">
          <cell r="AB9274">
            <v>0</v>
          </cell>
        </row>
        <row r="9275">
          <cell r="AB9275">
            <v>0</v>
          </cell>
        </row>
        <row r="9276">
          <cell r="AB9276">
            <v>0</v>
          </cell>
        </row>
        <row r="9277">
          <cell r="AB9277">
            <v>0</v>
          </cell>
        </row>
        <row r="9278">
          <cell r="AB9278">
            <v>0</v>
          </cell>
        </row>
        <row r="9279">
          <cell r="AB9279">
            <v>0</v>
          </cell>
        </row>
        <row r="9280">
          <cell r="AB9280">
            <v>0</v>
          </cell>
        </row>
        <row r="9281">
          <cell r="AB9281">
            <v>0</v>
          </cell>
        </row>
        <row r="9282">
          <cell r="AB9282">
            <v>0</v>
          </cell>
        </row>
        <row r="9283">
          <cell r="AB9283">
            <v>0</v>
          </cell>
        </row>
        <row r="9284">
          <cell r="AB9284">
            <v>0</v>
          </cell>
        </row>
        <row r="9285">
          <cell r="AB9285">
            <v>0</v>
          </cell>
        </row>
        <row r="9286">
          <cell r="AB9286">
            <v>0</v>
          </cell>
        </row>
        <row r="9287">
          <cell r="AB9287">
            <v>0</v>
          </cell>
        </row>
        <row r="9288">
          <cell r="AB9288">
            <v>0</v>
          </cell>
        </row>
        <row r="9289">
          <cell r="AB9289">
            <v>0</v>
          </cell>
        </row>
        <row r="9290">
          <cell r="AB9290">
            <v>0</v>
          </cell>
        </row>
        <row r="9291">
          <cell r="AB9291">
            <v>0</v>
          </cell>
        </row>
        <row r="9292">
          <cell r="AB9292">
            <v>0</v>
          </cell>
        </row>
        <row r="9293">
          <cell r="AB9293">
            <v>0</v>
          </cell>
        </row>
        <row r="9294">
          <cell r="AB9294">
            <v>0</v>
          </cell>
        </row>
        <row r="9295">
          <cell r="AB9295">
            <v>0</v>
          </cell>
        </row>
        <row r="9296">
          <cell r="AB9296">
            <v>0</v>
          </cell>
        </row>
        <row r="9297">
          <cell r="AB9297">
            <v>0</v>
          </cell>
        </row>
        <row r="9298">
          <cell r="AB9298">
            <v>0</v>
          </cell>
        </row>
        <row r="9299">
          <cell r="AB9299">
            <v>0</v>
          </cell>
        </row>
        <row r="9300">
          <cell r="AB9300">
            <v>0</v>
          </cell>
        </row>
        <row r="9301">
          <cell r="AB9301">
            <v>0</v>
          </cell>
        </row>
        <row r="9302">
          <cell r="AB9302">
            <v>0</v>
          </cell>
        </row>
        <row r="9303">
          <cell r="AB9303">
            <v>0</v>
          </cell>
        </row>
        <row r="9304">
          <cell r="AB9304">
            <v>0</v>
          </cell>
        </row>
        <row r="9305">
          <cell r="AB9305">
            <v>0</v>
          </cell>
        </row>
        <row r="9306">
          <cell r="AB9306">
            <v>0</v>
          </cell>
        </row>
        <row r="9307">
          <cell r="AB9307">
            <v>0</v>
          </cell>
        </row>
        <row r="9308">
          <cell r="AB9308">
            <v>0</v>
          </cell>
        </row>
        <row r="9309">
          <cell r="AB9309">
            <v>0</v>
          </cell>
        </row>
        <row r="9310">
          <cell r="AB9310">
            <v>0</v>
          </cell>
        </row>
        <row r="9311">
          <cell r="AB9311">
            <v>0</v>
          </cell>
        </row>
        <row r="9312">
          <cell r="AB9312">
            <v>0</v>
          </cell>
        </row>
        <row r="9313">
          <cell r="AB9313">
            <v>0</v>
          </cell>
        </row>
        <row r="9314">
          <cell r="AB9314">
            <v>0</v>
          </cell>
        </row>
        <row r="9315">
          <cell r="AB9315">
            <v>0</v>
          </cell>
        </row>
        <row r="9316">
          <cell r="AB9316">
            <v>0</v>
          </cell>
        </row>
        <row r="9317">
          <cell r="AB9317">
            <v>0</v>
          </cell>
        </row>
        <row r="9318">
          <cell r="AB9318">
            <v>0</v>
          </cell>
        </row>
        <row r="9319">
          <cell r="AB9319">
            <v>0</v>
          </cell>
        </row>
        <row r="9320">
          <cell r="AB9320">
            <v>0</v>
          </cell>
        </row>
        <row r="9321">
          <cell r="AB9321">
            <v>0</v>
          </cell>
        </row>
        <row r="9322">
          <cell r="AB9322">
            <v>0</v>
          </cell>
        </row>
        <row r="9323">
          <cell r="AB9323">
            <v>0</v>
          </cell>
        </row>
        <row r="9324">
          <cell r="AB9324">
            <v>0</v>
          </cell>
        </row>
        <row r="9325">
          <cell r="AB9325">
            <v>0</v>
          </cell>
        </row>
        <row r="9326">
          <cell r="AB9326">
            <v>0</v>
          </cell>
        </row>
        <row r="9327">
          <cell r="AB9327">
            <v>0</v>
          </cell>
        </row>
        <row r="9328">
          <cell r="AB9328">
            <v>0</v>
          </cell>
        </row>
        <row r="9329">
          <cell r="AB9329">
            <v>0</v>
          </cell>
        </row>
        <row r="9330">
          <cell r="AB9330">
            <v>0</v>
          </cell>
        </row>
        <row r="9331">
          <cell r="AB9331">
            <v>0</v>
          </cell>
        </row>
        <row r="9332">
          <cell r="AB9332">
            <v>0</v>
          </cell>
        </row>
        <row r="9333">
          <cell r="AB9333">
            <v>0</v>
          </cell>
        </row>
        <row r="9334">
          <cell r="AB9334">
            <v>0</v>
          </cell>
        </row>
        <row r="9335">
          <cell r="AB9335">
            <v>0</v>
          </cell>
        </row>
        <row r="9336">
          <cell r="AB9336">
            <v>0</v>
          </cell>
        </row>
        <row r="9337">
          <cell r="AB9337">
            <v>0</v>
          </cell>
        </row>
        <row r="9338">
          <cell r="AB9338">
            <v>0</v>
          </cell>
        </row>
        <row r="9339">
          <cell r="AB9339">
            <v>0</v>
          </cell>
        </row>
        <row r="9340">
          <cell r="AB9340">
            <v>0</v>
          </cell>
        </row>
        <row r="9341">
          <cell r="AB9341">
            <v>0</v>
          </cell>
        </row>
        <row r="9342">
          <cell r="AB9342">
            <v>0</v>
          </cell>
        </row>
        <row r="9343">
          <cell r="AB9343">
            <v>0</v>
          </cell>
        </row>
        <row r="9344">
          <cell r="AB9344">
            <v>0</v>
          </cell>
        </row>
        <row r="9345">
          <cell r="AB9345">
            <v>0</v>
          </cell>
        </row>
        <row r="9346">
          <cell r="AB9346">
            <v>0</v>
          </cell>
        </row>
        <row r="9347">
          <cell r="AB9347">
            <v>0</v>
          </cell>
        </row>
        <row r="9348">
          <cell r="AB9348">
            <v>0</v>
          </cell>
        </row>
        <row r="9349">
          <cell r="AB9349">
            <v>0</v>
          </cell>
        </row>
        <row r="9350">
          <cell r="AB9350">
            <v>0</v>
          </cell>
        </row>
        <row r="9351">
          <cell r="AB9351">
            <v>0</v>
          </cell>
        </row>
        <row r="9352">
          <cell r="AB9352">
            <v>0</v>
          </cell>
        </row>
        <row r="9353">
          <cell r="AB9353">
            <v>0</v>
          </cell>
        </row>
        <row r="9354">
          <cell r="AB9354">
            <v>0</v>
          </cell>
        </row>
        <row r="9355">
          <cell r="AB9355">
            <v>0</v>
          </cell>
        </row>
        <row r="9356">
          <cell r="AB9356">
            <v>0</v>
          </cell>
        </row>
        <row r="9357">
          <cell r="AB9357">
            <v>0</v>
          </cell>
        </row>
        <row r="9358">
          <cell r="AB9358">
            <v>0</v>
          </cell>
        </row>
        <row r="9359">
          <cell r="AB9359">
            <v>0</v>
          </cell>
        </row>
        <row r="9360">
          <cell r="AB9360">
            <v>0</v>
          </cell>
        </row>
        <row r="9361">
          <cell r="AB9361">
            <v>0</v>
          </cell>
        </row>
        <row r="9362">
          <cell r="AB9362">
            <v>0</v>
          </cell>
        </row>
        <row r="9363">
          <cell r="AB9363">
            <v>0</v>
          </cell>
        </row>
        <row r="9364">
          <cell r="AB9364">
            <v>0</v>
          </cell>
        </row>
        <row r="9365">
          <cell r="AB9365">
            <v>0</v>
          </cell>
        </row>
        <row r="9366">
          <cell r="AB9366">
            <v>0</v>
          </cell>
        </row>
        <row r="9367">
          <cell r="AB9367">
            <v>0</v>
          </cell>
        </row>
        <row r="9368">
          <cell r="AB9368">
            <v>0</v>
          </cell>
        </row>
        <row r="9369">
          <cell r="AB9369">
            <v>0</v>
          </cell>
        </row>
        <row r="9370">
          <cell r="AB9370">
            <v>0</v>
          </cell>
        </row>
        <row r="9371">
          <cell r="AB9371">
            <v>0</v>
          </cell>
        </row>
        <row r="9372">
          <cell r="AB9372">
            <v>0</v>
          </cell>
        </row>
        <row r="9373">
          <cell r="AB9373">
            <v>0</v>
          </cell>
        </row>
        <row r="9374">
          <cell r="AB9374">
            <v>0</v>
          </cell>
        </row>
        <row r="9375">
          <cell r="AB9375">
            <v>0</v>
          </cell>
        </row>
        <row r="9376">
          <cell r="AB9376">
            <v>0</v>
          </cell>
        </row>
        <row r="9377">
          <cell r="AB9377">
            <v>0</v>
          </cell>
        </row>
        <row r="9378">
          <cell r="AB9378">
            <v>0</v>
          </cell>
        </row>
        <row r="9379">
          <cell r="AB9379">
            <v>0</v>
          </cell>
        </row>
        <row r="9380">
          <cell r="AB9380">
            <v>0</v>
          </cell>
        </row>
        <row r="9381">
          <cell r="AB9381">
            <v>0</v>
          </cell>
        </row>
        <row r="9382">
          <cell r="AB9382">
            <v>0</v>
          </cell>
        </row>
        <row r="9383">
          <cell r="AB9383">
            <v>0</v>
          </cell>
        </row>
        <row r="9384">
          <cell r="AB9384">
            <v>0</v>
          </cell>
        </row>
        <row r="9385">
          <cell r="AB9385">
            <v>0</v>
          </cell>
        </row>
        <row r="9386">
          <cell r="AB9386">
            <v>0</v>
          </cell>
        </row>
        <row r="9387">
          <cell r="AB9387">
            <v>0</v>
          </cell>
        </row>
        <row r="9388">
          <cell r="AB9388">
            <v>0</v>
          </cell>
        </row>
        <row r="9389">
          <cell r="AB9389">
            <v>0</v>
          </cell>
        </row>
        <row r="9390">
          <cell r="AB9390">
            <v>0</v>
          </cell>
        </row>
        <row r="9391">
          <cell r="AB9391">
            <v>0</v>
          </cell>
        </row>
        <row r="9392">
          <cell r="AB9392">
            <v>0</v>
          </cell>
        </row>
        <row r="9393">
          <cell r="AB9393">
            <v>0</v>
          </cell>
        </row>
        <row r="9394">
          <cell r="AB9394">
            <v>0</v>
          </cell>
        </row>
        <row r="9395">
          <cell r="AB9395">
            <v>0</v>
          </cell>
        </row>
        <row r="9396">
          <cell r="AB9396">
            <v>0</v>
          </cell>
        </row>
        <row r="9397">
          <cell r="AB9397">
            <v>0</v>
          </cell>
        </row>
        <row r="9398">
          <cell r="AB9398">
            <v>0</v>
          </cell>
        </row>
        <row r="9399">
          <cell r="AB9399">
            <v>0</v>
          </cell>
        </row>
        <row r="9400">
          <cell r="AB9400">
            <v>0</v>
          </cell>
        </row>
        <row r="9401">
          <cell r="AB9401">
            <v>0</v>
          </cell>
        </row>
        <row r="9402">
          <cell r="AB9402">
            <v>0</v>
          </cell>
        </row>
        <row r="9403">
          <cell r="AB9403">
            <v>0</v>
          </cell>
        </row>
        <row r="9404">
          <cell r="AB9404">
            <v>0</v>
          </cell>
        </row>
        <row r="9405">
          <cell r="AB9405">
            <v>0</v>
          </cell>
        </row>
        <row r="9406">
          <cell r="AB9406">
            <v>0</v>
          </cell>
        </row>
        <row r="9407">
          <cell r="AB9407">
            <v>0</v>
          </cell>
        </row>
        <row r="9408">
          <cell r="AB9408">
            <v>0</v>
          </cell>
        </row>
        <row r="9409">
          <cell r="AB9409">
            <v>0</v>
          </cell>
        </row>
        <row r="9410">
          <cell r="AB9410">
            <v>0</v>
          </cell>
        </row>
        <row r="9411">
          <cell r="AB9411">
            <v>0</v>
          </cell>
        </row>
        <row r="9412">
          <cell r="AB9412">
            <v>0</v>
          </cell>
        </row>
        <row r="9413">
          <cell r="AB9413">
            <v>0</v>
          </cell>
        </row>
        <row r="9414">
          <cell r="AB9414">
            <v>0</v>
          </cell>
        </row>
        <row r="9415">
          <cell r="AB9415">
            <v>0</v>
          </cell>
        </row>
        <row r="9416">
          <cell r="AB9416">
            <v>0</v>
          </cell>
        </row>
        <row r="9417">
          <cell r="AB9417">
            <v>0</v>
          </cell>
        </row>
        <row r="9418">
          <cell r="AB9418">
            <v>0</v>
          </cell>
        </row>
        <row r="9419">
          <cell r="AB9419">
            <v>0</v>
          </cell>
        </row>
        <row r="9420">
          <cell r="AB9420">
            <v>0</v>
          </cell>
        </row>
        <row r="9421">
          <cell r="AB9421">
            <v>0</v>
          </cell>
        </row>
        <row r="9422">
          <cell r="AB9422">
            <v>0</v>
          </cell>
        </row>
        <row r="9423">
          <cell r="AB9423">
            <v>0</v>
          </cell>
        </row>
        <row r="9424">
          <cell r="AB9424">
            <v>0</v>
          </cell>
        </row>
        <row r="9425">
          <cell r="AB9425">
            <v>0</v>
          </cell>
        </row>
        <row r="9426">
          <cell r="AB9426">
            <v>0</v>
          </cell>
        </row>
        <row r="9427">
          <cell r="AB9427">
            <v>0</v>
          </cell>
        </row>
        <row r="9428">
          <cell r="AB9428">
            <v>0</v>
          </cell>
        </row>
        <row r="9429">
          <cell r="AB9429">
            <v>0</v>
          </cell>
        </row>
        <row r="9430">
          <cell r="AB9430">
            <v>0</v>
          </cell>
        </row>
        <row r="9431">
          <cell r="AB9431">
            <v>0</v>
          </cell>
        </row>
        <row r="9432">
          <cell r="AB9432">
            <v>0</v>
          </cell>
        </row>
        <row r="9433">
          <cell r="AB9433">
            <v>0</v>
          </cell>
        </row>
        <row r="9434">
          <cell r="AB9434">
            <v>0</v>
          </cell>
        </row>
        <row r="9435">
          <cell r="AB9435">
            <v>0</v>
          </cell>
        </row>
        <row r="9436">
          <cell r="AB9436">
            <v>0</v>
          </cell>
        </row>
        <row r="9437">
          <cell r="AB9437">
            <v>0</v>
          </cell>
        </row>
        <row r="9438">
          <cell r="AB9438">
            <v>0</v>
          </cell>
        </row>
        <row r="9439">
          <cell r="AB9439">
            <v>0</v>
          </cell>
        </row>
        <row r="9440">
          <cell r="AB9440">
            <v>0</v>
          </cell>
        </row>
        <row r="9441">
          <cell r="AB9441">
            <v>0</v>
          </cell>
        </row>
        <row r="9442">
          <cell r="AB9442">
            <v>0</v>
          </cell>
        </row>
        <row r="9443">
          <cell r="AB9443">
            <v>0</v>
          </cell>
        </row>
        <row r="9444">
          <cell r="AB9444">
            <v>0</v>
          </cell>
        </row>
        <row r="9445">
          <cell r="AB9445">
            <v>0</v>
          </cell>
        </row>
        <row r="9446">
          <cell r="AB9446">
            <v>0</v>
          </cell>
        </row>
        <row r="9447">
          <cell r="AB9447">
            <v>0</v>
          </cell>
        </row>
        <row r="9448">
          <cell r="AB9448">
            <v>0</v>
          </cell>
        </row>
        <row r="9449">
          <cell r="AB9449">
            <v>0</v>
          </cell>
        </row>
        <row r="9450">
          <cell r="AB9450">
            <v>0</v>
          </cell>
        </row>
        <row r="9451">
          <cell r="AB9451">
            <v>0</v>
          </cell>
        </row>
        <row r="9452">
          <cell r="AB9452">
            <v>0</v>
          </cell>
        </row>
        <row r="9453">
          <cell r="AB9453">
            <v>0</v>
          </cell>
        </row>
        <row r="9454">
          <cell r="AB9454">
            <v>0</v>
          </cell>
        </row>
        <row r="9455">
          <cell r="AB9455">
            <v>0</v>
          </cell>
        </row>
        <row r="9456">
          <cell r="AB9456">
            <v>0</v>
          </cell>
        </row>
        <row r="9457">
          <cell r="AB9457">
            <v>0</v>
          </cell>
        </row>
        <row r="9458">
          <cell r="AB9458">
            <v>0</v>
          </cell>
        </row>
        <row r="9459">
          <cell r="AB9459">
            <v>0</v>
          </cell>
        </row>
        <row r="9460">
          <cell r="AB9460">
            <v>0</v>
          </cell>
        </row>
        <row r="9461">
          <cell r="AB9461">
            <v>0</v>
          </cell>
        </row>
        <row r="9462">
          <cell r="AB9462">
            <v>0</v>
          </cell>
        </row>
        <row r="9463">
          <cell r="AB9463">
            <v>0</v>
          </cell>
        </row>
        <row r="9464">
          <cell r="AB9464">
            <v>0</v>
          </cell>
        </row>
        <row r="9465">
          <cell r="AB9465">
            <v>0</v>
          </cell>
        </row>
        <row r="9466">
          <cell r="AB9466">
            <v>0</v>
          </cell>
        </row>
        <row r="9467">
          <cell r="AB9467">
            <v>0</v>
          </cell>
        </row>
        <row r="9468">
          <cell r="AB9468">
            <v>0</v>
          </cell>
        </row>
        <row r="9469">
          <cell r="AB9469">
            <v>0</v>
          </cell>
        </row>
        <row r="9470">
          <cell r="AB9470">
            <v>0</v>
          </cell>
        </row>
        <row r="9471">
          <cell r="AB9471">
            <v>0</v>
          </cell>
        </row>
        <row r="9472">
          <cell r="AB9472">
            <v>0</v>
          </cell>
        </row>
        <row r="9473">
          <cell r="AB9473">
            <v>0</v>
          </cell>
        </row>
        <row r="9474">
          <cell r="AB9474">
            <v>0</v>
          </cell>
        </row>
        <row r="9475">
          <cell r="AB9475">
            <v>0</v>
          </cell>
        </row>
        <row r="9476">
          <cell r="AB9476">
            <v>0</v>
          </cell>
        </row>
        <row r="9477">
          <cell r="AB9477">
            <v>0</v>
          </cell>
        </row>
        <row r="9478">
          <cell r="AB9478">
            <v>0</v>
          </cell>
        </row>
        <row r="9479">
          <cell r="AB9479">
            <v>0</v>
          </cell>
        </row>
        <row r="9480">
          <cell r="AB9480">
            <v>0</v>
          </cell>
        </row>
        <row r="9481">
          <cell r="AB9481">
            <v>0</v>
          </cell>
        </row>
        <row r="9482">
          <cell r="AB9482">
            <v>0</v>
          </cell>
        </row>
        <row r="9483">
          <cell r="AB9483">
            <v>0</v>
          </cell>
        </row>
        <row r="9484">
          <cell r="AB9484">
            <v>0</v>
          </cell>
        </row>
        <row r="9485">
          <cell r="AB9485">
            <v>0</v>
          </cell>
        </row>
        <row r="9486">
          <cell r="AB9486">
            <v>0</v>
          </cell>
        </row>
        <row r="9487">
          <cell r="AB9487">
            <v>0</v>
          </cell>
        </row>
        <row r="9488">
          <cell r="AB9488">
            <v>0</v>
          </cell>
        </row>
        <row r="9489">
          <cell r="AB9489">
            <v>0</v>
          </cell>
        </row>
        <row r="9490">
          <cell r="AB9490">
            <v>0</v>
          </cell>
        </row>
        <row r="9491">
          <cell r="AB9491">
            <v>0</v>
          </cell>
        </row>
        <row r="9492">
          <cell r="AB9492">
            <v>0</v>
          </cell>
        </row>
        <row r="9493">
          <cell r="AB9493">
            <v>0</v>
          </cell>
        </row>
        <row r="9494">
          <cell r="AB9494">
            <v>0</v>
          </cell>
        </row>
        <row r="9495">
          <cell r="AB9495">
            <v>0</v>
          </cell>
        </row>
        <row r="9496">
          <cell r="AB9496">
            <v>0</v>
          </cell>
        </row>
        <row r="9497">
          <cell r="AB9497">
            <v>0</v>
          </cell>
        </row>
        <row r="9498">
          <cell r="AB9498">
            <v>0</v>
          </cell>
        </row>
        <row r="9499">
          <cell r="AB9499">
            <v>0</v>
          </cell>
        </row>
        <row r="9500">
          <cell r="AB9500">
            <v>0</v>
          </cell>
        </row>
        <row r="9501">
          <cell r="AB9501">
            <v>0</v>
          </cell>
        </row>
        <row r="9502">
          <cell r="AB9502">
            <v>0</v>
          </cell>
        </row>
        <row r="9503">
          <cell r="AB9503">
            <v>0</v>
          </cell>
        </row>
        <row r="9504">
          <cell r="AB9504">
            <v>0</v>
          </cell>
        </row>
        <row r="9505">
          <cell r="AB9505">
            <v>0</v>
          </cell>
        </row>
        <row r="9506">
          <cell r="AB9506">
            <v>0</v>
          </cell>
        </row>
        <row r="9507">
          <cell r="AB9507">
            <v>0</v>
          </cell>
        </row>
        <row r="9508">
          <cell r="AB9508">
            <v>0</v>
          </cell>
        </row>
        <row r="9509">
          <cell r="AB9509">
            <v>0</v>
          </cell>
        </row>
        <row r="9510">
          <cell r="AB9510">
            <v>0</v>
          </cell>
        </row>
        <row r="9511">
          <cell r="AB9511">
            <v>0</v>
          </cell>
        </row>
        <row r="9512">
          <cell r="AB9512">
            <v>0</v>
          </cell>
        </row>
        <row r="9513">
          <cell r="AB9513">
            <v>0</v>
          </cell>
        </row>
        <row r="9514">
          <cell r="AB9514">
            <v>0</v>
          </cell>
        </row>
        <row r="9515">
          <cell r="AB9515">
            <v>0</v>
          </cell>
        </row>
        <row r="9516">
          <cell r="AB9516">
            <v>0</v>
          </cell>
        </row>
        <row r="9517">
          <cell r="AB9517">
            <v>0</v>
          </cell>
        </row>
        <row r="9518">
          <cell r="AB9518">
            <v>0</v>
          </cell>
        </row>
        <row r="9519">
          <cell r="AB9519">
            <v>0</v>
          </cell>
        </row>
        <row r="9520">
          <cell r="AB9520">
            <v>0</v>
          </cell>
        </row>
        <row r="9521">
          <cell r="AB9521">
            <v>0</v>
          </cell>
        </row>
        <row r="9522">
          <cell r="AB9522">
            <v>0</v>
          </cell>
        </row>
        <row r="9523">
          <cell r="AB9523">
            <v>0</v>
          </cell>
        </row>
        <row r="9524">
          <cell r="AB9524">
            <v>0</v>
          </cell>
        </row>
        <row r="9525">
          <cell r="AB9525">
            <v>0</v>
          </cell>
        </row>
        <row r="9526">
          <cell r="AB9526">
            <v>0</v>
          </cell>
        </row>
        <row r="9527">
          <cell r="AB9527">
            <v>0</v>
          </cell>
        </row>
        <row r="9528">
          <cell r="AB9528">
            <v>0</v>
          </cell>
        </row>
        <row r="9529">
          <cell r="AB9529">
            <v>0</v>
          </cell>
        </row>
        <row r="9530">
          <cell r="AB9530">
            <v>0</v>
          </cell>
        </row>
        <row r="9531">
          <cell r="AB9531">
            <v>0</v>
          </cell>
        </row>
        <row r="9532">
          <cell r="AB9532">
            <v>0</v>
          </cell>
        </row>
        <row r="9533">
          <cell r="AB9533">
            <v>0</v>
          </cell>
        </row>
        <row r="9534">
          <cell r="AB9534">
            <v>0</v>
          </cell>
        </row>
        <row r="9535">
          <cell r="AB9535">
            <v>0</v>
          </cell>
        </row>
        <row r="9536">
          <cell r="AB9536">
            <v>0</v>
          </cell>
        </row>
        <row r="9537">
          <cell r="AB9537">
            <v>0</v>
          </cell>
        </row>
        <row r="9538">
          <cell r="AB9538">
            <v>0</v>
          </cell>
        </row>
        <row r="9539">
          <cell r="AB9539">
            <v>0</v>
          </cell>
        </row>
        <row r="9540">
          <cell r="AB9540">
            <v>0</v>
          </cell>
        </row>
        <row r="9541">
          <cell r="AB9541">
            <v>0</v>
          </cell>
        </row>
        <row r="9542">
          <cell r="AB9542">
            <v>0</v>
          </cell>
        </row>
        <row r="9543">
          <cell r="AB9543">
            <v>0</v>
          </cell>
        </row>
        <row r="9544">
          <cell r="AB9544">
            <v>0</v>
          </cell>
        </row>
        <row r="9545">
          <cell r="AB9545">
            <v>0</v>
          </cell>
        </row>
        <row r="9546">
          <cell r="AB9546">
            <v>0</v>
          </cell>
        </row>
        <row r="9547">
          <cell r="AB9547">
            <v>0</v>
          </cell>
        </row>
        <row r="9548">
          <cell r="AB9548">
            <v>0</v>
          </cell>
        </row>
        <row r="9549">
          <cell r="AB9549">
            <v>0</v>
          </cell>
        </row>
        <row r="9550">
          <cell r="AB9550">
            <v>0</v>
          </cell>
        </row>
        <row r="9551">
          <cell r="AB9551">
            <v>0</v>
          </cell>
        </row>
        <row r="9552">
          <cell r="AB9552">
            <v>0</v>
          </cell>
        </row>
        <row r="9553">
          <cell r="AB9553">
            <v>0</v>
          </cell>
        </row>
        <row r="9554">
          <cell r="AB9554">
            <v>0</v>
          </cell>
        </row>
        <row r="9555">
          <cell r="AB9555">
            <v>0</v>
          </cell>
        </row>
        <row r="9556">
          <cell r="AB9556">
            <v>0</v>
          </cell>
        </row>
        <row r="9557">
          <cell r="AB9557">
            <v>0</v>
          </cell>
        </row>
        <row r="9558">
          <cell r="AB9558">
            <v>0</v>
          </cell>
        </row>
        <row r="9559">
          <cell r="AB9559">
            <v>0</v>
          </cell>
        </row>
        <row r="9560">
          <cell r="AB9560">
            <v>0</v>
          </cell>
        </row>
        <row r="9561">
          <cell r="AB9561">
            <v>0</v>
          </cell>
        </row>
        <row r="9562">
          <cell r="AB9562">
            <v>0</v>
          </cell>
        </row>
        <row r="9563">
          <cell r="AB9563">
            <v>0</v>
          </cell>
        </row>
        <row r="9564">
          <cell r="AB9564">
            <v>0</v>
          </cell>
        </row>
        <row r="9565">
          <cell r="AB9565">
            <v>0</v>
          </cell>
        </row>
        <row r="9566">
          <cell r="AB9566">
            <v>0</v>
          </cell>
        </row>
        <row r="9567">
          <cell r="AB9567">
            <v>0</v>
          </cell>
        </row>
        <row r="9568">
          <cell r="AB9568">
            <v>0</v>
          </cell>
        </row>
        <row r="9569">
          <cell r="AB9569">
            <v>0</v>
          </cell>
        </row>
        <row r="9570">
          <cell r="AB9570">
            <v>0</v>
          </cell>
        </row>
        <row r="9571">
          <cell r="AB9571">
            <v>0</v>
          </cell>
        </row>
        <row r="9572">
          <cell r="AB9572">
            <v>0</v>
          </cell>
        </row>
        <row r="9573">
          <cell r="AB9573">
            <v>0</v>
          </cell>
        </row>
        <row r="9574">
          <cell r="AB9574">
            <v>0</v>
          </cell>
        </row>
        <row r="9575">
          <cell r="AB9575">
            <v>0</v>
          </cell>
        </row>
        <row r="9576">
          <cell r="AB9576">
            <v>0</v>
          </cell>
        </row>
        <row r="9577">
          <cell r="AB9577">
            <v>0</v>
          </cell>
        </row>
        <row r="9578">
          <cell r="AB9578">
            <v>0</v>
          </cell>
        </row>
        <row r="9579">
          <cell r="AB9579">
            <v>0</v>
          </cell>
        </row>
        <row r="9580">
          <cell r="AB9580">
            <v>0</v>
          </cell>
        </row>
        <row r="9581">
          <cell r="AB9581">
            <v>0</v>
          </cell>
        </row>
        <row r="9582">
          <cell r="AB9582">
            <v>0</v>
          </cell>
        </row>
        <row r="9583">
          <cell r="AB9583">
            <v>0</v>
          </cell>
        </row>
        <row r="9584">
          <cell r="AB9584">
            <v>0</v>
          </cell>
        </row>
        <row r="9585">
          <cell r="AB9585">
            <v>0</v>
          </cell>
        </row>
        <row r="9586">
          <cell r="AB9586">
            <v>0</v>
          </cell>
        </row>
        <row r="9587">
          <cell r="AB9587">
            <v>0</v>
          </cell>
        </row>
        <row r="9588">
          <cell r="AB9588">
            <v>0</v>
          </cell>
        </row>
        <row r="9589">
          <cell r="AB9589">
            <v>0</v>
          </cell>
        </row>
        <row r="9590">
          <cell r="AB9590">
            <v>0</v>
          </cell>
        </row>
        <row r="9591">
          <cell r="AB9591">
            <v>0</v>
          </cell>
        </row>
        <row r="9592">
          <cell r="AB9592">
            <v>0</v>
          </cell>
        </row>
        <row r="9593">
          <cell r="AB9593">
            <v>0</v>
          </cell>
        </row>
        <row r="9594">
          <cell r="AB9594">
            <v>0</v>
          </cell>
        </row>
        <row r="9595">
          <cell r="AB9595">
            <v>0</v>
          </cell>
        </row>
        <row r="9596">
          <cell r="AB9596">
            <v>0</v>
          </cell>
        </row>
        <row r="9597">
          <cell r="AB9597">
            <v>0</v>
          </cell>
        </row>
        <row r="9598">
          <cell r="AB9598">
            <v>0</v>
          </cell>
        </row>
        <row r="9599">
          <cell r="AB9599">
            <v>0</v>
          </cell>
        </row>
        <row r="9600">
          <cell r="AB9600">
            <v>0</v>
          </cell>
        </row>
        <row r="9601">
          <cell r="AB9601">
            <v>0</v>
          </cell>
        </row>
        <row r="9602">
          <cell r="AB9602">
            <v>0</v>
          </cell>
        </row>
        <row r="9603">
          <cell r="AB9603">
            <v>0</v>
          </cell>
        </row>
        <row r="9604">
          <cell r="AB9604">
            <v>0</v>
          </cell>
        </row>
        <row r="9605">
          <cell r="AB9605">
            <v>0</v>
          </cell>
        </row>
        <row r="9606">
          <cell r="AB9606">
            <v>0</v>
          </cell>
        </row>
        <row r="9607">
          <cell r="AB9607">
            <v>0</v>
          </cell>
        </row>
        <row r="9608">
          <cell r="AB9608">
            <v>0</v>
          </cell>
        </row>
        <row r="9609">
          <cell r="AB9609">
            <v>0</v>
          </cell>
        </row>
        <row r="9610">
          <cell r="AB9610">
            <v>0</v>
          </cell>
        </row>
        <row r="9611">
          <cell r="AB9611">
            <v>0</v>
          </cell>
        </row>
        <row r="9612">
          <cell r="AB9612">
            <v>0</v>
          </cell>
        </row>
        <row r="9613">
          <cell r="AB9613">
            <v>0</v>
          </cell>
        </row>
        <row r="9614">
          <cell r="AB9614">
            <v>0</v>
          </cell>
        </row>
        <row r="9615">
          <cell r="AB9615">
            <v>0</v>
          </cell>
        </row>
        <row r="9616">
          <cell r="AB9616">
            <v>0</v>
          </cell>
        </row>
        <row r="9617">
          <cell r="AB9617">
            <v>0</v>
          </cell>
        </row>
        <row r="9618">
          <cell r="AB9618">
            <v>0</v>
          </cell>
        </row>
        <row r="9619">
          <cell r="AB9619">
            <v>0</v>
          </cell>
        </row>
        <row r="9620">
          <cell r="AB9620">
            <v>0</v>
          </cell>
        </row>
        <row r="9621">
          <cell r="AB9621">
            <v>0</v>
          </cell>
        </row>
        <row r="9622">
          <cell r="AB9622">
            <v>0</v>
          </cell>
        </row>
        <row r="9623">
          <cell r="AB9623">
            <v>0</v>
          </cell>
        </row>
        <row r="9624">
          <cell r="AB9624">
            <v>0</v>
          </cell>
        </row>
        <row r="9625">
          <cell r="AB9625">
            <v>0</v>
          </cell>
        </row>
        <row r="9626">
          <cell r="AB9626">
            <v>0</v>
          </cell>
        </row>
        <row r="9627">
          <cell r="AB9627">
            <v>0</v>
          </cell>
        </row>
        <row r="9628">
          <cell r="AB9628">
            <v>0</v>
          </cell>
        </row>
        <row r="9629">
          <cell r="AB9629">
            <v>0</v>
          </cell>
        </row>
        <row r="9630">
          <cell r="AB9630">
            <v>0</v>
          </cell>
        </row>
        <row r="9631">
          <cell r="AB9631">
            <v>0</v>
          </cell>
        </row>
        <row r="9632">
          <cell r="AB9632">
            <v>0</v>
          </cell>
        </row>
        <row r="9633">
          <cell r="AB9633">
            <v>0</v>
          </cell>
        </row>
        <row r="9634">
          <cell r="AB9634">
            <v>0</v>
          </cell>
        </row>
        <row r="9635">
          <cell r="AB9635">
            <v>0</v>
          </cell>
        </row>
        <row r="9636">
          <cell r="AB9636">
            <v>0</v>
          </cell>
        </row>
        <row r="9637">
          <cell r="AB9637">
            <v>0</v>
          </cell>
        </row>
        <row r="9638">
          <cell r="AB9638">
            <v>0</v>
          </cell>
        </row>
        <row r="9639">
          <cell r="AB9639">
            <v>0</v>
          </cell>
        </row>
        <row r="9640">
          <cell r="AB9640">
            <v>0</v>
          </cell>
        </row>
        <row r="9641">
          <cell r="AB9641">
            <v>0</v>
          </cell>
        </row>
        <row r="9642">
          <cell r="AB9642">
            <v>0</v>
          </cell>
        </row>
        <row r="9643">
          <cell r="AB9643">
            <v>0</v>
          </cell>
        </row>
        <row r="9644">
          <cell r="AB9644">
            <v>0</v>
          </cell>
        </row>
        <row r="9645">
          <cell r="AB9645">
            <v>0</v>
          </cell>
        </row>
        <row r="9646">
          <cell r="AB9646">
            <v>0</v>
          </cell>
        </row>
        <row r="9647">
          <cell r="AB9647">
            <v>0</v>
          </cell>
        </row>
        <row r="9648">
          <cell r="AB9648">
            <v>0</v>
          </cell>
        </row>
        <row r="9649">
          <cell r="AB9649">
            <v>0</v>
          </cell>
        </row>
        <row r="9650">
          <cell r="AB9650">
            <v>0</v>
          </cell>
        </row>
        <row r="9651">
          <cell r="AB9651">
            <v>0</v>
          </cell>
        </row>
        <row r="9652">
          <cell r="AB9652">
            <v>0</v>
          </cell>
        </row>
        <row r="9653">
          <cell r="AB9653">
            <v>0</v>
          </cell>
        </row>
        <row r="9654">
          <cell r="AB9654">
            <v>0</v>
          </cell>
        </row>
        <row r="9655">
          <cell r="AB9655">
            <v>0</v>
          </cell>
        </row>
        <row r="9656">
          <cell r="AB9656">
            <v>0</v>
          </cell>
        </row>
        <row r="9657">
          <cell r="AB9657">
            <v>0</v>
          </cell>
        </row>
        <row r="9658">
          <cell r="AB9658">
            <v>0</v>
          </cell>
        </row>
        <row r="9659">
          <cell r="AB9659">
            <v>0</v>
          </cell>
        </row>
        <row r="9660">
          <cell r="AB9660">
            <v>0</v>
          </cell>
        </row>
        <row r="9661">
          <cell r="AB9661">
            <v>0</v>
          </cell>
        </row>
        <row r="9662">
          <cell r="AB9662">
            <v>0</v>
          </cell>
        </row>
        <row r="9663">
          <cell r="AB9663">
            <v>0</v>
          </cell>
        </row>
        <row r="9664">
          <cell r="AB9664">
            <v>0</v>
          </cell>
        </row>
        <row r="9665">
          <cell r="AB9665">
            <v>0</v>
          </cell>
        </row>
        <row r="9666">
          <cell r="AB9666">
            <v>0</v>
          </cell>
        </row>
        <row r="9667">
          <cell r="AB9667">
            <v>0</v>
          </cell>
        </row>
        <row r="9668">
          <cell r="AB9668">
            <v>0</v>
          </cell>
        </row>
        <row r="9669">
          <cell r="AB9669">
            <v>0</v>
          </cell>
        </row>
        <row r="9670">
          <cell r="AB9670">
            <v>0</v>
          </cell>
        </row>
        <row r="9671">
          <cell r="AB9671">
            <v>0</v>
          </cell>
        </row>
        <row r="9672">
          <cell r="AB9672">
            <v>0</v>
          </cell>
        </row>
        <row r="9673">
          <cell r="AB9673">
            <v>0</v>
          </cell>
        </row>
        <row r="9674">
          <cell r="AB9674">
            <v>0</v>
          </cell>
        </row>
        <row r="9675">
          <cell r="AB9675">
            <v>0</v>
          </cell>
        </row>
        <row r="9676">
          <cell r="AB9676">
            <v>0</v>
          </cell>
        </row>
        <row r="9677">
          <cell r="AB9677">
            <v>0</v>
          </cell>
        </row>
        <row r="9678">
          <cell r="AB9678">
            <v>0</v>
          </cell>
        </row>
        <row r="9679">
          <cell r="AB9679">
            <v>0</v>
          </cell>
        </row>
        <row r="9680">
          <cell r="AB9680">
            <v>0</v>
          </cell>
        </row>
        <row r="9681">
          <cell r="AB9681">
            <v>0</v>
          </cell>
        </row>
        <row r="9682">
          <cell r="AB9682">
            <v>0</v>
          </cell>
        </row>
        <row r="9683">
          <cell r="AB9683">
            <v>0</v>
          </cell>
        </row>
        <row r="9684">
          <cell r="AB9684">
            <v>0</v>
          </cell>
        </row>
        <row r="9685">
          <cell r="AB9685">
            <v>0</v>
          </cell>
        </row>
        <row r="9686">
          <cell r="AB9686">
            <v>0</v>
          </cell>
        </row>
        <row r="9687">
          <cell r="AB9687">
            <v>0</v>
          </cell>
        </row>
        <row r="9688">
          <cell r="AB9688">
            <v>0</v>
          </cell>
        </row>
        <row r="9689">
          <cell r="AB9689">
            <v>0</v>
          </cell>
        </row>
        <row r="9690">
          <cell r="AB9690">
            <v>0</v>
          </cell>
        </row>
        <row r="9691">
          <cell r="AB9691">
            <v>0</v>
          </cell>
        </row>
        <row r="9692">
          <cell r="AB9692">
            <v>0</v>
          </cell>
        </row>
        <row r="9693">
          <cell r="AB9693">
            <v>0</v>
          </cell>
        </row>
        <row r="9694">
          <cell r="AB9694">
            <v>0</v>
          </cell>
        </row>
        <row r="9695">
          <cell r="AB9695">
            <v>0</v>
          </cell>
        </row>
        <row r="9696">
          <cell r="AB9696">
            <v>0</v>
          </cell>
        </row>
        <row r="9697">
          <cell r="AB9697">
            <v>0</v>
          </cell>
        </row>
        <row r="9698">
          <cell r="AB9698">
            <v>0</v>
          </cell>
        </row>
        <row r="9699">
          <cell r="AB9699">
            <v>0</v>
          </cell>
        </row>
        <row r="9700">
          <cell r="AB9700">
            <v>0</v>
          </cell>
        </row>
        <row r="9701">
          <cell r="AB9701">
            <v>0</v>
          </cell>
        </row>
        <row r="9702">
          <cell r="AB9702">
            <v>0</v>
          </cell>
        </row>
        <row r="9703">
          <cell r="AB9703">
            <v>0</v>
          </cell>
        </row>
        <row r="9704">
          <cell r="AB9704">
            <v>0</v>
          </cell>
        </row>
        <row r="9705">
          <cell r="AB9705">
            <v>0</v>
          </cell>
        </row>
        <row r="9706">
          <cell r="AB9706">
            <v>0</v>
          </cell>
        </row>
        <row r="9707">
          <cell r="AB9707">
            <v>0</v>
          </cell>
        </row>
        <row r="9708">
          <cell r="AB9708">
            <v>0</v>
          </cell>
        </row>
        <row r="9709">
          <cell r="AB9709">
            <v>0</v>
          </cell>
        </row>
        <row r="9710">
          <cell r="AB9710">
            <v>0</v>
          </cell>
        </row>
        <row r="9711">
          <cell r="AB9711">
            <v>0</v>
          </cell>
        </row>
        <row r="9712">
          <cell r="AB9712">
            <v>0</v>
          </cell>
        </row>
        <row r="9713">
          <cell r="AB9713">
            <v>0</v>
          </cell>
        </row>
        <row r="9714">
          <cell r="AB9714">
            <v>0</v>
          </cell>
        </row>
        <row r="9715">
          <cell r="AB9715">
            <v>0</v>
          </cell>
        </row>
        <row r="9716">
          <cell r="AB9716">
            <v>0</v>
          </cell>
        </row>
        <row r="9717">
          <cell r="AB9717">
            <v>0</v>
          </cell>
        </row>
        <row r="9718">
          <cell r="AB9718">
            <v>0</v>
          </cell>
        </row>
        <row r="9719">
          <cell r="AB9719">
            <v>0</v>
          </cell>
        </row>
        <row r="9720">
          <cell r="AB9720">
            <v>0</v>
          </cell>
        </row>
        <row r="9721">
          <cell r="AB9721">
            <v>0</v>
          </cell>
        </row>
        <row r="9722">
          <cell r="AB9722">
            <v>0</v>
          </cell>
        </row>
        <row r="9723">
          <cell r="AB9723">
            <v>0</v>
          </cell>
        </row>
        <row r="9724">
          <cell r="AB9724">
            <v>0</v>
          </cell>
        </row>
        <row r="9725">
          <cell r="AB9725">
            <v>0</v>
          </cell>
        </row>
        <row r="9726">
          <cell r="AB9726">
            <v>0</v>
          </cell>
        </row>
        <row r="9727">
          <cell r="AB9727">
            <v>0</v>
          </cell>
        </row>
        <row r="9728">
          <cell r="AB9728">
            <v>0</v>
          </cell>
        </row>
        <row r="9729">
          <cell r="AB9729">
            <v>0</v>
          </cell>
        </row>
        <row r="9730">
          <cell r="AB9730">
            <v>0</v>
          </cell>
        </row>
        <row r="9731">
          <cell r="AB9731">
            <v>0</v>
          </cell>
        </row>
        <row r="9732">
          <cell r="AB9732">
            <v>0</v>
          </cell>
        </row>
        <row r="9733">
          <cell r="AB9733">
            <v>0</v>
          </cell>
        </row>
        <row r="9734">
          <cell r="AB9734">
            <v>0</v>
          </cell>
        </row>
        <row r="9735">
          <cell r="AB9735">
            <v>0</v>
          </cell>
        </row>
        <row r="9736">
          <cell r="AB9736">
            <v>0</v>
          </cell>
        </row>
        <row r="9737">
          <cell r="AB9737">
            <v>0</v>
          </cell>
        </row>
        <row r="9738">
          <cell r="AB9738">
            <v>0</v>
          </cell>
        </row>
        <row r="9739">
          <cell r="AB9739">
            <v>0</v>
          </cell>
        </row>
        <row r="9740">
          <cell r="AB9740">
            <v>0</v>
          </cell>
        </row>
        <row r="9741">
          <cell r="AB9741">
            <v>0</v>
          </cell>
        </row>
        <row r="9742">
          <cell r="AB9742">
            <v>0</v>
          </cell>
        </row>
        <row r="9743">
          <cell r="AB9743">
            <v>0</v>
          </cell>
        </row>
        <row r="9744">
          <cell r="AB9744">
            <v>0</v>
          </cell>
        </row>
        <row r="9745">
          <cell r="AB9745">
            <v>0</v>
          </cell>
        </row>
        <row r="9746">
          <cell r="AB9746">
            <v>0</v>
          </cell>
        </row>
        <row r="9747">
          <cell r="AB9747">
            <v>0</v>
          </cell>
        </row>
        <row r="9748">
          <cell r="AB9748">
            <v>0</v>
          </cell>
        </row>
        <row r="9749">
          <cell r="AB9749">
            <v>0</v>
          </cell>
        </row>
        <row r="9750">
          <cell r="AB9750">
            <v>0</v>
          </cell>
        </row>
        <row r="9751">
          <cell r="AB9751">
            <v>0</v>
          </cell>
        </row>
        <row r="9752">
          <cell r="AB9752">
            <v>0</v>
          </cell>
        </row>
        <row r="9753">
          <cell r="AB9753">
            <v>0</v>
          </cell>
        </row>
        <row r="9754">
          <cell r="AB9754">
            <v>0</v>
          </cell>
        </row>
        <row r="9755">
          <cell r="AB9755">
            <v>0</v>
          </cell>
        </row>
        <row r="9756">
          <cell r="AB9756">
            <v>0</v>
          </cell>
        </row>
        <row r="9757">
          <cell r="AB9757">
            <v>0</v>
          </cell>
        </row>
        <row r="9758">
          <cell r="AB9758">
            <v>0</v>
          </cell>
        </row>
        <row r="9759">
          <cell r="AB9759">
            <v>0</v>
          </cell>
        </row>
        <row r="9760">
          <cell r="AB9760">
            <v>0</v>
          </cell>
        </row>
        <row r="9761">
          <cell r="AB9761">
            <v>0</v>
          </cell>
        </row>
        <row r="9762">
          <cell r="AB9762">
            <v>0</v>
          </cell>
        </row>
        <row r="9763">
          <cell r="AB9763">
            <v>0</v>
          </cell>
        </row>
        <row r="9764">
          <cell r="AB9764">
            <v>0</v>
          </cell>
        </row>
        <row r="9765">
          <cell r="AB9765">
            <v>0</v>
          </cell>
        </row>
        <row r="9766">
          <cell r="AB9766">
            <v>0</v>
          </cell>
        </row>
        <row r="9767">
          <cell r="AB9767">
            <v>0</v>
          </cell>
        </row>
        <row r="9768">
          <cell r="AB9768">
            <v>0</v>
          </cell>
        </row>
        <row r="9769">
          <cell r="AB9769">
            <v>0</v>
          </cell>
        </row>
        <row r="9770">
          <cell r="AB9770">
            <v>0</v>
          </cell>
        </row>
        <row r="9771">
          <cell r="AB9771">
            <v>0</v>
          </cell>
        </row>
        <row r="9772">
          <cell r="AB9772">
            <v>0</v>
          </cell>
        </row>
        <row r="9773">
          <cell r="AB9773">
            <v>0</v>
          </cell>
        </row>
        <row r="9774">
          <cell r="AB9774">
            <v>0</v>
          </cell>
        </row>
        <row r="9775">
          <cell r="AB9775">
            <v>0</v>
          </cell>
        </row>
        <row r="9776">
          <cell r="AB9776">
            <v>0</v>
          </cell>
        </row>
        <row r="9777">
          <cell r="AB9777">
            <v>0</v>
          </cell>
        </row>
        <row r="9778">
          <cell r="AB9778">
            <v>0</v>
          </cell>
        </row>
        <row r="9779">
          <cell r="AB9779">
            <v>0</v>
          </cell>
        </row>
        <row r="9780">
          <cell r="AB9780">
            <v>0</v>
          </cell>
        </row>
        <row r="9781">
          <cell r="AB9781">
            <v>0</v>
          </cell>
        </row>
        <row r="9782">
          <cell r="AB9782">
            <v>0</v>
          </cell>
        </row>
        <row r="9783">
          <cell r="AB9783">
            <v>0</v>
          </cell>
        </row>
        <row r="9784">
          <cell r="AB9784">
            <v>0</v>
          </cell>
        </row>
        <row r="9785">
          <cell r="AB9785">
            <v>0</v>
          </cell>
        </row>
        <row r="9786">
          <cell r="AB9786">
            <v>0</v>
          </cell>
        </row>
        <row r="9787">
          <cell r="AB9787">
            <v>0</v>
          </cell>
        </row>
        <row r="9788">
          <cell r="AB9788">
            <v>0</v>
          </cell>
        </row>
        <row r="9789">
          <cell r="AB9789">
            <v>0</v>
          </cell>
        </row>
        <row r="9790">
          <cell r="AB9790">
            <v>0</v>
          </cell>
        </row>
        <row r="9791">
          <cell r="AB9791">
            <v>0</v>
          </cell>
        </row>
        <row r="9792">
          <cell r="AB9792">
            <v>0</v>
          </cell>
        </row>
        <row r="9793">
          <cell r="AB9793">
            <v>0</v>
          </cell>
        </row>
        <row r="9794">
          <cell r="AB9794">
            <v>0</v>
          </cell>
        </row>
        <row r="9795">
          <cell r="AB9795">
            <v>0</v>
          </cell>
        </row>
        <row r="9796">
          <cell r="AB9796">
            <v>0</v>
          </cell>
        </row>
        <row r="9797">
          <cell r="AB9797">
            <v>0</v>
          </cell>
        </row>
        <row r="9798">
          <cell r="AB9798">
            <v>0</v>
          </cell>
        </row>
        <row r="9799">
          <cell r="AB9799">
            <v>0</v>
          </cell>
        </row>
        <row r="9800">
          <cell r="AB9800">
            <v>0</v>
          </cell>
        </row>
        <row r="9801">
          <cell r="AB9801">
            <v>0</v>
          </cell>
        </row>
        <row r="9802">
          <cell r="AB9802">
            <v>0</v>
          </cell>
        </row>
        <row r="9803">
          <cell r="AB9803">
            <v>0</v>
          </cell>
        </row>
        <row r="9804">
          <cell r="AB9804">
            <v>0</v>
          </cell>
        </row>
        <row r="9805">
          <cell r="AB9805">
            <v>0</v>
          </cell>
        </row>
        <row r="9806">
          <cell r="AB9806">
            <v>0</v>
          </cell>
        </row>
        <row r="9807">
          <cell r="AB9807">
            <v>0</v>
          </cell>
        </row>
        <row r="9808">
          <cell r="AB9808">
            <v>0</v>
          </cell>
        </row>
        <row r="9809">
          <cell r="AB9809">
            <v>0</v>
          </cell>
        </row>
        <row r="9810">
          <cell r="AB9810">
            <v>0</v>
          </cell>
        </row>
        <row r="9811">
          <cell r="AB9811">
            <v>0</v>
          </cell>
        </row>
        <row r="9812">
          <cell r="AB9812">
            <v>0</v>
          </cell>
        </row>
        <row r="9813">
          <cell r="AB9813">
            <v>0</v>
          </cell>
        </row>
        <row r="9814">
          <cell r="AB9814">
            <v>0</v>
          </cell>
        </row>
        <row r="9815">
          <cell r="AB9815">
            <v>0</v>
          </cell>
        </row>
        <row r="9816">
          <cell r="AB9816">
            <v>0</v>
          </cell>
        </row>
        <row r="9817">
          <cell r="AB9817">
            <v>0</v>
          </cell>
        </row>
        <row r="9818">
          <cell r="AB9818">
            <v>0</v>
          </cell>
        </row>
        <row r="9819">
          <cell r="AB9819">
            <v>0</v>
          </cell>
        </row>
        <row r="9820">
          <cell r="AB9820">
            <v>0</v>
          </cell>
        </row>
        <row r="9821">
          <cell r="AB9821">
            <v>0</v>
          </cell>
        </row>
        <row r="9822">
          <cell r="AB9822">
            <v>0</v>
          </cell>
        </row>
        <row r="9823">
          <cell r="AB9823">
            <v>0</v>
          </cell>
        </row>
        <row r="9824">
          <cell r="AB9824">
            <v>0</v>
          </cell>
        </row>
        <row r="9825">
          <cell r="AB9825">
            <v>0</v>
          </cell>
        </row>
        <row r="9826">
          <cell r="AB9826">
            <v>0</v>
          </cell>
        </row>
        <row r="9827">
          <cell r="AB9827">
            <v>0</v>
          </cell>
        </row>
        <row r="9828">
          <cell r="AB9828">
            <v>0</v>
          </cell>
        </row>
        <row r="9829">
          <cell r="AB9829">
            <v>0</v>
          </cell>
        </row>
        <row r="9830">
          <cell r="AB9830">
            <v>0</v>
          </cell>
        </row>
        <row r="9831">
          <cell r="AB9831">
            <v>0</v>
          </cell>
        </row>
        <row r="9832">
          <cell r="AB9832">
            <v>0</v>
          </cell>
        </row>
        <row r="9833">
          <cell r="AB9833">
            <v>0</v>
          </cell>
        </row>
        <row r="9834">
          <cell r="AB9834">
            <v>0</v>
          </cell>
        </row>
        <row r="9835">
          <cell r="AB9835">
            <v>0</v>
          </cell>
        </row>
        <row r="9836">
          <cell r="AB9836">
            <v>0</v>
          </cell>
        </row>
        <row r="9837">
          <cell r="AB9837">
            <v>0</v>
          </cell>
        </row>
        <row r="9838">
          <cell r="AB9838">
            <v>0</v>
          </cell>
        </row>
        <row r="9839">
          <cell r="AB9839">
            <v>0</v>
          </cell>
        </row>
        <row r="9840">
          <cell r="AB9840">
            <v>0</v>
          </cell>
        </row>
        <row r="9841">
          <cell r="AB9841">
            <v>0</v>
          </cell>
        </row>
        <row r="9842">
          <cell r="AB9842">
            <v>0</v>
          </cell>
        </row>
        <row r="9843">
          <cell r="AB9843">
            <v>0</v>
          </cell>
        </row>
        <row r="9844">
          <cell r="AB9844">
            <v>0</v>
          </cell>
        </row>
        <row r="9845">
          <cell r="AB9845">
            <v>0</v>
          </cell>
        </row>
        <row r="9846">
          <cell r="AB9846">
            <v>0</v>
          </cell>
        </row>
        <row r="9847">
          <cell r="AB9847">
            <v>0</v>
          </cell>
        </row>
        <row r="9848">
          <cell r="AB9848">
            <v>0</v>
          </cell>
        </row>
        <row r="9849">
          <cell r="AB9849">
            <v>0</v>
          </cell>
        </row>
        <row r="9850">
          <cell r="AB9850">
            <v>0</v>
          </cell>
        </row>
        <row r="9851">
          <cell r="AB9851">
            <v>0</v>
          </cell>
        </row>
        <row r="9852">
          <cell r="AB9852">
            <v>0</v>
          </cell>
        </row>
        <row r="9853">
          <cell r="AB9853">
            <v>0</v>
          </cell>
        </row>
        <row r="9854">
          <cell r="AB9854">
            <v>0</v>
          </cell>
        </row>
        <row r="9855">
          <cell r="AB9855">
            <v>0</v>
          </cell>
        </row>
        <row r="9856">
          <cell r="AB9856">
            <v>0</v>
          </cell>
        </row>
        <row r="9857">
          <cell r="AB9857">
            <v>0</v>
          </cell>
        </row>
        <row r="9858">
          <cell r="AB9858">
            <v>0</v>
          </cell>
        </row>
        <row r="9859">
          <cell r="AB9859">
            <v>0</v>
          </cell>
        </row>
        <row r="9860">
          <cell r="AB9860">
            <v>0</v>
          </cell>
        </row>
        <row r="9861">
          <cell r="AB9861">
            <v>0</v>
          </cell>
        </row>
        <row r="9862">
          <cell r="AB9862">
            <v>0</v>
          </cell>
        </row>
        <row r="9863">
          <cell r="AB9863">
            <v>0</v>
          </cell>
        </row>
        <row r="9864">
          <cell r="AB9864">
            <v>0</v>
          </cell>
        </row>
        <row r="9865">
          <cell r="AB9865">
            <v>0</v>
          </cell>
        </row>
        <row r="9866">
          <cell r="AB9866">
            <v>0</v>
          </cell>
        </row>
        <row r="9867">
          <cell r="AB9867">
            <v>0</v>
          </cell>
        </row>
        <row r="9868">
          <cell r="AB9868">
            <v>0</v>
          </cell>
        </row>
        <row r="9869">
          <cell r="AB9869">
            <v>0</v>
          </cell>
        </row>
        <row r="9870">
          <cell r="AB9870">
            <v>0</v>
          </cell>
        </row>
        <row r="9871">
          <cell r="AB9871">
            <v>0</v>
          </cell>
        </row>
        <row r="9872">
          <cell r="AB9872">
            <v>0</v>
          </cell>
        </row>
        <row r="9873">
          <cell r="AB9873">
            <v>0</v>
          </cell>
        </row>
        <row r="9874">
          <cell r="AB9874">
            <v>0</v>
          </cell>
        </row>
        <row r="9875">
          <cell r="AB9875">
            <v>0</v>
          </cell>
        </row>
        <row r="9876">
          <cell r="AB9876">
            <v>0</v>
          </cell>
        </row>
        <row r="9877">
          <cell r="AB9877">
            <v>0</v>
          </cell>
        </row>
        <row r="9878">
          <cell r="AB9878">
            <v>0</v>
          </cell>
        </row>
        <row r="9879">
          <cell r="AB9879">
            <v>0</v>
          </cell>
        </row>
        <row r="9880">
          <cell r="AB9880">
            <v>0</v>
          </cell>
        </row>
        <row r="9881">
          <cell r="AB9881">
            <v>0</v>
          </cell>
        </row>
        <row r="9882">
          <cell r="AB9882">
            <v>0</v>
          </cell>
        </row>
        <row r="9883">
          <cell r="AB9883">
            <v>0</v>
          </cell>
        </row>
        <row r="9884">
          <cell r="AB9884">
            <v>0</v>
          </cell>
        </row>
        <row r="9885">
          <cell r="AB9885">
            <v>0</v>
          </cell>
        </row>
        <row r="9886">
          <cell r="AB9886">
            <v>0</v>
          </cell>
        </row>
        <row r="9887">
          <cell r="AB9887">
            <v>0</v>
          </cell>
        </row>
        <row r="9888">
          <cell r="AB9888">
            <v>0</v>
          </cell>
        </row>
        <row r="9889">
          <cell r="AB9889">
            <v>0</v>
          </cell>
        </row>
        <row r="9890">
          <cell r="AB9890">
            <v>0</v>
          </cell>
        </row>
        <row r="9891">
          <cell r="AB9891">
            <v>0</v>
          </cell>
        </row>
        <row r="9892">
          <cell r="AB9892">
            <v>0</v>
          </cell>
        </row>
        <row r="9893">
          <cell r="AB9893">
            <v>0</v>
          </cell>
        </row>
        <row r="9894">
          <cell r="AB9894">
            <v>0</v>
          </cell>
        </row>
        <row r="9895">
          <cell r="AB9895">
            <v>0</v>
          </cell>
        </row>
        <row r="9896">
          <cell r="AB9896">
            <v>0</v>
          </cell>
        </row>
        <row r="9897">
          <cell r="AB9897">
            <v>0</v>
          </cell>
        </row>
        <row r="9898">
          <cell r="AB9898">
            <v>0</v>
          </cell>
        </row>
        <row r="9899">
          <cell r="AB9899">
            <v>0</v>
          </cell>
        </row>
        <row r="9900">
          <cell r="AB9900">
            <v>0</v>
          </cell>
        </row>
        <row r="9901">
          <cell r="AB9901">
            <v>0</v>
          </cell>
        </row>
        <row r="9902">
          <cell r="AB9902">
            <v>0</v>
          </cell>
        </row>
        <row r="9903">
          <cell r="AB9903">
            <v>0</v>
          </cell>
        </row>
        <row r="9904">
          <cell r="AB9904">
            <v>0</v>
          </cell>
        </row>
        <row r="9905">
          <cell r="AB9905">
            <v>0</v>
          </cell>
        </row>
        <row r="9906">
          <cell r="AB9906">
            <v>0</v>
          </cell>
        </row>
        <row r="9907">
          <cell r="AB9907">
            <v>0</v>
          </cell>
        </row>
        <row r="9908">
          <cell r="AB9908">
            <v>0</v>
          </cell>
        </row>
        <row r="9909">
          <cell r="AB9909">
            <v>0</v>
          </cell>
        </row>
        <row r="9910">
          <cell r="AB9910">
            <v>0</v>
          </cell>
        </row>
        <row r="9911">
          <cell r="AB9911">
            <v>0</v>
          </cell>
        </row>
        <row r="9912">
          <cell r="AB9912">
            <v>0</v>
          </cell>
        </row>
        <row r="9913">
          <cell r="AB9913">
            <v>0</v>
          </cell>
        </row>
        <row r="9914">
          <cell r="AB9914">
            <v>0</v>
          </cell>
        </row>
        <row r="9915">
          <cell r="AB9915">
            <v>0</v>
          </cell>
        </row>
        <row r="9916">
          <cell r="AB9916">
            <v>0</v>
          </cell>
        </row>
        <row r="9917">
          <cell r="AB9917">
            <v>0</v>
          </cell>
        </row>
        <row r="9918">
          <cell r="AB9918">
            <v>0</v>
          </cell>
        </row>
        <row r="9919">
          <cell r="AB9919">
            <v>0</v>
          </cell>
        </row>
        <row r="9920">
          <cell r="AB9920">
            <v>0</v>
          </cell>
        </row>
        <row r="9921">
          <cell r="AB9921">
            <v>0</v>
          </cell>
        </row>
        <row r="9922">
          <cell r="AB9922">
            <v>0</v>
          </cell>
        </row>
        <row r="9923">
          <cell r="AB9923">
            <v>0</v>
          </cell>
        </row>
        <row r="9924">
          <cell r="AB9924">
            <v>0</v>
          </cell>
        </row>
        <row r="9925">
          <cell r="AB9925">
            <v>0</v>
          </cell>
        </row>
        <row r="9926">
          <cell r="AB9926">
            <v>0</v>
          </cell>
        </row>
        <row r="9927">
          <cell r="AB9927">
            <v>0</v>
          </cell>
        </row>
        <row r="9928">
          <cell r="AB9928">
            <v>0</v>
          </cell>
        </row>
        <row r="9929">
          <cell r="AB9929">
            <v>0</v>
          </cell>
        </row>
        <row r="9930">
          <cell r="AB9930">
            <v>0</v>
          </cell>
        </row>
        <row r="9931">
          <cell r="AB9931">
            <v>0</v>
          </cell>
        </row>
        <row r="9932">
          <cell r="AB9932">
            <v>0</v>
          </cell>
        </row>
        <row r="9933">
          <cell r="AB9933">
            <v>0</v>
          </cell>
        </row>
        <row r="9934">
          <cell r="AB9934">
            <v>0</v>
          </cell>
        </row>
        <row r="9935">
          <cell r="AB9935">
            <v>0</v>
          </cell>
        </row>
        <row r="9936">
          <cell r="AB9936">
            <v>0</v>
          </cell>
        </row>
        <row r="9937">
          <cell r="AB9937">
            <v>0</v>
          </cell>
        </row>
        <row r="9938">
          <cell r="AB9938">
            <v>0</v>
          </cell>
        </row>
        <row r="9939">
          <cell r="AB9939">
            <v>0</v>
          </cell>
        </row>
        <row r="9940">
          <cell r="AB9940">
            <v>0</v>
          </cell>
        </row>
        <row r="9941">
          <cell r="AB9941">
            <v>0</v>
          </cell>
        </row>
        <row r="9942">
          <cell r="AB9942">
            <v>0</v>
          </cell>
        </row>
        <row r="9943">
          <cell r="AB9943">
            <v>0</v>
          </cell>
        </row>
        <row r="9944">
          <cell r="AB9944">
            <v>0</v>
          </cell>
        </row>
        <row r="9945">
          <cell r="AB9945">
            <v>0</v>
          </cell>
        </row>
        <row r="9946">
          <cell r="AB9946">
            <v>0</v>
          </cell>
        </row>
        <row r="9947">
          <cell r="AB9947">
            <v>0</v>
          </cell>
        </row>
        <row r="9948">
          <cell r="AB9948">
            <v>0</v>
          </cell>
        </row>
        <row r="9949">
          <cell r="AB9949">
            <v>0</v>
          </cell>
        </row>
        <row r="9950">
          <cell r="AB9950">
            <v>0</v>
          </cell>
        </row>
        <row r="9951">
          <cell r="AB9951">
            <v>0</v>
          </cell>
        </row>
        <row r="9952">
          <cell r="AB9952">
            <v>0</v>
          </cell>
        </row>
        <row r="9953">
          <cell r="AB9953">
            <v>0</v>
          </cell>
        </row>
        <row r="9954">
          <cell r="AB9954">
            <v>0</v>
          </cell>
        </row>
        <row r="9955">
          <cell r="AB9955">
            <v>0</v>
          </cell>
        </row>
        <row r="9956">
          <cell r="AB9956">
            <v>0</v>
          </cell>
        </row>
        <row r="9957">
          <cell r="AB9957">
            <v>0</v>
          </cell>
        </row>
        <row r="9958">
          <cell r="AB9958">
            <v>0</v>
          </cell>
        </row>
        <row r="9959">
          <cell r="AB9959">
            <v>0</v>
          </cell>
        </row>
        <row r="9960">
          <cell r="AB9960">
            <v>0</v>
          </cell>
        </row>
        <row r="9961">
          <cell r="AB9961">
            <v>0</v>
          </cell>
        </row>
        <row r="9962">
          <cell r="AB9962">
            <v>0</v>
          </cell>
        </row>
        <row r="9963">
          <cell r="AB9963">
            <v>0</v>
          </cell>
        </row>
        <row r="9964">
          <cell r="AB9964">
            <v>0</v>
          </cell>
        </row>
        <row r="9965">
          <cell r="AB9965">
            <v>0</v>
          </cell>
        </row>
        <row r="9966">
          <cell r="AB9966">
            <v>0</v>
          </cell>
        </row>
        <row r="9967">
          <cell r="AB9967">
            <v>0</v>
          </cell>
        </row>
        <row r="9968">
          <cell r="AB9968">
            <v>0</v>
          </cell>
        </row>
        <row r="9969">
          <cell r="AB9969">
            <v>0</v>
          </cell>
        </row>
        <row r="9970">
          <cell r="AB9970">
            <v>0</v>
          </cell>
        </row>
        <row r="9971">
          <cell r="AB9971">
            <v>0</v>
          </cell>
        </row>
        <row r="9972">
          <cell r="AB9972">
            <v>0</v>
          </cell>
        </row>
        <row r="9973">
          <cell r="AB9973">
            <v>0</v>
          </cell>
        </row>
        <row r="9974">
          <cell r="AB9974">
            <v>0</v>
          </cell>
        </row>
        <row r="9975">
          <cell r="AB9975">
            <v>0</v>
          </cell>
        </row>
        <row r="9976">
          <cell r="AB9976">
            <v>0</v>
          </cell>
        </row>
        <row r="9977">
          <cell r="AB9977">
            <v>0</v>
          </cell>
        </row>
        <row r="9978">
          <cell r="AB9978">
            <v>0</v>
          </cell>
        </row>
        <row r="9979">
          <cell r="AB9979">
            <v>0</v>
          </cell>
        </row>
        <row r="9980">
          <cell r="AB9980">
            <v>0</v>
          </cell>
        </row>
        <row r="9981">
          <cell r="AB9981">
            <v>0</v>
          </cell>
        </row>
        <row r="9982">
          <cell r="AB9982">
            <v>0</v>
          </cell>
        </row>
        <row r="9983">
          <cell r="AB9983">
            <v>0</v>
          </cell>
        </row>
        <row r="9984">
          <cell r="AB9984">
            <v>0</v>
          </cell>
        </row>
        <row r="9985">
          <cell r="AB9985">
            <v>0</v>
          </cell>
        </row>
        <row r="9986">
          <cell r="AB9986">
            <v>0</v>
          </cell>
        </row>
        <row r="9987">
          <cell r="AB9987">
            <v>0</v>
          </cell>
        </row>
        <row r="9988">
          <cell r="AB9988">
            <v>0</v>
          </cell>
        </row>
        <row r="9989">
          <cell r="AB9989">
            <v>0</v>
          </cell>
        </row>
        <row r="9990">
          <cell r="AB9990">
            <v>0</v>
          </cell>
        </row>
        <row r="9991">
          <cell r="AB9991">
            <v>0</v>
          </cell>
        </row>
        <row r="9992">
          <cell r="AB9992">
            <v>0</v>
          </cell>
        </row>
        <row r="9993">
          <cell r="AB9993">
            <v>0</v>
          </cell>
        </row>
        <row r="9994">
          <cell r="AB9994">
            <v>0</v>
          </cell>
        </row>
        <row r="9995">
          <cell r="AB9995">
            <v>0</v>
          </cell>
        </row>
        <row r="9996">
          <cell r="AB9996">
            <v>0</v>
          </cell>
        </row>
        <row r="9997">
          <cell r="AB9997">
            <v>0</v>
          </cell>
        </row>
        <row r="9998">
          <cell r="AB9998">
            <v>0</v>
          </cell>
        </row>
        <row r="9999">
          <cell r="AB9999">
            <v>0</v>
          </cell>
        </row>
        <row r="10000">
          <cell r="AB10000">
            <v>0</v>
          </cell>
        </row>
        <row r="10001">
          <cell r="AB10001">
            <v>0</v>
          </cell>
        </row>
        <row r="10002">
          <cell r="AB10002">
            <v>0</v>
          </cell>
        </row>
        <row r="10003">
          <cell r="AB10003">
            <v>0</v>
          </cell>
        </row>
        <row r="10004">
          <cell r="AB10004">
            <v>0</v>
          </cell>
        </row>
        <row r="10005">
          <cell r="AB10005">
            <v>0</v>
          </cell>
        </row>
        <row r="10006">
          <cell r="AB10006">
            <v>0</v>
          </cell>
        </row>
        <row r="10007">
          <cell r="AB10007">
            <v>0</v>
          </cell>
        </row>
        <row r="10008">
          <cell r="AB10008">
            <v>0</v>
          </cell>
        </row>
        <row r="10009">
          <cell r="AB10009">
            <v>0</v>
          </cell>
        </row>
        <row r="10010">
          <cell r="AB10010">
            <v>0</v>
          </cell>
        </row>
        <row r="10011">
          <cell r="AB10011">
            <v>0</v>
          </cell>
        </row>
        <row r="10012">
          <cell r="AB10012">
            <v>0</v>
          </cell>
        </row>
        <row r="10013">
          <cell r="AB10013">
            <v>0</v>
          </cell>
        </row>
        <row r="10014">
          <cell r="AB10014">
            <v>0</v>
          </cell>
        </row>
        <row r="10015">
          <cell r="AB10015">
            <v>0</v>
          </cell>
        </row>
        <row r="10016">
          <cell r="AB10016">
            <v>0</v>
          </cell>
        </row>
        <row r="10017">
          <cell r="AB10017">
            <v>0</v>
          </cell>
        </row>
        <row r="10018">
          <cell r="AB10018">
            <v>0</v>
          </cell>
        </row>
        <row r="10019">
          <cell r="AB10019">
            <v>0</v>
          </cell>
        </row>
        <row r="10020">
          <cell r="AB10020">
            <v>0</v>
          </cell>
        </row>
        <row r="10021">
          <cell r="AB10021">
            <v>0</v>
          </cell>
        </row>
        <row r="10022">
          <cell r="AB10022">
            <v>0</v>
          </cell>
        </row>
        <row r="10023">
          <cell r="AB10023">
            <v>0</v>
          </cell>
        </row>
        <row r="10024">
          <cell r="AB10024">
            <v>0</v>
          </cell>
        </row>
        <row r="10025">
          <cell r="AB10025">
            <v>0</v>
          </cell>
        </row>
        <row r="10026">
          <cell r="AB10026">
            <v>0</v>
          </cell>
        </row>
        <row r="10027">
          <cell r="AB10027">
            <v>0</v>
          </cell>
        </row>
        <row r="10028">
          <cell r="AB10028">
            <v>0</v>
          </cell>
        </row>
        <row r="10029">
          <cell r="AB10029">
            <v>0</v>
          </cell>
        </row>
        <row r="10030">
          <cell r="AB10030">
            <v>0</v>
          </cell>
        </row>
        <row r="10031">
          <cell r="AB10031">
            <v>0</v>
          </cell>
        </row>
        <row r="10032">
          <cell r="AB10032">
            <v>0</v>
          </cell>
        </row>
        <row r="10033">
          <cell r="AB10033">
            <v>0</v>
          </cell>
        </row>
        <row r="10034">
          <cell r="AB10034">
            <v>0</v>
          </cell>
        </row>
        <row r="10035">
          <cell r="AB10035">
            <v>0</v>
          </cell>
        </row>
        <row r="10036">
          <cell r="AB10036">
            <v>0</v>
          </cell>
        </row>
        <row r="10037">
          <cell r="AB10037">
            <v>0</v>
          </cell>
        </row>
        <row r="10038">
          <cell r="AB10038">
            <v>0</v>
          </cell>
        </row>
        <row r="10039">
          <cell r="AB10039">
            <v>0</v>
          </cell>
        </row>
        <row r="10040">
          <cell r="AB10040">
            <v>0</v>
          </cell>
        </row>
        <row r="10041">
          <cell r="AB10041">
            <v>0</v>
          </cell>
        </row>
        <row r="10042">
          <cell r="AB10042">
            <v>0</v>
          </cell>
        </row>
        <row r="10043">
          <cell r="AB10043">
            <v>0</v>
          </cell>
        </row>
        <row r="10044">
          <cell r="AB10044">
            <v>0</v>
          </cell>
        </row>
        <row r="10045">
          <cell r="AB10045">
            <v>0</v>
          </cell>
        </row>
        <row r="10046">
          <cell r="AB10046">
            <v>0</v>
          </cell>
        </row>
        <row r="10047">
          <cell r="AB10047">
            <v>0</v>
          </cell>
        </row>
        <row r="10048">
          <cell r="AB10048">
            <v>0</v>
          </cell>
        </row>
        <row r="10049">
          <cell r="AB10049">
            <v>0</v>
          </cell>
        </row>
        <row r="10050">
          <cell r="AB10050">
            <v>0</v>
          </cell>
        </row>
        <row r="10051">
          <cell r="AB10051">
            <v>0</v>
          </cell>
        </row>
        <row r="10052">
          <cell r="AB10052">
            <v>0</v>
          </cell>
        </row>
        <row r="10053">
          <cell r="AB10053">
            <v>0</v>
          </cell>
        </row>
        <row r="10054">
          <cell r="AB10054">
            <v>0</v>
          </cell>
        </row>
        <row r="10055">
          <cell r="AB10055">
            <v>0</v>
          </cell>
        </row>
        <row r="10056">
          <cell r="AB10056">
            <v>0</v>
          </cell>
        </row>
        <row r="10057">
          <cell r="AB10057">
            <v>0</v>
          </cell>
        </row>
        <row r="10058">
          <cell r="AB10058">
            <v>0</v>
          </cell>
        </row>
        <row r="10059">
          <cell r="AB10059">
            <v>0</v>
          </cell>
        </row>
        <row r="10060">
          <cell r="AB10060">
            <v>0</v>
          </cell>
        </row>
        <row r="10061">
          <cell r="AB10061">
            <v>0</v>
          </cell>
        </row>
        <row r="10062">
          <cell r="AB10062">
            <v>0</v>
          </cell>
        </row>
        <row r="10063">
          <cell r="AB10063">
            <v>0</v>
          </cell>
        </row>
        <row r="10064">
          <cell r="AB10064">
            <v>0</v>
          </cell>
        </row>
        <row r="10065">
          <cell r="AB10065">
            <v>0</v>
          </cell>
        </row>
        <row r="10066">
          <cell r="AB10066">
            <v>0</v>
          </cell>
        </row>
        <row r="10067">
          <cell r="AB10067">
            <v>0</v>
          </cell>
        </row>
        <row r="10068">
          <cell r="AB10068">
            <v>0</v>
          </cell>
        </row>
        <row r="10069">
          <cell r="AB10069">
            <v>0</v>
          </cell>
        </row>
        <row r="10070">
          <cell r="AB10070">
            <v>0</v>
          </cell>
        </row>
        <row r="10071">
          <cell r="AB10071">
            <v>0</v>
          </cell>
        </row>
        <row r="10072">
          <cell r="AB10072">
            <v>0</v>
          </cell>
        </row>
        <row r="10073">
          <cell r="AB10073">
            <v>0</v>
          </cell>
        </row>
        <row r="10074">
          <cell r="AB10074">
            <v>0</v>
          </cell>
        </row>
        <row r="10075">
          <cell r="AB10075">
            <v>0</v>
          </cell>
        </row>
        <row r="10076">
          <cell r="AB10076">
            <v>0</v>
          </cell>
        </row>
        <row r="10077">
          <cell r="AB10077">
            <v>0</v>
          </cell>
        </row>
        <row r="10078">
          <cell r="AB10078">
            <v>0</v>
          </cell>
        </row>
        <row r="10079">
          <cell r="AB10079">
            <v>0</v>
          </cell>
        </row>
        <row r="10080">
          <cell r="AB10080">
            <v>0</v>
          </cell>
        </row>
        <row r="10081">
          <cell r="AB10081">
            <v>0</v>
          </cell>
        </row>
        <row r="10082">
          <cell r="AB10082">
            <v>0</v>
          </cell>
        </row>
        <row r="10083">
          <cell r="AB10083">
            <v>0</v>
          </cell>
        </row>
        <row r="10084">
          <cell r="AB10084">
            <v>0</v>
          </cell>
        </row>
        <row r="10085">
          <cell r="AB10085">
            <v>0</v>
          </cell>
        </row>
        <row r="10086">
          <cell r="AB10086">
            <v>0</v>
          </cell>
        </row>
        <row r="10087">
          <cell r="AB10087">
            <v>0</v>
          </cell>
        </row>
        <row r="10088">
          <cell r="AB10088">
            <v>0</v>
          </cell>
        </row>
        <row r="10089">
          <cell r="AB10089">
            <v>0</v>
          </cell>
        </row>
        <row r="10090">
          <cell r="AB10090">
            <v>0</v>
          </cell>
        </row>
        <row r="10091">
          <cell r="AB10091">
            <v>0</v>
          </cell>
        </row>
        <row r="10092">
          <cell r="AB10092">
            <v>0</v>
          </cell>
        </row>
        <row r="10093">
          <cell r="AB10093">
            <v>0</v>
          </cell>
        </row>
        <row r="10094">
          <cell r="AB10094">
            <v>0</v>
          </cell>
        </row>
        <row r="10095">
          <cell r="AB10095">
            <v>0</v>
          </cell>
        </row>
        <row r="10096">
          <cell r="AB10096">
            <v>0</v>
          </cell>
        </row>
        <row r="10097">
          <cell r="AB10097">
            <v>0</v>
          </cell>
        </row>
        <row r="10098">
          <cell r="AB10098">
            <v>0</v>
          </cell>
        </row>
        <row r="10099">
          <cell r="AB10099">
            <v>0</v>
          </cell>
        </row>
        <row r="10100">
          <cell r="AB10100">
            <v>0</v>
          </cell>
        </row>
        <row r="10101">
          <cell r="AB10101">
            <v>0</v>
          </cell>
        </row>
        <row r="10102">
          <cell r="AB10102">
            <v>0</v>
          </cell>
        </row>
        <row r="10103">
          <cell r="AB10103">
            <v>0</v>
          </cell>
        </row>
        <row r="10104">
          <cell r="AB10104">
            <v>0</v>
          </cell>
        </row>
        <row r="10105">
          <cell r="AB10105">
            <v>0</v>
          </cell>
        </row>
        <row r="10106">
          <cell r="AB10106">
            <v>0</v>
          </cell>
        </row>
        <row r="10107">
          <cell r="AB10107">
            <v>0</v>
          </cell>
        </row>
        <row r="10108">
          <cell r="AB10108">
            <v>0</v>
          </cell>
        </row>
        <row r="10109">
          <cell r="AB10109">
            <v>0</v>
          </cell>
        </row>
        <row r="10110">
          <cell r="AB10110">
            <v>0</v>
          </cell>
        </row>
        <row r="10111">
          <cell r="AB10111">
            <v>0</v>
          </cell>
        </row>
        <row r="10112">
          <cell r="AB10112">
            <v>0</v>
          </cell>
        </row>
        <row r="10113">
          <cell r="AB10113">
            <v>0</v>
          </cell>
        </row>
        <row r="10114">
          <cell r="AB10114">
            <v>0</v>
          </cell>
        </row>
        <row r="10115">
          <cell r="AB10115">
            <v>0</v>
          </cell>
        </row>
        <row r="10116">
          <cell r="AB10116">
            <v>0</v>
          </cell>
        </row>
        <row r="10117">
          <cell r="AB10117">
            <v>0</v>
          </cell>
        </row>
        <row r="10118">
          <cell r="AB10118">
            <v>0</v>
          </cell>
        </row>
        <row r="10119">
          <cell r="AB10119">
            <v>0</v>
          </cell>
        </row>
        <row r="10120">
          <cell r="AB10120">
            <v>0</v>
          </cell>
        </row>
        <row r="10121">
          <cell r="AB10121">
            <v>0</v>
          </cell>
        </row>
        <row r="10122">
          <cell r="AB10122">
            <v>0</v>
          </cell>
        </row>
        <row r="10123">
          <cell r="AB10123">
            <v>0</v>
          </cell>
        </row>
        <row r="10124">
          <cell r="AB10124">
            <v>0</v>
          </cell>
        </row>
        <row r="10125">
          <cell r="AB10125">
            <v>0</v>
          </cell>
        </row>
        <row r="10126">
          <cell r="AB10126">
            <v>0</v>
          </cell>
        </row>
        <row r="10127">
          <cell r="AB10127">
            <v>0</v>
          </cell>
        </row>
        <row r="10128">
          <cell r="AB10128">
            <v>0</v>
          </cell>
        </row>
        <row r="10129">
          <cell r="AB10129">
            <v>0</v>
          </cell>
        </row>
        <row r="10130">
          <cell r="AB10130">
            <v>0</v>
          </cell>
        </row>
        <row r="10131">
          <cell r="AB10131">
            <v>0</v>
          </cell>
        </row>
        <row r="10132">
          <cell r="AB10132">
            <v>0</v>
          </cell>
        </row>
        <row r="10133">
          <cell r="AB10133">
            <v>0</v>
          </cell>
        </row>
        <row r="10134">
          <cell r="AB10134">
            <v>0</v>
          </cell>
        </row>
        <row r="10135">
          <cell r="AB10135">
            <v>0</v>
          </cell>
        </row>
        <row r="10136">
          <cell r="AB10136">
            <v>0</v>
          </cell>
        </row>
        <row r="10137">
          <cell r="AB10137">
            <v>0</v>
          </cell>
        </row>
        <row r="10138">
          <cell r="AB10138">
            <v>0</v>
          </cell>
        </row>
        <row r="10139">
          <cell r="AB10139">
            <v>0</v>
          </cell>
        </row>
        <row r="10140">
          <cell r="AB10140">
            <v>0</v>
          </cell>
        </row>
        <row r="10141">
          <cell r="AB10141">
            <v>0</v>
          </cell>
        </row>
        <row r="10142">
          <cell r="AB10142">
            <v>0</v>
          </cell>
        </row>
        <row r="10143">
          <cell r="AB10143">
            <v>0</v>
          </cell>
        </row>
        <row r="10144">
          <cell r="AB10144">
            <v>0</v>
          </cell>
        </row>
        <row r="10145">
          <cell r="AB10145">
            <v>0</v>
          </cell>
        </row>
        <row r="10146">
          <cell r="AB10146">
            <v>0</v>
          </cell>
        </row>
        <row r="10147">
          <cell r="AB10147">
            <v>0</v>
          </cell>
        </row>
        <row r="10148">
          <cell r="AB10148">
            <v>0</v>
          </cell>
        </row>
        <row r="10149">
          <cell r="AB10149">
            <v>0</v>
          </cell>
        </row>
        <row r="10150">
          <cell r="AB10150">
            <v>0</v>
          </cell>
        </row>
        <row r="10151">
          <cell r="AB10151">
            <v>0</v>
          </cell>
        </row>
        <row r="10152">
          <cell r="AB10152">
            <v>0</v>
          </cell>
        </row>
        <row r="10153">
          <cell r="AB10153">
            <v>0</v>
          </cell>
        </row>
        <row r="10154">
          <cell r="AB10154">
            <v>0</v>
          </cell>
        </row>
        <row r="10155">
          <cell r="AB10155">
            <v>0</v>
          </cell>
        </row>
        <row r="10156">
          <cell r="AB10156">
            <v>0</v>
          </cell>
        </row>
        <row r="10157">
          <cell r="AB10157">
            <v>0</v>
          </cell>
        </row>
        <row r="10158">
          <cell r="AB10158">
            <v>0</v>
          </cell>
        </row>
        <row r="10159">
          <cell r="AB10159">
            <v>0</v>
          </cell>
        </row>
        <row r="10160">
          <cell r="AB10160">
            <v>0</v>
          </cell>
        </row>
        <row r="10161">
          <cell r="AB10161">
            <v>0</v>
          </cell>
        </row>
        <row r="10162">
          <cell r="AB10162">
            <v>0</v>
          </cell>
        </row>
        <row r="10163">
          <cell r="AB10163">
            <v>0</v>
          </cell>
        </row>
        <row r="10164">
          <cell r="AB10164">
            <v>0</v>
          </cell>
        </row>
        <row r="10165">
          <cell r="AB10165">
            <v>0</v>
          </cell>
        </row>
        <row r="10166">
          <cell r="AB10166">
            <v>0</v>
          </cell>
        </row>
        <row r="10167">
          <cell r="AB10167">
            <v>0</v>
          </cell>
        </row>
        <row r="10168">
          <cell r="AB10168">
            <v>0</v>
          </cell>
        </row>
        <row r="10169">
          <cell r="AB10169">
            <v>0</v>
          </cell>
        </row>
        <row r="10170">
          <cell r="AB10170">
            <v>0</v>
          </cell>
        </row>
        <row r="10171">
          <cell r="AB10171">
            <v>0</v>
          </cell>
        </row>
        <row r="10172">
          <cell r="AB10172">
            <v>0</v>
          </cell>
        </row>
        <row r="10173">
          <cell r="AB10173">
            <v>0</v>
          </cell>
        </row>
        <row r="10174">
          <cell r="AB10174">
            <v>0</v>
          </cell>
        </row>
        <row r="10175">
          <cell r="AB10175">
            <v>0</v>
          </cell>
        </row>
        <row r="10176">
          <cell r="AB10176">
            <v>0</v>
          </cell>
        </row>
        <row r="10177">
          <cell r="AB10177">
            <v>0</v>
          </cell>
        </row>
        <row r="10178">
          <cell r="AB10178">
            <v>0</v>
          </cell>
        </row>
        <row r="10179">
          <cell r="AB10179">
            <v>0</v>
          </cell>
        </row>
        <row r="10180">
          <cell r="AB10180">
            <v>0</v>
          </cell>
        </row>
        <row r="10181">
          <cell r="AB10181">
            <v>0</v>
          </cell>
        </row>
        <row r="10182">
          <cell r="AB10182">
            <v>0</v>
          </cell>
        </row>
        <row r="10183">
          <cell r="AB10183">
            <v>0</v>
          </cell>
        </row>
        <row r="10184">
          <cell r="AB10184">
            <v>0</v>
          </cell>
        </row>
        <row r="10185">
          <cell r="AB10185">
            <v>0</v>
          </cell>
        </row>
        <row r="10186">
          <cell r="AB10186">
            <v>0</v>
          </cell>
        </row>
        <row r="10187">
          <cell r="AB10187">
            <v>0</v>
          </cell>
        </row>
        <row r="10188">
          <cell r="AB10188">
            <v>0</v>
          </cell>
        </row>
        <row r="10189">
          <cell r="AB10189">
            <v>0</v>
          </cell>
        </row>
        <row r="10190">
          <cell r="AB10190">
            <v>0</v>
          </cell>
        </row>
        <row r="10191">
          <cell r="AB10191">
            <v>0</v>
          </cell>
        </row>
        <row r="10192">
          <cell r="AB10192">
            <v>0</v>
          </cell>
        </row>
        <row r="10193">
          <cell r="AB10193">
            <v>0</v>
          </cell>
        </row>
        <row r="10194">
          <cell r="AB10194">
            <v>0</v>
          </cell>
        </row>
        <row r="10195">
          <cell r="AB10195">
            <v>0</v>
          </cell>
        </row>
        <row r="10196">
          <cell r="AB10196">
            <v>0</v>
          </cell>
        </row>
        <row r="10197">
          <cell r="AB10197">
            <v>0</v>
          </cell>
        </row>
        <row r="10198">
          <cell r="AB10198">
            <v>0</v>
          </cell>
        </row>
        <row r="10199">
          <cell r="AB10199">
            <v>0</v>
          </cell>
        </row>
        <row r="10200">
          <cell r="AB10200">
            <v>0</v>
          </cell>
        </row>
        <row r="10201">
          <cell r="AB10201">
            <v>0</v>
          </cell>
        </row>
        <row r="10202">
          <cell r="AB10202">
            <v>0</v>
          </cell>
        </row>
        <row r="10203">
          <cell r="AB10203">
            <v>0</v>
          </cell>
        </row>
        <row r="10204">
          <cell r="AB10204">
            <v>0</v>
          </cell>
        </row>
        <row r="10205">
          <cell r="AB10205">
            <v>0</v>
          </cell>
        </row>
        <row r="10206">
          <cell r="AB10206">
            <v>0</v>
          </cell>
        </row>
        <row r="10207">
          <cell r="AB10207">
            <v>0</v>
          </cell>
        </row>
        <row r="10208">
          <cell r="AB10208">
            <v>0</v>
          </cell>
        </row>
        <row r="10209">
          <cell r="AB10209">
            <v>0</v>
          </cell>
        </row>
        <row r="10210">
          <cell r="AB10210">
            <v>0</v>
          </cell>
        </row>
        <row r="10211">
          <cell r="AB10211">
            <v>0</v>
          </cell>
        </row>
        <row r="10212">
          <cell r="AB10212">
            <v>0</v>
          </cell>
        </row>
        <row r="10213">
          <cell r="AB10213">
            <v>0</v>
          </cell>
        </row>
        <row r="10214">
          <cell r="AB10214">
            <v>0</v>
          </cell>
        </row>
        <row r="10215">
          <cell r="AB10215">
            <v>0</v>
          </cell>
        </row>
        <row r="10216">
          <cell r="AB10216">
            <v>0</v>
          </cell>
        </row>
        <row r="10217">
          <cell r="AB10217">
            <v>0</v>
          </cell>
        </row>
        <row r="10218">
          <cell r="AB10218">
            <v>0</v>
          </cell>
        </row>
        <row r="10219">
          <cell r="AB10219">
            <v>0</v>
          </cell>
        </row>
        <row r="10220">
          <cell r="AB10220">
            <v>0</v>
          </cell>
        </row>
        <row r="10221">
          <cell r="AB10221">
            <v>0</v>
          </cell>
        </row>
        <row r="10222">
          <cell r="AB10222">
            <v>0</v>
          </cell>
        </row>
        <row r="10223">
          <cell r="AB10223">
            <v>0</v>
          </cell>
        </row>
        <row r="10224">
          <cell r="AB10224">
            <v>0</v>
          </cell>
        </row>
        <row r="10225">
          <cell r="AB10225">
            <v>0</v>
          </cell>
        </row>
        <row r="10226">
          <cell r="AB10226">
            <v>0</v>
          </cell>
        </row>
        <row r="10227">
          <cell r="AB10227">
            <v>0</v>
          </cell>
        </row>
        <row r="10228">
          <cell r="AB10228">
            <v>0</v>
          </cell>
        </row>
        <row r="10229">
          <cell r="AB10229">
            <v>0</v>
          </cell>
        </row>
        <row r="10230">
          <cell r="AB10230">
            <v>0</v>
          </cell>
        </row>
        <row r="10231">
          <cell r="AB10231">
            <v>0</v>
          </cell>
        </row>
        <row r="10232">
          <cell r="AB10232">
            <v>0</v>
          </cell>
        </row>
        <row r="10233">
          <cell r="AB10233">
            <v>0</v>
          </cell>
        </row>
        <row r="10234">
          <cell r="AB10234">
            <v>0</v>
          </cell>
        </row>
        <row r="10235">
          <cell r="AB10235">
            <v>0</v>
          </cell>
        </row>
        <row r="10236">
          <cell r="AB10236">
            <v>0</v>
          </cell>
        </row>
        <row r="10237">
          <cell r="AB10237">
            <v>0</v>
          </cell>
        </row>
        <row r="10238">
          <cell r="AB10238">
            <v>0</v>
          </cell>
        </row>
        <row r="10239">
          <cell r="AB10239">
            <v>0</v>
          </cell>
        </row>
        <row r="10240">
          <cell r="AB10240">
            <v>0</v>
          </cell>
        </row>
        <row r="10241">
          <cell r="AB10241">
            <v>0</v>
          </cell>
        </row>
        <row r="10242">
          <cell r="AB10242">
            <v>0</v>
          </cell>
        </row>
        <row r="10243">
          <cell r="AB10243">
            <v>0</v>
          </cell>
        </row>
        <row r="10244">
          <cell r="AB10244">
            <v>0</v>
          </cell>
        </row>
        <row r="10245">
          <cell r="AB10245">
            <v>0</v>
          </cell>
        </row>
        <row r="10246">
          <cell r="AB10246">
            <v>0</v>
          </cell>
        </row>
        <row r="10247">
          <cell r="AB10247">
            <v>0</v>
          </cell>
        </row>
        <row r="10248">
          <cell r="AB10248">
            <v>0</v>
          </cell>
        </row>
        <row r="10249">
          <cell r="AB10249">
            <v>0</v>
          </cell>
        </row>
        <row r="10250">
          <cell r="AB10250">
            <v>0</v>
          </cell>
        </row>
        <row r="10251">
          <cell r="AB10251">
            <v>0</v>
          </cell>
        </row>
        <row r="10252">
          <cell r="AB10252">
            <v>0</v>
          </cell>
        </row>
        <row r="10253">
          <cell r="AB10253">
            <v>0</v>
          </cell>
        </row>
        <row r="10254">
          <cell r="AB10254">
            <v>0</v>
          </cell>
        </row>
        <row r="10255">
          <cell r="AB10255">
            <v>0</v>
          </cell>
        </row>
        <row r="10256">
          <cell r="AB10256">
            <v>0</v>
          </cell>
        </row>
        <row r="10257">
          <cell r="AB10257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I1" t="str">
            <v>xid</v>
          </cell>
        </row>
        <row r="2">
          <cell r="I2" t="str">
            <v>10_0</v>
          </cell>
          <cell r="L2" t="str">
            <v>intens</v>
          </cell>
        </row>
        <row r="3">
          <cell r="I3" t="str">
            <v>10_1</v>
          </cell>
          <cell r="L3" t="str">
            <v>neg</v>
          </cell>
        </row>
        <row r="4">
          <cell r="I4" t="str">
            <v>40_0</v>
          </cell>
          <cell r="L4" t="str">
            <v>intens</v>
          </cell>
        </row>
        <row r="5">
          <cell r="I5" t="str">
            <v>40_1</v>
          </cell>
          <cell r="L5" t="str">
            <v>neg</v>
          </cell>
        </row>
        <row r="6">
          <cell r="I6" t="str">
            <v>50_0</v>
          </cell>
          <cell r="L6" t="str">
            <v>intens</v>
          </cell>
        </row>
        <row r="7">
          <cell r="I7" t="str">
            <v>50_1</v>
          </cell>
          <cell r="L7" t="str">
            <v>neg</v>
          </cell>
        </row>
        <row r="8">
          <cell r="I8" t="str">
            <v>63_0</v>
          </cell>
          <cell r="L8" t="str">
            <v>intens</v>
          </cell>
        </row>
        <row r="9">
          <cell r="I9" t="str">
            <v>63_1</v>
          </cell>
          <cell r="L9" t="str">
            <v>neg</v>
          </cell>
        </row>
        <row r="10">
          <cell r="I10" t="str">
            <v>87_0</v>
          </cell>
          <cell r="L10" t="str">
            <v>intens</v>
          </cell>
        </row>
        <row r="11">
          <cell r="I11" t="str">
            <v>87_1</v>
          </cell>
          <cell r="L11" t="str">
            <v>neg</v>
          </cell>
        </row>
        <row r="12">
          <cell r="I12" t="str">
            <v>89_0</v>
          </cell>
          <cell r="L12" t="str">
            <v>intens</v>
          </cell>
        </row>
        <row r="13">
          <cell r="I13" t="str">
            <v>89_1</v>
          </cell>
          <cell r="L13" t="str">
            <v>neg</v>
          </cell>
        </row>
        <row r="14">
          <cell r="I14" t="str">
            <v>92_0</v>
          </cell>
          <cell r="L14" t="str">
            <v>intens</v>
          </cell>
        </row>
        <row r="15">
          <cell r="I15" t="str">
            <v>92_1</v>
          </cell>
          <cell r="L15" t="str">
            <v>neg</v>
          </cell>
        </row>
        <row r="16">
          <cell r="I16" t="str">
            <v>102_0</v>
          </cell>
          <cell r="L16" t="str">
            <v>intens</v>
          </cell>
        </row>
        <row r="17">
          <cell r="I17" t="str">
            <v>102_1</v>
          </cell>
          <cell r="L17" t="str">
            <v>neg</v>
          </cell>
        </row>
        <row r="18">
          <cell r="I18" t="str">
            <v>113_0</v>
          </cell>
          <cell r="L18" t="str">
            <v>intens</v>
          </cell>
        </row>
        <row r="19">
          <cell r="I19" t="str">
            <v>113_1</v>
          </cell>
          <cell r="L19" t="str">
            <v>neg</v>
          </cell>
        </row>
        <row r="20">
          <cell r="I20" t="str">
            <v>131_0</v>
          </cell>
          <cell r="L20" t="str">
            <v>intens</v>
          </cell>
        </row>
        <row r="21">
          <cell r="I21" t="str">
            <v>131_1</v>
          </cell>
          <cell r="L21" t="str">
            <v>neg</v>
          </cell>
        </row>
        <row r="22">
          <cell r="I22" t="str">
            <v>138_0</v>
          </cell>
          <cell r="L22" t="str">
            <v>intens</v>
          </cell>
        </row>
        <row r="23">
          <cell r="I23" t="str">
            <v>138_1</v>
          </cell>
          <cell r="L23" t="str">
            <v>neg</v>
          </cell>
        </row>
        <row r="24">
          <cell r="I24" t="str">
            <v>139_0</v>
          </cell>
          <cell r="L24" t="str">
            <v>intens</v>
          </cell>
        </row>
        <row r="25">
          <cell r="I25" t="str">
            <v>139_1</v>
          </cell>
          <cell r="L25" t="str">
            <v>neg</v>
          </cell>
        </row>
        <row r="26">
          <cell r="I26" t="str">
            <v>143_0</v>
          </cell>
          <cell r="L26" t="str">
            <v>intens</v>
          </cell>
        </row>
        <row r="27">
          <cell r="I27" t="str">
            <v>143_1</v>
          </cell>
          <cell r="L27" t="str">
            <v>neg</v>
          </cell>
        </row>
        <row r="28">
          <cell r="I28" t="str">
            <v>144_0</v>
          </cell>
          <cell r="L28" t="str">
            <v>intens</v>
          </cell>
        </row>
        <row r="29">
          <cell r="I29" t="str">
            <v>144_1</v>
          </cell>
          <cell r="L29" t="str">
            <v>neg</v>
          </cell>
        </row>
        <row r="30">
          <cell r="I30" t="str">
            <v>175_0</v>
          </cell>
          <cell r="L30" t="str">
            <v>intens</v>
          </cell>
        </row>
        <row r="31">
          <cell r="I31" t="str">
            <v>175_1</v>
          </cell>
          <cell r="L31" t="str">
            <v>neg</v>
          </cell>
        </row>
        <row r="32">
          <cell r="I32" t="str">
            <v>185_0</v>
          </cell>
          <cell r="L32" t="str">
            <v>intens</v>
          </cell>
        </row>
        <row r="33">
          <cell r="I33" t="str">
            <v>185_1</v>
          </cell>
          <cell r="L33" t="str">
            <v>neg</v>
          </cell>
        </row>
        <row r="34">
          <cell r="I34" t="str">
            <v>200_0</v>
          </cell>
          <cell r="L34" t="str">
            <v>intens</v>
          </cell>
        </row>
        <row r="35">
          <cell r="I35" t="str">
            <v>200_1</v>
          </cell>
          <cell r="L35" t="str">
            <v>neg</v>
          </cell>
        </row>
        <row r="36">
          <cell r="I36" t="str">
            <v>205_0</v>
          </cell>
          <cell r="L36" t="str">
            <v>neg</v>
          </cell>
        </row>
        <row r="37">
          <cell r="I37" t="str">
            <v>205_1</v>
          </cell>
          <cell r="L37" t="str">
            <v>intens</v>
          </cell>
        </row>
        <row r="38">
          <cell r="I38" t="str">
            <v>215_0</v>
          </cell>
          <cell r="L38" t="str">
            <v>intens</v>
          </cell>
        </row>
        <row r="39">
          <cell r="I39" t="str">
            <v>215_1</v>
          </cell>
          <cell r="L39" t="str">
            <v>neg</v>
          </cell>
        </row>
        <row r="40">
          <cell r="I40" t="str">
            <v>234_0</v>
          </cell>
          <cell r="L40" t="str">
            <v>intens</v>
          </cell>
        </row>
        <row r="41">
          <cell r="I41" t="str">
            <v>234_1</v>
          </cell>
          <cell r="L41" t="str">
            <v>neg</v>
          </cell>
        </row>
        <row r="42">
          <cell r="I42" t="str">
            <v>238_0</v>
          </cell>
          <cell r="L42" t="str">
            <v>neg</v>
          </cell>
        </row>
        <row r="43">
          <cell r="I43" t="str">
            <v>238_1</v>
          </cell>
          <cell r="L43" t="str">
            <v>intens</v>
          </cell>
        </row>
        <row r="44">
          <cell r="I44" t="str">
            <v>261_0</v>
          </cell>
          <cell r="L44" t="str">
            <v>intens</v>
          </cell>
        </row>
        <row r="45">
          <cell r="I45" t="str">
            <v>261_1</v>
          </cell>
          <cell r="L45" t="str">
            <v>neg</v>
          </cell>
        </row>
        <row r="46">
          <cell r="I46" t="str">
            <v>262_0</v>
          </cell>
          <cell r="L46" t="str">
            <v>intens</v>
          </cell>
        </row>
        <row r="47">
          <cell r="I47" t="str">
            <v>262_1</v>
          </cell>
          <cell r="L47" t="str">
            <v>neg</v>
          </cell>
        </row>
        <row r="48">
          <cell r="I48" t="str">
            <v>264_0</v>
          </cell>
          <cell r="L48" t="str">
            <v>intens</v>
          </cell>
        </row>
        <row r="49">
          <cell r="I49" t="str">
            <v>264_1</v>
          </cell>
          <cell r="L49" t="str">
            <v>neg</v>
          </cell>
        </row>
        <row r="50">
          <cell r="I50" t="str">
            <v>267_0</v>
          </cell>
          <cell r="L50" t="str">
            <v>intens</v>
          </cell>
        </row>
        <row r="51">
          <cell r="I51" t="str">
            <v>267_1</v>
          </cell>
          <cell r="L51" t="str">
            <v>neg</v>
          </cell>
        </row>
        <row r="52">
          <cell r="I52" t="str">
            <v>269_0</v>
          </cell>
          <cell r="L52" t="str">
            <v>neg</v>
          </cell>
        </row>
        <row r="53">
          <cell r="I53" t="str">
            <v>269_1</v>
          </cell>
          <cell r="L53" t="str">
            <v>intens</v>
          </cell>
        </row>
        <row r="54">
          <cell r="I54" t="str">
            <v>280_0</v>
          </cell>
          <cell r="L54" t="str">
            <v>intens</v>
          </cell>
        </row>
        <row r="55">
          <cell r="I55" t="str">
            <v>280_1</v>
          </cell>
          <cell r="L55" t="str">
            <v>neg</v>
          </cell>
        </row>
        <row r="56">
          <cell r="I56" t="str">
            <v>293_0</v>
          </cell>
          <cell r="L56" t="str">
            <v>intens</v>
          </cell>
        </row>
        <row r="57">
          <cell r="I57" t="str">
            <v>293_1</v>
          </cell>
          <cell r="L57" t="str">
            <v>neg</v>
          </cell>
        </row>
        <row r="58">
          <cell r="I58" t="str">
            <v>295_0</v>
          </cell>
          <cell r="L58" t="str">
            <v>neg</v>
          </cell>
        </row>
        <row r="59">
          <cell r="I59" t="str">
            <v>295_1</v>
          </cell>
          <cell r="L59" t="str">
            <v>intens</v>
          </cell>
        </row>
        <row r="60">
          <cell r="I60" t="str">
            <v>305_0</v>
          </cell>
          <cell r="L60" t="str">
            <v>neg</v>
          </cell>
        </row>
        <row r="61">
          <cell r="I61" t="str">
            <v>305_1</v>
          </cell>
          <cell r="L61" t="str">
            <v>intens</v>
          </cell>
        </row>
        <row r="62">
          <cell r="I62" t="str">
            <v>309_0</v>
          </cell>
          <cell r="L62" t="str">
            <v>intens</v>
          </cell>
        </row>
        <row r="63">
          <cell r="I63" t="str">
            <v>309_1</v>
          </cell>
          <cell r="L63" t="str">
            <v>neg</v>
          </cell>
        </row>
        <row r="64">
          <cell r="I64" t="str">
            <v>317_0</v>
          </cell>
          <cell r="L64" t="str">
            <v>intens</v>
          </cell>
        </row>
        <row r="65">
          <cell r="I65" t="str">
            <v>317_1</v>
          </cell>
          <cell r="L65" t="str">
            <v>neg</v>
          </cell>
        </row>
        <row r="66">
          <cell r="I66" t="str">
            <v>323_0</v>
          </cell>
          <cell r="L66" t="str">
            <v>intens</v>
          </cell>
        </row>
        <row r="67">
          <cell r="I67" t="str">
            <v>323_1</v>
          </cell>
          <cell r="L67" t="str">
            <v>neg</v>
          </cell>
        </row>
        <row r="68">
          <cell r="I68" t="str">
            <v>329_0</v>
          </cell>
          <cell r="L68" t="str">
            <v>intens</v>
          </cell>
        </row>
        <row r="69">
          <cell r="I69" t="str">
            <v>329_1</v>
          </cell>
          <cell r="L69" t="str">
            <v>neg</v>
          </cell>
        </row>
        <row r="70">
          <cell r="I70" t="str">
            <v>333_0</v>
          </cell>
          <cell r="L70" t="str">
            <v>intens</v>
          </cell>
        </row>
        <row r="71">
          <cell r="I71" t="str">
            <v>333_1</v>
          </cell>
          <cell r="L71" t="str">
            <v>neg</v>
          </cell>
        </row>
        <row r="72">
          <cell r="I72" t="str">
            <v>350_0</v>
          </cell>
          <cell r="L72" t="str">
            <v>neg</v>
          </cell>
        </row>
        <row r="73">
          <cell r="I73" t="str">
            <v>350_1</v>
          </cell>
          <cell r="L73" t="str">
            <v>intens</v>
          </cell>
        </row>
        <row r="74">
          <cell r="I74" t="str">
            <v>369_0</v>
          </cell>
          <cell r="L74" t="str">
            <v>neg</v>
          </cell>
        </row>
        <row r="75">
          <cell r="I75" t="str">
            <v>369_1</v>
          </cell>
          <cell r="L75" t="str">
            <v>intens</v>
          </cell>
        </row>
        <row r="76">
          <cell r="I76" t="str">
            <v>383_0</v>
          </cell>
          <cell r="L76" t="str">
            <v>intens</v>
          </cell>
        </row>
        <row r="77">
          <cell r="I77" t="str">
            <v>383_1</v>
          </cell>
          <cell r="L77" t="str">
            <v>neg</v>
          </cell>
        </row>
        <row r="78">
          <cell r="I78" t="str">
            <v>396_0</v>
          </cell>
          <cell r="L78" t="str">
            <v>intens</v>
          </cell>
        </row>
        <row r="79">
          <cell r="I79" t="str">
            <v>396_1</v>
          </cell>
          <cell r="L79" t="str">
            <v>neg</v>
          </cell>
        </row>
        <row r="80">
          <cell r="I80" t="str">
            <v>411_0</v>
          </cell>
          <cell r="L80" t="str">
            <v>intens</v>
          </cell>
        </row>
        <row r="81">
          <cell r="I81" t="str">
            <v>411_1</v>
          </cell>
          <cell r="L81" t="str">
            <v>neg</v>
          </cell>
        </row>
        <row r="82">
          <cell r="I82" t="str">
            <v>430_0</v>
          </cell>
          <cell r="L82" t="str">
            <v>neg</v>
          </cell>
        </row>
        <row r="83">
          <cell r="I83" t="str">
            <v>430_1</v>
          </cell>
          <cell r="L83" t="str">
            <v>intens</v>
          </cell>
        </row>
        <row r="84">
          <cell r="I84" t="str">
            <v>478_0</v>
          </cell>
          <cell r="L84" t="str">
            <v>intens</v>
          </cell>
        </row>
        <row r="85">
          <cell r="I85" t="str">
            <v>478_1</v>
          </cell>
          <cell r="L85" t="str">
            <v>neg</v>
          </cell>
        </row>
        <row r="86">
          <cell r="I86" t="str">
            <v>479_0</v>
          </cell>
          <cell r="L86" t="str">
            <v>intens</v>
          </cell>
        </row>
        <row r="87">
          <cell r="I87" t="str">
            <v>479_1</v>
          </cell>
          <cell r="L87" t="str">
            <v>neg</v>
          </cell>
        </row>
        <row r="88">
          <cell r="I88" t="str">
            <v>493_0</v>
          </cell>
          <cell r="L88" t="str">
            <v>intens</v>
          </cell>
        </row>
        <row r="89">
          <cell r="I89" t="str">
            <v>493_1</v>
          </cell>
          <cell r="L89" t="str">
            <v>neg</v>
          </cell>
        </row>
        <row r="90">
          <cell r="I90" t="str">
            <v>494_0</v>
          </cell>
          <cell r="L90" t="str">
            <v>intens</v>
          </cell>
        </row>
        <row r="91">
          <cell r="I91" t="str">
            <v>494_1</v>
          </cell>
          <cell r="L91" t="str">
            <v>neg</v>
          </cell>
        </row>
        <row r="92">
          <cell r="I92" t="str">
            <v>500_0</v>
          </cell>
          <cell r="L92" t="str">
            <v>intens</v>
          </cell>
        </row>
        <row r="93">
          <cell r="I93" t="str">
            <v>500_1</v>
          </cell>
          <cell r="L93" t="str">
            <v>neg</v>
          </cell>
        </row>
        <row r="94">
          <cell r="I94" t="str">
            <v>517_0</v>
          </cell>
          <cell r="L94" t="str">
            <v>neg</v>
          </cell>
        </row>
        <row r="95">
          <cell r="I95" t="str">
            <v>517_1</v>
          </cell>
          <cell r="L95" t="str">
            <v>intens</v>
          </cell>
        </row>
        <row r="96">
          <cell r="I96" t="str">
            <v>518_0</v>
          </cell>
          <cell r="L96" t="str">
            <v>intens</v>
          </cell>
        </row>
        <row r="97">
          <cell r="I97" t="str">
            <v>518_1</v>
          </cell>
          <cell r="L97" t="str">
            <v>neg</v>
          </cell>
        </row>
        <row r="98">
          <cell r="I98" t="str">
            <v>519_0</v>
          </cell>
          <cell r="L98" t="str">
            <v>intens</v>
          </cell>
        </row>
        <row r="99">
          <cell r="I99" t="str">
            <v>519_1</v>
          </cell>
          <cell r="L99" t="str">
            <v>neg</v>
          </cell>
        </row>
        <row r="100">
          <cell r="I100" t="str">
            <v>556_0</v>
          </cell>
          <cell r="L100" t="str">
            <v>intens</v>
          </cell>
        </row>
        <row r="101">
          <cell r="I101" t="str">
            <v>556_1</v>
          </cell>
          <cell r="L101" t="str">
            <v>neg</v>
          </cell>
        </row>
        <row r="102">
          <cell r="I102" t="str">
            <v>557_0</v>
          </cell>
          <cell r="L102" t="str">
            <v>intens</v>
          </cell>
        </row>
        <row r="103">
          <cell r="I103" t="str">
            <v>557_1</v>
          </cell>
          <cell r="L103" t="str">
            <v>neg</v>
          </cell>
        </row>
        <row r="104">
          <cell r="I104" t="str">
            <v>567_0</v>
          </cell>
          <cell r="L104" t="str">
            <v>intens</v>
          </cell>
        </row>
        <row r="105">
          <cell r="I105" t="str">
            <v>567_1</v>
          </cell>
          <cell r="L105" t="str">
            <v>neg</v>
          </cell>
        </row>
        <row r="106">
          <cell r="I106" t="str">
            <v>588_0</v>
          </cell>
          <cell r="L106" t="str">
            <v>intens</v>
          </cell>
        </row>
        <row r="107">
          <cell r="I107" t="str">
            <v>588_1</v>
          </cell>
          <cell r="L107" t="str">
            <v>neg</v>
          </cell>
        </row>
        <row r="108">
          <cell r="I108" t="str">
            <v>592_0</v>
          </cell>
          <cell r="L108" t="str">
            <v>neg</v>
          </cell>
        </row>
        <row r="109">
          <cell r="I109" t="str">
            <v>592_1</v>
          </cell>
          <cell r="L109" t="str">
            <v>intens</v>
          </cell>
        </row>
        <row r="110">
          <cell r="I110" t="str">
            <v>599_0</v>
          </cell>
          <cell r="L110" t="str">
            <v>intens</v>
          </cell>
        </row>
        <row r="111">
          <cell r="I111" t="str">
            <v>599_1</v>
          </cell>
          <cell r="L111" t="str">
            <v>neg</v>
          </cell>
        </row>
        <row r="112">
          <cell r="I112" t="str">
            <v>637_0</v>
          </cell>
          <cell r="L112" t="str">
            <v>intens</v>
          </cell>
        </row>
        <row r="113">
          <cell r="I113" t="str">
            <v>637_1</v>
          </cell>
          <cell r="L113" t="str">
            <v>neg</v>
          </cell>
        </row>
        <row r="114">
          <cell r="I114" t="str">
            <v>642_0</v>
          </cell>
          <cell r="L114" t="str">
            <v>intens</v>
          </cell>
        </row>
        <row r="115">
          <cell r="I115" t="str">
            <v>642_1</v>
          </cell>
          <cell r="L115" t="str">
            <v>neg</v>
          </cell>
        </row>
        <row r="116">
          <cell r="I116" t="str">
            <v>648_0</v>
          </cell>
          <cell r="L116" t="str">
            <v>intens</v>
          </cell>
        </row>
        <row r="117">
          <cell r="I117" t="str">
            <v>648_1</v>
          </cell>
          <cell r="L117" t="str">
            <v>neg</v>
          </cell>
        </row>
        <row r="118">
          <cell r="I118" t="str">
            <v>654_0</v>
          </cell>
          <cell r="L118" t="str">
            <v>intens</v>
          </cell>
        </row>
        <row r="119">
          <cell r="I119" t="str">
            <v>654_1</v>
          </cell>
          <cell r="L119" t="str">
            <v>neg</v>
          </cell>
        </row>
        <row r="120">
          <cell r="I120" t="str">
            <v>661_0</v>
          </cell>
          <cell r="L120" t="str">
            <v>neg</v>
          </cell>
        </row>
        <row r="121">
          <cell r="I121" t="str">
            <v>661_1</v>
          </cell>
          <cell r="L121" t="str">
            <v>intens</v>
          </cell>
        </row>
        <row r="122">
          <cell r="I122" t="str">
            <v>667_0</v>
          </cell>
          <cell r="L122" t="str">
            <v>intens</v>
          </cell>
        </row>
        <row r="123">
          <cell r="I123" t="str">
            <v>667_1</v>
          </cell>
          <cell r="L123" t="str">
            <v>neg</v>
          </cell>
        </row>
        <row r="124">
          <cell r="I124" t="str">
            <v>671_0</v>
          </cell>
          <cell r="L124" t="str">
            <v>intens</v>
          </cell>
        </row>
        <row r="125">
          <cell r="I125" t="str">
            <v>671_1</v>
          </cell>
          <cell r="L125" t="str">
            <v>neg</v>
          </cell>
        </row>
        <row r="126">
          <cell r="I126" t="str">
            <v>709_0</v>
          </cell>
          <cell r="L126" t="str">
            <v>neg</v>
          </cell>
        </row>
        <row r="127">
          <cell r="I127" t="str">
            <v>709_1</v>
          </cell>
          <cell r="L127" t="str">
            <v>intens</v>
          </cell>
        </row>
        <row r="128">
          <cell r="I128" t="str">
            <v>741_0</v>
          </cell>
          <cell r="L128" t="str">
            <v>neg</v>
          </cell>
        </row>
        <row r="129">
          <cell r="I129" t="str">
            <v>741_1</v>
          </cell>
          <cell r="L129" t="str">
            <v>intens</v>
          </cell>
        </row>
        <row r="130">
          <cell r="I130" t="str">
            <v>759_0</v>
          </cell>
          <cell r="L130" t="str">
            <v>neg</v>
          </cell>
        </row>
        <row r="131">
          <cell r="I131" t="str">
            <v>759_1</v>
          </cell>
          <cell r="L131" t="str">
            <v>intens</v>
          </cell>
        </row>
        <row r="132">
          <cell r="I132" t="str">
            <v>760_0</v>
          </cell>
          <cell r="L132" t="str">
            <v>neg</v>
          </cell>
        </row>
        <row r="133">
          <cell r="I133" t="str">
            <v>760_1</v>
          </cell>
          <cell r="L133" t="str">
            <v>intens</v>
          </cell>
        </row>
        <row r="134">
          <cell r="I134" t="str">
            <v>761_0</v>
          </cell>
          <cell r="L134" t="str">
            <v>intens</v>
          </cell>
        </row>
        <row r="135">
          <cell r="I135" t="str">
            <v>761_1</v>
          </cell>
          <cell r="L135" t="str">
            <v>neg</v>
          </cell>
        </row>
        <row r="136">
          <cell r="I136" t="str">
            <v>784_0</v>
          </cell>
          <cell r="L136" t="str">
            <v>intens</v>
          </cell>
        </row>
        <row r="137">
          <cell r="I137" t="str">
            <v>784_1</v>
          </cell>
          <cell r="L137" t="str">
            <v>neg</v>
          </cell>
        </row>
        <row r="138">
          <cell r="I138" t="str">
            <v>796_0</v>
          </cell>
          <cell r="L138" t="str">
            <v>intens</v>
          </cell>
        </row>
        <row r="139">
          <cell r="I139" t="str">
            <v>796_1</v>
          </cell>
          <cell r="L139" t="str">
            <v>neg</v>
          </cell>
        </row>
        <row r="140">
          <cell r="I140" t="str">
            <v>821_1</v>
          </cell>
          <cell r="L140" t="str">
            <v>intens</v>
          </cell>
        </row>
        <row r="141">
          <cell r="I141" t="str">
            <v>821_0</v>
          </cell>
          <cell r="L141" t="str">
            <v>neg</v>
          </cell>
        </row>
        <row r="142">
          <cell r="I142" t="str">
            <v>824_0</v>
          </cell>
          <cell r="L142" t="str">
            <v>intens</v>
          </cell>
        </row>
        <row r="143">
          <cell r="I143" t="str">
            <v>824_1</v>
          </cell>
          <cell r="L143" t="str">
            <v>neg</v>
          </cell>
        </row>
        <row r="144">
          <cell r="I144" t="str">
            <v>857_0</v>
          </cell>
          <cell r="L144" t="str">
            <v>intens</v>
          </cell>
        </row>
        <row r="145">
          <cell r="I145" t="str">
            <v>857_1</v>
          </cell>
          <cell r="L145" t="str">
            <v>neg</v>
          </cell>
        </row>
        <row r="146">
          <cell r="I146" t="str">
            <v>861_0</v>
          </cell>
          <cell r="L146" t="str">
            <v>neg</v>
          </cell>
        </row>
        <row r="147">
          <cell r="I147" t="str">
            <v>861_1</v>
          </cell>
          <cell r="L147" t="str">
            <v>intens</v>
          </cell>
        </row>
        <row r="148">
          <cell r="I148" t="str">
            <v>876_0</v>
          </cell>
          <cell r="L148" t="str">
            <v>intens</v>
          </cell>
        </row>
        <row r="149">
          <cell r="I149" t="str">
            <v>876_1</v>
          </cell>
          <cell r="L149" t="str">
            <v>neg</v>
          </cell>
        </row>
        <row r="150">
          <cell r="I150" t="str">
            <v>880_0</v>
          </cell>
          <cell r="L150" t="str">
            <v>neg</v>
          </cell>
        </row>
        <row r="151">
          <cell r="I151" t="str">
            <v>880_1</v>
          </cell>
          <cell r="L151" t="str">
            <v>intens</v>
          </cell>
        </row>
        <row r="152">
          <cell r="I152" t="str">
            <v>887_0</v>
          </cell>
          <cell r="L152" t="str">
            <v>neg</v>
          </cell>
        </row>
        <row r="153">
          <cell r="I153" t="str">
            <v>887_1</v>
          </cell>
          <cell r="L153" t="str">
            <v>intens</v>
          </cell>
        </row>
        <row r="154">
          <cell r="I154" t="str">
            <v>888_0</v>
          </cell>
          <cell r="L154" t="str">
            <v>intens</v>
          </cell>
        </row>
        <row r="155">
          <cell r="I155" t="str">
            <v>888_1</v>
          </cell>
          <cell r="L155" t="str">
            <v>neg</v>
          </cell>
        </row>
        <row r="156">
          <cell r="I156" t="str">
            <v>891_0</v>
          </cell>
          <cell r="L156" t="str">
            <v>intens</v>
          </cell>
        </row>
        <row r="157">
          <cell r="I157" t="str">
            <v>891_1</v>
          </cell>
          <cell r="L157" t="str">
            <v>neg</v>
          </cell>
        </row>
        <row r="158">
          <cell r="I158" t="str">
            <v>931_0</v>
          </cell>
          <cell r="L158" t="str">
            <v>intens</v>
          </cell>
        </row>
        <row r="159">
          <cell r="I159" t="str">
            <v>931_1</v>
          </cell>
          <cell r="L159" t="str">
            <v>neg</v>
          </cell>
        </row>
        <row r="160">
          <cell r="I160" t="str">
            <v>971_0</v>
          </cell>
          <cell r="L160" t="str">
            <v>intens</v>
          </cell>
        </row>
        <row r="161">
          <cell r="I161" t="str">
            <v>971_1</v>
          </cell>
          <cell r="L161" t="str">
            <v>neg</v>
          </cell>
        </row>
        <row r="162">
          <cell r="I162" t="str">
            <v>999_0</v>
          </cell>
          <cell r="L162" t="str">
            <v>intens</v>
          </cell>
        </row>
        <row r="163">
          <cell r="I163" t="str">
            <v>999_1</v>
          </cell>
          <cell r="L163" t="str">
            <v>neg</v>
          </cell>
        </row>
        <row r="164">
          <cell r="I164" t="str">
            <v>1000_0</v>
          </cell>
          <cell r="L164" t="str">
            <v>neg</v>
          </cell>
        </row>
        <row r="165">
          <cell r="I165" t="str">
            <v>1000_1</v>
          </cell>
          <cell r="L165" t="str">
            <v>intens</v>
          </cell>
        </row>
        <row r="166">
          <cell r="I166" t="str">
            <v>1029_0</v>
          </cell>
          <cell r="L166" t="str">
            <v>intens</v>
          </cell>
        </row>
        <row r="167">
          <cell r="I167" t="str">
            <v>1029_1</v>
          </cell>
          <cell r="L167" t="str">
            <v>neg</v>
          </cell>
        </row>
        <row r="168">
          <cell r="I168" t="str">
            <v>1072_0</v>
          </cell>
          <cell r="L168" t="str">
            <v>neg</v>
          </cell>
        </row>
        <row r="169">
          <cell r="I169" t="str">
            <v>1072_1</v>
          </cell>
          <cell r="L169" t="str">
            <v>intens</v>
          </cell>
        </row>
        <row r="170">
          <cell r="I170" t="str">
            <v>1073_0</v>
          </cell>
          <cell r="L170" t="str">
            <v>intens</v>
          </cell>
        </row>
        <row r="171">
          <cell r="I171" t="str">
            <v>1073_1</v>
          </cell>
          <cell r="L171" t="str">
            <v>neg</v>
          </cell>
        </row>
        <row r="172">
          <cell r="I172" t="str">
            <v>1088_0</v>
          </cell>
          <cell r="L172" t="str">
            <v>intens</v>
          </cell>
        </row>
        <row r="173">
          <cell r="I173" t="str">
            <v>1088_1</v>
          </cell>
          <cell r="L173" t="str">
            <v>neg</v>
          </cell>
        </row>
        <row r="174">
          <cell r="I174" t="str">
            <v>1100_0</v>
          </cell>
          <cell r="L174" t="str">
            <v>intens</v>
          </cell>
        </row>
        <row r="175">
          <cell r="I175" t="str">
            <v>1100_1</v>
          </cell>
          <cell r="L175" t="str">
            <v>neg</v>
          </cell>
        </row>
        <row r="176">
          <cell r="I176" t="str">
            <v>1106_0</v>
          </cell>
          <cell r="L176" t="str">
            <v>intens</v>
          </cell>
        </row>
        <row r="177">
          <cell r="I177" t="str">
            <v>1106_1</v>
          </cell>
          <cell r="L177" t="str">
            <v>neg</v>
          </cell>
        </row>
        <row r="178">
          <cell r="I178" t="str">
            <v>1118_0</v>
          </cell>
          <cell r="L178" t="str">
            <v>intens</v>
          </cell>
        </row>
        <row r="179">
          <cell r="I179" t="str">
            <v>1118_1</v>
          </cell>
          <cell r="L179" t="str">
            <v>neg</v>
          </cell>
        </row>
        <row r="180">
          <cell r="I180" t="str">
            <v>1141_0</v>
          </cell>
          <cell r="L180" t="str">
            <v>intens</v>
          </cell>
        </row>
        <row r="181">
          <cell r="I181" t="str">
            <v>1141_1</v>
          </cell>
          <cell r="L181" t="str">
            <v>neg</v>
          </cell>
        </row>
        <row r="182">
          <cell r="I182" t="str">
            <v>1168_0</v>
          </cell>
          <cell r="L182" t="str">
            <v>intens</v>
          </cell>
        </row>
        <row r="183">
          <cell r="I183" t="str">
            <v>1168_1</v>
          </cell>
          <cell r="L183" t="str">
            <v>neg</v>
          </cell>
        </row>
        <row r="184">
          <cell r="I184" t="str">
            <v>1178_1</v>
          </cell>
          <cell r="L184" t="str">
            <v>intens</v>
          </cell>
        </row>
        <row r="185">
          <cell r="I185" t="str">
            <v>1178_0</v>
          </cell>
          <cell r="L185" t="str">
            <v>neg</v>
          </cell>
        </row>
        <row r="186">
          <cell r="I186" t="str">
            <v>1253_0</v>
          </cell>
          <cell r="L186" t="str">
            <v>neg</v>
          </cell>
        </row>
        <row r="187">
          <cell r="I187" t="str">
            <v>1253_1</v>
          </cell>
          <cell r="L187" t="str">
            <v>intens</v>
          </cell>
        </row>
        <row r="188">
          <cell r="I188" t="str">
            <v>1300_0</v>
          </cell>
          <cell r="L188" t="str">
            <v>intens</v>
          </cell>
        </row>
        <row r="189">
          <cell r="I189" t="str">
            <v>1300_1</v>
          </cell>
          <cell r="L189" t="str">
            <v>neg</v>
          </cell>
        </row>
        <row r="190">
          <cell r="I190" t="str">
            <v>1324_0</v>
          </cell>
          <cell r="L190" t="str">
            <v>intens</v>
          </cell>
        </row>
        <row r="191">
          <cell r="I191" t="str">
            <v>1324_1</v>
          </cell>
          <cell r="L191" t="str">
            <v>neg</v>
          </cell>
        </row>
        <row r="192">
          <cell r="I192" t="str">
            <v>1337_0</v>
          </cell>
          <cell r="L192" t="str">
            <v>intens</v>
          </cell>
        </row>
        <row r="193">
          <cell r="I193" t="str">
            <v>1337_1</v>
          </cell>
          <cell r="L193" t="str">
            <v>neg</v>
          </cell>
        </row>
        <row r="194">
          <cell r="I194" t="str">
            <v>1352_0</v>
          </cell>
          <cell r="L194" t="str">
            <v>intens</v>
          </cell>
        </row>
        <row r="195">
          <cell r="I195" t="str">
            <v>1352_1</v>
          </cell>
          <cell r="L195" t="str">
            <v>neg</v>
          </cell>
        </row>
        <row r="196">
          <cell r="I196" t="str">
            <v>1361_0</v>
          </cell>
          <cell r="L196" t="str">
            <v>intens</v>
          </cell>
        </row>
        <row r="197">
          <cell r="I197" t="str">
            <v>1361_1</v>
          </cell>
          <cell r="L197" t="str">
            <v>neg</v>
          </cell>
        </row>
        <row r="198">
          <cell r="I198" t="str">
            <v>1374_0</v>
          </cell>
          <cell r="L198" t="str">
            <v>intens</v>
          </cell>
        </row>
        <row r="199">
          <cell r="I199" t="str">
            <v>1374_1</v>
          </cell>
          <cell r="L199" t="str">
            <v>neg</v>
          </cell>
        </row>
        <row r="200">
          <cell r="I200" t="str">
            <v>1409_0</v>
          </cell>
          <cell r="L200" t="str">
            <v>intens</v>
          </cell>
        </row>
        <row r="201">
          <cell r="I201" t="str">
            <v>1409_1</v>
          </cell>
          <cell r="L201" t="str">
            <v>neg</v>
          </cell>
        </row>
        <row r="202">
          <cell r="I202" t="str">
            <v>1410_0</v>
          </cell>
          <cell r="L202" t="str">
            <v>intens</v>
          </cell>
        </row>
        <row r="203">
          <cell r="I203" t="str">
            <v>1410_1</v>
          </cell>
          <cell r="L203" t="str">
            <v>neg</v>
          </cell>
        </row>
        <row r="204">
          <cell r="I204" t="str">
            <v>1436_0</v>
          </cell>
          <cell r="L204" t="str">
            <v>intens</v>
          </cell>
        </row>
        <row r="205">
          <cell r="I205" t="str">
            <v>1436_1</v>
          </cell>
          <cell r="L205" t="str">
            <v>neg</v>
          </cell>
        </row>
        <row r="206">
          <cell r="I206" t="str">
            <v>1461_1</v>
          </cell>
          <cell r="L206" t="str">
            <v>intens</v>
          </cell>
        </row>
        <row r="207">
          <cell r="I207" t="str">
            <v>1461_0</v>
          </cell>
          <cell r="L207" t="str">
            <v>neg</v>
          </cell>
        </row>
        <row r="208">
          <cell r="I208" t="str">
            <v>1482_0</v>
          </cell>
          <cell r="L208" t="str">
            <v>intens</v>
          </cell>
        </row>
        <row r="209">
          <cell r="I209" t="str">
            <v>1482_1</v>
          </cell>
          <cell r="L209" t="str">
            <v>neg</v>
          </cell>
        </row>
        <row r="210">
          <cell r="I210" t="str">
            <v>1534_0</v>
          </cell>
          <cell r="L210" t="str">
            <v>intens</v>
          </cell>
        </row>
        <row r="211">
          <cell r="I211" t="str">
            <v>1534_1</v>
          </cell>
          <cell r="L211" t="str">
            <v>neg</v>
          </cell>
        </row>
        <row r="212">
          <cell r="I212" t="str">
            <v>1567_0</v>
          </cell>
          <cell r="L212" t="str">
            <v>neg</v>
          </cell>
        </row>
        <row r="213">
          <cell r="I213" t="str">
            <v>1567_1</v>
          </cell>
          <cell r="L213" t="str">
            <v>intens</v>
          </cell>
        </row>
        <row r="214">
          <cell r="I214" t="str">
            <v>1571_0</v>
          </cell>
          <cell r="L214" t="str">
            <v>intens</v>
          </cell>
        </row>
        <row r="215">
          <cell r="I215" t="str">
            <v>1571_1</v>
          </cell>
          <cell r="L215" t="str">
            <v>neg</v>
          </cell>
        </row>
        <row r="216">
          <cell r="I216" t="str">
            <v>1572_0</v>
          </cell>
          <cell r="L216" t="str">
            <v>intens</v>
          </cell>
        </row>
        <row r="217">
          <cell r="I217" t="str">
            <v>1572_1</v>
          </cell>
          <cell r="L217" t="str">
            <v>neg</v>
          </cell>
        </row>
        <row r="218">
          <cell r="I218" t="str">
            <v>1617_0</v>
          </cell>
          <cell r="L218" t="str">
            <v>intens</v>
          </cell>
        </row>
        <row r="219">
          <cell r="I219" t="str">
            <v>1617_1</v>
          </cell>
          <cell r="L219" t="str">
            <v>neg</v>
          </cell>
        </row>
        <row r="220">
          <cell r="I220" t="str">
            <v>1619_0</v>
          </cell>
          <cell r="L220" t="str">
            <v>intens</v>
          </cell>
        </row>
        <row r="221">
          <cell r="I221" t="str">
            <v>1619_1</v>
          </cell>
          <cell r="L221" t="str">
            <v>neg</v>
          </cell>
        </row>
        <row r="222">
          <cell r="I222" t="str">
            <v>1623_0</v>
          </cell>
          <cell r="L222" t="str">
            <v>intens</v>
          </cell>
        </row>
        <row r="223">
          <cell r="I223" t="str">
            <v>1623_1</v>
          </cell>
          <cell r="L223" t="str">
            <v>neg</v>
          </cell>
        </row>
        <row r="224">
          <cell r="I224" t="str">
            <v>1634_0</v>
          </cell>
          <cell r="L224" t="str">
            <v>intens</v>
          </cell>
        </row>
        <row r="225">
          <cell r="I225" t="str">
            <v>1634_1</v>
          </cell>
          <cell r="L225" t="str">
            <v>neg</v>
          </cell>
        </row>
        <row r="226">
          <cell r="I226" t="str">
            <v>1635_0</v>
          </cell>
          <cell r="L226" t="str">
            <v>neg</v>
          </cell>
        </row>
        <row r="227">
          <cell r="I227" t="str">
            <v>1635_1</v>
          </cell>
          <cell r="L227" t="str">
            <v>intens</v>
          </cell>
        </row>
        <row r="228">
          <cell r="I228" t="str">
            <v>1672_0</v>
          </cell>
          <cell r="L228" t="str">
            <v>intens</v>
          </cell>
        </row>
        <row r="229">
          <cell r="I229" t="str">
            <v>1672_1</v>
          </cell>
          <cell r="L229" t="str">
            <v>neg</v>
          </cell>
        </row>
        <row r="230">
          <cell r="I230" t="str">
            <v>1677_0</v>
          </cell>
          <cell r="L230" t="str">
            <v>neg</v>
          </cell>
        </row>
        <row r="231">
          <cell r="I231" t="str">
            <v>1677_1</v>
          </cell>
          <cell r="L231" t="str">
            <v>intens</v>
          </cell>
        </row>
        <row r="232">
          <cell r="I232" t="str">
            <v>1697_0</v>
          </cell>
          <cell r="L232" t="str">
            <v>neg</v>
          </cell>
        </row>
        <row r="233">
          <cell r="I233" t="str">
            <v>1697_1</v>
          </cell>
          <cell r="L233" t="str">
            <v>intens</v>
          </cell>
        </row>
        <row r="234">
          <cell r="I234" t="str">
            <v>1699_0</v>
          </cell>
          <cell r="L234" t="str">
            <v>intens</v>
          </cell>
        </row>
        <row r="235">
          <cell r="I235" t="str">
            <v>1699_1</v>
          </cell>
          <cell r="L235" t="str">
            <v>neg</v>
          </cell>
        </row>
        <row r="236">
          <cell r="I236" t="str">
            <v>1707_0</v>
          </cell>
          <cell r="L236" t="str">
            <v>intens</v>
          </cell>
        </row>
        <row r="237">
          <cell r="I237" t="str">
            <v>1707_1</v>
          </cell>
          <cell r="L237" t="str">
            <v>neg</v>
          </cell>
        </row>
        <row r="238">
          <cell r="I238" t="str">
            <v>1717_0</v>
          </cell>
          <cell r="L238" t="str">
            <v>intens</v>
          </cell>
        </row>
        <row r="239">
          <cell r="I239" t="str">
            <v>1717_1</v>
          </cell>
          <cell r="L239" t="str">
            <v>neg</v>
          </cell>
        </row>
        <row r="240">
          <cell r="I240" t="str">
            <v>1760_0</v>
          </cell>
          <cell r="L240" t="str">
            <v>intens</v>
          </cell>
        </row>
        <row r="241">
          <cell r="I241" t="str">
            <v>1760_1</v>
          </cell>
          <cell r="L241" t="str">
            <v>neg</v>
          </cell>
        </row>
        <row r="242">
          <cell r="I242" t="str">
            <v>1801_0</v>
          </cell>
          <cell r="L242" t="str">
            <v>neg</v>
          </cell>
        </row>
        <row r="243">
          <cell r="I243" t="str">
            <v>1801_1</v>
          </cell>
          <cell r="L243" t="str">
            <v>intens</v>
          </cell>
        </row>
        <row r="244">
          <cell r="I244" t="str">
            <v>X6_0</v>
          </cell>
          <cell r="L244" t="str">
            <v>neg</v>
          </cell>
        </row>
        <row r="245">
          <cell r="I245" t="str">
            <v>X6_1</v>
          </cell>
          <cell r="L245" t="str">
            <v>intens</v>
          </cell>
        </row>
        <row r="246">
          <cell r="I246" t="str">
            <v>X10_0</v>
          </cell>
          <cell r="L246" t="str">
            <v>intens</v>
          </cell>
        </row>
        <row r="247">
          <cell r="I247" t="str">
            <v>X10_1</v>
          </cell>
          <cell r="L247" t="str">
            <v>neg</v>
          </cell>
        </row>
        <row r="248">
          <cell r="I248" t="str">
            <v>X11_0</v>
          </cell>
          <cell r="L248" t="str">
            <v>intens</v>
          </cell>
        </row>
        <row r="249">
          <cell r="I249" t="str">
            <v>X11_1</v>
          </cell>
          <cell r="L249" t="str">
            <v>neg</v>
          </cell>
        </row>
        <row r="250">
          <cell r="I250" t="str">
            <v>X15_0</v>
          </cell>
          <cell r="L250" t="str">
            <v>intens</v>
          </cell>
        </row>
        <row r="251">
          <cell r="I251" t="str">
            <v>X15_1</v>
          </cell>
          <cell r="L251" t="str">
            <v>neg</v>
          </cell>
        </row>
        <row r="252">
          <cell r="I252" t="str">
            <v>X19_0</v>
          </cell>
          <cell r="L252" t="str">
            <v>neg</v>
          </cell>
        </row>
        <row r="253">
          <cell r="I253" t="str">
            <v>X19_1</v>
          </cell>
          <cell r="L253" t="str">
            <v>intens</v>
          </cell>
        </row>
        <row r="254">
          <cell r="I254" t="str">
            <v>X30_0</v>
          </cell>
          <cell r="L254" t="str">
            <v>neg</v>
          </cell>
        </row>
        <row r="255">
          <cell r="I255" t="str">
            <v>X30_1</v>
          </cell>
          <cell r="L255" t="str">
            <v>intens</v>
          </cell>
        </row>
        <row r="256">
          <cell r="I256" t="str">
            <v>X39_0</v>
          </cell>
          <cell r="L256" t="str">
            <v>intens</v>
          </cell>
        </row>
        <row r="257">
          <cell r="I257" t="str">
            <v>X39_1</v>
          </cell>
          <cell r="L257" t="str">
            <v>neg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in_xl"/>
      <sheetName val="Sheet1"/>
    </sheetNames>
    <sheetDataSet>
      <sheetData sheetId="0">
        <row r="1">
          <cell r="I1" t="str">
            <v>met sim</v>
          </cell>
          <cell r="V1" t="str">
            <v>paired sim negpair type</v>
          </cell>
          <cell r="X1" t="str">
            <v>negation</v>
          </cell>
        </row>
        <row r="2">
          <cell r="I2" t="str">
            <v>sim</v>
          </cell>
          <cell r="V2" t="str">
            <v>not</v>
          </cell>
          <cell r="W2">
            <v>1</v>
          </cell>
          <cell r="X2" t="str">
            <v>intens</v>
          </cell>
        </row>
        <row r="3">
          <cell r="I3" t="str">
            <v>sim</v>
          </cell>
          <cell r="V3" t="str">
            <v>not</v>
          </cell>
          <cell r="W3">
            <v>1</v>
          </cell>
          <cell r="X3" t="str">
            <v>neg</v>
          </cell>
        </row>
        <row r="4">
          <cell r="I4" t="str">
            <v>sim</v>
          </cell>
          <cell r="V4" t="str">
            <v>not neg pair</v>
          </cell>
          <cell r="W4">
            <v>0</v>
          </cell>
          <cell r="X4" t="str">
            <v>0</v>
          </cell>
        </row>
        <row r="5">
          <cell r="I5" t="str">
            <v>sim</v>
          </cell>
          <cell r="V5" t="str">
            <v>not neg pair</v>
          </cell>
          <cell r="W5">
            <v>0</v>
          </cell>
          <cell r="X5" t="str">
            <v>0</v>
          </cell>
        </row>
        <row r="6">
          <cell r="I6" t="str">
            <v>sim</v>
          </cell>
          <cell r="V6" t="str">
            <v>antonym</v>
          </cell>
          <cell r="W6">
            <v>1</v>
          </cell>
          <cell r="X6" t="str">
            <v>intens</v>
          </cell>
        </row>
        <row r="7">
          <cell r="I7" t="str">
            <v>sim</v>
          </cell>
          <cell r="V7" t="str">
            <v>antonym</v>
          </cell>
          <cell r="W7">
            <v>1</v>
          </cell>
          <cell r="X7" t="str">
            <v>neg</v>
          </cell>
        </row>
        <row r="8">
          <cell r="I8" t="str">
            <v>sim</v>
          </cell>
          <cell r="V8" t="str">
            <v>not neg pair</v>
          </cell>
          <cell r="W8">
            <v>0</v>
          </cell>
          <cell r="X8" t="str">
            <v>0</v>
          </cell>
        </row>
        <row r="9">
          <cell r="I9" t="str">
            <v>sim</v>
          </cell>
          <cell r="V9" t="str">
            <v>not neg pair</v>
          </cell>
          <cell r="W9">
            <v>0</v>
          </cell>
          <cell r="X9" t="str">
            <v>0</v>
          </cell>
        </row>
        <row r="10">
          <cell r="I10" t="str">
            <v>sim</v>
          </cell>
          <cell r="V10" t="str">
            <v>antonym</v>
          </cell>
          <cell r="W10">
            <v>1</v>
          </cell>
          <cell r="X10" t="str">
            <v>intens</v>
          </cell>
        </row>
        <row r="11">
          <cell r="I11" t="str">
            <v>sim</v>
          </cell>
          <cell r="V11" t="str">
            <v>antonym</v>
          </cell>
          <cell r="W11">
            <v>1</v>
          </cell>
          <cell r="X11" t="str">
            <v>neg</v>
          </cell>
        </row>
        <row r="12">
          <cell r="I12" t="str">
            <v>sim</v>
          </cell>
          <cell r="V12" t="str">
            <v>not neg pair</v>
          </cell>
          <cell r="W12">
            <v>0</v>
          </cell>
          <cell r="X12" t="str">
            <v>0</v>
          </cell>
        </row>
        <row r="13">
          <cell r="I13" t="str">
            <v>sim</v>
          </cell>
          <cell r="V13" t="str">
            <v>not neg pair</v>
          </cell>
          <cell r="W13">
            <v>0</v>
          </cell>
          <cell r="X13" t="str">
            <v>0</v>
          </cell>
        </row>
        <row r="14">
          <cell r="I14" t="str">
            <v>sim</v>
          </cell>
          <cell r="V14" t="str">
            <v>not neg pair</v>
          </cell>
          <cell r="W14">
            <v>0</v>
          </cell>
          <cell r="X14" t="str">
            <v>0</v>
          </cell>
        </row>
        <row r="15">
          <cell r="I15" t="str">
            <v>sim</v>
          </cell>
          <cell r="V15" t="str">
            <v>not neg pair</v>
          </cell>
          <cell r="W15">
            <v>0</v>
          </cell>
          <cell r="X15" t="str">
            <v>0</v>
          </cell>
        </row>
        <row r="16">
          <cell r="I16" t="str">
            <v>met</v>
          </cell>
          <cell r="V16" t="str">
            <v>0</v>
          </cell>
          <cell r="W16">
            <v>0</v>
          </cell>
          <cell r="X16" t="str">
            <v>0</v>
          </cell>
        </row>
        <row r="17">
          <cell r="I17" t="str">
            <v>met</v>
          </cell>
          <cell r="V17" t="str">
            <v>0</v>
          </cell>
          <cell r="W17">
            <v>0</v>
          </cell>
          <cell r="X17" t="str">
            <v>0</v>
          </cell>
        </row>
        <row r="18">
          <cell r="I18" t="str">
            <v>met</v>
          </cell>
          <cell r="V18" t="str">
            <v>0</v>
          </cell>
          <cell r="W18">
            <v>0</v>
          </cell>
          <cell r="X18" t="str">
            <v>0</v>
          </cell>
        </row>
        <row r="19">
          <cell r="I19" t="str">
            <v>met</v>
          </cell>
          <cell r="V19" t="str">
            <v>0</v>
          </cell>
          <cell r="W19">
            <v>0</v>
          </cell>
          <cell r="X19" t="str">
            <v>0</v>
          </cell>
        </row>
        <row r="20">
          <cell r="I20" t="str">
            <v>met</v>
          </cell>
          <cell r="V20" t="str">
            <v>0</v>
          </cell>
          <cell r="W20">
            <v>0</v>
          </cell>
          <cell r="X20" t="str">
            <v>0</v>
          </cell>
        </row>
        <row r="21">
          <cell r="I21" t="str">
            <v>met</v>
          </cell>
          <cell r="V21" t="str">
            <v>0</v>
          </cell>
          <cell r="W21">
            <v>0</v>
          </cell>
          <cell r="X21" t="str">
            <v>0</v>
          </cell>
        </row>
        <row r="22">
          <cell r="I22" t="str">
            <v>met</v>
          </cell>
          <cell r="V22" t="str">
            <v>0</v>
          </cell>
          <cell r="W22">
            <v>0</v>
          </cell>
          <cell r="X22" t="str">
            <v>0</v>
          </cell>
        </row>
        <row r="23">
          <cell r="I23" t="str">
            <v>met</v>
          </cell>
          <cell r="V23" t="str">
            <v>0</v>
          </cell>
          <cell r="W23">
            <v>0</v>
          </cell>
          <cell r="X23" t="str">
            <v>0</v>
          </cell>
        </row>
        <row r="24">
          <cell r="I24" t="str">
            <v>met</v>
          </cell>
          <cell r="V24" t="str">
            <v>0</v>
          </cell>
          <cell r="W24">
            <v>0</v>
          </cell>
          <cell r="X24" t="str">
            <v>0</v>
          </cell>
        </row>
        <row r="25">
          <cell r="I25" t="str">
            <v>met</v>
          </cell>
          <cell r="V25" t="str">
            <v>0</v>
          </cell>
          <cell r="W25">
            <v>0</v>
          </cell>
          <cell r="X25" t="str">
            <v>0</v>
          </cell>
        </row>
        <row r="26">
          <cell r="I26" t="str">
            <v>sim</v>
          </cell>
          <cell r="V26" t="str">
            <v>not</v>
          </cell>
          <cell r="W26">
            <v>1</v>
          </cell>
          <cell r="X26" t="str">
            <v>intens</v>
          </cell>
        </row>
        <row r="27">
          <cell r="I27" t="str">
            <v>sim</v>
          </cell>
          <cell r="V27" t="str">
            <v>not</v>
          </cell>
          <cell r="W27">
            <v>1</v>
          </cell>
          <cell r="X27" t="str">
            <v>neg</v>
          </cell>
        </row>
        <row r="28">
          <cell r="I28" t="str">
            <v>sim</v>
          </cell>
          <cell r="V28" t="str">
            <v>not neg pair</v>
          </cell>
          <cell r="W28">
            <v>0</v>
          </cell>
          <cell r="X28" t="str">
            <v>0</v>
          </cell>
        </row>
        <row r="29">
          <cell r="I29" t="str">
            <v>sim</v>
          </cell>
          <cell r="V29" t="str">
            <v>not neg pair</v>
          </cell>
          <cell r="W29">
            <v>0</v>
          </cell>
          <cell r="X29" t="str">
            <v>0</v>
          </cell>
        </row>
        <row r="30">
          <cell r="I30" t="str">
            <v>met</v>
          </cell>
          <cell r="V30" t="str">
            <v>0</v>
          </cell>
          <cell r="W30">
            <v>0</v>
          </cell>
          <cell r="X30" t="str">
            <v>0</v>
          </cell>
        </row>
        <row r="31">
          <cell r="I31" t="str">
            <v>met</v>
          </cell>
          <cell r="V31" t="str">
            <v>0</v>
          </cell>
          <cell r="W31">
            <v>0</v>
          </cell>
          <cell r="X31" t="str">
            <v>0</v>
          </cell>
        </row>
        <row r="32">
          <cell r="I32" t="str">
            <v>met</v>
          </cell>
          <cell r="V32" t="str">
            <v>0</v>
          </cell>
          <cell r="W32">
            <v>0</v>
          </cell>
          <cell r="X32" t="str">
            <v>0</v>
          </cell>
        </row>
        <row r="33">
          <cell r="I33" t="str">
            <v>met</v>
          </cell>
          <cell r="V33" t="str">
            <v>0</v>
          </cell>
          <cell r="W33">
            <v>0</v>
          </cell>
          <cell r="X33" t="str">
            <v>0</v>
          </cell>
        </row>
        <row r="34">
          <cell r="I34" t="str">
            <v>sim</v>
          </cell>
          <cell r="V34" t="str">
            <v>antonym</v>
          </cell>
          <cell r="W34">
            <v>1</v>
          </cell>
          <cell r="X34" t="str">
            <v>intens</v>
          </cell>
        </row>
        <row r="35">
          <cell r="I35" t="str">
            <v>sim</v>
          </cell>
          <cell r="V35" t="str">
            <v>antonym</v>
          </cell>
          <cell r="W35">
            <v>1</v>
          </cell>
          <cell r="X35" t="str">
            <v>neg</v>
          </cell>
        </row>
        <row r="36">
          <cell r="I36" t="str">
            <v>sim</v>
          </cell>
          <cell r="V36" t="str">
            <v>not</v>
          </cell>
          <cell r="W36">
            <v>1</v>
          </cell>
          <cell r="X36" t="str">
            <v>intens</v>
          </cell>
        </row>
        <row r="37">
          <cell r="I37" t="str">
            <v>sim</v>
          </cell>
          <cell r="V37" t="str">
            <v>not</v>
          </cell>
          <cell r="W37">
            <v>1</v>
          </cell>
          <cell r="X37" t="str">
            <v>neg</v>
          </cell>
        </row>
        <row r="38">
          <cell r="I38" t="str">
            <v>met</v>
          </cell>
          <cell r="V38" t="str">
            <v>0</v>
          </cell>
          <cell r="W38">
            <v>0</v>
          </cell>
          <cell r="X38" t="str">
            <v>0</v>
          </cell>
        </row>
        <row r="39">
          <cell r="I39" t="str">
            <v>met</v>
          </cell>
          <cell r="V39" t="str">
            <v>0</v>
          </cell>
          <cell r="W39">
            <v>0</v>
          </cell>
          <cell r="X39" t="str">
            <v>0</v>
          </cell>
        </row>
        <row r="40">
          <cell r="I40" t="str">
            <v>sim</v>
          </cell>
          <cell r="V40" t="str">
            <v>not neg pair</v>
          </cell>
          <cell r="W40">
            <v>0</v>
          </cell>
          <cell r="X40" t="str">
            <v>0</v>
          </cell>
        </row>
        <row r="41">
          <cell r="I41" t="str">
            <v>sim</v>
          </cell>
          <cell r="V41" t="str">
            <v>not neg pair</v>
          </cell>
          <cell r="W41">
            <v>0</v>
          </cell>
          <cell r="X41" t="str">
            <v>0</v>
          </cell>
        </row>
        <row r="42">
          <cell r="I42" t="str">
            <v>sim</v>
          </cell>
          <cell r="V42" t="str">
            <v>not neg pair</v>
          </cell>
          <cell r="W42">
            <v>0</v>
          </cell>
          <cell r="X42" t="str">
            <v>0</v>
          </cell>
        </row>
        <row r="43">
          <cell r="I43" t="str">
            <v>sim</v>
          </cell>
          <cell r="V43" t="str">
            <v>not neg pair</v>
          </cell>
          <cell r="W43">
            <v>0</v>
          </cell>
          <cell r="X43" t="str">
            <v>0</v>
          </cell>
        </row>
        <row r="44">
          <cell r="I44" t="str">
            <v>sim</v>
          </cell>
          <cell r="V44" t="str">
            <v>not neg pair</v>
          </cell>
          <cell r="W44">
            <v>0</v>
          </cell>
          <cell r="X44" t="str">
            <v>0</v>
          </cell>
        </row>
        <row r="45">
          <cell r="I45" t="str">
            <v>sim</v>
          </cell>
          <cell r="V45" t="str">
            <v>not neg pair</v>
          </cell>
          <cell r="W45">
            <v>0</v>
          </cell>
          <cell r="X45" t="str">
            <v>0</v>
          </cell>
        </row>
        <row r="46">
          <cell r="I46" t="str">
            <v>sim</v>
          </cell>
          <cell r="V46" t="str">
            <v>not</v>
          </cell>
          <cell r="W46">
            <v>1</v>
          </cell>
          <cell r="X46" t="str">
            <v>intens</v>
          </cell>
        </row>
        <row r="47">
          <cell r="I47" t="str">
            <v>sim</v>
          </cell>
          <cell r="V47" t="str">
            <v>not</v>
          </cell>
          <cell r="W47">
            <v>1</v>
          </cell>
          <cell r="X47" t="str">
            <v>neg</v>
          </cell>
        </row>
        <row r="48">
          <cell r="I48" t="str">
            <v>sim</v>
          </cell>
          <cell r="V48" t="str">
            <v>antonym</v>
          </cell>
          <cell r="W48">
            <v>1</v>
          </cell>
          <cell r="X48" t="str">
            <v>intens</v>
          </cell>
        </row>
        <row r="49">
          <cell r="I49" t="str">
            <v>sim</v>
          </cell>
          <cell r="V49" t="str">
            <v>antonym</v>
          </cell>
          <cell r="W49">
            <v>1</v>
          </cell>
          <cell r="X49" t="str">
            <v>neg</v>
          </cell>
        </row>
        <row r="50">
          <cell r="I50" t="str">
            <v>sim</v>
          </cell>
          <cell r="V50" t="str">
            <v>antonym</v>
          </cell>
          <cell r="W50">
            <v>1</v>
          </cell>
          <cell r="X50" t="str">
            <v>intens</v>
          </cell>
        </row>
        <row r="51">
          <cell r="I51" t="str">
            <v>sim</v>
          </cell>
          <cell r="V51" t="str">
            <v>antonym</v>
          </cell>
          <cell r="W51">
            <v>1</v>
          </cell>
          <cell r="X51" t="str">
            <v>neg</v>
          </cell>
        </row>
        <row r="52">
          <cell r="I52" t="str">
            <v>sim</v>
          </cell>
          <cell r="V52" t="str">
            <v>not neg pair</v>
          </cell>
          <cell r="W52">
            <v>0</v>
          </cell>
          <cell r="X52" t="str">
            <v>0</v>
          </cell>
        </row>
        <row r="53">
          <cell r="I53" t="str">
            <v>sim</v>
          </cell>
          <cell r="V53" t="str">
            <v>not neg pair</v>
          </cell>
          <cell r="W53">
            <v>0</v>
          </cell>
          <cell r="X53" t="str">
            <v>0</v>
          </cell>
        </row>
        <row r="54">
          <cell r="I54" t="str">
            <v>sim</v>
          </cell>
          <cell r="V54" t="str">
            <v>not neg pair</v>
          </cell>
          <cell r="W54">
            <v>0</v>
          </cell>
          <cell r="X54" t="str">
            <v>0</v>
          </cell>
        </row>
        <row r="55">
          <cell r="I55" t="str">
            <v>sim</v>
          </cell>
          <cell r="V55" t="str">
            <v>not neg pair</v>
          </cell>
          <cell r="W55">
            <v>0</v>
          </cell>
          <cell r="X55" t="str">
            <v>0</v>
          </cell>
        </row>
        <row r="56">
          <cell r="I56" t="str">
            <v>sim</v>
          </cell>
          <cell r="V56" t="str">
            <v>not neg pair</v>
          </cell>
          <cell r="W56">
            <v>0</v>
          </cell>
          <cell r="X56" t="str">
            <v>0</v>
          </cell>
        </row>
        <row r="57">
          <cell r="I57" t="str">
            <v>sim</v>
          </cell>
          <cell r="V57" t="str">
            <v>not neg pair</v>
          </cell>
          <cell r="W57">
            <v>0</v>
          </cell>
          <cell r="X57" t="str">
            <v>0</v>
          </cell>
        </row>
        <row r="58">
          <cell r="I58" t="str">
            <v>met</v>
          </cell>
          <cell r="V58" t="str">
            <v>0</v>
          </cell>
          <cell r="W58">
            <v>0</v>
          </cell>
          <cell r="X58" t="str">
            <v>0</v>
          </cell>
        </row>
        <row r="59">
          <cell r="I59" t="str">
            <v>met</v>
          </cell>
          <cell r="V59" t="str">
            <v>0</v>
          </cell>
          <cell r="W59">
            <v>0</v>
          </cell>
          <cell r="X59" t="str">
            <v>0</v>
          </cell>
        </row>
        <row r="60">
          <cell r="I60" t="str">
            <v>met</v>
          </cell>
          <cell r="V60" t="str">
            <v>0</v>
          </cell>
          <cell r="W60">
            <v>0</v>
          </cell>
          <cell r="X60" t="str">
            <v>0</v>
          </cell>
        </row>
        <row r="61">
          <cell r="I61" t="str">
            <v>sim</v>
          </cell>
          <cell r="V61" t="str">
            <v>not neg pair</v>
          </cell>
          <cell r="W61">
            <v>0</v>
          </cell>
          <cell r="X61" t="str">
            <v>0</v>
          </cell>
        </row>
        <row r="62">
          <cell r="I62" t="str">
            <v>sim</v>
          </cell>
          <cell r="V62" t="str">
            <v>antonym</v>
          </cell>
          <cell r="W62">
            <v>1</v>
          </cell>
          <cell r="X62" t="str">
            <v>neg</v>
          </cell>
        </row>
        <row r="63">
          <cell r="I63" t="str">
            <v>sim</v>
          </cell>
          <cell r="V63" t="str">
            <v>antonym</v>
          </cell>
          <cell r="W63">
            <v>1</v>
          </cell>
          <cell r="X63" t="str">
            <v>intens</v>
          </cell>
        </row>
        <row r="64">
          <cell r="I64" t="str">
            <v>sim</v>
          </cell>
          <cell r="V64" t="str">
            <v>not neg pair</v>
          </cell>
          <cell r="W64">
            <v>0</v>
          </cell>
          <cell r="X64" t="str">
            <v>0</v>
          </cell>
        </row>
        <row r="65">
          <cell r="I65" t="str">
            <v>sim</v>
          </cell>
          <cell r="V65" t="str">
            <v>not neg pair</v>
          </cell>
          <cell r="W65">
            <v>0</v>
          </cell>
          <cell r="X65" t="str">
            <v>0</v>
          </cell>
        </row>
        <row r="66">
          <cell r="I66" t="str">
            <v>sim</v>
          </cell>
          <cell r="V66" t="str">
            <v>antonym</v>
          </cell>
          <cell r="W66">
            <v>1</v>
          </cell>
          <cell r="X66" t="str">
            <v>intens</v>
          </cell>
        </row>
        <row r="67">
          <cell r="I67" t="str">
            <v>sim</v>
          </cell>
          <cell r="V67" t="str">
            <v>antonym</v>
          </cell>
          <cell r="W67">
            <v>1</v>
          </cell>
          <cell r="X67" t="str">
            <v>neg</v>
          </cell>
        </row>
        <row r="68">
          <cell r="I68" t="str">
            <v>sim</v>
          </cell>
          <cell r="V68" t="str">
            <v>not</v>
          </cell>
          <cell r="W68">
            <v>1</v>
          </cell>
          <cell r="X68" t="str">
            <v>intens</v>
          </cell>
        </row>
        <row r="69">
          <cell r="I69" t="str">
            <v>sim</v>
          </cell>
          <cell r="V69" t="str">
            <v>not</v>
          </cell>
          <cell r="W69">
            <v>1</v>
          </cell>
          <cell r="X69" t="str">
            <v>neg</v>
          </cell>
        </row>
        <row r="70">
          <cell r="I70" t="str">
            <v>sim</v>
          </cell>
          <cell r="V70" t="str">
            <v>not</v>
          </cell>
          <cell r="W70">
            <v>1</v>
          </cell>
          <cell r="X70" t="str">
            <v>intens</v>
          </cell>
        </row>
        <row r="71">
          <cell r="I71" t="str">
            <v>sim</v>
          </cell>
          <cell r="V71" t="str">
            <v>not</v>
          </cell>
          <cell r="W71">
            <v>1</v>
          </cell>
          <cell r="X71" t="str">
            <v>neg</v>
          </cell>
        </row>
        <row r="72">
          <cell r="I72" t="str">
            <v>sim</v>
          </cell>
          <cell r="V72" t="str">
            <v>not</v>
          </cell>
          <cell r="W72">
            <v>1</v>
          </cell>
          <cell r="X72" t="str">
            <v>intens</v>
          </cell>
        </row>
        <row r="73">
          <cell r="I73" t="str">
            <v>sim</v>
          </cell>
          <cell r="V73" t="str">
            <v>not</v>
          </cell>
          <cell r="W73">
            <v>1</v>
          </cell>
          <cell r="X73" t="str">
            <v>neg</v>
          </cell>
        </row>
        <row r="74">
          <cell r="I74" t="str">
            <v>sim</v>
          </cell>
          <cell r="V74" t="str">
            <v>not neg pair</v>
          </cell>
          <cell r="W74">
            <v>0</v>
          </cell>
          <cell r="X74" t="str">
            <v>0</v>
          </cell>
        </row>
        <row r="75">
          <cell r="I75" t="str">
            <v>sim</v>
          </cell>
          <cell r="V75" t="str">
            <v>not neg pair</v>
          </cell>
          <cell r="W75">
            <v>0</v>
          </cell>
          <cell r="X75" t="str">
            <v>0</v>
          </cell>
        </row>
        <row r="76">
          <cell r="I76" t="str">
            <v>sim</v>
          </cell>
          <cell r="V76" t="str">
            <v>not neg pair</v>
          </cell>
          <cell r="W76">
            <v>0</v>
          </cell>
          <cell r="X76" t="str">
            <v>0</v>
          </cell>
        </row>
        <row r="77">
          <cell r="I77" t="str">
            <v>sim</v>
          </cell>
          <cell r="V77" t="str">
            <v>not neg pair</v>
          </cell>
          <cell r="W77">
            <v>0</v>
          </cell>
          <cell r="X77" t="str">
            <v>0</v>
          </cell>
        </row>
        <row r="78">
          <cell r="I78" t="str">
            <v>met</v>
          </cell>
          <cell r="V78" t="str">
            <v>0</v>
          </cell>
          <cell r="W78">
            <v>0</v>
          </cell>
          <cell r="X78" t="str">
            <v>0</v>
          </cell>
        </row>
        <row r="79">
          <cell r="I79" t="str">
            <v>met</v>
          </cell>
          <cell r="V79" t="str">
            <v>0</v>
          </cell>
          <cell r="W79">
            <v>0</v>
          </cell>
          <cell r="X79" t="str">
            <v>0</v>
          </cell>
        </row>
        <row r="80">
          <cell r="I80" t="str">
            <v>sim</v>
          </cell>
          <cell r="V80" t="str">
            <v>not neg pair</v>
          </cell>
          <cell r="W80">
            <v>0</v>
          </cell>
          <cell r="X80" t="str">
            <v>0</v>
          </cell>
        </row>
        <row r="81">
          <cell r="I81" t="str">
            <v>sim</v>
          </cell>
          <cell r="V81" t="str">
            <v>not neg pair</v>
          </cell>
          <cell r="W81">
            <v>0</v>
          </cell>
          <cell r="X81" t="str">
            <v>0</v>
          </cell>
        </row>
        <row r="82">
          <cell r="I82" t="str">
            <v>met</v>
          </cell>
          <cell r="V82" t="str">
            <v>0</v>
          </cell>
          <cell r="W82">
            <v>0</v>
          </cell>
          <cell r="X82" t="str">
            <v>0</v>
          </cell>
        </row>
        <row r="83">
          <cell r="I83" t="str">
            <v>met</v>
          </cell>
          <cell r="V83" t="str">
            <v>0</v>
          </cell>
          <cell r="W83">
            <v>0</v>
          </cell>
          <cell r="X83" t="str">
            <v>0</v>
          </cell>
        </row>
        <row r="84">
          <cell r="I84" t="str">
            <v>sim</v>
          </cell>
          <cell r="V84" t="str">
            <v>not neg pair</v>
          </cell>
          <cell r="W84">
            <v>0</v>
          </cell>
          <cell r="X84" t="str">
            <v>0</v>
          </cell>
        </row>
        <row r="85">
          <cell r="I85" t="str">
            <v>sim</v>
          </cell>
          <cell r="V85" t="str">
            <v>not neg pair</v>
          </cell>
          <cell r="W85">
            <v>0</v>
          </cell>
          <cell r="X85" t="str">
            <v>0</v>
          </cell>
        </row>
        <row r="86">
          <cell r="I86" t="str">
            <v>sim</v>
          </cell>
          <cell r="V86" t="str">
            <v>not</v>
          </cell>
          <cell r="W86">
            <v>1</v>
          </cell>
          <cell r="X86" t="str">
            <v>intens</v>
          </cell>
        </row>
        <row r="87">
          <cell r="I87" t="str">
            <v>sim</v>
          </cell>
          <cell r="V87" t="str">
            <v>not</v>
          </cell>
          <cell r="W87">
            <v>1</v>
          </cell>
          <cell r="X87" t="str">
            <v>neg</v>
          </cell>
        </row>
        <row r="88">
          <cell r="I88" t="str">
            <v>sim</v>
          </cell>
          <cell r="V88" t="str">
            <v>not neg pair</v>
          </cell>
          <cell r="W88">
            <v>0</v>
          </cell>
          <cell r="X88" t="str">
            <v>0</v>
          </cell>
        </row>
        <row r="89">
          <cell r="I89" t="str">
            <v>sim</v>
          </cell>
          <cell r="V89" t="str">
            <v>not neg pair</v>
          </cell>
          <cell r="W89">
            <v>0</v>
          </cell>
          <cell r="X89" t="str">
            <v>0</v>
          </cell>
        </row>
        <row r="90">
          <cell r="I90" t="str">
            <v>sim</v>
          </cell>
          <cell r="V90" t="str">
            <v>not neg pair</v>
          </cell>
          <cell r="W90">
            <v>0</v>
          </cell>
          <cell r="X90" t="str">
            <v>0</v>
          </cell>
        </row>
        <row r="91">
          <cell r="I91" t="str">
            <v>sim</v>
          </cell>
          <cell r="V91" t="str">
            <v>not neg pair</v>
          </cell>
          <cell r="W91">
            <v>0</v>
          </cell>
          <cell r="X91" t="str">
            <v>0</v>
          </cell>
        </row>
        <row r="92">
          <cell r="I92" t="str">
            <v>sim</v>
          </cell>
          <cell r="V92" t="str">
            <v>not neg pair</v>
          </cell>
          <cell r="W92">
            <v>0</v>
          </cell>
          <cell r="X92" t="str">
            <v>0</v>
          </cell>
        </row>
        <row r="93">
          <cell r="I93" t="str">
            <v>sim</v>
          </cell>
          <cell r="V93" t="str">
            <v>not neg pair</v>
          </cell>
          <cell r="W93">
            <v>0</v>
          </cell>
          <cell r="X93" t="str">
            <v>0</v>
          </cell>
        </row>
        <row r="94">
          <cell r="I94" t="str">
            <v>sim</v>
          </cell>
          <cell r="V94" t="str">
            <v>not neg pair</v>
          </cell>
          <cell r="W94">
            <v>0</v>
          </cell>
          <cell r="X94" t="str">
            <v>0</v>
          </cell>
        </row>
        <row r="95">
          <cell r="I95" t="str">
            <v>sim</v>
          </cell>
          <cell r="V95" t="str">
            <v>not neg pair</v>
          </cell>
          <cell r="W95">
            <v>0</v>
          </cell>
          <cell r="X95" t="str">
            <v>0</v>
          </cell>
        </row>
        <row r="96">
          <cell r="I96" t="str">
            <v>met</v>
          </cell>
          <cell r="V96" t="str">
            <v>0</v>
          </cell>
          <cell r="W96">
            <v>0</v>
          </cell>
          <cell r="X96" t="str">
            <v>0</v>
          </cell>
        </row>
        <row r="97">
          <cell r="I97" t="str">
            <v>met</v>
          </cell>
          <cell r="V97" t="str">
            <v>0</v>
          </cell>
          <cell r="W97">
            <v>0</v>
          </cell>
          <cell r="X97" t="str">
            <v>0</v>
          </cell>
        </row>
        <row r="98">
          <cell r="I98" t="str">
            <v>sim</v>
          </cell>
          <cell r="V98" t="str">
            <v>not</v>
          </cell>
          <cell r="W98">
            <v>1</v>
          </cell>
          <cell r="X98" t="str">
            <v>neg</v>
          </cell>
        </row>
        <row r="99">
          <cell r="I99" t="str">
            <v>sim</v>
          </cell>
          <cell r="V99" t="str">
            <v>not</v>
          </cell>
          <cell r="W99">
            <v>1</v>
          </cell>
          <cell r="X99" t="str">
            <v>intens</v>
          </cell>
        </row>
        <row r="100">
          <cell r="I100" t="str">
            <v>met</v>
          </cell>
          <cell r="V100" t="str">
            <v>0</v>
          </cell>
          <cell r="W100">
            <v>0</v>
          </cell>
          <cell r="X100" t="str">
            <v>0</v>
          </cell>
        </row>
        <row r="101">
          <cell r="I101" t="str">
            <v>met</v>
          </cell>
          <cell r="V101" t="str">
            <v>0</v>
          </cell>
          <cell r="W101">
            <v>0</v>
          </cell>
          <cell r="X101" t="str">
            <v>0</v>
          </cell>
        </row>
        <row r="102">
          <cell r="I102" t="str">
            <v>sim</v>
          </cell>
          <cell r="V102" t="str">
            <v>antonym</v>
          </cell>
          <cell r="W102">
            <v>1</v>
          </cell>
          <cell r="X102" t="str">
            <v>intens</v>
          </cell>
        </row>
        <row r="103">
          <cell r="I103" t="str">
            <v>sim</v>
          </cell>
          <cell r="V103" t="str">
            <v>antonym</v>
          </cell>
          <cell r="W103">
            <v>1</v>
          </cell>
          <cell r="X103" t="str">
            <v>neg</v>
          </cell>
        </row>
        <row r="104">
          <cell r="I104" t="str">
            <v>sim</v>
          </cell>
          <cell r="V104" t="str">
            <v>antonym</v>
          </cell>
          <cell r="W104">
            <v>1</v>
          </cell>
          <cell r="X104" t="str">
            <v>intens</v>
          </cell>
        </row>
        <row r="105">
          <cell r="I105" t="str">
            <v>sim</v>
          </cell>
          <cell r="V105" t="str">
            <v>antonym</v>
          </cell>
          <cell r="W105">
            <v>1</v>
          </cell>
          <cell r="X105" t="str">
            <v>neg</v>
          </cell>
        </row>
        <row r="106">
          <cell r="I106" t="str">
            <v>sim</v>
          </cell>
          <cell r="V106" t="str">
            <v>not neg pair</v>
          </cell>
          <cell r="W106">
            <v>0</v>
          </cell>
          <cell r="X106" t="str">
            <v>0</v>
          </cell>
        </row>
        <row r="107">
          <cell r="I107" t="str">
            <v>sim</v>
          </cell>
          <cell r="V107" t="str">
            <v>not neg pair</v>
          </cell>
          <cell r="W107">
            <v>0</v>
          </cell>
          <cell r="X107" t="str">
            <v>0</v>
          </cell>
        </row>
        <row r="108">
          <cell r="I108" t="str">
            <v>met</v>
          </cell>
          <cell r="V108" t="str">
            <v>0</v>
          </cell>
          <cell r="W108">
            <v>0</v>
          </cell>
          <cell r="X108" t="str">
            <v>0</v>
          </cell>
        </row>
        <row r="109">
          <cell r="I109" t="str">
            <v>met</v>
          </cell>
          <cell r="V109" t="str">
            <v>0</v>
          </cell>
          <cell r="W109">
            <v>0</v>
          </cell>
          <cell r="X109" t="str">
            <v>0</v>
          </cell>
        </row>
        <row r="110">
          <cell r="I110" t="str">
            <v>sim</v>
          </cell>
          <cell r="V110" t="str">
            <v>not</v>
          </cell>
          <cell r="W110">
            <v>1</v>
          </cell>
          <cell r="X110" t="str">
            <v>intens</v>
          </cell>
        </row>
        <row r="111">
          <cell r="I111" t="str">
            <v>sim</v>
          </cell>
          <cell r="V111" t="str">
            <v>not</v>
          </cell>
          <cell r="W111">
            <v>1</v>
          </cell>
          <cell r="X111" t="str">
            <v>neg</v>
          </cell>
        </row>
        <row r="112">
          <cell r="I112" t="str">
            <v>met</v>
          </cell>
          <cell r="V112" t="str">
            <v>0</v>
          </cell>
          <cell r="W112">
            <v>0</v>
          </cell>
          <cell r="X112" t="str">
            <v>0</v>
          </cell>
        </row>
        <row r="113">
          <cell r="I113" t="str">
            <v>met</v>
          </cell>
          <cell r="V113" t="str">
            <v>0</v>
          </cell>
          <cell r="W113">
            <v>0</v>
          </cell>
          <cell r="X113" t="str">
            <v>0</v>
          </cell>
        </row>
        <row r="114">
          <cell r="I114" t="str">
            <v>sim</v>
          </cell>
          <cell r="V114" t="str">
            <v>not neg pair</v>
          </cell>
          <cell r="W114">
            <v>0</v>
          </cell>
          <cell r="X114" t="str">
            <v>0</v>
          </cell>
        </row>
        <row r="115">
          <cell r="I115" t="str">
            <v>sim</v>
          </cell>
          <cell r="V115" t="str">
            <v>not neg pair</v>
          </cell>
          <cell r="W115">
            <v>0</v>
          </cell>
          <cell r="X115" t="str">
            <v>0</v>
          </cell>
        </row>
        <row r="116">
          <cell r="I116" t="str">
            <v>sim</v>
          </cell>
          <cell r="V116" t="str">
            <v>not neg pair</v>
          </cell>
          <cell r="W116">
            <v>0</v>
          </cell>
          <cell r="X116" t="str">
            <v>0</v>
          </cell>
        </row>
        <row r="117">
          <cell r="I117" t="str">
            <v>sim</v>
          </cell>
          <cell r="V117" t="str">
            <v>not neg pair</v>
          </cell>
          <cell r="W117">
            <v>0</v>
          </cell>
          <cell r="X117" t="str">
            <v>0</v>
          </cell>
        </row>
        <row r="118">
          <cell r="I118" t="str">
            <v>sim</v>
          </cell>
          <cell r="V118" t="str">
            <v>not</v>
          </cell>
          <cell r="W118">
            <v>1</v>
          </cell>
          <cell r="X118" t="str">
            <v>intens</v>
          </cell>
        </row>
        <row r="119">
          <cell r="I119" t="str">
            <v>sim</v>
          </cell>
          <cell r="V119" t="str">
            <v>not</v>
          </cell>
          <cell r="W119">
            <v>1</v>
          </cell>
          <cell r="X119" t="str">
            <v>neg</v>
          </cell>
        </row>
        <row r="120">
          <cell r="I120" t="str">
            <v>sim</v>
          </cell>
          <cell r="V120" t="str">
            <v>not</v>
          </cell>
          <cell r="W120">
            <v>1</v>
          </cell>
          <cell r="X120" t="str">
            <v>neg</v>
          </cell>
        </row>
        <row r="121">
          <cell r="I121" t="str">
            <v>sim</v>
          </cell>
          <cell r="V121" t="str">
            <v>not</v>
          </cell>
          <cell r="W121">
            <v>1</v>
          </cell>
          <cell r="X121" t="str">
            <v>intens</v>
          </cell>
        </row>
        <row r="122">
          <cell r="I122" t="str">
            <v>sim</v>
          </cell>
          <cell r="V122" t="str">
            <v>not neg pair</v>
          </cell>
          <cell r="W122">
            <v>0</v>
          </cell>
          <cell r="X122" t="str">
            <v>0</v>
          </cell>
        </row>
        <row r="123">
          <cell r="I123" t="str">
            <v>sim</v>
          </cell>
          <cell r="V123" t="str">
            <v>not neg pair</v>
          </cell>
          <cell r="W123">
            <v>0</v>
          </cell>
          <cell r="X123" t="str">
            <v>0</v>
          </cell>
        </row>
        <row r="124">
          <cell r="I124" t="str">
            <v>sim</v>
          </cell>
          <cell r="V124" t="str">
            <v>antonym</v>
          </cell>
          <cell r="W124">
            <v>1</v>
          </cell>
          <cell r="X124" t="str">
            <v>intens</v>
          </cell>
        </row>
        <row r="125">
          <cell r="I125" t="str">
            <v>sim</v>
          </cell>
          <cell r="V125" t="str">
            <v>antonym</v>
          </cell>
          <cell r="W125">
            <v>1</v>
          </cell>
          <cell r="X125" t="str">
            <v>neg</v>
          </cell>
        </row>
        <row r="126">
          <cell r="I126" t="str">
            <v>sim</v>
          </cell>
          <cell r="V126" t="str">
            <v>not</v>
          </cell>
          <cell r="W126">
            <v>1</v>
          </cell>
          <cell r="X126" t="str">
            <v>intens</v>
          </cell>
        </row>
        <row r="127">
          <cell r="I127" t="str">
            <v>sim</v>
          </cell>
          <cell r="V127" t="str">
            <v>not</v>
          </cell>
          <cell r="W127">
            <v>1</v>
          </cell>
          <cell r="X127" t="str">
            <v>neg</v>
          </cell>
        </row>
        <row r="128">
          <cell r="I128" t="str">
            <v>sim</v>
          </cell>
          <cell r="V128" t="str">
            <v>not</v>
          </cell>
          <cell r="W128">
            <v>1</v>
          </cell>
          <cell r="X128" t="str">
            <v>intens</v>
          </cell>
        </row>
        <row r="129">
          <cell r="I129" t="str">
            <v>sim</v>
          </cell>
          <cell r="V129" t="str">
            <v>not</v>
          </cell>
          <cell r="W129">
            <v>1</v>
          </cell>
          <cell r="X129" t="str">
            <v>neg</v>
          </cell>
        </row>
        <row r="130">
          <cell r="I130" t="str">
            <v>sim</v>
          </cell>
          <cell r="V130" t="str">
            <v>antonym</v>
          </cell>
          <cell r="W130">
            <v>1</v>
          </cell>
          <cell r="X130" t="str">
            <v>intens</v>
          </cell>
        </row>
        <row r="131">
          <cell r="I131" t="str">
            <v>sim</v>
          </cell>
          <cell r="V131" t="str">
            <v>antonym</v>
          </cell>
          <cell r="W131">
            <v>1</v>
          </cell>
          <cell r="X131" t="str">
            <v>neg</v>
          </cell>
        </row>
        <row r="132">
          <cell r="I132" t="str">
            <v>sim</v>
          </cell>
          <cell r="V132" t="str">
            <v>not neg pair</v>
          </cell>
          <cell r="W132">
            <v>0</v>
          </cell>
          <cell r="X132" t="str">
            <v>0</v>
          </cell>
        </row>
        <row r="133">
          <cell r="I133" t="str">
            <v>sim</v>
          </cell>
          <cell r="V133" t="str">
            <v>not neg pair</v>
          </cell>
          <cell r="W133">
            <v>0</v>
          </cell>
          <cell r="X133" t="str">
            <v>0</v>
          </cell>
        </row>
        <row r="134">
          <cell r="I134" t="str">
            <v>sim</v>
          </cell>
          <cell r="V134" t="str">
            <v>not neg pair</v>
          </cell>
          <cell r="W134">
            <v>0</v>
          </cell>
          <cell r="X134" t="str">
            <v>0</v>
          </cell>
        </row>
        <row r="135">
          <cell r="I135" t="str">
            <v>sim</v>
          </cell>
          <cell r="V135" t="str">
            <v>not neg pair</v>
          </cell>
          <cell r="W135">
            <v>0</v>
          </cell>
          <cell r="X135" t="str">
            <v>0</v>
          </cell>
        </row>
        <row r="136">
          <cell r="I136" t="str">
            <v>sim</v>
          </cell>
          <cell r="V136" t="str">
            <v>not neg pair</v>
          </cell>
          <cell r="W136">
            <v>0</v>
          </cell>
          <cell r="X136" t="str">
            <v>0</v>
          </cell>
        </row>
        <row r="137">
          <cell r="I137" t="str">
            <v>sim</v>
          </cell>
          <cell r="V137" t="str">
            <v>not neg pair</v>
          </cell>
          <cell r="W137">
            <v>0</v>
          </cell>
          <cell r="X137" t="str">
            <v>0</v>
          </cell>
        </row>
        <row r="138">
          <cell r="I138" t="str">
            <v>met</v>
          </cell>
          <cell r="V138" t="str">
            <v>0</v>
          </cell>
          <cell r="W138">
            <v>0</v>
          </cell>
          <cell r="X138" t="str">
            <v>0</v>
          </cell>
        </row>
        <row r="139">
          <cell r="I139" t="str">
            <v>met</v>
          </cell>
          <cell r="V139" t="str">
            <v>0</v>
          </cell>
          <cell r="W139">
            <v>0</v>
          </cell>
          <cell r="X139" t="str">
            <v>0</v>
          </cell>
        </row>
        <row r="140">
          <cell r="I140" t="str">
            <v>met</v>
          </cell>
          <cell r="V140" t="str">
            <v>0</v>
          </cell>
          <cell r="W140">
            <v>0</v>
          </cell>
          <cell r="X140" t="str">
            <v>0</v>
          </cell>
        </row>
        <row r="141">
          <cell r="I141" t="str">
            <v>met</v>
          </cell>
          <cell r="V141" t="str">
            <v>0</v>
          </cell>
          <cell r="W141">
            <v>0</v>
          </cell>
          <cell r="X141" t="str">
            <v>0</v>
          </cell>
        </row>
        <row r="142">
          <cell r="I142" t="str">
            <v>sim</v>
          </cell>
          <cell r="V142" t="str">
            <v>not neg pair</v>
          </cell>
          <cell r="W142">
            <v>0</v>
          </cell>
          <cell r="X142" t="str">
            <v>0</v>
          </cell>
        </row>
        <row r="143">
          <cell r="I143" t="str">
            <v>sim</v>
          </cell>
          <cell r="V143" t="str">
            <v>not neg pair</v>
          </cell>
          <cell r="W143">
            <v>0</v>
          </cell>
          <cell r="X143" t="str">
            <v>0</v>
          </cell>
        </row>
        <row r="144">
          <cell r="I144" t="str">
            <v>sim</v>
          </cell>
          <cell r="V144" t="str">
            <v>antonym</v>
          </cell>
          <cell r="W144">
            <v>1</v>
          </cell>
          <cell r="X144" t="str">
            <v>intens</v>
          </cell>
        </row>
        <row r="145">
          <cell r="I145" t="str">
            <v>sim</v>
          </cell>
          <cell r="V145" t="str">
            <v>antonym</v>
          </cell>
          <cell r="W145">
            <v>1</v>
          </cell>
          <cell r="X145" t="str">
            <v>neg</v>
          </cell>
        </row>
        <row r="146">
          <cell r="I146" t="str">
            <v>sim</v>
          </cell>
          <cell r="V146" t="str">
            <v>not neg pair</v>
          </cell>
          <cell r="W146">
            <v>0</v>
          </cell>
          <cell r="X146" t="str">
            <v>0</v>
          </cell>
        </row>
        <row r="147">
          <cell r="I147" t="str">
            <v>sim</v>
          </cell>
          <cell r="V147" t="str">
            <v>not neg pair</v>
          </cell>
          <cell r="W147">
            <v>0</v>
          </cell>
          <cell r="X147" t="str">
            <v>0</v>
          </cell>
        </row>
        <row r="148">
          <cell r="I148" t="str">
            <v>sim</v>
          </cell>
          <cell r="V148" t="str">
            <v>antonym</v>
          </cell>
          <cell r="W148">
            <v>1</v>
          </cell>
          <cell r="X148" t="str">
            <v>intens</v>
          </cell>
        </row>
        <row r="149">
          <cell r="I149" t="str">
            <v>sim</v>
          </cell>
          <cell r="V149" t="str">
            <v>antonym</v>
          </cell>
          <cell r="W149">
            <v>1</v>
          </cell>
          <cell r="X149" t="str">
            <v>neg</v>
          </cell>
        </row>
        <row r="150">
          <cell r="I150" t="str">
            <v>sim</v>
          </cell>
          <cell r="V150" t="str">
            <v>not neg pair</v>
          </cell>
          <cell r="W150">
            <v>0</v>
          </cell>
          <cell r="X150" t="str">
            <v>0</v>
          </cell>
        </row>
        <row r="151">
          <cell r="I151" t="str">
            <v>sim</v>
          </cell>
          <cell r="V151" t="str">
            <v>not neg pair</v>
          </cell>
          <cell r="W151">
            <v>0</v>
          </cell>
          <cell r="X151" t="str">
            <v>0</v>
          </cell>
        </row>
        <row r="152">
          <cell r="I152" t="str">
            <v>sim</v>
          </cell>
          <cell r="V152" t="str">
            <v>not neg pair</v>
          </cell>
          <cell r="W152">
            <v>0</v>
          </cell>
          <cell r="X152" t="str">
            <v>0</v>
          </cell>
        </row>
        <row r="153">
          <cell r="I153" t="str">
            <v>sim</v>
          </cell>
          <cell r="V153" t="str">
            <v>not neg pair</v>
          </cell>
          <cell r="W153">
            <v>0</v>
          </cell>
          <cell r="X153" t="str">
            <v>0</v>
          </cell>
        </row>
        <row r="154">
          <cell r="I154" t="str">
            <v>sim</v>
          </cell>
          <cell r="V154" t="str">
            <v>not</v>
          </cell>
          <cell r="W154">
            <v>1</v>
          </cell>
          <cell r="X154" t="str">
            <v>intens</v>
          </cell>
        </row>
        <row r="155">
          <cell r="I155" t="str">
            <v>sim</v>
          </cell>
          <cell r="V155" t="str">
            <v>not</v>
          </cell>
          <cell r="W155">
            <v>1</v>
          </cell>
          <cell r="X155" t="str">
            <v>neg</v>
          </cell>
        </row>
        <row r="156">
          <cell r="I156" t="str">
            <v>sim</v>
          </cell>
          <cell r="V156" t="str">
            <v>not neg pair</v>
          </cell>
          <cell r="W156">
            <v>0</v>
          </cell>
          <cell r="X156" t="str">
            <v>0</v>
          </cell>
        </row>
        <row r="157">
          <cell r="I157" t="str">
            <v>sim</v>
          </cell>
          <cell r="V157" t="str">
            <v>not neg pair</v>
          </cell>
          <cell r="W157">
            <v>0</v>
          </cell>
          <cell r="X157" t="str">
            <v>0</v>
          </cell>
        </row>
        <row r="158">
          <cell r="I158" t="str">
            <v>sim</v>
          </cell>
          <cell r="V158" t="str">
            <v>not neg pair</v>
          </cell>
          <cell r="W158">
            <v>0</v>
          </cell>
          <cell r="X158" t="str">
            <v>0</v>
          </cell>
        </row>
        <row r="159">
          <cell r="I159" t="str">
            <v>sim</v>
          </cell>
          <cell r="V159" t="str">
            <v>not neg pair</v>
          </cell>
          <cell r="W159">
            <v>0</v>
          </cell>
          <cell r="X159" t="str">
            <v>0</v>
          </cell>
        </row>
        <row r="160">
          <cell r="I160" t="str">
            <v>sim</v>
          </cell>
          <cell r="V160" t="str">
            <v>not neg pair</v>
          </cell>
          <cell r="W160">
            <v>0</v>
          </cell>
          <cell r="X160" t="str">
            <v>0</v>
          </cell>
        </row>
        <row r="161">
          <cell r="I161" t="str">
            <v>sim</v>
          </cell>
          <cell r="V161" t="str">
            <v>not neg pair</v>
          </cell>
          <cell r="W161">
            <v>0</v>
          </cell>
          <cell r="X161" t="str">
            <v>0</v>
          </cell>
        </row>
        <row r="162">
          <cell r="I162" t="str">
            <v>sim</v>
          </cell>
          <cell r="V162" t="str">
            <v>antonym</v>
          </cell>
          <cell r="W162">
            <v>1</v>
          </cell>
          <cell r="X162" t="str">
            <v>intens</v>
          </cell>
        </row>
        <row r="163">
          <cell r="I163" t="str">
            <v>sim</v>
          </cell>
          <cell r="V163" t="str">
            <v>antonym</v>
          </cell>
          <cell r="W163">
            <v>1</v>
          </cell>
          <cell r="X163" t="str">
            <v>neg</v>
          </cell>
        </row>
        <row r="164">
          <cell r="I164" t="str">
            <v>sim</v>
          </cell>
          <cell r="V164" t="str">
            <v>not</v>
          </cell>
          <cell r="W164">
            <v>1</v>
          </cell>
          <cell r="X164" t="str">
            <v>intens</v>
          </cell>
        </row>
        <row r="165">
          <cell r="I165" t="str">
            <v>sim</v>
          </cell>
          <cell r="V165" t="str">
            <v>not</v>
          </cell>
          <cell r="W165">
            <v>1</v>
          </cell>
          <cell r="X165" t="str">
            <v>neg</v>
          </cell>
        </row>
        <row r="166">
          <cell r="I166" t="str">
            <v>met</v>
          </cell>
          <cell r="V166" t="str">
            <v>0</v>
          </cell>
          <cell r="W166">
            <v>0</v>
          </cell>
          <cell r="X166" t="str">
            <v>0</v>
          </cell>
        </row>
        <row r="167">
          <cell r="I167" t="str">
            <v>met</v>
          </cell>
          <cell r="V167" t="str">
            <v>0</v>
          </cell>
          <cell r="W167">
            <v>0</v>
          </cell>
          <cell r="X167" t="str">
            <v>0</v>
          </cell>
        </row>
        <row r="168">
          <cell r="I168" t="str">
            <v>sim</v>
          </cell>
          <cell r="V168" t="str">
            <v>not</v>
          </cell>
          <cell r="W168">
            <v>1</v>
          </cell>
          <cell r="X168" t="str">
            <v>intens</v>
          </cell>
        </row>
        <row r="169">
          <cell r="I169" t="str">
            <v>sim</v>
          </cell>
          <cell r="V169" t="str">
            <v>not</v>
          </cell>
          <cell r="W169">
            <v>1</v>
          </cell>
          <cell r="X169" t="str">
            <v>neg</v>
          </cell>
        </row>
        <row r="170">
          <cell r="I170" t="str">
            <v>sim</v>
          </cell>
          <cell r="V170" t="str">
            <v>not</v>
          </cell>
          <cell r="W170">
            <v>1</v>
          </cell>
          <cell r="X170" t="str">
            <v>neg</v>
          </cell>
        </row>
        <row r="171">
          <cell r="I171" t="str">
            <v>sim</v>
          </cell>
          <cell r="V171" t="str">
            <v>not</v>
          </cell>
          <cell r="W171">
            <v>1</v>
          </cell>
          <cell r="X171" t="str">
            <v>intens</v>
          </cell>
        </row>
        <row r="172">
          <cell r="I172" t="str">
            <v>sim</v>
          </cell>
          <cell r="V172" t="str">
            <v>not neg pair</v>
          </cell>
          <cell r="W172">
            <v>0</v>
          </cell>
          <cell r="X172" t="str">
            <v>0</v>
          </cell>
        </row>
        <row r="173">
          <cell r="I173" t="str">
            <v>sim</v>
          </cell>
          <cell r="V173" t="str">
            <v>not neg pair</v>
          </cell>
          <cell r="W173">
            <v>0</v>
          </cell>
          <cell r="X173" t="str">
            <v>0</v>
          </cell>
        </row>
        <row r="174">
          <cell r="I174" t="str">
            <v>sim</v>
          </cell>
          <cell r="V174" t="str">
            <v>not neg pair</v>
          </cell>
          <cell r="W174">
            <v>0</v>
          </cell>
          <cell r="X174" t="str">
            <v>0</v>
          </cell>
        </row>
        <row r="175">
          <cell r="I175" t="str">
            <v>sim</v>
          </cell>
          <cell r="V175" t="str">
            <v>not neg pair</v>
          </cell>
          <cell r="W175">
            <v>0</v>
          </cell>
          <cell r="X175" t="str">
            <v>0</v>
          </cell>
        </row>
        <row r="176">
          <cell r="I176" t="str">
            <v>sim</v>
          </cell>
          <cell r="V176" t="str">
            <v>antonym</v>
          </cell>
          <cell r="W176">
            <v>1</v>
          </cell>
          <cell r="X176" t="str">
            <v>neg</v>
          </cell>
        </row>
        <row r="177">
          <cell r="I177" t="str">
            <v>sim</v>
          </cell>
          <cell r="V177" t="str">
            <v>antonym</v>
          </cell>
          <cell r="W177">
            <v>1</v>
          </cell>
          <cell r="X177" t="str">
            <v>intens</v>
          </cell>
        </row>
        <row r="178">
          <cell r="I178" t="str">
            <v>sim</v>
          </cell>
          <cell r="V178" t="str">
            <v>not</v>
          </cell>
          <cell r="W178">
            <v>1</v>
          </cell>
          <cell r="X178" t="str">
            <v>intens</v>
          </cell>
        </row>
        <row r="179">
          <cell r="I179" t="str">
            <v>sim</v>
          </cell>
          <cell r="V179" t="str">
            <v>not</v>
          </cell>
          <cell r="W179">
            <v>1</v>
          </cell>
          <cell r="X179" t="str">
            <v>neg</v>
          </cell>
        </row>
        <row r="180">
          <cell r="I180" t="str">
            <v>sim</v>
          </cell>
          <cell r="V180" t="str">
            <v>not</v>
          </cell>
          <cell r="W180">
            <v>1</v>
          </cell>
          <cell r="X180" t="str">
            <v>intens</v>
          </cell>
        </row>
        <row r="181">
          <cell r="I181" t="str">
            <v>sim</v>
          </cell>
          <cell r="V181" t="str">
            <v>not</v>
          </cell>
          <cell r="W181">
            <v>1</v>
          </cell>
          <cell r="X181" t="str">
            <v>neg</v>
          </cell>
        </row>
        <row r="182">
          <cell r="I182" t="str">
            <v>sim</v>
          </cell>
          <cell r="V182" t="str">
            <v>not neg pair</v>
          </cell>
          <cell r="W182">
            <v>0</v>
          </cell>
          <cell r="X182" t="str">
            <v>0</v>
          </cell>
        </row>
        <row r="183">
          <cell r="I183" t="str">
            <v>sim</v>
          </cell>
          <cell r="V183" t="str">
            <v>not neg pair</v>
          </cell>
          <cell r="W183">
            <v>0</v>
          </cell>
          <cell r="X183" t="str">
            <v>0</v>
          </cell>
        </row>
        <row r="184">
          <cell r="I184" t="str">
            <v>sim</v>
          </cell>
          <cell r="V184" t="str">
            <v>not neg pair</v>
          </cell>
          <cell r="W184">
            <v>0</v>
          </cell>
          <cell r="X184" t="str">
            <v>0</v>
          </cell>
        </row>
        <row r="185">
          <cell r="I185" t="str">
            <v>sim</v>
          </cell>
          <cell r="V185" t="str">
            <v>not neg pair</v>
          </cell>
          <cell r="W185">
            <v>0</v>
          </cell>
          <cell r="X185" t="str">
            <v>0</v>
          </cell>
        </row>
        <row r="186">
          <cell r="I186" t="str">
            <v>sim</v>
          </cell>
          <cell r="V186" t="str">
            <v>not neg pair</v>
          </cell>
          <cell r="W186">
            <v>0</v>
          </cell>
          <cell r="X186" t="str">
            <v>0</v>
          </cell>
        </row>
        <row r="187">
          <cell r="I187" t="str">
            <v>sim</v>
          </cell>
          <cell r="V187" t="str">
            <v>not neg pair</v>
          </cell>
          <cell r="W187">
            <v>0</v>
          </cell>
          <cell r="X187" t="str">
            <v>0</v>
          </cell>
        </row>
        <row r="188">
          <cell r="I188" t="str">
            <v>sim</v>
          </cell>
          <cell r="V188" t="str">
            <v>not neg pair</v>
          </cell>
          <cell r="W188">
            <v>0</v>
          </cell>
          <cell r="X188" t="str">
            <v>0</v>
          </cell>
        </row>
        <row r="189">
          <cell r="I189" t="str">
            <v>sim</v>
          </cell>
          <cell r="V189" t="str">
            <v>not neg pair</v>
          </cell>
          <cell r="W189">
            <v>0</v>
          </cell>
          <cell r="X189" t="str">
            <v>0</v>
          </cell>
        </row>
        <row r="190">
          <cell r="I190" t="str">
            <v>sim</v>
          </cell>
          <cell r="V190" t="str">
            <v>not neg pair</v>
          </cell>
          <cell r="W190">
            <v>0</v>
          </cell>
          <cell r="X190" t="str">
            <v>0</v>
          </cell>
        </row>
        <row r="191">
          <cell r="I191" t="str">
            <v>sim</v>
          </cell>
          <cell r="V191" t="str">
            <v>not neg pair</v>
          </cell>
          <cell r="W191">
            <v>0</v>
          </cell>
          <cell r="X191" t="str">
            <v>0</v>
          </cell>
        </row>
        <row r="192">
          <cell r="I192" t="str">
            <v>sim</v>
          </cell>
          <cell r="V192" t="str">
            <v>not neg pair</v>
          </cell>
          <cell r="W192">
            <v>0</v>
          </cell>
          <cell r="X192" t="str">
            <v>0</v>
          </cell>
        </row>
        <row r="193">
          <cell r="I193" t="str">
            <v>sim</v>
          </cell>
          <cell r="V193" t="str">
            <v>not neg pair</v>
          </cell>
          <cell r="W193">
            <v>0</v>
          </cell>
          <cell r="X193" t="str">
            <v>0</v>
          </cell>
        </row>
        <row r="194">
          <cell r="I194" t="str">
            <v>sim</v>
          </cell>
          <cell r="V194" t="str">
            <v>not neg pair</v>
          </cell>
          <cell r="W194">
            <v>0</v>
          </cell>
          <cell r="X194" t="str">
            <v>0</v>
          </cell>
        </row>
        <row r="195">
          <cell r="I195" t="str">
            <v>sim</v>
          </cell>
          <cell r="V195" t="str">
            <v>not neg pair</v>
          </cell>
          <cell r="W195">
            <v>0</v>
          </cell>
          <cell r="X195" t="str">
            <v>0</v>
          </cell>
        </row>
        <row r="196">
          <cell r="I196" t="str">
            <v>sim</v>
          </cell>
          <cell r="V196" t="str">
            <v>not</v>
          </cell>
          <cell r="W196">
            <v>1</v>
          </cell>
          <cell r="X196" t="str">
            <v>intens</v>
          </cell>
        </row>
        <row r="197">
          <cell r="I197" t="str">
            <v>sim</v>
          </cell>
          <cell r="V197" t="str">
            <v>not</v>
          </cell>
          <cell r="W197">
            <v>1</v>
          </cell>
          <cell r="X197" t="str">
            <v>neg</v>
          </cell>
        </row>
        <row r="198">
          <cell r="I198" t="str">
            <v>sim</v>
          </cell>
          <cell r="V198" t="str">
            <v>not neg pair</v>
          </cell>
          <cell r="W198">
            <v>0</v>
          </cell>
          <cell r="X198" t="str">
            <v>0</v>
          </cell>
        </row>
        <row r="199">
          <cell r="I199" t="str">
            <v>sim</v>
          </cell>
          <cell r="V199" t="str">
            <v>not neg pair</v>
          </cell>
          <cell r="W199">
            <v>0</v>
          </cell>
          <cell r="X199" t="str">
            <v>0</v>
          </cell>
        </row>
        <row r="200">
          <cell r="I200" t="str">
            <v>sim</v>
          </cell>
          <cell r="V200" t="str">
            <v>not neg pair</v>
          </cell>
          <cell r="W200">
            <v>0</v>
          </cell>
          <cell r="X200" t="str">
            <v>0</v>
          </cell>
        </row>
        <row r="201">
          <cell r="I201" t="str">
            <v>sim</v>
          </cell>
          <cell r="V201" t="str">
            <v>not neg pair</v>
          </cell>
          <cell r="W201">
            <v>0</v>
          </cell>
          <cell r="X201" t="str">
            <v>0</v>
          </cell>
        </row>
        <row r="202">
          <cell r="I202" t="str">
            <v>sim</v>
          </cell>
          <cell r="V202" t="str">
            <v>not</v>
          </cell>
          <cell r="W202">
            <v>1</v>
          </cell>
          <cell r="X202" t="str">
            <v>neg</v>
          </cell>
        </row>
        <row r="203">
          <cell r="I203" t="str">
            <v>sim</v>
          </cell>
          <cell r="V203" t="str">
            <v>not</v>
          </cell>
          <cell r="W203">
            <v>1</v>
          </cell>
          <cell r="X203" t="str">
            <v>intens</v>
          </cell>
        </row>
        <row r="204">
          <cell r="I204" t="str">
            <v>met</v>
          </cell>
          <cell r="V204" t="str">
            <v>0</v>
          </cell>
          <cell r="W204">
            <v>0</v>
          </cell>
          <cell r="X204" t="str">
            <v>0</v>
          </cell>
        </row>
        <row r="205">
          <cell r="I205" t="str">
            <v>met</v>
          </cell>
          <cell r="V205" t="str">
            <v>0</v>
          </cell>
          <cell r="W205">
            <v>0</v>
          </cell>
          <cell r="X205" t="str">
            <v>0</v>
          </cell>
        </row>
        <row r="206">
          <cell r="I206" t="str">
            <v>sim</v>
          </cell>
          <cell r="V206" t="str">
            <v>not neg pair</v>
          </cell>
          <cell r="W206">
            <v>0</v>
          </cell>
          <cell r="X206" t="str">
            <v>0</v>
          </cell>
        </row>
        <row r="207">
          <cell r="I207" t="str">
            <v>sim</v>
          </cell>
          <cell r="V207" t="str">
            <v>not neg pair</v>
          </cell>
          <cell r="W207">
            <v>0</v>
          </cell>
          <cell r="X207" t="str">
            <v>0</v>
          </cell>
        </row>
        <row r="208">
          <cell r="I208" t="str">
            <v>sim</v>
          </cell>
          <cell r="V208" t="str">
            <v>not neg pair</v>
          </cell>
          <cell r="W208">
            <v>0</v>
          </cell>
          <cell r="X208" t="str">
            <v>0</v>
          </cell>
        </row>
        <row r="209">
          <cell r="I209" t="str">
            <v>sim</v>
          </cell>
          <cell r="V209" t="str">
            <v>not neg pair</v>
          </cell>
          <cell r="W209">
            <v>0</v>
          </cell>
          <cell r="X209" t="str">
            <v>0</v>
          </cell>
        </row>
        <row r="210">
          <cell r="I210" t="str">
            <v>met</v>
          </cell>
          <cell r="V210" t="str">
            <v>0</v>
          </cell>
          <cell r="W210">
            <v>0</v>
          </cell>
          <cell r="X210" t="str">
            <v>0</v>
          </cell>
        </row>
        <row r="211">
          <cell r="I211" t="str">
            <v>met</v>
          </cell>
          <cell r="V211" t="str">
            <v>0</v>
          </cell>
          <cell r="W211">
            <v>0</v>
          </cell>
          <cell r="X211" t="str">
            <v>0</v>
          </cell>
        </row>
        <row r="212">
          <cell r="I212" t="str">
            <v>met</v>
          </cell>
          <cell r="V212" t="str">
            <v>0</v>
          </cell>
          <cell r="W212">
            <v>0</v>
          </cell>
          <cell r="X212" t="str">
            <v>0</v>
          </cell>
        </row>
        <row r="213">
          <cell r="I213" t="str">
            <v>met</v>
          </cell>
          <cell r="V213" t="str">
            <v>0</v>
          </cell>
          <cell r="W213">
            <v>0</v>
          </cell>
          <cell r="X213" t="str">
            <v>0</v>
          </cell>
        </row>
        <row r="214">
          <cell r="I214" t="str">
            <v>met</v>
          </cell>
          <cell r="V214" t="str">
            <v>0</v>
          </cell>
          <cell r="W214">
            <v>0</v>
          </cell>
          <cell r="X214" t="str">
            <v>0</v>
          </cell>
        </row>
        <row r="215">
          <cell r="I215" t="str">
            <v>met</v>
          </cell>
          <cell r="V215" t="str">
            <v>0</v>
          </cell>
          <cell r="W215">
            <v>0</v>
          </cell>
          <cell r="X215" t="str">
            <v>0</v>
          </cell>
        </row>
        <row r="216">
          <cell r="I216" t="str">
            <v>sim</v>
          </cell>
          <cell r="V216" t="str">
            <v>not neg pair</v>
          </cell>
          <cell r="W216">
            <v>0</v>
          </cell>
          <cell r="X216" t="str">
            <v>0</v>
          </cell>
        </row>
        <row r="217">
          <cell r="I217" t="str">
            <v>sim</v>
          </cell>
          <cell r="V217" t="str">
            <v>not neg pair</v>
          </cell>
          <cell r="W217">
            <v>0</v>
          </cell>
          <cell r="X217" t="str">
            <v>0</v>
          </cell>
        </row>
        <row r="218">
          <cell r="I218" t="str">
            <v>sim</v>
          </cell>
          <cell r="V218" t="str">
            <v>not neg pair</v>
          </cell>
          <cell r="W218">
            <v>0</v>
          </cell>
          <cell r="X218" t="str">
            <v>0</v>
          </cell>
        </row>
        <row r="219">
          <cell r="I219" t="str">
            <v>sim</v>
          </cell>
          <cell r="V219" t="str">
            <v>not neg pair</v>
          </cell>
          <cell r="W219">
            <v>0</v>
          </cell>
          <cell r="X219" t="str">
            <v>0</v>
          </cell>
        </row>
        <row r="220">
          <cell r="I220" t="str">
            <v>sim</v>
          </cell>
          <cell r="V220" t="str">
            <v>not</v>
          </cell>
          <cell r="W220">
            <v>1</v>
          </cell>
          <cell r="X220" t="str">
            <v>intens</v>
          </cell>
        </row>
        <row r="221">
          <cell r="I221" t="str">
            <v>sim</v>
          </cell>
          <cell r="V221" t="str">
            <v>not</v>
          </cell>
          <cell r="W221">
            <v>1</v>
          </cell>
          <cell r="X221" t="str">
            <v>neg</v>
          </cell>
        </row>
        <row r="222">
          <cell r="I222" t="str">
            <v>sim</v>
          </cell>
          <cell r="V222" t="str">
            <v>antonym</v>
          </cell>
          <cell r="W222">
            <v>1</v>
          </cell>
          <cell r="X222" t="str">
            <v>intens</v>
          </cell>
        </row>
        <row r="223">
          <cell r="I223" t="str">
            <v>sim</v>
          </cell>
          <cell r="V223" t="str">
            <v>antonym</v>
          </cell>
          <cell r="W223">
            <v>1</v>
          </cell>
          <cell r="X223" t="str">
            <v>neg</v>
          </cell>
        </row>
        <row r="224">
          <cell r="I224" t="str">
            <v>sim</v>
          </cell>
          <cell r="V224" t="str">
            <v>not</v>
          </cell>
          <cell r="W224">
            <v>1</v>
          </cell>
          <cell r="X224" t="str">
            <v>intens</v>
          </cell>
        </row>
        <row r="225">
          <cell r="I225" t="str">
            <v>sim</v>
          </cell>
          <cell r="V225" t="str">
            <v>not</v>
          </cell>
          <cell r="W225">
            <v>1</v>
          </cell>
          <cell r="X225" t="str">
            <v>neg</v>
          </cell>
        </row>
        <row r="226">
          <cell r="I226" t="str">
            <v>sim</v>
          </cell>
          <cell r="V226" t="str">
            <v>not neg pair</v>
          </cell>
          <cell r="W226">
            <v>0</v>
          </cell>
          <cell r="X226" t="str">
            <v>0</v>
          </cell>
        </row>
        <row r="227">
          <cell r="I227" t="str">
            <v>sim</v>
          </cell>
          <cell r="V227" t="str">
            <v>not neg pair</v>
          </cell>
          <cell r="W227">
            <v>0</v>
          </cell>
          <cell r="X227" t="str">
            <v>0</v>
          </cell>
        </row>
        <row r="228">
          <cell r="I228" t="str">
            <v>sim</v>
          </cell>
          <cell r="V228" t="str">
            <v>antonym</v>
          </cell>
          <cell r="W228">
            <v>1</v>
          </cell>
          <cell r="X228" t="str">
            <v>intens</v>
          </cell>
        </row>
        <row r="229">
          <cell r="I229" t="str">
            <v>sim</v>
          </cell>
          <cell r="V229" t="str">
            <v>antonym</v>
          </cell>
          <cell r="W229">
            <v>1</v>
          </cell>
          <cell r="X229" t="str">
            <v>neg</v>
          </cell>
        </row>
        <row r="230">
          <cell r="I230" t="str">
            <v>sim</v>
          </cell>
          <cell r="V230" t="str">
            <v>antonym</v>
          </cell>
          <cell r="W230">
            <v>1</v>
          </cell>
          <cell r="X230" t="str">
            <v>neg</v>
          </cell>
        </row>
        <row r="231">
          <cell r="I231" t="str">
            <v>sim</v>
          </cell>
          <cell r="V231" t="str">
            <v>antonym</v>
          </cell>
          <cell r="W231">
            <v>1</v>
          </cell>
          <cell r="X231" t="str">
            <v>intens</v>
          </cell>
        </row>
        <row r="232">
          <cell r="I232" t="str">
            <v>sim</v>
          </cell>
          <cell r="V232" t="str">
            <v>not neg pair</v>
          </cell>
          <cell r="W232">
            <v>0</v>
          </cell>
          <cell r="X232" t="str">
            <v>0</v>
          </cell>
        </row>
        <row r="233">
          <cell r="I233" t="str">
            <v>sim</v>
          </cell>
          <cell r="V233" t="str">
            <v>not neg pair</v>
          </cell>
          <cell r="W233">
            <v>0</v>
          </cell>
          <cell r="X233" t="str">
            <v>0</v>
          </cell>
        </row>
        <row r="234">
          <cell r="I234" t="str">
            <v>sim</v>
          </cell>
          <cell r="V234" t="str">
            <v>not neg pair</v>
          </cell>
          <cell r="W234">
            <v>0</v>
          </cell>
          <cell r="X234" t="str">
            <v>0</v>
          </cell>
        </row>
        <row r="235">
          <cell r="I235" t="str">
            <v>sim</v>
          </cell>
          <cell r="V235" t="str">
            <v>not neg pair</v>
          </cell>
          <cell r="W235">
            <v>0</v>
          </cell>
          <cell r="X235" t="str">
            <v>0</v>
          </cell>
        </row>
        <row r="236">
          <cell r="I236" t="str">
            <v>sim</v>
          </cell>
          <cell r="V236" t="str">
            <v>not neg pair</v>
          </cell>
          <cell r="W236">
            <v>0</v>
          </cell>
          <cell r="X236" t="str">
            <v>0</v>
          </cell>
        </row>
        <row r="237">
          <cell r="I237" t="str">
            <v>sim</v>
          </cell>
          <cell r="V237" t="str">
            <v>not neg pair</v>
          </cell>
          <cell r="W237">
            <v>0</v>
          </cell>
          <cell r="X237" t="str">
            <v>0</v>
          </cell>
        </row>
        <row r="238">
          <cell r="I238" t="str">
            <v>sim</v>
          </cell>
          <cell r="V238" t="str">
            <v>not</v>
          </cell>
          <cell r="W238">
            <v>1</v>
          </cell>
          <cell r="X238" t="str">
            <v>intens</v>
          </cell>
        </row>
        <row r="239">
          <cell r="I239" t="str">
            <v>sim</v>
          </cell>
          <cell r="V239" t="str">
            <v>not</v>
          </cell>
          <cell r="W239">
            <v>1</v>
          </cell>
          <cell r="X239" t="str">
            <v>neg</v>
          </cell>
        </row>
        <row r="240">
          <cell r="I240" t="str">
            <v>met</v>
          </cell>
          <cell r="V240" t="str">
            <v>0</v>
          </cell>
          <cell r="W240">
            <v>0</v>
          </cell>
          <cell r="X240" t="str">
            <v>0</v>
          </cell>
        </row>
        <row r="241">
          <cell r="I241" t="str">
            <v>met</v>
          </cell>
          <cell r="V241" t="str">
            <v>0</v>
          </cell>
          <cell r="W241">
            <v>0</v>
          </cell>
          <cell r="X241" t="str">
            <v>0</v>
          </cell>
        </row>
        <row r="242">
          <cell r="I242" t="str">
            <v>sim</v>
          </cell>
          <cell r="V242" t="str">
            <v>not</v>
          </cell>
          <cell r="W242">
            <v>1</v>
          </cell>
          <cell r="X242" t="str">
            <v>intens</v>
          </cell>
        </row>
        <row r="243">
          <cell r="I243" t="str">
            <v>sim</v>
          </cell>
          <cell r="V243" t="str">
            <v>not</v>
          </cell>
          <cell r="W243">
            <v>1</v>
          </cell>
          <cell r="X243" t="str">
            <v>neg</v>
          </cell>
        </row>
        <row r="244">
          <cell r="I244" t="str">
            <v>sim</v>
          </cell>
          <cell r="V244" t="str">
            <v>not</v>
          </cell>
          <cell r="W244">
            <v>1</v>
          </cell>
          <cell r="X244" t="str">
            <v>neg</v>
          </cell>
        </row>
        <row r="245">
          <cell r="I245" t="str">
            <v>sim</v>
          </cell>
          <cell r="V245" t="str">
            <v>not</v>
          </cell>
          <cell r="W245">
            <v>1</v>
          </cell>
          <cell r="X245" t="str">
            <v>intens</v>
          </cell>
        </row>
        <row r="246">
          <cell r="I246" t="str">
            <v>sim</v>
          </cell>
          <cell r="V246" t="str">
            <v>antonym</v>
          </cell>
          <cell r="W246">
            <v>1</v>
          </cell>
          <cell r="X246" t="str">
            <v>neg</v>
          </cell>
        </row>
        <row r="247">
          <cell r="I247" t="str">
            <v>sim</v>
          </cell>
          <cell r="V247" t="str">
            <v>antonym</v>
          </cell>
          <cell r="W247">
            <v>1</v>
          </cell>
          <cell r="X247" t="str">
            <v>intens</v>
          </cell>
        </row>
        <row r="248">
          <cell r="I248" t="str">
            <v>sim</v>
          </cell>
          <cell r="V248" t="str">
            <v>not neg pair</v>
          </cell>
          <cell r="W248">
            <v>0</v>
          </cell>
          <cell r="X248" t="str">
            <v>0</v>
          </cell>
        </row>
        <row r="249">
          <cell r="I249" t="str">
            <v>sim</v>
          </cell>
          <cell r="V249" t="str">
            <v>not neg pair</v>
          </cell>
          <cell r="W249">
            <v>0</v>
          </cell>
          <cell r="X249" t="str">
            <v>0</v>
          </cell>
        </row>
        <row r="250">
          <cell r="I250" t="str">
            <v>sim</v>
          </cell>
          <cell r="V250" t="str">
            <v>not neg pair</v>
          </cell>
          <cell r="W250">
            <v>0</v>
          </cell>
          <cell r="X250" t="str">
            <v>0</v>
          </cell>
        </row>
        <row r="251">
          <cell r="I251" t="str">
            <v>sim</v>
          </cell>
          <cell r="V251" t="str">
            <v>not neg pair</v>
          </cell>
          <cell r="W251">
            <v>0</v>
          </cell>
          <cell r="X251" t="str">
            <v>0</v>
          </cell>
        </row>
        <row r="252">
          <cell r="I252" t="str">
            <v>sim</v>
          </cell>
          <cell r="V252" t="str">
            <v>not</v>
          </cell>
          <cell r="W252">
            <v>1</v>
          </cell>
          <cell r="X252" t="str">
            <v>neg</v>
          </cell>
        </row>
        <row r="253">
          <cell r="I253" t="str">
            <v>sim</v>
          </cell>
          <cell r="V253" t="str">
            <v>not</v>
          </cell>
          <cell r="W253">
            <v>1</v>
          </cell>
          <cell r="X253" t="str">
            <v>intens</v>
          </cell>
        </row>
        <row r="254">
          <cell r="I254" t="str">
            <v>sim</v>
          </cell>
          <cell r="V254" t="str">
            <v>not neg pair</v>
          </cell>
          <cell r="W254">
            <v>0</v>
          </cell>
          <cell r="X254" t="str">
            <v>0</v>
          </cell>
        </row>
        <row r="255">
          <cell r="I255" t="str">
            <v>sim</v>
          </cell>
          <cell r="V255" t="str">
            <v>not neg pair</v>
          </cell>
          <cell r="W255">
            <v>0</v>
          </cell>
          <cell r="X255" t="str">
            <v>0</v>
          </cell>
        </row>
        <row r="256">
          <cell r="I256" t="str">
            <v>sim</v>
          </cell>
          <cell r="V256" t="str">
            <v>antonym</v>
          </cell>
          <cell r="W256">
            <v>1</v>
          </cell>
          <cell r="X256" t="str">
            <v>intens</v>
          </cell>
        </row>
        <row r="257">
          <cell r="I257" t="str">
            <v>sim</v>
          </cell>
          <cell r="V257" t="str">
            <v>antonym</v>
          </cell>
          <cell r="W257">
            <v>1</v>
          </cell>
          <cell r="X257" t="str">
            <v>neg</v>
          </cell>
        </row>
        <row r="258">
          <cell r="I258" t="str">
            <v>met</v>
          </cell>
          <cell r="V258" t="str">
            <v>0</v>
          </cell>
          <cell r="W258">
            <v>0</v>
          </cell>
          <cell r="X258" t="str">
            <v>0</v>
          </cell>
        </row>
        <row r="259">
          <cell r="I259" t="str">
            <v>met</v>
          </cell>
          <cell r="V259" t="str">
            <v>0</v>
          </cell>
          <cell r="W259">
            <v>0</v>
          </cell>
          <cell r="X259" t="str">
            <v>0</v>
          </cell>
        </row>
        <row r="260">
          <cell r="I260" t="str">
            <v>sim</v>
          </cell>
          <cell r="V260" t="str">
            <v>antonym</v>
          </cell>
          <cell r="W260">
            <v>1</v>
          </cell>
          <cell r="X260" t="str">
            <v>intens</v>
          </cell>
        </row>
        <row r="261">
          <cell r="I261" t="str">
            <v>sim</v>
          </cell>
          <cell r="V261" t="str">
            <v>antonym</v>
          </cell>
          <cell r="W261">
            <v>1</v>
          </cell>
          <cell r="X261" t="str">
            <v>neg</v>
          </cell>
        </row>
        <row r="262">
          <cell r="I262" t="str">
            <v>sim</v>
          </cell>
          <cell r="V262" t="str">
            <v>not neg pair</v>
          </cell>
          <cell r="W262">
            <v>0</v>
          </cell>
          <cell r="X262" t="str">
            <v>0</v>
          </cell>
        </row>
        <row r="263">
          <cell r="I263" t="str">
            <v>sim</v>
          </cell>
          <cell r="V263" t="str">
            <v>not neg pair</v>
          </cell>
          <cell r="W263">
            <v>0</v>
          </cell>
          <cell r="X263" t="str">
            <v>0</v>
          </cell>
        </row>
        <row r="264">
          <cell r="I264" t="str">
            <v>sim</v>
          </cell>
          <cell r="V264" t="str">
            <v>not neg pair</v>
          </cell>
          <cell r="W264">
            <v>0</v>
          </cell>
          <cell r="X264" t="str">
            <v>0</v>
          </cell>
        </row>
        <row r="265">
          <cell r="I265" t="str">
            <v>sim</v>
          </cell>
          <cell r="V265" t="str">
            <v>not neg pair</v>
          </cell>
          <cell r="W265">
            <v>0</v>
          </cell>
          <cell r="X265" t="str">
            <v>0</v>
          </cell>
        </row>
        <row r="266">
          <cell r="I266" t="str">
            <v>sim</v>
          </cell>
          <cell r="V266" t="str">
            <v>not neg pair</v>
          </cell>
          <cell r="W266">
            <v>0</v>
          </cell>
          <cell r="X266" t="str">
            <v>0</v>
          </cell>
        </row>
        <row r="267">
          <cell r="I267" t="str">
            <v>sim</v>
          </cell>
          <cell r="V267" t="str">
            <v>not neg pair</v>
          </cell>
          <cell r="W267">
            <v>0</v>
          </cell>
          <cell r="X267" t="str">
            <v>0</v>
          </cell>
        </row>
        <row r="268">
          <cell r="I268" t="str">
            <v>sim</v>
          </cell>
          <cell r="V268" t="str">
            <v>not</v>
          </cell>
          <cell r="W268">
            <v>1</v>
          </cell>
          <cell r="X268" t="str">
            <v>intens</v>
          </cell>
        </row>
        <row r="269">
          <cell r="I269" t="str">
            <v>sim</v>
          </cell>
          <cell r="V269" t="str">
            <v>not</v>
          </cell>
          <cell r="W269">
            <v>1</v>
          </cell>
          <cell r="X269" t="str">
            <v>neg</v>
          </cell>
        </row>
        <row r="270">
          <cell r="I270" t="str">
            <v>sim</v>
          </cell>
          <cell r="V270" t="str">
            <v>antonym</v>
          </cell>
          <cell r="W270">
            <v>1</v>
          </cell>
          <cell r="X270" t="str">
            <v>intens</v>
          </cell>
        </row>
        <row r="271">
          <cell r="I271" t="str">
            <v>sim</v>
          </cell>
          <cell r="V271" t="str">
            <v>antonym</v>
          </cell>
          <cell r="W271">
            <v>1</v>
          </cell>
          <cell r="X271" t="str">
            <v>neg</v>
          </cell>
        </row>
        <row r="272">
          <cell r="I272" t="str">
            <v>sim</v>
          </cell>
          <cell r="V272" t="str">
            <v>antonym</v>
          </cell>
          <cell r="W272">
            <v>1</v>
          </cell>
          <cell r="X272" t="str">
            <v>intens</v>
          </cell>
        </row>
        <row r="273">
          <cell r="I273" t="str">
            <v>sim</v>
          </cell>
          <cell r="V273" t="str">
            <v>antonym</v>
          </cell>
          <cell r="W273">
            <v>1</v>
          </cell>
          <cell r="X273" t="str">
            <v>neg</v>
          </cell>
        </row>
        <row r="274">
          <cell r="I274" t="str">
            <v>sim</v>
          </cell>
          <cell r="V274" t="str">
            <v>not neg pair</v>
          </cell>
          <cell r="W274">
            <v>0</v>
          </cell>
          <cell r="X274" t="str">
            <v>0</v>
          </cell>
        </row>
        <row r="275">
          <cell r="I275" t="str">
            <v>sim</v>
          </cell>
          <cell r="V275" t="str">
            <v>not neg pair</v>
          </cell>
          <cell r="W275">
            <v>0</v>
          </cell>
          <cell r="X275" t="str">
            <v>0</v>
          </cell>
        </row>
        <row r="276">
          <cell r="I276" t="str">
            <v>sim</v>
          </cell>
          <cell r="V276" t="str">
            <v>not</v>
          </cell>
          <cell r="W276">
            <v>1</v>
          </cell>
          <cell r="X276" t="str">
            <v>intens</v>
          </cell>
        </row>
        <row r="277">
          <cell r="I277" t="str">
            <v>sim</v>
          </cell>
          <cell r="V277" t="str">
            <v>not</v>
          </cell>
          <cell r="W277">
            <v>1</v>
          </cell>
          <cell r="X277" t="str">
            <v>neg</v>
          </cell>
        </row>
        <row r="278">
          <cell r="I278" t="str">
            <v>sim</v>
          </cell>
          <cell r="V278" t="str">
            <v>antonym</v>
          </cell>
          <cell r="W278">
            <v>1</v>
          </cell>
          <cell r="X278" t="str">
            <v>intens</v>
          </cell>
        </row>
        <row r="279">
          <cell r="I279" t="str">
            <v>sim</v>
          </cell>
          <cell r="V279" t="str">
            <v>antonym</v>
          </cell>
          <cell r="W279">
            <v>1</v>
          </cell>
          <cell r="X279" t="str">
            <v>neg</v>
          </cell>
        </row>
        <row r="280">
          <cell r="I280" t="str">
            <v>sim</v>
          </cell>
          <cell r="V280" t="str">
            <v>not neg pair</v>
          </cell>
          <cell r="W280">
            <v>0</v>
          </cell>
          <cell r="X280" t="str">
            <v>0</v>
          </cell>
        </row>
        <row r="281">
          <cell r="I281" t="str">
            <v>sim</v>
          </cell>
          <cell r="V281" t="str">
            <v>not neg pair</v>
          </cell>
          <cell r="W281">
            <v>0</v>
          </cell>
          <cell r="X281" t="str">
            <v>0</v>
          </cell>
        </row>
        <row r="282">
          <cell r="I282" t="str">
            <v>sim</v>
          </cell>
          <cell r="V282" t="str">
            <v>not neg pair</v>
          </cell>
          <cell r="W282">
            <v>0</v>
          </cell>
          <cell r="X282" t="str">
            <v>0</v>
          </cell>
        </row>
        <row r="283">
          <cell r="I283" t="str">
            <v>sim</v>
          </cell>
          <cell r="V283" t="str">
            <v>not neg pair</v>
          </cell>
          <cell r="W283">
            <v>0</v>
          </cell>
          <cell r="X283" t="str">
            <v>0</v>
          </cell>
        </row>
        <row r="284">
          <cell r="I284" t="str">
            <v>sim</v>
          </cell>
          <cell r="V284" t="str">
            <v>antonym</v>
          </cell>
          <cell r="W284">
            <v>1</v>
          </cell>
          <cell r="X284" t="str">
            <v>neg</v>
          </cell>
        </row>
        <row r="285">
          <cell r="I285" t="str">
            <v>sim</v>
          </cell>
          <cell r="V285" t="str">
            <v>antonym</v>
          </cell>
          <cell r="W285">
            <v>1</v>
          </cell>
          <cell r="X285" t="str">
            <v>intens</v>
          </cell>
        </row>
        <row r="286">
          <cell r="I286" t="str">
            <v>sim</v>
          </cell>
          <cell r="V286" t="str">
            <v>not neg pair</v>
          </cell>
          <cell r="W286">
            <v>0</v>
          </cell>
          <cell r="X286" t="str">
            <v>0</v>
          </cell>
        </row>
        <row r="287">
          <cell r="I287" t="str">
            <v>sim</v>
          </cell>
          <cell r="V287" t="str">
            <v>not neg pair</v>
          </cell>
          <cell r="W287">
            <v>0</v>
          </cell>
          <cell r="X287" t="str">
            <v>0</v>
          </cell>
        </row>
        <row r="288">
          <cell r="I288" t="str">
            <v>sim</v>
          </cell>
          <cell r="V288" t="str">
            <v>not</v>
          </cell>
          <cell r="W288">
            <v>1</v>
          </cell>
          <cell r="X288" t="str">
            <v>intens</v>
          </cell>
        </row>
        <row r="289">
          <cell r="I289" t="str">
            <v>sim</v>
          </cell>
          <cell r="V289" t="str">
            <v>not</v>
          </cell>
          <cell r="W289">
            <v>1</v>
          </cell>
          <cell r="X289" t="str">
            <v>neg</v>
          </cell>
        </row>
        <row r="290">
          <cell r="I290" t="str">
            <v>met</v>
          </cell>
          <cell r="V290" t="str">
            <v>0</v>
          </cell>
          <cell r="W290">
            <v>0</v>
          </cell>
          <cell r="X290" t="str">
            <v>0</v>
          </cell>
        </row>
        <row r="291">
          <cell r="I291" t="str">
            <v>met</v>
          </cell>
          <cell r="V291" t="str">
            <v>0</v>
          </cell>
          <cell r="W291">
            <v>0</v>
          </cell>
          <cell r="X291" t="str">
            <v>0</v>
          </cell>
        </row>
        <row r="292">
          <cell r="I292" t="str">
            <v>met</v>
          </cell>
          <cell r="V292" t="str">
            <v>0</v>
          </cell>
          <cell r="W292">
            <v>0</v>
          </cell>
          <cell r="X292" t="str">
            <v>0</v>
          </cell>
        </row>
        <row r="293">
          <cell r="I293" t="str">
            <v>met</v>
          </cell>
          <cell r="V293" t="str">
            <v>0</v>
          </cell>
          <cell r="W293">
            <v>0</v>
          </cell>
          <cell r="X293" t="str">
            <v>0</v>
          </cell>
        </row>
        <row r="294">
          <cell r="I294" t="str">
            <v>sim</v>
          </cell>
          <cell r="V294" t="str">
            <v>antonym</v>
          </cell>
          <cell r="W294">
            <v>1</v>
          </cell>
          <cell r="X294" t="str">
            <v>intens</v>
          </cell>
        </row>
        <row r="295">
          <cell r="I295" t="str">
            <v>sim</v>
          </cell>
          <cell r="V295" t="str">
            <v>antonym</v>
          </cell>
          <cell r="W295">
            <v>1</v>
          </cell>
          <cell r="X295" t="str">
            <v>neg</v>
          </cell>
        </row>
        <row r="296">
          <cell r="I296" t="str">
            <v>sim</v>
          </cell>
          <cell r="V296" t="str">
            <v>not neg pair</v>
          </cell>
          <cell r="W296">
            <v>0</v>
          </cell>
          <cell r="X296" t="str">
            <v>0</v>
          </cell>
        </row>
        <row r="297">
          <cell r="I297" t="str">
            <v>sim</v>
          </cell>
          <cell r="V297" t="str">
            <v>not neg pair</v>
          </cell>
          <cell r="W297">
            <v>0</v>
          </cell>
          <cell r="X297" t="str">
            <v>0</v>
          </cell>
        </row>
        <row r="298">
          <cell r="I298" t="str">
            <v>sim</v>
          </cell>
          <cell r="V298" t="str">
            <v>not</v>
          </cell>
          <cell r="W298">
            <v>1</v>
          </cell>
          <cell r="X298" t="str">
            <v>neg</v>
          </cell>
        </row>
        <row r="299">
          <cell r="I299" t="str">
            <v>sim</v>
          </cell>
          <cell r="V299" t="str">
            <v>not</v>
          </cell>
          <cell r="W299">
            <v>1</v>
          </cell>
          <cell r="X299" t="str">
            <v>intens</v>
          </cell>
        </row>
        <row r="300">
          <cell r="I300" t="str">
            <v>sim</v>
          </cell>
          <cell r="V300" t="str">
            <v>not neg pair</v>
          </cell>
          <cell r="W300">
            <v>0</v>
          </cell>
          <cell r="X300" t="str">
            <v>0</v>
          </cell>
        </row>
        <row r="301">
          <cell r="I301" t="str">
            <v>sim</v>
          </cell>
          <cell r="V301" t="str">
            <v>not neg pair</v>
          </cell>
          <cell r="W301">
            <v>0</v>
          </cell>
          <cell r="X301" t="str">
            <v>0</v>
          </cell>
        </row>
        <row r="302">
          <cell r="I302" t="str">
            <v>sim</v>
          </cell>
          <cell r="V302" t="str">
            <v>not neg pair</v>
          </cell>
          <cell r="W302">
            <v>0</v>
          </cell>
          <cell r="X302" t="str">
            <v>0</v>
          </cell>
        </row>
        <row r="303">
          <cell r="I303" t="str">
            <v>sim</v>
          </cell>
          <cell r="V303" t="str">
            <v>not neg pair</v>
          </cell>
          <cell r="W303">
            <v>0</v>
          </cell>
          <cell r="X303" t="str">
            <v>0</v>
          </cell>
        </row>
        <row r="304">
          <cell r="I304" t="str">
            <v>sim</v>
          </cell>
          <cell r="V304" t="str">
            <v>not neg pair</v>
          </cell>
          <cell r="W304">
            <v>0</v>
          </cell>
          <cell r="X304" t="str">
            <v>0</v>
          </cell>
        </row>
        <row r="305">
          <cell r="I305" t="str">
            <v>sim</v>
          </cell>
          <cell r="V305" t="str">
            <v>not neg pair</v>
          </cell>
          <cell r="W305">
            <v>0</v>
          </cell>
          <cell r="X305" t="str">
            <v>0</v>
          </cell>
        </row>
        <row r="306">
          <cell r="I306" t="str">
            <v>sim</v>
          </cell>
          <cell r="V306" t="str">
            <v>not neg pair</v>
          </cell>
          <cell r="W306">
            <v>0</v>
          </cell>
          <cell r="X306" t="str">
            <v>0</v>
          </cell>
        </row>
        <row r="307">
          <cell r="I307" t="str">
            <v>sim</v>
          </cell>
          <cell r="V307" t="str">
            <v>not neg pair</v>
          </cell>
          <cell r="W307">
            <v>0</v>
          </cell>
          <cell r="X307" t="str">
            <v>0</v>
          </cell>
        </row>
        <row r="308">
          <cell r="I308" t="str">
            <v>sim</v>
          </cell>
          <cell r="V308" t="str">
            <v>not neg pair</v>
          </cell>
          <cell r="W308">
            <v>0</v>
          </cell>
          <cell r="X308" t="str">
            <v>0</v>
          </cell>
        </row>
        <row r="309">
          <cell r="I309" t="str">
            <v>sim</v>
          </cell>
          <cell r="V309" t="str">
            <v>not neg pair</v>
          </cell>
          <cell r="W309">
            <v>0</v>
          </cell>
          <cell r="X309" t="str">
            <v>0</v>
          </cell>
        </row>
        <row r="310">
          <cell r="I310" t="str">
            <v>sim</v>
          </cell>
          <cell r="V310" t="str">
            <v>not</v>
          </cell>
          <cell r="W310">
            <v>1</v>
          </cell>
          <cell r="X310" t="str">
            <v>neg</v>
          </cell>
        </row>
        <row r="311">
          <cell r="I311" t="str">
            <v>sim</v>
          </cell>
          <cell r="V311" t="str">
            <v>not</v>
          </cell>
          <cell r="W311">
            <v>1</v>
          </cell>
          <cell r="X311" t="str">
            <v>intens</v>
          </cell>
        </row>
        <row r="312">
          <cell r="I312" t="str">
            <v>sim</v>
          </cell>
          <cell r="V312" t="str">
            <v>antonym</v>
          </cell>
          <cell r="W312">
            <v>1</v>
          </cell>
          <cell r="X312" t="str">
            <v>intens</v>
          </cell>
        </row>
        <row r="313">
          <cell r="I313" t="str">
            <v>sim</v>
          </cell>
          <cell r="V313" t="str">
            <v>antonym</v>
          </cell>
          <cell r="W313">
            <v>1</v>
          </cell>
          <cell r="X313" t="str">
            <v>neg</v>
          </cell>
        </row>
        <row r="314">
          <cell r="I314" t="str">
            <v>sim</v>
          </cell>
          <cell r="V314" t="str">
            <v>not neg pair</v>
          </cell>
          <cell r="W314">
            <v>0</v>
          </cell>
          <cell r="X314" t="str">
            <v>0</v>
          </cell>
        </row>
        <row r="315">
          <cell r="I315" t="str">
            <v>sim</v>
          </cell>
          <cell r="V315" t="str">
            <v>not neg pair</v>
          </cell>
          <cell r="W315">
            <v>0</v>
          </cell>
          <cell r="X315" t="str">
            <v>0</v>
          </cell>
        </row>
        <row r="316">
          <cell r="I316" t="str">
            <v>sim</v>
          </cell>
          <cell r="V316" t="str">
            <v>not</v>
          </cell>
          <cell r="W316">
            <v>1</v>
          </cell>
          <cell r="X316" t="str">
            <v>intens</v>
          </cell>
        </row>
        <row r="317">
          <cell r="I317" t="str">
            <v>sim</v>
          </cell>
          <cell r="V317" t="str">
            <v>not</v>
          </cell>
          <cell r="W317">
            <v>1</v>
          </cell>
          <cell r="X317" t="str">
            <v>neg</v>
          </cell>
        </row>
        <row r="318">
          <cell r="I318" t="str">
            <v>met</v>
          </cell>
          <cell r="V318" t="str">
            <v>0</v>
          </cell>
          <cell r="W318">
            <v>0</v>
          </cell>
          <cell r="X318" t="str">
            <v>0</v>
          </cell>
        </row>
        <row r="319">
          <cell r="I319" t="str">
            <v>met</v>
          </cell>
          <cell r="V319" t="str">
            <v>0</v>
          </cell>
          <cell r="W319">
            <v>0</v>
          </cell>
          <cell r="X319" t="str">
            <v>0</v>
          </cell>
        </row>
        <row r="320">
          <cell r="I320" t="str">
            <v>sim</v>
          </cell>
          <cell r="V320" t="str">
            <v>not neg pair</v>
          </cell>
          <cell r="W320">
            <v>0</v>
          </cell>
          <cell r="X320" t="str">
            <v>0</v>
          </cell>
        </row>
        <row r="321">
          <cell r="I321" t="str">
            <v>sim</v>
          </cell>
          <cell r="V321" t="str">
            <v>not neg pair</v>
          </cell>
          <cell r="W321">
            <v>0</v>
          </cell>
          <cell r="X321" t="str">
            <v>0</v>
          </cell>
        </row>
        <row r="322">
          <cell r="I322" t="str">
            <v>sim</v>
          </cell>
          <cell r="V322" t="str">
            <v>not neg pair</v>
          </cell>
          <cell r="W322">
            <v>0</v>
          </cell>
          <cell r="X322" t="str">
            <v>0</v>
          </cell>
        </row>
        <row r="323">
          <cell r="I323" t="str">
            <v>sim</v>
          </cell>
          <cell r="V323" t="str">
            <v>not neg pair</v>
          </cell>
          <cell r="W323">
            <v>0</v>
          </cell>
          <cell r="X323" t="str">
            <v>0</v>
          </cell>
        </row>
        <row r="324">
          <cell r="I324" t="str">
            <v>sim</v>
          </cell>
          <cell r="V324" t="str">
            <v>not neg pair</v>
          </cell>
          <cell r="W324">
            <v>0</v>
          </cell>
          <cell r="X324" t="str">
            <v>0</v>
          </cell>
        </row>
        <row r="325">
          <cell r="I325" t="str">
            <v>sim</v>
          </cell>
          <cell r="V325" t="str">
            <v>not neg pair</v>
          </cell>
          <cell r="W325">
            <v>0</v>
          </cell>
          <cell r="X325" t="str">
            <v>0</v>
          </cell>
        </row>
        <row r="326">
          <cell r="I326" t="str">
            <v>sim</v>
          </cell>
          <cell r="V326" t="str">
            <v>not</v>
          </cell>
          <cell r="W326">
            <v>1</v>
          </cell>
          <cell r="X326" t="str">
            <v>intens</v>
          </cell>
        </row>
        <row r="327">
          <cell r="I327" t="str">
            <v>sim</v>
          </cell>
          <cell r="V327" t="str">
            <v>not</v>
          </cell>
          <cell r="W327">
            <v>1</v>
          </cell>
          <cell r="X327" t="str">
            <v>neg</v>
          </cell>
        </row>
        <row r="328">
          <cell r="I328" t="str">
            <v>sim</v>
          </cell>
          <cell r="V328" t="str">
            <v>not neg pair</v>
          </cell>
          <cell r="W328">
            <v>0</v>
          </cell>
          <cell r="X328" t="str">
            <v>0</v>
          </cell>
        </row>
        <row r="329">
          <cell r="I329" t="str">
            <v>sim</v>
          </cell>
          <cell r="V329" t="str">
            <v>not neg pair</v>
          </cell>
          <cell r="W329">
            <v>0</v>
          </cell>
          <cell r="X329" t="str">
            <v>0</v>
          </cell>
        </row>
        <row r="330">
          <cell r="I330" t="str">
            <v>sim</v>
          </cell>
          <cell r="V330" t="str">
            <v>not neg pair</v>
          </cell>
          <cell r="W330">
            <v>0</v>
          </cell>
          <cell r="X330" t="str">
            <v>0</v>
          </cell>
        </row>
        <row r="331">
          <cell r="I331" t="str">
            <v>sim</v>
          </cell>
          <cell r="V331" t="str">
            <v>not neg pair</v>
          </cell>
          <cell r="W331">
            <v>0</v>
          </cell>
          <cell r="X331" t="str">
            <v>0</v>
          </cell>
        </row>
        <row r="332">
          <cell r="I332" t="str">
            <v>sim</v>
          </cell>
          <cell r="V332" t="str">
            <v>not neg pair</v>
          </cell>
          <cell r="W332">
            <v>0</v>
          </cell>
          <cell r="X332" t="str">
            <v>0</v>
          </cell>
        </row>
        <row r="333">
          <cell r="I333" t="str">
            <v>sim</v>
          </cell>
          <cell r="V333" t="str">
            <v>not neg pair</v>
          </cell>
          <cell r="W333">
            <v>0</v>
          </cell>
          <cell r="X333" t="str">
            <v>0</v>
          </cell>
        </row>
        <row r="334">
          <cell r="I334" t="str">
            <v>sim</v>
          </cell>
          <cell r="V334" t="str">
            <v>antonym</v>
          </cell>
          <cell r="W334">
            <v>1</v>
          </cell>
          <cell r="X334" t="str">
            <v>intens</v>
          </cell>
        </row>
        <row r="335">
          <cell r="I335" t="str">
            <v>sim</v>
          </cell>
          <cell r="V335" t="str">
            <v>antonym</v>
          </cell>
          <cell r="W335">
            <v>1</v>
          </cell>
          <cell r="X335" t="str">
            <v>neg</v>
          </cell>
        </row>
        <row r="336">
          <cell r="I336" t="str">
            <v>sim</v>
          </cell>
          <cell r="V336" t="str">
            <v>not</v>
          </cell>
          <cell r="W336">
            <v>1</v>
          </cell>
          <cell r="X336" t="str">
            <v>intens</v>
          </cell>
        </row>
        <row r="337">
          <cell r="I337" t="str">
            <v>sim</v>
          </cell>
          <cell r="V337" t="str">
            <v>not</v>
          </cell>
          <cell r="W337">
            <v>1</v>
          </cell>
          <cell r="X337" t="str">
            <v>neg</v>
          </cell>
        </row>
        <row r="338">
          <cell r="I338" t="str">
            <v>sim</v>
          </cell>
          <cell r="V338" t="str">
            <v>not neg pair</v>
          </cell>
          <cell r="W338">
            <v>0</v>
          </cell>
          <cell r="X338" t="str">
            <v>0</v>
          </cell>
        </row>
        <row r="339">
          <cell r="I339" t="str">
            <v>sim</v>
          </cell>
          <cell r="V339" t="str">
            <v>not neg pair</v>
          </cell>
          <cell r="W339">
            <v>0</v>
          </cell>
          <cell r="X339" t="str">
            <v>0</v>
          </cell>
        </row>
        <row r="340">
          <cell r="I340" t="str">
            <v>sim</v>
          </cell>
          <cell r="V340" t="str">
            <v>not neg pair</v>
          </cell>
          <cell r="W340">
            <v>0</v>
          </cell>
          <cell r="X340" t="str">
            <v>0</v>
          </cell>
        </row>
        <row r="341">
          <cell r="I341" t="str">
            <v>sim</v>
          </cell>
          <cell r="V341" t="str">
            <v>not neg pair</v>
          </cell>
          <cell r="W341">
            <v>0</v>
          </cell>
          <cell r="X341" t="str">
            <v>0</v>
          </cell>
        </row>
        <row r="342">
          <cell r="I342" t="str">
            <v>sim</v>
          </cell>
          <cell r="V342" t="str">
            <v>not neg pair</v>
          </cell>
          <cell r="W342">
            <v>0</v>
          </cell>
          <cell r="X342" t="str">
            <v>0</v>
          </cell>
        </row>
        <row r="343">
          <cell r="I343" t="str">
            <v>sim</v>
          </cell>
          <cell r="V343" t="str">
            <v>not neg pair</v>
          </cell>
          <cell r="W343">
            <v>0</v>
          </cell>
          <cell r="X343" t="str">
            <v>0</v>
          </cell>
        </row>
        <row r="344">
          <cell r="I344" t="str">
            <v>sim</v>
          </cell>
          <cell r="V344" t="str">
            <v>not neg pair</v>
          </cell>
          <cell r="W344">
            <v>0</v>
          </cell>
          <cell r="X344" t="str">
            <v>0</v>
          </cell>
        </row>
        <row r="345">
          <cell r="I345" t="str">
            <v>sim</v>
          </cell>
          <cell r="V345" t="str">
            <v>not neg pair</v>
          </cell>
          <cell r="W345">
            <v>0</v>
          </cell>
          <cell r="X345" t="str">
            <v>0</v>
          </cell>
        </row>
        <row r="346">
          <cell r="I346" t="str">
            <v>sim</v>
          </cell>
          <cell r="V346" t="str">
            <v>antonym</v>
          </cell>
          <cell r="W346">
            <v>1</v>
          </cell>
          <cell r="X346" t="str">
            <v>intens</v>
          </cell>
        </row>
        <row r="347">
          <cell r="I347" t="str">
            <v>sim</v>
          </cell>
          <cell r="V347" t="str">
            <v>antonym</v>
          </cell>
          <cell r="W347">
            <v>1</v>
          </cell>
          <cell r="X347" t="str">
            <v>neg</v>
          </cell>
        </row>
        <row r="348">
          <cell r="I348" t="str">
            <v>sim</v>
          </cell>
          <cell r="V348" t="str">
            <v>not neg pair</v>
          </cell>
          <cell r="W348">
            <v>0</v>
          </cell>
          <cell r="X348" t="str">
            <v>0</v>
          </cell>
        </row>
        <row r="349">
          <cell r="I349" t="str">
            <v>sim</v>
          </cell>
          <cell r="V349" t="str">
            <v>not neg pair</v>
          </cell>
          <cell r="W349">
            <v>0</v>
          </cell>
          <cell r="X349" t="str">
            <v>0</v>
          </cell>
        </row>
        <row r="350">
          <cell r="I350" t="str">
            <v>sim</v>
          </cell>
          <cell r="V350" t="str">
            <v>not</v>
          </cell>
          <cell r="W350">
            <v>1</v>
          </cell>
          <cell r="X350" t="str">
            <v>neg</v>
          </cell>
        </row>
        <row r="351">
          <cell r="I351" t="str">
            <v>sim</v>
          </cell>
          <cell r="V351" t="str">
            <v>not</v>
          </cell>
          <cell r="W351">
            <v>1</v>
          </cell>
          <cell r="X351" t="str">
            <v>intens</v>
          </cell>
        </row>
        <row r="352">
          <cell r="I352" t="str">
            <v>met</v>
          </cell>
          <cell r="V352" t="str">
            <v>0</v>
          </cell>
          <cell r="W352">
            <v>0</v>
          </cell>
          <cell r="X352" t="str">
            <v>0</v>
          </cell>
        </row>
        <row r="353">
          <cell r="I353" t="str">
            <v>met</v>
          </cell>
          <cell r="V353" t="str">
            <v>0</v>
          </cell>
          <cell r="W353">
            <v>0</v>
          </cell>
          <cell r="X353" t="str">
            <v>0</v>
          </cell>
        </row>
        <row r="354">
          <cell r="I354" t="str">
            <v>sim</v>
          </cell>
          <cell r="V354" t="str">
            <v>not neg pair</v>
          </cell>
          <cell r="W354">
            <v>0</v>
          </cell>
          <cell r="X354" t="str">
            <v>0</v>
          </cell>
        </row>
        <row r="355">
          <cell r="I355" t="str">
            <v>sim</v>
          </cell>
          <cell r="V355" t="str">
            <v>not neg pair</v>
          </cell>
          <cell r="W355">
            <v>0</v>
          </cell>
          <cell r="X355" t="str">
            <v>0</v>
          </cell>
        </row>
        <row r="356">
          <cell r="I356" t="str">
            <v>sim</v>
          </cell>
          <cell r="V356" t="str">
            <v>not neg pair</v>
          </cell>
          <cell r="W356">
            <v>0</v>
          </cell>
          <cell r="X356" t="str">
            <v>0</v>
          </cell>
        </row>
        <row r="357">
          <cell r="I357" t="str">
            <v>sim</v>
          </cell>
          <cell r="V357" t="str">
            <v>not neg pair</v>
          </cell>
          <cell r="W357">
            <v>0</v>
          </cell>
          <cell r="X357" t="str">
            <v>0</v>
          </cell>
        </row>
        <row r="358">
          <cell r="I358" t="str">
            <v>sim</v>
          </cell>
          <cell r="V358" t="str">
            <v>not neg pair</v>
          </cell>
          <cell r="W358">
            <v>0</v>
          </cell>
          <cell r="X358" t="str">
            <v>0</v>
          </cell>
        </row>
        <row r="359">
          <cell r="I359" t="str">
            <v>sim</v>
          </cell>
          <cell r="V359" t="str">
            <v>not neg pair</v>
          </cell>
          <cell r="W359">
            <v>0</v>
          </cell>
          <cell r="X359" t="str">
            <v>0</v>
          </cell>
        </row>
        <row r="360">
          <cell r="I360" t="str">
            <v>sim</v>
          </cell>
          <cell r="V360" t="str">
            <v>not neg pair</v>
          </cell>
          <cell r="W360">
            <v>0</v>
          </cell>
          <cell r="X360" t="str">
            <v>0</v>
          </cell>
        </row>
        <row r="361">
          <cell r="I361" t="str">
            <v>sim</v>
          </cell>
          <cell r="V361" t="str">
            <v>not neg pair</v>
          </cell>
          <cell r="W361">
            <v>0</v>
          </cell>
          <cell r="X361" t="str">
            <v>0</v>
          </cell>
        </row>
        <row r="362">
          <cell r="I362" t="str">
            <v>sim</v>
          </cell>
          <cell r="V362" t="str">
            <v>not neg pair</v>
          </cell>
          <cell r="W362">
            <v>0</v>
          </cell>
          <cell r="X362" t="str">
            <v>0</v>
          </cell>
        </row>
        <row r="363">
          <cell r="I363" t="str">
            <v>sim</v>
          </cell>
          <cell r="V363" t="str">
            <v>not neg pair</v>
          </cell>
          <cell r="W363">
            <v>0</v>
          </cell>
          <cell r="X363" t="str">
            <v>0</v>
          </cell>
        </row>
        <row r="364">
          <cell r="I364" t="str">
            <v>met</v>
          </cell>
          <cell r="V364" t="str">
            <v>0</v>
          </cell>
          <cell r="W364">
            <v>0</v>
          </cell>
          <cell r="X364" t="str">
            <v>0</v>
          </cell>
        </row>
        <row r="365">
          <cell r="I365" t="str">
            <v>met</v>
          </cell>
          <cell r="V365" t="str">
            <v>0</v>
          </cell>
          <cell r="W365">
            <v>0</v>
          </cell>
          <cell r="X365" t="str">
            <v>0</v>
          </cell>
        </row>
        <row r="366">
          <cell r="I366" t="str">
            <v>met</v>
          </cell>
          <cell r="V366" t="str">
            <v>0</v>
          </cell>
          <cell r="W366">
            <v>0</v>
          </cell>
          <cell r="X366" t="str">
            <v>0</v>
          </cell>
        </row>
        <row r="367">
          <cell r="I367" t="str">
            <v>met</v>
          </cell>
          <cell r="V367" t="str">
            <v>0</v>
          </cell>
          <cell r="W367">
            <v>0</v>
          </cell>
          <cell r="X367" t="str">
            <v>0</v>
          </cell>
        </row>
        <row r="368">
          <cell r="I368" t="str">
            <v>sim</v>
          </cell>
          <cell r="V368" t="str">
            <v>not neg pair</v>
          </cell>
          <cell r="W368">
            <v>0</v>
          </cell>
          <cell r="X368" t="str">
            <v>0</v>
          </cell>
        </row>
        <row r="369">
          <cell r="I369" t="str">
            <v>sim</v>
          </cell>
          <cell r="V369" t="str">
            <v>not neg pair</v>
          </cell>
          <cell r="W369">
            <v>0</v>
          </cell>
          <cell r="X369" t="str">
            <v>0</v>
          </cell>
        </row>
        <row r="370">
          <cell r="I370" t="str">
            <v>sim</v>
          </cell>
          <cell r="V370" t="str">
            <v>not neg pair</v>
          </cell>
          <cell r="W370">
            <v>0</v>
          </cell>
          <cell r="X370" t="str">
            <v>0</v>
          </cell>
        </row>
        <row r="371">
          <cell r="I371" t="str">
            <v>sim</v>
          </cell>
          <cell r="V371" t="str">
            <v>not neg pair</v>
          </cell>
          <cell r="W371">
            <v>0</v>
          </cell>
          <cell r="X371" t="str">
            <v>0</v>
          </cell>
        </row>
        <row r="372">
          <cell r="I372" t="str">
            <v>sim</v>
          </cell>
          <cell r="V372" t="str">
            <v>antonym</v>
          </cell>
          <cell r="W372">
            <v>1</v>
          </cell>
          <cell r="X372" t="str">
            <v>intens</v>
          </cell>
        </row>
        <row r="373">
          <cell r="I373" t="str">
            <v>sim</v>
          </cell>
          <cell r="V373" t="str">
            <v>antonym</v>
          </cell>
          <cell r="W373">
            <v>1</v>
          </cell>
          <cell r="X373" t="str">
            <v>neg</v>
          </cell>
        </row>
        <row r="374">
          <cell r="I374" t="str">
            <v>sim</v>
          </cell>
          <cell r="V374" t="str">
            <v>not neg pair</v>
          </cell>
          <cell r="W374">
            <v>0</v>
          </cell>
          <cell r="X374" t="str">
            <v>0</v>
          </cell>
        </row>
        <row r="375">
          <cell r="I375" t="str">
            <v>sim</v>
          </cell>
          <cell r="V375" t="str">
            <v>not neg pair</v>
          </cell>
          <cell r="W375">
            <v>0</v>
          </cell>
          <cell r="X375" t="str">
            <v>0</v>
          </cell>
        </row>
        <row r="376">
          <cell r="I376" t="str">
            <v>sim</v>
          </cell>
          <cell r="V376" t="str">
            <v>antonym</v>
          </cell>
          <cell r="W376">
            <v>1</v>
          </cell>
          <cell r="X376" t="str">
            <v>intens</v>
          </cell>
        </row>
        <row r="377">
          <cell r="I377" t="str">
            <v>sim</v>
          </cell>
          <cell r="V377" t="str">
            <v>antonym</v>
          </cell>
          <cell r="W377">
            <v>1</v>
          </cell>
          <cell r="X377" t="str">
            <v>neg</v>
          </cell>
        </row>
        <row r="378">
          <cell r="I378" t="str">
            <v>sim</v>
          </cell>
          <cell r="V378" t="str">
            <v>not neg pair</v>
          </cell>
          <cell r="W378">
            <v>0</v>
          </cell>
          <cell r="X378" t="str">
            <v>0</v>
          </cell>
        </row>
        <row r="379">
          <cell r="I379" t="str">
            <v>sim</v>
          </cell>
          <cell r="V379" t="str">
            <v>not neg pair</v>
          </cell>
          <cell r="W379">
            <v>0</v>
          </cell>
          <cell r="X379" t="str">
            <v>0</v>
          </cell>
        </row>
        <row r="380">
          <cell r="I380" t="str">
            <v>sim</v>
          </cell>
          <cell r="V380" t="str">
            <v>not neg pair</v>
          </cell>
          <cell r="W380">
            <v>0</v>
          </cell>
          <cell r="X380" t="str">
            <v>0</v>
          </cell>
        </row>
        <row r="381">
          <cell r="I381" t="str">
            <v>sim</v>
          </cell>
          <cell r="V381" t="str">
            <v>not neg pair</v>
          </cell>
          <cell r="W381">
            <v>0</v>
          </cell>
          <cell r="X381" t="str">
            <v>0</v>
          </cell>
        </row>
        <row r="382">
          <cell r="I382" t="str">
            <v>sim</v>
          </cell>
          <cell r="V382" t="str">
            <v>not neg pair</v>
          </cell>
          <cell r="W382">
            <v>0</v>
          </cell>
          <cell r="X382" t="str">
            <v>0</v>
          </cell>
        </row>
        <row r="383">
          <cell r="I383" t="str">
            <v>sim</v>
          </cell>
          <cell r="V383" t="str">
            <v>not neg pair</v>
          </cell>
          <cell r="W383">
            <v>0</v>
          </cell>
          <cell r="X383" t="str">
            <v>0</v>
          </cell>
        </row>
        <row r="384">
          <cell r="I384" t="str">
            <v>sim</v>
          </cell>
          <cell r="V384" t="str">
            <v>not</v>
          </cell>
          <cell r="W384">
            <v>1</v>
          </cell>
          <cell r="X384" t="str">
            <v>intens</v>
          </cell>
        </row>
        <row r="385">
          <cell r="I385" t="str">
            <v>sim</v>
          </cell>
          <cell r="V385" t="str">
            <v>not</v>
          </cell>
          <cell r="W385">
            <v>1</v>
          </cell>
          <cell r="X385" t="str">
            <v>neg</v>
          </cell>
        </row>
        <row r="386">
          <cell r="I386" t="str">
            <v>sim</v>
          </cell>
          <cell r="V386" t="str">
            <v>not</v>
          </cell>
          <cell r="W386">
            <v>1</v>
          </cell>
          <cell r="X386" t="str">
            <v>intens</v>
          </cell>
        </row>
        <row r="387">
          <cell r="I387" t="str">
            <v>sim</v>
          </cell>
          <cell r="V387" t="str">
            <v>not</v>
          </cell>
          <cell r="W387">
            <v>1</v>
          </cell>
          <cell r="X387" t="str">
            <v>neg</v>
          </cell>
        </row>
        <row r="388">
          <cell r="I388" t="str">
            <v>sim</v>
          </cell>
          <cell r="V388" t="str">
            <v>not neg pair</v>
          </cell>
          <cell r="W388">
            <v>0</v>
          </cell>
          <cell r="X388" t="str">
            <v>0</v>
          </cell>
        </row>
        <row r="389">
          <cell r="I389" t="str">
            <v>sim</v>
          </cell>
          <cell r="V389" t="str">
            <v>not neg pair</v>
          </cell>
          <cell r="W389">
            <v>0</v>
          </cell>
          <cell r="X389" t="str">
            <v>0</v>
          </cell>
        </row>
        <row r="390">
          <cell r="I390" t="str">
            <v>met</v>
          </cell>
          <cell r="V390" t="str">
            <v>0</v>
          </cell>
          <cell r="W390">
            <v>0</v>
          </cell>
          <cell r="X390" t="str">
            <v>0</v>
          </cell>
        </row>
        <row r="391">
          <cell r="I391" t="str">
            <v>met</v>
          </cell>
          <cell r="V391" t="str">
            <v>0</v>
          </cell>
          <cell r="W391">
            <v>0</v>
          </cell>
          <cell r="X391" t="str">
            <v>0</v>
          </cell>
        </row>
        <row r="392">
          <cell r="I392" t="str">
            <v>met</v>
          </cell>
          <cell r="V392" t="str">
            <v>0</v>
          </cell>
          <cell r="W392">
            <v>0</v>
          </cell>
          <cell r="X392" t="str">
            <v>0</v>
          </cell>
        </row>
        <row r="393">
          <cell r="I393" t="str">
            <v>met</v>
          </cell>
          <cell r="V393" t="str">
            <v>0</v>
          </cell>
          <cell r="W393">
            <v>0</v>
          </cell>
          <cell r="X393" t="str">
            <v>0</v>
          </cell>
        </row>
        <row r="394">
          <cell r="I394" t="str">
            <v>sim</v>
          </cell>
          <cell r="V394" t="str">
            <v>not neg pair</v>
          </cell>
          <cell r="W394">
            <v>0</v>
          </cell>
          <cell r="X394" t="str">
            <v>0</v>
          </cell>
        </row>
        <row r="395">
          <cell r="I395" t="str">
            <v>sim</v>
          </cell>
          <cell r="V395" t="str">
            <v>not neg pair</v>
          </cell>
          <cell r="W395">
            <v>0</v>
          </cell>
          <cell r="X395" t="str">
            <v>0</v>
          </cell>
        </row>
        <row r="396">
          <cell r="I396" t="str">
            <v>met</v>
          </cell>
          <cell r="V396" t="str">
            <v>0</v>
          </cell>
          <cell r="W396">
            <v>0</v>
          </cell>
          <cell r="X396" t="str">
            <v>0</v>
          </cell>
        </row>
        <row r="397">
          <cell r="I397" t="str">
            <v>met</v>
          </cell>
          <cell r="V397" t="str">
            <v>0</v>
          </cell>
          <cell r="W397">
            <v>0</v>
          </cell>
          <cell r="X397" t="str">
            <v>0</v>
          </cell>
        </row>
        <row r="398">
          <cell r="I398" t="str">
            <v>sim</v>
          </cell>
          <cell r="V398" t="str">
            <v>not neg pair</v>
          </cell>
          <cell r="W398">
            <v>0</v>
          </cell>
          <cell r="X398" t="str">
            <v>0</v>
          </cell>
        </row>
        <row r="399">
          <cell r="I399" t="str">
            <v>sim</v>
          </cell>
          <cell r="V399" t="str">
            <v>not neg pair</v>
          </cell>
          <cell r="W399">
            <v>0</v>
          </cell>
          <cell r="X399" t="str">
            <v>0</v>
          </cell>
        </row>
        <row r="400">
          <cell r="I400" t="str">
            <v>sim</v>
          </cell>
          <cell r="V400" t="str">
            <v>not neg pair</v>
          </cell>
          <cell r="W400">
            <v>0</v>
          </cell>
          <cell r="X400" t="str">
            <v>0</v>
          </cell>
        </row>
        <row r="401">
          <cell r="I401" t="str">
            <v>sim</v>
          </cell>
          <cell r="V401" t="str">
            <v>not neg pair</v>
          </cell>
          <cell r="W401">
            <v>0</v>
          </cell>
          <cell r="X401" t="str">
            <v>0</v>
          </cell>
        </row>
        <row r="402">
          <cell r="I402" t="str">
            <v>sim</v>
          </cell>
          <cell r="V402" t="str">
            <v>not</v>
          </cell>
          <cell r="W402">
            <v>1</v>
          </cell>
          <cell r="X402" t="str">
            <v>intens</v>
          </cell>
        </row>
        <row r="403">
          <cell r="I403" t="str">
            <v>sim</v>
          </cell>
          <cell r="V403" t="str">
            <v>not</v>
          </cell>
          <cell r="W403">
            <v>1</v>
          </cell>
          <cell r="X403" t="str">
            <v>neg</v>
          </cell>
        </row>
        <row r="404">
          <cell r="I404" t="str">
            <v>sim</v>
          </cell>
          <cell r="V404" t="str">
            <v>not</v>
          </cell>
          <cell r="W404">
            <v>1</v>
          </cell>
          <cell r="X404" t="str">
            <v>intens</v>
          </cell>
        </row>
        <row r="405">
          <cell r="I405" t="str">
            <v>sim</v>
          </cell>
          <cell r="V405" t="str">
            <v>not</v>
          </cell>
          <cell r="W405">
            <v>1</v>
          </cell>
          <cell r="X405" t="str">
            <v>neg</v>
          </cell>
        </row>
        <row r="406">
          <cell r="I406" t="str">
            <v>sim</v>
          </cell>
          <cell r="V406" t="str">
            <v>not neg pair</v>
          </cell>
          <cell r="W406">
            <v>0</v>
          </cell>
          <cell r="X406" t="str">
            <v>0</v>
          </cell>
        </row>
        <row r="407">
          <cell r="I407" t="str">
            <v>sim</v>
          </cell>
          <cell r="V407" t="str">
            <v>not neg pair</v>
          </cell>
          <cell r="W407">
            <v>0</v>
          </cell>
          <cell r="X407" t="str">
            <v>0</v>
          </cell>
        </row>
        <row r="408">
          <cell r="I408" t="str">
            <v>met</v>
          </cell>
          <cell r="V408" t="str">
            <v>0</v>
          </cell>
          <cell r="W408">
            <v>0</v>
          </cell>
          <cell r="X408" t="str">
            <v>0</v>
          </cell>
        </row>
        <row r="409">
          <cell r="I409" t="str">
            <v>met</v>
          </cell>
          <cell r="V409" t="str">
            <v>0</v>
          </cell>
          <cell r="W409">
            <v>0</v>
          </cell>
          <cell r="X409" t="str">
            <v>0</v>
          </cell>
        </row>
        <row r="410">
          <cell r="I410" t="str">
            <v>sim</v>
          </cell>
          <cell r="V410" t="str">
            <v>not</v>
          </cell>
          <cell r="W410">
            <v>1</v>
          </cell>
          <cell r="X410" t="str">
            <v>intens</v>
          </cell>
        </row>
        <row r="411">
          <cell r="I411" t="str">
            <v>sim</v>
          </cell>
          <cell r="V411" t="str">
            <v>not</v>
          </cell>
          <cell r="W411">
            <v>1</v>
          </cell>
          <cell r="X411" t="str">
            <v>neg</v>
          </cell>
        </row>
        <row r="412">
          <cell r="I412" t="str">
            <v>sim</v>
          </cell>
          <cell r="V412" t="str">
            <v>not</v>
          </cell>
          <cell r="W412">
            <v>1</v>
          </cell>
          <cell r="X412" t="str">
            <v>intens</v>
          </cell>
        </row>
        <row r="413">
          <cell r="I413" t="str">
            <v>sim</v>
          </cell>
          <cell r="V413" t="str">
            <v>not</v>
          </cell>
          <cell r="W413">
            <v>1</v>
          </cell>
          <cell r="X413" t="str">
            <v>neg</v>
          </cell>
        </row>
        <row r="414">
          <cell r="I414" t="str">
            <v>met</v>
          </cell>
          <cell r="V414" t="str">
            <v>0</v>
          </cell>
          <cell r="W414">
            <v>0</v>
          </cell>
          <cell r="X414" t="str">
            <v>0</v>
          </cell>
        </row>
        <row r="415">
          <cell r="I415" t="str">
            <v>met</v>
          </cell>
          <cell r="V415" t="str">
            <v>0</v>
          </cell>
          <cell r="W415">
            <v>0</v>
          </cell>
          <cell r="X415" t="str">
            <v>0</v>
          </cell>
        </row>
        <row r="416">
          <cell r="I416" t="str">
            <v>sim</v>
          </cell>
          <cell r="V416" t="str">
            <v>not neg pair</v>
          </cell>
          <cell r="W416">
            <v>0</v>
          </cell>
          <cell r="X416" t="str">
            <v>0</v>
          </cell>
        </row>
        <row r="417">
          <cell r="I417" t="str">
            <v>sim</v>
          </cell>
          <cell r="V417" t="str">
            <v>not neg pair</v>
          </cell>
          <cell r="W417">
            <v>0</v>
          </cell>
          <cell r="X417" t="str">
            <v>0</v>
          </cell>
        </row>
        <row r="418">
          <cell r="I418" t="str">
            <v>sim</v>
          </cell>
          <cell r="V418" t="str">
            <v>not neg pair</v>
          </cell>
          <cell r="W418">
            <v>0</v>
          </cell>
          <cell r="X418" t="str">
            <v>0</v>
          </cell>
        </row>
        <row r="419">
          <cell r="I419" t="str">
            <v>sim</v>
          </cell>
          <cell r="V419" t="str">
            <v>not neg pair</v>
          </cell>
          <cell r="W419">
            <v>0</v>
          </cell>
          <cell r="X419" t="str">
            <v>0</v>
          </cell>
        </row>
        <row r="420">
          <cell r="I420" t="str">
            <v>sim</v>
          </cell>
          <cell r="V420" t="str">
            <v>not neg pair</v>
          </cell>
          <cell r="W420">
            <v>0</v>
          </cell>
          <cell r="X420" t="str">
            <v>0</v>
          </cell>
        </row>
        <row r="421">
          <cell r="I421" t="str">
            <v>sim</v>
          </cell>
          <cell r="V421" t="str">
            <v>not neg pair</v>
          </cell>
          <cell r="W421">
            <v>0</v>
          </cell>
          <cell r="X421" t="str">
            <v>0</v>
          </cell>
        </row>
        <row r="422">
          <cell r="I422" t="str">
            <v>sim</v>
          </cell>
          <cell r="V422" t="str">
            <v>not neg pair</v>
          </cell>
          <cell r="W422">
            <v>0</v>
          </cell>
          <cell r="X422" t="str">
            <v>0</v>
          </cell>
        </row>
        <row r="423">
          <cell r="I423" t="str">
            <v>sim</v>
          </cell>
          <cell r="V423" t="str">
            <v>not neg pair</v>
          </cell>
          <cell r="W423">
            <v>0</v>
          </cell>
          <cell r="X423" t="str">
            <v>0</v>
          </cell>
        </row>
        <row r="424">
          <cell r="I424" t="str">
            <v>sim</v>
          </cell>
          <cell r="V424" t="str">
            <v>not</v>
          </cell>
          <cell r="W424">
            <v>1</v>
          </cell>
          <cell r="X424" t="str">
            <v>neg</v>
          </cell>
        </row>
        <row r="425">
          <cell r="I425" t="str">
            <v>sim</v>
          </cell>
          <cell r="V425" t="str">
            <v>not</v>
          </cell>
          <cell r="W425">
            <v>1</v>
          </cell>
          <cell r="X425" t="str">
            <v>intens</v>
          </cell>
        </row>
        <row r="426">
          <cell r="I426" t="str">
            <v>sim</v>
          </cell>
          <cell r="V426" t="str">
            <v>not</v>
          </cell>
          <cell r="W426">
            <v>1</v>
          </cell>
          <cell r="X426" t="str">
            <v>intens</v>
          </cell>
        </row>
        <row r="427">
          <cell r="I427" t="str">
            <v>sim</v>
          </cell>
          <cell r="V427" t="str">
            <v>not</v>
          </cell>
          <cell r="W427">
            <v>1</v>
          </cell>
          <cell r="X427" t="str">
            <v>neg</v>
          </cell>
        </row>
        <row r="428">
          <cell r="I428" t="str">
            <v>sim</v>
          </cell>
          <cell r="V428" t="str">
            <v>not</v>
          </cell>
          <cell r="W428">
            <v>1</v>
          </cell>
          <cell r="X428" t="str">
            <v>intens</v>
          </cell>
        </row>
        <row r="429">
          <cell r="I429" t="str">
            <v>sim</v>
          </cell>
          <cell r="V429" t="str">
            <v>not</v>
          </cell>
          <cell r="W429">
            <v>1</v>
          </cell>
          <cell r="X429" t="str">
            <v>neg</v>
          </cell>
        </row>
        <row r="430">
          <cell r="I430" t="str">
            <v>met</v>
          </cell>
          <cell r="V430" t="str">
            <v>0</v>
          </cell>
          <cell r="W430">
            <v>0</v>
          </cell>
          <cell r="X430" t="str">
            <v>0</v>
          </cell>
        </row>
        <row r="431">
          <cell r="I431" t="str">
            <v>sim</v>
          </cell>
          <cell r="V431" t="str">
            <v>not neg pair</v>
          </cell>
          <cell r="W431">
            <v>0</v>
          </cell>
          <cell r="X431" t="str">
            <v>0</v>
          </cell>
        </row>
        <row r="432">
          <cell r="I432" t="str">
            <v>sim</v>
          </cell>
          <cell r="V432" t="str">
            <v>antonym</v>
          </cell>
          <cell r="W432">
            <v>1</v>
          </cell>
          <cell r="X432" t="str">
            <v>intens</v>
          </cell>
        </row>
        <row r="433">
          <cell r="I433" t="str">
            <v>sim</v>
          </cell>
          <cell r="V433" t="str">
            <v>antonym</v>
          </cell>
          <cell r="W433">
            <v>1</v>
          </cell>
          <cell r="X433" t="str">
            <v>neg</v>
          </cell>
        </row>
        <row r="434">
          <cell r="I434" t="str">
            <v>sim</v>
          </cell>
          <cell r="V434" t="str">
            <v>not neg pair</v>
          </cell>
          <cell r="W434">
            <v>0</v>
          </cell>
          <cell r="X434" t="str">
            <v>0</v>
          </cell>
        </row>
        <row r="435">
          <cell r="I435" t="str">
            <v>sim</v>
          </cell>
          <cell r="V435" t="str">
            <v>not neg pair</v>
          </cell>
          <cell r="W435">
            <v>0</v>
          </cell>
          <cell r="X435" t="str">
            <v>0</v>
          </cell>
        </row>
        <row r="436">
          <cell r="I436" t="str">
            <v>sim</v>
          </cell>
          <cell r="V436" t="str">
            <v>not neg pair</v>
          </cell>
          <cell r="W436">
            <v>0</v>
          </cell>
          <cell r="X436" t="str">
            <v>0</v>
          </cell>
        </row>
        <row r="437">
          <cell r="I437" t="str">
            <v>sim</v>
          </cell>
          <cell r="V437" t="str">
            <v>not neg pair</v>
          </cell>
          <cell r="W437">
            <v>0</v>
          </cell>
          <cell r="X437" t="str">
            <v>0</v>
          </cell>
        </row>
        <row r="438">
          <cell r="I438" t="str">
            <v>sim</v>
          </cell>
          <cell r="V438" t="str">
            <v>not neg pair</v>
          </cell>
          <cell r="W438">
            <v>0</v>
          </cell>
          <cell r="X438" t="str">
            <v>0</v>
          </cell>
        </row>
        <row r="439">
          <cell r="I439" t="str">
            <v>sim</v>
          </cell>
          <cell r="V439" t="str">
            <v>not neg pair</v>
          </cell>
          <cell r="W439">
            <v>0</v>
          </cell>
          <cell r="X439" t="str">
            <v>0</v>
          </cell>
        </row>
        <row r="440">
          <cell r="I440" t="str">
            <v>sim</v>
          </cell>
          <cell r="V440" t="str">
            <v>not neg pair</v>
          </cell>
          <cell r="W440">
            <v>0</v>
          </cell>
          <cell r="X440" t="str">
            <v>0</v>
          </cell>
        </row>
        <row r="441">
          <cell r="I441" t="str">
            <v>sim</v>
          </cell>
          <cell r="V441" t="str">
            <v>not neg pair</v>
          </cell>
          <cell r="W441">
            <v>0</v>
          </cell>
          <cell r="X441" t="str">
            <v>0</v>
          </cell>
        </row>
        <row r="442">
          <cell r="I442" t="str">
            <v>sim</v>
          </cell>
          <cell r="V442" t="str">
            <v>not neg pair</v>
          </cell>
          <cell r="W442">
            <v>0</v>
          </cell>
          <cell r="X442" t="str">
            <v>0</v>
          </cell>
        </row>
        <row r="443">
          <cell r="I443" t="str">
            <v>sim</v>
          </cell>
          <cell r="V443" t="str">
            <v>not neg pair</v>
          </cell>
          <cell r="W443">
            <v>0</v>
          </cell>
          <cell r="X443" t="str">
            <v>0</v>
          </cell>
        </row>
        <row r="444">
          <cell r="I444" t="str">
            <v>sim</v>
          </cell>
          <cell r="V444" t="str">
            <v>not neg pair</v>
          </cell>
          <cell r="W444">
            <v>0</v>
          </cell>
          <cell r="X444" t="str">
            <v>0</v>
          </cell>
        </row>
        <row r="445">
          <cell r="I445" t="str">
            <v>sim</v>
          </cell>
          <cell r="V445" t="str">
            <v>not neg pair</v>
          </cell>
          <cell r="W445">
            <v>0</v>
          </cell>
          <cell r="X445" t="str">
            <v>0</v>
          </cell>
        </row>
        <row r="446">
          <cell r="I446" t="str">
            <v>sim</v>
          </cell>
          <cell r="V446" t="str">
            <v>antonym</v>
          </cell>
          <cell r="W446">
            <v>1</v>
          </cell>
          <cell r="X446" t="str">
            <v>intens</v>
          </cell>
        </row>
        <row r="447">
          <cell r="I447" t="str">
            <v>sim</v>
          </cell>
          <cell r="V447" t="str">
            <v>antonym</v>
          </cell>
          <cell r="W447">
            <v>1</v>
          </cell>
          <cell r="X447" t="str">
            <v>neg</v>
          </cell>
        </row>
        <row r="448">
          <cell r="I448" t="str">
            <v>met</v>
          </cell>
          <cell r="V448" t="str">
            <v>0</v>
          </cell>
          <cell r="W448">
            <v>0</v>
          </cell>
          <cell r="X448" t="str">
            <v>0</v>
          </cell>
        </row>
        <row r="449">
          <cell r="I449" t="str">
            <v>met</v>
          </cell>
          <cell r="V449" t="str">
            <v>0</v>
          </cell>
          <cell r="W449">
            <v>0</v>
          </cell>
          <cell r="X449" t="str">
            <v>0</v>
          </cell>
        </row>
        <row r="450">
          <cell r="I450" t="str">
            <v>met</v>
          </cell>
          <cell r="V450" t="str">
            <v>0</v>
          </cell>
          <cell r="W450">
            <v>0</v>
          </cell>
          <cell r="X450" t="str">
            <v>0</v>
          </cell>
        </row>
        <row r="451">
          <cell r="I451" t="str">
            <v>met</v>
          </cell>
          <cell r="V451" t="str">
            <v>0</v>
          </cell>
          <cell r="W451">
            <v>0</v>
          </cell>
          <cell r="X451" t="str">
            <v>0</v>
          </cell>
        </row>
        <row r="452">
          <cell r="I452" t="str">
            <v>sim</v>
          </cell>
          <cell r="V452" t="str">
            <v>antonym</v>
          </cell>
          <cell r="W452">
            <v>1</v>
          </cell>
          <cell r="X452" t="str">
            <v>intens</v>
          </cell>
        </row>
        <row r="453">
          <cell r="I453" t="str">
            <v>sim</v>
          </cell>
          <cell r="V453" t="str">
            <v>antonym</v>
          </cell>
          <cell r="W453">
            <v>1</v>
          </cell>
          <cell r="X453" t="str">
            <v>neg</v>
          </cell>
        </row>
        <row r="454">
          <cell r="I454" t="str">
            <v>sim</v>
          </cell>
          <cell r="V454" t="str">
            <v>not</v>
          </cell>
          <cell r="W454">
            <v>1</v>
          </cell>
          <cell r="X454" t="str">
            <v>intens</v>
          </cell>
        </row>
        <row r="455">
          <cell r="I455" t="str">
            <v>sim</v>
          </cell>
          <cell r="V455" t="str">
            <v>not</v>
          </cell>
          <cell r="W455">
            <v>1</v>
          </cell>
          <cell r="X455" t="str">
            <v>neg</v>
          </cell>
        </row>
        <row r="456">
          <cell r="I456" t="str">
            <v>sim</v>
          </cell>
          <cell r="V456" t="str">
            <v>not</v>
          </cell>
          <cell r="W456">
            <v>1</v>
          </cell>
          <cell r="X456" t="str">
            <v>intens</v>
          </cell>
        </row>
        <row r="457">
          <cell r="I457" t="str">
            <v>sim</v>
          </cell>
          <cell r="V457" t="str">
            <v>not</v>
          </cell>
          <cell r="W457">
            <v>1</v>
          </cell>
          <cell r="X457" t="str">
            <v>neg</v>
          </cell>
        </row>
        <row r="458">
          <cell r="I458" t="str">
            <v>sim</v>
          </cell>
          <cell r="V458" t="str">
            <v>not neg pair</v>
          </cell>
          <cell r="W458">
            <v>0</v>
          </cell>
          <cell r="X458" t="str">
            <v>0</v>
          </cell>
        </row>
        <row r="459">
          <cell r="I459" t="str">
            <v>sim</v>
          </cell>
          <cell r="V459" t="str">
            <v>not neg pair</v>
          </cell>
          <cell r="W459">
            <v>0</v>
          </cell>
          <cell r="X459" t="str">
            <v>0</v>
          </cell>
        </row>
        <row r="460">
          <cell r="I460" t="str">
            <v>sim</v>
          </cell>
          <cell r="V460" t="str">
            <v>0</v>
          </cell>
          <cell r="W460">
            <v>0</v>
          </cell>
          <cell r="X460" t="str">
            <v>0</v>
          </cell>
        </row>
        <row r="461">
          <cell r="I461" t="str">
            <v>met</v>
          </cell>
          <cell r="V461" t="str">
            <v>0</v>
          </cell>
          <cell r="W461">
            <v>0</v>
          </cell>
          <cell r="X461" t="str">
            <v>0</v>
          </cell>
        </row>
        <row r="462">
          <cell r="I462" t="str">
            <v>sim</v>
          </cell>
          <cell r="V462" t="str">
            <v>0</v>
          </cell>
          <cell r="W462">
            <v>0</v>
          </cell>
          <cell r="X462" t="str">
            <v>0</v>
          </cell>
        </row>
        <row r="463">
          <cell r="I463" t="str">
            <v>met</v>
          </cell>
          <cell r="V463" t="str">
            <v>0</v>
          </cell>
          <cell r="W463">
            <v>0</v>
          </cell>
          <cell r="X463" t="str">
            <v>0</v>
          </cell>
        </row>
        <row r="464">
          <cell r="I464" t="str">
            <v>sim</v>
          </cell>
          <cell r="V464" t="str">
            <v>not neg pair</v>
          </cell>
          <cell r="W464">
            <v>0</v>
          </cell>
          <cell r="X464" t="str">
            <v>0</v>
          </cell>
        </row>
        <row r="465">
          <cell r="I465" t="str">
            <v>sim</v>
          </cell>
          <cell r="V465" t="str">
            <v>not neg pair</v>
          </cell>
          <cell r="W465">
            <v>0</v>
          </cell>
          <cell r="X465" t="str">
            <v>0</v>
          </cell>
        </row>
        <row r="466">
          <cell r="I466" t="str">
            <v>sim</v>
          </cell>
          <cell r="V466" t="str">
            <v>not</v>
          </cell>
          <cell r="W466">
            <v>1</v>
          </cell>
          <cell r="X466" t="str">
            <v>intens</v>
          </cell>
        </row>
        <row r="467">
          <cell r="I467" t="str">
            <v>sim</v>
          </cell>
          <cell r="V467" t="str">
            <v>not</v>
          </cell>
          <cell r="W467">
            <v>1</v>
          </cell>
          <cell r="X467" t="str">
            <v>neg</v>
          </cell>
        </row>
        <row r="468">
          <cell r="I468" t="str">
            <v>sim</v>
          </cell>
          <cell r="V468" t="str">
            <v>not neg pair</v>
          </cell>
          <cell r="W468">
            <v>0</v>
          </cell>
          <cell r="X468" t="str">
            <v>0</v>
          </cell>
        </row>
        <row r="469">
          <cell r="I469" t="str">
            <v>met</v>
          </cell>
          <cell r="V469" t="str">
            <v>0</v>
          </cell>
          <cell r="W469">
            <v>0</v>
          </cell>
          <cell r="X469" t="str">
            <v>0</v>
          </cell>
        </row>
        <row r="470">
          <cell r="I470" t="str">
            <v>sim</v>
          </cell>
          <cell r="V470" t="str">
            <v>not neg pair</v>
          </cell>
          <cell r="W470">
            <v>0</v>
          </cell>
          <cell r="X470" t="str">
            <v>0</v>
          </cell>
        </row>
        <row r="471">
          <cell r="I471" t="str">
            <v>sim</v>
          </cell>
          <cell r="V471" t="str">
            <v>not neg pair</v>
          </cell>
          <cell r="W471">
            <v>0</v>
          </cell>
          <cell r="X471" t="str">
            <v>0</v>
          </cell>
        </row>
        <row r="472">
          <cell r="I472" t="str">
            <v>sim</v>
          </cell>
          <cell r="V472" t="str">
            <v>not neg pair</v>
          </cell>
          <cell r="W472">
            <v>0</v>
          </cell>
          <cell r="X472" t="str">
            <v>0</v>
          </cell>
        </row>
        <row r="473">
          <cell r="I473" t="str">
            <v>sim</v>
          </cell>
          <cell r="V473" t="str">
            <v>not neg pair</v>
          </cell>
          <cell r="W473">
            <v>0</v>
          </cell>
          <cell r="X473" t="str">
            <v>0</v>
          </cell>
        </row>
        <row r="474">
          <cell r="I474" t="str">
            <v>sim</v>
          </cell>
          <cell r="V474" t="str">
            <v>not neg pair</v>
          </cell>
          <cell r="W474">
            <v>0</v>
          </cell>
          <cell r="X474" t="str">
            <v>0</v>
          </cell>
        </row>
        <row r="475">
          <cell r="I475" t="str">
            <v>sim</v>
          </cell>
          <cell r="V475" t="str">
            <v>not neg pair</v>
          </cell>
          <cell r="W475">
            <v>0</v>
          </cell>
          <cell r="X475" t="str">
            <v>0</v>
          </cell>
        </row>
        <row r="476">
          <cell r="I476" t="str">
            <v>sim</v>
          </cell>
          <cell r="V476" t="str">
            <v>not neg pair</v>
          </cell>
          <cell r="W476">
            <v>0</v>
          </cell>
          <cell r="X476" t="str">
            <v>0</v>
          </cell>
        </row>
        <row r="477">
          <cell r="I477" t="str">
            <v>sim</v>
          </cell>
          <cell r="V477" t="str">
            <v>not neg pair</v>
          </cell>
          <cell r="W477">
            <v>0</v>
          </cell>
          <cell r="X477" t="str">
            <v>0</v>
          </cell>
        </row>
        <row r="478">
          <cell r="I478" t="str">
            <v>sim</v>
          </cell>
          <cell r="V478" t="str">
            <v>not</v>
          </cell>
          <cell r="W478">
            <v>1</v>
          </cell>
          <cell r="X478" t="str">
            <v>intens</v>
          </cell>
        </row>
        <row r="479">
          <cell r="I479" t="str">
            <v>sim</v>
          </cell>
          <cell r="V479" t="str">
            <v>not</v>
          </cell>
          <cell r="W479">
            <v>1</v>
          </cell>
          <cell r="X479" t="str">
            <v>neg</v>
          </cell>
        </row>
        <row r="480">
          <cell r="I480" t="str">
            <v>sim</v>
          </cell>
          <cell r="V480" t="str">
            <v>antonym</v>
          </cell>
          <cell r="W480">
            <v>1</v>
          </cell>
          <cell r="X480" t="str">
            <v>neg</v>
          </cell>
        </row>
        <row r="481">
          <cell r="I481" t="str">
            <v>sim</v>
          </cell>
          <cell r="V481" t="str">
            <v>antonym</v>
          </cell>
          <cell r="W481">
            <v>1</v>
          </cell>
          <cell r="X481" t="str">
            <v>intens</v>
          </cell>
        </row>
        <row r="482">
          <cell r="I482" t="str">
            <v>sim</v>
          </cell>
          <cell r="V482" t="str">
            <v>not</v>
          </cell>
          <cell r="W482">
            <v>1</v>
          </cell>
          <cell r="X482" t="str">
            <v>neg</v>
          </cell>
        </row>
        <row r="483">
          <cell r="I483" t="str">
            <v>sim</v>
          </cell>
          <cell r="V483" t="str">
            <v>not</v>
          </cell>
          <cell r="W483">
            <v>1</v>
          </cell>
          <cell r="X483" t="str">
            <v>intens</v>
          </cell>
        </row>
        <row r="484">
          <cell r="I484" t="str">
            <v>sim</v>
          </cell>
          <cell r="V484" t="str">
            <v>not neg pair</v>
          </cell>
          <cell r="W484">
            <v>0</v>
          </cell>
          <cell r="X484" t="str">
            <v>0</v>
          </cell>
        </row>
        <row r="485">
          <cell r="I485" t="str">
            <v>sim</v>
          </cell>
          <cell r="V485" t="str">
            <v>not neg pair</v>
          </cell>
          <cell r="W485">
            <v>0</v>
          </cell>
          <cell r="X485" t="str">
            <v>0</v>
          </cell>
        </row>
        <row r="486">
          <cell r="I486" t="str">
            <v>sim</v>
          </cell>
          <cell r="V486" t="str">
            <v>not neg pair</v>
          </cell>
          <cell r="W486">
            <v>0</v>
          </cell>
          <cell r="X486" t="str">
            <v>0</v>
          </cell>
        </row>
        <row r="487">
          <cell r="I487" t="str">
            <v>sim</v>
          </cell>
          <cell r="V487" t="str">
            <v>not neg pair</v>
          </cell>
          <cell r="W487">
            <v>0</v>
          </cell>
          <cell r="X487" t="str">
            <v>0</v>
          </cell>
        </row>
        <row r="488">
          <cell r="I488" t="str">
            <v>sim</v>
          </cell>
          <cell r="V488" t="str">
            <v>not</v>
          </cell>
          <cell r="W488">
            <v>1</v>
          </cell>
          <cell r="X488" t="str">
            <v>intens</v>
          </cell>
        </row>
        <row r="489">
          <cell r="I489" t="str">
            <v>sim</v>
          </cell>
          <cell r="V489" t="str">
            <v>not</v>
          </cell>
          <cell r="W489">
            <v>1</v>
          </cell>
          <cell r="X489" t="str">
            <v>neg</v>
          </cell>
        </row>
        <row r="490">
          <cell r="I490" t="str">
            <v>sim</v>
          </cell>
          <cell r="V490" t="str">
            <v>not neg pair</v>
          </cell>
          <cell r="W490">
            <v>0</v>
          </cell>
          <cell r="X490" t="str">
            <v>0</v>
          </cell>
        </row>
        <row r="491">
          <cell r="I491" t="str">
            <v>sim</v>
          </cell>
          <cell r="V491" t="str">
            <v>not neg pair</v>
          </cell>
          <cell r="W491">
            <v>0</v>
          </cell>
          <cell r="X491" t="str">
            <v>0</v>
          </cell>
        </row>
        <row r="492">
          <cell r="I492" t="str">
            <v>sim</v>
          </cell>
          <cell r="V492" t="str">
            <v>not neg pair</v>
          </cell>
          <cell r="W492">
            <v>0</v>
          </cell>
          <cell r="X492" t="str">
            <v>0</v>
          </cell>
        </row>
        <row r="493">
          <cell r="I493" t="str">
            <v>sim</v>
          </cell>
          <cell r="V493" t="str">
            <v>not neg pair</v>
          </cell>
          <cell r="W493">
            <v>0</v>
          </cell>
          <cell r="X493" t="str">
            <v>0</v>
          </cell>
        </row>
        <row r="494">
          <cell r="I494" t="str">
            <v>sim</v>
          </cell>
          <cell r="V494" t="str">
            <v>antonym</v>
          </cell>
          <cell r="W494">
            <v>1</v>
          </cell>
          <cell r="X494" t="str">
            <v>intens</v>
          </cell>
        </row>
        <row r="495">
          <cell r="I495" t="str">
            <v>sim</v>
          </cell>
          <cell r="V495" t="str">
            <v>antonym</v>
          </cell>
          <cell r="W495">
            <v>1</v>
          </cell>
          <cell r="X495" t="str">
            <v>neg</v>
          </cell>
        </row>
        <row r="496">
          <cell r="I496" t="str">
            <v>sim</v>
          </cell>
          <cell r="V496" t="str">
            <v>antonym</v>
          </cell>
          <cell r="W496">
            <v>1</v>
          </cell>
          <cell r="X496" t="str">
            <v>intens</v>
          </cell>
        </row>
        <row r="497">
          <cell r="I497" t="str">
            <v>sim</v>
          </cell>
          <cell r="V497" t="str">
            <v>antonym</v>
          </cell>
          <cell r="W497">
            <v>1</v>
          </cell>
          <cell r="X497" t="str">
            <v>neg</v>
          </cell>
        </row>
        <row r="498">
          <cell r="I498" t="str">
            <v>sim</v>
          </cell>
          <cell r="V498" t="str">
            <v>not neg pair</v>
          </cell>
          <cell r="W498">
            <v>0</v>
          </cell>
          <cell r="X498" t="str">
            <v>0</v>
          </cell>
        </row>
        <row r="499">
          <cell r="I499" t="str">
            <v>sim</v>
          </cell>
          <cell r="V499" t="str">
            <v>not neg pair</v>
          </cell>
          <cell r="W499">
            <v>0</v>
          </cell>
          <cell r="X499" t="str">
            <v>0</v>
          </cell>
        </row>
        <row r="500">
          <cell r="I500" t="str">
            <v>sim</v>
          </cell>
          <cell r="V500" t="str">
            <v>antonym</v>
          </cell>
          <cell r="W500">
            <v>1</v>
          </cell>
          <cell r="X500" t="str">
            <v>intens</v>
          </cell>
        </row>
        <row r="501">
          <cell r="I501" t="str">
            <v>sim</v>
          </cell>
          <cell r="V501" t="str">
            <v>antonym</v>
          </cell>
          <cell r="W501">
            <v>1</v>
          </cell>
          <cell r="X501" t="str">
            <v>neg</v>
          </cell>
        </row>
        <row r="502">
          <cell r="I502" t="str">
            <v>sim</v>
          </cell>
          <cell r="V502" t="str">
            <v>not neg pair</v>
          </cell>
          <cell r="W502">
            <v>0</v>
          </cell>
          <cell r="X502" t="str">
            <v>0</v>
          </cell>
        </row>
        <row r="503">
          <cell r="I503" t="str">
            <v>sim</v>
          </cell>
          <cell r="V503" t="str">
            <v>not neg pair</v>
          </cell>
          <cell r="W503">
            <v>0</v>
          </cell>
          <cell r="X503" t="str">
            <v>0</v>
          </cell>
        </row>
        <row r="504">
          <cell r="I504" t="str">
            <v>sim</v>
          </cell>
          <cell r="V504" t="str">
            <v>not neg pair</v>
          </cell>
          <cell r="W504">
            <v>0</v>
          </cell>
          <cell r="X504" t="str">
            <v>0</v>
          </cell>
        </row>
        <row r="505">
          <cell r="I505" t="str">
            <v>sim</v>
          </cell>
          <cell r="V505" t="str">
            <v>not neg pair</v>
          </cell>
          <cell r="W505">
            <v>0</v>
          </cell>
          <cell r="X505" t="str">
            <v>0</v>
          </cell>
        </row>
        <row r="506">
          <cell r="I506" t="str">
            <v>sim</v>
          </cell>
          <cell r="V506" t="str">
            <v>not neg pair</v>
          </cell>
          <cell r="W506">
            <v>0</v>
          </cell>
          <cell r="X506" t="str">
            <v>0</v>
          </cell>
        </row>
        <row r="507">
          <cell r="I507" t="str">
            <v>sim</v>
          </cell>
          <cell r="V507" t="str">
            <v>not neg pair</v>
          </cell>
          <cell r="W507">
            <v>0</v>
          </cell>
          <cell r="X507" t="str">
            <v>0</v>
          </cell>
        </row>
        <row r="508">
          <cell r="I508" t="str">
            <v>sim</v>
          </cell>
          <cell r="V508" t="str">
            <v>not neg pair</v>
          </cell>
          <cell r="W508">
            <v>0</v>
          </cell>
          <cell r="X508" t="str">
            <v>0</v>
          </cell>
        </row>
        <row r="509">
          <cell r="I509" t="str">
            <v>sim</v>
          </cell>
          <cell r="V509" t="str">
            <v>not neg pair</v>
          </cell>
          <cell r="W509">
            <v>0</v>
          </cell>
          <cell r="X509" t="str">
            <v>0</v>
          </cell>
        </row>
        <row r="510">
          <cell r="I510" t="str">
            <v>sim</v>
          </cell>
          <cell r="V510" t="str">
            <v>not neg pair</v>
          </cell>
          <cell r="W510">
            <v>0</v>
          </cell>
          <cell r="X510" t="str">
            <v>0</v>
          </cell>
        </row>
        <row r="511">
          <cell r="I511" t="str">
            <v>sim</v>
          </cell>
          <cell r="V511" t="str">
            <v>not neg pair</v>
          </cell>
          <cell r="W511">
            <v>0</v>
          </cell>
          <cell r="X511" t="str">
            <v>0</v>
          </cell>
        </row>
        <row r="512">
          <cell r="I512" t="str">
            <v>sim</v>
          </cell>
          <cell r="V512" t="str">
            <v>not neg pair</v>
          </cell>
          <cell r="W512">
            <v>0</v>
          </cell>
          <cell r="X512" t="str">
            <v>0</v>
          </cell>
        </row>
        <row r="513">
          <cell r="I513" t="str">
            <v>sim</v>
          </cell>
          <cell r="V513" t="str">
            <v>not neg pair</v>
          </cell>
          <cell r="W513">
            <v>0</v>
          </cell>
          <cell r="X513" t="str">
            <v>0</v>
          </cell>
        </row>
        <row r="514">
          <cell r="I514" t="str">
            <v>sim</v>
          </cell>
          <cell r="V514" t="str">
            <v>not neg pair</v>
          </cell>
          <cell r="W514">
            <v>0</v>
          </cell>
          <cell r="X514" t="str">
            <v>0</v>
          </cell>
        </row>
        <row r="515">
          <cell r="I515" t="str">
            <v>sim</v>
          </cell>
          <cell r="V515" t="str">
            <v>not neg pair</v>
          </cell>
          <cell r="W515">
            <v>0</v>
          </cell>
          <cell r="X515" t="str">
            <v>0</v>
          </cell>
        </row>
        <row r="516">
          <cell r="I516" t="str">
            <v>sim</v>
          </cell>
          <cell r="V516" t="str">
            <v>antonym</v>
          </cell>
          <cell r="W516">
            <v>1</v>
          </cell>
          <cell r="X516" t="str">
            <v>intens</v>
          </cell>
        </row>
        <row r="517">
          <cell r="I517" t="str">
            <v>sim</v>
          </cell>
          <cell r="V517" t="str">
            <v>antonym</v>
          </cell>
          <cell r="W517">
            <v>1</v>
          </cell>
          <cell r="X517" t="str">
            <v>neg</v>
          </cell>
        </row>
        <row r="518">
          <cell r="I518" t="str">
            <v>met</v>
          </cell>
          <cell r="V518" t="str">
            <v>0</v>
          </cell>
          <cell r="W518">
            <v>0</v>
          </cell>
          <cell r="X518" t="str">
            <v>0</v>
          </cell>
        </row>
        <row r="519">
          <cell r="I519" t="str">
            <v>met</v>
          </cell>
          <cell r="V519" t="str">
            <v>0</v>
          </cell>
          <cell r="W519">
            <v>0</v>
          </cell>
          <cell r="X519" t="str">
            <v>0</v>
          </cell>
        </row>
        <row r="520">
          <cell r="I520" t="str">
            <v>sim</v>
          </cell>
          <cell r="V520" t="str">
            <v>antonym</v>
          </cell>
          <cell r="W520">
            <v>1</v>
          </cell>
          <cell r="X520" t="str">
            <v>intens</v>
          </cell>
        </row>
        <row r="521">
          <cell r="I521" t="str">
            <v>sim</v>
          </cell>
          <cell r="V521" t="str">
            <v>antonym</v>
          </cell>
          <cell r="W521">
            <v>1</v>
          </cell>
          <cell r="X521" t="str">
            <v>neg</v>
          </cell>
        </row>
        <row r="522">
          <cell r="I522" t="str">
            <v>sim</v>
          </cell>
          <cell r="V522" t="str">
            <v>not</v>
          </cell>
          <cell r="W522">
            <v>1</v>
          </cell>
          <cell r="X522" t="str">
            <v>intens</v>
          </cell>
        </row>
        <row r="523">
          <cell r="I523" t="str">
            <v>sim</v>
          </cell>
          <cell r="V523" t="str">
            <v>not</v>
          </cell>
          <cell r="W523">
            <v>1</v>
          </cell>
          <cell r="X523" t="str">
            <v>neg</v>
          </cell>
        </row>
        <row r="524">
          <cell r="I524" t="str">
            <v>sim</v>
          </cell>
          <cell r="V524" t="str">
            <v>not neg pair</v>
          </cell>
          <cell r="W524">
            <v>0</v>
          </cell>
          <cell r="X524" t="str">
            <v>0</v>
          </cell>
        </row>
        <row r="525">
          <cell r="I525" t="str">
            <v>sim</v>
          </cell>
          <cell r="V525" t="str">
            <v>not neg pair</v>
          </cell>
          <cell r="W525">
            <v>0</v>
          </cell>
          <cell r="X525" t="str">
            <v>0</v>
          </cell>
        </row>
        <row r="526">
          <cell r="I526" t="str">
            <v>sim</v>
          </cell>
          <cell r="V526" t="str">
            <v>not neg pair</v>
          </cell>
          <cell r="W526">
            <v>0</v>
          </cell>
          <cell r="X526" t="str">
            <v>0</v>
          </cell>
        </row>
        <row r="527">
          <cell r="I527" t="str">
            <v>sim</v>
          </cell>
          <cell r="V527" t="str">
            <v>not neg pair</v>
          </cell>
          <cell r="W527">
            <v>0</v>
          </cell>
          <cell r="X527" t="str">
            <v>0</v>
          </cell>
        </row>
        <row r="528">
          <cell r="I528" t="str">
            <v>sim</v>
          </cell>
          <cell r="V528" t="str">
            <v>not</v>
          </cell>
          <cell r="W528">
            <v>1</v>
          </cell>
          <cell r="X528" t="str">
            <v>intens</v>
          </cell>
        </row>
        <row r="529">
          <cell r="I529" t="str">
            <v>sim</v>
          </cell>
          <cell r="V529" t="str">
            <v>not</v>
          </cell>
          <cell r="W529">
            <v>1</v>
          </cell>
          <cell r="X529" t="str">
            <v>neg</v>
          </cell>
        </row>
        <row r="530">
          <cell r="I530" t="str">
            <v>sim</v>
          </cell>
          <cell r="V530" t="str">
            <v>not neg pair</v>
          </cell>
          <cell r="W530">
            <v>0</v>
          </cell>
          <cell r="X530" t="str">
            <v>0</v>
          </cell>
        </row>
        <row r="531">
          <cell r="I531" t="str">
            <v>sim</v>
          </cell>
          <cell r="V531" t="str">
            <v>not neg pair</v>
          </cell>
          <cell r="W531">
            <v>0</v>
          </cell>
          <cell r="X531" t="str">
            <v>0</v>
          </cell>
        </row>
        <row r="532">
          <cell r="I532" t="str">
            <v>sim</v>
          </cell>
          <cell r="V532" t="str">
            <v>not</v>
          </cell>
          <cell r="W532">
            <v>1</v>
          </cell>
          <cell r="X532" t="str">
            <v>intens</v>
          </cell>
        </row>
        <row r="533">
          <cell r="I533" t="str">
            <v>sim</v>
          </cell>
          <cell r="V533" t="str">
            <v>not</v>
          </cell>
          <cell r="W533">
            <v>1</v>
          </cell>
          <cell r="X533" t="str">
            <v>neg</v>
          </cell>
        </row>
        <row r="534">
          <cell r="I534" t="str">
            <v>sim</v>
          </cell>
          <cell r="V534" t="str">
            <v>not neg pair</v>
          </cell>
          <cell r="W534">
            <v>0</v>
          </cell>
          <cell r="X534" t="str">
            <v>0</v>
          </cell>
        </row>
        <row r="535">
          <cell r="I535" t="str">
            <v>sim</v>
          </cell>
          <cell r="V535" t="str">
            <v>not neg pair</v>
          </cell>
          <cell r="W535">
            <v>0</v>
          </cell>
          <cell r="X535" t="str">
            <v>0</v>
          </cell>
        </row>
        <row r="536">
          <cell r="I536" t="str">
            <v>sim</v>
          </cell>
          <cell r="V536" t="str">
            <v>not neg pair</v>
          </cell>
          <cell r="W536">
            <v>0</v>
          </cell>
          <cell r="X536" t="str">
            <v>0</v>
          </cell>
        </row>
        <row r="537">
          <cell r="I537" t="str">
            <v>sim</v>
          </cell>
          <cell r="V537" t="str">
            <v>not neg pair</v>
          </cell>
          <cell r="W537">
            <v>0</v>
          </cell>
          <cell r="X537" t="str">
            <v>0</v>
          </cell>
        </row>
        <row r="538">
          <cell r="I538" t="str">
            <v>sim</v>
          </cell>
          <cell r="V538" t="str">
            <v>not</v>
          </cell>
          <cell r="W538">
            <v>1</v>
          </cell>
          <cell r="X538" t="str">
            <v>intens</v>
          </cell>
        </row>
        <row r="539">
          <cell r="I539" t="str">
            <v>sim</v>
          </cell>
          <cell r="V539" t="str">
            <v>not</v>
          </cell>
          <cell r="W539">
            <v>1</v>
          </cell>
          <cell r="X539" t="str">
            <v>neg</v>
          </cell>
        </row>
        <row r="540">
          <cell r="I540" t="str">
            <v>sim</v>
          </cell>
          <cell r="V540" t="str">
            <v>not</v>
          </cell>
          <cell r="W540">
            <v>1</v>
          </cell>
          <cell r="X540" t="str">
            <v>neg</v>
          </cell>
        </row>
        <row r="541">
          <cell r="I541" t="str">
            <v>sim</v>
          </cell>
          <cell r="V541" t="str">
            <v>not</v>
          </cell>
          <cell r="W541">
            <v>1</v>
          </cell>
          <cell r="X541" t="str">
            <v>intens</v>
          </cell>
        </row>
        <row r="542">
          <cell r="I542" t="str">
            <v>sim</v>
          </cell>
          <cell r="V542" t="str">
            <v>not neg pair</v>
          </cell>
          <cell r="W542">
            <v>0</v>
          </cell>
          <cell r="X542" t="str">
            <v>0</v>
          </cell>
        </row>
        <row r="543">
          <cell r="I543" t="str">
            <v>sim</v>
          </cell>
          <cell r="V543" t="str">
            <v>not neg pair</v>
          </cell>
          <cell r="W543">
            <v>0</v>
          </cell>
          <cell r="X543" t="str">
            <v>0</v>
          </cell>
        </row>
        <row r="544">
          <cell r="I544" t="str">
            <v>sim</v>
          </cell>
          <cell r="V544" t="str">
            <v>not</v>
          </cell>
          <cell r="W544">
            <v>1</v>
          </cell>
          <cell r="X544" t="str">
            <v>intens</v>
          </cell>
        </row>
        <row r="545">
          <cell r="I545" t="str">
            <v>sim</v>
          </cell>
          <cell r="V545" t="str">
            <v>not</v>
          </cell>
          <cell r="W545">
            <v>1</v>
          </cell>
          <cell r="X545" t="str">
            <v>neg</v>
          </cell>
        </row>
        <row r="546">
          <cell r="I546" t="str">
            <v>sim</v>
          </cell>
          <cell r="V546" t="str">
            <v>not</v>
          </cell>
          <cell r="W546">
            <v>1</v>
          </cell>
          <cell r="X546" t="str">
            <v>intens</v>
          </cell>
        </row>
        <row r="547">
          <cell r="I547" t="str">
            <v>sim</v>
          </cell>
          <cell r="V547" t="str">
            <v>not</v>
          </cell>
          <cell r="W547">
            <v>1</v>
          </cell>
          <cell r="X547" t="str">
            <v>neg</v>
          </cell>
        </row>
        <row r="548">
          <cell r="I548" t="str">
            <v>sim</v>
          </cell>
          <cell r="V548" t="str">
            <v>antonym</v>
          </cell>
          <cell r="W548">
            <v>1</v>
          </cell>
          <cell r="X548" t="str">
            <v>intens</v>
          </cell>
        </row>
        <row r="549">
          <cell r="I549" t="str">
            <v>sim</v>
          </cell>
          <cell r="V549" t="str">
            <v>antonym</v>
          </cell>
          <cell r="W549">
            <v>1</v>
          </cell>
          <cell r="X549" t="str">
            <v>neg</v>
          </cell>
        </row>
        <row r="550">
          <cell r="I550" t="str">
            <v>sim</v>
          </cell>
          <cell r="V550" t="str">
            <v>not</v>
          </cell>
          <cell r="W550">
            <v>1</v>
          </cell>
          <cell r="X550" t="str">
            <v>intens</v>
          </cell>
        </row>
        <row r="551">
          <cell r="I551" t="str">
            <v>sim</v>
          </cell>
          <cell r="V551" t="str">
            <v>not</v>
          </cell>
          <cell r="W551">
            <v>1</v>
          </cell>
          <cell r="X551" t="str">
            <v>neg</v>
          </cell>
        </row>
        <row r="552">
          <cell r="I552" t="str">
            <v>sim</v>
          </cell>
          <cell r="V552" t="str">
            <v>not neg pair</v>
          </cell>
          <cell r="W552">
            <v>0</v>
          </cell>
          <cell r="X552" t="str">
            <v>0</v>
          </cell>
        </row>
        <row r="553">
          <cell r="I553" t="str">
            <v>sim</v>
          </cell>
          <cell r="V553" t="str">
            <v>not neg pair</v>
          </cell>
          <cell r="W553">
            <v>0</v>
          </cell>
          <cell r="X553" t="str">
            <v>0</v>
          </cell>
        </row>
        <row r="554">
          <cell r="I554" t="str">
            <v>sim</v>
          </cell>
          <cell r="V554" t="str">
            <v>antonym</v>
          </cell>
          <cell r="W554">
            <v>1</v>
          </cell>
          <cell r="X554" t="str">
            <v>intens</v>
          </cell>
        </row>
        <row r="555">
          <cell r="I555" t="str">
            <v>sim</v>
          </cell>
          <cell r="V555" t="str">
            <v>antonym</v>
          </cell>
          <cell r="W555">
            <v>1</v>
          </cell>
          <cell r="X555" t="str">
            <v>neg</v>
          </cell>
        </row>
        <row r="556">
          <cell r="I556" t="str">
            <v>met</v>
          </cell>
          <cell r="V556" t="str">
            <v>0</v>
          </cell>
          <cell r="W556">
            <v>0</v>
          </cell>
          <cell r="X556" t="str">
            <v>0</v>
          </cell>
        </row>
        <row r="557">
          <cell r="I557" t="str">
            <v>met</v>
          </cell>
          <cell r="V557" t="str">
            <v>0</v>
          </cell>
          <cell r="W557">
            <v>0</v>
          </cell>
          <cell r="X557" t="str">
            <v>0</v>
          </cell>
        </row>
        <row r="558">
          <cell r="I558" t="str">
            <v>met</v>
          </cell>
          <cell r="V558" t="str">
            <v>0</v>
          </cell>
          <cell r="W558">
            <v>0</v>
          </cell>
          <cell r="X558" t="str">
            <v>0</v>
          </cell>
        </row>
        <row r="559">
          <cell r="I559" t="str">
            <v>met</v>
          </cell>
          <cell r="V559" t="str">
            <v>0</v>
          </cell>
          <cell r="W559">
            <v>0</v>
          </cell>
          <cell r="X559" t="str">
            <v>0</v>
          </cell>
        </row>
        <row r="560">
          <cell r="I560" t="str">
            <v>sim</v>
          </cell>
          <cell r="V560" t="str">
            <v>not neg pair</v>
          </cell>
          <cell r="W560">
            <v>0</v>
          </cell>
          <cell r="X560" t="str">
            <v>0</v>
          </cell>
        </row>
        <row r="561">
          <cell r="I561" t="str">
            <v>sim</v>
          </cell>
          <cell r="V561" t="str">
            <v>not neg pair</v>
          </cell>
          <cell r="W561">
            <v>0</v>
          </cell>
          <cell r="X561" t="str">
            <v>0</v>
          </cell>
        </row>
        <row r="562">
          <cell r="I562" t="str">
            <v>sim</v>
          </cell>
          <cell r="V562" t="str">
            <v>not neg pair</v>
          </cell>
          <cell r="W562">
            <v>0</v>
          </cell>
          <cell r="X562" t="str">
            <v>0</v>
          </cell>
        </row>
        <row r="563">
          <cell r="I563" t="str">
            <v>sim</v>
          </cell>
          <cell r="V563" t="str">
            <v>not neg pair</v>
          </cell>
          <cell r="W563">
            <v>0</v>
          </cell>
          <cell r="X563" t="str">
            <v>0</v>
          </cell>
        </row>
        <row r="564">
          <cell r="I564" t="str">
            <v>sim</v>
          </cell>
          <cell r="V564" t="str">
            <v>not neg pair</v>
          </cell>
          <cell r="W564">
            <v>0</v>
          </cell>
          <cell r="X564" t="str">
            <v>0</v>
          </cell>
        </row>
        <row r="565">
          <cell r="I565" t="str">
            <v>sim</v>
          </cell>
          <cell r="V565" t="str">
            <v>not neg pair</v>
          </cell>
          <cell r="W565">
            <v>0</v>
          </cell>
          <cell r="X565" t="str">
            <v>0</v>
          </cell>
        </row>
        <row r="566">
          <cell r="I566" t="str">
            <v>sim</v>
          </cell>
          <cell r="V566" t="str">
            <v>antonym</v>
          </cell>
          <cell r="W566">
            <v>1</v>
          </cell>
          <cell r="X566" t="str">
            <v>intens</v>
          </cell>
        </row>
        <row r="567">
          <cell r="I567" t="str">
            <v>sim</v>
          </cell>
          <cell r="V567" t="str">
            <v>antonym</v>
          </cell>
          <cell r="W567">
            <v>1</v>
          </cell>
          <cell r="X567" t="str">
            <v>neg</v>
          </cell>
        </row>
        <row r="568">
          <cell r="I568" t="str">
            <v>sim</v>
          </cell>
          <cell r="V568" t="str">
            <v>not neg pair</v>
          </cell>
          <cell r="W568">
            <v>0</v>
          </cell>
          <cell r="X568" t="str">
            <v>0</v>
          </cell>
        </row>
        <row r="569">
          <cell r="I569" t="str">
            <v>sim</v>
          </cell>
          <cell r="V569" t="str">
            <v>not neg pair</v>
          </cell>
          <cell r="W569">
            <v>0</v>
          </cell>
          <cell r="X569" t="str">
            <v>0</v>
          </cell>
        </row>
        <row r="570">
          <cell r="I570" t="str">
            <v>met</v>
          </cell>
          <cell r="V570" t="str">
            <v>0</v>
          </cell>
          <cell r="W570">
            <v>0</v>
          </cell>
          <cell r="X570" t="str">
            <v>0</v>
          </cell>
        </row>
        <row r="571">
          <cell r="I571" t="str">
            <v>met</v>
          </cell>
          <cell r="V571" t="str">
            <v>0</v>
          </cell>
          <cell r="W571">
            <v>0</v>
          </cell>
          <cell r="X571" t="str">
            <v>0</v>
          </cell>
        </row>
        <row r="572">
          <cell r="I572" t="str">
            <v>met</v>
          </cell>
          <cell r="V572" t="str">
            <v>0</v>
          </cell>
          <cell r="W572">
            <v>0</v>
          </cell>
          <cell r="X572" t="str">
            <v>0</v>
          </cell>
        </row>
        <row r="573">
          <cell r="I573" t="str">
            <v>met</v>
          </cell>
          <cell r="V573" t="str">
            <v>0</v>
          </cell>
          <cell r="W573">
            <v>0</v>
          </cell>
          <cell r="X573" t="str">
            <v>0</v>
          </cell>
        </row>
        <row r="574">
          <cell r="I574" t="str">
            <v>met</v>
          </cell>
          <cell r="V574" t="str">
            <v>0</v>
          </cell>
          <cell r="W574">
            <v>0</v>
          </cell>
          <cell r="X574" t="str">
            <v>0</v>
          </cell>
        </row>
        <row r="575">
          <cell r="I575" t="str">
            <v>met</v>
          </cell>
          <cell r="V575" t="str">
            <v>0</v>
          </cell>
          <cell r="W575">
            <v>0</v>
          </cell>
          <cell r="X575" t="str">
            <v>0</v>
          </cell>
        </row>
        <row r="576">
          <cell r="I576" t="str">
            <v>sim</v>
          </cell>
          <cell r="V576" t="str">
            <v>not</v>
          </cell>
          <cell r="W576">
            <v>1</v>
          </cell>
          <cell r="X576" t="str">
            <v>neg</v>
          </cell>
        </row>
        <row r="577">
          <cell r="I577" t="str">
            <v>sim</v>
          </cell>
          <cell r="V577" t="str">
            <v>not</v>
          </cell>
          <cell r="W577">
            <v>1</v>
          </cell>
          <cell r="X577" t="str">
            <v>intens</v>
          </cell>
        </row>
        <row r="578">
          <cell r="I578" t="str">
            <v>sim</v>
          </cell>
          <cell r="V578" t="str">
            <v>not neg pair</v>
          </cell>
          <cell r="W578">
            <v>0</v>
          </cell>
          <cell r="X578" t="str">
            <v>0</v>
          </cell>
        </row>
        <row r="579">
          <cell r="I579" t="str">
            <v>sim</v>
          </cell>
          <cell r="V579" t="str">
            <v>not neg pair</v>
          </cell>
          <cell r="W579">
            <v>0</v>
          </cell>
          <cell r="X579" t="str">
            <v>0</v>
          </cell>
        </row>
        <row r="580">
          <cell r="I580" t="str">
            <v>met</v>
          </cell>
          <cell r="V580" t="str">
            <v>0</v>
          </cell>
          <cell r="W580">
            <v>0</v>
          </cell>
          <cell r="X580" t="str">
            <v>0</v>
          </cell>
        </row>
        <row r="581">
          <cell r="I581" t="str">
            <v>sim</v>
          </cell>
          <cell r="V581" t="str">
            <v>not neg pair</v>
          </cell>
          <cell r="W581">
            <v>0</v>
          </cell>
          <cell r="X581" t="str">
            <v>0</v>
          </cell>
        </row>
        <row r="582">
          <cell r="I582" t="str">
            <v>met</v>
          </cell>
          <cell r="V582" t="str">
            <v>0</v>
          </cell>
          <cell r="W582">
            <v>0</v>
          </cell>
          <cell r="X582" t="str">
            <v>0</v>
          </cell>
        </row>
        <row r="583">
          <cell r="I583" t="str">
            <v>met</v>
          </cell>
          <cell r="V583" t="str">
            <v>0</v>
          </cell>
          <cell r="W583">
            <v>0</v>
          </cell>
          <cell r="X583" t="str">
            <v>0</v>
          </cell>
        </row>
        <row r="584">
          <cell r="I584" t="str">
            <v>sim</v>
          </cell>
          <cell r="V584" t="str">
            <v>antonym</v>
          </cell>
          <cell r="W584">
            <v>1</v>
          </cell>
          <cell r="X584" t="str">
            <v>intens</v>
          </cell>
        </row>
        <row r="585">
          <cell r="I585" t="str">
            <v>sim</v>
          </cell>
          <cell r="V585" t="str">
            <v>antonym</v>
          </cell>
          <cell r="W585">
            <v>1</v>
          </cell>
          <cell r="X585" t="str">
            <v>neg</v>
          </cell>
        </row>
        <row r="586">
          <cell r="I586" t="str">
            <v>sim</v>
          </cell>
          <cell r="V586" t="str">
            <v>not neg pair</v>
          </cell>
          <cell r="W586">
            <v>0</v>
          </cell>
          <cell r="X586" t="str">
            <v>0</v>
          </cell>
        </row>
        <row r="587">
          <cell r="I587" t="str">
            <v>sim</v>
          </cell>
          <cell r="V587" t="str">
            <v>not neg pair</v>
          </cell>
          <cell r="W587">
            <v>0</v>
          </cell>
          <cell r="X587" t="str">
            <v>0</v>
          </cell>
        </row>
        <row r="588">
          <cell r="I588" t="str">
            <v>sim</v>
          </cell>
          <cell r="V588" t="str">
            <v>antonym</v>
          </cell>
          <cell r="W588">
            <v>1</v>
          </cell>
          <cell r="X588" t="str">
            <v>intens</v>
          </cell>
        </row>
        <row r="589">
          <cell r="I589" t="str">
            <v>sim</v>
          </cell>
          <cell r="V589" t="str">
            <v>antonym</v>
          </cell>
          <cell r="W589">
            <v>1</v>
          </cell>
          <cell r="X589" t="str">
            <v>neg</v>
          </cell>
        </row>
        <row r="590">
          <cell r="I590" t="str">
            <v>met</v>
          </cell>
          <cell r="V590" t="str">
            <v>0</v>
          </cell>
          <cell r="W590">
            <v>0</v>
          </cell>
          <cell r="X590" t="str">
            <v>0</v>
          </cell>
        </row>
        <row r="591">
          <cell r="I591" t="str">
            <v>met</v>
          </cell>
          <cell r="V591" t="str">
            <v>0</v>
          </cell>
          <cell r="W591">
            <v>0</v>
          </cell>
          <cell r="X591" t="str">
            <v>0</v>
          </cell>
        </row>
        <row r="592">
          <cell r="I592" t="str">
            <v>met</v>
          </cell>
          <cell r="V592" t="str">
            <v>0</v>
          </cell>
          <cell r="W592">
            <v>0</v>
          </cell>
          <cell r="X592" t="str">
            <v>0</v>
          </cell>
        </row>
        <row r="593">
          <cell r="I593" t="str">
            <v>met</v>
          </cell>
          <cell r="V593" t="str">
            <v>0</v>
          </cell>
          <cell r="W593">
            <v>0</v>
          </cell>
          <cell r="X593" t="str">
            <v>0</v>
          </cell>
        </row>
        <row r="594">
          <cell r="I594" t="str">
            <v>met</v>
          </cell>
          <cell r="V594" t="str">
            <v>0</v>
          </cell>
          <cell r="W594">
            <v>0</v>
          </cell>
          <cell r="X594" t="str">
            <v>0</v>
          </cell>
        </row>
        <row r="595">
          <cell r="I595" t="str">
            <v>met</v>
          </cell>
          <cell r="V595" t="str">
            <v>0</v>
          </cell>
          <cell r="W595">
            <v>0</v>
          </cell>
          <cell r="X595" t="str">
            <v>0</v>
          </cell>
        </row>
        <row r="596">
          <cell r="I596" t="str">
            <v>sim</v>
          </cell>
          <cell r="V596" t="str">
            <v>not neg pair</v>
          </cell>
          <cell r="W596">
            <v>0</v>
          </cell>
          <cell r="X596" t="str">
            <v>0</v>
          </cell>
        </row>
        <row r="597">
          <cell r="I597" t="str">
            <v>sim</v>
          </cell>
          <cell r="V597" t="str">
            <v>not neg pair</v>
          </cell>
          <cell r="W597">
            <v>0</v>
          </cell>
          <cell r="X597" t="str">
            <v>0</v>
          </cell>
        </row>
        <row r="598">
          <cell r="I598" t="str">
            <v>sim</v>
          </cell>
          <cell r="V598" t="str">
            <v>not neg pair</v>
          </cell>
          <cell r="W598">
            <v>0</v>
          </cell>
          <cell r="X598" t="str">
            <v>0</v>
          </cell>
        </row>
        <row r="599">
          <cell r="I599" t="str">
            <v>sim</v>
          </cell>
          <cell r="V599" t="str">
            <v>not neg pair</v>
          </cell>
          <cell r="W599">
            <v>0</v>
          </cell>
          <cell r="X599" t="str">
            <v>0</v>
          </cell>
        </row>
        <row r="600">
          <cell r="I600" t="str">
            <v>sim</v>
          </cell>
          <cell r="V600" t="str">
            <v>not</v>
          </cell>
          <cell r="W600">
            <v>1</v>
          </cell>
          <cell r="X600" t="str">
            <v>neg</v>
          </cell>
        </row>
        <row r="601">
          <cell r="I601" t="str">
            <v>sim</v>
          </cell>
          <cell r="V601" t="str">
            <v>not</v>
          </cell>
          <cell r="W601">
            <v>1</v>
          </cell>
          <cell r="X601" t="str">
            <v>intens</v>
          </cell>
        </row>
        <row r="602">
          <cell r="I602" t="str">
            <v>sim</v>
          </cell>
          <cell r="V602" t="str">
            <v>not neg pair</v>
          </cell>
          <cell r="W602">
            <v>0</v>
          </cell>
          <cell r="X602" t="str">
            <v>0</v>
          </cell>
        </row>
        <row r="603">
          <cell r="I603" t="str">
            <v>sim</v>
          </cell>
          <cell r="V603" t="str">
            <v>not neg pair</v>
          </cell>
          <cell r="W603">
            <v>0</v>
          </cell>
          <cell r="X603" t="str">
            <v>0</v>
          </cell>
        </row>
        <row r="604">
          <cell r="I604" t="str">
            <v>met</v>
          </cell>
          <cell r="V604" t="str">
            <v>0</v>
          </cell>
          <cell r="W604">
            <v>0</v>
          </cell>
          <cell r="X604" t="str">
            <v>0</v>
          </cell>
        </row>
        <row r="605">
          <cell r="I605" t="str">
            <v>met</v>
          </cell>
          <cell r="V605" t="str">
            <v>0</v>
          </cell>
          <cell r="W605">
            <v>0</v>
          </cell>
          <cell r="X605" t="str">
            <v>0</v>
          </cell>
        </row>
        <row r="606">
          <cell r="I606" t="str">
            <v>met</v>
          </cell>
          <cell r="V606" t="str">
            <v>0</v>
          </cell>
          <cell r="W606">
            <v>0</v>
          </cell>
          <cell r="X606" t="str">
            <v>0</v>
          </cell>
        </row>
        <row r="607">
          <cell r="I607" t="str">
            <v>met</v>
          </cell>
          <cell r="V607" t="str">
            <v>0</v>
          </cell>
          <cell r="W607">
            <v>0</v>
          </cell>
          <cell r="X607" t="str">
            <v>0</v>
          </cell>
        </row>
        <row r="608">
          <cell r="I608" t="str">
            <v>sim</v>
          </cell>
          <cell r="V608" t="str">
            <v>not neg pair</v>
          </cell>
          <cell r="W608">
            <v>0</v>
          </cell>
          <cell r="X608" t="str">
            <v>0</v>
          </cell>
        </row>
        <row r="609">
          <cell r="I609" t="str">
            <v>sim</v>
          </cell>
          <cell r="V609" t="str">
            <v>not neg pair</v>
          </cell>
          <cell r="W609">
            <v>0</v>
          </cell>
          <cell r="X609" t="str">
            <v>0</v>
          </cell>
        </row>
        <row r="610">
          <cell r="I610" t="str">
            <v>sim</v>
          </cell>
          <cell r="V610" t="str">
            <v>not neg pair</v>
          </cell>
          <cell r="W610">
            <v>0</v>
          </cell>
          <cell r="X610" t="str">
            <v>0</v>
          </cell>
        </row>
        <row r="611">
          <cell r="I611" t="str">
            <v>sim</v>
          </cell>
          <cell r="V611" t="str">
            <v>not neg pair</v>
          </cell>
          <cell r="W611">
            <v>0</v>
          </cell>
          <cell r="X611" t="str">
            <v>0</v>
          </cell>
        </row>
        <row r="612">
          <cell r="I612" t="str">
            <v>sim</v>
          </cell>
          <cell r="V612" t="str">
            <v>not</v>
          </cell>
          <cell r="W612">
            <v>1</v>
          </cell>
          <cell r="X612" t="str">
            <v>neg</v>
          </cell>
        </row>
        <row r="613">
          <cell r="I613" t="str">
            <v>sim</v>
          </cell>
          <cell r="V613" t="str">
            <v>not</v>
          </cell>
          <cell r="W613">
            <v>1</v>
          </cell>
          <cell r="X613" t="str">
            <v>intens</v>
          </cell>
        </row>
        <row r="614">
          <cell r="I614" t="str">
            <v>sim</v>
          </cell>
          <cell r="V614" t="str">
            <v>not</v>
          </cell>
          <cell r="W614">
            <v>1</v>
          </cell>
          <cell r="X614" t="str">
            <v>neg</v>
          </cell>
        </row>
        <row r="615">
          <cell r="I615" t="str">
            <v>sim</v>
          </cell>
          <cell r="V615" t="str">
            <v>not</v>
          </cell>
          <cell r="W615">
            <v>1</v>
          </cell>
          <cell r="X615" t="str">
            <v>intens</v>
          </cell>
        </row>
        <row r="616">
          <cell r="I616" t="str">
            <v>sim</v>
          </cell>
          <cell r="V616" t="str">
            <v>not</v>
          </cell>
          <cell r="W616">
            <v>1</v>
          </cell>
          <cell r="X616" t="str">
            <v>intens</v>
          </cell>
        </row>
        <row r="617">
          <cell r="I617" t="str">
            <v>sim</v>
          </cell>
          <cell r="V617" t="str">
            <v>not</v>
          </cell>
          <cell r="W617">
            <v>1</v>
          </cell>
          <cell r="X617" t="str">
            <v>neg</v>
          </cell>
        </row>
        <row r="618">
          <cell r="I618" t="str">
            <v>sim</v>
          </cell>
          <cell r="V618" t="str">
            <v>not neg pair</v>
          </cell>
          <cell r="W618">
            <v>0</v>
          </cell>
          <cell r="X618" t="str">
            <v>0</v>
          </cell>
        </row>
        <row r="619">
          <cell r="I619" t="str">
            <v>sim</v>
          </cell>
          <cell r="V619" t="str">
            <v>not neg pair</v>
          </cell>
          <cell r="W619">
            <v>0</v>
          </cell>
          <cell r="X619" t="str">
            <v>0</v>
          </cell>
        </row>
        <row r="620">
          <cell r="I620" t="str">
            <v>met</v>
          </cell>
          <cell r="V620" t="str">
            <v>0</v>
          </cell>
          <cell r="W620">
            <v>0</v>
          </cell>
          <cell r="X620" t="str">
            <v>0</v>
          </cell>
        </row>
        <row r="621">
          <cell r="I621" t="str">
            <v>met</v>
          </cell>
          <cell r="V621" t="str">
            <v>0</v>
          </cell>
          <cell r="W621">
            <v>0</v>
          </cell>
          <cell r="X621" t="str">
            <v>0</v>
          </cell>
        </row>
        <row r="622">
          <cell r="I622" t="str">
            <v>sim</v>
          </cell>
          <cell r="V622" t="str">
            <v>not neg pair</v>
          </cell>
          <cell r="W622">
            <v>0</v>
          </cell>
          <cell r="X622" t="str">
            <v>0</v>
          </cell>
        </row>
        <row r="623">
          <cell r="I623" t="str">
            <v>sim</v>
          </cell>
          <cell r="V623" t="str">
            <v>not neg pair</v>
          </cell>
          <cell r="W623">
            <v>0</v>
          </cell>
          <cell r="X623" t="str">
            <v>0</v>
          </cell>
        </row>
        <row r="624">
          <cell r="I624" t="str">
            <v>met</v>
          </cell>
          <cell r="V624" t="str">
            <v>0</v>
          </cell>
          <cell r="W624">
            <v>0</v>
          </cell>
          <cell r="X624" t="str">
            <v>0</v>
          </cell>
        </row>
        <row r="625">
          <cell r="I625" t="str">
            <v>met</v>
          </cell>
          <cell r="V625" t="str">
            <v>0</v>
          </cell>
          <cell r="W625">
            <v>0</v>
          </cell>
          <cell r="X625" t="str">
            <v>0</v>
          </cell>
        </row>
        <row r="626">
          <cell r="I626" t="str">
            <v>sim</v>
          </cell>
          <cell r="V626" t="str">
            <v>not neg pair</v>
          </cell>
          <cell r="W626">
            <v>0</v>
          </cell>
          <cell r="X626" t="str">
            <v>0</v>
          </cell>
        </row>
        <row r="627">
          <cell r="I627" t="str">
            <v>sim</v>
          </cell>
          <cell r="V627" t="str">
            <v>not neg pair</v>
          </cell>
          <cell r="W627">
            <v>0</v>
          </cell>
          <cell r="X627" t="str">
            <v>0</v>
          </cell>
        </row>
        <row r="628">
          <cell r="I628" t="str">
            <v>sim</v>
          </cell>
          <cell r="V628" t="str">
            <v>not neg pair</v>
          </cell>
          <cell r="W628">
            <v>0</v>
          </cell>
          <cell r="X628" t="str">
            <v>0</v>
          </cell>
        </row>
        <row r="629">
          <cell r="I629" t="str">
            <v>sim</v>
          </cell>
          <cell r="V629" t="str">
            <v>not neg pair</v>
          </cell>
          <cell r="W629">
            <v>0</v>
          </cell>
          <cell r="X629" t="str">
            <v>0</v>
          </cell>
        </row>
        <row r="630">
          <cell r="I630" t="str">
            <v>sim</v>
          </cell>
          <cell r="V630" t="str">
            <v>not neg pair</v>
          </cell>
          <cell r="W630">
            <v>0</v>
          </cell>
          <cell r="X630" t="str">
            <v>0</v>
          </cell>
        </row>
        <row r="631">
          <cell r="I631" t="str">
            <v>sim</v>
          </cell>
          <cell r="V631" t="str">
            <v>not neg pair</v>
          </cell>
          <cell r="W631">
            <v>0</v>
          </cell>
          <cell r="X631" t="str">
            <v>0</v>
          </cell>
        </row>
        <row r="632">
          <cell r="I632" t="str">
            <v>sim</v>
          </cell>
          <cell r="V632" t="str">
            <v>not neg pair</v>
          </cell>
          <cell r="W632">
            <v>0</v>
          </cell>
          <cell r="X632" t="str">
            <v>0</v>
          </cell>
        </row>
        <row r="633">
          <cell r="I633" t="str">
            <v>sim</v>
          </cell>
          <cell r="V633" t="str">
            <v>not neg pair</v>
          </cell>
          <cell r="W633">
            <v>0</v>
          </cell>
          <cell r="X633" t="str">
            <v>0</v>
          </cell>
        </row>
        <row r="634">
          <cell r="I634" t="str">
            <v>sim</v>
          </cell>
          <cell r="V634" t="str">
            <v>not neg pair</v>
          </cell>
          <cell r="W634">
            <v>0</v>
          </cell>
          <cell r="X634" t="str">
            <v>0</v>
          </cell>
        </row>
        <row r="635">
          <cell r="I635" t="str">
            <v>sim</v>
          </cell>
          <cell r="V635" t="str">
            <v>not neg pair</v>
          </cell>
          <cell r="W635">
            <v>0</v>
          </cell>
          <cell r="X635" t="str">
            <v>0</v>
          </cell>
        </row>
        <row r="636">
          <cell r="I636" t="str">
            <v>sim</v>
          </cell>
          <cell r="V636" t="str">
            <v>not neg pair</v>
          </cell>
          <cell r="W636">
            <v>0</v>
          </cell>
          <cell r="X636" t="str">
            <v>0</v>
          </cell>
        </row>
        <row r="637">
          <cell r="I637" t="str">
            <v>sim</v>
          </cell>
          <cell r="V637" t="str">
            <v>not neg pair</v>
          </cell>
          <cell r="W637">
            <v>0</v>
          </cell>
          <cell r="X637" t="str">
            <v>0</v>
          </cell>
        </row>
        <row r="638">
          <cell r="I638" t="str">
            <v>sim</v>
          </cell>
          <cell r="V638" t="str">
            <v>not</v>
          </cell>
          <cell r="W638">
            <v>1</v>
          </cell>
          <cell r="X638" t="str">
            <v>intens</v>
          </cell>
        </row>
        <row r="639">
          <cell r="I639" t="str">
            <v>sim</v>
          </cell>
          <cell r="V639" t="str">
            <v>not</v>
          </cell>
          <cell r="W639">
            <v>1</v>
          </cell>
          <cell r="X639" t="str">
            <v>neg</v>
          </cell>
        </row>
        <row r="640">
          <cell r="I640" t="str">
            <v>met</v>
          </cell>
          <cell r="V640" t="str">
            <v>0</v>
          </cell>
          <cell r="W640">
            <v>0</v>
          </cell>
          <cell r="X640" t="str">
            <v>0</v>
          </cell>
        </row>
        <row r="641">
          <cell r="I641" t="str">
            <v>met</v>
          </cell>
          <cell r="V641" t="str">
            <v>0</v>
          </cell>
          <cell r="W641">
            <v>0</v>
          </cell>
          <cell r="X641" t="str">
            <v>0</v>
          </cell>
        </row>
        <row r="642">
          <cell r="I642" t="str">
            <v>met</v>
          </cell>
          <cell r="V642" t="str">
            <v>0</v>
          </cell>
          <cell r="W642">
            <v>0</v>
          </cell>
          <cell r="X642" t="str">
            <v>0</v>
          </cell>
        </row>
        <row r="643">
          <cell r="I643" t="str">
            <v>met</v>
          </cell>
          <cell r="V643" t="str">
            <v>0</v>
          </cell>
          <cell r="W643">
            <v>0</v>
          </cell>
          <cell r="X643" t="str">
            <v>0</v>
          </cell>
        </row>
        <row r="644">
          <cell r="I644" t="str">
            <v>sim</v>
          </cell>
          <cell r="V644" t="str">
            <v>not neg pair</v>
          </cell>
          <cell r="W644">
            <v>0</v>
          </cell>
          <cell r="X644" t="str">
            <v>0</v>
          </cell>
        </row>
        <row r="645">
          <cell r="I645" t="str">
            <v>sim</v>
          </cell>
          <cell r="V645" t="str">
            <v>not neg pair</v>
          </cell>
          <cell r="W645">
            <v>0</v>
          </cell>
          <cell r="X645" t="str">
            <v>0</v>
          </cell>
        </row>
        <row r="646">
          <cell r="I646" t="str">
            <v>sim</v>
          </cell>
          <cell r="V646" t="str">
            <v>not</v>
          </cell>
          <cell r="W646">
            <v>1</v>
          </cell>
          <cell r="X646" t="str">
            <v>intens</v>
          </cell>
        </row>
        <row r="647">
          <cell r="I647" t="str">
            <v>sim</v>
          </cell>
          <cell r="V647" t="str">
            <v>not</v>
          </cell>
          <cell r="W647">
            <v>1</v>
          </cell>
          <cell r="X647" t="str">
            <v>neg</v>
          </cell>
        </row>
        <row r="648">
          <cell r="I648" t="str">
            <v>sim</v>
          </cell>
          <cell r="V648" t="str">
            <v>not neg pair</v>
          </cell>
          <cell r="W648">
            <v>0</v>
          </cell>
          <cell r="X648" t="str">
            <v>0</v>
          </cell>
        </row>
        <row r="649">
          <cell r="I649" t="str">
            <v>sim</v>
          </cell>
          <cell r="V649" t="str">
            <v>not neg pair</v>
          </cell>
          <cell r="W649">
            <v>0</v>
          </cell>
          <cell r="X649" t="str">
            <v>0</v>
          </cell>
        </row>
        <row r="650">
          <cell r="I650" t="str">
            <v>sim</v>
          </cell>
          <cell r="V650" t="str">
            <v>not neg pair</v>
          </cell>
          <cell r="W650">
            <v>0</v>
          </cell>
          <cell r="X650" t="str">
            <v>0</v>
          </cell>
        </row>
        <row r="651">
          <cell r="I651" t="str">
            <v>sim</v>
          </cell>
          <cell r="V651" t="str">
            <v>not neg pair</v>
          </cell>
          <cell r="W651">
            <v>0</v>
          </cell>
          <cell r="X651" t="str">
            <v>0</v>
          </cell>
        </row>
        <row r="652">
          <cell r="I652" t="str">
            <v>sim</v>
          </cell>
          <cell r="V652" t="str">
            <v>not neg pair</v>
          </cell>
          <cell r="W652">
            <v>0</v>
          </cell>
          <cell r="X652" t="str">
            <v>0</v>
          </cell>
        </row>
        <row r="653">
          <cell r="I653" t="str">
            <v>sim</v>
          </cell>
          <cell r="V653" t="str">
            <v>not neg pair</v>
          </cell>
          <cell r="W653">
            <v>0</v>
          </cell>
          <cell r="X653" t="str">
            <v>0</v>
          </cell>
        </row>
        <row r="654">
          <cell r="I654" t="str">
            <v>sim</v>
          </cell>
          <cell r="V654" t="str">
            <v>not neg pair</v>
          </cell>
          <cell r="W654">
            <v>0</v>
          </cell>
          <cell r="X654" t="str">
            <v>0</v>
          </cell>
        </row>
        <row r="655">
          <cell r="I655" t="str">
            <v>sim</v>
          </cell>
          <cell r="V655" t="str">
            <v>not neg pair</v>
          </cell>
          <cell r="W655">
            <v>0</v>
          </cell>
          <cell r="X655" t="str">
            <v>0</v>
          </cell>
        </row>
        <row r="656">
          <cell r="I656" t="str">
            <v>sim</v>
          </cell>
          <cell r="V656" t="str">
            <v>not neg pair</v>
          </cell>
          <cell r="W656">
            <v>0</v>
          </cell>
          <cell r="X656" t="str">
            <v>0</v>
          </cell>
        </row>
        <row r="657">
          <cell r="I657" t="str">
            <v>sim</v>
          </cell>
          <cell r="V657" t="str">
            <v>not neg pair</v>
          </cell>
          <cell r="W657">
            <v>0</v>
          </cell>
          <cell r="X657" t="str">
            <v>0</v>
          </cell>
        </row>
        <row r="658">
          <cell r="I658" t="str">
            <v>met</v>
          </cell>
          <cell r="V658" t="str">
            <v>0</v>
          </cell>
          <cell r="W658">
            <v>0</v>
          </cell>
          <cell r="X658" t="str">
            <v>0</v>
          </cell>
        </row>
        <row r="659">
          <cell r="I659" t="str">
            <v>met</v>
          </cell>
          <cell r="V659" t="str">
            <v>0</v>
          </cell>
          <cell r="W659">
            <v>0</v>
          </cell>
          <cell r="X659" t="str">
            <v>0</v>
          </cell>
        </row>
        <row r="660">
          <cell r="I660" t="str">
            <v>sim</v>
          </cell>
          <cell r="V660" t="str">
            <v>antonym</v>
          </cell>
          <cell r="W660">
            <v>1</v>
          </cell>
          <cell r="X660" t="str">
            <v>intens</v>
          </cell>
        </row>
        <row r="661">
          <cell r="I661" t="str">
            <v>sim</v>
          </cell>
          <cell r="V661" t="str">
            <v>antonym</v>
          </cell>
          <cell r="W661">
            <v>1</v>
          </cell>
          <cell r="X661" t="str">
            <v>neg</v>
          </cell>
        </row>
        <row r="662">
          <cell r="I662" t="str">
            <v>sim</v>
          </cell>
          <cell r="V662" t="str">
            <v>not</v>
          </cell>
          <cell r="W662">
            <v>1</v>
          </cell>
          <cell r="X662" t="str">
            <v>intens</v>
          </cell>
        </row>
        <row r="663">
          <cell r="I663" t="str">
            <v>sim</v>
          </cell>
          <cell r="V663" t="str">
            <v>not</v>
          </cell>
          <cell r="W663">
            <v>1</v>
          </cell>
          <cell r="X663" t="str">
            <v>neg</v>
          </cell>
        </row>
        <row r="664">
          <cell r="I664" t="str">
            <v>sim</v>
          </cell>
          <cell r="V664" t="str">
            <v>not</v>
          </cell>
          <cell r="W664">
            <v>1</v>
          </cell>
          <cell r="X664" t="str">
            <v>intens</v>
          </cell>
        </row>
        <row r="665">
          <cell r="I665" t="str">
            <v>sim</v>
          </cell>
          <cell r="V665" t="str">
            <v>not</v>
          </cell>
          <cell r="W665">
            <v>1</v>
          </cell>
          <cell r="X665" t="str">
            <v>neg</v>
          </cell>
        </row>
        <row r="666">
          <cell r="I666" t="str">
            <v>met</v>
          </cell>
          <cell r="V666" t="str">
            <v>0</v>
          </cell>
          <cell r="W666">
            <v>0</v>
          </cell>
          <cell r="X666" t="str">
            <v>0</v>
          </cell>
        </row>
        <row r="667">
          <cell r="I667" t="str">
            <v>met</v>
          </cell>
          <cell r="V667" t="str">
            <v>0</v>
          </cell>
          <cell r="W667">
            <v>0</v>
          </cell>
          <cell r="X667" t="str">
            <v>0</v>
          </cell>
        </row>
        <row r="668">
          <cell r="I668" t="str">
            <v>met</v>
          </cell>
          <cell r="V668" t="str">
            <v>0</v>
          </cell>
          <cell r="W668">
            <v>0</v>
          </cell>
          <cell r="X668" t="str">
            <v>0</v>
          </cell>
        </row>
        <row r="669">
          <cell r="I669" t="str">
            <v>met</v>
          </cell>
          <cell r="V669" t="str">
            <v>0</v>
          </cell>
          <cell r="W669">
            <v>0</v>
          </cell>
          <cell r="X669" t="str">
            <v>0</v>
          </cell>
        </row>
        <row r="670">
          <cell r="I670" t="str">
            <v>sim</v>
          </cell>
          <cell r="V670" t="str">
            <v>not neg pair</v>
          </cell>
          <cell r="W670">
            <v>0</v>
          </cell>
          <cell r="X670" t="str">
            <v>0</v>
          </cell>
        </row>
        <row r="671">
          <cell r="I671" t="str">
            <v>sim</v>
          </cell>
          <cell r="V671" t="str">
            <v>not neg pair</v>
          </cell>
          <cell r="W671">
            <v>0</v>
          </cell>
          <cell r="X671" t="str">
            <v>0</v>
          </cell>
        </row>
        <row r="672">
          <cell r="I672" t="str">
            <v>sim</v>
          </cell>
          <cell r="V672" t="str">
            <v>not neg pair</v>
          </cell>
          <cell r="W672">
            <v>0</v>
          </cell>
          <cell r="X672" t="str">
            <v>0</v>
          </cell>
        </row>
        <row r="673">
          <cell r="I673" t="str">
            <v>sim</v>
          </cell>
          <cell r="V673" t="str">
            <v>not neg pair</v>
          </cell>
          <cell r="W673">
            <v>0</v>
          </cell>
          <cell r="X673" t="str">
            <v>0</v>
          </cell>
        </row>
        <row r="674">
          <cell r="I674" t="str">
            <v>sim</v>
          </cell>
          <cell r="V674" t="str">
            <v>not neg pair</v>
          </cell>
          <cell r="W674">
            <v>0</v>
          </cell>
          <cell r="X674" t="str">
            <v>0</v>
          </cell>
        </row>
        <row r="675">
          <cell r="I675" t="str">
            <v>sim</v>
          </cell>
          <cell r="V675" t="str">
            <v>not neg pair</v>
          </cell>
          <cell r="W675">
            <v>0</v>
          </cell>
          <cell r="X675" t="str">
            <v>0</v>
          </cell>
        </row>
        <row r="676">
          <cell r="I676" t="str">
            <v>sim</v>
          </cell>
          <cell r="V676" t="str">
            <v>not neg pair</v>
          </cell>
          <cell r="W676">
            <v>0</v>
          </cell>
          <cell r="X676" t="str">
            <v>0</v>
          </cell>
        </row>
        <row r="677">
          <cell r="I677" t="str">
            <v>sim</v>
          </cell>
          <cell r="V677" t="str">
            <v>not neg pair</v>
          </cell>
          <cell r="W677">
            <v>0</v>
          </cell>
          <cell r="X677" t="str">
            <v>0</v>
          </cell>
        </row>
        <row r="678">
          <cell r="I678" t="str">
            <v>sim</v>
          </cell>
          <cell r="V678" t="str">
            <v>not neg pair</v>
          </cell>
          <cell r="W678">
            <v>0</v>
          </cell>
          <cell r="X678" t="str">
            <v>0</v>
          </cell>
        </row>
        <row r="679">
          <cell r="I679" t="str">
            <v>sim</v>
          </cell>
          <cell r="V679" t="str">
            <v>not neg pair</v>
          </cell>
          <cell r="W679">
            <v>0</v>
          </cell>
          <cell r="X679" t="str">
            <v>0</v>
          </cell>
        </row>
        <row r="680">
          <cell r="I680" t="str">
            <v>sim</v>
          </cell>
          <cell r="V680" t="str">
            <v>not neg pair</v>
          </cell>
          <cell r="W680">
            <v>0</v>
          </cell>
          <cell r="X680" t="str">
            <v>0</v>
          </cell>
        </row>
        <row r="681">
          <cell r="I681" t="str">
            <v>sim</v>
          </cell>
          <cell r="V681" t="str">
            <v>not neg pair</v>
          </cell>
          <cell r="W681">
            <v>0</v>
          </cell>
          <cell r="X681" t="str">
            <v>0</v>
          </cell>
        </row>
        <row r="682">
          <cell r="I682" t="str">
            <v>met</v>
          </cell>
          <cell r="V682" t="str">
            <v>0</v>
          </cell>
          <cell r="W682">
            <v>0</v>
          </cell>
          <cell r="X682" t="str">
            <v>0</v>
          </cell>
        </row>
        <row r="683">
          <cell r="I683" t="str">
            <v>met</v>
          </cell>
          <cell r="V683" t="str">
            <v>0</v>
          </cell>
          <cell r="W683">
            <v>0</v>
          </cell>
          <cell r="X683" t="str">
            <v>0</v>
          </cell>
        </row>
        <row r="684">
          <cell r="I684" t="str">
            <v>met</v>
          </cell>
          <cell r="V684" t="str">
            <v>0</v>
          </cell>
          <cell r="W684">
            <v>0</v>
          </cell>
          <cell r="X684" t="str">
            <v>0</v>
          </cell>
        </row>
        <row r="685">
          <cell r="I685" t="str">
            <v>met</v>
          </cell>
          <cell r="V685" t="str">
            <v>0</v>
          </cell>
          <cell r="W685">
            <v>0</v>
          </cell>
          <cell r="X685" t="str">
            <v>0</v>
          </cell>
        </row>
        <row r="686">
          <cell r="I686" t="str">
            <v>sim</v>
          </cell>
          <cell r="V686" t="str">
            <v>not neg pair</v>
          </cell>
          <cell r="W686">
            <v>0</v>
          </cell>
          <cell r="X686" t="str">
            <v>0</v>
          </cell>
        </row>
        <row r="687">
          <cell r="I687" t="str">
            <v>sim</v>
          </cell>
          <cell r="V687" t="str">
            <v>not neg pair</v>
          </cell>
          <cell r="W687">
            <v>0</v>
          </cell>
          <cell r="X687" t="str">
            <v>0</v>
          </cell>
        </row>
        <row r="688">
          <cell r="I688" t="str">
            <v>sim</v>
          </cell>
          <cell r="V688" t="str">
            <v>not</v>
          </cell>
          <cell r="W688">
            <v>1</v>
          </cell>
          <cell r="X688" t="str">
            <v>intens</v>
          </cell>
        </row>
        <row r="689">
          <cell r="I689" t="str">
            <v>sim</v>
          </cell>
          <cell r="V689" t="str">
            <v>not</v>
          </cell>
          <cell r="W689">
            <v>1</v>
          </cell>
          <cell r="X689" t="str">
            <v>neg</v>
          </cell>
        </row>
        <row r="690">
          <cell r="I690" t="str">
            <v>sim</v>
          </cell>
          <cell r="V690" t="str">
            <v>not neg pair</v>
          </cell>
          <cell r="W690">
            <v>0</v>
          </cell>
          <cell r="X690" t="str">
            <v>0</v>
          </cell>
        </row>
        <row r="691">
          <cell r="I691" t="str">
            <v>sim</v>
          </cell>
          <cell r="V691" t="str">
            <v>not neg pair</v>
          </cell>
          <cell r="W691">
            <v>0</v>
          </cell>
          <cell r="X691" t="str">
            <v>0</v>
          </cell>
        </row>
        <row r="692">
          <cell r="I692" t="str">
            <v>sim</v>
          </cell>
          <cell r="V692" t="str">
            <v>not neg pair</v>
          </cell>
          <cell r="W692">
            <v>0</v>
          </cell>
          <cell r="X692" t="str">
            <v>0</v>
          </cell>
        </row>
        <row r="693">
          <cell r="I693" t="str">
            <v>sim</v>
          </cell>
          <cell r="V693" t="str">
            <v>not neg pair</v>
          </cell>
          <cell r="W693">
            <v>0</v>
          </cell>
          <cell r="X693" t="str">
            <v>0</v>
          </cell>
        </row>
        <row r="694">
          <cell r="I694" t="str">
            <v>sim</v>
          </cell>
          <cell r="V694" t="str">
            <v>not neg pair</v>
          </cell>
          <cell r="W694">
            <v>0</v>
          </cell>
          <cell r="X694" t="str">
            <v>0</v>
          </cell>
        </row>
        <row r="695">
          <cell r="I695" t="str">
            <v>sim</v>
          </cell>
          <cell r="V695" t="str">
            <v>not neg pair</v>
          </cell>
          <cell r="W695">
            <v>0</v>
          </cell>
          <cell r="X695" t="str">
            <v>0</v>
          </cell>
        </row>
        <row r="696">
          <cell r="I696" t="str">
            <v>sim</v>
          </cell>
          <cell r="V696" t="str">
            <v>not</v>
          </cell>
          <cell r="W696">
            <v>1</v>
          </cell>
          <cell r="X696" t="str">
            <v>intens</v>
          </cell>
        </row>
        <row r="697">
          <cell r="I697" t="str">
            <v>sim</v>
          </cell>
          <cell r="V697" t="str">
            <v>not</v>
          </cell>
          <cell r="W697">
            <v>1</v>
          </cell>
          <cell r="X697" t="str">
            <v>neg</v>
          </cell>
        </row>
        <row r="698">
          <cell r="I698" t="str">
            <v>sim</v>
          </cell>
          <cell r="V698" t="str">
            <v>antonym</v>
          </cell>
          <cell r="W698">
            <v>1</v>
          </cell>
          <cell r="X698" t="str">
            <v>intens</v>
          </cell>
        </row>
        <row r="699">
          <cell r="I699" t="str">
            <v>sim</v>
          </cell>
          <cell r="V699" t="str">
            <v>antonym</v>
          </cell>
          <cell r="W699">
            <v>1</v>
          </cell>
          <cell r="X699" t="str">
            <v>neg</v>
          </cell>
        </row>
        <row r="700">
          <cell r="I700" t="str">
            <v>sim</v>
          </cell>
          <cell r="V700" t="str">
            <v>not neg pair</v>
          </cell>
          <cell r="W700">
            <v>0</v>
          </cell>
          <cell r="X700" t="str">
            <v>0</v>
          </cell>
        </row>
        <row r="701">
          <cell r="I701" t="str">
            <v>sim</v>
          </cell>
          <cell r="V701" t="str">
            <v>not neg pair</v>
          </cell>
          <cell r="W701">
            <v>0</v>
          </cell>
          <cell r="X701" t="str">
            <v>0</v>
          </cell>
        </row>
        <row r="702">
          <cell r="I702" t="str">
            <v>sim</v>
          </cell>
          <cell r="V702" t="str">
            <v>not neg pair</v>
          </cell>
          <cell r="W702">
            <v>0</v>
          </cell>
          <cell r="X702" t="str">
            <v>0</v>
          </cell>
        </row>
        <row r="703">
          <cell r="I703" t="str">
            <v>sim</v>
          </cell>
          <cell r="V703" t="str">
            <v>not neg pair</v>
          </cell>
          <cell r="W703">
            <v>0</v>
          </cell>
          <cell r="X703" t="str">
            <v>0</v>
          </cell>
        </row>
        <row r="704">
          <cell r="I704" t="str">
            <v>sim</v>
          </cell>
          <cell r="V704" t="str">
            <v>not</v>
          </cell>
          <cell r="W704">
            <v>1</v>
          </cell>
          <cell r="X704" t="str">
            <v>neg</v>
          </cell>
        </row>
        <row r="705">
          <cell r="I705" t="str">
            <v>sim</v>
          </cell>
          <cell r="V705" t="str">
            <v>not</v>
          </cell>
          <cell r="W705">
            <v>1</v>
          </cell>
          <cell r="X705" t="str">
            <v>intens</v>
          </cell>
        </row>
        <row r="706">
          <cell r="I706" t="str">
            <v>met</v>
          </cell>
          <cell r="V706" t="str">
            <v>0</v>
          </cell>
          <cell r="W706">
            <v>0</v>
          </cell>
          <cell r="X706" t="str">
            <v>0</v>
          </cell>
        </row>
        <row r="707">
          <cell r="I707" t="str">
            <v>met</v>
          </cell>
          <cell r="V707" t="str">
            <v>0</v>
          </cell>
          <cell r="W707">
            <v>0</v>
          </cell>
          <cell r="X707" t="str">
            <v>0</v>
          </cell>
        </row>
        <row r="708">
          <cell r="I708" t="str">
            <v>sim</v>
          </cell>
          <cell r="V708" t="str">
            <v>not neg pair</v>
          </cell>
          <cell r="W708">
            <v>0</v>
          </cell>
          <cell r="X708" t="str">
            <v>0</v>
          </cell>
        </row>
        <row r="709">
          <cell r="I709" t="str">
            <v>sim</v>
          </cell>
          <cell r="V709" t="str">
            <v>not neg pair</v>
          </cell>
          <cell r="W709">
            <v>0</v>
          </cell>
          <cell r="X709" t="str">
            <v>0</v>
          </cell>
        </row>
        <row r="710">
          <cell r="I710" t="str">
            <v>sim</v>
          </cell>
          <cell r="V710" t="str">
            <v>not neg pair</v>
          </cell>
          <cell r="W710">
            <v>0</v>
          </cell>
          <cell r="X710" t="str">
            <v>0</v>
          </cell>
        </row>
        <row r="711">
          <cell r="I711" t="str">
            <v>sim</v>
          </cell>
          <cell r="V711" t="str">
            <v>not neg pair</v>
          </cell>
          <cell r="W711">
            <v>0</v>
          </cell>
          <cell r="X711" t="str">
            <v>0</v>
          </cell>
        </row>
        <row r="712">
          <cell r="I712" t="str">
            <v>sim</v>
          </cell>
          <cell r="V712" t="str">
            <v>not neg pair</v>
          </cell>
          <cell r="W712">
            <v>0</v>
          </cell>
          <cell r="X712" t="str">
            <v>0</v>
          </cell>
        </row>
        <row r="713">
          <cell r="I713" t="str">
            <v>sim</v>
          </cell>
          <cell r="V713" t="str">
            <v>not neg pair</v>
          </cell>
          <cell r="W713">
            <v>0</v>
          </cell>
          <cell r="X713" t="str">
            <v>0</v>
          </cell>
        </row>
        <row r="714">
          <cell r="I714" t="str">
            <v>sim</v>
          </cell>
          <cell r="V714" t="str">
            <v>not</v>
          </cell>
          <cell r="W714">
            <v>1</v>
          </cell>
          <cell r="X714" t="str">
            <v>intens</v>
          </cell>
        </row>
        <row r="715">
          <cell r="I715" t="str">
            <v>sim</v>
          </cell>
          <cell r="V715" t="str">
            <v>not</v>
          </cell>
          <cell r="W715">
            <v>1</v>
          </cell>
          <cell r="X715" t="str">
            <v>neg</v>
          </cell>
        </row>
        <row r="716">
          <cell r="I716" t="str">
            <v>met</v>
          </cell>
          <cell r="V716" t="str">
            <v>0</v>
          </cell>
          <cell r="W716">
            <v>0</v>
          </cell>
          <cell r="X716" t="str">
            <v>0</v>
          </cell>
        </row>
        <row r="717">
          <cell r="I717" t="str">
            <v>met</v>
          </cell>
          <cell r="V717" t="str">
            <v>0</v>
          </cell>
          <cell r="W717">
            <v>0</v>
          </cell>
          <cell r="X717" t="str">
            <v>0</v>
          </cell>
        </row>
        <row r="718">
          <cell r="I718" t="str">
            <v>sim</v>
          </cell>
          <cell r="V718" t="str">
            <v>not</v>
          </cell>
          <cell r="W718">
            <v>1</v>
          </cell>
          <cell r="X718" t="str">
            <v>neg</v>
          </cell>
        </row>
        <row r="719">
          <cell r="I719" t="str">
            <v>sim</v>
          </cell>
          <cell r="V719" t="str">
            <v>not</v>
          </cell>
          <cell r="W719">
            <v>1</v>
          </cell>
          <cell r="X719" t="str">
            <v>intens</v>
          </cell>
        </row>
        <row r="720">
          <cell r="I720" t="str">
            <v>sim</v>
          </cell>
          <cell r="V720" t="str">
            <v>not neg pair</v>
          </cell>
          <cell r="W720">
            <v>0</v>
          </cell>
          <cell r="X720" t="str">
            <v>0</v>
          </cell>
        </row>
        <row r="721">
          <cell r="I721" t="str">
            <v>sim</v>
          </cell>
          <cell r="V721" t="str">
            <v>not neg pair</v>
          </cell>
          <cell r="W721">
            <v>0</v>
          </cell>
          <cell r="X721" t="str">
            <v>0</v>
          </cell>
        </row>
        <row r="722">
          <cell r="I722" t="str">
            <v>sim</v>
          </cell>
          <cell r="V722" t="str">
            <v>antonym</v>
          </cell>
          <cell r="W722">
            <v>1</v>
          </cell>
          <cell r="X722" t="str">
            <v>intens</v>
          </cell>
        </row>
        <row r="723">
          <cell r="I723" t="str">
            <v>sim</v>
          </cell>
          <cell r="V723" t="str">
            <v>antonym</v>
          </cell>
          <cell r="W723">
            <v>1</v>
          </cell>
          <cell r="X723" t="str">
            <v>neg</v>
          </cell>
        </row>
        <row r="724">
          <cell r="I724" t="str">
            <v>sim</v>
          </cell>
          <cell r="V724" t="str">
            <v>not</v>
          </cell>
          <cell r="W724">
            <v>1</v>
          </cell>
          <cell r="X724" t="str">
            <v>intens</v>
          </cell>
        </row>
        <row r="725">
          <cell r="I725" t="str">
            <v>sim</v>
          </cell>
          <cell r="V725" t="str">
            <v>not</v>
          </cell>
          <cell r="W725">
            <v>1</v>
          </cell>
          <cell r="X725" t="str">
            <v>neg</v>
          </cell>
        </row>
        <row r="726">
          <cell r="I726" t="str">
            <v>sim</v>
          </cell>
          <cell r="V726" t="str">
            <v>antonym</v>
          </cell>
          <cell r="W726">
            <v>1</v>
          </cell>
          <cell r="X726" t="str">
            <v>intens</v>
          </cell>
        </row>
        <row r="727">
          <cell r="I727" t="str">
            <v>sim</v>
          </cell>
          <cell r="V727" t="str">
            <v>antonym</v>
          </cell>
          <cell r="W727">
            <v>1</v>
          </cell>
          <cell r="X727" t="str">
            <v>neg</v>
          </cell>
        </row>
        <row r="728">
          <cell r="I728" t="str">
            <v>sim</v>
          </cell>
          <cell r="V728" t="str">
            <v>not neg pair</v>
          </cell>
          <cell r="W728">
            <v>0</v>
          </cell>
          <cell r="X728" t="str">
            <v>0</v>
          </cell>
        </row>
        <row r="729">
          <cell r="I729" t="str">
            <v>sim</v>
          </cell>
          <cell r="V729" t="str">
            <v>not neg pair</v>
          </cell>
          <cell r="W729">
            <v>0</v>
          </cell>
          <cell r="X729" t="str">
            <v>0</v>
          </cell>
        </row>
        <row r="730">
          <cell r="I730" t="str">
            <v>met</v>
          </cell>
          <cell r="V730" t="str">
            <v>0</v>
          </cell>
          <cell r="W730">
            <v>0</v>
          </cell>
          <cell r="X730" t="str">
            <v>0</v>
          </cell>
        </row>
        <row r="731">
          <cell r="I731" t="str">
            <v>met</v>
          </cell>
          <cell r="V731" t="str">
            <v>0</v>
          </cell>
          <cell r="W731">
            <v>0</v>
          </cell>
          <cell r="X731" t="str">
            <v>0</v>
          </cell>
        </row>
        <row r="732">
          <cell r="I732" t="str">
            <v>sim</v>
          </cell>
          <cell r="V732" t="str">
            <v>not neg pair</v>
          </cell>
          <cell r="W732">
            <v>0</v>
          </cell>
          <cell r="X732" t="str">
            <v>0</v>
          </cell>
        </row>
        <row r="733">
          <cell r="I733" t="str">
            <v>sim</v>
          </cell>
          <cell r="V733" t="str">
            <v>not neg pair</v>
          </cell>
          <cell r="W733">
            <v>0</v>
          </cell>
          <cell r="X733" t="str">
            <v>0</v>
          </cell>
        </row>
        <row r="734">
          <cell r="I734" t="str">
            <v>met</v>
          </cell>
          <cell r="V734" t="str">
            <v>0</v>
          </cell>
          <cell r="W734">
            <v>0</v>
          </cell>
          <cell r="X734" t="str">
            <v>0</v>
          </cell>
        </row>
        <row r="735">
          <cell r="I735" t="str">
            <v>met</v>
          </cell>
          <cell r="V735" t="str">
            <v>0</v>
          </cell>
          <cell r="W735">
            <v>0</v>
          </cell>
          <cell r="X735" t="str">
            <v>0</v>
          </cell>
        </row>
        <row r="736">
          <cell r="I736" t="str">
            <v>met</v>
          </cell>
          <cell r="V736" t="str">
            <v>0</v>
          </cell>
          <cell r="W736">
            <v>0</v>
          </cell>
          <cell r="X736" t="str">
            <v>0</v>
          </cell>
        </row>
        <row r="737">
          <cell r="I737" t="str">
            <v>met</v>
          </cell>
          <cell r="V737" t="str">
            <v>0</v>
          </cell>
          <cell r="W737">
            <v>0</v>
          </cell>
          <cell r="X737" t="str">
            <v>0</v>
          </cell>
        </row>
        <row r="738">
          <cell r="I738" t="str">
            <v>sim</v>
          </cell>
          <cell r="V738" t="str">
            <v>not neg pair</v>
          </cell>
          <cell r="W738">
            <v>0</v>
          </cell>
          <cell r="X738" t="str">
            <v>0</v>
          </cell>
        </row>
        <row r="739">
          <cell r="I739" t="str">
            <v>sim</v>
          </cell>
          <cell r="V739" t="str">
            <v>not neg pair</v>
          </cell>
          <cell r="W739">
            <v>0</v>
          </cell>
          <cell r="X739" t="str">
            <v>0</v>
          </cell>
        </row>
        <row r="740">
          <cell r="I740" t="str">
            <v>sim</v>
          </cell>
          <cell r="V740" t="str">
            <v>not neg pair</v>
          </cell>
          <cell r="W740">
            <v>0</v>
          </cell>
          <cell r="X740" t="str">
            <v>0</v>
          </cell>
        </row>
        <row r="741">
          <cell r="I741" t="str">
            <v>sim</v>
          </cell>
          <cell r="V741" t="str">
            <v>not neg pair</v>
          </cell>
          <cell r="W741">
            <v>0</v>
          </cell>
          <cell r="X741" t="str">
            <v>0</v>
          </cell>
        </row>
        <row r="742">
          <cell r="I742" t="str">
            <v>met</v>
          </cell>
          <cell r="V742" t="str">
            <v>0</v>
          </cell>
          <cell r="W742">
            <v>0</v>
          </cell>
          <cell r="X742" t="str">
            <v>0</v>
          </cell>
        </row>
        <row r="743">
          <cell r="I743" t="str">
            <v>met</v>
          </cell>
          <cell r="V743" t="str">
            <v>0</v>
          </cell>
          <cell r="W743">
            <v>0</v>
          </cell>
          <cell r="X743" t="str">
            <v>0</v>
          </cell>
        </row>
        <row r="744">
          <cell r="I744" t="str">
            <v>sim</v>
          </cell>
          <cell r="V744" t="str">
            <v>not neg pair</v>
          </cell>
          <cell r="W744">
            <v>0</v>
          </cell>
          <cell r="X744" t="str">
            <v>0</v>
          </cell>
        </row>
        <row r="745">
          <cell r="I745" t="str">
            <v>sim</v>
          </cell>
          <cell r="V745" t="str">
            <v>not neg pair</v>
          </cell>
          <cell r="W745">
            <v>0</v>
          </cell>
          <cell r="X745" t="str">
            <v>0</v>
          </cell>
        </row>
        <row r="746">
          <cell r="I746" t="str">
            <v>sim</v>
          </cell>
          <cell r="V746" t="str">
            <v>not neg pair</v>
          </cell>
          <cell r="W746">
            <v>0</v>
          </cell>
          <cell r="X746" t="str">
            <v>0</v>
          </cell>
        </row>
        <row r="747">
          <cell r="I747" t="str">
            <v>sim</v>
          </cell>
          <cell r="V747" t="str">
            <v>not neg pair</v>
          </cell>
          <cell r="W747">
            <v>0</v>
          </cell>
          <cell r="X747" t="str">
            <v>0</v>
          </cell>
        </row>
        <row r="748">
          <cell r="I748" t="str">
            <v>sim</v>
          </cell>
          <cell r="V748" t="str">
            <v>not neg pair</v>
          </cell>
          <cell r="W748">
            <v>0</v>
          </cell>
          <cell r="X748" t="str">
            <v>0</v>
          </cell>
        </row>
        <row r="749">
          <cell r="I749" t="str">
            <v>sim</v>
          </cell>
          <cell r="V749" t="str">
            <v>not neg pair</v>
          </cell>
          <cell r="W749">
            <v>0</v>
          </cell>
          <cell r="X749" t="str">
            <v>0</v>
          </cell>
        </row>
        <row r="750">
          <cell r="I750" t="str">
            <v>sim</v>
          </cell>
          <cell r="V750" t="str">
            <v>not neg pair</v>
          </cell>
          <cell r="W750">
            <v>0</v>
          </cell>
          <cell r="X750" t="str">
            <v>0</v>
          </cell>
        </row>
        <row r="751">
          <cell r="I751" t="str">
            <v>sim</v>
          </cell>
          <cell r="V751" t="str">
            <v>not neg pair</v>
          </cell>
          <cell r="W751">
            <v>0</v>
          </cell>
          <cell r="X751" t="str">
            <v>0</v>
          </cell>
        </row>
        <row r="752">
          <cell r="I752" t="str">
            <v>sim</v>
          </cell>
          <cell r="V752" t="str">
            <v>not neg pair</v>
          </cell>
          <cell r="W752">
            <v>0</v>
          </cell>
          <cell r="X752" t="str">
            <v>0</v>
          </cell>
        </row>
        <row r="753">
          <cell r="I753" t="str">
            <v>sim</v>
          </cell>
          <cell r="V753" t="str">
            <v>not neg pair</v>
          </cell>
          <cell r="W753">
            <v>0</v>
          </cell>
          <cell r="X753" t="str">
            <v>0</v>
          </cell>
        </row>
        <row r="754">
          <cell r="I754" t="str">
            <v>sim</v>
          </cell>
          <cell r="V754" t="str">
            <v>not neg pair</v>
          </cell>
          <cell r="W754">
            <v>0</v>
          </cell>
          <cell r="X754" t="str">
            <v>0</v>
          </cell>
        </row>
        <row r="755">
          <cell r="I755" t="str">
            <v>sim</v>
          </cell>
          <cell r="V755" t="str">
            <v>not neg pair</v>
          </cell>
          <cell r="W755">
            <v>0</v>
          </cell>
          <cell r="X755" t="str">
            <v>0</v>
          </cell>
        </row>
        <row r="756">
          <cell r="I756" t="str">
            <v>sim</v>
          </cell>
          <cell r="V756" t="str">
            <v>not neg pair</v>
          </cell>
          <cell r="W756">
            <v>0</v>
          </cell>
          <cell r="X756" t="str">
            <v>0</v>
          </cell>
        </row>
        <row r="757">
          <cell r="I757" t="str">
            <v>sim</v>
          </cell>
          <cell r="V757" t="str">
            <v>not neg pair</v>
          </cell>
          <cell r="W757">
            <v>0</v>
          </cell>
          <cell r="X757" t="str">
            <v>0</v>
          </cell>
        </row>
        <row r="758">
          <cell r="I758" t="str">
            <v>sim</v>
          </cell>
          <cell r="V758" t="str">
            <v>not neg pair</v>
          </cell>
          <cell r="W758">
            <v>0</v>
          </cell>
          <cell r="X758" t="str">
            <v>0</v>
          </cell>
        </row>
        <row r="759">
          <cell r="I759" t="str">
            <v>sim</v>
          </cell>
          <cell r="V759" t="str">
            <v>not neg pair</v>
          </cell>
          <cell r="W759">
            <v>0</v>
          </cell>
          <cell r="X759" t="str">
            <v>0</v>
          </cell>
        </row>
        <row r="760">
          <cell r="I760" t="str">
            <v>sim</v>
          </cell>
          <cell r="V760" t="str">
            <v>antonym</v>
          </cell>
          <cell r="W760">
            <v>1</v>
          </cell>
          <cell r="X760" t="str">
            <v>intens</v>
          </cell>
        </row>
        <row r="761">
          <cell r="I761" t="str">
            <v>sim</v>
          </cell>
          <cell r="V761" t="str">
            <v>antonym</v>
          </cell>
          <cell r="W761">
            <v>1</v>
          </cell>
          <cell r="X761" t="str">
            <v>neg</v>
          </cell>
        </row>
        <row r="762">
          <cell r="I762" t="str">
            <v>sim</v>
          </cell>
          <cell r="V762" t="str">
            <v>not</v>
          </cell>
          <cell r="W762">
            <v>1</v>
          </cell>
          <cell r="X762" t="str">
            <v>intens</v>
          </cell>
        </row>
        <row r="763">
          <cell r="I763" t="str">
            <v>sim</v>
          </cell>
          <cell r="V763" t="str">
            <v>not</v>
          </cell>
          <cell r="W763">
            <v>1</v>
          </cell>
          <cell r="X763" t="str">
            <v>neg</v>
          </cell>
        </row>
        <row r="764">
          <cell r="I764" t="str">
            <v>sim</v>
          </cell>
          <cell r="V764" t="str">
            <v>not neg pair</v>
          </cell>
          <cell r="W764">
            <v>0</v>
          </cell>
          <cell r="X764" t="str">
            <v>0</v>
          </cell>
        </row>
        <row r="765">
          <cell r="I765" t="str">
            <v>sim</v>
          </cell>
          <cell r="V765" t="str">
            <v>not neg pair</v>
          </cell>
          <cell r="W765">
            <v>0</v>
          </cell>
          <cell r="X765" t="str">
            <v>0</v>
          </cell>
        </row>
        <row r="766">
          <cell r="I766" t="str">
            <v>sim</v>
          </cell>
          <cell r="V766" t="str">
            <v>not neg pair</v>
          </cell>
          <cell r="W766">
            <v>0</v>
          </cell>
          <cell r="X766" t="str">
            <v>0</v>
          </cell>
        </row>
        <row r="767">
          <cell r="I767" t="str">
            <v>sim</v>
          </cell>
          <cell r="V767" t="str">
            <v>not neg pair</v>
          </cell>
          <cell r="W767">
            <v>0</v>
          </cell>
          <cell r="X767" t="str">
            <v>0</v>
          </cell>
        </row>
        <row r="768">
          <cell r="I768" t="str">
            <v>sim</v>
          </cell>
          <cell r="V768" t="str">
            <v>not neg pair</v>
          </cell>
          <cell r="W768">
            <v>0</v>
          </cell>
          <cell r="X768" t="str">
            <v>0</v>
          </cell>
        </row>
        <row r="769">
          <cell r="I769" t="str">
            <v>sim</v>
          </cell>
          <cell r="V769" t="str">
            <v>not neg pair</v>
          </cell>
          <cell r="W769">
            <v>0</v>
          </cell>
          <cell r="X769" t="str">
            <v>0</v>
          </cell>
        </row>
        <row r="770">
          <cell r="I770" t="str">
            <v>met</v>
          </cell>
          <cell r="V770" t="str">
            <v>0</v>
          </cell>
          <cell r="W770">
            <v>0</v>
          </cell>
          <cell r="X770" t="str">
            <v>0</v>
          </cell>
        </row>
        <row r="771">
          <cell r="I771" t="str">
            <v>met</v>
          </cell>
          <cell r="V771" t="str">
            <v>0</v>
          </cell>
          <cell r="W771">
            <v>0</v>
          </cell>
          <cell r="X771" t="str">
            <v>0</v>
          </cell>
        </row>
        <row r="772">
          <cell r="I772" t="str">
            <v>sim</v>
          </cell>
          <cell r="V772" t="str">
            <v>antonym</v>
          </cell>
          <cell r="W772">
            <v>1</v>
          </cell>
          <cell r="X772" t="str">
            <v>intens</v>
          </cell>
        </row>
        <row r="773">
          <cell r="I773" t="str">
            <v>sim</v>
          </cell>
          <cell r="V773" t="str">
            <v>antonym</v>
          </cell>
          <cell r="W773">
            <v>1</v>
          </cell>
          <cell r="X773" t="str">
            <v>neg</v>
          </cell>
        </row>
        <row r="774">
          <cell r="I774" t="str">
            <v>sim</v>
          </cell>
          <cell r="V774" t="str">
            <v>not</v>
          </cell>
          <cell r="W774">
            <v>1</v>
          </cell>
          <cell r="X774" t="str">
            <v>intens</v>
          </cell>
        </row>
        <row r="775">
          <cell r="I775" t="str">
            <v>sim</v>
          </cell>
          <cell r="V775" t="str">
            <v>not</v>
          </cell>
          <cell r="W775">
            <v>1</v>
          </cell>
          <cell r="X775" t="str">
            <v>neg</v>
          </cell>
        </row>
        <row r="776">
          <cell r="I776" t="str">
            <v>sim</v>
          </cell>
          <cell r="V776" t="str">
            <v>not neg pair</v>
          </cell>
          <cell r="W776">
            <v>0</v>
          </cell>
          <cell r="X776" t="str">
            <v>0</v>
          </cell>
        </row>
        <row r="777">
          <cell r="I777" t="str">
            <v>sim</v>
          </cell>
          <cell r="V777" t="str">
            <v>not neg pair</v>
          </cell>
          <cell r="W777">
            <v>0</v>
          </cell>
          <cell r="X777" t="str">
            <v>0</v>
          </cell>
        </row>
        <row r="778">
          <cell r="I778" t="str">
            <v>sim</v>
          </cell>
          <cell r="V778" t="str">
            <v>not neg pair</v>
          </cell>
          <cell r="W778">
            <v>0</v>
          </cell>
          <cell r="X778" t="str">
            <v>0</v>
          </cell>
        </row>
        <row r="779">
          <cell r="I779" t="str">
            <v>sim</v>
          </cell>
          <cell r="V779" t="str">
            <v>not neg pair</v>
          </cell>
          <cell r="W779">
            <v>0</v>
          </cell>
          <cell r="X779" t="str">
            <v>0</v>
          </cell>
        </row>
        <row r="780">
          <cell r="I780" t="str">
            <v>sim</v>
          </cell>
          <cell r="V780" t="str">
            <v>not neg pair</v>
          </cell>
          <cell r="W780">
            <v>0</v>
          </cell>
          <cell r="X780" t="str">
            <v>0</v>
          </cell>
        </row>
        <row r="781">
          <cell r="I781" t="str">
            <v>sim</v>
          </cell>
          <cell r="V781" t="str">
            <v>not neg pair</v>
          </cell>
          <cell r="W781">
            <v>0</v>
          </cell>
          <cell r="X781" t="str">
            <v>0</v>
          </cell>
        </row>
        <row r="782">
          <cell r="I782" t="str">
            <v>sim</v>
          </cell>
          <cell r="V782" t="str">
            <v>not</v>
          </cell>
          <cell r="W782">
            <v>1</v>
          </cell>
          <cell r="X782" t="str">
            <v>intens</v>
          </cell>
        </row>
        <row r="783">
          <cell r="I783" t="str">
            <v>sim</v>
          </cell>
          <cell r="V783" t="str">
            <v>not</v>
          </cell>
          <cell r="W783">
            <v>1</v>
          </cell>
          <cell r="X783" t="str">
            <v>neg</v>
          </cell>
        </row>
        <row r="784">
          <cell r="I784" t="str">
            <v>sim</v>
          </cell>
          <cell r="V784" t="str">
            <v>not</v>
          </cell>
          <cell r="W784">
            <v>1</v>
          </cell>
          <cell r="X784" t="str">
            <v>neg</v>
          </cell>
        </row>
        <row r="785">
          <cell r="I785" t="str">
            <v>sim</v>
          </cell>
          <cell r="V785" t="str">
            <v>not</v>
          </cell>
          <cell r="W785">
            <v>1</v>
          </cell>
          <cell r="X785" t="str">
            <v>intens</v>
          </cell>
        </row>
        <row r="786">
          <cell r="I786" t="str">
            <v>met</v>
          </cell>
          <cell r="V786" t="str">
            <v>0</v>
          </cell>
          <cell r="W786">
            <v>0</v>
          </cell>
          <cell r="X786" t="str">
            <v>0</v>
          </cell>
        </row>
        <row r="787">
          <cell r="I787" t="str">
            <v>met</v>
          </cell>
          <cell r="V787" t="str">
            <v>0</v>
          </cell>
          <cell r="W787">
            <v>0</v>
          </cell>
          <cell r="X787" t="str">
            <v>0</v>
          </cell>
        </row>
        <row r="788">
          <cell r="I788" t="str">
            <v>sim</v>
          </cell>
          <cell r="V788" t="str">
            <v>not neg pair</v>
          </cell>
          <cell r="W788">
            <v>0</v>
          </cell>
          <cell r="X788" t="str">
            <v>0</v>
          </cell>
        </row>
        <row r="789">
          <cell r="I789" t="str">
            <v>sim</v>
          </cell>
          <cell r="V789" t="str">
            <v>not neg pair</v>
          </cell>
          <cell r="W789">
            <v>0</v>
          </cell>
          <cell r="X789" t="str">
            <v>0</v>
          </cell>
        </row>
        <row r="790">
          <cell r="I790" t="str">
            <v>met</v>
          </cell>
          <cell r="V790" t="str">
            <v>0</v>
          </cell>
          <cell r="W790">
            <v>0</v>
          </cell>
          <cell r="X790" t="str">
            <v>0</v>
          </cell>
        </row>
        <row r="791">
          <cell r="I791" t="str">
            <v>met</v>
          </cell>
          <cell r="V791" t="str">
            <v>0</v>
          </cell>
          <cell r="W791">
            <v>0</v>
          </cell>
          <cell r="X791" t="str">
            <v>0</v>
          </cell>
        </row>
        <row r="792">
          <cell r="I792" t="str">
            <v>sim</v>
          </cell>
          <cell r="V792" t="str">
            <v>antonym</v>
          </cell>
          <cell r="W792">
            <v>1</v>
          </cell>
          <cell r="X792" t="str">
            <v>neg</v>
          </cell>
        </row>
        <row r="793">
          <cell r="I793" t="str">
            <v>sim</v>
          </cell>
          <cell r="V793" t="str">
            <v>antonym</v>
          </cell>
          <cell r="W793">
            <v>1</v>
          </cell>
          <cell r="X793" t="str">
            <v>intens</v>
          </cell>
        </row>
        <row r="794">
          <cell r="I794" t="str">
            <v>sim</v>
          </cell>
          <cell r="V794" t="str">
            <v>not neg pair</v>
          </cell>
          <cell r="W794">
            <v>0</v>
          </cell>
          <cell r="X794" t="str">
            <v>0</v>
          </cell>
        </row>
        <row r="795">
          <cell r="I795" t="str">
            <v>sim</v>
          </cell>
          <cell r="V795" t="str">
            <v>not neg pair</v>
          </cell>
          <cell r="W795">
            <v>0</v>
          </cell>
          <cell r="X795" t="str">
            <v>0</v>
          </cell>
        </row>
        <row r="796">
          <cell r="I796" t="str">
            <v>sim</v>
          </cell>
          <cell r="V796" t="str">
            <v>antonym</v>
          </cell>
          <cell r="W796">
            <v>1</v>
          </cell>
          <cell r="X796" t="str">
            <v>intens</v>
          </cell>
        </row>
        <row r="797">
          <cell r="I797" t="str">
            <v>sim</v>
          </cell>
          <cell r="V797" t="str">
            <v>antonym</v>
          </cell>
          <cell r="W797">
            <v>1</v>
          </cell>
          <cell r="X797" t="str">
            <v>neg</v>
          </cell>
        </row>
        <row r="798">
          <cell r="I798" t="str">
            <v>sim</v>
          </cell>
          <cell r="V798" t="str">
            <v>not neg pair</v>
          </cell>
          <cell r="W798">
            <v>0</v>
          </cell>
          <cell r="X798" t="str">
            <v>0</v>
          </cell>
        </row>
        <row r="799">
          <cell r="I799" t="str">
            <v>sim</v>
          </cell>
          <cell r="V799" t="str">
            <v>not neg pair</v>
          </cell>
          <cell r="W799">
            <v>0</v>
          </cell>
          <cell r="X799" t="str">
            <v>0</v>
          </cell>
        </row>
        <row r="800">
          <cell r="I800" t="str">
            <v>sim</v>
          </cell>
          <cell r="V800" t="str">
            <v>not neg pair</v>
          </cell>
          <cell r="W800">
            <v>0</v>
          </cell>
          <cell r="X800" t="str">
            <v>0</v>
          </cell>
        </row>
        <row r="801">
          <cell r="I801" t="str">
            <v>sim</v>
          </cell>
          <cell r="V801" t="str">
            <v>not neg pair</v>
          </cell>
          <cell r="W801">
            <v>0</v>
          </cell>
          <cell r="X801" t="str">
            <v>0</v>
          </cell>
        </row>
        <row r="802">
          <cell r="I802" t="str">
            <v>sim</v>
          </cell>
          <cell r="V802" t="str">
            <v>not</v>
          </cell>
          <cell r="W802">
            <v>1</v>
          </cell>
          <cell r="X802" t="str">
            <v>neg</v>
          </cell>
        </row>
        <row r="803">
          <cell r="I803" t="str">
            <v>sim</v>
          </cell>
          <cell r="V803" t="str">
            <v>not</v>
          </cell>
          <cell r="W803">
            <v>1</v>
          </cell>
          <cell r="X803" t="str">
            <v>intens</v>
          </cell>
        </row>
        <row r="804">
          <cell r="I804" t="str">
            <v>sim</v>
          </cell>
          <cell r="V804" t="str">
            <v>not neg pair</v>
          </cell>
          <cell r="W804">
            <v>0</v>
          </cell>
          <cell r="X804" t="str">
            <v>0</v>
          </cell>
        </row>
        <row r="805">
          <cell r="I805" t="str">
            <v>sim</v>
          </cell>
          <cell r="V805" t="str">
            <v>not neg pair</v>
          </cell>
          <cell r="W805">
            <v>0</v>
          </cell>
          <cell r="X805" t="str">
            <v>0</v>
          </cell>
        </row>
        <row r="806">
          <cell r="I806" t="str">
            <v>sim</v>
          </cell>
          <cell r="V806" t="str">
            <v>not neg pair</v>
          </cell>
          <cell r="W806">
            <v>0</v>
          </cell>
          <cell r="X806" t="str">
            <v>0</v>
          </cell>
        </row>
        <row r="807">
          <cell r="I807" t="str">
            <v>sim</v>
          </cell>
          <cell r="V807" t="str">
            <v>not neg pair</v>
          </cell>
          <cell r="W807">
            <v>0</v>
          </cell>
          <cell r="X807" t="str">
            <v>0</v>
          </cell>
        </row>
        <row r="808">
          <cell r="I808" t="str">
            <v>sim</v>
          </cell>
          <cell r="V808" t="str">
            <v>not neg pair</v>
          </cell>
          <cell r="W808">
            <v>0</v>
          </cell>
          <cell r="X808" t="str">
            <v>0</v>
          </cell>
        </row>
        <row r="809">
          <cell r="I809" t="str">
            <v>sim</v>
          </cell>
          <cell r="V809" t="str">
            <v>not neg pair</v>
          </cell>
          <cell r="W809">
            <v>0</v>
          </cell>
          <cell r="X809" t="str">
            <v>0</v>
          </cell>
        </row>
        <row r="810">
          <cell r="I810" t="str">
            <v>sim</v>
          </cell>
          <cell r="V810" t="str">
            <v>not neg pair</v>
          </cell>
          <cell r="W810">
            <v>0</v>
          </cell>
          <cell r="X810" t="str">
            <v>0</v>
          </cell>
        </row>
        <row r="811">
          <cell r="I811" t="str">
            <v>sim</v>
          </cell>
          <cell r="V811" t="str">
            <v>not neg pair</v>
          </cell>
          <cell r="W811">
            <v>0</v>
          </cell>
          <cell r="X811" t="str">
            <v>0</v>
          </cell>
        </row>
        <row r="812">
          <cell r="I812" t="str">
            <v>met</v>
          </cell>
          <cell r="V812" t="str">
            <v>0</v>
          </cell>
          <cell r="W812">
            <v>0</v>
          </cell>
          <cell r="X812" t="str">
            <v>0</v>
          </cell>
        </row>
        <row r="813">
          <cell r="I813" t="str">
            <v>met</v>
          </cell>
          <cell r="V813" t="str">
            <v>0</v>
          </cell>
          <cell r="W813">
            <v>0</v>
          </cell>
          <cell r="X813" t="str">
            <v>0</v>
          </cell>
        </row>
        <row r="814">
          <cell r="I814" t="str">
            <v>sim</v>
          </cell>
          <cell r="V814" t="str">
            <v>not neg pair</v>
          </cell>
          <cell r="W814">
            <v>0</v>
          </cell>
          <cell r="X814" t="str">
            <v>0</v>
          </cell>
        </row>
        <row r="815">
          <cell r="I815" t="str">
            <v>sim</v>
          </cell>
          <cell r="V815" t="str">
            <v>not neg pair</v>
          </cell>
          <cell r="W815">
            <v>0</v>
          </cell>
          <cell r="X815" t="str">
            <v>0</v>
          </cell>
        </row>
        <row r="816">
          <cell r="I816" t="str">
            <v>sim</v>
          </cell>
          <cell r="V816" t="str">
            <v>antonym</v>
          </cell>
          <cell r="W816">
            <v>1</v>
          </cell>
          <cell r="X816" t="str">
            <v>intens</v>
          </cell>
        </row>
        <row r="817">
          <cell r="I817" t="str">
            <v>sim</v>
          </cell>
          <cell r="V817" t="str">
            <v>antonym</v>
          </cell>
          <cell r="W817">
            <v>1</v>
          </cell>
          <cell r="X817" t="str">
            <v>neg</v>
          </cell>
        </row>
        <row r="818">
          <cell r="I818" t="str">
            <v>sim</v>
          </cell>
          <cell r="V818" t="str">
            <v>not</v>
          </cell>
          <cell r="W818">
            <v>1</v>
          </cell>
          <cell r="X818" t="str">
            <v>intens</v>
          </cell>
        </row>
        <row r="819">
          <cell r="I819" t="str">
            <v>sim</v>
          </cell>
          <cell r="V819" t="str">
            <v>not</v>
          </cell>
          <cell r="W819">
            <v>1</v>
          </cell>
          <cell r="X819" t="str">
            <v>neg</v>
          </cell>
        </row>
        <row r="820">
          <cell r="I820" t="str">
            <v>sim</v>
          </cell>
          <cell r="V820" t="str">
            <v>not</v>
          </cell>
          <cell r="W820">
            <v>1</v>
          </cell>
          <cell r="X820" t="str">
            <v>neg</v>
          </cell>
        </row>
        <row r="821">
          <cell r="I821" t="str">
            <v>sim</v>
          </cell>
          <cell r="V821" t="str">
            <v>not</v>
          </cell>
          <cell r="W821">
            <v>1</v>
          </cell>
          <cell r="X821" t="str">
            <v>intens</v>
          </cell>
        </row>
        <row r="822">
          <cell r="I822" t="str">
            <v>sim</v>
          </cell>
          <cell r="V822" t="str">
            <v>not</v>
          </cell>
          <cell r="W822">
            <v>1</v>
          </cell>
          <cell r="X822" t="str">
            <v>intens</v>
          </cell>
        </row>
        <row r="823">
          <cell r="I823" t="str">
            <v>sim</v>
          </cell>
          <cell r="V823" t="str">
            <v>not</v>
          </cell>
          <cell r="W823">
            <v>1</v>
          </cell>
          <cell r="X823" t="str">
            <v>neg</v>
          </cell>
        </row>
        <row r="824">
          <cell r="I824" t="str">
            <v>sim</v>
          </cell>
          <cell r="V824" t="str">
            <v>not neg pair</v>
          </cell>
          <cell r="W824">
            <v>0</v>
          </cell>
          <cell r="X824" t="str">
            <v>0</v>
          </cell>
        </row>
        <row r="825">
          <cell r="I825" t="str">
            <v>sim</v>
          </cell>
          <cell r="V825" t="str">
            <v>not neg pair</v>
          </cell>
          <cell r="W825">
            <v>0</v>
          </cell>
          <cell r="X825" t="str">
            <v>0</v>
          </cell>
        </row>
        <row r="826">
          <cell r="I826" t="str">
            <v>sim</v>
          </cell>
          <cell r="V826" t="str">
            <v>not neg pair</v>
          </cell>
          <cell r="W826">
            <v>0</v>
          </cell>
          <cell r="X826" t="str">
            <v>0</v>
          </cell>
        </row>
        <row r="827">
          <cell r="I827" t="str">
            <v>sim</v>
          </cell>
          <cell r="V827" t="str">
            <v>not neg pair</v>
          </cell>
          <cell r="W827">
            <v>0</v>
          </cell>
          <cell r="X827" t="str">
            <v>0</v>
          </cell>
        </row>
        <row r="828">
          <cell r="I828" t="str">
            <v>sim</v>
          </cell>
          <cell r="V828" t="str">
            <v>not neg pair</v>
          </cell>
          <cell r="W828">
            <v>0</v>
          </cell>
          <cell r="X828" t="str">
            <v>0</v>
          </cell>
        </row>
        <row r="829">
          <cell r="I829" t="str">
            <v>sim</v>
          </cell>
          <cell r="V829" t="str">
            <v>not neg pair</v>
          </cell>
          <cell r="W829">
            <v>0</v>
          </cell>
          <cell r="X829" t="str">
            <v>0</v>
          </cell>
        </row>
        <row r="830">
          <cell r="I830" t="str">
            <v>met</v>
          </cell>
          <cell r="V830" t="str">
            <v>0</v>
          </cell>
          <cell r="W830">
            <v>0</v>
          </cell>
          <cell r="X830" t="str">
            <v>0</v>
          </cell>
        </row>
        <row r="831">
          <cell r="I831" t="str">
            <v>met</v>
          </cell>
          <cell r="V831" t="str">
            <v>0</v>
          </cell>
          <cell r="W831">
            <v>0</v>
          </cell>
          <cell r="X831" t="str">
            <v>0</v>
          </cell>
        </row>
        <row r="832">
          <cell r="I832" t="str">
            <v>sim</v>
          </cell>
          <cell r="V832" t="str">
            <v>not neg pair</v>
          </cell>
          <cell r="W832">
            <v>0</v>
          </cell>
          <cell r="X832" t="str">
            <v>0</v>
          </cell>
        </row>
        <row r="833">
          <cell r="I833" t="str">
            <v>sim</v>
          </cell>
          <cell r="V833" t="str">
            <v>not neg pair</v>
          </cell>
          <cell r="W833">
            <v>0</v>
          </cell>
          <cell r="X833" t="str">
            <v>0</v>
          </cell>
        </row>
        <row r="834">
          <cell r="I834" t="str">
            <v>sim</v>
          </cell>
          <cell r="V834" t="str">
            <v>not neg pair</v>
          </cell>
          <cell r="W834">
            <v>0</v>
          </cell>
          <cell r="X834" t="str">
            <v>0</v>
          </cell>
        </row>
        <row r="835">
          <cell r="I835" t="str">
            <v>sim</v>
          </cell>
          <cell r="V835" t="str">
            <v>not neg pair</v>
          </cell>
          <cell r="W835">
            <v>0</v>
          </cell>
          <cell r="X835" t="str">
            <v>0</v>
          </cell>
        </row>
        <row r="836">
          <cell r="I836" t="str">
            <v>sim</v>
          </cell>
          <cell r="V836" t="str">
            <v>not neg pair</v>
          </cell>
          <cell r="W836">
            <v>0</v>
          </cell>
          <cell r="X836" t="str">
            <v>0</v>
          </cell>
        </row>
        <row r="837">
          <cell r="I837" t="str">
            <v>sim</v>
          </cell>
          <cell r="V837" t="str">
            <v>not neg pair</v>
          </cell>
          <cell r="W837">
            <v>0</v>
          </cell>
          <cell r="X837" t="str">
            <v>0</v>
          </cell>
        </row>
        <row r="838">
          <cell r="I838" t="str">
            <v>sim</v>
          </cell>
          <cell r="V838" t="str">
            <v>not neg pair</v>
          </cell>
          <cell r="W838">
            <v>0</v>
          </cell>
          <cell r="X838" t="str">
            <v>0</v>
          </cell>
        </row>
        <row r="839">
          <cell r="I839" t="str">
            <v>sim</v>
          </cell>
          <cell r="V839" t="str">
            <v>not neg pair</v>
          </cell>
          <cell r="W839">
            <v>0</v>
          </cell>
          <cell r="X839" t="str">
            <v>0</v>
          </cell>
        </row>
        <row r="840">
          <cell r="I840" t="str">
            <v>sim</v>
          </cell>
          <cell r="V840" t="str">
            <v>not</v>
          </cell>
          <cell r="W840">
            <v>1</v>
          </cell>
          <cell r="X840" t="str">
            <v>intens</v>
          </cell>
        </row>
        <row r="841">
          <cell r="I841" t="str">
            <v>sim</v>
          </cell>
          <cell r="V841" t="str">
            <v>not</v>
          </cell>
          <cell r="W841">
            <v>1</v>
          </cell>
          <cell r="X841" t="str">
            <v>neg</v>
          </cell>
        </row>
        <row r="842">
          <cell r="I842" t="str">
            <v>sim</v>
          </cell>
          <cell r="V842" t="str">
            <v>0</v>
          </cell>
          <cell r="W842">
            <v>0</v>
          </cell>
          <cell r="X842" t="str">
            <v>0</v>
          </cell>
        </row>
        <row r="843">
          <cell r="I843" t="str">
            <v>met</v>
          </cell>
          <cell r="V843" t="str">
            <v>0</v>
          </cell>
          <cell r="W843">
            <v>0</v>
          </cell>
          <cell r="X843" t="str">
            <v>0</v>
          </cell>
        </row>
        <row r="844">
          <cell r="I844" t="str">
            <v>sim</v>
          </cell>
          <cell r="V844" t="str">
            <v>not neg pair</v>
          </cell>
          <cell r="W844">
            <v>0</v>
          </cell>
          <cell r="X844" t="str">
            <v>0</v>
          </cell>
        </row>
        <row r="845">
          <cell r="I845" t="str">
            <v>sim</v>
          </cell>
          <cell r="V845" t="str">
            <v>not neg pair</v>
          </cell>
          <cell r="W845">
            <v>0</v>
          </cell>
          <cell r="X845" t="str">
            <v>0</v>
          </cell>
        </row>
        <row r="846">
          <cell r="I846" t="str">
            <v>sim</v>
          </cell>
          <cell r="V846" t="str">
            <v>not neg pair</v>
          </cell>
          <cell r="W846">
            <v>0</v>
          </cell>
          <cell r="X846" t="str">
            <v>0</v>
          </cell>
        </row>
        <row r="847">
          <cell r="I847" t="str">
            <v>sim</v>
          </cell>
          <cell r="V847" t="str">
            <v>not neg pair</v>
          </cell>
          <cell r="W847">
            <v>0</v>
          </cell>
          <cell r="X847" t="str">
            <v>0</v>
          </cell>
        </row>
        <row r="848">
          <cell r="I848" t="str">
            <v>sim</v>
          </cell>
          <cell r="V848" t="str">
            <v>not neg pair</v>
          </cell>
          <cell r="W848">
            <v>0</v>
          </cell>
          <cell r="X848" t="str">
            <v>0</v>
          </cell>
        </row>
        <row r="849">
          <cell r="I849" t="str">
            <v>sim</v>
          </cell>
          <cell r="V849" t="str">
            <v>not neg pair</v>
          </cell>
          <cell r="W849">
            <v>0</v>
          </cell>
          <cell r="X849" t="str">
            <v>0</v>
          </cell>
        </row>
        <row r="850">
          <cell r="I850" t="str">
            <v>sim</v>
          </cell>
          <cell r="V850" t="str">
            <v>not neg pair</v>
          </cell>
          <cell r="W850">
            <v>0</v>
          </cell>
          <cell r="X850" t="str">
            <v>0</v>
          </cell>
        </row>
        <row r="851">
          <cell r="I851" t="str">
            <v>sim</v>
          </cell>
          <cell r="V851" t="str">
            <v>not neg pair</v>
          </cell>
          <cell r="W851">
            <v>0</v>
          </cell>
          <cell r="X851" t="str">
            <v>0</v>
          </cell>
        </row>
        <row r="852">
          <cell r="I852" t="str">
            <v>sim</v>
          </cell>
          <cell r="V852" t="str">
            <v>not neg pair</v>
          </cell>
          <cell r="W852">
            <v>0</v>
          </cell>
          <cell r="X852" t="str">
            <v>0</v>
          </cell>
        </row>
        <row r="853">
          <cell r="I853" t="str">
            <v>sim</v>
          </cell>
          <cell r="V853" t="str">
            <v>not neg pair</v>
          </cell>
          <cell r="W853">
            <v>0</v>
          </cell>
          <cell r="X853" t="str">
            <v>0</v>
          </cell>
        </row>
        <row r="854">
          <cell r="I854" t="str">
            <v>sim</v>
          </cell>
          <cell r="V854" t="str">
            <v>not neg pair</v>
          </cell>
          <cell r="W854">
            <v>0</v>
          </cell>
          <cell r="X854" t="str">
            <v>0</v>
          </cell>
        </row>
        <row r="855">
          <cell r="I855" t="str">
            <v>sim</v>
          </cell>
          <cell r="V855" t="str">
            <v>not neg pair</v>
          </cell>
          <cell r="W855">
            <v>0</v>
          </cell>
          <cell r="X855" t="str">
            <v>0</v>
          </cell>
        </row>
        <row r="856">
          <cell r="I856" t="str">
            <v>sim</v>
          </cell>
          <cell r="V856" t="str">
            <v>not</v>
          </cell>
          <cell r="W856">
            <v>1</v>
          </cell>
          <cell r="X856" t="str">
            <v>neg</v>
          </cell>
        </row>
        <row r="857">
          <cell r="I857" t="str">
            <v>sim</v>
          </cell>
          <cell r="V857" t="str">
            <v>not</v>
          </cell>
          <cell r="W857">
            <v>1</v>
          </cell>
          <cell r="X857" t="str">
            <v>intens</v>
          </cell>
        </row>
        <row r="858">
          <cell r="I858" t="str">
            <v>sim</v>
          </cell>
          <cell r="V858" t="str">
            <v>not</v>
          </cell>
          <cell r="W858">
            <v>1</v>
          </cell>
          <cell r="X858" t="str">
            <v>intens</v>
          </cell>
        </row>
        <row r="859">
          <cell r="I859" t="str">
            <v>sim</v>
          </cell>
          <cell r="V859" t="str">
            <v>not</v>
          </cell>
          <cell r="W859">
            <v>1</v>
          </cell>
          <cell r="X859" t="str">
            <v>neg</v>
          </cell>
        </row>
        <row r="860">
          <cell r="I860" t="str">
            <v>sim</v>
          </cell>
          <cell r="V860" t="str">
            <v>not neg pair</v>
          </cell>
          <cell r="W860">
            <v>0</v>
          </cell>
          <cell r="X860" t="str">
            <v>0</v>
          </cell>
        </row>
        <row r="861">
          <cell r="I861" t="str">
            <v>sim</v>
          </cell>
          <cell r="V861" t="str">
            <v>not neg pair</v>
          </cell>
          <cell r="W861">
            <v>0</v>
          </cell>
          <cell r="X861" t="str">
            <v>0</v>
          </cell>
        </row>
        <row r="862">
          <cell r="I862" t="str">
            <v>sim</v>
          </cell>
          <cell r="V862" t="str">
            <v>not neg pair</v>
          </cell>
          <cell r="W862">
            <v>0</v>
          </cell>
          <cell r="X862" t="str">
            <v>0</v>
          </cell>
        </row>
        <row r="863">
          <cell r="I863" t="str">
            <v>sim</v>
          </cell>
          <cell r="V863" t="str">
            <v>not neg pair</v>
          </cell>
          <cell r="W863">
            <v>0</v>
          </cell>
          <cell r="X863" t="str">
            <v>0</v>
          </cell>
        </row>
        <row r="864">
          <cell r="I864" t="str">
            <v>sim</v>
          </cell>
          <cell r="V864" t="str">
            <v>antonym</v>
          </cell>
          <cell r="W864">
            <v>1</v>
          </cell>
          <cell r="X864" t="str">
            <v>intens</v>
          </cell>
        </row>
        <row r="865">
          <cell r="I865" t="str">
            <v>sim</v>
          </cell>
          <cell r="V865" t="str">
            <v>antonym</v>
          </cell>
          <cell r="W865">
            <v>1</v>
          </cell>
          <cell r="X865" t="str">
            <v>neg</v>
          </cell>
        </row>
        <row r="866">
          <cell r="I866" t="str">
            <v>met</v>
          </cell>
          <cell r="V866" t="str">
            <v>0</v>
          </cell>
          <cell r="W866">
            <v>0</v>
          </cell>
          <cell r="X866" t="str">
            <v>0</v>
          </cell>
        </row>
        <row r="867">
          <cell r="I867" t="str">
            <v>met</v>
          </cell>
          <cell r="V867" t="str">
            <v>0</v>
          </cell>
          <cell r="W867">
            <v>0</v>
          </cell>
          <cell r="X867" t="str">
            <v>0</v>
          </cell>
        </row>
        <row r="868">
          <cell r="I868" t="str">
            <v>sim</v>
          </cell>
          <cell r="V868" t="str">
            <v>not neg pair</v>
          </cell>
          <cell r="W868">
            <v>0</v>
          </cell>
          <cell r="X868" t="str">
            <v>0</v>
          </cell>
        </row>
        <row r="869">
          <cell r="I869" t="str">
            <v>sim</v>
          </cell>
          <cell r="V869" t="str">
            <v>not neg pair</v>
          </cell>
          <cell r="W869">
            <v>0</v>
          </cell>
          <cell r="X869" t="str">
            <v>0</v>
          </cell>
        </row>
        <row r="870">
          <cell r="I870" t="str">
            <v>met</v>
          </cell>
          <cell r="V870" t="str">
            <v>0</v>
          </cell>
          <cell r="W870">
            <v>0</v>
          </cell>
          <cell r="X870" t="str">
            <v>0</v>
          </cell>
        </row>
        <row r="871">
          <cell r="I871" t="str">
            <v>met</v>
          </cell>
          <cell r="V871" t="str">
            <v>0</v>
          </cell>
          <cell r="W871">
            <v>0</v>
          </cell>
          <cell r="X871" t="str">
            <v>0</v>
          </cell>
        </row>
        <row r="872">
          <cell r="I872" t="str">
            <v>sim</v>
          </cell>
          <cell r="V872" t="str">
            <v>antonym</v>
          </cell>
          <cell r="W872">
            <v>1</v>
          </cell>
          <cell r="X872" t="str">
            <v>intens</v>
          </cell>
        </row>
        <row r="873">
          <cell r="I873" t="str">
            <v>sim</v>
          </cell>
          <cell r="V873" t="str">
            <v>antonym</v>
          </cell>
          <cell r="W873">
            <v>1</v>
          </cell>
          <cell r="X873" t="str">
            <v>neg</v>
          </cell>
        </row>
        <row r="874">
          <cell r="I874" t="str">
            <v>sim</v>
          </cell>
          <cell r="V874" t="str">
            <v>not</v>
          </cell>
          <cell r="W874">
            <v>1</v>
          </cell>
          <cell r="X874" t="str">
            <v>intens</v>
          </cell>
        </row>
        <row r="875">
          <cell r="I875" t="str">
            <v>sim</v>
          </cell>
          <cell r="V875" t="str">
            <v>not</v>
          </cell>
          <cell r="W875">
            <v>1</v>
          </cell>
          <cell r="X875" t="str">
            <v>neg</v>
          </cell>
        </row>
        <row r="876">
          <cell r="I876" t="str">
            <v>sim</v>
          </cell>
          <cell r="V876" t="str">
            <v>not neg pair</v>
          </cell>
          <cell r="W876">
            <v>0</v>
          </cell>
          <cell r="X876" t="str">
            <v>0</v>
          </cell>
        </row>
        <row r="877">
          <cell r="I877" t="str">
            <v>sim</v>
          </cell>
          <cell r="V877" t="str">
            <v>not neg pair</v>
          </cell>
          <cell r="W877">
            <v>0</v>
          </cell>
          <cell r="X877" t="str">
            <v>0</v>
          </cell>
        </row>
        <row r="878">
          <cell r="I878" t="str">
            <v>sim</v>
          </cell>
          <cell r="V878" t="str">
            <v>not</v>
          </cell>
          <cell r="W878">
            <v>1</v>
          </cell>
          <cell r="X878" t="str">
            <v>intens</v>
          </cell>
        </row>
        <row r="879">
          <cell r="I879" t="str">
            <v>sim</v>
          </cell>
          <cell r="V879" t="str">
            <v>not</v>
          </cell>
          <cell r="W879">
            <v>1</v>
          </cell>
          <cell r="X879" t="str">
            <v>neg</v>
          </cell>
        </row>
        <row r="880">
          <cell r="I880" t="str">
            <v>sim</v>
          </cell>
          <cell r="V880" t="str">
            <v>antonym</v>
          </cell>
          <cell r="W880">
            <v>1</v>
          </cell>
          <cell r="X880" t="str">
            <v>intens</v>
          </cell>
        </row>
        <row r="881">
          <cell r="I881" t="str">
            <v>sim</v>
          </cell>
          <cell r="V881" t="str">
            <v>antonym</v>
          </cell>
          <cell r="W881">
            <v>1</v>
          </cell>
          <cell r="X881" t="str">
            <v>neg</v>
          </cell>
        </row>
        <row r="882">
          <cell r="I882" t="str">
            <v>sim</v>
          </cell>
          <cell r="V882" t="str">
            <v>not neg pair</v>
          </cell>
          <cell r="W882">
            <v>0</v>
          </cell>
          <cell r="X882" t="str">
            <v>0</v>
          </cell>
        </row>
        <row r="883">
          <cell r="I883" t="str">
            <v>sim</v>
          </cell>
          <cell r="V883" t="str">
            <v>not neg pair</v>
          </cell>
          <cell r="W883">
            <v>0</v>
          </cell>
          <cell r="X883" t="str">
            <v>0</v>
          </cell>
        </row>
        <row r="884">
          <cell r="I884" t="str">
            <v>sim</v>
          </cell>
          <cell r="V884" t="str">
            <v>not</v>
          </cell>
          <cell r="W884">
            <v>1</v>
          </cell>
          <cell r="X884" t="str">
            <v>intens</v>
          </cell>
        </row>
        <row r="885">
          <cell r="I885" t="str">
            <v>sim</v>
          </cell>
          <cell r="V885" t="str">
            <v>not</v>
          </cell>
          <cell r="W885">
            <v>1</v>
          </cell>
          <cell r="X885" t="str">
            <v>neg</v>
          </cell>
        </row>
        <row r="886">
          <cell r="I886" t="str">
            <v>sim</v>
          </cell>
          <cell r="V886" t="str">
            <v>antonym</v>
          </cell>
          <cell r="W886">
            <v>1</v>
          </cell>
          <cell r="X886" t="str">
            <v>intens</v>
          </cell>
        </row>
        <row r="887">
          <cell r="I887" t="str">
            <v>sim</v>
          </cell>
          <cell r="V887" t="str">
            <v>antonym</v>
          </cell>
          <cell r="W887">
            <v>1</v>
          </cell>
          <cell r="X887" t="str">
            <v>neg</v>
          </cell>
        </row>
        <row r="888">
          <cell r="I888" t="str">
            <v>met</v>
          </cell>
          <cell r="V888" t="str">
            <v>0</v>
          </cell>
          <cell r="W888">
            <v>0</v>
          </cell>
          <cell r="X888" t="str">
            <v>0</v>
          </cell>
        </row>
        <row r="889">
          <cell r="I889" t="str">
            <v>met</v>
          </cell>
          <cell r="V889" t="str">
            <v>0</v>
          </cell>
          <cell r="W889">
            <v>0</v>
          </cell>
          <cell r="X889" t="str">
            <v>0</v>
          </cell>
        </row>
        <row r="890">
          <cell r="I890" t="str">
            <v>sim</v>
          </cell>
          <cell r="V890" t="str">
            <v>not neg pair</v>
          </cell>
          <cell r="W890">
            <v>0</v>
          </cell>
          <cell r="X890" t="str">
            <v>0</v>
          </cell>
        </row>
        <row r="891">
          <cell r="I891" t="str">
            <v>sim</v>
          </cell>
          <cell r="V891" t="str">
            <v>not neg pair</v>
          </cell>
          <cell r="W891">
            <v>0</v>
          </cell>
          <cell r="X891" t="str">
            <v>0</v>
          </cell>
        </row>
        <row r="892">
          <cell r="I892" t="str">
            <v>sim</v>
          </cell>
          <cell r="V892" t="str">
            <v>not</v>
          </cell>
          <cell r="W892">
            <v>1</v>
          </cell>
          <cell r="X892" t="str">
            <v>intens</v>
          </cell>
        </row>
        <row r="893">
          <cell r="I893" t="str">
            <v>sim</v>
          </cell>
          <cell r="V893" t="str">
            <v>not</v>
          </cell>
          <cell r="W893">
            <v>1</v>
          </cell>
          <cell r="X893" t="str">
            <v>neg</v>
          </cell>
        </row>
        <row r="894">
          <cell r="I894" t="str">
            <v>met</v>
          </cell>
          <cell r="V894" t="str">
            <v>0</v>
          </cell>
          <cell r="W894">
            <v>0</v>
          </cell>
          <cell r="X894" t="str">
            <v>0</v>
          </cell>
        </row>
        <row r="895">
          <cell r="I895" t="str">
            <v>met</v>
          </cell>
          <cell r="V895" t="str">
            <v>0</v>
          </cell>
          <cell r="W895">
            <v>0</v>
          </cell>
          <cell r="X895" t="str">
            <v>0</v>
          </cell>
        </row>
        <row r="896">
          <cell r="I896" t="str">
            <v>sim</v>
          </cell>
          <cell r="V896" t="str">
            <v>not neg pair</v>
          </cell>
          <cell r="W896">
            <v>0</v>
          </cell>
          <cell r="X896" t="str">
            <v>0</v>
          </cell>
        </row>
        <row r="897">
          <cell r="I897" t="str">
            <v>sim</v>
          </cell>
          <cell r="V897" t="str">
            <v>not neg pair</v>
          </cell>
          <cell r="W897">
            <v>0</v>
          </cell>
          <cell r="X897" t="str">
            <v>0</v>
          </cell>
        </row>
        <row r="898">
          <cell r="I898" t="str">
            <v>sim</v>
          </cell>
          <cell r="V898" t="str">
            <v>not</v>
          </cell>
          <cell r="W898">
            <v>1</v>
          </cell>
          <cell r="X898" t="str">
            <v>intens</v>
          </cell>
        </row>
        <row r="899">
          <cell r="I899" t="str">
            <v>sim</v>
          </cell>
          <cell r="V899" t="str">
            <v>not</v>
          </cell>
          <cell r="W899">
            <v>1</v>
          </cell>
          <cell r="X899" t="str">
            <v>neg</v>
          </cell>
        </row>
        <row r="900">
          <cell r="I900" t="str">
            <v>sim</v>
          </cell>
          <cell r="V900" t="str">
            <v>not neg pair</v>
          </cell>
          <cell r="W900">
            <v>0</v>
          </cell>
          <cell r="X900" t="str">
            <v>0</v>
          </cell>
        </row>
        <row r="901">
          <cell r="I901" t="str">
            <v>sim</v>
          </cell>
          <cell r="V901" t="str">
            <v>not neg pair</v>
          </cell>
          <cell r="W901">
            <v>0</v>
          </cell>
          <cell r="X901" t="str">
            <v>0</v>
          </cell>
        </row>
        <row r="902">
          <cell r="I902" t="str">
            <v>sim</v>
          </cell>
          <cell r="V902" t="str">
            <v>not neg pair</v>
          </cell>
          <cell r="W902">
            <v>0</v>
          </cell>
          <cell r="X902" t="str">
            <v>0</v>
          </cell>
        </row>
        <row r="903">
          <cell r="I903" t="str">
            <v>sim</v>
          </cell>
          <cell r="V903" t="str">
            <v>not neg pair</v>
          </cell>
          <cell r="W903">
            <v>0</v>
          </cell>
          <cell r="X903" t="str">
            <v>0</v>
          </cell>
        </row>
        <row r="904">
          <cell r="I904" t="str">
            <v>sim</v>
          </cell>
          <cell r="V904" t="str">
            <v>not</v>
          </cell>
          <cell r="W904">
            <v>1</v>
          </cell>
          <cell r="X904" t="str">
            <v>intens</v>
          </cell>
        </row>
        <row r="905">
          <cell r="I905" t="str">
            <v>sim</v>
          </cell>
          <cell r="V905" t="str">
            <v>not</v>
          </cell>
          <cell r="W905">
            <v>1</v>
          </cell>
          <cell r="X905" t="str">
            <v>neg</v>
          </cell>
        </row>
        <row r="906">
          <cell r="I906" t="str">
            <v>sim</v>
          </cell>
          <cell r="V906" t="str">
            <v>not neg pair</v>
          </cell>
          <cell r="W906">
            <v>0</v>
          </cell>
          <cell r="X906" t="str">
            <v>0</v>
          </cell>
        </row>
        <row r="907">
          <cell r="I907" t="str">
            <v>sim</v>
          </cell>
          <cell r="V907" t="str">
            <v>not neg pair</v>
          </cell>
          <cell r="W907">
            <v>0</v>
          </cell>
          <cell r="X907" t="str">
            <v>0</v>
          </cell>
        </row>
        <row r="908">
          <cell r="I908" t="str">
            <v>sim</v>
          </cell>
          <cell r="V908" t="str">
            <v>not neg pair</v>
          </cell>
          <cell r="W908">
            <v>0</v>
          </cell>
          <cell r="X908" t="str">
            <v>0</v>
          </cell>
        </row>
        <row r="909">
          <cell r="I909" t="str">
            <v>sim</v>
          </cell>
          <cell r="V909" t="str">
            <v>not neg pair</v>
          </cell>
          <cell r="W909">
            <v>0</v>
          </cell>
          <cell r="X909" t="str">
            <v>0</v>
          </cell>
        </row>
        <row r="910">
          <cell r="I910" t="str">
            <v>sim</v>
          </cell>
          <cell r="V910" t="str">
            <v>not neg pair</v>
          </cell>
          <cell r="W910">
            <v>0</v>
          </cell>
          <cell r="X910" t="str">
            <v>0</v>
          </cell>
        </row>
        <row r="911">
          <cell r="I911" t="str">
            <v>sim</v>
          </cell>
          <cell r="V911" t="str">
            <v>not neg pair</v>
          </cell>
          <cell r="W911">
            <v>0</v>
          </cell>
          <cell r="X911" t="str">
            <v>0</v>
          </cell>
        </row>
        <row r="912">
          <cell r="I912" t="str">
            <v>sim</v>
          </cell>
          <cell r="V912" t="str">
            <v>antonym</v>
          </cell>
          <cell r="W912">
            <v>1</v>
          </cell>
          <cell r="X912" t="str">
            <v>intens</v>
          </cell>
        </row>
        <row r="913">
          <cell r="I913" t="str">
            <v>sim</v>
          </cell>
          <cell r="V913" t="str">
            <v>antonym</v>
          </cell>
          <cell r="W913">
            <v>1</v>
          </cell>
          <cell r="X913" t="str">
            <v>neg</v>
          </cell>
        </row>
        <row r="914">
          <cell r="I914" t="str">
            <v>met</v>
          </cell>
          <cell r="V914" t="str">
            <v>0</v>
          </cell>
          <cell r="W914">
            <v>0</v>
          </cell>
          <cell r="X914" t="str">
            <v>0</v>
          </cell>
        </row>
        <row r="915">
          <cell r="I915" t="str">
            <v>met</v>
          </cell>
          <cell r="V915" t="str">
            <v>0</v>
          </cell>
          <cell r="W915">
            <v>0</v>
          </cell>
          <cell r="X915" t="str">
            <v>0</v>
          </cell>
        </row>
        <row r="916">
          <cell r="I916" t="str">
            <v>sim</v>
          </cell>
          <cell r="V916" t="str">
            <v>not neg pair</v>
          </cell>
          <cell r="W916">
            <v>0</v>
          </cell>
          <cell r="X916" t="str">
            <v>0</v>
          </cell>
        </row>
        <row r="917">
          <cell r="I917" t="str">
            <v>sim</v>
          </cell>
          <cell r="V917" t="str">
            <v>not neg pair</v>
          </cell>
          <cell r="W917">
            <v>0</v>
          </cell>
          <cell r="X917" t="str">
            <v>0</v>
          </cell>
        </row>
        <row r="918">
          <cell r="I918" t="str">
            <v>sim</v>
          </cell>
          <cell r="V918" t="str">
            <v>not</v>
          </cell>
          <cell r="W918">
            <v>1</v>
          </cell>
          <cell r="X918" t="str">
            <v>intens</v>
          </cell>
        </row>
        <row r="919">
          <cell r="I919" t="str">
            <v>sim</v>
          </cell>
          <cell r="V919" t="str">
            <v>not</v>
          </cell>
          <cell r="W919">
            <v>1</v>
          </cell>
          <cell r="X919" t="str">
            <v>neg</v>
          </cell>
        </row>
        <row r="920">
          <cell r="I920" t="str">
            <v>sim</v>
          </cell>
          <cell r="V920" t="str">
            <v>not neg pair</v>
          </cell>
          <cell r="W920">
            <v>0</v>
          </cell>
          <cell r="X920" t="str">
            <v>0</v>
          </cell>
        </row>
        <row r="921">
          <cell r="I921" t="str">
            <v>sim</v>
          </cell>
          <cell r="V921" t="str">
            <v>not neg pair</v>
          </cell>
          <cell r="W921">
            <v>0</v>
          </cell>
          <cell r="X921" t="str">
            <v>0</v>
          </cell>
        </row>
        <row r="922">
          <cell r="I922" t="str">
            <v>sim</v>
          </cell>
          <cell r="V922" t="str">
            <v>not neg pair</v>
          </cell>
          <cell r="W922">
            <v>0</v>
          </cell>
          <cell r="X922" t="str">
            <v>0</v>
          </cell>
        </row>
        <row r="923">
          <cell r="I923" t="str">
            <v>sim</v>
          </cell>
          <cell r="V923" t="str">
            <v>not neg pair</v>
          </cell>
          <cell r="W923">
            <v>0</v>
          </cell>
          <cell r="X923" t="str">
            <v>0</v>
          </cell>
        </row>
        <row r="924">
          <cell r="I924" t="str">
            <v>sim</v>
          </cell>
          <cell r="V924" t="str">
            <v>not neg pair</v>
          </cell>
          <cell r="W924">
            <v>0</v>
          </cell>
          <cell r="X924" t="str">
            <v>0</v>
          </cell>
        </row>
        <row r="925">
          <cell r="I925" t="str">
            <v>sim</v>
          </cell>
          <cell r="V925" t="str">
            <v>not neg pair</v>
          </cell>
          <cell r="W925">
            <v>0</v>
          </cell>
          <cell r="X925" t="str">
            <v>0</v>
          </cell>
        </row>
        <row r="926">
          <cell r="I926" t="str">
            <v>sim</v>
          </cell>
          <cell r="V926" t="str">
            <v>not neg pair</v>
          </cell>
          <cell r="W926">
            <v>0</v>
          </cell>
          <cell r="X926" t="str">
            <v>0</v>
          </cell>
        </row>
        <row r="927">
          <cell r="I927" t="str">
            <v>sim</v>
          </cell>
          <cell r="V927" t="str">
            <v>not neg pair</v>
          </cell>
          <cell r="W927">
            <v>0</v>
          </cell>
          <cell r="X927" t="str">
            <v>0</v>
          </cell>
        </row>
        <row r="928">
          <cell r="I928" t="str">
            <v>sim</v>
          </cell>
          <cell r="V928" t="str">
            <v>not neg pair</v>
          </cell>
          <cell r="W928">
            <v>0</v>
          </cell>
          <cell r="X928" t="str">
            <v>0</v>
          </cell>
        </row>
        <row r="929">
          <cell r="I929" t="str">
            <v>sim</v>
          </cell>
          <cell r="V929" t="str">
            <v>not neg pair</v>
          </cell>
          <cell r="W929">
            <v>0</v>
          </cell>
          <cell r="X929" t="str">
            <v>0</v>
          </cell>
        </row>
        <row r="930">
          <cell r="I930" t="str">
            <v>sim</v>
          </cell>
          <cell r="V930" t="str">
            <v>not neg pair</v>
          </cell>
          <cell r="W930">
            <v>0</v>
          </cell>
          <cell r="X930" t="str">
            <v>0</v>
          </cell>
        </row>
        <row r="931">
          <cell r="I931" t="str">
            <v>sim</v>
          </cell>
          <cell r="V931" t="str">
            <v>not neg pair</v>
          </cell>
          <cell r="W931">
            <v>0</v>
          </cell>
          <cell r="X931" t="str">
            <v>0</v>
          </cell>
        </row>
        <row r="932">
          <cell r="I932" t="str">
            <v>sim</v>
          </cell>
          <cell r="V932" t="str">
            <v>not neg pair</v>
          </cell>
          <cell r="W932">
            <v>0</v>
          </cell>
          <cell r="X932" t="str">
            <v>0</v>
          </cell>
        </row>
        <row r="933">
          <cell r="I933" t="str">
            <v>sim</v>
          </cell>
          <cell r="V933" t="str">
            <v>not neg pair</v>
          </cell>
          <cell r="W933">
            <v>0</v>
          </cell>
          <cell r="X933" t="str">
            <v>0</v>
          </cell>
        </row>
        <row r="934">
          <cell r="I934" t="str">
            <v>sim</v>
          </cell>
          <cell r="V934" t="str">
            <v>not neg pair</v>
          </cell>
          <cell r="W934">
            <v>0</v>
          </cell>
          <cell r="X934" t="str">
            <v>0</v>
          </cell>
        </row>
        <row r="935">
          <cell r="I935" t="str">
            <v>sim</v>
          </cell>
          <cell r="V935" t="str">
            <v>not neg pair</v>
          </cell>
          <cell r="W935">
            <v>0</v>
          </cell>
          <cell r="X935" t="str">
            <v>0</v>
          </cell>
        </row>
        <row r="936">
          <cell r="I936" t="str">
            <v>sim</v>
          </cell>
          <cell r="V936" t="str">
            <v>not neg pair</v>
          </cell>
          <cell r="W936">
            <v>0</v>
          </cell>
          <cell r="X936" t="str">
            <v>0</v>
          </cell>
        </row>
        <row r="937">
          <cell r="I937" t="str">
            <v>sim</v>
          </cell>
          <cell r="V937" t="str">
            <v>not neg pair</v>
          </cell>
          <cell r="W937">
            <v>0</v>
          </cell>
          <cell r="X937" t="str">
            <v>0</v>
          </cell>
        </row>
        <row r="938">
          <cell r="I938" t="str">
            <v>sim</v>
          </cell>
          <cell r="V938" t="str">
            <v>antonym</v>
          </cell>
          <cell r="W938">
            <v>1</v>
          </cell>
          <cell r="X938" t="str">
            <v>neg</v>
          </cell>
        </row>
        <row r="939">
          <cell r="I939" t="str">
            <v>sim</v>
          </cell>
          <cell r="V939" t="str">
            <v>antonym</v>
          </cell>
          <cell r="W939">
            <v>1</v>
          </cell>
          <cell r="X939" t="str">
            <v>intens</v>
          </cell>
        </row>
        <row r="940">
          <cell r="I940" t="str">
            <v>met</v>
          </cell>
          <cell r="V940" t="str">
            <v>0</v>
          </cell>
          <cell r="W940">
            <v>0</v>
          </cell>
          <cell r="X940" t="str">
            <v>0</v>
          </cell>
        </row>
        <row r="941">
          <cell r="I941" t="str">
            <v>met</v>
          </cell>
          <cell r="V941" t="str">
            <v>0</v>
          </cell>
          <cell r="W941">
            <v>0</v>
          </cell>
          <cell r="X941" t="str">
            <v>0</v>
          </cell>
        </row>
        <row r="942">
          <cell r="I942" t="str">
            <v>met</v>
          </cell>
          <cell r="V942" t="str">
            <v>0</v>
          </cell>
          <cell r="W942">
            <v>0</v>
          </cell>
          <cell r="X942" t="str">
            <v>0</v>
          </cell>
        </row>
        <row r="943">
          <cell r="I943" t="str">
            <v>met</v>
          </cell>
          <cell r="V943" t="str">
            <v>0</v>
          </cell>
          <cell r="W943">
            <v>0</v>
          </cell>
          <cell r="X943" t="str">
            <v>0</v>
          </cell>
        </row>
        <row r="944">
          <cell r="I944" t="str">
            <v>met</v>
          </cell>
          <cell r="V944" t="str">
            <v>0</v>
          </cell>
          <cell r="W944">
            <v>0</v>
          </cell>
          <cell r="X944" t="str">
            <v>0</v>
          </cell>
        </row>
        <row r="945">
          <cell r="I945" t="str">
            <v>met</v>
          </cell>
          <cell r="V945" t="str">
            <v>0</v>
          </cell>
          <cell r="W945">
            <v>0</v>
          </cell>
          <cell r="X945" t="str">
            <v>0</v>
          </cell>
        </row>
        <row r="946">
          <cell r="I946" t="str">
            <v>met</v>
          </cell>
          <cell r="V946" t="str">
            <v>0</v>
          </cell>
          <cell r="W946">
            <v>0</v>
          </cell>
          <cell r="X946" t="str">
            <v>0</v>
          </cell>
        </row>
        <row r="947">
          <cell r="I947" t="str">
            <v>met</v>
          </cell>
          <cell r="V947" t="str">
            <v>0</v>
          </cell>
          <cell r="W947">
            <v>0</v>
          </cell>
          <cell r="X947" t="str">
            <v>0</v>
          </cell>
        </row>
        <row r="948">
          <cell r="I948" t="str">
            <v>sim</v>
          </cell>
          <cell r="V948" t="str">
            <v>not</v>
          </cell>
          <cell r="W948">
            <v>1</v>
          </cell>
          <cell r="X948" t="str">
            <v>neg</v>
          </cell>
        </row>
        <row r="949">
          <cell r="I949" t="str">
            <v>sim</v>
          </cell>
          <cell r="V949" t="str">
            <v>not</v>
          </cell>
          <cell r="W949">
            <v>1</v>
          </cell>
          <cell r="X949" t="str">
            <v>intens</v>
          </cell>
        </row>
        <row r="950">
          <cell r="I950" t="str">
            <v>sim</v>
          </cell>
          <cell r="V950" t="str">
            <v>not neg pair</v>
          </cell>
          <cell r="W950">
            <v>0</v>
          </cell>
          <cell r="X950" t="str">
            <v>0</v>
          </cell>
        </row>
        <row r="951">
          <cell r="I951" t="str">
            <v>sim</v>
          </cell>
          <cell r="V951" t="str">
            <v>not neg pair</v>
          </cell>
          <cell r="W951">
            <v>0</v>
          </cell>
          <cell r="X951" t="str">
            <v>0</v>
          </cell>
        </row>
        <row r="952">
          <cell r="I952" t="str">
            <v>sim</v>
          </cell>
          <cell r="V952" t="str">
            <v>antonym</v>
          </cell>
          <cell r="W952">
            <v>1</v>
          </cell>
          <cell r="X952" t="str">
            <v>neg</v>
          </cell>
        </row>
        <row r="953">
          <cell r="I953" t="str">
            <v>sim</v>
          </cell>
          <cell r="V953" t="str">
            <v>antonym</v>
          </cell>
          <cell r="W953">
            <v>1</v>
          </cell>
          <cell r="X953" t="str">
            <v>intens</v>
          </cell>
        </row>
        <row r="954">
          <cell r="I954" t="str">
            <v>met</v>
          </cell>
          <cell r="V954" t="str">
            <v>0</v>
          </cell>
          <cell r="W954">
            <v>0</v>
          </cell>
          <cell r="X954" t="str">
            <v>0</v>
          </cell>
        </row>
        <row r="955">
          <cell r="I955" t="str">
            <v>met</v>
          </cell>
          <cell r="V955" t="str">
            <v>0</v>
          </cell>
          <cell r="W955">
            <v>0</v>
          </cell>
          <cell r="X955" t="str">
            <v>0</v>
          </cell>
        </row>
        <row r="956">
          <cell r="I956" t="str">
            <v>met</v>
          </cell>
          <cell r="V956" t="str">
            <v>0</v>
          </cell>
          <cell r="W956">
            <v>0</v>
          </cell>
          <cell r="X956" t="str">
            <v>0</v>
          </cell>
        </row>
        <row r="957">
          <cell r="I957" t="str">
            <v>met</v>
          </cell>
          <cell r="V957" t="str">
            <v>0</v>
          </cell>
          <cell r="W957">
            <v>0</v>
          </cell>
          <cell r="X957" t="str">
            <v>0</v>
          </cell>
        </row>
        <row r="958">
          <cell r="I958" t="str">
            <v>sim</v>
          </cell>
          <cell r="V958" t="str">
            <v>not neg pair</v>
          </cell>
          <cell r="W958">
            <v>0</v>
          </cell>
          <cell r="X958" t="str">
            <v>0</v>
          </cell>
        </row>
        <row r="959">
          <cell r="I959" t="str">
            <v>sim</v>
          </cell>
          <cell r="V959" t="str">
            <v>not neg pair</v>
          </cell>
          <cell r="W959">
            <v>0</v>
          </cell>
          <cell r="X959" t="str">
            <v>0</v>
          </cell>
        </row>
        <row r="960">
          <cell r="I960" t="str">
            <v>sim</v>
          </cell>
          <cell r="V960" t="str">
            <v>not neg pair</v>
          </cell>
          <cell r="W960">
            <v>0</v>
          </cell>
          <cell r="X960" t="str">
            <v>0</v>
          </cell>
        </row>
        <row r="961">
          <cell r="I961" t="str">
            <v>sim</v>
          </cell>
          <cell r="V961" t="str">
            <v>not neg pair</v>
          </cell>
          <cell r="W961">
            <v>0</v>
          </cell>
          <cell r="X961" t="str">
            <v>0</v>
          </cell>
        </row>
        <row r="962">
          <cell r="I962" t="str">
            <v>sim</v>
          </cell>
          <cell r="V962" t="str">
            <v>not neg pair</v>
          </cell>
          <cell r="W962">
            <v>0</v>
          </cell>
          <cell r="X962" t="str">
            <v>0</v>
          </cell>
        </row>
        <row r="963">
          <cell r="I963" t="str">
            <v>sim</v>
          </cell>
          <cell r="V963" t="str">
            <v>not neg pair</v>
          </cell>
          <cell r="W963">
            <v>0</v>
          </cell>
          <cell r="X963" t="str">
            <v>0</v>
          </cell>
        </row>
        <row r="964">
          <cell r="I964" t="str">
            <v>sim</v>
          </cell>
          <cell r="V964" t="str">
            <v>not neg pair</v>
          </cell>
          <cell r="W964">
            <v>0</v>
          </cell>
          <cell r="X964" t="str">
            <v>0</v>
          </cell>
        </row>
        <row r="965">
          <cell r="I965" t="str">
            <v>sim</v>
          </cell>
          <cell r="V965" t="str">
            <v>not neg pair</v>
          </cell>
          <cell r="W965">
            <v>0</v>
          </cell>
          <cell r="X965" t="str">
            <v>0</v>
          </cell>
        </row>
        <row r="966">
          <cell r="I966" t="str">
            <v>sim</v>
          </cell>
          <cell r="V966" t="str">
            <v>not neg pair</v>
          </cell>
          <cell r="W966">
            <v>0</v>
          </cell>
          <cell r="X966" t="str">
            <v>0</v>
          </cell>
        </row>
        <row r="967">
          <cell r="I967" t="str">
            <v>sim</v>
          </cell>
          <cell r="V967" t="str">
            <v>not neg pair</v>
          </cell>
          <cell r="W967">
            <v>0</v>
          </cell>
          <cell r="X967" t="str">
            <v>0</v>
          </cell>
        </row>
        <row r="968">
          <cell r="I968" t="str">
            <v>sim</v>
          </cell>
          <cell r="V968" t="str">
            <v>not neg pair</v>
          </cell>
          <cell r="W968">
            <v>0</v>
          </cell>
          <cell r="X968" t="str">
            <v>0</v>
          </cell>
        </row>
        <row r="969">
          <cell r="I969" t="str">
            <v>sim</v>
          </cell>
          <cell r="V969" t="str">
            <v>not neg pair</v>
          </cell>
          <cell r="W969">
            <v>0</v>
          </cell>
          <cell r="X969" t="str">
            <v>0</v>
          </cell>
        </row>
        <row r="970">
          <cell r="I970" t="str">
            <v>sim</v>
          </cell>
          <cell r="V970" t="str">
            <v>not neg pair</v>
          </cell>
          <cell r="W970">
            <v>0</v>
          </cell>
          <cell r="X970" t="str">
            <v>0</v>
          </cell>
        </row>
        <row r="971">
          <cell r="I971" t="str">
            <v>sim</v>
          </cell>
          <cell r="V971" t="str">
            <v>not neg pair</v>
          </cell>
          <cell r="W971">
            <v>0</v>
          </cell>
          <cell r="X971" t="str">
            <v>0</v>
          </cell>
        </row>
        <row r="972">
          <cell r="I972" t="str">
            <v>met</v>
          </cell>
          <cell r="V972" t="str">
            <v>0</v>
          </cell>
          <cell r="W972">
            <v>0</v>
          </cell>
          <cell r="X972" t="str">
            <v>0</v>
          </cell>
        </row>
        <row r="973">
          <cell r="I973" t="str">
            <v>met</v>
          </cell>
          <cell r="V973" t="str">
            <v>0</v>
          </cell>
          <cell r="W973">
            <v>0</v>
          </cell>
          <cell r="X973" t="str">
            <v>0</v>
          </cell>
        </row>
        <row r="974">
          <cell r="I974" t="str">
            <v>sim</v>
          </cell>
          <cell r="V974" t="str">
            <v>not neg pair</v>
          </cell>
          <cell r="W974">
            <v>0</v>
          </cell>
          <cell r="X974" t="str">
            <v>0</v>
          </cell>
        </row>
        <row r="975">
          <cell r="I975" t="str">
            <v>sim</v>
          </cell>
          <cell r="V975" t="str">
            <v>not neg pair</v>
          </cell>
          <cell r="W975">
            <v>0</v>
          </cell>
          <cell r="X975" t="str">
            <v>0</v>
          </cell>
        </row>
        <row r="976">
          <cell r="I976" t="str">
            <v>sim</v>
          </cell>
          <cell r="V976" t="str">
            <v>not neg pair</v>
          </cell>
          <cell r="W976">
            <v>0</v>
          </cell>
          <cell r="X976" t="str">
            <v>0</v>
          </cell>
        </row>
        <row r="977">
          <cell r="I977" t="str">
            <v>sim</v>
          </cell>
          <cell r="V977" t="str">
            <v>not neg pair</v>
          </cell>
          <cell r="W977">
            <v>0</v>
          </cell>
          <cell r="X977" t="str">
            <v>0</v>
          </cell>
        </row>
        <row r="978">
          <cell r="I978" t="str">
            <v>sim</v>
          </cell>
          <cell r="V978" t="str">
            <v>not neg pair</v>
          </cell>
          <cell r="W978">
            <v>0</v>
          </cell>
          <cell r="X978" t="str">
            <v>0</v>
          </cell>
        </row>
        <row r="979">
          <cell r="I979" t="str">
            <v>sim</v>
          </cell>
          <cell r="V979" t="str">
            <v>not neg pair</v>
          </cell>
          <cell r="W979">
            <v>0</v>
          </cell>
          <cell r="X979" t="str">
            <v>0</v>
          </cell>
        </row>
        <row r="980">
          <cell r="I980" t="str">
            <v>sim</v>
          </cell>
          <cell r="V980" t="str">
            <v>not neg pair</v>
          </cell>
          <cell r="W980">
            <v>0</v>
          </cell>
          <cell r="X980" t="str">
            <v>0</v>
          </cell>
        </row>
        <row r="981">
          <cell r="I981" t="str">
            <v>sim</v>
          </cell>
          <cell r="V981" t="str">
            <v>not neg pair</v>
          </cell>
          <cell r="W981">
            <v>0</v>
          </cell>
          <cell r="X981" t="str">
            <v>0</v>
          </cell>
        </row>
        <row r="982">
          <cell r="I982" t="str">
            <v>sim</v>
          </cell>
          <cell r="V982" t="str">
            <v>not neg pair</v>
          </cell>
          <cell r="W982">
            <v>0</v>
          </cell>
          <cell r="X982" t="str">
            <v>0</v>
          </cell>
        </row>
        <row r="983">
          <cell r="I983" t="str">
            <v>met</v>
          </cell>
          <cell r="V983" t="str">
            <v>0</v>
          </cell>
          <cell r="W983">
            <v>0</v>
          </cell>
          <cell r="X983" t="str">
            <v>0</v>
          </cell>
        </row>
        <row r="984">
          <cell r="I984" t="str">
            <v>met</v>
          </cell>
          <cell r="V984" t="str">
            <v>0</v>
          </cell>
          <cell r="W984">
            <v>0</v>
          </cell>
          <cell r="X984" t="str">
            <v>0</v>
          </cell>
        </row>
        <row r="985">
          <cell r="I985" t="str">
            <v>met</v>
          </cell>
          <cell r="V985" t="str">
            <v>0</v>
          </cell>
          <cell r="W985">
            <v>0</v>
          </cell>
          <cell r="X985" t="str">
            <v>0</v>
          </cell>
        </row>
        <row r="986">
          <cell r="I986" t="str">
            <v>met</v>
          </cell>
          <cell r="V986" t="str">
            <v>0</v>
          </cell>
          <cell r="W986">
            <v>0</v>
          </cell>
          <cell r="X986" t="str">
            <v>0</v>
          </cell>
        </row>
        <row r="987">
          <cell r="I987" t="str">
            <v>met</v>
          </cell>
          <cell r="V987" t="str">
            <v>0</v>
          </cell>
          <cell r="W987">
            <v>0</v>
          </cell>
          <cell r="X987" t="str">
            <v>0</v>
          </cell>
        </row>
        <row r="988">
          <cell r="I988" t="str">
            <v>met</v>
          </cell>
          <cell r="V988" t="str">
            <v>0</v>
          </cell>
          <cell r="W988">
            <v>0</v>
          </cell>
          <cell r="X988" t="str">
            <v>0</v>
          </cell>
        </row>
        <row r="989">
          <cell r="I989" t="str">
            <v>met</v>
          </cell>
          <cell r="V989" t="str">
            <v>0</v>
          </cell>
          <cell r="W989">
            <v>0</v>
          </cell>
          <cell r="X989" t="str">
            <v>0</v>
          </cell>
        </row>
        <row r="990">
          <cell r="I990" t="str">
            <v>sim</v>
          </cell>
          <cell r="V990" t="str">
            <v>not neg pair</v>
          </cell>
          <cell r="W990">
            <v>0</v>
          </cell>
          <cell r="X990" t="str">
            <v>0</v>
          </cell>
        </row>
        <row r="991">
          <cell r="I991" t="str">
            <v>sim</v>
          </cell>
          <cell r="V991" t="str">
            <v>not neg pair</v>
          </cell>
          <cell r="W991">
            <v>0</v>
          </cell>
          <cell r="X991" t="str">
            <v>0</v>
          </cell>
        </row>
        <row r="992">
          <cell r="I992" t="str">
            <v>met</v>
          </cell>
          <cell r="V992" t="str">
            <v>0</v>
          </cell>
          <cell r="W992">
            <v>0</v>
          </cell>
          <cell r="X992" t="str">
            <v>0</v>
          </cell>
        </row>
        <row r="993">
          <cell r="I993" t="str">
            <v>met</v>
          </cell>
          <cell r="V993" t="str">
            <v>0</v>
          </cell>
          <cell r="W993">
            <v>0</v>
          </cell>
          <cell r="X993" t="str">
            <v>0</v>
          </cell>
        </row>
        <row r="994">
          <cell r="I994" t="str">
            <v>sim</v>
          </cell>
          <cell r="V994" t="str">
            <v>not neg pair</v>
          </cell>
          <cell r="W994">
            <v>0</v>
          </cell>
          <cell r="X994" t="str">
            <v>0</v>
          </cell>
        </row>
        <row r="995">
          <cell r="I995" t="str">
            <v>sim</v>
          </cell>
          <cell r="V995" t="str">
            <v>not neg pair</v>
          </cell>
          <cell r="W995">
            <v>0</v>
          </cell>
          <cell r="X995" t="str">
            <v>0</v>
          </cell>
        </row>
        <row r="996">
          <cell r="I996" t="str">
            <v>sim</v>
          </cell>
          <cell r="V996" t="str">
            <v>not</v>
          </cell>
          <cell r="W996">
            <v>1</v>
          </cell>
          <cell r="X996" t="str">
            <v>intens</v>
          </cell>
        </row>
        <row r="997">
          <cell r="I997" t="str">
            <v>sim</v>
          </cell>
          <cell r="V997" t="str">
            <v>not</v>
          </cell>
          <cell r="W997">
            <v>1</v>
          </cell>
          <cell r="X997" t="str">
            <v>neg</v>
          </cell>
        </row>
        <row r="998">
          <cell r="I998" t="str">
            <v>met</v>
          </cell>
          <cell r="V998" t="str">
            <v>0</v>
          </cell>
          <cell r="W998">
            <v>0</v>
          </cell>
          <cell r="X998" t="str">
            <v>0</v>
          </cell>
        </row>
        <row r="999">
          <cell r="I999" t="str">
            <v>met</v>
          </cell>
          <cell r="V999" t="str">
            <v>0</v>
          </cell>
          <cell r="W999">
            <v>0</v>
          </cell>
          <cell r="X999" t="str">
            <v>0</v>
          </cell>
        </row>
        <row r="1000">
          <cell r="I1000" t="str">
            <v>sim</v>
          </cell>
          <cell r="V1000" t="str">
            <v>antonym</v>
          </cell>
          <cell r="W1000">
            <v>1</v>
          </cell>
          <cell r="X1000" t="str">
            <v>intens</v>
          </cell>
        </row>
        <row r="1001">
          <cell r="I1001" t="str">
            <v>sim</v>
          </cell>
          <cell r="V1001" t="str">
            <v>antonym</v>
          </cell>
          <cell r="W1001">
            <v>1</v>
          </cell>
          <cell r="X1001" t="str">
            <v>neg</v>
          </cell>
        </row>
        <row r="1002">
          <cell r="I1002" t="str">
            <v>met</v>
          </cell>
          <cell r="V1002" t="str">
            <v>0</v>
          </cell>
          <cell r="W1002">
            <v>0</v>
          </cell>
          <cell r="X1002" t="str">
            <v>0</v>
          </cell>
        </row>
        <row r="1003">
          <cell r="I1003" t="str">
            <v>met</v>
          </cell>
          <cell r="V1003" t="str">
            <v>0</v>
          </cell>
          <cell r="W1003">
            <v>0</v>
          </cell>
          <cell r="X1003" t="str">
            <v>0</v>
          </cell>
        </row>
        <row r="1004">
          <cell r="I1004" t="str">
            <v>sim</v>
          </cell>
          <cell r="V1004" t="str">
            <v>antonym</v>
          </cell>
          <cell r="W1004">
            <v>1</v>
          </cell>
          <cell r="X1004" t="str">
            <v>intens</v>
          </cell>
        </row>
        <row r="1005">
          <cell r="I1005" t="str">
            <v>sim</v>
          </cell>
          <cell r="V1005" t="str">
            <v>antonym</v>
          </cell>
          <cell r="W1005">
            <v>1</v>
          </cell>
          <cell r="X1005" t="str">
            <v>neg</v>
          </cell>
        </row>
        <row r="1006">
          <cell r="I1006" t="str">
            <v>sim</v>
          </cell>
          <cell r="V1006" t="str">
            <v>not neg pair</v>
          </cell>
          <cell r="W1006">
            <v>0</v>
          </cell>
          <cell r="X1006" t="str">
            <v>0</v>
          </cell>
        </row>
        <row r="1007">
          <cell r="I1007" t="str">
            <v>sim</v>
          </cell>
          <cell r="V1007" t="str">
            <v>not neg pair</v>
          </cell>
          <cell r="W1007">
            <v>0</v>
          </cell>
          <cell r="X1007" t="str">
            <v>0</v>
          </cell>
        </row>
        <row r="1008">
          <cell r="I1008" t="str">
            <v>met</v>
          </cell>
          <cell r="V1008" t="str">
            <v>0</v>
          </cell>
          <cell r="W1008">
            <v>0</v>
          </cell>
          <cell r="X1008" t="str">
            <v>0</v>
          </cell>
        </row>
        <row r="1009">
          <cell r="I1009" t="str">
            <v>met</v>
          </cell>
          <cell r="V1009" t="str">
            <v>0</v>
          </cell>
          <cell r="W1009">
            <v>0</v>
          </cell>
          <cell r="X1009" t="str">
            <v>0</v>
          </cell>
        </row>
        <row r="1010">
          <cell r="I1010" t="str">
            <v>sim</v>
          </cell>
          <cell r="V1010" t="str">
            <v>not neg pair</v>
          </cell>
          <cell r="W1010">
            <v>0</v>
          </cell>
          <cell r="X1010" t="str">
            <v>0</v>
          </cell>
        </row>
        <row r="1011">
          <cell r="I1011" t="str">
            <v>sim</v>
          </cell>
          <cell r="V1011" t="str">
            <v>not neg pair</v>
          </cell>
          <cell r="W1011">
            <v>0</v>
          </cell>
          <cell r="X1011" t="str">
            <v>0</v>
          </cell>
        </row>
        <row r="1012">
          <cell r="I1012" t="str">
            <v>sim</v>
          </cell>
          <cell r="V1012" t="str">
            <v>antonym</v>
          </cell>
          <cell r="W1012">
            <v>1</v>
          </cell>
          <cell r="X1012" t="str">
            <v>intens</v>
          </cell>
        </row>
        <row r="1013">
          <cell r="I1013" t="str">
            <v>sim</v>
          </cell>
          <cell r="V1013" t="str">
            <v>antonym</v>
          </cell>
          <cell r="W1013">
            <v>1</v>
          </cell>
          <cell r="X1013" t="str">
            <v>neg</v>
          </cell>
        </row>
        <row r="1014">
          <cell r="I1014" t="str">
            <v>sim</v>
          </cell>
          <cell r="V1014" t="str">
            <v>not neg pair</v>
          </cell>
          <cell r="W1014">
            <v>0</v>
          </cell>
          <cell r="X1014" t="str">
            <v>0</v>
          </cell>
        </row>
        <row r="1015">
          <cell r="I1015" t="str">
            <v>sim</v>
          </cell>
          <cell r="V1015" t="str">
            <v>not neg pair</v>
          </cell>
          <cell r="W1015">
            <v>0</v>
          </cell>
          <cell r="X1015" t="str">
            <v>0</v>
          </cell>
        </row>
        <row r="1016">
          <cell r="I1016" t="str">
            <v>met</v>
          </cell>
          <cell r="V1016" t="str">
            <v>0</v>
          </cell>
          <cell r="W1016">
            <v>0</v>
          </cell>
          <cell r="X1016" t="str">
            <v>0</v>
          </cell>
        </row>
        <row r="1017">
          <cell r="I1017" t="str">
            <v>met</v>
          </cell>
          <cell r="V1017" t="str">
            <v>0</v>
          </cell>
          <cell r="W1017">
            <v>0</v>
          </cell>
          <cell r="X1017" t="str">
            <v>0</v>
          </cell>
        </row>
        <row r="1018">
          <cell r="I1018" t="str">
            <v>sim</v>
          </cell>
          <cell r="V1018" t="str">
            <v>not neg pair</v>
          </cell>
          <cell r="W1018">
            <v>0</v>
          </cell>
          <cell r="X1018" t="str">
            <v>0</v>
          </cell>
        </row>
        <row r="1019">
          <cell r="I1019" t="str">
            <v>sim</v>
          </cell>
          <cell r="V1019" t="str">
            <v>not neg pair</v>
          </cell>
          <cell r="W1019">
            <v>0</v>
          </cell>
          <cell r="X1019" t="str">
            <v>0</v>
          </cell>
        </row>
        <row r="1020">
          <cell r="I1020" t="str">
            <v>sim</v>
          </cell>
          <cell r="V1020" t="str">
            <v>antonym</v>
          </cell>
          <cell r="W1020">
            <v>1</v>
          </cell>
          <cell r="X1020" t="str">
            <v>intens</v>
          </cell>
        </row>
        <row r="1021">
          <cell r="I1021" t="str">
            <v>sim</v>
          </cell>
          <cell r="V1021" t="str">
            <v>antonym</v>
          </cell>
          <cell r="W1021">
            <v>1</v>
          </cell>
          <cell r="X1021" t="str">
            <v>neg</v>
          </cell>
        </row>
        <row r="1022">
          <cell r="I1022" t="str">
            <v>sim</v>
          </cell>
          <cell r="V1022" t="str">
            <v>antonym</v>
          </cell>
          <cell r="W1022">
            <v>1</v>
          </cell>
          <cell r="X1022" t="str">
            <v>intens</v>
          </cell>
        </row>
        <row r="1023">
          <cell r="I1023" t="str">
            <v>sim</v>
          </cell>
          <cell r="V1023" t="str">
            <v>antonym</v>
          </cell>
          <cell r="W1023">
            <v>1</v>
          </cell>
          <cell r="X1023" t="str">
            <v>neg</v>
          </cell>
        </row>
        <row r="1024">
          <cell r="I1024" t="str">
            <v>sim</v>
          </cell>
          <cell r="V1024" t="str">
            <v>not neg pair</v>
          </cell>
          <cell r="W1024">
            <v>0</v>
          </cell>
          <cell r="X1024" t="str">
            <v>0</v>
          </cell>
        </row>
        <row r="1025">
          <cell r="I1025" t="str">
            <v>sim</v>
          </cell>
          <cell r="V1025" t="str">
            <v>not neg pair</v>
          </cell>
          <cell r="W1025">
            <v>0</v>
          </cell>
          <cell r="X1025" t="str">
            <v>0</v>
          </cell>
        </row>
        <row r="1026">
          <cell r="I1026" t="str">
            <v>sim</v>
          </cell>
          <cell r="V1026" t="str">
            <v>not neg pair</v>
          </cell>
          <cell r="W1026">
            <v>0</v>
          </cell>
          <cell r="X1026" t="str">
            <v>0</v>
          </cell>
        </row>
        <row r="1027">
          <cell r="I1027" t="str">
            <v>sim</v>
          </cell>
          <cell r="V1027" t="str">
            <v>not neg pair</v>
          </cell>
          <cell r="W1027">
            <v>0</v>
          </cell>
          <cell r="X1027" t="str">
            <v>0</v>
          </cell>
        </row>
        <row r="1028">
          <cell r="I1028" t="str">
            <v>met</v>
          </cell>
          <cell r="V1028" t="str">
            <v>0</v>
          </cell>
          <cell r="W1028">
            <v>0</v>
          </cell>
          <cell r="X1028" t="str">
            <v>0</v>
          </cell>
        </row>
        <row r="1029">
          <cell r="I1029" t="str">
            <v>met</v>
          </cell>
          <cell r="V1029" t="str">
            <v>0</v>
          </cell>
          <cell r="W1029">
            <v>0</v>
          </cell>
          <cell r="X1029" t="str">
            <v>0</v>
          </cell>
        </row>
        <row r="1030">
          <cell r="I1030" t="str">
            <v>met</v>
          </cell>
          <cell r="V1030" t="str">
            <v>0</v>
          </cell>
          <cell r="W1030">
            <v>0</v>
          </cell>
          <cell r="X1030" t="str">
            <v>0</v>
          </cell>
        </row>
        <row r="1031">
          <cell r="I1031" t="str">
            <v>met</v>
          </cell>
          <cell r="V1031" t="str">
            <v>0</v>
          </cell>
          <cell r="W1031">
            <v>0</v>
          </cell>
          <cell r="X1031" t="str">
            <v>0</v>
          </cell>
        </row>
        <row r="1032">
          <cell r="I1032" t="str">
            <v>sim</v>
          </cell>
          <cell r="V1032" t="str">
            <v>not neg pair</v>
          </cell>
          <cell r="W1032">
            <v>0</v>
          </cell>
          <cell r="X1032" t="str">
            <v>0</v>
          </cell>
        </row>
        <row r="1033">
          <cell r="I1033" t="str">
            <v>sim</v>
          </cell>
          <cell r="V1033" t="str">
            <v>not neg pair</v>
          </cell>
          <cell r="W1033">
            <v>0</v>
          </cell>
          <cell r="X1033" t="str">
            <v>0</v>
          </cell>
        </row>
        <row r="1034">
          <cell r="I1034" t="str">
            <v>sim</v>
          </cell>
          <cell r="V1034" t="str">
            <v>antonym</v>
          </cell>
          <cell r="W1034">
            <v>1</v>
          </cell>
          <cell r="X1034" t="str">
            <v>intens</v>
          </cell>
        </row>
        <row r="1035">
          <cell r="I1035" t="str">
            <v>sim</v>
          </cell>
          <cell r="V1035" t="str">
            <v>antonym</v>
          </cell>
          <cell r="W1035">
            <v>1</v>
          </cell>
          <cell r="X1035" t="str">
            <v>neg</v>
          </cell>
        </row>
        <row r="1036">
          <cell r="I1036" t="str">
            <v>sim</v>
          </cell>
          <cell r="V1036" t="str">
            <v>not neg pair</v>
          </cell>
          <cell r="W1036">
            <v>0</v>
          </cell>
          <cell r="X1036" t="str">
            <v>0</v>
          </cell>
        </row>
        <row r="1037">
          <cell r="I1037" t="str">
            <v>sim</v>
          </cell>
          <cell r="V1037" t="str">
            <v>not neg pair</v>
          </cell>
          <cell r="W1037">
            <v>0</v>
          </cell>
          <cell r="X1037" t="str">
            <v>0</v>
          </cell>
        </row>
        <row r="1038">
          <cell r="I1038" t="str">
            <v>sim</v>
          </cell>
          <cell r="V1038" t="str">
            <v>not neg pair</v>
          </cell>
          <cell r="W1038">
            <v>0</v>
          </cell>
          <cell r="X1038" t="str">
            <v>0</v>
          </cell>
        </row>
        <row r="1039">
          <cell r="I1039" t="str">
            <v>sim</v>
          </cell>
          <cell r="V1039" t="str">
            <v>not neg pair</v>
          </cell>
          <cell r="W1039">
            <v>0</v>
          </cell>
          <cell r="X1039" t="str">
            <v>0</v>
          </cell>
        </row>
        <row r="1040">
          <cell r="I1040" t="str">
            <v>sim</v>
          </cell>
          <cell r="V1040" t="str">
            <v>not</v>
          </cell>
          <cell r="W1040">
            <v>1</v>
          </cell>
          <cell r="X1040" t="str">
            <v>neg</v>
          </cell>
        </row>
        <row r="1041">
          <cell r="I1041" t="str">
            <v>sim</v>
          </cell>
          <cell r="V1041" t="str">
            <v>not</v>
          </cell>
          <cell r="W1041">
            <v>1</v>
          </cell>
          <cell r="X1041" t="str">
            <v>intens</v>
          </cell>
        </row>
        <row r="1042">
          <cell r="I1042" t="str">
            <v>sim</v>
          </cell>
          <cell r="V1042" t="str">
            <v>not neg pair</v>
          </cell>
          <cell r="W1042">
            <v>0</v>
          </cell>
          <cell r="X1042" t="str">
            <v>0</v>
          </cell>
        </row>
        <row r="1043">
          <cell r="I1043" t="str">
            <v>sim</v>
          </cell>
          <cell r="V1043" t="str">
            <v>not neg pair</v>
          </cell>
          <cell r="W1043">
            <v>0</v>
          </cell>
          <cell r="X1043" t="str">
            <v>0</v>
          </cell>
        </row>
        <row r="1044">
          <cell r="I1044" t="str">
            <v>sim</v>
          </cell>
          <cell r="V1044" t="str">
            <v>not</v>
          </cell>
          <cell r="W1044">
            <v>1</v>
          </cell>
          <cell r="X1044" t="str">
            <v>intens</v>
          </cell>
        </row>
        <row r="1045">
          <cell r="I1045" t="str">
            <v>sim</v>
          </cell>
          <cell r="V1045" t="str">
            <v>not</v>
          </cell>
          <cell r="W1045">
            <v>1</v>
          </cell>
          <cell r="X1045" t="str">
            <v>neg</v>
          </cell>
        </row>
        <row r="1046">
          <cell r="I1046" t="str">
            <v>sim</v>
          </cell>
          <cell r="V1046" t="str">
            <v>not neg pair</v>
          </cell>
          <cell r="W1046">
            <v>0</v>
          </cell>
          <cell r="X1046" t="str">
            <v>0</v>
          </cell>
        </row>
        <row r="1047">
          <cell r="I1047" t="str">
            <v>sim</v>
          </cell>
          <cell r="V1047" t="str">
            <v>not neg pair</v>
          </cell>
          <cell r="W1047">
            <v>0</v>
          </cell>
          <cell r="X1047" t="str">
            <v>0</v>
          </cell>
        </row>
        <row r="1048">
          <cell r="I1048" t="str">
            <v>sim</v>
          </cell>
          <cell r="V1048" t="str">
            <v>not neg pair</v>
          </cell>
          <cell r="W1048">
            <v>0</v>
          </cell>
          <cell r="X1048" t="str">
            <v>0</v>
          </cell>
        </row>
        <row r="1049">
          <cell r="I1049" t="str">
            <v>sim</v>
          </cell>
          <cell r="V1049" t="str">
            <v>not neg pair</v>
          </cell>
          <cell r="W1049">
            <v>0</v>
          </cell>
          <cell r="X1049" t="str">
            <v>0</v>
          </cell>
        </row>
        <row r="1050">
          <cell r="I1050" t="str">
            <v>met</v>
          </cell>
          <cell r="V1050" t="str">
            <v>0</v>
          </cell>
          <cell r="W1050">
            <v>0</v>
          </cell>
          <cell r="X1050" t="str">
            <v>0</v>
          </cell>
        </row>
        <row r="1051">
          <cell r="I1051" t="str">
            <v>met</v>
          </cell>
          <cell r="V1051" t="str">
            <v>0</v>
          </cell>
          <cell r="W1051">
            <v>0</v>
          </cell>
          <cell r="X1051" t="str">
            <v>0</v>
          </cell>
        </row>
        <row r="1052">
          <cell r="I1052" t="str">
            <v>met</v>
          </cell>
          <cell r="V1052" t="str">
            <v>0</v>
          </cell>
          <cell r="W1052">
            <v>0</v>
          </cell>
          <cell r="X1052" t="str">
            <v>0</v>
          </cell>
        </row>
        <row r="1053">
          <cell r="I1053" t="str">
            <v>met</v>
          </cell>
          <cell r="V1053" t="str">
            <v>0</v>
          </cell>
          <cell r="W1053">
            <v>0</v>
          </cell>
          <cell r="X1053" t="str">
            <v>0</v>
          </cell>
        </row>
        <row r="1054">
          <cell r="I1054" t="str">
            <v>met</v>
          </cell>
          <cell r="V1054" t="str">
            <v>0</v>
          </cell>
          <cell r="W1054">
            <v>0</v>
          </cell>
          <cell r="X1054" t="str">
            <v>0</v>
          </cell>
        </row>
        <row r="1055">
          <cell r="I1055" t="str">
            <v>met</v>
          </cell>
          <cell r="V1055" t="str">
            <v>0</v>
          </cell>
          <cell r="W1055">
            <v>0</v>
          </cell>
          <cell r="X1055" t="str">
            <v>0</v>
          </cell>
        </row>
        <row r="1056">
          <cell r="I1056" t="str">
            <v>sim</v>
          </cell>
          <cell r="V1056" t="str">
            <v>not</v>
          </cell>
          <cell r="W1056">
            <v>1</v>
          </cell>
          <cell r="X1056" t="str">
            <v>intens</v>
          </cell>
        </row>
        <row r="1057">
          <cell r="I1057" t="str">
            <v>sim</v>
          </cell>
          <cell r="V1057" t="str">
            <v>not</v>
          </cell>
          <cell r="W1057">
            <v>1</v>
          </cell>
          <cell r="X1057" t="str">
            <v>neg</v>
          </cell>
        </row>
        <row r="1058">
          <cell r="I1058" t="str">
            <v>sim</v>
          </cell>
          <cell r="V1058" t="str">
            <v>not</v>
          </cell>
          <cell r="W1058">
            <v>1</v>
          </cell>
          <cell r="X1058" t="str">
            <v>neg</v>
          </cell>
        </row>
        <row r="1059">
          <cell r="I1059" t="str">
            <v>sim</v>
          </cell>
          <cell r="V1059" t="str">
            <v>not</v>
          </cell>
          <cell r="W1059">
            <v>1</v>
          </cell>
          <cell r="X1059" t="str">
            <v>intens</v>
          </cell>
        </row>
        <row r="1060">
          <cell r="I1060" t="str">
            <v>met</v>
          </cell>
          <cell r="V1060" t="str">
            <v>0</v>
          </cell>
          <cell r="W1060">
            <v>0</v>
          </cell>
          <cell r="X1060" t="str">
            <v>0</v>
          </cell>
        </row>
        <row r="1061">
          <cell r="I1061" t="str">
            <v>met</v>
          </cell>
          <cell r="V1061" t="str">
            <v>0</v>
          </cell>
          <cell r="W1061">
            <v>0</v>
          </cell>
          <cell r="X1061" t="str">
            <v>0</v>
          </cell>
        </row>
        <row r="1062">
          <cell r="I1062" t="str">
            <v>sim</v>
          </cell>
          <cell r="V1062" t="str">
            <v>not</v>
          </cell>
          <cell r="W1062">
            <v>1</v>
          </cell>
          <cell r="X1062" t="str">
            <v>intens</v>
          </cell>
        </row>
        <row r="1063">
          <cell r="I1063" t="str">
            <v>sim</v>
          </cell>
          <cell r="V1063" t="str">
            <v>not</v>
          </cell>
          <cell r="W1063">
            <v>1</v>
          </cell>
          <cell r="X1063" t="str">
            <v>neg</v>
          </cell>
        </row>
        <row r="1064">
          <cell r="I1064" t="str">
            <v>sim</v>
          </cell>
          <cell r="V1064" t="str">
            <v>not neg pair</v>
          </cell>
          <cell r="W1064">
            <v>0</v>
          </cell>
          <cell r="X1064" t="str">
            <v>0</v>
          </cell>
        </row>
        <row r="1065">
          <cell r="I1065" t="str">
            <v>sim</v>
          </cell>
          <cell r="V1065" t="str">
            <v>not neg pair</v>
          </cell>
          <cell r="W1065">
            <v>0</v>
          </cell>
          <cell r="X1065" t="str">
            <v>0</v>
          </cell>
        </row>
        <row r="1066">
          <cell r="I1066" t="str">
            <v>sim</v>
          </cell>
          <cell r="V1066" t="str">
            <v>not neg pair</v>
          </cell>
          <cell r="W1066">
            <v>0</v>
          </cell>
          <cell r="X1066" t="str">
            <v>0</v>
          </cell>
        </row>
        <row r="1067">
          <cell r="I1067" t="str">
            <v>sim</v>
          </cell>
          <cell r="V1067" t="str">
            <v>not neg pair</v>
          </cell>
          <cell r="W1067">
            <v>0</v>
          </cell>
          <cell r="X1067" t="str">
            <v>0</v>
          </cell>
        </row>
        <row r="1068">
          <cell r="I1068" t="str">
            <v>sim</v>
          </cell>
          <cell r="V1068" t="str">
            <v>not neg pair</v>
          </cell>
          <cell r="W1068">
            <v>0</v>
          </cell>
          <cell r="X1068" t="str">
            <v>0</v>
          </cell>
        </row>
        <row r="1069">
          <cell r="I1069" t="str">
            <v>sim</v>
          </cell>
          <cell r="V1069" t="str">
            <v>not neg pair</v>
          </cell>
          <cell r="W1069">
            <v>0</v>
          </cell>
          <cell r="X1069" t="str">
            <v>0</v>
          </cell>
        </row>
        <row r="1070">
          <cell r="I1070" t="str">
            <v>sim</v>
          </cell>
          <cell r="V1070" t="str">
            <v>not</v>
          </cell>
          <cell r="W1070">
            <v>1</v>
          </cell>
          <cell r="X1070" t="str">
            <v>intens</v>
          </cell>
        </row>
        <row r="1071">
          <cell r="I1071" t="str">
            <v>sim</v>
          </cell>
          <cell r="V1071" t="str">
            <v>not</v>
          </cell>
          <cell r="W1071">
            <v>1</v>
          </cell>
          <cell r="X1071" t="str">
            <v>neg</v>
          </cell>
        </row>
        <row r="1072">
          <cell r="I1072" t="str">
            <v>sim</v>
          </cell>
          <cell r="V1072" t="str">
            <v>antonym</v>
          </cell>
          <cell r="W1072">
            <v>1</v>
          </cell>
          <cell r="X1072" t="str">
            <v>intens</v>
          </cell>
        </row>
        <row r="1073">
          <cell r="I1073" t="str">
            <v>sim</v>
          </cell>
          <cell r="V1073" t="str">
            <v>antonym</v>
          </cell>
          <cell r="W1073">
            <v>1</v>
          </cell>
          <cell r="X1073" t="str">
            <v>neg</v>
          </cell>
        </row>
        <row r="1074">
          <cell r="I1074" t="str">
            <v>sim</v>
          </cell>
          <cell r="V1074" t="str">
            <v>not</v>
          </cell>
          <cell r="W1074">
            <v>1</v>
          </cell>
          <cell r="X1074" t="str">
            <v>intens</v>
          </cell>
        </row>
        <row r="1075">
          <cell r="I1075" t="str">
            <v>sim</v>
          </cell>
          <cell r="V1075" t="str">
            <v>not</v>
          </cell>
          <cell r="W1075">
            <v>1</v>
          </cell>
          <cell r="X1075" t="str">
            <v>neg</v>
          </cell>
        </row>
        <row r="1076">
          <cell r="I1076" t="str">
            <v>sim</v>
          </cell>
          <cell r="V1076" t="str">
            <v>antonym</v>
          </cell>
          <cell r="W1076">
            <v>1</v>
          </cell>
          <cell r="X1076" t="str">
            <v>intens</v>
          </cell>
        </row>
        <row r="1077">
          <cell r="I1077" t="str">
            <v>sim</v>
          </cell>
          <cell r="V1077" t="str">
            <v>antonym</v>
          </cell>
          <cell r="W1077">
            <v>1</v>
          </cell>
          <cell r="X1077" t="str">
            <v>neg</v>
          </cell>
        </row>
        <row r="1078">
          <cell r="I1078" t="str">
            <v>sim</v>
          </cell>
          <cell r="V1078" t="str">
            <v>not neg pair</v>
          </cell>
          <cell r="W1078">
            <v>0</v>
          </cell>
          <cell r="X1078" t="str">
            <v>0</v>
          </cell>
        </row>
        <row r="1079">
          <cell r="I1079" t="str">
            <v>sim</v>
          </cell>
          <cell r="V1079" t="str">
            <v>not neg pair</v>
          </cell>
          <cell r="W1079">
            <v>0</v>
          </cell>
          <cell r="X1079" t="str">
            <v>0</v>
          </cell>
        </row>
        <row r="1080">
          <cell r="I1080" t="str">
            <v>sim</v>
          </cell>
          <cell r="V1080" t="str">
            <v>not neg pair</v>
          </cell>
          <cell r="W1080">
            <v>0</v>
          </cell>
          <cell r="X1080" t="str">
            <v>0</v>
          </cell>
        </row>
        <row r="1081">
          <cell r="I1081" t="str">
            <v>sim</v>
          </cell>
          <cell r="V1081" t="str">
            <v>not neg pair</v>
          </cell>
          <cell r="W1081">
            <v>0</v>
          </cell>
          <cell r="X1081" t="str">
            <v>0</v>
          </cell>
        </row>
        <row r="1082">
          <cell r="I1082" t="str">
            <v>sim</v>
          </cell>
          <cell r="V1082" t="str">
            <v>not</v>
          </cell>
          <cell r="W1082">
            <v>1</v>
          </cell>
          <cell r="X1082" t="str">
            <v>intens</v>
          </cell>
        </row>
        <row r="1083">
          <cell r="I1083" t="str">
            <v>sim</v>
          </cell>
          <cell r="V1083" t="str">
            <v>not</v>
          </cell>
          <cell r="W1083">
            <v>1</v>
          </cell>
          <cell r="X1083" t="str">
            <v>neg</v>
          </cell>
        </row>
        <row r="1084">
          <cell r="I1084" t="str">
            <v>sim</v>
          </cell>
          <cell r="V1084" t="str">
            <v>not neg pair</v>
          </cell>
          <cell r="W1084">
            <v>0</v>
          </cell>
          <cell r="X1084" t="str">
            <v>0</v>
          </cell>
        </row>
        <row r="1085">
          <cell r="I1085" t="str">
            <v>sim</v>
          </cell>
          <cell r="V1085" t="str">
            <v>not neg pair</v>
          </cell>
          <cell r="W1085">
            <v>0</v>
          </cell>
          <cell r="X1085" t="str">
            <v>0</v>
          </cell>
        </row>
        <row r="1086">
          <cell r="I1086" t="str">
            <v>sim</v>
          </cell>
          <cell r="V1086" t="str">
            <v>not neg pair</v>
          </cell>
          <cell r="W1086">
            <v>0</v>
          </cell>
          <cell r="X1086" t="str">
            <v>0</v>
          </cell>
        </row>
        <row r="1087">
          <cell r="I1087" t="str">
            <v>sim</v>
          </cell>
          <cell r="V1087" t="str">
            <v>not neg pair</v>
          </cell>
          <cell r="W1087">
            <v>0</v>
          </cell>
          <cell r="X1087" t="str">
            <v>0</v>
          </cell>
        </row>
        <row r="1088">
          <cell r="I1088" t="str">
            <v>sim</v>
          </cell>
          <cell r="V1088" t="str">
            <v>antonym</v>
          </cell>
          <cell r="W1088">
            <v>1</v>
          </cell>
          <cell r="X1088" t="str">
            <v>neg</v>
          </cell>
        </row>
        <row r="1089">
          <cell r="I1089" t="str">
            <v>sim</v>
          </cell>
          <cell r="V1089" t="str">
            <v>antonym</v>
          </cell>
          <cell r="W1089">
            <v>1</v>
          </cell>
          <cell r="X1089" t="str">
            <v>intens</v>
          </cell>
        </row>
        <row r="1090">
          <cell r="I1090" t="str">
            <v>met</v>
          </cell>
          <cell r="V1090" t="str">
            <v>0</v>
          </cell>
          <cell r="W1090">
            <v>0</v>
          </cell>
          <cell r="X1090" t="str">
            <v>0</v>
          </cell>
        </row>
        <row r="1091">
          <cell r="I1091" t="str">
            <v>met</v>
          </cell>
          <cell r="V1091" t="str">
            <v>0</v>
          </cell>
          <cell r="W1091">
            <v>0</v>
          </cell>
          <cell r="X1091" t="str">
            <v>0</v>
          </cell>
        </row>
        <row r="1092">
          <cell r="I1092" t="str">
            <v>met</v>
          </cell>
          <cell r="V1092" t="str">
            <v>0</v>
          </cell>
          <cell r="W1092">
            <v>0</v>
          </cell>
          <cell r="X1092" t="str">
            <v>0</v>
          </cell>
        </row>
        <row r="1093">
          <cell r="I1093" t="str">
            <v>met</v>
          </cell>
          <cell r="V1093" t="str">
            <v>0</v>
          </cell>
          <cell r="W1093">
            <v>0</v>
          </cell>
          <cell r="X1093" t="str">
            <v>0</v>
          </cell>
        </row>
        <row r="1094">
          <cell r="I1094" t="str">
            <v>sim</v>
          </cell>
          <cell r="V1094" t="str">
            <v>not neg pair</v>
          </cell>
          <cell r="W1094">
            <v>0</v>
          </cell>
          <cell r="X1094" t="str">
            <v>0</v>
          </cell>
        </row>
        <row r="1095">
          <cell r="I1095" t="str">
            <v>sim</v>
          </cell>
          <cell r="V1095" t="str">
            <v>not neg pair</v>
          </cell>
          <cell r="W1095">
            <v>0</v>
          </cell>
          <cell r="X1095" t="str">
            <v>0</v>
          </cell>
        </row>
        <row r="1096">
          <cell r="I1096" t="str">
            <v>sim</v>
          </cell>
          <cell r="V1096" t="str">
            <v>not neg pair</v>
          </cell>
          <cell r="W1096">
            <v>0</v>
          </cell>
          <cell r="X1096" t="str">
            <v>0</v>
          </cell>
        </row>
        <row r="1097">
          <cell r="I1097" t="str">
            <v>sim</v>
          </cell>
          <cell r="V1097" t="str">
            <v>not neg pair</v>
          </cell>
          <cell r="W1097">
            <v>0</v>
          </cell>
          <cell r="X1097" t="str">
            <v>0</v>
          </cell>
        </row>
        <row r="1098">
          <cell r="I1098" t="str">
            <v>met</v>
          </cell>
          <cell r="V1098" t="str">
            <v>0</v>
          </cell>
          <cell r="W1098">
            <v>0</v>
          </cell>
          <cell r="X1098" t="str">
            <v>0</v>
          </cell>
        </row>
        <row r="1099">
          <cell r="I1099" t="str">
            <v>sim</v>
          </cell>
          <cell r="V1099" t="str">
            <v>not neg pair</v>
          </cell>
          <cell r="W1099">
            <v>0</v>
          </cell>
          <cell r="X1099" t="str">
            <v>0</v>
          </cell>
        </row>
        <row r="1100">
          <cell r="I1100" t="str">
            <v>sim</v>
          </cell>
          <cell r="V1100" t="str">
            <v>antonym</v>
          </cell>
          <cell r="W1100">
            <v>1</v>
          </cell>
          <cell r="X1100" t="str">
            <v>neg</v>
          </cell>
        </row>
        <row r="1101">
          <cell r="I1101" t="str">
            <v>sim</v>
          </cell>
          <cell r="V1101" t="str">
            <v>antonym</v>
          </cell>
          <cell r="W1101">
            <v>1</v>
          </cell>
          <cell r="X1101" t="str">
            <v>intens</v>
          </cell>
        </row>
        <row r="1102">
          <cell r="I1102" t="str">
            <v>sim</v>
          </cell>
          <cell r="V1102" t="str">
            <v>not</v>
          </cell>
          <cell r="W1102">
            <v>1</v>
          </cell>
          <cell r="X1102" t="str">
            <v>intens</v>
          </cell>
        </row>
        <row r="1103">
          <cell r="I1103" t="str">
            <v>sim</v>
          </cell>
          <cell r="V1103" t="str">
            <v>not</v>
          </cell>
          <cell r="W1103">
            <v>1</v>
          </cell>
          <cell r="X1103" t="str">
            <v>neg</v>
          </cell>
        </row>
        <row r="1104">
          <cell r="I1104" t="str">
            <v>sim</v>
          </cell>
          <cell r="V1104" t="str">
            <v>not neg pair</v>
          </cell>
          <cell r="W1104">
            <v>0</v>
          </cell>
          <cell r="X1104" t="str">
            <v>0</v>
          </cell>
        </row>
        <row r="1105">
          <cell r="I1105" t="str">
            <v>sim</v>
          </cell>
          <cell r="V1105" t="str">
            <v>not neg pair</v>
          </cell>
          <cell r="W1105">
            <v>0</v>
          </cell>
          <cell r="X1105" t="str">
            <v>0</v>
          </cell>
        </row>
        <row r="1106">
          <cell r="I1106" t="str">
            <v>sim</v>
          </cell>
          <cell r="V1106" t="str">
            <v>not neg pair</v>
          </cell>
          <cell r="W1106">
            <v>0</v>
          </cell>
          <cell r="X1106" t="str">
            <v>0</v>
          </cell>
        </row>
        <row r="1107">
          <cell r="I1107" t="str">
            <v>sim</v>
          </cell>
          <cell r="V1107" t="str">
            <v>not neg pair</v>
          </cell>
          <cell r="W1107">
            <v>0</v>
          </cell>
          <cell r="X1107" t="str">
            <v>0</v>
          </cell>
        </row>
        <row r="1108">
          <cell r="I1108" t="str">
            <v>sim</v>
          </cell>
          <cell r="V1108" t="str">
            <v>antonym</v>
          </cell>
          <cell r="W1108">
            <v>1</v>
          </cell>
          <cell r="X1108" t="str">
            <v>neg</v>
          </cell>
        </row>
        <row r="1109">
          <cell r="I1109" t="str">
            <v>sim</v>
          </cell>
          <cell r="V1109" t="str">
            <v>antonym</v>
          </cell>
          <cell r="W1109">
            <v>1</v>
          </cell>
          <cell r="X1109" t="str">
            <v>intens</v>
          </cell>
        </row>
        <row r="1110">
          <cell r="I1110" t="str">
            <v>met</v>
          </cell>
          <cell r="V1110" t="str">
            <v>0</v>
          </cell>
          <cell r="W1110">
            <v>0</v>
          </cell>
          <cell r="X1110" t="str">
            <v>0</v>
          </cell>
        </row>
        <row r="1111">
          <cell r="I1111" t="str">
            <v>met</v>
          </cell>
          <cell r="V1111" t="str">
            <v>0</v>
          </cell>
          <cell r="W1111">
            <v>0</v>
          </cell>
          <cell r="X1111" t="str">
            <v>0</v>
          </cell>
        </row>
        <row r="1112">
          <cell r="I1112" t="str">
            <v>sim</v>
          </cell>
          <cell r="V1112" t="str">
            <v>not neg pair</v>
          </cell>
          <cell r="W1112">
            <v>0</v>
          </cell>
          <cell r="X1112" t="str">
            <v>0</v>
          </cell>
        </row>
        <row r="1113">
          <cell r="I1113" t="str">
            <v>sim</v>
          </cell>
          <cell r="V1113" t="str">
            <v>not neg pair</v>
          </cell>
          <cell r="W1113">
            <v>0</v>
          </cell>
          <cell r="X1113" t="str">
            <v>0</v>
          </cell>
        </row>
        <row r="1114">
          <cell r="I1114" t="str">
            <v>sim</v>
          </cell>
          <cell r="V1114" t="str">
            <v>antonym</v>
          </cell>
          <cell r="W1114">
            <v>1</v>
          </cell>
          <cell r="X1114" t="str">
            <v>neg</v>
          </cell>
        </row>
        <row r="1115">
          <cell r="I1115" t="str">
            <v>sim</v>
          </cell>
          <cell r="V1115" t="str">
            <v>antonym</v>
          </cell>
          <cell r="W1115">
            <v>1</v>
          </cell>
          <cell r="X1115" t="str">
            <v>intens</v>
          </cell>
        </row>
        <row r="1116">
          <cell r="I1116" t="str">
            <v>sim</v>
          </cell>
          <cell r="V1116" t="str">
            <v>not</v>
          </cell>
          <cell r="W1116">
            <v>1</v>
          </cell>
          <cell r="X1116" t="str">
            <v>intens</v>
          </cell>
        </row>
        <row r="1117">
          <cell r="I1117" t="str">
            <v>sim</v>
          </cell>
          <cell r="V1117" t="str">
            <v>not</v>
          </cell>
          <cell r="W1117">
            <v>1</v>
          </cell>
          <cell r="X1117" t="str">
            <v>neg</v>
          </cell>
        </row>
        <row r="1118">
          <cell r="I1118" t="str">
            <v>sim</v>
          </cell>
          <cell r="V1118" t="str">
            <v>antonym</v>
          </cell>
          <cell r="W1118">
            <v>1</v>
          </cell>
          <cell r="X1118" t="str">
            <v>intens</v>
          </cell>
        </row>
        <row r="1119">
          <cell r="I1119" t="str">
            <v>sim</v>
          </cell>
          <cell r="V1119" t="str">
            <v>antonym</v>
          </cell>
          <cell r="W1119">
            <v>1</v>
          </cell>
          <cell r="X1119" t="str">
            <v>neg</v>
          </cell>
        </row>
        <row r="1120">
          <cell r="I1120" t="str">
            <v>sim</v>
          </cell>
          <cell r="V1120" t="str">
            <v>not neg pair</v>
          </cell>
          <cell r="W1120">
            <v>0</v>
          </cell>
          <cell r="X1120" t="str">
            <v>0</v>
          </cell>
        </row>
        <row r="1121">
          <cell r="I1121" t="str">
            <v>sim</v>
          </cell>
          <cell r="V1121" t="str">
            <v>not neg pair</v>
          </cell>
          <cell r="W1121">
            <v>0</v>
          </cell>
          <cell r="X1121" t="str">
            <v>0</v>
          </cell>
        </row>
        <row r="1122">
          <cell r="I1122" t="str">
            <v>sim</v>
          </cell>
          <cell r="V1122" t="str">
            <v>antonym</v>
          </cell>
          <cell r="W1122">
            <v>1</v>
          </cell>
          <cell r="X1122" t="str">
            <v>neg</v>
          </cell>
        </row>
        <row r="1123">
          <cell r="I1123" t="str">
            <v>sim</v>
          </cell>
          <cell r="V1123" t="str">
            <v>antonym</v>
          </cell>
          <cell r="W1123">
            <v>1</v>
          </cell>
          <cell r="X1123" t="str">
            <v>intens</v>
          </cell>
        </row>
        <row r="1124">
          <cell r="I1124" t="str">
            <v>sim</v>
          </cell>
          <cell r="V1124" t="str">
            <v>not neg pair</v>
          </cell>
          <cell r="W1124">
            <v>0</v>
          </cell>
          <cell r="X1124" t="str">
            <v>0</v>
          </cell>
        </row>
        <row r="1125">
          <cell r="I1125" t="str">
            <v>sim</v>
          </cell>
          <cell r="V1125" t="str">
            <v>not neg pair</v>
          </cell>
          <cell r="W1125">
            <v>0</v>
          </cell>
          <cell r="X1125" t="str">
            <v>0</v>
          </cell>
        </row>
        <row r="1126">
          <cell r="I1126" t="str">
            <v>met</v>
          </cell>
          <cell r="V1126" t="str">
            <v>0</v>
          </cell>
          <cell r="W1126">
            <v>0</v>
          </cell>
          <cell r="X1126" t="str">
            <v>0</v>
          </cell>
        </row>
        <row r="1127">
          <cell r="I1127" t="str">
            <v>met</v>
          </cell>
          <cell r="V1127" t="str">
            <v>0</v>
          </cell>
          <cell r="W1127">
            <v>0</v>
          </cell>
          <cell r="X1127" t="str">
            <v>0</v>
          </cell>
        </row>
        <row r="1128">
          <cell r="I1128" t="str">
            <v>sim</v>
          </cell>
          <cell r="V1128" t="str">
            <v>not</v>
          </cell>
          <cell r="W1128">
            <v>1</v>
          </cell>
          <cell r="X1128" t="str">
            <v>neg</v>
          </cell>
        </row>
        <row r="1129">
          <cell r="I1129" t="str">
            <v>sim</v>
          </cell>
          <cell r="V1129" t="str">
            <v>not</v>
          </cell>
          <cell r="W1129">
            <v>1</v>
          </cell>
          <cell r="X1129" t="str">
            <v>intens</v>
          </cell>
        </row>
        <row r="1130">
          <cell r="I1130" t="str">
            <v>sim</v>
          </cell>
          <cell r="V1130" t="str">
            <v>not neg pair</v>
          </cell>
          <cell r="W1130">
            <v>0</v>
          </cell>
          <cell r="X1130" t="str">
            <v>0</v>
          </cell>
        </row>
        <row r="1131">
          <cell r="I1131" t="str">
            <v>sim</v>
          </cell>
          <cell r="V1131" t="str">
            <v>not neg pair</v>
          </cell>
          <cell r="W1131">
            <v>0</v>
          </cell>
          <cell r="X1131" t="str">
            <v>0</v>
          </cell>
        </row>
        <row r="1132">
          <cell r="I1132" t="str">
            <v>sim</v>
          </cell>
          <cell r="V1132" t="str">
            <v>not neg pair</v>
          </cell>
          <cell r="W1132">
            <v>0</v>
          </cell>
          <cell r="X1132" t="str">
            <v>0</v>
          </cell>
        </row>
        <row r="1133">
          <cell r="I1133" t="str">
            <v>sim</v>
          </cell>
          <cell r="V1133" t="str">
            <v>not neg pair</v>
          </cell>
          <cell r="W1133">
            <v>0</v>
          </cell>
          <cell r="X1133" t="str">
            <v>0</v>
          </cell>
        </row>
        <row r="1134">
          <cell r="I1134" t="str">
            <v>sim</v>
          </cell>
          <cell r="V1134" t="str">
            <v>not neg pair</v>
          </cell>
          <cell r="W1134">
            <v>0</v>
          </cell>
          <cell r="X1134" t="str">
            <v>0</v>
          </cell>
        </row>
        <row r="1135">
          <cell r="I1135" t="str">
            <v>sim</v>
          </cell>
          <cell r="V1135" t="str">
            <v>not neg pair</v>
          </cell>
          <cell r="W1135">
            <v>0</v>
          </cell>
          <cell r="X1135" t="str">
            <v>0</v>
          </cell>
        </row>
        <row r="1136">
          <cell r="I1136" t="str">
            <v>sim</v>
          </cell>
          <cell r="V1136" t="str">
            <v>not neg pair</v>
          </cell>
          <cell r="W1136">
            <v>0</v>
          </cell>
          <cell r="X1136" t="str">
            <v>0</v>
          </cell>
        </row>
        <row r="1137">
          <cell r="I1137" t="str">
            <v>sim</v>
          </cell>
          <cell r="V1137" t="str">
            <v>not neg pair</v>
          </cell>
          <cell r="W1137">
            <v>0</v>
          </cell>
          <cell r="X1137" t="str">
            <v>0</v>
          </cell>
        </row>
        <row r="1138">
          <cell r="I1138" t="str">
            <v>sim</v>
          </cell>
          <cell r="V1138" t="str">
            <v>not</v>
          </cell>
          <cell r="W1138">
            <v>1</v>
          </cell>
          <cell r="X1138" t="str">
            <v>intens</v>
          </cell>
        </row>
        <row r="1139">
          <cell r="I1139" t="str">
            <v>sim</v>
          </cell>
          <cell r="V1139" t="str">
            <v>not</v>
          </cell>
          <cell r="W1139">
            <v>1</v>
          </cell>
          <cell r="X1139" t="str">
            <v>neg</v>
          </cell>
        </row>
        <row r="1140">
          <cell r="I1140" t="str">
            <v>sim</v>
          </cell>
          <cell r="V1140" t="str">
            <v>not neg pair</v>
          </cell>
          <cell r="W1140">
            <v>0</v>
          </cell>
          <cell r="X1140" t="str">
            <v>0</v>
          </cell>
        </row>
        <row r="1141">
          <cell r="I1141" t="str">
            <v>sim</v>
          </cell>
          <cell r="V1141" t="str">
            <v>not neg pair</v>
          </cell>
          <cell r="W1141">
            <v>0</v>
          </cell>
          <cell r="X1141" t="str">
            <v>0</v>
          </cell>
        </row>
        <row r="1142">
          <cell r="I1142" t="str">
            <v>sim</v>
          </cell>
          <cell r="V1142" t="str">
            <v>antonym</v>
          </cell>
          <cell r="W1142">
            <v>1</v>
          </cell>
          <cell r="X1142" t="str">
            <v>neg</v>
          </cell>
        </row>
        <row r="1143">
          <cell r="I1143" t="str">
            <v>sim</v>
          </cell>
          <cell r="V1143" t="str">
            <v>antonym</v>
          </cell>
          <cell r="W1143">
            <v>1</v>
          </cell>
          <cell r="X1143" t="str">
            <v>intens</v>
          </cell>
        </row>
        <row r="1144">
          <cell r="I1144" t="str">
            <v>sim</v>
          </cell>
          <cell r="V1144" t="str">
            <v>not neg pair</v>
          </cell>
          <cell r="W1144">
            <v>0</v>
          </cell>
          <cell r="X1144" t="str">
            <v>0</v>
          </cell>
        </row>
        <row r="1145">
          <cell r="I1145" t="str">
            <v>sim</v>
          </cell>
          <cell r="V1145" t="str">
            <v>not neg pair</v>
          </cell>
          <cell r="W1145">
            <v>0</v>
          </cell>
          <cell r="X1145" t="str">
            <v>0</v>
          </cell>
        </row>
        <row r="1146">
          <cell r="I1146" t="str">
            <v>sim</v>
          </cell>
          <cell r="V1146" t="str">
            <v>not neg pair</v>
          </cell>
          <cell r="W1146">
            <v>0</v>
          </cell>
          <cell r="X1146" t="str">
            <v>0</v>
          </cell>
        </row>
        <row r="1147">
          <cell r="I1147" t="str">
            <v>sim</v>
          </cell>
          <cell r="V1147" t="str">
            <v>not neg pair</v>
          </cell>
          <cell r="W1147">
            <v>0</v>
          </cell>
          <cell r="X1147" t="str">
            <v>0</v>
          </cell>
        </row>
        <row r="1148">
          <cell r="I1148" t="str">
            <v>sim</v>
          </cell>
          <cell r="V1148" t="str">
            <v>not neg pair</v>
          </cell>
          <cell r="W1148">
            <v>0</v>
          </cell>
          <cell r="X1148" t="str">
            <v>0</v>
          </cell>
        </row>
        <row r="1149">
          <cell r="I1149" t="str">
            <v>sim</v>
          </cell>
          <cell r="V1149" t="str">
            <v>not neg pair</v>
          </cell>
          <cell r="W1149">
            <v>0</v>
          </cell>
          <cell r="X1149" t="str">
            <v>0</v>
          </cell>
        </row>
        <row r="1150">
          <cell r="I1150" t="str">
            <v>sim</v>
          </cell>
          <cell r="V1150" t="str">
            <v>not neg pair</v>
          </cell>
          <cell r="W1150">
            <v>0</v>
          </cell>
          <cell r="X1150" t="str">
            <v>0</v>
          </cell>
        </row>
        <row r="1151">
          <cell r="I1151" t="str">
            <v>sim</v>
          </cell>
          <cell r="V1151" t="str">
            <v>not neg pair</v>
          </cell>
          <cell r="W1151">
            <v>0</v>
          </cell>
          <cell r="X1151" t="str">
            <v>0</v>
          </cell>
        </row>
        <row r="1152">
          <cell r="I1152" t="str">
            <v>sim</v>
          </cell>
          <cell r="V1152" t="str">
            <v>not neg pair</v>
          </cell>
          <cell r="W1152">
            <v>0</v>
          </cell>
          <cell r="X1152" t="str">
            <v>0</v>
          </cell>
        </row>
        <row r="1153">
          <cell r="I1153" t="str">
            <v>sim</v>
          </cell>
          <cell r="V1153" t="str">
            <v>not neg pair</v>
          </cell>
          <cell r="W1153">
            <v>0</v>
          </cell>
          <cell r="X1153" t="str">
            <v>0</v>
          </cell>
        </row>
        <row r="1154">
          <cell r="I1154" t="str">
            <v>sim</v>
          </cell>
          <cell r="V1154" t="str">
            <v>not neg pair</v>
          </cell>
          <cell r="W1154">
            <v>0</v>
          </cell>
          <cell r="X1154" t="str">
            <v>0</v>
          </cell>
        </row>
        <row r="1155">
          <cell r="I1155" t="str">
            <v>sim</v>
          </cell>
          <cell r="V1155" t="str">
            <v>not neg pair</v>
          </cell>
          <cell r="W1155">
            <v>0</v>
          </cell>
          <cell r="X1155" t="str">
            <v>0</v>
          </cell>
        </row>
        <row r="1156">
          <cell r="I1156" t="str">
            <v>sim</v>
          </cell>
          <cell r="V1156" t="str">
            <v>not neg pair</v>
          </cell>
          <cell r="W1156">
            <v>0</v>
          </cell>
          <cell r="X1156" t="str">
            <v>0</v>
          </cell>
        </row>
        <row r="1157">
          <cell r="I1157" t="str">
            <v>sim</v>
          </cell>
          <cell r="V1157" t="str">
            <v>not neg pair</v>
          </cell>
          <cell r="W1157">
            <v>0</v>
          </cell>
          <cell r="X1157" t="str">
            <v>0</v>
          </cell>
        </row>
        <row r="1158">
          <cell r="I1158" t="str">
            <v>sim</v>
          </cell>
          <cell r="V1158" t="str">
            <v>antonym</v>
          </cell>
          <cell r="W1158">
            <v>1</v>
          </cell>
          <cell r="X1158" t="str">
            <v>intens</v>
          </cell>
        </row>
        <row r="1159">
          <cell r="I1159" t="str">
            <v>sim</v>
          </cell>
          <cell r="V1159" t="str">
            <v>antonym</v>
          </cell>
          <cell r="W1159">
            <v>1</v>
          </cell>
          <cell r="X1159" t="str">
            <v>neg</v>
          </cell>
        </row>
        <row r="1160">
          <cell r="I1160" t="str">
            <v>sim</v>
          </cell>
          <cell r="V1160" t="str">
            <v>not</v>
          </cell>
          <cell r="W1160">
            <v>1</v>
          </cell>
          <cell r="X1160" t="str">
            <v>neg</v>
          </cell>
        </row>
        <row r="1161">
          <cell r="I1161" t="str">
            <v>sim</v>
          </cell>
          <cell r="V1161" t="str">
            <v>not</v>
          </cell>
          <cell r="W1161">
            <v>1</v>
          </cell>
          <cell r="X1161" t="str">
            <v>intens</v>
          </cell>
        </row>
        <row r="1162">
          <cell r="I1162" t="str">
            <v>sim</v>
          </cell>
          <cell r="V1162" t="str">
            <v>not neg pair</v>
          </cell>
          <cell r="W1162">
            <v>0</v>
          </cell>
          <cell r="X1162" t="str">
            <v>0</v>
          </cell>
        </row>
        <row r="1163">
          <cell r="I1163" t="str">
            <v>sim</v>
          </cell>
          <cell r="V1163" t="str">
            <v>not neg pair</v>
          </cell>
          <cell r="W1163">
            <v>0</v>
          </cell>
          <cell r="X1163" t="str">
            <v>0</v>
          </cell>
        </row>
        <row r="1164">
          <cell r="I1164" t="str">
            <v>sim</v>
          </cell>
          <cell r="V1164" t="str">
            <v>not neg pair</v>
          </cell>
          <cell r="W1164">
            <v>0</v>
          </cell>
          <cell r="X1164" t="str">
            <v>0</v>
          </cell>
        </row>
        <row r="1165">
          <cell r="I1165" t="str">
            <v>sim</v>
          </cell>
          <cell r="V1165" t="str">
            <v>not neg pair</v>
          </cell>
          <cell r="W1165">
            <v>0</v>
          </cell>
          <cell r="X1165" t="str">
            <v>0</v>
          </cell>
        </row>
        <row r="1166">
          <cell r="I1166" t="str">
            <v>sim</v>
          </cell>
          <cell r="V1166" t="str">
            <v>antonym</v>
          </cell>
          <cell r="W1166">
            <v>1</v>
          </cell>
          <cell r="X1166" t="str">
            <v>neg</v>
          </cell>
        </row>
        <row r="1167">
          <cell r="I1167" t="str">
            <v>sim</v>
          </cell>
          <cell r="V1167" t="str">
            <v>antonym</v>
          </cell>
          <cell r="W1167">
            <v>1</v>
          </cell>
          <cell r="X1167" t="str">
            <v>intens</v>
          </cell>
        </row>
        <row r="1168">
          <cell r="I1168" t="str">
            <v>sim</v>
          </cell>
          <cell r="V1168" t="str">
            <v>not neg pair</v>
          </cell>
          <cell r="W1168">
            <v>0</v>
          </cell>
          <cell r="X1168" t="str">
            <v>0</v>
          </cell>
        </row>
        <row r="1169">
          <cell r="I1169" t="str">
            <v>sim</v>
          </cell>
          <cell r="V1169" t="str">
            <v>not neg pair</v>
          </cell>
          <cell r="W1169">
            <v>0</v>
          </cell>
          <cell r="X1169" t="str">
            <v>0</v>
          </cell>
        </row>
        <row r="1170">
          <cell r="I1170" t="str">
            <v>sim</v>
          </cell>
          <cell r="V1170" t="str">
            <v>not neg pair</v>
          </cell>
          <cell r="W1170">
            <v>0</v>
          </cell>
          <cell r="X1170" t="str">
            <v>0</v>
          </cell>
        </row>
        <row r="1171">
          <cell r="I1171" t="str">
            <v>sim</v>
          </cell>
          <cell r="V1171" t="str">
            <v>not neg pair</v>
          </cell>
          <cell r="W1171">
            <v>0</v>
          </cell>
          <cell r="X1171" t="str">
            <v>0</v>
          </cell>
        </row>
        <row r="1172">
          <cell r="I1172" t="str">
            <v>met</v>
          </cell>
          <cell r="V1172" t="str">
            <v>0</v>
          </cell>
          <cell r="W1172">
            <v>0</v>
          </cell>
          <cell r="X1172" t="str">
            <v>0</v>
          </cell>
        </row>
        <row r="1173">
          <cell r="I1173" t="str">
            <v>met</v>
          </cell>
          <cell r="V1173" t="str">
            <v>0</v>
          </cell>
          <cell r="W1173">
            <v>0</v>
          </cell>
          <cell r="X1173" t="str">
            <v>0</v>
          </cell>
        </row>
        <row r="1174">
          <cell r="I1174" t="str">
            <v>sim</v>
          </cell>
          <cell r="V1174" t="str">
            <v>not</v>
          </cell>
          <cell r="W1174">
            <v>1</v>
          </cell>
          <cell r="X1174" t="str">
            <v>intens</v>
          </cell>
        </row>
        <row r="1175">
          <cell r="I1175" t="str">
            <v>sim</v>
          </cell>
          <cell r="V1175" t="str">
            <v>not</v>
          </cell>
          <cell r="W1175">
            <v>1</v>
          </cell>
          <cell r="X1175" t="str">
            <v>neg</v>
          </cell>
        </row>
        <row r="1176">
          <cell r="I1176" t="str">
            <v>sim</v>
          </cell>
          <cell r="V1176" t="str">
            <v>not</v>
          </cell>
          <cell r="W1176">
            <v>1</v>
          </cell>
          <cell r="X1176" t="str">
            <v>intens</v>
          </cell>
        </row>
        <row r="1177">
          <cell r="I1177" t="str">
            <v>sim</v>
          </cell>
          <cell r="V1177" t="str">
            <v>not</v>
          </cell>
          <cell r="W1177">
            <v>1</v>
          </cell>
          <cell r="X1177" t="str">
            <v>neg</v>
          </cell>
        </row>
        <row r="1178">
          <cell r="I1178" t="str">
            <v>met</v>
          </cell>
          <cell r="V1178" t="str">
            <v>0</v>
          </cell>
          <cell r="W1178">
            <v>0</v>
          </cell>
          <cell r="X1178" t="str">
            <v>0</v>
          </cell>
        </row>
        <row r="1179">
          <cell r="I1179" t="str">
            <v>met</v>
          </cell>
          <cell r="V1179" t="str">
            <v>0</v>
          </cell>
          <cell r="W1179">
            <v>0</v>
          </cell>
          <cell r="X1179" t="str">
            <v>0</v>
          </cell>
        </row>
        <row r="1180">
          <cell r="I1180" t="str">
            <v>met</v>
          </cell>
          <cell r="V1180" t="str">
            <v>0</v>
          </cell>
          <cell r="W1180">
            <v>0</v>
          </cell>
          <cell r="X1180" t="str">
            <v>0</v>
          </cell>
        </row>
        <row r="1181">
          <cell r="I1181" t="str">
            <v>met</v>
          </cell>
          <cell r="V1181" t="str">
            <v>0</v>
          </cell>
          <cell r="W1181">
            <v>0</v>
          </cell>
          <cell r="X1181" t="str">
            <v>0</v>
          </cell>
        </row>
        <row r="1182">
          <cell r="I1182" t="str">
            <v>met</v>
          </cell>
          <cell r="V1182" t="str">
            <v>0</v>
          </cell>
          <cell r="W1182">
            <v>0</v>
          </cell>
          <cell r="X1182" t="str">
            <v>0</v>
          </cell>
        </row>
        <row r="1183">
          <cell r="I1183" t="str">
            <v>met</v>
          </cell>
          <cell r="V1183" t="str">
            <v>0</v>
          </cell>
          <cell r="W1183">
            <v>0</v>
          </cell>
          <cell r="X1183" t="str">
            <v>0</v>
          </cell>
        </row>
        <row r="1184">
          <cell r="I1184" t="str">
            <v>sim</v>
          </cell>
          <cell r="V1184" t="str">
            <v>not neg pair</v>
          </cell>
          <cell r="W1184">
            <v>0</v>
          </cell>
          <cell r="X1184" t="str">
            <v>0</v>
          </cell>
        </row>
        <row r="1185">
          <cell r="I1185" t="str">
            <v>sim</v>
          </cell>
          <cell r="V1185" t="str">
            <v>not neg pair</v>
          </cell>
          <cell r="W1185">
            <v>0</v>
          </cell>
          <cell r="X1185" t="str">
            <v>0</v>
          </cell>
        </row>
        <row r="1186">
          <cell r="I1186" t="str">
            <v>met</v>
          </cell>
          <cell r="V1186" t="str">
            <v>0</v>
          </cell>
          <cell r="W1186">
            <v>0</v>
          </cell>
          <cell r="X1186" t="str">
            <v>0</v>
          </cell>
        </row>
        <row r="1187">
          <cell r="I1187" t="str">
            <v>met</v>
          </cell>
          <cell r="V1187" t="str">
            <v>0</v>
          </cell>
          <cell r="W1187">
            <v>0</v>
          </cell>
          <cell r="X1187" t="str">
            <v>0</v>
          </cell>
        </row>
        <row r="1188">
          <cell r="I1188" t="str">
            <v>met</v>
          </cell>
          <cell r="V1188" t="str">
            <v>0</v>
          </cell>
          <cell r="W1188">
            <v>0</v>
          </cell>
          <cell r="X1188" t="str">
            <v>0</v>
          </cell>
        </row>
        <row r="1189">
          <cell r="I1189" t="str">
            <v>met</v>
          </cell>
          <cell r="V1189" t="str">
            <v>0</v>
          </cell>
          <cell r="W1189">
            <v>0</v>
          </cell>
          <cell r="X1189" t="str">
            <v>0</v>
          </cell>
        </row>
        <row r="1190">
          <cell r="I1190" t="str">
            <v>sim</v>
          </cell>
          <cell r="V1190" t="str">
            <v>not neg pair</v>
          </cell>
          <cell r="W1190">
            <v>0</v>
          </cell>
          <cell r="X1190" t="str">
            <v>0</v>
          </cell>
        </row>
        <row r="1191">
          <cell r="I1191" t="str">
            <v>sim</v>
          </cell>
          <cell r="V1191" t="str">
            <v>not neg pair</v>
          </cell>
          <cell r="W1191">
            <v>0</v>
          </cell>
          <cell r="X1191" t="str">
            <v>0</v>
          </cell>
        </row>
        <row r="1192">
          <cell r="I1192" t="str">
            <v>sim</v>
          </cell>
          <cell r="V1192" t="str">
            <v>not neg pair</v>
          </cell>
          <cell r="W1192">
            <v>0</v>
          </cell>
          <cell r="X1192" t="str">
            <v>0</v>
          </cell>
        </row>
        <row r="1193">
          <cell r="I1193" t="str">
            <v>sim</v>
          </cell>
          <cell r="V1193" t="str">
            <v>not neg pair</v>
          </cell>
          <cell r="W1193">
            <v>0</v>
          </cell>
          <cell r="X1193" t="str">
            <v>0</v>
          </cell>
        </row>
        <row r="1194">
          <cell r="I1194" t="str">
            <v>sim</v>
          </cell>
          <cell r="V1194" t="str">
            <v>not neg pair</v>
          </cell>
          <cell r="W1194">
            <v>0</v>
          </cell>
          <cell r="X1194" t="str">
            <v>0</v>
          </cell>
        </row>
        <row r="1195">
          <cell r="I1195" t="str">
            <v>sim</v>
          </cell>
          <cell r="V1195" t="str">
            <v>not neg pair</v>
          </cell>
          <cell r="W1195">
            <v>0</v>
          </cell>
          <cell r="X1195" t="str">
            <v>0</v>
          </cell>
        </row>
        <row r="1196">
          <cell r="I1196" t="str">
            <v>sim</v>
          </cell>
          <cell r="V1196" t="str">
            <v>not neg pair</v>
          </cell>
          <cell r="W1196">
            <v>0</v>
          </cell>
          <cell r="X1196" t="str">
            <v>0</v>
          </cell>
        </row>
        <row r="1197">
          <cell r="I1197" t="str">
            <v>sim</v>
          </cell>
          <cell r="V1197" t="str">
            <v>not neg pair</v>
          </cell>
          <cell r="W1197">
            <v>0</v>
          </cell>
          <cell r="X1197" t="str">
            <v>0</v>
          </cell>
        </row>
        <row r="1198">
          <cell r="I1198" t="str">
            <v>sim</v>
          </cell>
          <cell r="V1198" t="str">
            <v>not neg pair</v>
          </cell>
          <cell r="W1198">
            <v>0</v>
          </cell>
          <cell r="X1198" t="str">
            <v>0</v>
          </cell>
        </row>
        <row r="1199">
          <cell r="I1199" t="str">
            <v>sim</v>
          </cell>
          <cell r="V1199" t="str">
            <v>not neg pair</v>
          </cell>
          <cell r="W1199">
            <v>0</v>
          </cell>
          <cell r="X1199" t="str">
            <v>0</v>
          </cell>
        </row>
        <row r="1200">
          <cell r="I1200" t="str">
            <v>met</v>
          </cell>
          <cell r="V1200" t="str">
            <v>0</v>
          </cell>
          <cell r="W1200">
            <v>0</v>
          </cell>
          <cell r="X1200" t="str">
            <v>0</v>
          </cell>
        </row>
        <row r="1201">
          <cell r="I1201" t="str">
            <v>met</v>
          </cell>
          <cell r="V1201" t="str">
            <v>0</v>
          </cell>
          <cell r="W1201">
            <v>0</v>
          </cell>
          <cell r="X1201" t="str">
            <v>0</v>
          </cell>
        </row>
        <row r="1202">
          <cell r="I1202" t="str">
            <v>sim</v>
          </cell>
          <cell r="V1202" t="str">
            <v>not neg pair</v>
          </cell>
          <cell r="W1202">
            <v>0</v>
          </cell>
          <cell r="X1202" t="str">
            <v>0</v>
          </cell>
        </row>
        <row r="1203">
          <cell r="I1203" t="str">
            <v>sim</v>
          </cell>
          <cell r="V1203" t="str">
            <v>not neg pair</v>
          </cell>
          <cell r="W1203">
            <v>0</v>
          </cell>
          <cell r="X1203" t="str">
            <v>0</v>
          </cell>
        </row>
        <row r="1204">
          <cell r="I1204" t="str">
            <v>sim</v>
          </cell>
          <cell r="V1204" t="str">
            <v>not neg pair</v>
          </cell>
          <cell r="W1204">
            <v>0</v>
          </cell>
          <cell r="X1204" t="str">
            <v>0</v>
          </cell>
        </row>
        <row r="1205">
          <cell r="I1205" t="str">
            <v>sim</v>
          </cell>
          <cell r="V1205" t="str">
            <v>not neg pair</v>
          </cell>
          <cell r="W1205">
            <v>0</v>
          </cell>
          <cell r="X1205" t="str">
            <v>0</v>
          </cell>
        </row>
        <row r="1206">
          <cell r="I1206" t="str">
            <v>sim</v>
          </cell>
          <cell r="V1206" t="str">
            <v>not</v>
          </cell>
          <cell r="W1206">
            <v>1</v>
          </cell>
          <cell r="X1206" t="str">
            <v>intens</v>
          </cell>
        </row>
        <row r="1207">
          <cell r="I1207" t="str">
            <v>sim</v>
          </cell>
          <cell r="V1207" t="str">
            <v>not</v>
          </cell>
          <cell r="W1207">
            <v>1</v>
          </cell>
          <cell r="X1207" t="str">
            <v>neg</v>
          </cell>
        </row>
        <row r="1208">
          <cell r="I1208" t="str">
            <v>sim</v>
          </cell>
          <cell r="V1208" t="str">
            <v>not neg pair</v>
          </cell>
          <cell r="W1208">
            <v>0</v>
          </cell>
          <cell r="X1208" t="str">
            <v>0</v>
          </cell>
        </row>
        <row r="1209">
          <cell r="I1209" t="str">
            <v>sim</v>
          </cell>
          <cell r="V1209" t="str">
            <v>not neg pair</v>
          </cell>
          <cell r="W1209">
            <v>0</v>
          </cell>
          <cell r="X1209" t="str">
            <v>0</v>
          </cell>
        </row>
        <row r="1210">
          <cell r="I1210" t="str">
            <v>met</v>
          </cell>
          <cell r="V1210" t="str">
            <v>0</v>
          </cell>
          <cell r="W1210">
            <v>0</v>
          </cell>
          <cell r="X1210" t="str">
            <v>0</v>
          </cell>
        </row>
        <row r="1211">
          <cell r="I1211" t="str">
            <v>met</v>
          </cell>
          <cell r="V1211" t="str">
            <v>0</v>
          </cell>
          <cell r="W1211">
            <v>0</v>
          </cell>
          <cell r="X1211" t="str">
            <v>0</v>
          </cell>
        </row>
        <row r="1212">
          <cell r="I1212" t="str">
            <v>sim</v>
          </cell>
          <cell r="V1212" t="str">
            <v>not neg pair</v>
          </cell>
          <cell r="W1212">
            <v>0</v>
          </cell>
          <cell r="X1212" t="str">
            <v>0</v>
          </cell>
        </row>
        <row r="1213">
          <cell r="I1213" t="str">
            <v>sim</v>
          </cell>
          <cell r="V1213" t="str">
            <v>not neg pair</v>
          </cell>
          <cell r="W1213">
            <v>0</v>
          </cell>
          <cell r="X1213" t="str">
            <v>0</v>
          </cell>
        </row>
        <row r="1214">
          <cell r="I1214" t="str">
            <v>sim</v>
          </cell>
          <cell r="V1214" t="str">
            <v>not neg pair</v>
          </cell>
          <cell r="W1214">
            <v>0</v>
          </cell>
          <cell r="X1214" t="str">
            <v>0</v>
          </cell>
        </row>
        <row r="1215">
          <cell r="I1215" t="str">
            <v>sim</v>
          </cell>
          <cell r="V1215" t="str">
            <v>not neg pair</v>
          </cell>
          <cell r="W1215">
            <v>0</v>
          </cell>
          <cell r="X1215" t="str">
            <v>0</v>
          </cell>
        </row>
        <row r="1216">
          <cell r="I1216" t="str">
            <v>sim</v>
          </cell>
          <cell r="V1216" t="str">
            <v>not</v>
          </cell>
          <cell r="W1216">
            <v>1</v>
          </cell>
          <cell r="X1216" t="str">
            <v>intens</v>
          </cell>
        </row>
        <row r="1217">
          <cell r="I1217" t="str">
            <v>sim</v>
          </cell>
          <cell r="V1217" t="str">
            <v>not</v>
          </cell>
          <cell r="W1217">
            <v>1</v>
          </cell>
          <cell r="X1217" t="str">
            <v>neg</v>
          </cell>
        </row>
        <row r="1218">
          <cell r="I1218" t="str">
            <v>sim</v>
          </cell>
          <cell r="V1218" t="str">
            <v>antonym</v>
          </cell>
          <cell r="W1218">
            <v>1</v>
          </cell>
          <cell r="X1218" t="str">
            <v>intens</v>
          </cell>
        </row>
        <row r="1219">
          <cell r="I1219" t="str">
            <v>sim</v>
          </cell>
          <cell r="V1219" t="str">
            <v>antonym</v>
          </cell>
          <cell r="W1219">
            <v>1</v>
          </cell>
          <cell r="X1219" t="str">
            <v>neg</v>
          </cell>
        </row>
        <row r="1220">
          <cell r="I1220" t="str">
            <v>sim</v>
          </cell>
          <cell r="V1220" t="str">
            <v>not neg pair</v>
          </cell>
          <cell r="W1220">
            <v>0</v>
          </cell>
          <cell r="X1220" t="str">
            <v>0</v>
          </cell>
        </row>
        <row r="1221">
          <cell r="I1221" t="str">
            <v>sim</v>
          </cell>
          <cell r="V1221" t="str">
            <v>not neg pair</v>
          </cell>
          <cell r="W1221">
            <v>0</v>
          </cell>
          <cell r="X1221" t="str">
            <v>0</v>
          </cell>
        </row>
        <row r="1222">
          <cell r="I1222" t="str">
            <v>sim</v>
          </cell>
          <cell r="V1222" t="str">
            <v>not neg pair</v>
          </cell>
          <cell r="W1222">
            <v>0</v>
          </cell>
          <cell r="X1222" t="str">
            <v>0</v>
          </cell>
        </row>
        <row r="1223">
          <cell r="I1223" t="str">
            <v>sim</v>
          </cell>
          <cell r="V1223" t="str">
            <v>not neg pair</v>
          </cell>
          <cell r="W1223">
            <v>0</v>
          </cell>
          <cell r="X1223" t="str">
            <v>0</v>
          </cell>
        </row>
        <row r="1224">
          <cell r="I1224" t="str">
            <v>sim</v>
          </cell>
          <cell r="V1224" t="str">
            <v>antonym</v>
          </cell>
          <cell r="W1224">
            <v>1</v>
          </cell>
          <cell r="X1224" t="str">
            <v>intens</v>
          </cell>
        </row>
        <row r="1225">
          <cell r="I1225" t="str">
            <v>sim</v>
          </cell>
          <cell r="V1225" t="str">
            <v>antonym</v>
          </cell>
          <cell r="W1225">
            <v>1</v>
          </cell>
          <cell r="X1225" t="str">
            <v>neg</v>
          </cell>
        </row>
        <row r="1226">
          <cell r="I1226" t="str">
            <v>sim</v>
          </cell>
          <cell r="V1226" t="str">
            <v>not neg pair</v>
          </cell>
          <cell r="W1226">
            <v>0</v>
          </cell>
          <cell r="X1226" t="str">
            <v>0</v>
          </cell>
        </row>
        <row r="1227">
          <cell r="I1227" t="str">
            <v>sim</v>
          </cell>
          <cell r="V1227" t="str">
            <v>not neg pair</v>
          </cell>
          <cell r="W1227">
            <v>0</v>
          </cell>
          <cell r="X1227" t="str">
            <v>0</v>
          </cell>
        </row>
        <row r="1228">
          <cell r="I1228" t="str">
            <v>sim</v>
          </cell>
          <cell r="V1228" t="str">
            <v>not neg pair</v>
          </cell>
          <cell r="W1228">
            <v>0</v>
          </cell>
          <cell r="X1228" t="str">
            <v>0</v>
          </cell>
        </row>
        <row r="1229">
          <cell r="I1229" t="str">
            <v>sim</v>
          </cell>
          <cell r="V1229" t="str">
            <v>not neg pair</v>
          </cell>
          <cell r="W1229">
            <v>0</v>
          </cell>
          <cell r="X1229" t="str">
            <v>0</v>
          </cell>
        </row>
        <row r="1230">
          <cell r="I1230" t="str">
            <v>sim</v>
          </cell>
          <cell r="V1230" t="str">
            <v>not neg pair</v>
          </cell>
          <cell r="W1230">
            <v>0</v>
          </cell>
          <cell r="X1230" t="str">
            <v>0</v>
          </cell>
        </row>
        <row r="1231">
          <cell r="I1231" t="str">
            <v>sim</v>
          </cell>
          <cell r="V1231" t="str">
            <v>not neg pair</v>
          </cell>
          <cell r="W1231">
            <v>0</v>
          </cell>
          <cell r="X1231" t="str">
            <v>0</v>
          </cell>
        </row>
        <row r="1232">
          <cell r="I1232" t="str">
            <v>met</v>
          </cell>
          <cell r="V1232" t="str">
            <v>0</v>
          </cell>
          <cell r="W1232">
            <v>0</v>
          </cell>
          <cell r="X1232" t="str">
            <v>0</v>
          </cell>
        </row>
        <row r="1233">
          <cell r="I1233" t="str">
            <v>met</v>
          </cell>
          <cell r="V1233" t="str">
            <v>0</v>
          </cell>
          <cell r="W1233">
            <v>0</v>
          </cell>
          <cell r="X1233" t="str">
            <v>0</v>
          </cell>
        </row>
        <row r="1234">
          <cell r="I1234" t="str">
            <v>met</v>
          </cell>
          <cell r="V1234" t="str">
            <v>0</v>
          </cell>
          <cell r="W1234">
            <v>0</v>
          </cell>
          <cell r="X1234" t="str">
            <v>0</v>
          </cell>
        </row>
        <row r="1235">
          <cell r="I1235" t="str">
            <v>met</v>
          </cell>
          <cell r="V1235" t="str">
            <v>0</v>
          </cell>
          <cell r="W1235">
            <v>0</v>
          </cell>
          <cell r="X1235" t="str">
            <v>0</v>
          </cell>
        </row>
        <row r="1236">
          <cell r="I1236" t="str">
            <v>met</v>
          </cell>
          <cell r="V1236" t="str">
            <v>0</v>
          </cell>
          <cell r="W1236">
            <v>0</v>
          </cell>
          <cell r="X1236" t="str">
            <v>0</v>
          </cell>
        </row>
        <row r="1237">
          <cell r="I1237" t="str">
            <v>met</v>
          </cell>
          <cell r="V1237" t="str">
            <v>0</v>
          </cell>
          <cell r="W1237">
            <v>0</v>
          </cell>
          <cell r="X1237" t="str">
            <v>0</v>
          </cell>
        </row>
        <row r="1238">
          <cell r="I1238" t="str">
            <v>met</v>
          </cell>
          <cell r="V1238" t="str">
            <v>0</v>
          </cell>
          <cell r="W1238">
            <v>0</v>
          </cell>
          <cell r="X1238" t="str">
            <v>0</v>
          </cell>
        </row>
        <row r="1239">
          <cell r="I1239" t="str">
            <v>met</v>
          </cell>
          <cell r="V1239" t="str">
            <v>0</v>
          </cell>
          <cell r="W1239">
            <v>0</v>
          </cell>
          <cell r="X1239" t="str">
            <v>0</v>
          </cell>
        </row>
        <row r="1240">
          <cell r="I1240" t="str">
            <v>sim</v>
          </cell>
          <cell r="V1240" t="str">
            <v>not</v>
          </cell>
          <cell r="W1240">
            <v>1</v>
          </cell>
          <cell r="X1240" t="str">
            <v>intens</v>
          </cell>
        </row>
        <row r="1241">
          <cell r="I1241" t="str">
            <v>sim</v>
          </cell>
          <cell r="V1241" t="str">
            <v>not</v>
          </cell>
          <cell r="W1241">
            <v>1</v>
          </cell>
          <cell r="X1241" t="str">
            <v>neg</v>
          </cell>
        </row>
        <row r="1242">
          <cell r="I1242" t="str">
            <v>sim</v>
          </cell>
          <cell r="V1242" t="str">
            <v>not neg pair</v>
          </cell>
          <cell r="W1242">
            <v>0</v>
          </cell>
          <cell r="X1242" t="str">
            <v>0</v>
          </cell>
        </row>
        <row r="1243">
          <cell r="I1243" t="str">
            <v>sim</v>
          </cell>
          <cell r="V1243" t="str">
            <v>not neg pair</v>
          </cell>
          <cell r="W1243">
            <v>0</v>
          </cell>
          <cell r="X1243" t="str">
            <v>0</v>
          </cell>
        </row>
        <row r="1244">
          <cell r="I1244" t="str">
            <v>sim</v>
          </cell>
          <cell r="V1244" t="str">
            <v>antonym</v>
          </cell>
          <cell r="W1244">
            <v>1</v>
          </cell>
          <cell r="X1244" t="str">
            <v>intens</v>
          </cell>
        </row>
        <row r="1245">
          <cell r="I1245" t="str">
            <v>sim</v>
          </cell>
          <cell r="V1245" t="str">
            <v>antonym</v>
          </cell>
          <cell r="W1245">
            <v>1</v>
          </cell>
          <cell r="X1245" t="str">
            <v>neg</v>
          </cell>
        </row>
        <row r="1246">
          <cell r="I1246" t="str">
            <v>sim</v>
          </cell>
          <cell r="V1246" t="str">
            <v>not neg pair</v>
          </cell>
          <cell r="W1246">
            <v>0</v>
          </cell>
          <cell r="X1246" t="str">
            <v>0</v>
          </cell>
        </row>
        <row r="1247">
          <cell r="I1247" t="str">
            <v>sim</v>
          </cell>
          <cell r="V1247" t="str">
            <v>not neg pair</v>
          </cell>
          <cell r="W1247">
            <v>0</v>
          </cell>
          <cell r="X1247" t="str">
            <v>0</v>
          </cell>
        </row>
        <row r="1248">
          <cell r="I1248" t="str">
            <v>sim</v>
          </cell>
          <cell r="V1248" t="str">
            <v>antonym</v>
          </cell>
          <cell r="W1248">
            <v>1</v>
          </cell>
          <cell r="X1248" t="str">
            <v>neg</v>
          </cell>
        </row>
        <row r="1249">
          <cell r="I1249" t="str">
            <v>sim</v>
          </cell>
          <cell r="V1249" t="str">
            <v>antonym</v>
          </cell>
          <cell r="W1249">
            <v>1</v>
          </cell>
          <cell r="X1249" t="str">
            <v>intens</v>
          </cell>
        </row>
        <row r="1250">
          <cell r="I1250" t="str">
            <v>sim</v>
          </cell>
          <cell r="V1250" t="str">
            <v>not</v>
          </cell>
          <cell r="W1250">
            <v>1</v>
          </cell>
          <cell r="X1250" t="str">
            <v>intens</v>
          </cell>
        </row>
        <row r="1251">
          <cell r="I1251" t="str">
            <v>sim</v>
          </cell>
          <cell r="V1251" t="str">
            <v>not</v>
          </cell>
          <cell r="W1251">
            <v>1</v>
          </cell>
          <cell r="X1251" t="str">
            <v>neg</v>
          </cell>
        </row>
        <row r="1252">
          <cell r="I1252" t="str">
            <v>sim</v>
          </cell>
          <cell r="V1252" t="str">
            <v>not neg pair</v>
          </cell>
          <cell r="W1252">
            <v>0</v>
          </cell>
          <cell r="X1252" t="str">
            <v>0</v>
          </cell>
        </row>
        <row r="1253">
          <cell r="I1253" t="str">
            <v>sim</v>
          </cell>
          <cell r="V1253" t="str">
            <v>not neg pair</v>
          </cell>
          <cell r="W1253">
            <v>0</v>
          </cell>
          <cell r="X1253" t="str">
            <v>0</v>
          </cell>
        </row>
        <row r="1254">
          <cell r="I1254" t="str">
            <v>met</v>
          </cell>
          <cell r="V1254" t="str">
            <v>0</v>
          </cell>
          <cell r="W1254">
            <v>0</v>
          </cell>
          <cell r="X1254" t="str">
            <v>0</v>
          </cell>
        </row>
        <row r="1255">
          <cell r="I1255" t="str">
            <v>met</v>
          </cell>
          <cell r="V1255" t="str">
            <v>0</v>
          </cell>
          <cell r="W1255">
            <v>0</v>
          </cell>
          <cell r="X1255" t="str">
            <v>0</v>
          </cell>
        </row>
        <row r="1256">
          <cell r="I1256" t="str">
            <v>met</v>
          </cell>
          <cell r="V1256" t="str">
            <v>0</v>
          </cell>
          <cell r="W1256">
            <v>0</v>
          </cell>
          <cell r="X1256" t="str">
            <v>0</v>
          </cell>
        </row>
        <row r="1257">
          <cell r="I1257" t="str">
            <v>met</v>
          </cell>
          <cell r="V1257" t="str">
            <v>0</v>
          </cell>
          <cell r="W1257">
            <v>0</v>
          </cell>
          <cell r="X1257" t="str">
            <v>0</v>
          </cell>
        </row>
        <row r="1258">
          <cell r="I1258" t="str">
            <v>met</v>
          </cell>
          <cell r="V1258" t="str">
            <v>0</v>
          </cell>
          <cell r="W1258">
            <v>0</v>
          </cell>
          <cell r="X1258" t="str">
            <v>0</v>
          </cell>
        </row>
        <row r="1259">
          <cell r="I1259" t="str">
            <v>met</v>
          </cell>
          <cell r="V1259" t="str">
            <v>0</v>
          </cell>
          <cell r="W1259">
            <v>0</v>
          </cell>
          <cell r="X1259" t="str">
            <v>0</v>
          </cell>
        </row>
        <row r="1260">
          <cell r="I1260" t="str">
            <v>sim</v>
          </cell>
          <cell r="V1260" t="str">
            <v>not neg pair</v>
          </cell>
          <cell r="W1260">
            <v>0</v>
          </cell>
          <cell r="X1260" t="str">
            <v>0</v>
          </cell>
        </row>
        <row r="1261">
          <cell r="I1261" t="str">
            <v>sim</v>
          </cell>
          <cell r="V1261" t="str">
            <v>not neg pair</v>
          </cell>
          <cell r="W1261">
            <v>0</v>
          </cell>
          <cell r="X1261" t="str">
            <v>0</v>
          </cell>
        </row>
        <row r="1262">
          <cell r="I1262" t="str">
            <v>sim</v>
          </cell>
          <cell r="V1262" t="str">
            <v>antonym</v>
          </cell>
          <cell r="W1262">
            <v>1</v>
          </cell>
          <cell r="X1262" t="str">
            <v>intens</v>
          </cell>
        </row>
        <row r="1263">
          <cell r="I1263" t="str">
            <v>sim</v>
          </cell>
          <cell r="V1263" t="str">
            <v>antonym</v>
          </cell>
          <cell r="W1263">
            <v>1</v>
          </cell>
          <cell r="X1263" t="str">
            <v>neg</v>
          </cell>
        </row>
        <row r="1264">
          <cell r="I1264" t="str">
            <v>sim</v>
          </cell>
          <cell r="V1264" t="str">
            <v>not neg pair</v>
          </cell>
          <cell r="W1264">
            <v>0</v>
          </cell>
          <cell r="X1264" t="str">
            <v>0</v>
          </cell>
        </row>
        <row r="1265">
          <cell r="I1265" t="str">
            <v>sim</v>
          </cell>
          <cell r="V1265" t="str">
            <v>not neg pair</v>
          </cell>
          <cell r="W1265">
            <v>0</v>
          </cell>
          <cell r="X1265" t="str">
            <v>0</v>
          </cell>
        </row>
        <row r="1266">
          <cell r="I1266" t="str">
            <v>met</v>
          </cell>
          <cell r="V1266" t="str">
            <v>0</v>
          </cell>
          <cell r="W1266">
            <v>0</v>
          </cell>
          <cell r="X1266" t="str">
            <v>0</v>
          </cell>
        </row>
        <row r="1267">
          <cell r="I1267" t="str">
            <v>met</v>
          </cell>
          <cell r="V1267" t="str">
            <v>0</v>
          </cell>
          <cell r="W1267">
            <v>0</v>
          </cell>
          <cell r="X1267" t="str">
            <v>0</v>
          </cell>
        </row>
        <row r="1268">
          <cell r="I1268" t="str">
            <v>met</v>
          </cell>
          <cell r="V1268" t="str">
            <v>0</v>
          </cell>
          <cell r="W1268">
            <v>0</v>
          </cell>
          <cell r="X1268" t="str">
            <v>0</v>
          </cell>
        </row>
        <row r="1269">
          <cell r="I1269" t="str">
            <v>met</v>
          </cell>
          <cell r="V1269" t="str">
            <v>0</v>
          </cell>
          <cell r="W1269">
            <v>0</v>
          </cell>
          <cell r="X1269" t="str">
            <v>0</v>
          </cell>
        </row>
        <row r="1270">
          <cell r="I1270" t="str">
            <v>sim</v>
          </cell>
          <cell r="V1270" t="str">
            <v>not neg pair</v>
          </cell>
          <cell r="W1270">
            <v>0</v>
          </cell>
          <cell r="X1270" t="str">
            <v>0</v>
          </cell>
        </row>
        <row r="1271">
          <cell r="I1271" t="str">
            <v>sim</v>
          </cell>
          <cell r="V1271" t="str">
            <v>not neg pair</v>
          </cell>
          <cell r="W1271">
            <v>0</v>
          </cell>
          <cell r="X1271" t="str">
            <v>0</v>
          </cell>
        </row>
        <row r="1272">
          <cell r="I1272" t="str">
            <v>met</v>
          </cell>
          <cell r="V1272" t="str">
            <v>0</v>
          </cell>
          <cell r="W1272">
            <v>0</v>
          </cell>
          <cell r="X1272" t="str">
            <v>0</v>
          </cell>
        </row>
        <row r="1273">
          <cell r="I1273" t="str">
            <v>met</v>
          </cell>
          <cell r="V1273" t="str">
            <v>0</v>
          </cell>
          <cell r="W1273">
            <v>0</v>
          </cell>
          <cell r="X1273" t="str">
            <v>0</v>
          </cell>
        </row>
        <row r="1274">
          <cell r="I1274" t="str">
            <v>sim</v>
          </cell>
          <cell r="V1274" t="str">
            <v>not neg pair</v>
          </cell>
          <cell r="W1274">
            <v>0</v>
          </cell>
          <cell r="X1274" t="str">
            <v>0</v>
          </cell>
        </row>
        <row r="1275">
          <cell r="I1275" t="str">
            <v>sim</v>
          </cell>
          <cell r="V1275" t="str">
            <v>not neg pair</v>
          </cell>
          <cell r="W1275">
            <v>0</v>
          </cell>
          <cell r="X1275" t="str">
            <v>0</v>
          </cell>
        </row>
        <row r="1276">
          <cell r="I1276" t="str">
            <v>sim</v>
          </cell>
          <cell r="V1276" t="str">
            <v>not neg pair</v>
          </cell>
          <cell r="W1276">
            <v>0</v>
          </cell>
          <cell r="X1276" t="str">
            <v>0</v>
          </cell>
        </row>
        <row r="1277">
          <cell r="I1277" t="str">
            <v>sim</v>
          </cell>
          <cell r="V1277" t="str">
            <v>not neg pair</v>
          </cell>
          <cell r="W1277">
            <v>0</v>
          </cell>
          <cell r="X1277" t="str">
            <v>0</v>
          </cell>
        </row>
        <row r="1278">
          <cell r="I1278" t="str">
            <v>sim</v>
          </cell>
          <cell r="V1278" t="str">
            <v>not neg pair</v>
          </cell>
          <cell r="W1278">
            <v>0</v>
          </cell>
          <cell r="X1278" t="str">
            <v>0</v>
          </cell>
        </row>
        <row r="1279">
          <cell r="I1279" t="str">
            <v>sim</v>
          </cell>
          <cell r="V1279" t="str">
            <v>not neg pair</v>
          </cell>
          <cell r="W1279">
            <v>0</v>
          </cell>
          <cell r="X1279" t="str">
            <v>0</v>
          </cell>
        </row>
        <row r="1280">
          <cell r="I1280" t="str">
            <v>sim</v>
          </cell>
          <cell r="V1280" t="str">
            <v>not neg pair</v>
          </cell>
          <cell r="W1280">
            <v>0</v>
          </cell>
          <cell r="X1280" t="str">
            <v>0</v>
          </cell>
        </row>
        <row r="1281">
          <cell r="I1281" t="str">
            <v>sim</v>
          </cell>
          <cell r="V1281" t="str">
            <v>not neg pair</v>
          </cell>
          <cell r="W1281">
            <v>0</v>
          </cell>
          <cell r="X1281" t="str">
            <v>0</v>
          </cell>
        </row>
        <row r="1282">
          <cell r="I1282" t="str">
            <v>sim</v>
          </cell>
          <cell r="V1282" t="str">
            <v>not</v>
          </cell>
          <cell r="W1282">
            <v>1</v>
          </cell>
          <cell r="X1282" t="str">
            <v>intens</v>
          </cell>
        </row>
        <row r="1283">
          <cell r="I1283" t="str">
            <v>sim</v>
          </cell>
          <cell r="V1283" t="str">
            <v>not</v>
          </cell>
          <cell r="W1283">
            <v>1</v>
          </cell>
          <cell r="X1283" t="str">
            <v>neg</v>
          </cell>
        </row>
        <row r="1284">
          <cell r="I1284" t="str">
            <v>sim</v>
          </cell>
          <cell r="V1284" t="str">
            <v>not</v>
          </cell>
          <cell r="W1284">
            <v>1</v>
          </cell>
          <cell r="X1284" t="str">
            <v>intens</v>
          </cell>
        </row>
        <row r="1285">
          <cell r="I1285" t="str">
            <v>sim</v>
          </cell>
          <cell r="V1285" t="str">
            <v>not</v>
          </cell>
          <cell r="W1285">
            <v>1</v>
          </cell>
          <cell r="X1285" t="str">
            <v>neg</v>
          </cell>
        </row>
        <row r="1286">
          <cell r="I1286" t="str">
            <v>sim</v>
          </cell>
          <cell r="V1286" t="str">
            <v>not neg pair</v>
          </cell>
          <cell r="W1286">
            <v>0</v>
          </cell>
          <cell r="X1286" t="str">
            <v>0</v>
          </cell>
        </row>
        <row r="1287">
          <cell r="I1287" t="str">
            <v>sim</v>
          </cell>
          <cell r="V1287" t="str">
            <v>not neg pair</v>
          </cell>
          <cell r="W1287">
            <v>0</v>
          </cell>
          <cell r="X1287" t="str">
            <v>0</v>
          </cell>
        </row>
        <row r="1288">
          <cell r="I1288" t="str">
            <v>sim</v>
          </cell>
          <cell r="V1288" t="str">
            <v>not neg pair</v>
          </cell>
          <cell r="W1288">
            <v>0</v>
          </cell>
          <cell r="X1288" t="str">
            <v>0</v>
          </cell>
        </row>
        <row r="1289">
          <cell r="I1289" t="str">
            <v>sim</v>
          </cell>
          <cell r="V1289" t="str">
            <v>not neg pair</v>
          </cell>
          <cell r="W1289">
            <v>0</v>
          </cell>
          <cell r="X1289" t="str">
            <v>0</v>
          </cell>
        </row>
        <row r="1290">
          <cell r="I1290" t="str">
            <v>met</v>
          </cell>
          <cell r="V1290" t="str">
            <v>0</v>
          </cell>
          <cell r="W1290">
            <v>0</v>
          </cell>
          <cell r="X1290" t="str">
            <v>0</v>
          </cell>
        </row>
        <row r="1291">
          <cell r="I1291" t="str">
            <v>sim</v>
          </cell>
          <cell r="V1291" t="str">
            <v>0</v>
          </cell>
          <cell r="W1291">
            <v>0</v>
          </cell>
          <cell r="X1291" t="str">
            <v>0</v>
          </cell>
        </row>
        <row r="1292">
          <cell r="I1292" t="str">
            <v>met</v>
          </cell>
          <cell r="V1292" t="str">
            <v>0</v>
          </cell>
          <cell r="W1292">
            <v>0</v>
          </cell>
          <cell r="X1292" t="str">
            <v>0</v>
          </cell>
        </row>
        <row r="1293">
          <cell r="I1293" t="str">
            <v>sim</v>
          </cell>
          <cell r="V1293" t="str">
            <v>0</v>
          </cell>
          <cell r="W1293">
            <v>0</v>
          </cell>
          <cell r="X1293" t="str">
            <v>0</v>
          </cell>
        </row>
        <row r="1294">
          <cell r="I1294" t="str">
            <v>met</v>
          </cell>
          <cell r="V1294" t="str">
            <v>0</v>
          </cell>
          <cell r="W1294">
            <v>0</v>
          </cell>
          <cell r="X1294" t="str">
            <v>0</v>
          </cell>
        </row>
        <row r="1295">
          <cell r="I1295" t="str">
            <v>met</v>
          </cell>
          <cell r="V1295" t="str">
            <v>0</v>
          </cell>
          <cell r="W1295">
            <v>0</v>
          </cell>
          <cell r="X1295" t="str">
            <v>0</v>
          </cell>
        </row>
        <row r="1296">
          <cell r="I1296" t="str">
            <v>sim</v>
          </cell>
          <cell r="V1296" t="str">
            <v>antonym</v>
          </cell>
          <cell r="W1296">
            <v>1</v>
          </cell>
          <cell r="X1296" t="str">
            <v>intens</v>
          </cell>
        </row>
        <row r="1297">
          <cell r="I1297" t="str">
            <v>sim</v>
          </cell>
          <cell r="V1297" t="str">
            <v>antonym</v>
          </cell>
          <cell r="W1297">
            <v>1</v>
          </cell>
          <cell r="X1297" t="str">
            <v>neg</v>
          </cell>
        </row>
        <row r="1298">
          <cell r="I1298" t="str">
            <v>sim</v>
          </cell>
          <cell r="V1298" t="str">
            <v>antonym</v>
          </cell>
          <cell r="W1298">
            <v>1</v>
          </cell>
          <cell r="X1298" t="str">
            <v>intens</v>
          </cell>
        </row>
        <row r="1299">
          <cell r="I1299" t="str">
            <v>sim</v>
          </cell>
          <cell r="V1299" t="str">
            <v>antonym</v>
          </cell>
          <cell r="W1299">
            <v>1</v>
          </cell>
          <cell r="X1299" t="str">
            <v>neg</v>
          </cell>
        </row>
        <row r="1300">
          <cell r="I1300" t="str">
            <v>sim</v>
          </cell>
          <cell r="V1300" t="str">
            <v>not</v>
          </cell>
          <cell r="W1300">
            <v>1</v>
          </cell>
          <cell r="X1300" t="str">
            <v>intens</v>
          </cell>
        </row>
        <row r="1301">
          <cell r="I1301" t="str">
            <v>sim</v>
          </cell>
          <cell r="V1301" t="str">
            <v>not</v>
          </cell>
          <cell r="W1301">
            <v>1</v>
          </cell>
          <cell r="X1301" t="str">
            <v>neg</v>
          </cell>
        </row>
        <row r="1302">
          <cell r="I1302" t="str">
            <v>sim</v>
          </cell>
          <cell r="V1302" t="str">
            <v>not</v>
          </cell>
          <cell r="W1302">
            <v>1</v>
          </cell>
          <cell r="X1302" t="str">
            <v>neg</v>
          </cell>
        </row>
        <row r="1303">
          <cell r="I1303" t="str">
            <v>sim</v>
          </cell>
          <cell r="V1303" t="str">
            <v>not</v>
          </cell>
          <cell r="W1303">
            <v>1</v>
          </cell>
          <cell r="X1303" t="str">
            <v>intens</v>
          </cell>
        </row>
        <row r="1304">
          <cell r="I1304" t="str">
            <v>sim</v>
          </cell>
          <cell r="V1304" t="str">
            <v>not neg pair</v>
          </cell>
          <cell r="W1304">
            <v>0</v>
          </cell>
          <cell r="X1304" t="str">
            <v>0</v>
          </cell>
        </row>
        <row r="1305">
          <cell r="I1305" t="str">
            <v>sim</v>
          </cell>
          <cell r="V1305" t="str">
            <v>not neg pair</v>
          </cell>
          <cell r="W1305">
            <v>0</v>
          </cell>
          <cell r="X1305" t="str">
            <v>0</v>
          </cell>
        </row>
        <row r="1306">
          <cell r="I1306" t="str">
            <v>sim</v>
          </cell>
          <cell r="V1306" t="str">
            <v>not neg pair</v>
          </cell>
          <cell r="W1306">
            <v>0</v>
          </cell>
          <cell r="X1306" t="str">
            <v>0</v>
          </cell>
        </row>
        <row r="1307">
          <cell r="I1307" t="str">
            <v>sim</v>
          </cell>
          <cell r="V1307" t="str">
            <v>not neg pair</v>
          </cell>
          <cell r="W1307">
            <v>0</v>
          </cell>
          <cell r="X1307" t="str">
            <v>0</v>
          </cell>
        </row>
        <row r="1308">
          <cell r="I1308" t="str">
            <v>sim</v>
          </cell>
          <cell r="V1308" t="str">
            <v>antonym</v>
          </cell>
          <cell r="W1308">
            <v>1</v>
          </cell>
          <cell r="X1308" t="str">
            <v>intens</v>
          </cell>
        </row>
        <row r="1309">
          <cell r="I1309" t="str">
            <v>sim</v>
          </cell>
          <cell r="V1309" t="str">
            <v>antonym</v>
          </cell>
          <cell r="W1309">
            <v>1</v>
          </cell>
          <cell r="X1309" t="str">
            <v>neg</v>
          </cell>
        </row>
        <row r="1310">
          <cell r="I1310" t="str">
            <v>sim</v>
          </cell>
          <cell r="V1310" t="str">
            <v>not neg pair</v>
          </cell>
          <cell r="W1310">
            <v>0</v>
          </cell>
          <cell r="X1310" t="str">
            <v>0</v>
          </cell>
        </row>
        <row r="1311">
          <cell r="I1311" t="str">
            <v>sim</v>
          </cell>
          <cell r="V1311" t="str">
            <v>not neg pair</v>
          </cell>
          <cell r="W1311">
            <v>0</v>
          </cell>
          <cell r="X1311" t="str">
            <v>0</v>
          </cell>
        </row>
        <row r="1312">
          <cell r="I1312" t="str">
            <v>sim</v>
          </cell>
          <cell r="V1312" t="str">
            <v>not neg pair</v>
          </cell>
          <cell r="W1312">
            <v>0</v>
          </cell>
          <cell r="X1312" t="str">
            <v>0</v>
          </cell>
        </row>
        <row r="1313">
          <cell r="I1313" t="str">
            <v>sim</v>
          </cell>
          <cell r="V1313" t="str">
            <v>not neg pair</v>
          </cell>
          <cell r="W1313">
            <v>0</v>
          </cell>
          <cell r="X1313" t="str">
            <v>0</v>
          </cell>
        </row>
        <row r="1314">
          <cell r="I1314" t="str">
            <v>sim</v>
          </cell>
          <cell r="V1314" t="str">
            <v>not neg pair</v>
          </cell>
          <cell r="W1314">
            <v>0</v>
          </cell>
          <cell r="X1314" t="str">
            <v>0</v>
          </cell>
        </row>
        <row r="1315">
          <cell r="I1315" t="str">
            <v>sim</v>
          </cell>
          <cell r="V1315" t="str">
            <v>not neg pair</v>
          </cell>
          <cell r="W1315">
            <v>0</v>
          </cell>
          <cell r="X1315" t="str">
            <v>0</v>
          </cell>
        </row>
        <row r="1316">
          <cell r="I1316" t="str">
            <v>sim</v>
          </cell>
          <cell r="V1316" t="str">
            <v>not neg pair</v>
          </cell>
          <cell r="W1316">
            <v>0</v>
          </cell>
          <cell r="X1316" t="str">
            <v>0</v>
          </cell>
        </row>
        <row r="1317">
          <cell r="I1317" t="str">
            <v>sim</v>
          </cell>
          <cell r="V1317" t="str">
            <v>not neg pair</v>
          </cell>
          <cell r="W1317">
            <v>0</v>
          </cell>
          <cell r="X1317" t="str">
            <v>0</v>
          </cell>
        </row>
        <row r="1318">
          <cell r="I1318" t="str">
            <v>sim</v>
          </cell>
          <cell r="V1318" t="str">
            <v>antonym</v>
          </cell>
          <cell r="W1318">
            <v>1</v>
          </cell>
          <cell r="X1318" t="str">
            <v>intens</v>
          </cell>
        </row>
        <row r="1319">
          <cell r="I1319" t="str">
            <v>sim</v>
          </cell>
          <cell r="V1319" t="str">
            <v>antonym</v>
          </cell>
          <cell r="W1319">
            <v>1</v>
          </cell>
          <cell r="X1319" t="str">
            <v>neg</v>
          </cell>
        </row>
        <row r="1320">
          <cell r="I1320" t="str">
            <v>sim</v>
          </cell>
          <cell r="V1320" t="str">
            <v>not neg pair</v>
          </cell>
          <cell r="W1320">
            <v>0</v>
          </cell>
          <cell r="X1320" t="str">
            <v>0</v>
          </cell>
        </row>
        <row r="1321">
          <cell r="I1321" t="str">
            <v>sim</v>
          </cell>
          <cell r="V1321" t="str">
            <v>not neg pair</v>
          </cell>
          <cell r="W1321">
            <v>0</v>
          </cell>
          <cell r="X1321" t="str">
            <v>0</v>
          </cell>
        </row>
        <row r="1322">
          <cell r="I1322" t="str">
            <v>met</v>
          </cell>
          <cell r="V1322" t="str">
            <v>0</v>
          </cell>
          <cell r="W1322">
            <v>0</v>
          </cell>
          <cell r="X1322" t="str">
            <v>0</v>
          </cell>
        </row>
        <row r="1323">
          <cell r="I1323" t="str">
            <v>met</v>
          </cell>
          <cell r="V1323" t="str">
            <v>0</v>
          </cell>
          <cell r="W1323">
            <v>0</v>
          </cell>
          <cell r="X1323" t="str">
            <v>0</v>
          </cell>
        </row>
        <row r="1324">
          <cell r="I1324" t="str">
            <v>sim</v>
          </cell>
          <cell r="V1324" t="str">
            <v>not neg pair</v>
          </cell>
          <cell r="W1324">
            <v>0</v>
          </cell>
          <cell r="X1324" t="str">
            <v>0</v>
          </cell>
        </row>
        <row r="1325">
          <cell r="I1325" t="str">
            <v>sim</v>
          </cell>
          <cell r="V1325" t="str">
            <v>not neg pair</v>
          </cell>
          <cell r="W1325">
            <v>0</v>
          </cell>
          <cell r="X1325" t="str">
            <v>0</v>
          </cell>
        </row>
        <row r="1326">
          <cell r="I1326" t="str">
            <v>sim</v>
          </cell>
          <cell r="V1326" t="str">
            <v>not neg pair</v>
          </cell>
          <cell r="W1326">
            <v>0</v>
          </cell>
          <cell r="X1326" t="str">
            <v>0</v>
          </cell>
        </row>
        <row r="1327">
          <cell r="I1327" t="str">
            <v>sim</v>
          </cell>
          <cell r="V1327" t="str">
            <v>not neg pair</v>
          </cell>
          <cell r="W1327">
            <v>0</v>
          </cell>
          <cell r="X1327" t="str">
            <v>0</v>
          </cell>
        </row>
        <row r="1328">
          <cell r="I1328" t="str">
            <v>sim</v>
          </cell>
          <cell r="V1328" t="str">
            <v>not</v>
          </cell>
          <cell r="W1328">
            <v>1</v>
          </cell>
          <cell r="X1328" t="str">
            <v>neg</v>
          </cell>
        </row>
        <row r="1329">
          <cell r="I1329" t="str">
            <v>sim</v>
          </cell>
          <cell r="V1329" t="str">
            <v>not</v>
          </cell>
          <cell r="W1329">
            <v>1</v>
          </cell>
          <cell r="X1329" t="str">
            <v>intens</v>
          </cell>
        </row>
        <row r="1330">
          <cell r="I1330" t="str">
            <v>met</v>
          </cell>
          <cell r="V1330" t="str">
            <v>0</v>
          </cell>
          <cell r="W1330">
            <v>0</v>
          </cell>
          <cell r="X1330" t="str">
            <v>0</v>
          </cell>
        </row>
        <row r="1331">
          <cell r="I1331" t="str">
            <v>met</v>
          </cell>
          <cell r="V1331" t="str">
            <v>0</v>
          </cell>
          <cell r="W1331">
            <v>0</v>
          </cell>
          <cell r="X1331" t="str">
            <v>0</v>
          </cell>
        </row>
        <row r="1332">
          <cell r="I1332" t="str">
            <v>sim</v>
          </cell>
          <cell r="V1332" t="str">
            <v>not</v>
          </cell>
          <cell r="W1332">
            <v>1</v>
          </cell>
          <cell r="X1332" t="str">
            <v>intens</v>
          </cell>
        </row>
        <row r="1333">
          <cell r="I1333" t="str">
            <v>sim</v>
          </cell>
          <cell r="V1333" t="str">
            <v>not</v>
          </cell>
          <cell r="W1333">
            <v>1</v>
          </cell>
          <cell r="X1333" t="str">
            <v>neg</v>
          </cell>
        </row>
        <row r="1334">
          <cell r="I1334" t="str">
            <v>sim</v>
          </cell>
          <cell r="V1334" t="str">
            <v>not neg pair</v>
          </cell>
          <cell r="W1334">
            <v>0</v>
          </cell>
          <cell r="X1334" t="str">
            <v>0</v>
          </cell>
        </row>
        <row r="1335">
          <cell r="I1335" t="str">
            <v>sim</v>
          </cell>
          <cell r="V1335" t="str">
            <v>not neg pair</v>
          </cell>
          <cell r="W1335">
            <v>0</v>
          </cell>
          <cell r="X1335" t="str">
            <v>0</v>
          </cell>
        </row>
        <row r="1336">
          <cell r="I1336" t="str">
            <v>sim</v>
          </cell>
          <cell r="V1336" t="str">
            <v>not neg pair</v>
          </cell>
          <cell r="W1336">
            <v>0</v>
          </cell>
          <cell r="X1336" t="str">
            <v>0</v>
          </cell>
        </row>
        <row r="1337">
          <cell r="I1337" t="str">
            <v>sim</v>
          </cell>
          <cell r="V1337" t="str">
            <v>not neg pair</v>
          </cell>
          <cell r="W1337">
            <v>0</v>
          </cell>
          <cell r="X1337" t="str">
            <v>0</v>
          </cell>
        </row>
        <row r="1338">
          <cell r="I1338" t="str">
            <v>sim</v>
          </cell>
          <cell r="V1338" t="str">
            <v>not</v>
          </cell>
          <cell r="W1338">
            <v>1</v>
          </cell>
          <cell r="X1338" t="str">
            <v>intens</v>
          </cell>
        </row>
        <row r="1339">
          <cell r="I1339" t="str">
            <v>sim</v>
          </cell>
          <cell r="V1339" t="str">
            <v>not</v>
          </cell>
          <cell r="W1339">
            <v>1</v>
          </cell>
          <cell r="X1339" t="str">
            <v>neg</v>
          </cell>
        </row>
        <row r="1340">
          <cell r="I1340" t="str">
            <v>sim</v>
          </cell>
          <cell r="V1340" t="str">
            <v>not neg pair</v>
          </cell>
          <cell r="W1340">
            <v>0</v>
          </cell>
          <cell r="X1340" t="str">
            <v>0</v>
          </cell>
        </row>
        <row r="1341">
          <cell r="I1341" t="str">
            <v>sim</v>
          </cell>
          <cell r="V1341" t="str">
            <v>not neg pair</v>
          </cell>
          <cell r="W1341">
            <v>0</v>
          </cell>
          <cell r="X1341" t="str">
            <v>0</v>
          </cell>
        </row>
        <row r="1342">
          <cell r="I1342" t="str">
            <v>sim</v>
          </cell>
          <cell r="V1342" t="str">
            <v>not</v>
          </cell>
          <cell r="W1342">
            <v>1</v>
          </cell>
          <cell r="X1342" t="str">
            <v>neg</v>
          </cell>
        </row>
        <row r="1343">
          <cell r="I1343" t="str">
            <v>sim</v>
          </cell>
          <cell r="V1343" t="str">
            <v>not</v>
          </cell>
          <cell r="W1343">
            <v>1</v>
          </cell>
          <cell r="X1343" t="str">
            <v>intens</v>
          </cell>
        </row>
        <row r="1344">
          <cell r="I1344" t="str">
            <v>sim</v>
          </cell>
          <cell r="V1344" t="str">
            <v>not</v>
          </cell>
          <cell r="W1344">
            <v>1</v>
          </cell>
          <cell r="X1344" t="str">
            <v>intens</v>
          </cell>
        </row>
        <row r="1345">
          <cell r="I1345" t="str">
            <v>sim</v>
          </cell>
          <cell r="V1345" t="str">
            <v>not</v>
          </cell>
          <cell r="W1345">
            <v>1</v>
          </cell>
          <cell r="X1345" t="str">
            <v>neg</v>
          </cell>
        </row>
        <row r="1346">
          <cell r="I1346" t="str">
            <v>met</v>
          </cell>
          <cell r="V1346" t="str">
            <v>0</v>
          </cell>
          <cell r="W1346">
            <v>0</v>
          </cell>
          <cell r="X1346" t="str">
            <v>0</v>
          </cell>
        </row>
        <row r="1347">
          <cell r="I1347" t="str">
            <v>met</v>
          </cell>
          <cell r="V1347" t="str">
            <v>0</v>
          </cell>
          <cell r="W1347">
            <v>0</v>
          </cell>
          <cell r="X1347" t="str">
            <v>0</v>
          </cell>
        </row>
        <row r="1348">
          <cell r="I1348" t="str">
            <v>met</v>
          </cell>
          <cell r="V1348" t="str">
            <v>0</v>
          </cell>
          <cell r="W1348">
            <v>0</v>
          </cell>
          <cell r="X1348" t="str">
            <v>0</v>
          </cell>
        </row>
        <row r="1349">
          <cell r="I1349" t="str">
            <v>met</v>
          </cell>
          <cell r="V1349" t="str">
            <v>0</v>
          </cell>
          <cell r="W1349">
            <v>0</v>
          </cell>
          <cell r="X1349" t="str">
            <v>0</v>
          </cell>
        </row>
        <row r="1350">
          <cell r="I1350" t="str">
            <v>met</v>
          </cell>
          <cell r="V1350" t="str">
            <v>0</v>
          </cell>
          <cell r="W1350">
            <v>0</v>
          </cell>
          <cell r="X1350" t="str">
            <v>0</v>
          </cell>
        </row>
        <row r="1351">
          <cell r="I1351" t="str">
            <v>met</v>
          </cell>
          <cell r="V1351" t="str">
            <v>0</v>
          </cell>
          <cell r="W1351">
            <v>0</v>
          </cell>
          <cell r="X1351" t="str">
            <v>0</v>
          </cell>
        </row>
        <row r="1352">
          <cell r="I1352" t="str">
            <v>sim</v>
          </cell>
          <cell r="V1352" t="str">
            <v>not neg pair</v>
          </cell>
          <cell r="W1352">
            <v>0</v>
          </cell>
          <cell r="X1352" t="str">
            <v>0</v>
          </cell>
        </row>
        <row r="1353">
          <cell r="I1353" t="str">
            <v>sim</v>
          </cell>
          <cell r="V1353" t="str">
            <v>not neg pair</v>
          </cell>
          <cell r="W1353">
            <v>0</v>
          </cell>
          <cell r="X1353" t="str">
            <v>0</v>
          </cell>
        </row>
        <row r="1354">
          <cell r="I1354" t="str">
            <v>sim</v>
          </cell>
          <cell r="V1354" t="str">
            <v>not neg pair</v>
          </cell>
          <cell r="W1354">
            <v>0</v>
          </cell>
          <cell r="X1354" t="str">
            <v>0</v>
          </cell>
        </row>
        <row r="1355">
          <cell r="I1355" t="str">
            <v>sim</v>
          </cell>
          <cell r="V1355" t="str">
            <v>not neg pair</v>
          </cell>
          <cell r="W1355">
            <v>0</v>
          </cell>
          <cell r="X1355" t="str">
            <v>0</v>
          </cell>
        </row>
        <row r="1356">
          <cell r="I1356" t="str">
            <v>sim</v>
          </cell>
          <cell r="V1356" t="str">
            <v>not</v>
          </cell>
          <cell r="W1356">
            <v>1</v>
          </cell>
          <cell r="X1356" t="str">
            <v>neg</v>
          </cell>
        </row>
        <row r="1357">
          <cell r="I1357" t="str">
            <v>sim</v>
          </cell>
          <cell r="V1357" t="str">
            <v>not</v>
          </cell>
          <cell r="W1357">
            <v>1</v>
          </cell>
          <cell r="X1357" t="str">
            <v>intens</v>
          </cell>
        </row>
        <row r="1358">
          <cell r="I1358" t="str">
            <v>sim</v>
          </cell>
          <cell r="V1358" t="str">
            <v>antonym</v>
          </cell>
          <cell r="W1358">
            <v>1</v>
          </cell>
          <cell r="X1358" t="str">
            <v>intens</v>
          </cell>
        </row>
        <row r="1359">
          <cell r="I1359" t="str">
            <v>sim</v>
          </cell>
          <cell r="V1359" t="str">
            <v>antonym</v>
          </cell>
          <cell r="W1359">
            <v>1</v>
          </cell>
          <cell r="X1359" t="str">
            <v>neg</v>
          </cell>
        </row>
        <row r="1360">
          <cell r="I1360" t="str">
            <v>sim</v>
          </cell>
          <cell r="V1360" t="str">
            <v>not</v>
          </cell>
          <cell r="W1360">
            <v>1</v>
          </cell>
          <cell r="X1360" t="str">
            <v>intens</v>
          </cell>
        </row>
        <row r="1361">
          <cell r="I1361" t="str">
            <v>sim</v>
          </cell>
          <cell r="V1361" t="str">
            <v>not</v>
          </cell>
          <cell r="W1361">
            <v>1</v>
          </cell>
          <cell r="X1361" t="str">
            <v>neg</v>
          </cell>
        </row>
        <row r="1362">
          <cell r="I1362" t="str">
            <v>sim</v>
          </cell>
          <cell r="V1362" t="str">
            <v>not neg pair</v>
          </cell>
          <cell r="W1362">
            <v>0</v>
          </cell>
          <cell r="X1362" t="str">
            <v>0</v>
          </cell>
        </row>
        <row r="1363">
          <cell r="I1363" t="str">
            <v>sim</v>
          </cell>
          <cell r="V1363" t="str">
            <v>not neg pair</v>
          </cell>
          <cell r="W1363">
            <v>0</v>
          </cell>
          <cell r="X1363" t="str">
            <v>0</v>
          </cell>
        </row>
        <row r="1364">
          <cell r="I1364" t="str">
            <v>met</v>
          </cell>
          <cell r="V1364" t="str">
            <v>0</v>
          </cell>
          <cell r="W1364">
            <v>0</v>
          </cell>
          <cell r="X1364" t="str">
            <v>0</v>
          </cell>
        </row>
        <row r="1365">
          <cell r="I1365" t="str">
            <v>met</v>
          </cell>
          <cell r="V1365" t="str">
            <v>0</v>
          </cell>
          <cell r="W1365">
            <v>0</v>
          </cell>
          <cell r="X1365" t="str">
            <v>0</v>
          </cell>
        </row>
        <row r="1366">
          <cell r="I1366" t="str">
            <v>sim</v>
          </cell>
          <cell r="V1366" t="str">
            <v>not</v>
          </cell>
          <cell r="W1366">
            <v>1</v>
          </cell>
          <cell r="X1366" t="str">
            <v>intens</v>
          </cell>
        </row>
        <row r="1367">
          <cell r="I1367" t="str">
            <v>sim</v>
          </cell>
          <cell r="V1367" t="str">
            <v>not</v>
          </cell>
          <cell r="W1367">
            <v>1</v>
          </cell>
          <cell r="X1367" t="str">
            <v>neg</v>
          </cell>
        </row>
        <row r="1368">
          <cell r="I1368" t="str">
            <v>sim</v>
          </cell>
          <cell r="V1368" t="str">
            <v>not neg pair</v>
          </cell>
          <cell r="W1368">
            <v>0</v>
          </cell>
          <cell r="X1368" t="str">
            <v>0</v>
          </cell>
        </row>
        <row r="1369">
          <cell r="I1369" t="str">
            <v>sim</v>
          </cell>
          <cell r="V1369" t="str">
            <v>not neg pair</v>
          </cell>
          <cell r="W1369">
            <v>0</v>
          </cell>
          <cell r="X1369" t="str">
            <v>0</v>
          </cell>
        </row>
        <row r="1370">
          <cell r="I1370" t="str">
            <v>sim</v>
          </cell>
          <cell r="V1370" t="str">
            <v>not neg pair</v>
          </cell>
          <cell r="W1370">
            <v>0</v>
          </cell>
          <cell r="X1370" t="str">
            <v>0</v>
          </cell>
        </row>
        <row r="1371">
          <cell r="I1371" t="str">
            <v>sim</v>
          </cell>
          <cell r="V1371" t="str">
            <v>not neg pair</v>
          </cell>
          <cell r="W1371">
            <v>0</v>
          </cell>
          <cell r="X1371" t="str">
            <v>0</v>
          </cell>
        </row>
        <row r="1372">
          <cell r="I1372" t="str">
            <v>sim</v>
          </cell>
          <cell r="V1372" t="str">
            <v>not neg pair</v>
          </cell>
          <cell r="W1372">
            <v>0</v>
          </cell>
          <cell r="X1372" t="str">
            <v>0</v>
          </cell>
        </row>
        <row r="1373">
          <cell r="I1373" t="str">
            <v>sim</v>
          </cell>
          <cell r="V1373" t="str">
            <v>not neg pair</v>
          </cell>
          <cell r="W1373">
            <v>0</v>
          </cell>
          <cell r="X1373" t="str">
            <v>0</v>
          </cell>
        </row>
        <row r="1374">
          <cell r="I1374" t="str">
            <v>sim</v>
          </cell>
          <cell r="V1374" t="str">
            <v>not neg pair</v>
          </cell>
          <cell r="W1374">
            <v>0</v>
          </cell>
          <cell r="X1374" t="str">
            <v>0</v>
          </cell>
        </row>
        <row r="1375">
          <cell r="I1375" t="str">
            <v>sim</v>
          </cell>
          <cell r="V1375" t="str">
            <v>not neg pair</v>
          </cell>
          <cell r="W1375">
            <v>0</v>
          </cell>
          <cell r="X1375" t="str">
            <v>0</v>
          </cell>
        </row>
        <row r="1376">
          <cell r="I1376" t="str">
            <v>sim</v>
          </cell>
          <cell r="V1376" t="str">
            <v>not</v>
          </cell>
          <cell r="W1376">
            <v>1</v>
          </cell>
          <cell r="X1376" t="str">
            <v>intens</v>
          </cell>
        </row>
        <row r="1377">
          <cell r="I1377" t="str">
            <v>sim</v>
          </cell>
          <cell r="V1377" t="str">
            <v>not</v>
          </cell>
          <cell r="W1377">
            <v>1</v>
          </cell>
          <cell r="X1377" t="str">
            <v>neg</v>
          </cell>
        </row>
        <row r="1378">
          <cell r="I1378" t="str">
            <v>sim</v>
          </cell>
          <cell r="V1378" t="str">
            <v>not</v>
          </cell>
          <cell r="W1378">
            <v>1</v>
          </cell>
          <cell r="X1378" t="str">
            <v>intens</v>
          </cell>
        </row>
        <row r="1379">
          <cell r="I1379" t="str">
            <v>sim</v>
          </cell>
          <cell r="V1379" t="str">
            <v>not</v>
          </cell>
          <cell r="W1379">
            <v>1</v>
          </cell>
          <cell r="X1379" t="str">
            <v>neg</v>
          </cell>
        </row>
        <row r="1380">
          <cell r="I1380" t="str">
            <v>sim</v>
          </cell>
          <cell r="V1380" t="str">
            <v>not</v>
          </cell>
          <cell r="W1380">
            <v>1</v>
          </cell>
          <cell r="X1380" t="str">
            <v>intens</v>
          </cell>
        </row>
        <row r="1381">
          <cell r="I1381" t="str">
            <v>sim</v>
          </cell>
          <cell r="V1381" t="str">
            <v>not</v>
          </cell>
          <cell r="W1381">
            <v>1</v>
          </cell>
          <cell r="X1381" t="str">
            <v>neg</v>
          </cell>
        </row>
        <row r="1382">
          <cell r="I1382" t="str">
            <v>sim</v>
          </cell>
          <cell r="V1382" t="str">
            <v>antonym</v>
          </cell>
          <cell r="W1382">
            <v>1</v>
          </cell>
          <cell r="X1382" t="str">
            <v>intens</v>
          </cell>
        </row>
        <row r="1383">
          <cell r="I1383" t="str">
            <v>sim</v>
          </cell>
          <cell r="V1383" t="str">
            <v>antonym</v>
          </cell>
          <cell r="W1383">
            <v>1</v>
          </cell>
          <cell r="X1383" t="str">
            <v>neg</v>
          </cell>
        </row>
        <row r="1384">
          <cell r="I1384" t="str">
            <v>sim</v>
          </cell>
          <cell r="V1384" t="str">
            <v>not neg pair</v>
          </cell>
          <cell r="W1384">
            <v>0</v>
          </cell>
          <cell r="X1384" t="str">
            <v>0</v>
          </cell>
        </row>
        <row r="1385">
          <cell r="I1385" t="str">
            <v>sim</v>
          </cell>
          <cell r="V1385" t="str">
            <v>not neg pair</v>
          </cell>
          <cell r="W1385">
            <v>0</v>
          </cell>
          <cell r="X1385" t="str">
            <v>0</v>
          </cell>
        </row>
        <row r="1386">
          <cell r="I1386" t="str">
            <v>sim</v>
          </cell>
          <cell r="V1386" t="str">
            <v>not neg pair</v>
          </cell>
          <cell r="W1386">
            <v>0</v>
          </cell>
          <cell r="X1386" t="str">
            <v>0</v>
          </cell>
        </row>
        <row r="1387">
          <cell r="I1387" t="str">
            <v>sim</v>
          </cell>
          <cell r="V1387" t="str">
            <v>not neg pair</v>
          </cell>
          <cell r="W1387">
            <v>0</v>
          </cell>
          <cell r="X1387" t="str">
            <v>0</v>
          </cell>
        </row>
        <row r="1388">
          <cell r="I1388" t="str">
            <v>sim</v>
          </cell>
          <cell r="V1388" t="str">
            <v>not neg pair</v>
          </cell>
          <cell r="W1388">
            <v>0</v>
          </cell>
          <cell r="X1388" t="str">
            <v>0</v>
          </cell>
        </row>
        <row r="1389">
          <cell r="I1389" t="str">
            <v>sim</v>
          </cell>
          <cell r="V1389" t="str">
            <v>not neg pair</v>
          </cell>
          <cell r="W1389">
            <v>0</v>
          </cell>
          <cell r="X1389" t="str">
            <v>0</v>
          </cell>
        </row>
        <row r="1390">
          <cell r="I1390" t="str">
            <v>sim</v>
          </cell>
          <cell r="V1390" t="str">
            <v>not neg pair</v>
          </cell>
          <cell r="W1390">
            <v>0</v>
          </cell>
          <cell r="X1390" t="str">
            <v>0</v>
          </cell>
        </row>
        <row r="1391">
          <cell r="I1391" t="str">
            <v>sim</v>
          </cell>
          <cell r="V1391" t="str">
            <v>not neg pair</v>
          </cell>
          <cell r="W1391">
            <v>0</v>
          </cell>
          <cell r="X1391" t="str">
            <v>0</v>
          </cell>
        </row>
        <row r="1392">
          <cell r="I1392" t="str">
            <v>met</v>
          </cell>
          <cell r="V1392" t="str">
            <v>0</v>
          </cell>
          <cell r="W1392">
            <v>0</v>
          </cell>
          <cell r="X1392" t="str">
            <v>0</v>
          </cell>
        </row>
        <row r="1393">
          <cell r="I1393" t="str">
            <v>met</v>
          </cell>
          <cell r="V1393" t="str">
            <v>0</v>
          </cell>
          <cell r="W1393">
            <v>0</v>
          </cell>
          <cell r="X1393" t="str">
            <v>0</v>
          </cell>
        </row>
        <row r="1394">
          <cell r="I1394" t="str">
            <v>sim</v>
          </cell>
          <cell r="V1394" t="str">
            <v>not neg pair</v>
          </cell>
          <cell r="W1394">
            <v>0</v>
          </cell>
          <cell r="X1394" t="str">
            <v>0</v>
          </cell>
        </row>
        <row r="1395">
          <cell r="I1395" t="str">
            <v>sim</v>
          </cell>
          <cell r="V1395" t="str">
            <v>not neg pair</v>
          </cell>
          <cell r="W1395">
            <v>0</v>
          </cell>
          <cell r="X1395" t="str">
            <v>0</v>
          </cell>
        </row>
        <row r="1396">
          <cell r="I1396" t="str">
            <v>sim</v>
          </cell>
          <cell r="V1396" t="str">
            <v>not neg pair</v>
          </cell>
          <cell r="W1396">
            <v>0</v>
          </cell>
          <cell r="X1396" t="str">
            <v>0</v>
          </cell>
        </row>
        <row r="1397">
          <cell r="I1397" t="str">
            <v>sim</v>
          </cell>
          <cell r="V1397" t="str">
            <v>not neg pair</v>
          </cell>
          <cell r="W1397">
            <v>0</v>
          </cell>
          <cell r="X1397" t="str">
            <v>0</v>
          </cell>
        </row>
        <row r="1398">
          <cell r="I1398" t="str">
            <v>sim</v>
          </cell>
          <cell r="V1398" t="str">
            <v>not neg pair</v>
          </cell>
          <cell r="W1398">
            <v>0</v>
          </cell>
          <cell r="X1398" t="str">
            <v>0</v>
          </cell>
        </row>
        <row r="1399">
          <cell r="I1399" t="str">
            <v>sim</v>
          </cell>
          <cell r="V1399" t="str">
            <v>not neg pair</v>
          </cell>
          <cell r="W1399">
            <v>0</v>
          </cell>
          <cell r="X1399" t="str">
            <v>0</v>
          </cell>
        </row>
        <row r="1400">
          <cell r="I1400" t="str">
            <v>met</v>
          </cell>
          <cell r="V1400" t="str">
            <v>0</v>
          </cell>
          <cell r="W1400">
            <v>0</v>
          </cell>
          <cell r="X1400" t="str">
            <v>0</v>
          </cell>
        </row>
        <row r="1401">
          <cell r="I1401" t="str">
            <v>met</v>
          </cell>
          <cell r="V1401" t="str">
            <v>0</v>
          </cell>
          <cell r="W1401">
            <v>0</v>
          </cell>
          <cell r="X1401" t="str">
            <v>0</v>
          </cell>
        </row>
        <row r="1402">
          <cell r="I1402" t="str">
            <v>sim</v>
          </cell>
          <cell r="V1402" t="str">
            <v>antonym</v>
          </cell>
          <cell r="W1402">
            <v>1</v>
          </cell>
          <cell r="X1402" t="str">
            <v>intens</v>
          </cell>
        </row>
        <row r="1403">
          <cell r="I1403" t="str">
            <v>sim</v>
          </cell>
          <cell r="V1403" t="str">
            <v>antonym</v>
          </cell>
          <cell r="W1403">
            <v>1</v>
          </cell>
          <cell r="X1403" t="str">
            <v>intens</v>
          </cell>
        </row>
        <row r="1404">
          <cell r="I1404" t="str">
            <v>sim</v>
          </cell>
          <cell r="V1404" t="str">
            <v>not neg pair</v>
          </cell>
          <cell r="W1404">
            <v>0</v>
          </cell>
          <cell r="X1404" t="str">
            <v>0</v>
          </cell>
        </row>
        <row r="1405">
          <cell r="I1405" t="str">
            <v>sim</v>
          </cell>
          <cell r="V1405" t="str">
            <v>not neg pair</v>
          </cell>
          <cell r="W1405">
            <v>0</v>
          </cell>
          <cell r="X1405" t="str">
            <v>0</v>
          </cell>
        </row>
        <row r="1406">
          <cell r="I1406" t="str">
            <v>sim</v>
          </cell>
          <cell r="V1406" t="str">
            <v>not neg pair</v>
          </cell>
          <cell r="W1406">
            <v>0</v>
          </cell>
          <cell r="X1406" t="str">
            <v>0</v>
          </cell>
        </row>
        <row r="1407">
          <cell r="I1407" t="str">
            <v>sim</v>
          </cell>
          <cell r="V1407" t="str">
            <v>not neg pair</v>
          </cell>
          <cell r="W1407">
            <v>0</v>
          </cell>
          <cell r="X1407" t="str">
            <v>0</v>
          </cell>
        </row>
        <row r="1408">
          <cell r="I1408" t="str">
            <v>sim</v>
          </cell>
          <cell r="V1408" t="str">
            <v>not neg pair</v>
          </cell>
          <cell r="W1408">
            <v>0</v>
          </cell>
          <cell r="X1408" t="str">
            <v>0</v>
          </cell>
        </row>
        <row r="1409">
          <cell r="I1409" t="str">
            <v>sim</v>
          </cell>
          <cell r="V1409" t="str">
            <v>not neg pair</v>
          </cell>
          <cell r="W1409">
            <v>0</v>
          </cell>
          <cell r="X1409" t="str">
            <v>0</v>
          </cell>
        </row>
        <row r="1410">
          <cell r="I1410" t="str">
            <v>sim</v>
          </cell>
          <cell r="V1410" t="str">
            <v>not neg pair</v>
          </cell>
          <cell r="W1410">
            <v>0</v>
          </cell>
          <cell r="X1410" t="str">
            <v>0</v>
          </cell>
        </row>
        <row r="1411">
          <cell r="I1411" t="str">
            <v>sim</v>
          </cell>
          <cell r="V1411" t="str">
            <v>not neg pair</v>
          </cell>
          <cell r="W1411">
            <v>0</v>
          </cell>
          <cell r="X1411" t="str">
            <v>0</v>
          </cell>
        </row>
        <row r="1412">
          <cell r="I1412" t="str">
            <v>sim</v>
          </cell>
          <cell r="V1412" t="str">
            <v>not neg pair</v>
          </cell>
          <cell r="W1412">
            <v>0</v>
          </cell>
          <cell r="X1412" t="str">
            <v>0</v>
          </cell>
        </row>
        <row r="1413">
          <cell r="I1413" t="str">
            <v>sim</v>
          </cell>
          <cell r="V1413" t="str">
            <v>not neg pair</v>
          </cell>
          <cell r="W1413">
            <v>0</v>
          </cell>
          <cell r="X1413" t="str">
            <v>0</v>
          </cell>
        </row>
        <row r="1414">
          <cell r="I1414" t="str">
            <v>sim</v>
          </cell>
          <cell r="V1414" t="str">
            <v>not</v>
          </cell>
          <cell r="W1414">
            <v>1</v>
          </cell>
          <cell r="X1414" t="str">
            <v>intens</v>
          </cell>
        </row>
        <row r="1415">
          <cell r="I1415" t="str">
            <v>sim</v>
          </cell>
          <cell r="V1415" t="str">
            <v>not</v>
          </cell>
          <cell r="W1415">
            <v>1</v>
          </cell>
          <cell r="X1415" t="str">
            <v>neg</v>
          </cell>
        </row>
        <row r="1416">
          <cell r="I1416" t="str">
            <v>sim</v>
          </cell>
          <cell r="V1416" t="str">
            <v>antonym</v>
          </cell>
          <cell r="W1416">
            <v>1</v>
          </cell>
          <cell r="X1416" t="str">
            <v>neg</v>
          </cell>
        </row>
        <row r="1417">
          <cell r="I1417" t="str">
            <v>sim</v>
          </cell>
          <cell r="V1417" t="str">
            <v>antonym</v>
          </cell>
          <cell r="W1417">
            <v>1</v>
          </cell>
          <cell r="X1417" t="str">
            <v>intens</v>
          </cell>
        </row>
        <row r="1418">
          <cell r="I1418" t="str">
            <v>sim</v>
          </cell>
          <cell r="V1418" t="str">
            <v>not neg pair</v>
          </cell>
          <cell r="W1418">
            <v>0</v>
          </cell>
          <cell r="X1418" t="str">
            <v>0</v>
          </cell>
        </row>
        <row r="1419">
          <cell r="I1419" t="str">
            <v>sim</v>
          </cell>
          <cell r="V1419" t="str">
            <v>not neg pair</v>
          </cell>
          <cell r="W1419">
            <v>0</v>
          </cell>
          <cell r="X1419" t="str">
            <v>0</v>
          </cell>
        </row>
        <row r="1420">
          <cell r="I1420" t="str">
            <v>met</v>
          </cell>
          <cell r="V1420" t="str">
            <v>0</v>
          </cell>
          <cell r="W1420">
            <v>0</v>
          </cell>
          <cell r="X1420" t="str">
            <v>0</v>
          </cell>
        </row>
        <row r="1421">
          <cell r="I1421" t="str">
            <v>met</v>
          </cell>
          <cell r="V1421" t="str">
            <v>0</v>
          </cell>
          <cell r="W1421">
            <v>0</v>
          </cell>
          <cell r="X1421" t="str">
            <v>0</v>
          </cell>
        </row>
        <row r="1422">
          <cell r="I1422" t="str">
            <v>met</v>
          </cell>
          <cell r="V1422" t="str">
            <v>0</v>
          </cell>
          <cell r="W1422">
            <v>0</v>
          </cell>
          <cell r="X1422" t="str">
            <v>0</v>
          </cell>
        </row>
        <row r="1423">
          <cell r="I1423" t="str">
            <v>met</v>
          </cell>
          <cell r="V1423" t="str">
            <v>0</v>
          </cell>
          <cell r="W1423">
            <v>0</v>
          </cell>
          <cell r="X1423" t="str">
            <v>0</v>
          </cell>
        </row>
        <row r="1424">
          <cell r="I1424" t="str">
            <v>met</v>
          </cell>
          <cell r="V1424" t="str">
            <v>0</v>
          </cell>
          <cell r="W1424">
            <v>0</v>
          </cell>
          <cell r="X1424" t="str">
            <v>0</v>
          </cell>
        </row>
        <row r="1425">
          <cell r="I1425" t="str">
            <v>met</v>
          </cell>
          <cell r="V1425" t="str">
            <v>0</v>
          </cell>
          <cell r="W1425">
            <v>0</v>
          </cell>
          <cell r="X1425" t="str">
            <v>0</v>
          </cell>
        </row>
        <row r="1426">
          <cell r="I1426" t="str">
            <v>sim</v>
          </cell>
          <cell r="V1426" t="str">
            <v>not neg pair</v>
          </cell>
          <cell r="W1426">
            <v>0</v>
          </cell>
          <cell r="X1426" t="str">
            <v>0</v>
          </cell>
        </row>
        <row r="1427">
          <cell r="I1427" t="str">
            <v>sim</v>
          </cell>
          <cell r="V1427" t="str">
            <v>not neg pair</v>
          </cell>
          <cell r="W1427">
            <v>0</v>
          </cell>
          <cell r="X1427" t="str">
            <v>0</v>
          </cell>
        </row>
        <row r="1428">
          <cell r="I1428" t="str">
            <v>met</v>
          </cell>
          <cell r="V1428" t="str">
            <v>0</v>
          </cell>
          <cell r="W1428">
            <v>0</v>
          </cell>
          <cell r="X1428" t="str">
            <v>0</v>
          </cell>
        </row>
        <row r="1429">
          <cell r="I1429" t="str">
            <v>met</v>
          </cell>
          <cell r="V1429" t="str">
            <v>0</v>
          </cell>
          <cell r="W1429">
            <v>0</v>
          </cell>
          <cell r="X1429" t="str">
            <v>0</v>
          </cell>
        </row>
        <row r="1430">
          <cell r="I1430" t="str">
            <v>sim</v>
          </cell>
          <cell r="V1430" t="str">
            <v>not neg pair</v>
          </cell>
          <cell r="W1430">
            <v>0</v>
          </cell>
          <cell r="X1430" t="str">
            <v>0</v>
          </cell>
        </row>
        <row r="1431">
          <cell r="I1431" t="str">
            <v>sim</v>
          </cell>
          <cell r="V1431" t="str">
            <v>not neg pair</v>
          </cell>
          <cell r="W1431">
            <v>0</v>
          </cell>
          <cell r="X1431" t="str">
            <v>0</v>
          </cell>
        </row>
        <row r="1432">
          <cell r="I1432" t="str">
            <v>sim</v>
          </cell>
          <cell r="V1432" t="str">
            <v>not neg pair</v>
          </cell>
          <cell r="W1432">
            <v>0</v>
          </cell>
          <cell r="X1432" t="str">
            <v>0</v>
          </cell>
        </row>
        <row r="1433">
          <cell r="I1433" t="str">
            <v>sim</v>
          </cell>
          <cell r="V1433" t="str">
            <v>not neg pair</v>
          </cell>
          <cell r="W1433">
            <v>0</v>
          </cell>
          <cell r="X1433" t="str">
            <v>0</v>
          </cell>
        </row>
        <row r="1434">
          <cell r="I1434" t="str">
            <v>sim</v>
          </cell>
          <cell r="V1434" t="str">
            <v>antonym</v>
          </cell>
          <cell r="W1434">
            <v>1</v>
          </cell>
          <cell r="X1434" t="str">
            <v>intens</v>
          </cell>
        </row>
        <row r="1435">
          <cell r="I1435" t="str">
            <v>sim</v>
          </cell>
          <cell r="V1435" t="str">
            <v>antonym</v>
          </cell>
          <cell r="W1435">
            <v>1</v>
          </cell>
          <cell r="X1435" t="str">
            <v>intens</v>
          </cell>
        </row>
        <row r="1436">
          <cell r="I1436" t="str">
            <v>sim</v>
          </cell>
          <cell r="V1436" t="str">
            <v>antonym</v>
          </cell>
          <cell r="W1436">
            <v>1</v>
          </cell>
          <cell r="X1436" t="str">
            <v>neg</v>
          </cell>
        </row>
        <row r="1437">
          <cell r="I1437" t="str">
            <v>sim</v>
          </cell>
          <cell r="V1437" t="str">
            <v>antonym</v>
          </cell>
          <cell r="W1437">
            <v>1</v>
          </cell>
          <cell r="X1437" t="str">
            <v>intens</v>
          </cell>
        </row>
        <row r="1438">
          <cell r="I1438" t="str">
            <v>sim</v>
          </cell>
          <cell r="V1438" t="str">
            <v>antonym</v>
          </cell>
          <cell r="W1438">
            <v>1</v>
          </cell>
          <cell r="X1438" t="str">
            <v>intens</v>
          </cell>
        </row>
        <row r="1439">
          <cell r="I1439" t="str">
            <v>sim</v>
          </cell>
          <cell r="V1439" t="str">
            <v>antonym</v>
          </cell>
          <cell r="W1439">
            <v>1</v>
          </cell>
          <cell r="X1439" t="str">
            <v>neg</v>
          </cell>
        </row>
        <row r="1440">
          <cell r="I1440" t="str">
            <v>sim</v>
          </cell>
          <cell r="V1440" t="str">
            <v>not neg pair</v>
          </cell>
          <cell r="W1440">
            <v>0</v>
          </cell>
          <cell r="X1440" t="str">
            <v>0</v>
          </cell>
        </row>
        <row r="1441">
          <cell r="I1441" t="str">
            <v>sim</v>
          </cell>
          <cell r="V1441" t="str">
            <v>not neg pair</v>
          </cell>
          <cell r="W1441">
            <v>0</v>
          </cell>
          <cell r="X1441" t="str">
            <v>0</v>
          </cell>
        </row>
        <row r="1442">
          <cell r="I1442" t="str">
            <v>sim</v>
          </cell>
          <cell r="V1442" t="str">
            <v>not</v>
          </cell>
          <cell r="W1442">
            <v>1</v>
          </cell>
          <cell r="X1442" t="str">
            <v>neg</v>
          </cell>
        </row>
        <row r="1443">
          <cell r="I1443" t="str">
            <v>sim</v>
          </cell>
          <cell r="V1443" t="str">
            <v>not</v>
          </cell>
          <cell r="W1443">
            <v>1</v>
          </cell>
          <cell r="X1443" t="str">
            <v>intens</v>
          </cell>
        </row>
        <row r="1444">
          <cell r="I1444" t="str">
            <v>sim</v>
          </cell>
          <cell r="V1444" t="str">
            <v>antonym</v>
          </cell>
          <cell r="W1444">
            <v>1</v>
          </cell>
          <cell r="X1444" t="str">
            <v>neg</v>
          </cell>
        </row>
        <row r="1445">
          <cell r="I1445" t="str">
            <v>sim</v>
          </cell>
          <cell r="V1445" t="str">
            <v>antonym</v>
          </cell>
          <cell r="W1445">
            <v>1</v>
          </cell>
          <cell r="X1445" t="str">
            <v>intens</v>
          </cell>
        </row>
        <row r="1446">
          <cell r="I1446" t="str">
            <v>sim</v>
          </cell>
          <cell r="V1446" t="str">
            <v>not neg pair</v>
          </cell>
          <cell r="W1446">
            <v>0</v>
          </cell>
          <cell r="X1446" t="str">
            <v>0</v>
          </cell>
        </row>
        <row r="1447">
          <cell r="I1447" t="str">
            <v>sim</v>
          </cell>
          <cell r="V1447" t="str">
            <v>not neg pair</v>
          </cell>
          <cell r="W1447">
            <v>0</v>
          </cell>
          <cell r="X1447" t="str">
            <v>0</v>
          </cell>
        </row>
        <row r="1448">
          <cell r="I1448" t="str">
            <v>sim</v>
          </cell>
          <cell r="V1448" t="str">
            <v>not</v>
          </cell>
          <cell r="W1448">
            <v>1</v>
          </cell>
          <cell r="X1448" t="str">
            <v>intens</v>
          </cell>
        </row>
        <row r="1449">
          <cell r="I1449" t="str">
            <v>sim</v>
          </cell>
          <cell r="V1449" t="str">
            <v>not</v>
          </cell>
          <cell r="W1449">
            <v>1</v>
          </cell>
          <cell r="X1449" t="str">
            <v>neg</v>
          </cell>
        </row>
        <row r="1450">
          <cell r="I1450" t="str">
            <v>sim</v>
          </cell>
          <cell r="V1450" t="str">
            <v>not neg pair</v>
          </cell>
          <cell r="W1450">
            <v>0</v>
          </cell>
          <cell r="X1450" t="str">
            <v>0</v>
          </cell>
        </row>
        <row r="1451">
          <cell r="I1451" t="str">
            <v>sim</v>
          </cell>
          <cell r="V1451" t="str">
            <v>not neg pair</v>
          </cell>
          <cell r="W1451">
            <v>0</v>
          </cell>
          <cell r="X1451" t="str">
            <v>0</v>
          </cell>
        </row>
        <row r="1452">
          <cell r="I1452" t="str">
            <v>sim</v>
          </cell>
          <cell r="V1452" t="str">
            <v>not neg pair</v>
          </cell>
          <cell r="W1452">
            <v>0</v>
          </cell>
          <cell r="X1452" t="str">
            <v>0</v>
          </cell>
        </row>
        <row r="1453">
          <cell r="I1453" t="str">
            <v>sim</v>
          </cell>
          <cell r="V1453" t="str">
            <v>not neg pair</v>
          </cell>
          <cell r="W1453">
            <v>0</v>
          </cell>
          <cell r="X1453" t="str">
            <v>0</v>
          </cell>
        </row>
        <row r="1454">
          <cell r="I1454" t="str">
            <v>met</v>
          </cell>
          <cell r="V1454" t="str">
            <v>0</v>
          </cell>
          <cell r="W1454">
            <v>0</v>
          </cell>
          <cell r="X1454" t="str">
            <v>0</v>
          </cell>
        </row>
        <row r="1455">
          <cell r="I1455" t="str">
            <v>met</v>
          </cell>
          <cell r="V1455" t="str">
            <v>0</v>
          </cell>
          <cell r="W1455">
            <v>0</v>
          </cell>
          <cell r="X1455" t="str">
            <v>0</v>
          </cell>
        </row>
        <row r="1456">
          <cell r="I1456" t="str">
            <v>sim</v>
          </cell>
          <cell r="V1456" t="str">
            <v>antonym</v>
          </cell>
          <cell r="W1456">
            <v>1</v>
          </cell>
          <cell r="X1456" t="str">
            <v>intens</v>
          </cell>
        </row>
        <row r="1457">
          <cell r="I1457" t="str">
            <v>sim</v>
          </cell>
          <cell r="V1457" t="str">
            <v>antonym</v>
          </cell>
          <cell r="W1457">
            <v>1</v>
          </cell>
          <cell r="X1457" t="str">
            <v>neg</v>
          </cell>
        </row>
        <row r="1458">
          <cell r="I1458" t="str">
            <v>sim</v>
          </cell>
          <cell r="V1458" t="str">
            <v>not neg pair</v>
          </cell>
          <cell r="W1458">
            <v>0</v>
          </cell>
          <cell r="X1458" t="str">
            <v>0</v>
          </cell>
        </row>
        <row r="1459">
          <cell r="I1459" t="str">
            <v>sim</v>
          </cell>
          <cell r="V1459" t="str">
            <v>not neg pair</v>
          </cell>
          <cell r="W1459">
            <v>0</v>
          </cell>
          <cell r="X1459" t="str">
            <v>0</v>
          </cell>
        </row>
        <row r="1460">
          <cell r="I1460" t="str">
            <v>sim</v>
          </cell>
          <cell r="V1460" t="str">
            <v>antonym</v>
          </cell>
          <cell r="W1460">
            <v>1</v>
          </cell>
          <cell r="X1460" t="str">
            <v>neg</v>
          </cell>
        </row>
        <row r="1461">
          <cell r="I1461" t="str">
            <v>sim</v>
          </cell>
          <cell r="V1461" t="str">
            <v>antonym</v>
          </cell>
          <cell r="W1461">
            <v>1</v>
          </cell>
          <cell r="X1461" t="str">
            <v>intens</v>
          </cell>
        </row>
        <row r="1462">
          <cell r="I1462" t="str">
            <v>sim</v>
          </cell>
          <cell r="V1462" t="str">
            <v>antonym</v>
          </cell>
          <cell r="W1462">
            <v>1</v>
          </cell>
          <cell r="X1462" t="str">
            <v>neg</v>
          </cell>
        </row>
        <row r="1463">
          <cell r="I1463" t="str">
            <v>sim</v>
          </cell>
          <cell r="V1463" t="str">
            <v>antonym</v>
          </cell>
          <cell r="W1463">
            <v>1</v>
          </cell>
          <cell r="X1463" t="str">
            <v>intens</v>
          </cell>
        </row>
        <row r="1464">
          <cell r="I1464" t="str">
            <v>sim</v>
          </cell>
          <cell r="V1464" t="str">
            <v>not neg pair</v>
          </cell>
          <cell r="W1464">
            <v>0</v>
          </cell>
          <cell r="X1464" t="str">
            <v>0</v>
          </cell>
        </row>
        <row r="1465">
          <cell r="I1465" t="str">
            <v>sim</v>
          </cell>
          <cell r="V1465" t="str">
            <v>not neg pair</v>
          </cell>
          <cell r="W1465">
            <v>0</v>
          </cell>
          <cell r="X1465" t="str">
            <v>0</v>
          </cell>
        </row>
        <row r="1466">
          <cell r="I1466" t="str">
            <v>sim</v>
          </cell>
          <cell r="V1466" t="str">
            <v>not neg pair</v>
          </cell>
          <cell r="W1466">
            <v>0</v>
          </cell>
          <cell r="X1466" t="str">
            <v>0</v>
          </cell>
        </row>
        <row r="1467">
          <cell r="I1467" t="str">
            <v>sim</v>
          </cell>
          <cell r="V1467" t="str">
            <v>not neg pair</v>
          </cell>
          <cell r="W1467">
            <v>0</v>
          </cell>
          <cell r="X1467" t="str">
            <v>0</v>
          </cell>
        </row>
        <row r="1468">
          <cell r="I1468" t="str">
            <v>sim</v>
          </cell>
          <cell r="V1468" t="str">
            <v>not neg pair</v>
          </cell>
          <cell r="W1468">
            <v>0</v>
          </cell>
          <cell r="X1468" t="str">
            <v>0</v>
          </cell>
        </row>
        <row r="1469">
          <cell r="I1469" t="str">
            <v>sim</v>
          </cell>
          <cell r="V1469" t="str">
            <v>not neg pair</v>
          </cell>
          <cell r="W1469">
            <v>0</v>
          </cell>
          <cell r="X1469" t="str">
            <v>0</v>
          </cell>
        </row>
        <row r="1470">
          <cell r="I1470" t="str">
            <v>sim</v>
          </cell>
          <cell r="V1470" t="str">
            <v>not neg pair</v>
          </cell>
          <cell r="W1470">
            <v>0</v>
          </cell>
          <cell r="X1470" t="str">
            <v>0</v>
          </cell>
        </row>
        <row r="1471">
          <cell r="I1471" t="str">
            <v>sim</v>
          </cell>
          <cell r="V1471" t="str">
            <v>not neg pair</v>
          </cell>
          <cell r="W1471">
            <v>0</v>
          </cell>
          <cell r="X1471" t="str">
            <v>0</v>
          </cell>
        </row>
        <row r="1472">
          <cell r="I1472" t="str">
            <v>sim</v>
          </cell>
          <cell r="V1472" t="str">
            <v>not</v>
          </cell>
          <cell r="W1472">
            <v>1</v>
          </cell>
          <cell r="X1472" t="str">
            <v>neg</v>
          </cell>
        </row>
        <row r="1473">
          <cell r="I1473" t="str">
            <v>sim</v>
          </cell>
          <cell r="V1473" t="str">
            <v>not</v>
          </cell>
          <cell r="W1473">
            <v>1</v>
          </cell>
          <cell r="X1473" t="str">
            <v>intens</v>
          </cell>
        </row>
        <row r="1474">
          <cell r="I1474" t="str">
            <v>sim</v>
          </cell>
          <cell r="V1474" t="str">
            <v>not neg pair</v>
          </cell>
          <cell r="W1474">
            <v>0</v>
          </cell>
          <cell r="X1474" t="str">
            <v>0</v>
          </cell>
        </row>
        <row r="1475">
          <cell r="I1475" t="str">
            <v>sim</v>
          </cell>
          <cell r="V1475" t="str">
            <v>not neg pair</v>
          </cell>
          <cell r="W1475">
            <v>0</v>
          </cell>
          <cell r="X1475" t="str">
            <v>0</v>
          </cell>
        </row>
        <row r="1476">
          <cell r="I1476" t="str">
            <v>sim</v>
          </cell>
          <cell r="V1476" t="str">
            <v>not neg pair</v>
          </cell>
          <cell r="W1476">
            <v>0</v>
          </cell>
          <cell r="X1476" t="str">
            <v>0</v>
          </cell>
        </row>
        <row r="1477">
          <cell r="I1477" t="str">
            <v>sim</v>
          </cell>
          <cell r="V1477" t="str">
            <v>not neg pair</v>
          </cell>
          <cell r="W1477">
            <v>0</v>
          </cell>
          <cell r="X1477" t="str">
            <v>0</v>
          </cell>
        </row>
        <row r="1478">
          <cell r="I1478" t="str">
            <v>sim</v>
          </cell>
          <cell r="V1478" t="str">
            <v>not</v>
          </cell>
          <cell r="W1478">
            <v>1</v>
          </cell>
          <cell r="X1478" t="str">
            <v>neg</v>
          </cell>
        </row>
        <row r="1479">
          <cell r="I1479" t="str">
            <v>sim</v>
          </cell>
          <cell r="V1479" t="str">
            <v>not</v>
          </cell>
          <cell r="W1479">
            <v>1</v>
          </cell>
          <cell r="X1479" t="str">
            <v>intens</v>
          </cell>
        </row>
        <row r="1480">
          <cell r="I1480" t="str">
            <v>sim</v>
          </cell>
          <cell r="V1480" t="str">
            <v>not</v>
          </cell>
          <cell r="W1480">
            <v>1</v>
          </cell>
          <cell r="X1480" t="str">
            <v>intens</v>
          </cell>
        </row>
        <row r="1481">
          <cell r="I1481" t="str">
            <v>sim</v>
          </cell>
          <cell r="V1481" t="str">
            <v>not</v>
          </cell>
          <cell r="W1481">
            <v>1</v>
          </cell>
          <cell r="X1481" t="str">
            <v>neg</v>
          </cell>
        </row>
        <row r="1482">
          <cell r="I1482" t="str">
            <v>sim</v>
          </cell>
          <cell r="V1482" t="str">
            <v>not</v>
          </cell>
          <cell r="W1482">
            <v>1</v>
          </cell>
          <cell r="X1482" t="str">
            <v>intens</v>
          </cell>
        </row>
        <row r="1483">
          <cell r="I1483" t="str">
            <v>sim</v>
          </cell>
          <cell r="V1483" t="str">
            <v>not</v>
          </cell>
          <cell r="W1483">
            <v>1</v>
          </cell>
          <cell r="X1483" t="str">
            <v>neg</v>
          </cell>
        </row>
        <row r="1484">
          <cell r="I1484" t="str">
            <v>sim</v>
          </cell>
          <cell r="V1484" t="str">
            <v>not neg pair</v>
          </cell>
          <cell r="W1484">
            <v>0</v>
          </cell>
          <cell r="X1484" t="str">
            <v>0</v>
          </cell>
        </row>
        <row r="1485">
          <cell r="I1485" t="str">
            <v>sim</v>
          </cell>
          <cell r="V1485" t="str">
            <v>not neg pair</v>
          </cell>
          <cell r="W1485">
            <v>0</v>
          </cell>
          <cell r="X1485" t="str">
            <v>0</v>
          </cell>
        </row>
        <row r="1486">
          <cell r="I1486" t="str">
            <v>met</v>
          </cell>
          <cell r="V1486" t="str">
            <v>0</v>
          </cell>
          <cell r="W1486">
            <v>0</v>
          </cell>
          <cell r="X1486" t="str">
            <v>0</v>
          </cell>
        </row>
        <row r="1487">
          <cell r="I1487" t="str">
            <v>met</v>
          </cell>
          <cell r="V1487" t="str">
            <v>0</v>
          </cell>
          <cell r="W1487">
            <v>0</v>
          </cell>
          <cell r="X1487" t="str">
            <v>0</v>
          </cell>
        </row>
        <row r="1488">
          <cell r="I1488" t="str">
            <v>sim</v>
          </cell>
          <cell r="V1488" t="str">
            <v>antonym</v>
          </cell>
          <cell r="W1488">
            <v>1</v>
          </cell>
          <cell r="X1488" t="str">
            <v>neg</v>
          </cell>
        </row>
        <row r="1489">
          <cell r="I1489" t="str">
            <v>sim</v>
          </cell>
          <cell r="V1489" t="str">
            <v>antonym</v>
          </cell>
          <cell r="W1489">
            <v>1</v>
          </cell>
          <cell r="X1489" t="str">
            <v>intens</v>
          </cell>
        </row>
        <row r="1490">
          <cell r="I1490" t="str">
            <v>met</v>
          </cell>
          <cell r="V1490" t="str">
            <v>0</v>
          </cell>
          <cell r="W1490">
            <v>0</v>
          </cell>
          <cell r="X1490" t="str">
            <v>0</v>
          </cell>
        </row>
        <row r="1491">
          <cell r="I1491" t="str">
            <v>sim</v>
          </cell>
          <cell r="V1491" t="str">
            <v>0</v>
          </cell>
          <cell r="W1491">
            <v>0</v>
          </cell>
          <cell r="X1491" t="str">
            <v>0</v>
          </cell>
        </row>
        <row r="1492">
          <cell r="I1492" t="str">
            <v>met</v>
          </cell>
          <cell r="V1492" t="str">
            <v>0</v>
          </cell>
          <cell r="W1492">
            <v>0</v>
          </cell>
          <cell r="X1492" t="str">
            <v>0</v>
          </cell>
        </row>
        <row r="1493">
          <cell r="I1493" t="str">
            <v>met</v>
          </cell>
          <cell r="V1493" t="str">
            <v>0</v>
          </cell>
          <cell r="W1493">
            <v>0</v>
          </cell>
          <cell r="X1493" t="str">
            <v>0</v>
          </cell>
        </row>
        <row r="1494">
          <cell r="I1494" t="str">
            <v>sim</v>
          </cell>
          <cell r="V1494" t="str">
            <v>not neg pair</v>
          </cell>
          <cell r="W1494">
            <v>0</v>
          </cell>
          <cell r="X1494" t="str">
            <v>0</v>
          </cell>
        </row>
        <row r="1495">
          <cell r="I1495" t="str">
            <v>sim</v>
          </cell>
          <cell r="V1495" t="str">
            <v>not neg pair</v>
          </cell>
          <cell r="W1495">
            <v>0</v>
          </cell>
          <cell r="X1495" t="str">
            <v>0</v>
          </cell>
        </row>
        <row r="1496">
          <cell r="I1496" t="str">
            <v>sim</v>
          </cell>
          <cell r="V1496" t="str">
            <v>not neg pair</v>
          </cell>
          <cell r="W1496">
            <v>0</v>
          </cell>
          <cell r="X1496" t="str">
            <v>0</v>
          </cell>
        </row>
        <row r="1497">
          <cell r="I1497" t="str">
            <v>sim</v>
          </cell>
          <cell r="V1497" t="str">
            <v>not neg pair</v>
          </cell>
          <cell r="W1497">
            <v>0</v>
          </cell>
          <cell r="X1497" t="str">
            <v>0</v>
          </cell>
        </row>
        <row r="1498">
          <cell r="I1498" t="str">
            <v>sim</v>
          </cell>
          <cell r="V1498" t="str">
            <v>not</v>
          </cell>
          <cell r="W1498">
            <v>1</v>
          </cell>
          <cell r="X1498" t="str">
            <v>neg</v>
          </cell>
        </row>
        <row r="1499">
          <cell r="I1499" t="str">
            <v>sim</v>
          </cell>
          <cell r="V1499" t="str">
            <v>not</v>
          </cell>
          <cell r="W1499">
            <v>1</v>
          </cell>
          <cell r="X1499" t="str">
            <v>intens</v>
          </cell>
        </row>
        <row r="1500">
          <cell r="I1500" t="str">
            <v>sim</v>
          </cell>
          <cell r="V1500" t="str">
            <v>not neg pair</v>
          </cell>
          <cell r="W1500">
            <v>0</v>
          </cell>
          <cell r="X1500" t="str">
            <v>0</v>
          </cell>
        </row>
        <row r="1501">
          <cell r="I1501" t="str">
            <v>sim</v>
          </cell>
          <cell r="V1501" t="str">
            <v>not neg pair</v>
          </cell>
          <cell r="W1501">
            <v>0</v>
          </cell>
          <cell r="X1501" t="str">
            <v>0</v>
          </cell>
        </row>
        <row r="1502">
          <cell r="I1502" t="str">
            <v>sim</v>
          </cell>
          <cell r="V1502" t="str">
            <v>antonym</v>
          </cell>
          <cell r="W1502">
            <v>1</v>
          </cell>
          <cell r="X1502" t="str">
            <v>intens</v>
          </cell>
        </row>
        <row r="1503">
          <cell r="I1503" t="str">
            <v>sim</v>
          </cell>
          <cell r="V1503" t="str">
            <v>antonym</v>
          </cell>
          <cell r="W1503">
            <v>1</v>
          </cell>
          <cell r="X1503" t="str">
            <v>neg</v>
          </cell>
        </row>
        <row r="1504">
          <cell r="I1504" t="str">
            <v>sim</v>
          </cell>
          <cell r="V1504" t="str">
            <v>not</v>
          </cell>
          <cell r="W1504">
            <v>1</v>
          </cell>
          <cell r="X1504" t="str">
            <v>intens</v>
          </cell>
        </row>
        <row r="1505">
          <cell r="I1505" t="str">
            <v>sim</v>
          </cell>
          <cell r="V1505" t="str">
            <v>not</v>
          </cell>
          <cell r="W1505">
            <v>1</v>
          </cell>
          <cell r="X1505" t="str">
            <v>neg</v>
          </cell>
        </row>
        <row r="1506">
          <cell r="I1506" t="str">
            <v>sim</v>
          </cell>
          <cell r="V1506" t="str">
            <v>antonym</v>
          </cell>
          <cell r="W1506">
            <v>1</v>
          </cell>
          <cell r="X1506" t="str">
            <v>intens</v>
          </cell>
        </row>
        <row r="1507">
          <cell r="I1507" t="str">
            <v>sim</v>
          </cell>
          <cell r="V1507" t="str">
            <v>antonym</v>
          </cell>
          <cell r="W1507">
            <v>1</v>
          </cell>
          <cell r="X1507" t="str">
            <v>neg</v>
          </cell>
        </row>
        <row r="1508">
          <cell r="I1508" t="str">
            <v>sim</v>
          </cell>
          <cell r="V1508" t="str">
            <v>not neg pair</v>
          </cell>
          <cell r="W1508">
            <v>0</v>
          </cell>
          <cell r="X1508" t="str">
            <v>0</v>
          </cell>
        </row>
        <row r="1509">
          <cell r="I1509" t="str">
            <v>sim</v>
          </cell>
          <cell r="V1509" t="str">
            <v>not neg pair</v>
          </cell>
          <cell r="W1509">
            <v>0</v>
          </cell>
          <cell r="X1509" t="str">
            <v>0</v>
          </cell>
        </row>
        <row r="1510">
          <cell r="I1510" t="str">
            <v>sim</v>
          </cell>
          <cell r="V1510" t="str">
            <v>not neg pair</v>
          </cell>
          <cell r="W1510">
            <v>0</v>
          </cell>
          <cell r="X1510" t="str">
            <v>0</v>
          </cell>
        </row>
        <row r="1511">
          <cell r="I1511" t="str">
            <v>sim</v>
          </cell>
          <cell r="V1511" t="str">
            <v>not neg pair</v>
          </cell>
          <cell r="W1511">
            <v>0</v>
          </cell>
          <cell r="X1511" t="str">
            <v>0</v>
          </cell>
        </row>
        <row r="1512">
          <cell r="I1512" t="str">
            <v>sim</v>
          </cell>
          <cell r="V1512" t="str">
            <v>antonym</v>
          </cell>
          <cell r="W1512">
            <v>1</v>
          </cell>
          <cell r="X1512" t="str">
            <v>neg</v>
          </cell>
        </row>
        <row r="1513">
          <cell r="I1513" t="str">
            <v>sim</v>
          </cell>
          <cell r="V1513" t="str">
            <v>antonym</v>
          </cell>
          <cell r="W1513">
            <v>1</v>
          </cell>
          <cell r="X1513" t="str">
            <v>intens</v>
          </cell>
        </row>
        <row r="1514">
          <cell r="I1514" t="str">
            <v>met</v>
          </cell>
          <cell r="V1514" t="str">
            <v>0</v>
          </cell>
          <cell r="W1514">
            <v>0</v>
          </cell>
          <cell r="X1514" t="str">
            <v>0</v>
          </cell>
        </row>
        <row r="1515">
          <cell r="I1515" t="str">
            <v>met</v>
          </cell>
          <cell r="V1515" t="str">
            <v>0</v>
          </cell>
          <cell r="W1515">
            <v>0</v>
          </cell>
          <cell r="X1515" t="str">
            <v>0</v>
          </cell>
        </row>
        <row r="1516">
          <cell r="I1516" t="str">
            <v>sim</v>
          </cell>
          <cell r="V1516" t="str">
            <v>not neg pair</v>
          </cell>
          <cell r="W1516">
            <v>0</v>
          </cell>
          <cell r="X1516" t="str">
            <v>0</v>
          </cell>
        </row>
        <row r="1517">
          <cell r="I1517" t="str">
            <v>met</v>
          </cell>
          <cell r="V1517" t="str">
            <v>0</v>
          </cell>
          <cell r="W1517">
            <v>0</v>
          </cell>
          <cell r="X1517" t="str">
            <v>0</v>
          </cell>
        </row>
        <row r="1518">
          <cell r="I1518" t="str">
            <v>met</v>
          </cell>
          <cell r="V1518" t="str">
            <v>0</v>
          </cell>
          <cell r="W1518">
            <v>0</v>
          </cell>
          <cell r="X1518" t="str">
            <v>0</v>
          </cell>
        </row>
        <row r="1519">
          <cell r="I1519" t="str">
            <v>met</v>
          </cell>
          <cell r="V1519" t="str">
            <v>0</v>
          </cell>
          <cell r="W1519">
            <v>0</v>
          </cell>
          <cell r="X1519" t="str">
            <v>0</v>
          </cell>
        </row>
        <row r="1520">
          <cell r="I1520" t="str">
            <v>sim</v>
          </cell>
          <cell r="V1520" t="str">
            <v>not</v>
          </cell>
          <cell r="W1520">
            <v>1</v>
          </cell>
          <cell r="X1520" t="str">
            <v>neg</v>
          </cell>
        </row>
        <row r="1521">
          <cell r="I1521" t="str">
            <v>sim</v>
          </cell>
          <cell r="V1521" t="str">
            <v>not</v>
          </cell>
          <cell r="W1521">
            <v>1</v>
          </cell>
          <cell r="X1521" t="str">
            <v>intens</v>
          </cell>
        </row>
        <row r="1522">
          <cell r="I1522" t="str">
            <v>sim</v>
          </cell>
          <cell r="V1522" t="str">
            <v>not</v>
          </cell>
          <cell r="W1522">
            <v>1</v>
          </cell>
          <cell r="X1522" t="str">
            <v>neg</v>
          </cell>
        </row>
        <row r="1523">
          <cell r="I1523" t="str">
            <v>sim</v>
          </cell>
          <cell r="V1523" t="str">
            <v>not</v>
          </cell>
          <cell r="W1523">
            <v>1</v>
          </cell>
          <cell r="X1523" t="str">
            <v>intens</v>
          </cell>
        </row>
        <row r="1524">
          <cell r="I1524" t="str">
            <v>sim</v>
          </cell>
          <cell r="V1524" t="str">
            <v>not</v>
          </cell>
          <cell r="W1524">
            <v>1</v>
          </cell>
          <cell r="X1524" t="str">
            <v>neg</v>
          </cell>
        </row>
        <row r="1525">
          <cell r="I1525" t="str">
            <v>sim</v>
          </cell>
          <cell r="V1525" t="str">
            <v>not</v>
          </cell>
          <cell r="W1525">
            <v>1</v>
          </cell>
          <cell r="X1525" t="str">
            <v>intens</v>
          </cell>
        </row>
        <row r="1526">
          <cell r="I1526" t="str">
            <v>sim</v>
          </cell>
          <cell r="V1526" t="str">
            <v>not neg pair</v>
          </cell>
          <cell r="W1526">
            <v>0</v>
          </cell>
          <cell r="X1526" t="str">
            <v>0</v>
          </cell>
        </row>
        <row r="1527">
          <cell r="I1527" t="str">
            <v>sim</v>
          </cell>
          <cell r="V1527" t="str">
            <v>not neg pair</v>
          </cell>
          <cell r="W1527">
            <v>0</v>
          </cell>
          <cell r="X1527" t="str">
            <v>0</v>
          </cell>
        </row>
        <row r="1528">
          <cell r="I1528" t="str">
            <v>sim</v>
          </cell>
          <cell r="V1528" t="str">
            <v>antonym</v>
          </cell>
          <cell r="W1528">
            <v>1</v>
          </cell>
          <cell r="X1528" t="str">
            <v>neg</v>
          </cell>
        </row>
        <row r="1529">
          <cell r="I1529" t="str">
            <v>sim</v>
          </cell>
          <cell r="V1529" t="str">
            <v>antonym</v>
          </cell>
          <cell r="W1529">
            <v>1</v>
          </cell>
          <cell r="X1529" t="str">
            <v>intens</v>
          </cell>
        </row>
        <row r="1530">
          <cell r="I1530" t="str">
            <v>sim</v>
          </cell>
          <cell r="V1530" t="str">
            <v>not neg pair</v>
          </cell>
          <cell r="W1530">
            <v>0</v>
          </cell>
          <cell r="X1530" t="str">
            <v>0</v>
          </cell>
        </row>
        <row r="1531">
          <cell r="I1531" t="str">
            <v>sim</v>
          </cell>
          <cell r="V1531" t="str">
            <v>not neg pair</v>
          </cell>
          <cell r="W1531">
            <v>0</v>
          </cell>
          <cell r="X1531" t="str">
            <v>0</v>
          </cell>
        </row>
        <row r="1532">
          <cell r="I1532" t="str">
            <v>met</v>
          </cell>
          <cell r="V1532" t="str">
            <v>0</v>
          </cell>
          <cell r="W1532">
            <v>0</v>
          </cell>
          <cell r="X1532" t="str">
            <v>0</v>
          </cell>
        </row>
        <row r="1533">
          <cell r="I1533" t="str">
            <v>met</v>
          </cell>
          <cell r="V1533" t="str">
            <v>0</v>
          </cell>
          <cell r="W1533">
            <v>0</v>
          </cell>
          <cell r="X1533" t="str">
            <v>0</v>
          </cell>
        </row>
        <row r="1534">
          <cell r="I1534" t="str">
            <v>met</v>
          </cell>
          <cell r="V1534" t="str">
            <v>0</v>
          </cell>
          <cell r="W1534">
            <v>0</v>
          </cell>
          <cell r="X1534" t="str">
            <v>0</v>
          </cell>
        </row>
        <row r="1535">
          <cell r="I1535" t="str">
            <v>met</v>
          </cell>
          <cell r="V1535" t="str">
            <v>0</v>
          </cell>
          <cell r="W1535">
            <v>0</v>
          </cell>
          <cell r="X1535" t="str">
            <v>0</v>
          </cell>
        </row>
        <row r="1536">
          <cell r="I1536" t="str">
            <v>met</v>
          </cell>
          <cell r="V1536" t="str">
            <v>0</v>
          </cell>
          <cell r="W1536">
            <v>0</v>
          </cell>
          <cell r="X1536" t="str">
            <v>0</v>
          </cell>
        </row>
        <row r="1537">
          <cell r="I1537" t="str">
            <v>met</v>
          </cell>
          <cell r="V1537" t="str">
            <v>0</v>
          </cell>
          <cell r="W1537">
            <v>0</v>
          </cell>
          <cell r="X1537" t="str">
            <v>0</v>
          </cell>
        </row>
        <row r="1538">
          <cell r="I1538" t="str">
            <v>sim</v>
          </cell>
          <cell r="V1538" t="str">
            <v>not</v>
          </cell>
          <cell r="W1538">
            <v>1</v>
          </cell>
          <cell r="X1538" t="str">
            <v>intens</v>
          </cell>
        </row>
        <row r="1539">
          <cell r="I1539" t="str">
            <v>sim</v>
          </cell>
          <cell r="V1539" t="str">
            <v>not</v>
          </cell>
          <cell r="W1539">
            <v>1</v>
          </cell>
          <cell r="X1539" t="str">
            <v>neg</v>
          </cell>
        </row>
        <row r="1540">
          <cell r="I1540" t="str">
            <v>sim</v>
          </cell>
          <cell r="V1540" t="str">
            <v>not</v>
          </cell>
          <cell r="W1540">
            <v>1</v>
          </cell>
          <cell r="X1540" t="str">
            <v>intens</v>
          </cell>
        </row>
        <row r="1541">
          <cell r="I1541" t="str">
            <v>sim</v>
          </cell>
          <cell r="V1541" t="str">
            <v>not</v>
          </cell>
          <cell r="W1541">
            <v>1</v>
          </cell>
          <cell r="X1541" t="str">
            <v>neg</v>
          </cell>
        </row>
        <row r="1542">
          <cell r="I1542" t="str">
            <v>sim</v>
          </cell>
          <cell r="V1542" t="str">
            <v>not neg pair</v>
          </cell>
          <cell r="W1542">
            <v>0</v>
          </cell>
          <cell r="X1542" t="str">
            <v>0</v>
          </cell>
        </row>
        <row r="1543">
          <cell r="I1543" t="str">
            <v>sim</v>
          </cell>
          <cell r="V1543" t="str">
            <v>not neg pair</v>
          </cell>
          <cell r="W1543">
            <v>0</v>
          </cell>
          <cell r="X1543" t="str">
            <v>0</v>
          </cell>
        </row>
        <row r="1544">
          <cell r="I1544" t="str">
            <v>sim</v>
          </cell>
          <cell r="V1544" t="str">
            <v>not neg pair</v>
          </cell>
          <cell r="W1544">
            <v>0</v>
          </cell>
          <cell r="X1544" t="str">
            <v>0</v>
          </cell>
        </row>
        <row r="1545">
          <cell r="I1545" t="str">
            <v>sim</v>
          </cell>
          <cell r="V1545" t="str">
            <v>not neg pair</v>
          </cell>
          <cell r="W1545">
            <v>0</v>
          </cell>
          <cell r="X1545" t="str">
            <v>0</v>
          </cell>
        </row>
        <row r="1546">
          <cell r="I1546" t="str">
            <v>sim</v>
          </cell>
          <cell r="V1546" t="str">
            <v>not</v>
          </cell>
          <cell r="W1546">
            <v>1</v>
          </cell>
          <cell r="X1546" t="str">
            <v>intens</v>
          </cell>
        </row>
        <row r="1547">
          <cell r="I1547" t="str">
            <v>sim</v>
          </cell>
          <cell r="V1547" t="str">
            <v>not</v>
          </cell>
          <cell r="W1547">
            <v>1</v>
          </cell>
          <cell r="X1547" t="str">
            <v>neg</v>
          </cell>
        </row>
        <row r="1548">
          <cell r="I1548" t="str">
            <v>sim</v>
          </cell>
          <cell r="V1548" t="str">
            <v>not neg pair</v>
          </cell>
          <cell r="W1548">
            <v>0</v>
          </cell>
          <cell r="X1548" t="str">
            <v>0</v>
          </cell>
        </row>
        <row r="1549">
          <cell r="I1549" t="str">
            <v>sim</v>
          </cell>
          <cell r="V1549" t="str">
            <v>not neg pair</v>
          </cell>
          <cell r="W1549">
            <v>0</v>
          </cell>
          <cell r="X1549" t="str">
            <v>0</v>
          </cell>
        </row>
        <row r="1550">
          <cell r="I1550" t="str">
            <v>sim</v>
          </cell>
          <cell r="V1550" t="str">
            <v>0</v>
          </cell>
          <cell r="W1550">
            <v>0</v>
          </cell>
          <cell r="X1550" t="str">
            <v>0</v>
          </cell>
        </row>
        <row r="1551">
          <cell r="I1551" t="str">
            <v>met</v>
          </cell>
          <cell r="V1551" t="str">
            <v>0</v>
          </cell>
          <cell r="W1551">
            <v>0</v>
          </cell>
          <cell r="X1551" t="str">
            <v>0</v>
          </cell>
        </row>
        <row r="1552">
          <cell r="I1552" t="str">
            <v>sim</v>
          </cell>
          <cell r="V1552" t="str">
            <v>not neg pair</v>
          </cell>
          <cell r="W1552">
            <v>0</v>
          </cell>
          <cell r="X1552" t="str">
            <v>0</v>
          </cell>
        </row>
        <row r="1553">
          <cell r="I1553" t="str">
            <v>sim</v>
          </cell>
          <cell r="V1553" t="str">
            <v>not neg pair</v>
          </cell>
          <cell r="W1553">
            <v>0</v>
          </cell>
          <cell r="X1553" t="str">
            <v>0</v>
          </cell>
        </row>
        <row r="1554">
          <cell r="I1554" t="str">
            <v>sim</v>
          </cell>
          <cell r="V1554" t="str">
            <v>not neg pair</v>
          </cell>
          <cell r="W1554">
            <v>0</v>
          </cell>
          <cell r="X1554" t="str">
            <v>0</v>
          </cell>
        </row>
        <row r="1555">
          <cell r="I1555" t="str">
            <v>sim</v>
          </cell>
          <cell r="V1555" t="str">
            <v>not neg pair</v>
          </cell>
          <cell r="W1555">
            <v>0</v>
          </cell>
          <cell r="X1555" t="str">
            <v>0</v>
          </cell>
        </row>
        <row r="1556">
          <cell r="I1556" t="str">
            <v>sim</v>
          </cell>
          <cell r="V1556" t="str">
            <v>not neg pair</v>
          </cell>
          <cell r="W1556">
            <v>0</v>
          </cell>
          <cell r="X1556" t="str">
            <v>0</v>
          </cell>
        </row>
        <row r="1557">
          <cell r="I1557" t="str">
            <v>sim</v>
          </cell>
          <cell r="V1557" t="str">
            <v>not neg pair</v>
          </cell>
          <cell r="W1557">
            <v>0</v>
          </cell>
          <cell r="X1557" t="str">
            <v>0</v>
          </cell>
        </row>
        <row r="1558">
          <cell r="I1558" t="str">
            <v>sim</v>
          </cell>
          <cell r="V1558" t="str">
            <v>not neg pair</v>
          </cell>
          <cell r="W1558">
            <v>0</v>
          </cell>
          <cell r="X1558" t="str">
            <v>0</v>
          </cell>
        </row>
        <row r="1559">
          <cell r="I1559" t="str">
            <v>sim</v>
          </cell>
          <cell r="V1559" t="str">
            <v>not neg pair</v>
          </cell>
          <cell r="W1559">
            <v>0</v>
          </cell>
          <cell r="X1559" t="str">
            <v>0</v>
          </cell>
        </row>
        <row r="1560">
          <cell r="I1560" t="str">
            <v>sim</v>
          </cell>
          <cell r="V1560" t="str">
            <v>not</v>
          </cell>
          <cell r="W1560">
            <v>1</v>
          </cell>
          <cell r="X1560" t="str">
            <v>intens</v>
          </cell>
        </row>
        <row r="1561">
          <cell r="I1561" t="str">
            <v>sim</v>
          </cell>
          <cell r="V1561" t="str">
            <v>not</v>
          </cell>
          <cell r="W1561">
            <v>1</v>
          </cell>
          <cell r="X1561" t="str">
            <v>neg</v>
          </cell>
        </row>
        <row r="1562">
          <cell r="I1562" t="str">
            <v>sim</v>
          </cell>
          <cell r="V1562" t="str">
            <v>antonym</v>
          </cell>
          <cell r="W1562">
            <v>1</v>
          </cell>
          <cell r="X1562" t="str">
            <v>intens</v>
          </cell>
        </row>
        <row r="1563">
          <cell r="I1563" t="str">
            <v>sim</v>
          </cell>
          <cell r="V1563" t="str">
            <v>antonym</v>
          </cell>
          <cell r="W1563">
            <v>1</v>
          </cell>
          <cell r="X1563" t="str">
            <v>neg</v>
          </cell>
        </row>
        <row r="1564">
          <cell r="I1564" t="str">
            <v>sim</v>
          </cell>
          <cell r="V1564" t="str">
            <v>not</v>
          </cell>
          <cell r="W1564">
            <v>1</v>
          </cell>
          <cell r="X1564" t="str">
            <v>intens</v>
          </cell>
        </row>
        <row r="1565">
          <cell r="I1565" t="str">
            <v>sim</v>
          </cell>
          <cell r="V1565" t="str">
            <v>not</v>
          </cell>
          <cell r="W1565">
            <v>1</v>
          </cell>
          <cell r="X1565" t="str">
            <v>neg</v>
          </cell>
        </row>
        <row r="1566">
          <cell r="I1566" t="str">
            <v>sim</v>
          </cell>
          <cell r="V1566" t="str">
            <v>not</v>
          </cell>
          <cell r="W1566">
            <v>1</v>
          </cell>
          <cell r="X1566" t="str">
            <v>neg</v>
          </cell>
        </row>
        <row r="1567">
          <cell r="I1567" t="str">
            <v>sim</v>
          </cell>
          <cell r="V1567" t="str">
            <v>not</v>
          </cell>
          <cell r="W1567">
            <v>1</v>
          </cell>
          <cell r="X1567" t="str">
            <v>intens</v>
          </cell>
        </row>
        <row r="1568">
          <cell r="I1568" t="str">
            <v>sim</v>
          </cell>
          <cell r="V1568" t="str">
            <v>not neg pair</v>
          </cell>
          <cell r="W1568">
            <v>0</v>
          </cell>
          <cell r="X1568" t="str">
            <v>0</v>
          </cell>
        </row>
        <row r="1569">
          <cell r="I1569" t="str">
            <v>sim</v>
          </cell>
          <cell r="V1569" t="str">
            <v>not neg pair</v>
          </cell>
          <cell r="W1569">
            <v>0</v>
          </cell>
          <cell r="X1569" t="str">
            <v>0</v>
          </cell>
        </row>
        <row r="1570">
          <cell r="I1570" t="str">
            <v>met</v>
          </cell>
          <cell r="V1570" t="str">
            <v>0</v>
          </cell>
          <cell r="W1570">
            <v>0</v>
          </cell>
          <cell r="X1570" t="str">
            <v>0</v>
          </cell>
        </row>
        <row r="1571">
          <cell r="I1571" t="str">
            <v>met</v>
          </cell>
          <cell r="V1571" t="str">
            <v>0</v>
          </cell>
          <cell r="W1571">
            <v>0</v>
          </cell>
          <cell r="X1571" t="str">
            <v>0</v>
          </cell>
        </row>
        <row r="1572">
          <cell r="I1572" t="str">
            <v>met</v>
          </cell>
          <cell r="V1572" t="str">
            <v>0</v>
          </cell>
          <cell r="W1572">
            <v>0</v>
          </cell>
          <cell r="X1572" t="str">
            <v>0</v>
          </cell>
        </row>
        <row r="1573">
          <cell r="I1573" t="str">
            <v>met</v>
          </cell>
          <cell r="V1573" t="str">
            <v>0</v>
          </cell>
          <cell r="W1573">
            <v>0</v>
          </cell>
          <cell r="X1573" t="str">
            <v>0</v>
          </cell>
        </row>
        <row r="1574">
          <cell r="I1574" t="str">
            <v>sim</v>
          </cell>
          <cell r="V1574" t="str">
            <v>not</v>
          </cell>
          <cell r="W1574">
            <v>1</v>
          </cell>
          <cell r="X1574" t="str">
            <v>neg</v>
          </cell>
        </row>
        <row r="1575">
          <cell r="I1575" t="str">
            <v>sim</v>
          </cell>
          <cell r="V1575" t="str">
            <v>not</v>
          </cell>
          <cell r="W1575">
            <v>1</v>
          </cell>
          <cell r="X1575" t="str">
            <v>intens</v>
          </cell>
        </row>
        <row r="1576">
          <cell r="I1576" t="str">
            <v>sim</v>
          </cell>
          <cell r="V1576" t="str">
            <v>not</v>
          </cell>
          <cell r="W1576">
            <v>1</v>
          </cell>
          <cell r="X1576" t="str">
            <v>neg</v>
          </cell>
        </row>
        <row r="1577">
          <cell r="I1577" t="str">
            <v>sim</v>
          </cell>
          <cell r="V1577" t="str">
            <v>not</v>
          </cell>
          <cell r="W1577">
            <v>1</v>
          </cell>
          <cell r="X1577" t="str">
            <v>intens</v>
          </cell>
        </row>
        <row r="1578">
          <cell r="I1578" t="str">
            <v>sim</v>
          </cell>
          <cell r="V1578" t="str">
            <v>antonym</v>
          </cell>
          <cell r="W1578">
            <v>1</v>
          </cell>
          <cell r="X1578" t="str">
            <v>intens</v>
          </cell>
        </row>
        <row r="1579">
          <cell r="I1579" t="str">
            <v>sim</v>
          </cell>
          <cell r="V1579" t="str">
            <v>antonym</v>
          </cell>
          <cell r="W1579">
            <v>1</v>
          </cell>
          <cell r="X1579" t="str">
            <v>neg</v>
          </cell>
        </row>
        <row r="1580">
          <cell r="I1580" t="str">
            <v>met</v>
          </cell>
          <cell r="V1580" t="str">
            <v>0</v>
          </cell>
          <cell r="W1580">
            <v>0</v>
          </cell>
          <cell r="X1580" t="str">
            <v>0</v>
          </cell>
        </row>
        <row r="1581">
          <cell r="I1581" t="str">
            <v>met</v>
          </cell>
          <cell r="V1581" t="str">
            <v>0</v>
          </cell>
          <cell r="W1581">
            <v>0</v>
          </cell>
          <cell r="X1581" t="str">
            <v>0</v>
          </cell>
        </row>
        <row r="1582">
          <cell r="I1582" t="str">
            <v>met</v>
          </cell>
          <cell r="V1582" t="str">
            <v>0</v>
          </cell>
          <cell r="W1582">
            <v>0</v>
          </cell>
          <cell r="X1582" t="str">
            <v>0</v>
          </cell>
        </row>
        <row r="1583">
          <cell r="I1583" t="str">
            <v>met</v>
          </cell>
          <cell r="V1583" t="str">
            <v>0</v>
          </cell>
          <cell r="W1583">
            <v>0</v>
          </cell>
          <cell r="X1583" t="str">
            <v>0</v>
          </cell>
        </row>
        <row r="1584">
          <cell r="I1584" t="str">
            <v>met</v>
          </cell>
          <cell r="V1584" t="str">
            <v>0</v>
          </cell>
          <cell r="W1584">
            <v>0</v>
          </cell>
          <cell r="X1584" t="str">
            <v>0</v>
          </cell>
        </row>
        <row r="1585">
          <cell r="I1585" t="str">
            <v>met</v>
          </cell>
          <cell r="V1585" t="str">
            <v>0</v>
          </cell>
          <cell r="W1585">
            <v>0</v>
          </cell>
          <cell r="X1585" t="str">
            <v>0</v>
          </cell>
        </row>
        <row r="1586">
          <cell r="I1586" t="str">
            <v>sim</v>
          </cell>
          <cell r="V1586" t="str">
            <v>not neg pair</v>
          </cell>
          <cell r="W1586">
            <v>0</v>
          </cell>
          <cell r="X1586" t="str">
            <v>0</v>
          </cell>
        </row>
        <row r="1587">
          <cell r="I1587" t="str">
            <v>sim</v>
          </cell>
          <cell r="V1587" t="str">
            <v>not neg pair</v>
          </cell>
          <cell r="W1587">
            <v>0</v>
          </cell>
          <cell r="X1587" t="str">
            <v>0</v>
          </cell>
        </row>
        <row r="1588">
          <cell r="I1588" t="str">
            <v>sim</v>
          </cell>
          <cell r="V1588" t="str">
            <v>not neg pair</v>
          </cell>
          <cell r="W1588">
            <v>0</v>
          </cell>
          <cell r="X1588" t="str">
            <v>0</v>
          </cell>
        </row>
        <row r="1589">
          <cell r="I1589" t="str">
            <v>sim</v>
          </cell>
          <cell r="V1589" t="str">
            <v>not neg pair</v>
          </cell>
          <cell r="W1589">
            <v>0</v>
          </cell>
          <cell r="X1589" t="str">
            <v>0</v>
          </cell>
        </row>
        <row r="1590">
          <cell r="I1590" t="str">
            <v>sim</v>
          </cell>
          <cell r="V1590" t="str">
            <v>not neg pair</v>
          </cell>
          <cell r="W1590">
            <v>0</v>
          </cell>
          <cell r="X1590" t="str">
            <v>0</v>
          </cell>
        </row>
        <row r="1591">
          <cell r="I1591" t="str">
            <v>sim</v>
          </cell>
          <cell r="V1591" t="str">
            <v>not neg pair</v>
          </cell>
          <cell r="W1591">
            <v>0</v>
          </cell>
          <cell r="X1591" t="str">
            <v>0</v>
          </cell>
        </row>
        <row r="1592">
          <cell r="I1592" t="str">
            <v>sim</v>
          </cell>
          <cell r="V1592" t="str">
            <v>not</v>
          </cell>
          <cell r="W1592">
            <v>1</v>
          </cell>
          <cell r="X1592" t="str">
            <v>neg</v>
          </cell>
        </row>
        <row r="1593">
          <cell r="I1593" t="str">
            <v>sim</v>
          </cell>
          <cell r="V1593" t="str">
            <v>not</v>
          </cell>
          <cell r="W1593">
            <v>1</v>
          </cell>
          <cell r="X1593" t="str">
            <v>intens</v>
          </cell>
        </row>
        <row r="1594">
          <cell r="I1594" t="str">
            <v>sim</v>
          </cell>
          <cell r="V1594" t="str">
            <v>not neg pair</v>
          </cell>
          <cell r="W1594">
            <v>0</v>
          </cell>
          <cell r="X1594" t="str">
            <v>0</v>
          </cell>
        </row>
        <row r="1595">
          <cell r="I1595" t="str">
            <v>sim</v>
          </cell>
          <cell r="V1595" t="str">
            <v>not neg pair</v>
          </cell>
          <cell r="W1595">
            <v>0</v>
          </cell>
          <cell r="X1595" t="str">
            <v>0</v>
          </cell>
        </row>
        <row r="1596">
          <cell r="I1596" t="str">
            <v>sim</v>
          </cell>
          <cell r="V1596" t="str">
            <v>not neg pair</v>
          </cell>
          <cell r="W1596">
            <v>0</v>
          </cell>
          <cell r="X1596" t="str">
            <v>0</v>
          </cell>
        </row>
        <row r="1597">
          <cell r="I1597" t="str">
            <v>met</v>
          </cell>
          <cell r="V1597" t="str">
            <v>0</v>
          </cell>
          <cell r="W1597">
            <v>0</v>
          </cell>
          <cell r="X1597" t="str">
            <v>0</v>
          </cell>
        </row>
        <row r="1598">
          <cell r="I1598" t="str">
            <v>sim</v>
          </cell>
          <cell r="V1598" t="str">
            <v>not neg pair</v>
          </cell>
          <cell r="W1598">
            <v>0</v>
          </cell>
          <cell r="X1598" t="str">
            <v>0</v>
          </cell>
        </row>
        <row r="1599">
          <cell r="I1599" t="str">
            <v>sim</v>
          </cell>
          <cell r="V1599" t="str">
            <v>not neg pair</v>
          </cell>
          <cell r="W1599">
            <v>0</v>
          </cell>
          <cell r="X1599" t="str">
            <v>0</v>
          </cell>
        </row>
        <row r="1600">
          <cell r="I1600" t="str">
            <v>sim</v>
          </cell>
          <cell r="V1600" t="str">
            <v>not neg pair</v>
          </cell>
          <cell r="W1600">
            <v>0</v>
          </cell>
          <cell r="X1600" t="str">
            <v>0</v>
          </cell>
        </row>
        <row r="1601">
          <cell r="I1601" t="str">
            <v>sim</v>
          </cell>
          <cell r="V1601" t="str">
            <v>not neg pair</v>
          </cell>
          <cell r="W1601">
            <v>0</v>
          </cell>
          <cell r="X1601" t="str">
            <v>0</v>
          </cell>
        </row>
        <row r="1602">
          <cell r="I1602" t="str">
            <v>sim</v>
          </cell>
          <cell r="V1602" t="str">
            <v>not neg pair</v>
          </cell>
          <cell r="W1602">
            <v>0</v>
          </cell>
          <cell r="X1602" t="str">
            <v>0</v>
          </cell>
        </row>
        <row r="1603">
          <cell r="I1603" t="str">
            <v>sim</v>
          </cell>
          <cell r="V1603" t="str">
            <v>not neg pair</v>
          </cell>
          <cell r="W1603">
            <v>0</v>
          </cell>
          <cell r="X1603" t="str">
            <v>0</v>
          </cell>
        </row>
        <row r="1604">
          <cell r="I1604" t="str">
            <v>sim</v>
          </cell>
          <cell r="V1604" t="str">
            <v>not</v>
          </cell>
          <cell r="W1604">
            <v>1</v>
          </cell>
          <cell r="X1604" t="str">
            <v>intens</v>
          </cell>
        </row>
        <row r="1605">
          <cell r="I1605" t="str">
            <v>sim</v>
          </cell>
          <cell r="V1605" t="str">
            <v>not</v>
          </cell>
          <cell r="W1605">
            <v>1</v>
          </cell>
          <cell r="X1605" t="str">
            <v>neg</v>
          </cell>
        </row>
        <row r="1606">
          <cell r="I1606" t="str">
            <v>sim</v>
          </cell>
          <cell r="V1606" t="str">
            <v>not neg pair</v>
          </cell>
          <cell r="W1606">
            <v>0</v>
          </cell>
          <cell r="X1606" t="str">
            <v>0</v>
          </cell>
        </row>
        <row r="1607">
          <cell r="I1607" t="str">
            <v>sim</v>
          </cell>
          <cell r="V1607" t="str">
            <v>not neg pair</v>
          </cell>
          <cell r="W1607">
            <v>0</v>
          </cell>
          <cell r="X1607" t="str">
            <v>0</v>
          </cell>
        </row>
        <row r="1608">
          <cell r="I1608" t="str">
            <v>sim</v>
          </cell>
          <cell r="V1608" t="str">
            <v>not neg pair</v>
          </cell>
          <cell r="W1608">
            <v>0</v>
          </cell>
          <cell r="X1608" t="str">
            <v>0</v>
          </cell>
        </row>
        <row r="1609">
          <cell r="I1609" t="str">
            <v>sim</v>
          </cell>
          <cell r="V1609" t="str">
            <v>not neg pair</v>
          </cell>
          <cell r="W1609">
            <v>0</v>
          </cell>
          <cell r="X1609" t="str">
            <v>0</v>
          </cell>
        </row>
        <row r="1610">
          <cell r="I1610" t="str">
            <v>sim</v>
          </cell>
          <cell r="V1610" t="str">
            <v>not</v>
          </cell>
          <cell r="W1610">
            <v>1</v>
          </cell>
          <cell r="X1610" t="str">
            <v>intens</v>
          </cell>
        </row>
        <row r="1611">
          <cell r="I1611" t="str">
            <v>sim</v>
          </cell>
          <cell r="V1611" t="str">
            <v>not</v>
          </cell>
          <cell r="W1611">
            <v>1</v>
          </cell>
          <cell r="X1611" t="str">
            <v>neg</v>
          </cell>
        </row>
        <row r="1612">
          <cell r="I1612" t="str">
            <v>sim</v>
          </cell>
          <cell r="V1612" t="str">
            <v>not neg pair</v>
          </cell>
          <cell r="W1612">
            <v>0</v>
          </cell>
          <cell r="X1612" t="str">
            <v>0</v>
          </cell>
        </row>
        <row r="1613">
          <cell r="I1613" t="str">
            <v>sim</v>
          </cell>
          <cell r="V1613" t="str">
            <v>not neg pair</v>
          </cell>
          <cell r="W1613">
            <v>0</v>
          </cell>
          <cell r="X1613" t="str">
            <v>0</v>
          </cell>
        </row>
        <row r="1614">
          <cell r="I1614" t="str">
            <v>sim</v>
          </cell>
          <cell r="V1614" t="str">
            <v>not neg pair</v>
          </cell>
          <cell r="W1614">
            <v>0</v>
          </cell>
          <cell r="X1614" t="str">
            <v>0</v>
          </cell>
        </row>
        <row r="1615">
          <cell r="I1615" t="str">
            <v>sim</v>
          </cell>
          <cell r="V1615" t="str">
            <v>not neg pair</v>
          </cell>
          <cell r="W1615">
            <v>0</v>
          </cell>
          <cell r="X1615" t="str">
            <v>0</v>
          </cell>
        </row>
        <row r="1616">
          <cell r="I1616" t="str">
            <v>sim</v>
          </cell>
          <cell r="V1616" t="str">
            <v>not neg pair</v>
          </cell>
          <cell r="W1616">
            <v>0</v>
          </cell>
          <cell r="X1616" t="str">
            <v>0</v>
          </cell>
        </row>
        <row r="1617">
          <cell r="I1617" t="str">
            <v>sim</v>
          </cell>
          <cell r="V1617" t="str">
            <v>not neg pair</v>
          </cell>
          <cell r="W1617">
            <v>0</v>
          </cell>
          <cell r="X1617" t="str">
            <v>0</v>
          </cell>
        </row>
        <row r="1618">
          <cell r="I1618" t="str">
            <v>met</v>
          </cell>
          <cell r="V1618" t="str">
            <v>0</v>
          </cell>
          <cell r="W1618">
            <v>0</v>
          </cell>
          <cell r="X1618" t="str">
            <v>0</v>
          </cell>
        </row>
        <row r="1619">
          <cell r="I1619" t="str">
            <v>met</v>
          </cell>
          <cell r="V1619" t="str">
            <v>0</v>
          </cell>
          <cell r="W1619">
            <v>0</v>
          </cell>
          <cell r="X1619" t="str">
            <v>0</v>
          </cell>
        </row>
        <row r="1620">
          <cell r="I1620" t="str">
            <v>met</v>
          </cell>
          <cell r="V1620" t="str">
            <v>0</v>
          </cell>
          <cell r="W1620">
            <v>0</v>
          </cell>
          <cell r="X1620" t="str">
            <v>0</v>
          </cell>
        </row>
        <row r="1621">
          <cell r="I1621" t="str">
            <v>met</v>
          </cell>
          <cell r="V1621" t="str">
            <v>0</v>
          </cell>
          <cell r="W1621">
            <v>0</v>
          </cell>
          <cell r="X1621" t="str">
            <v>0</v>
          </cell>
        </row>
        <row r="1622">
          <cell r="I1622" t="str">
            <v>met</v>
          </cell>
          <cell r="V1622" t="str">
            <v>0</v>
          </cell>
          <cell r="W1622">
            <v>0</v>
          </cell>
          <cell r="X1622" t="str">
            <v>0</v>
          </cell>
        </row>
        <row r="1623">
          <cell r="I1623" t="str">
            <v>met</v>
          </cell>
          <cell r="V1623" t="str">
            <v>0</v>
          </cell>
          <cell r="W1623">
            <v>0</v>
          </cell>
          <cell r="X1623" t="str">
            <v>0</v>
          </cell>
        </row>
        <row r="1624">
          <cell r="I1624" t="str">
            <v>sim</v>
          </cell>
          <cell r="V1624" t="str">
            <v>not neg pair</v>
          </cell>
          <cell r="W1624">
            <v>0</v>
          </cell>
          <cell r="X1624" t="str">
            <v>0</v>
          </cell>
        </row>
        <row r="1625">
          <cell r="I1625" t="str">
            <v>sim</v>
          </cell>
          <cell r="V1625" t="str">
            <v>not neg pair</v>
          </cell>
          <cell r="W1625">
            <v>0</v>
          </cell>
          <cell r="X1625" t="str">
            <v>0</v>
          </cell>
        </row>
        <row r="1626">
          <cell r="I1626" t="str">
            <v>sim</v>
          </cell>
          <cell r="V1626" t="str">
            <v>not neg pair</v>
          </cell>
          <cell r="W1626">
            <v>0</v>
          </cell>
          <cell r="X1626" t="str">
            <v>0</v>
          </cell>
        </row>
        <row r="1627">
          <cell r="I1627" t="str">
            <v>sim</v>
          </cell>
          <cell r="V1627" t="str">
            <v>not neg pair</v>
          </cell>
          <cell r="W1627">
            <v>0</v>
          </cell>
          <cell r="X1627" t="str">
            <v>0</v>
          </cell>
        </row>
        <row r="1628">
          <cell r="I1628" t="str">
            <v>met</v>
          </cell>
          <cell r="V1628" t="str">
            <v>0</v>
          </cell>
          <cell r="W1628">
            <v>0</v>
          </cell>
          <cell r="X1628" t="str">
            <v>0</v>
          </cell>
        </row>
        <row r="1629">
          <cell r="I1629" t="str">
            <v>met</v>
          </cell>
          <cell r="V1629" t="str">
            <v>0</v>
          </cell>
          <cell r="W1629">
            <v>0</v>
          </cell>
          <cell r="X1629" t="str">
            <v>0</v>
          </cell>
        </row>
        <row r="1630">
          <cell r="I1630" t="str">
            <v>sim</v>
          </cell>
          <cell r="V1630" t="str">
            <v>not neg pair</v>
          </cell>
          <cell r="W1630">
            <v>0</v>
          </cell>
          <cell r="X1630" t="str">
            <v>0</v>
          </cell>
        </row>
        <row r="1631">
          <cell r="I1631" t="str">
            <v>sim</v>
          </cell>
          <cell r="V1631" t="str">
            <v>not neg pair</v>
          </cell>
          <cell r="W1631">
            <v>0</v>
          </cell>
          <cell r="X1631" t="str">
            <v>0</v>
          </cell>
        </row>
        <row r="1632">
          <cell r="I1632" t="str">
            <v>met</v>
          </cell>
          <cell r="V1632" t="str">
            <v>0</v>
          </cell>
          <cell r="W1632">
            <v>0</v>
          </cell>
          <cell r="X1632" t="str">
            <v>0</v>
          </cell>
        </row>
        <row r="1633">
          <cell r="I1633" t="str">
            <v>met</v>
          </cell>
          <cell r="V1633" t="str">
            <v>0</v>
          </cell>
          <cell r="W1633">
            <v>0</v>
          </cell>
          <cell r="X1633" t="str">
            <v>0</v>
          </cell>
        </row>
        <row r="1634">
          <cell r="I1634" t="str">
            <v>met</v>
          </cell>
          <cell r="V1634" t="str">
            <v>0</v>
          </cell>
          <cell r="W1634">
            <v>0</v>
          </cell>
          <cell r="X1634" t="str">
            <v>0</v>
          </cell>
        </row>
        <row r="1635">
          <cell r="I1635" t="str">
            <v>met</v>
          </cell>
          <cell r="V1635" t="str">
            <v>0</v>
          </cell>
          <cell r="W1635">
            <v>0</v>
          </cell>
          <cell r="X1635" t="str">
            <v>0</v>
          </cell>
        </row>
        <row r="1636">
          <cell r="I1636" t="str">
            <v>sim</v>
          </cell>
          <cell r="V1636" t="str">
            <v>not</v>
          </cell>
          <cell r="W1636">
            <v>1</v>
          </cell>
          <cell r="X1636" t="str">
            <v>intens</v>
          </cell>
        </row>
        <row r="1637">
          <cell r="I1637" t="str">
            <v>sim</v>
          </cell>
          <cell r="V1637" t="str">
            <v>not</v>
          </cell>
          <cell r="W1637">
            <v>1</v>
          </cell>
          <cell r="X1637" t="str">
            <v>neg</v>
          </cell>
        </row>
        <row r="1638">
          <cell r="I1638" t="str">
            <v>sim</v>
          </cell>
          <cell r="V1638" t="str">
            <v>not</v>
          </cell>
          <cell r="W1638">
            <v>1</v>
          </cell>
          <cell r="X1638" t="str">
            <v>intens</v>
          </cell>
        </row>
        <row r="1639">
          <cell r="I1639" t="str">
            <v>sim</v>
          </cell>
          <cell r="V1639" t="str">
            <v>not</v>
          </cell>
          <cell r="W1639">
            <v>1</v>
          </cell>
          <cell r="X1639" t="str">
            <v>neg</v>
          </cell>
        </row>
        <row r="1640">
          <cell r="I1640" t="str">
            <v>sim</v>
          </cell>
          <cell r="V1640" t="str">
            <v>not</v>
          </cell>
          <cell r="W1640">
            <v>1</v>
          </cell>
          <cell r="X1640" t="str">
            <v>intens</v>
          </cell>
        </row>
        <row r="1641">
          <cell r="I1641" t="str">
            <v>sim</v>
          </cell>
          <cell r="V1641" t="str">
            <v>not</v>
          </cell>
          <cell r="W1641">
            <v>1</v>
          </cell>
          <cell r="X1641" t="str">
            <v>neg</v>
          </cell>
        </row>
        <row r="1642">
          <cell r="I1642" t="str">
            <v>met</v>
          </cell>
          <cell r="V1642" t="str">
            <v>0</v>
          </cell>
          <cell r="W1642">
            <v>0</v>
          </cell>
          <cell r="X1642" t="str">
            <v>0</v>
          </cell>
        </row>
        <row r="1643">
          <cell r="I1643" t="str">
            <v>met</v>
          </cell>
          <cell r="V1643" t="str">
            <v>0</v>
          </cell>
          <cell r="W1643">
            <v>0</v>
          </cell>
          <cell r="X1643" t="str">
            <v>0</v>
          </cell>
        </row>
        <row r="1644">
          <cell r="I1644" t="str">
            <v>sim</v>
          </cell>
          <cell r="V1644" t="str">
            <v>not neg pair</v>
          </cell>
          <cell r="W1644">
            <v>0</v>
          </cell>
          <cell r="X1644" t="str">
            <v>0</v>
          </cell>
        </row>
        <row r="1645">
          <cell r="I1645" t="str">
            <v>sim</v>
          </cell>
          <cell r="V1645" t="str">
            <v>not neg pair</v>
          </cell>
          <cell r="W1645">
            <v>0</v>
          </cell>
          <cell r="X1645" t="str">
            <v>0</v>
          </cell>
        </row>
        <row r="1646">
          <cell r="I1646" t="str">
            <v>sim</v>
          </cell>
          <cell r="V1646" t="str">
            <v>not neg pair</v>
          </cell>
          <cell r="W1646">
            <v>0</v>
          </cell>
          <cell r="X1646" t="str">
            <v>0</v>
          </cell>
        </row>
        <row r="1647">
          <cell r="I1647" t="str">
            <v>sim</v>
          </cell>
          <cell r="V1647" t="str">
            <v>not neg pair</v>
          </cell>
          <cell r="W1647">
            <v>0</v>
          </cell>
          <cell r="X1647" t="str">
            <v>0</v>
          </cell>
        </row>
        <row r="1648">
          <cell r="I1648" t="str">
            <v>sim</v>
          </cell>
          <cell r="V1648" t="str">
            <v>not neg pair</v>
          </cell>
          <cell r="W1648">
            <v>0</v>
          </cell>
          <cell r="X1648" t="str">
            <v>0</v>
          </cell>
        </row>
        <row r="1649">
          <cell r="I1649" t="str">
            <v>sim</v>
          </cell>
          <cell r="V1649" t="str">
            <v>not neg pair</v>
          </cell>
          <cell r="W1649">
            <v>0</v>
          </cell>
          <cell r="X1649" t="str">
            <v>0</v>
          </cell>
        </row>
        <row r="1650">
          <cell r="I1650" t="str">
            <v>sim</v>
          </cell>
          <cell r="V1650" t="str">
            <v>not neg pair</v>
          </cell>
          <cell r="W1650">
            <v>0</v>
          </cell>
          <cell r="X1650" t="str">
            <v>0</v>
          </cell>
        </row>
        <row r="1651">
          <cell r="I1651" t="str">
            <v>sim</v>
          </cell>
          <cell r="V1651" t="str">
            <v>not neg pair</v>
          </cell>
          <cell r="W1651">
            <v>0</v>
          </cell>
          <cell r="X1651" t="str">
            <v>0</v>
          </cell>
        </row>
        <row r="1652">
          <cell r="I1652" t="str">
            <v>sim</v>
          </cell>
          <cell r="V1652" t="str">
            <v>not neg pair</v>
          </cell>
          <cell r="W1652">
            <v>0</v>
          </cell>
          <cell r="X1652" t="str">
            <v>0</v>
          </cell>
        </row>
        <row r="1653">
          <cell r="I1653" t="str">
            <v>sim</v>
          </cell>
          <cell r="V1653" t="str">
            <v>not neg pair</v>
          </cell>
          <cell r="W1653">
            <v>0</v>
          </cell>
          <cell r="X1653" t="str">
            <v>0</v>
          </cell>
        </row>
        <row r="1654">
          <cell r="I1654" t="str">
            <v>sim</v>
          </cell>
          <cell r="V1654" t="str">
            <v>antonym</v>
          </cell>
          <cell r="W1654">
            <v>1</v>
          </cell>
          <cell r="X1654" t="str">
            <v>intens</v>
          </cell>
        </row>
        <row r="1655">
          <cell r="I1655" t="str">
            <v>sim</v>
          </cell>
          <cell r="V1655" t="str">
            <v>antonym</v>
          </cell>
          <cell r="W1655">
            <v>1</v>
          </cell>
          <cell r="X1655" t="str">
            <v>neg</v>
          </cell>
        </row>
        <row r="1656">
          <cell r="I1656" t="str">
            <v>sim</v>
          </cell>
          <cell r="V1656" t="str">
            <v>not</v>
          </cell>
          <cell r="W1656">
            <v>1</v>
          </cell>
          <cell r="X1656" t="str">
            <v>neg</v>
          </cell>
        </row>
        <row r="1657">
          <cell r="I1657" t="str">
            <v>sim</v>
          </cell>
          <cell r="V1657" t="str">
            <v>not</v>
          </cell>
          <cell r="W1657">
            <v>1</v>
          </cell>
          <cell r="X1657" t="str">
            <v>intens</v>
          </cell>
        </row>
        <row r="1658">
          <cell r="I1658" t="str">
            <v>sim</v>
          </cell>
          <cell r="V1658" t="str">
            <v>not neg pair</v>
          </cell>
          <cell r="W1658">
            <v>0</v>
          </cell>
          <cell r="X1658" t="str">
            <v>0</v>
          </cell>
        </row>
        <row r="1659">
          <cell r="I1659" t="str">
            <v>sim</v>
          </cell>
          <cell r="V1659" t="str">
            <v>not neg pair</v>
          </cell>
          <cell r="W1659">
            <v>0</v>
          </cell>
          <cell r="X1659" t="str">
            <v>0</v>
          </cell>
        </row>
        <row r="1660">
          <cell r="I1660" t="str">
            <v>sim</v>
          </cell>
          <cell r="V1660" t="str">
            <v>not neg pair</v>
          </cell>
          <cell r="W1660">
            <v>0</v>
          </cell>
          <cell r="X1660" t="str">
            <v>0</v>
          </cell>
        </row>
        <row r="1661">
          <cell r="I1661" t="str">
            <v>sim</v>
          </cell>
          <cell r="V1661" t="str">
            <v>not neg pair</v>
          </cell>
          <cell r="W1661">
            <v>0</v>
          </cell>
          <cell r="X1661" t="str">
            <v>0</v>
          </cell>
        </row>
        <row r="1662">
          <cell r="I1662" t="str">
            <v>sim</v>
          </cell>
          <cell r="V1662" t="str">
            <v>not</v>
          </cell>
          <cell r="W1662">
            <v>1</v>
          </cell>
          <cell r="X1662" t="str">
            <v>neg</v>
          </cell>
        </row>
        <row r="1663">
          <cell r="I1663" t="str">
            <v>sim</v>
          </cell>
          <cell r="V1663" t="str">
            <v>not</v>
          </cell>
          <cell r="W1663">
            <v>1</v>
          </cell>
          <cell r="X1663" t="str">
            <v>intens</v>
          </cell>
        </row>
        <row r="1664">
          <cell r="I1664" t="str">
            <v>sim</v>
          </cell>
          <cell r="V1664" t="str">
            <v>not</v>
          </cell>
          <cell r="W1664">
            <v>1</v>
          </cell>
          <cell r="X1664" t="str">
            <v>neg</v>
          </cell>
        </row>
        <row r="1665">
          <cell r="I1665" t="str">
            <v>sim</v>
          </cell>
          <cell r="V1665" t="str">
            <v>not</v>
          </cell>
          <cell r="W1665">
            <v>1</v>
          </cell>
          <cell r="X1665" t="str">
            <v>intens</v>
          </cell>
        </row>
        <row r="1666">
          <cell r="I1666" t="str">
            <v>sim</v>
          </cell>
          <cell r="V1666" t="str">
            <v>not</v>
          </cell>
          <cell r="W1666">
            <v>1</v>
          </cell>
          <cell r="X1666" t="str">
            <v>intens</v>
          </cell>
        </row>
        <row r="1667">
          <cell r="I1667" t="str">
            <v>sim</v>
          </cell>
          <cell r="V1667" t="str">
            <v>not</v>
          </cell>
          <cell r="W1667">
            <v>1</v>
          </cell>
          <cell r="X1667" t="str">
            <v>neg</v>
          </cell>
        </row>
        <row r="1668">
          <cell r="I1668" t="str">
            <v>met</v>
          </cell>
          <cell r="V1668" t="str">
            <v>0</v>
          </cell>
          <cell r="W1668">
            <v>0</v>
          </cell>
          <cell r="X1668" t="str">
            <v>0</v>
          </cell>
        </row>
        <row r="1669">
          <cell r="I1669" t="str">
            <v>met</v>
          </cell>
          <cell r="V1669" t="str">
            <v>0</v>
          </cell>
          <cell r="W1669">
            <v>0</v>
          </cell>
          <cell r="X1669" t="str">
            <v>0</v>
          </cell>
        </row>
        <row r="1670">
          <cell r="I1670" t="str">
            <v>sim</v>
          </cell>
          <cell r="V1670" t="str">
            <v>not</v>
          </cell>
          <cell r="W1670">
            <v>1</v>
          </cell>
          <cell r="X1670" t="str">
            <v>intens</v>
          </cell>
        </row>
        <row r="1671">
          <cell r="I1671" t="str">
            <v>sim</v>
          </cell>
          <cell r="V1671" t="str">
            <v>not</v>
          </cell>
          <cell r="W1671">
            <v>1</v>
          </cell>
          <cell r="X1671" t="str">
            <v>neg</v>
          </cell>
        </row>
        <row r="1672">
          <cell r="I1672" t="str">
            <v>sim</v>
          </cell>
          <cell r="V1672" t="str">
            <v>not neg pair</v>
          </cell>
          <cell r="W1672">
            <v>0</v>
          </cell>
          <cell r="X1672" t="str">
            <v>0</v>
          </cell>
        </row>
        <row r="1673">
          <cell r="I1673" t="str">
            <v>met</v>
          </cell>
          <cell r="V1673" t="str">
            <v>0</v>
          </cell>
          <cell r="W1673">
            <v>0</v>
          </cell>
          <cell r="X1673" t="str">
            <v>0</v>
          </cell>
        </row>
        <row r="1674">
          <cell r="I1674" t="str">
            <v>met</v>
          </cell>
          <cell r="V1674" t="str">
            <v>0</v>
          </cell>
          <cell r="W1674">
            <v>0</v>
          </cell>
          <cell r="X1674" t="str">
            <v>0</v>
          </cell>
        </row>
        <row r="1675">
          <cell r="I1675" t="str">
            <v>sim</v>
          </cell>
          <cell r="V1675" t="str">
            <v>not neg pair</v>
          </cell>
          <cell r="W1675">
            <v>0</v>
          </cell>
          <cell r="X1675" t="str">
            <v>0</v>
          </cell>
        </row>
        <row r="1676">
          <cell r="I1676" t="str">
            <v>met</v>
          </cell>
          <cell r="V1676" t="str">
            <v>0</v>
          </cell>
          <cell r="W1676">
            <v>0</v>
          </cell>
          <cell r="X1676" t="str">
            <v>0</v>
          </cell>
        </row>
        <row r="1677">
          <cell r="I1677" t="str">
            <v>met</v>
          </cell>
          <cell r="V1677" t="str">
            <v>0</v>
          </cell>
          <cell r="W1677">
            <v>0</v>
          </cell>
          <cell r="X1677" t="str">
            <v>0</v>
          </cell>
        </row>
        <row r="1678">
          <cell r="I1678" t="str">
            <v>sim</v>
          </cell>
          <cell r="V1678" t="str">
            <v>not</v>
          </cell>
          <cell r="W1678">
            <v>1</v>
          </cell>
          <cell r="X1678" t="str">
            <v>intens</v>
          </cell>
        </row>
        <row r="1679">
          <cell r="I1679" t="str">
            <v>sim</v>
          </cell>
          <cell r="V1679" t="str">
            <v>not</v>
          </cell>
          <cell r="W1679">
            <v>1</v>
          </cell>
          <cell r="X1679" t="str">
            <v>neg</v>
          </cell>
        </row>
        <row r="1680">
          <cell r="I1680" t="str">
            <v>sim</v>
          </cell>
          <cell r="V1680" t="str">
            <v>not neg pair</v>
          </cell>
          <cell r="W1680">
            <v>0</v>
          </cell>
          <cell r="X1680" t="str">
            <v>0</v>
          </cell>
        </row>
        <row r="1681">
          <cell r="I1681" t="str">
            <v>sim</v>
          </cell>
          <cell r="V1681" t="str">
            <v>not neg pair</v>
          </cell>
          <cell r="W1681">
            <v>0</v>
          </cell>
          <cell r="X1681" t="str">
            <v>0</v>
          </cell>
        </row>
        <row r="1682">
          <cell r="I1682" t="str">
            <v>sim</v>
          </cell>
          <cell r="V1682" t="str">
            <v>not neg pair</v>
          </cell>
          <cell r="W1682">
            <v>0</v>
          </cell>
          <cell r="X1682" t="str">
            <v>0</v>
          </cell>
        </row>
        <row r="1683">
          <cell r="I1683" t="str">
            <v>sim</v>
          </cell>
          <cell r="V1683" t="str">
            <v>not neg pair</v>
          </cell>
          <cell r="W1683">
            <v>0</v>
          </cell>
          <cell r="X1683" t="str">
            <v>0</v>
          </cell>
        </row>
        <row r="1684">
          <cell r="I1684" t="str">
            <v>met</v>
          </cell>
          <cell r="V1684" t="str">
            <v>0</v>
          </cell>
          <cell r="W1684">
            <v>0</v>
          </cell>
          <cell r="X1684" t="str">
            <v>0</v>
          </cell>
        </row>
        <row r="1685">
          <cell r="I1685" t="str">
            <v>met</v>
          </cell>
          <cell r="V1685" t="str">
            <v>0</v>
          </cell>
          <cell r="W1685">
            <v>0</v>
          </cell>
          <cell r="X1685" t="str">
            <v>0</v>
          </cell>
        </row>
        <row r="1686">
          <cell r="I1686" t="str">
            <v>sim</v>
          </cell>
          <cell r="V1686" t="str">
            <v>not</v>
          </cell>
          <cell r="W1686">
            <v>1</v>
          </cell>
          <cell r="X1686" t="str">
            <v>intens</v>
          </cell>
        </row>
        <row r="1687">
          <cell r="I1687" t="str">
            <v>sim</v>
          </cell>
          <cell r="V1687" t="str">
            <v>not</v>
          </cell>
          <cell r="W1687">
            <v>1</v>
          </cell>
          <cell r="X1687" t="str">
            <v>neg</v>
          </cell>
        </row>
        <row r="1688">
          <cell r="I1688" t="str">
            <v>sim</v>
          </cell>
          <cell r="V1688" t="str">
            <v>antonym</v>
          </cell>
          <cell r="W1688">
            <v>1</v>
          </cell>
          <cell r="X1688" t="str">
            <v>neg</v>
          </cell>
        </row>
        <row r="1689">
          <cell r="I1689" t="str">
            <v>sim</v>
          </cell>
          <cell r="V1689" t="str">
            <v>antonym</v>
          </cell>
          <cell r="W1689">
            <v>1</v>
          </cell>
          <cell r="X1689" t="str">
            <v>intens</v>
          </cell>
        </row>
        <row r="1690">
          <cell r="I1690" t="str">
            <v>met</v>
          </cell>
          <cell r="V1690" t="str">
            <v>0</v>
          </cell>
          <cell r="W1690">
            <v>0</v>
          </cell>
          <cell r="X1690" t="str">
            <v>0</v>
          </cell>
        </row>
        <row r="1691">
          <cell r="I1691" t="str">
            <v>met</v>
          </cell>
          <cell r="V1691" t="str">
            <v>0</v>
          </cell>
          <cell r="W1691">
            <v>0</v>
          </cell>
          <cell r="X1691" t="str">
            <v>0</v>
          </cell>
        </row>
        <row r="1692">
          <cell r="I1692" t="str">
            <v>sim</v>
          </cell>
          <cell r="V1692" t="str">
            <v>not neg pair</v>
          </cell>
          <cell r="W1692">
            <v>0</v>
          </cell>
          <cell r="X1692" t="str">
            <v>0</v>
          </cell>
        </row>
        <row r="1693">
          <cell r="I1693" t="str">
            <v>sim</v>
          </cell>
          <cell r="V1693" t="str">
            <v>not neg pair</v>
          </cell>
          <cell r="W1693">
            <v>0</v>
          </cell>
          <cell r="X1693" t="str">
            <v>0</v>
          </cell>
        </row>
        <row r="1694">
          <cell r="I1694" t="str">
            <v>sim</v>
          </cell>
          <cell r="V1694" t="str">
            <v>not neg pair</v>
          </cell>
          <cell r="W1694">
            <v>0</v>
          </cell>
          <cell r="X1694" t="str">
            <v>0</v>
          </cell>
        </row>
        <row r="1695">
          <cell r="I1695" t="str">
            <v>sim</v>
          </cell>
          <cell r="V1695" t="str">
            <v>not neg pair</v>
          </cell>
          <cell r="W1695">
            <v>0</v>
          </cell>
          <cell r="X1695" t="str">
            <v>0</v>
          </cell>
        </row>
        <row r="1696">
          <cell r="I1696" t="str">
            <v>sim</v>
          </cell>
          <cell r="V1696" t="str">
            <v>antonym</v>
          </cell>
          <cell r="W1696">
            <v>1</v>
          </cell>
          <cell r="X1696" t="str">
            <v>intens</v>
          </cell>
        </row>
        <row r="1697">
          <cell r="I1697" t="str">
            <v>sim</v>
          </cell>
          <cell r="V1697" t="str">
            <v>antonym</v>
          </cell>
          <cell r="W1697">
            <v>1</v>
          </cell>
          <cell r="X1697" t="str">
            <v>neg</v>
          </cell>
        </row>
        <row r="1698">
          <cell r="I1698" t="str">
            <v>sim</v>
          </cell>
          <cell r="V1698" t="str">
            <v>not</v>
          </cell>
          <cell r="W1698">
            <v>1</v>
          </cell>
          <cell r="X1698" t="str">
            <v>intens</v>
          </cell>
        </row>
        <row r="1699">
          <cell r="I1699" t="str">
            <v>sim</v>
          </cell>
          <cell r="V1699" t="str">
            <v>not</v>
          </cell>
          <cell r="W1699">
            <v>1</v>
          </cell>
          <cell r="X1699" t="str">
            <v>neg</v>
          </cell>
        </row>
        <row r="1700">
          <cell r="I1700" t="str">
            <v>sim</v>
          </cell>
          <cell r="V1700" t="str">
            <v>antonym</v>
          </cell>
          <cell r="W1700">
            <v>1</v>
          </cell>
          <cell r="X1700" t="str">
            <v>intens</v>
          </cell>
        </row>
        <row r="1701">
          <cell r="I1701" t="str">
            <v>sim</v>
          </cell>
          <cell r="V1701" t="str">
            <v>antonym</v>
          </cell>
          <cell r="W1701">
            <v>1</v>
          </cell>
          <cell r="X1701" t="str">
            <v>neg</v>
          </cell>
        </row>
        <row r="1702">
          <cell r="I1702" t="str">
            <v>sim</v>
          </cell>
          <cell r="V1702" t="str">
            <v>not neg pair</v>
          </cell>
          <cell r="W1702">
            <v>0</v>
          </cell>
          <cell r="X1702" t="str">
            <v>0</v>
          </cell>
        </row>
        <row r="1703">
          <cell r="I1703" t="str">
            <v>sim</v>
          </cell>
          <cell r="V1703" t="str">
            <v>not neg pair</v>
          </cell>
          <cell r="W1703">
            <v>0</v>
          </cell>
          <cell r="X1703" t="str">
            <v>0</v>
          </cell>
        </row>
        <row r="1704">
          <cell r="I1704" t="str">
            <v>sim</v>
          </cell>
          <cell r="V1704" t="str">
            <v>not neg pair</v>
          </cell>
          <cell r="W1704">
            <v>0</v>
          </cell>
          <cell r="X1704" t="str">
            <v>0</v>
          </cell>
        </row>
        <row r="1705">
          <cell r="I1705" t="str">
            <v>sim</v>
          </cell>
          <cell r="V1705" t="str">
            <v>not neg pair</v>
          </cell>
          <cell r="W1705">
            <v>0</v>
          </cell>
          <cell r="X1705" t="str">
            <v>0</v>
          </cell>
        </row>
        <row r="1706">
          <cell r="I1706" t="str">
            <v>sim</v>
          </cell>
          <cell r="V1706" t="str">
            <v>not neg pair</v>
          </cell>
          <cell r="W1706">
            <v>0</v>
          </cell>
          <cell r="X1706" t="str">
            <v>0</v>
          </cell>
        </row>
        <row r="1707">
          <cell r="I1707" t="str">
            <v>sim</v>
          </cell>
          <cell r="V1707" t="str">
            <v>not neg pair</v>
          </cell>
          <cell r="W1707">
            <v>0</v>
          </cell>
          <cell r="X1707" t="str">
            <v>0</v>
          </cell>
        </row>
        <row r="1708">
          <cell r="I1708" t="str">
            <v>met</v>
          </cell>
          <cell r="V1708" t="str">
            <v>0</v>
          </cell>
          <cell r="W1708">
            <v>0</v>
          </cell>
          <cell r="X1708" t="str">
            <v>0</v>
          </cell>
        </row>
        <row r="1709">
          <cell r="I1709" t="str">
            <v>met</v>
          </cell>
          <cell r="V1709" t="str">
            <v>0</v>
          </cell>
          <cell r="W1709">
            <v>0</v>
          </cell>
          <cell r="X1709" t="str">
            <v>0</v>
          </cell>
        </row>
        <row r="1710">
          <cell r="I1710" t="str">
            <v>met</v>
          </cell>
          <cell r="V1710" t="str">
            <v>0</v>
          </cell>
          <cell r="W1710">
            <v>0</v>
          </cell>
          <cell r="X1710" t="str">
            <v>0</v>
          </cell>
        </row>
        <row r="1711">
          <cell r="I1711" t="str">
            <v>met</v>
          </cell>
          <cell r="V1711" t="str">
            <v>0</v>
          </cell>
          <cell r="W1711">
            <v>0</v>
          </cell>
          <cell r="X1711" t="str">
            <v>0</v>
          </cell>
        </row>
        <row r="1712">
          <cell r="I1712" t="str">
            <v>met</v>
          </cell>
          <cell r="V1712" t="str">
            <v>0</v>
          </cell>
          <cell r="W1712">
            <v>0</v>
          </cell>
          <cell r="X1712" t="str">
            <v>0</v>
          </cell>
        </row>
        <row r="1713">
          <cell r="I1713" t="str">
            <v>met</v>
          </cell>
          <cell r="V1713" t="str">
            <v>0</v>
          </cell>
          <cell r="W1713">
            <v>0</v>
          </cell>
          <cell r="X1713" t="str">
            <v>0</v>
          </cell>
        </row>
        <row r="1714">
          <cell r="I1714" t="str">
            <v>sim</v>
          </cell>
          <cell r="V1714" t="str">
            <v>not neg pair</v>
          </cell>
          <cell r="W1714">
            <v>0</v>
          </cell>
          <cell r="X1714" t="str">
            <v>0</v>
          </cell>
        </row>
        <row r="1715">
          <cell r="I1715" t="str">
            <v>sim</v>
          </cell>
          <cell r="V1715" t="str">
            <v>not neg pair</v>
          </cell>
          <cell r="W1715">
            <v>0</v>
          </cell>
          <cell r="X1715" t="str">
            <v>0</v>
          </cell>
        </row>
        <row r="1716">
          <cell r="I1716" t="str">
            <v>sim</v>
          </cell>
          <cell r="V1716" t="str">
            <v>not</v>
          </cell>
          <cell r="W1716">
            <v>1</v>
          </cell>
          <cell r="X1716" t="str">
            <v>neg</v>
          </cell>
        </row>
        <row r="1717">
          <cell r="I1717" t="str">
            <v>sim</v>
          </cell>
          <cell r="V1717" t="str">
            <v>not</v>
          </cell>
          <cell r="W1717">
            <v>1</v>
          </cell>
          <cell r="X1717" t="str">
            <v>intens</v>
          </cell>
        </row>
        <row r="1718">
          <cell r="I1718" t="str">
            <v>sim</v>
          </cell>
          <cell r="V1718" t="str">
            <v>not neg pair</v>
          </cell>
          <cell r="W1718">
            <v>0</v>
          </cell>
          <cell r="X1718" t="str">
            <v>0</v>
          </cell>
        </row>
        <row r="1719">
          <cell r="I1719" t="str">
            <v>sim</v>
          </cell>
          <cell r="V1719" t="str">
            <v>not neg pair</v>
          </cell>
          <cell r="W1719">
            <v>0</v>
          </cell>
          <cell r="X1719" t="str">
            <v>0</v>
          </cell>
        </row>
        <row r="1720">
          <cell r="I1720" t="str">
            <v>met</v>
          </cell>
          <cell r="V1720" t="str">
            <v>0</v>
          </cell>
          <cell r="W1720">
            <v>0</v>
          </cell>
          <cell r="X1720" t="str">
            <v>0</v>
          </cell>
        </row>
        <row r="1721">
          <cell r="I1721" t="str">
            <v>met</v>
          </cell>
          <cell r="V1721" t="str">
            <v>0</v>
          </cell>
          <cell r="W1721">
            <v>0</v>
          </cell>
          <cell r="X1721" t="str">
            <v>0</v>
          </cell>
        </row>
        <row r="1722">
          <cell r="I1722" t="str">
            <v>sim</v>
          </cell>
          <cell r="V1722" t="str">
            <v>not</v>
          </cell>
          <cell r="W1722">
            <v>1</v>
          </cell>
          <cell r="X1722" t="str">
            <v>intens</v>
          </cell>
        </row>
        <row r="1723">
          <cell r="I1723" t="str">
            <v>sim</v>
          </cell>
          <cell r="V1723" t="str">
            <v>not</v>
          </cell>
          <cell r="W1723">
            <v>1</v>
          </cell>
          <cell r="X1723" t="str">
            <v>neg</v>
          </cell>
        </row>
        <row r="1724">
          <cell r="I1724" t="str">
            <v>met</v>
          </cell>
          <cell r="V1724" t="str">
            <v>0</v>
          </cell>
          <cell r="W1724">
            <v>0</v>
          </cell>
          <cell r="X1724" t="str">
            <v>0</v>
          </cell>
        </row>
        <row r="1725">
          <cell r="I1725" t="str">
            <v>met</v>
          </cell>
          <cell r="V1725" t="str">
            <v>0</v>
          </cell>
          <cell r="W1725">
            <v>0</v>
          </cell>
          <cell r="X1725" t="str">
            <v>0</v>
          </cell>
        </row>
        <row r="1726">
          <cell r="I1726" t="str">
            <v>sim</v>
          </cell>
          <cell r="V1726" t="str">
            <v>not neg pair</v>
          </cell>
          <cell r="W1726">
            <v>0</v>
          </cell>
          <cell r="X1726" t="str">
            <v>0</v>
          </cell>
        </row>
        <row r="1727">
          <cell r="I1727" t="str">
            <v>sim</v>
          </cell>
          <cell r="V1727" t="str">
            <v>not neg pair</v>
          </cell>
          <cell r="W1727">
            <v>0</v>
          </cell>
          <cell r="X1727" t="str">
            <v>0</v>
          </cell>
        </row>
        <row r="1728">
          <cell r="I1728" t="str">
            <v>sim</v>
          </cell>
          <cell r="V1728" t="str">
            <v>antonym</v>
          </cell>
          <cell r="W1728">
            <v>1</v>
          </cell>
          <cell r="X1728" t="str">
            <v>intens</v>
          </cell>
        </row>
        <row r="1729">
          <cell r="I1729" t="str">
            <v>sim</v>
          </cell>
          <cell r="V1729" t="str">
            <v>antonym</v>
          </cell>
          <cell r="W1729">
            <v>1</v>
          </cell>
          <cell r="X1729" t="str">
            <v>neg</v>
          </cell>
        </row>
        <row r="1730">
          <cell r="I1730" t="str">
            <v>sim</v>
          </cell>
          <cell r="V1730" t="str">
            <v>not neg pair</v>
          </cell>
          <cell r="W1730">
            <v>0</v>
          </cell>
          <cell r="X1730" t="str">
            <v>0</v>
          </cell>
        </row>
        <row r="1731">
          <cell r="I1731" t="str">
            <v>sim</v>
          </cell>
          <cell r="V1731" t="str">
            <v>not neg pair</v>
          </cell>
          <cell r="W1731">
            <v>0</v>
          </cell>
          <cell r="X1731" t="str">
            <v>0</v>
          </cell>
        </row>
        <row r="1732">
          <cell r="I1732" t="str">
            <v>sim</v>
          </cell>
          <cell r="V1732" t="str">
            <v>not neg pair</v>
          </cell>
          <cell r="W1732">
            <v>0</v>
          </cell>
          <cell r="X1732" t="str">
            <v>0</v>
          </cell>
        </row>
        <row r="1733">
          <cell r="I1733" t="str">
            <v>sim</v>
          </cell>
          <cell r="V1733" t="str">
            <v>not neg pair</v>
          </cell>
          <cell r="W1733">
            <v>0</v>
          </cell>
          <cell r="X1733" t="str">
            <v>0</v>
          </cell>
        </row>
        <row r="1734">
          <cell r="I1734" t="str">
            <v>sim</v>
          </cell>
          <cell r="V1734" t="str">
            <v>antonym</v>
          </cell>
          <cell r="W1734">
            <v>1</v>
          </cell>
          <cell r="X1734" t="str">
            <v>neg</v>
          </cell>
        </row>
        <row r="1735">
          <cell r="I1735" t="str">
            <v>sim</v>
          </cell>
          <cell r="V1735" t="str">
            <v>antonym</v>
          </cell>
          <cell r="W1735">
            <v>1</v>
          </cell>
          <cell r="X1735" t="str">
            <v>intens</v>
          </cell>
        </row>
        <row r="1736">
          <cell r="I1736" t="str">
            <v>sim</v>
          </cell>
          <cell r="V1736" t="str">
            <v>not neg pair</v>
          </cell>
          <cell r="W1736">
            <v>0</v>
          </cell>
          <cell r="X1736" t="str">
            <v>0</v>
          </cell>
        </row>
        <row r="1737">
          <cell r="I1737" t="str">
            <v>sim</v>
          </cell>
          <cell r="V1737" t="str">
            <v>not neg pair</v>
          </cell>
          <cell r="W1737">
            <v>0</v>
          </cell>
          <cell r="X1737" t="str">
            <v>0</v>
          </cell>
        </row>
        <row r="1738">
          <cell r="I1738" t="str">
            <v>met</v>
          </cell>
          <cell r="V1738" t="str">
            <v>0</v>
          </cell>
          <cell r="W1738">
            <v>0</v>
          </cell>
          <cell r="X1738" t="str">
            <v>0</v>
          </cell>
        </row>
        <row r="1739">
          <cell r="I1739" t="str">
            <v>met</v>
          </cell>
          <cell r="V1739" t="str">
            <v>0</v>
          </cell>
          <cell r="W1739">
            <v>0</v>
          </cell>
          <cell r="X1739" t="str">
            <v>0</v>
          </cell>
        </row>
        <row r="1740">
          <cell r="I1740" t="str">
            <v>sim</v>
          </cell>
          <cell r="V1740" t="str">
            <v>not neg pair</v>
          </cell>
          <cell r="W1740">
            <v>0</v>
          </cell>
          <cell r="X1740" t="str">
            <v>0</v>
          </cell>
        </row>
        <row r="1741">
          <cell r="I1741" t="str">
            <v>sim</v>
          </cell>
          <cell r="V1741" t="str">
            <v>not neg pair</v>
          </cell>
          <cell r="W1741">
            <v>0</v>
          </cell>
          <cell r="X1741" t="str">
            <v>0</v>
          </cell>
        </row>
        <row r="1742">
          <cell r="I1742" t="str">
            <v>met</v>
          </cell>
          <cell r="V1742" t="str">
            <v>0</v>
          </cell>
          <cell r="W1742">
            <v>0</v>
          </cell>
          <cell r="X1742" t="str">
            <v>0</v>
          </cell>
        </row>
        <row r="1743">
          <cell r="I1743" t="str">
            <v>met</v>
          </cell>
          <cell r="V1743" t="str">
            <v>0</v>
          </cell>
          <cell r="W1743">
            <v>0</v>
          </cell>
          <cell r="X1743" t="str">
            <v>0</v>
          </cell>
        </row>
        <row r="1744">
          <cell r="I1744" t="str">
            <v>sim</v>
          </cell>
          <cell r="V1744" t="str">
            <v>not</v>
          </cell>
          <cell r="W1744">
            <v>1</v>
          </cell>
          <cell r="X1744" t="str">
            <v>neg</v>
          </cell>
        </row>
        <row r="1745">
          <cell r="I1745" t="str">
            <v>sim</v>
          </cell>
          <cell r="V1745" t="str">
            <v>not</v>
          </cell>
          <cell r="W1745">
            <v>1</v>
          </cell>
          <cell r="X1745" t="str">
            <v>intens</v>
          </cell>
        </row>
        <row r="1746">
          <cell r="I1746" t="str">
            <v>sim</v>
          </cell>
          <cell r="V1746" t="str">
            <v>not neg pair</v>
          </cell>
          <cell r="W1746">
            <v>0</v>
          </cell>
          <cell r="X1746" t="str">
            <v>0</v>
          </cell>
        </row>
        <row r="1747">
          <cell r="I1747" t="str">
            <v>sim</v>
          </cell>
          <cell r="V1747" t="str">
            <v>not neg pair</v>
          </cell>
          <cell r="W1747">
            <v>0</v>
          </cell>
          <cell r="X1747" t="str">
            <v>0</v>
          </cell>
        </row>
        <row r="1748">
          <cell r="I1748" t="str">
            <v>sim</v>
          </cell>
          <cell r="V1748" t="str">
            <v>not neg pair</v>
          </cell>
          <cell r="W1748">
            <v>0</v>
          </cell>
          <cell r="X1748" t="str">
            <v>0</v>
          </cell>
        </row>
        <row r="1749">
          <cell r="I1749" t="str">
            <v>sim</v>
          </cell>
          <cell r="V1749" t="str">
            <v>not neg pair</v>
          </cell>
          <cell r="W1749">
            <v>0</v>
          </cell>
          <cell r="X1749" t="str">
            <v>0</v>
          </cell>
        </row>
        <row r="1750">
          <cell r="I1750" t="str">
            <v>met</v>
          </cell>
          <cell r="V1750" t="str">
            <v>0</v>
          </cell>
          <cell r="W1750">
            <v>0</v>
          </cell>
          <cell r="X1750" t="str">
            <v>0</v>
          </cell>
        </row>
        <row r="1751">
          <cell r="I1751" t="str">
            <v>met</v>
          </cell>
          <cell r="V1751" t="str">
            <v>0</v>
          </cell>
          <cell r="W1751">
            <v>0</v>
          </cell>
          <cell r="X1751" t="str">
            <v>0</v>
          </cell>
        </row>
        <row r="1752">
          <cell r="I1752" t="str">
            <v>met</v>
          </cell>
          <cell r="V1752" t="str">
            <v>0</v>
          </cell>
          <cell r="W1752">
            <v>0</v>
          </cell>
          <cell r="X1752" t="str">
            <v>0</v>
          </cell>
        </row>
        <row r="1753">
          <cell r="I1753" t="str">
            <v>met</v>
          </cell>
          <cell r="V1753" t="str">
            <v>0</v>
          </cell>
          <cell r="W1753">
            <v>0</v>
          </cell>
          <cell r="X1753" t="str">
            <v>0</v>
          </cell>
        </row>
        <row r="1754">
          <cell r="I1754" t="str">
            <v>met</v>
          </cell>
          <cell r="V1754" t="str">
            <v>0</v>
          </cell>
          <cell r="W1754">
            <v>0</v>
          </cell>
          <cell r="X1754" t="str">
            <v>0</v>
          </cell>
        </row>
        <row r="1755">
          <cell r="I1755" t="str">
            <v>met</v>
          </cell>
          <cell r="V1755" t="str">
            <v>0</v>
          </cell>
          <cell r="W1755">
            <v>0</v>
          </cell>
          <cell r="X1755" t="str">
            <v>0</v>
          </cell>
        </row>
        <row r="1756">
          <cell r="I1756" t="str">
            <v>met</v>
          </cell>
          <cell r="V1756" t="str">
            <v>0</v>
          </cell>
          <cell r="W1756">
            <v>0</v>
          </cell>
          <cell r="X1756" t="str">
            <v>0</v>
          </cell>
        </row>
        <row r="1757">
          <cell r="I1757" t="str">
            <v>met</v>
          </cell>
          <cell r="V1757" t="str">
            <v>0</v>
          </cell>
          <cell r="W1757">
            <v>0</v>
          </cell>
          <cell r="X1757" t="str">
            <v>0</v>
          </cell>
        </row>
        <row r="1758">
          <cell r="I1758" t="str">
            <v>sim</v>
          </cell>
          <cell r="V1758" t="str">
            <v>not neg pair</v>
          </cell>
          <cell r="W1758">
            <v>0</v>
          </cell>
          <cell r="X1758" t="str">
            <v>0</v>
          </cell>
        </row>
        <row r="1759">
          <cell r="I1759" t="str">
            <v>sim</v>
          </cell>
          <cell r="V1759" t="str">
            <v>not neg pair</v>
          </cell>
          <cell r="W1759">
            <v>0</v>
          </cell>
          <cell r="X1759" t="str">
            <v>0</v>
          </cell>
        </row>
        <row r="1760">
          <cell r="I1760" t="str">
            <v>sim</v>
          </cell>
          <cell r="V1760" t="str">
            <v>not neg pair</v>
          </cell>
          <cell r="W1760">
            <v>0</v>
          </cell>
          <cell r="X1760" t="str">
            <v>0</v>
          </cell>
        </row>
        <row r="1761">
          <cell r="I1761" t="str">
            <v>sim</v>
          </cell>
          <cell r="V1761" t="str">
            <v>not neg pair</v>
          </cell>
          <cell r="W1761">
            <v>0</v>
          </cell>
          <cell r="X1761" t="str">
            <v>0</v>
          </cell>
        </row>
        <row r="1762">
          <cell r="I1762" t="str">
            <v>sim</v>
          </cell>
          <cell r="V1762" t="str">
            <v>not neg pair</v>
          </cell>
          <cell r="W1762">
            <v>0</v>
          </cell>
          <cell r="X1762" t="str">
            <v>0</v>
          </cell>
        </row>
        <row r="1763">
          <cell r="I1763" t="str">
            <v>sim</v>
          </cell>
          <cell r="V1763" t="str">
            <v>not neg pair</v>
          </cell>
          <cell r="W1763">
            <v>0</v>
          </cell>
          <cell r="X1763" t="str">
            <v>0</v>
          </cell>
        </row>
        <row r="1764">
          <cell r="I1764" t="str">
            <v>sim</v>
          </cell>
          <cell r="V1764" t="str">
            <v>not neg pair</v>
          </cell>
          <cell r="W1764">
            <v>0</v>
          </cell>
          <cell r="X1764" t="str">
            <v>0</v>
          </cell>
        </row>
        <row r="1765">
          <cell r="I1765" t="str">
            <v>sim</v>
          </cell>
          <cell r="V1765" t="str">
            <v>not neg pair</v>
          </cell>
          <cell r="W1765">
            <v>0</v>
          </cell>
          <cell r="X1765" t="str">
            <v>0</v>
          </cell>
        </row>
        <row r="1766">
          <cell r="I1766" t="str">
            <v>sim</v>
          </cell>
          <cell r="V1766" t="str">
            <v>not neg pair</v>
          </cell>
          <cell r="W1766">
            <v>0</v>
          </cell>
          <cell r="X1766" t="str">
            <v>0</v>
          </cell>
        </row>
        <row r="1767">
          <cell r="I1767" t="str">
            <v>sim</v>
          </cell>
          <cell r="V1767" t="str">
            <v>not neg pair</v>
          </cell>
          <cell r="W1767">
            <v>0</v>
          </cell>
          <cell r="X1767" t="str">
            <v>0</v>
          </cell>
        </row>
        <row r="1768">
          <cell r="I1768" t="str">
            <v>sim</v>
          </cell>
          <cell r="V1768" t="str">
            <v>not neg pair</v>
          </cell>
          <cell r="W1768">
            <v>0</v>
          </cell>
          <cell r="X1768" t="str">
            <v>0</v>
          </cell>
        </row>
        <row r="1769">
          <cell r="I1769" t="str">
            <v>sim</v>
          </cell>
          <cell r="V1769" t="str">
            <v>not neg pair</v>
          </cell>
          <cell r="W1769">
            <v>0</v>
          </cell>
          <cell r="X1769" t="str">
            <v>0</v>
          </cell>
        </row>
        <row r="1770">
          <cell r="I1770" t="str">
            <v>sim</v>
          </cell>
          <cell r="V1770" t="str">
            <v>antonym</v>
          </cell>
          <cell r="W1770">
            <v>1</v>
          </cell>
          <cell r="X1770" t="str">
            <v>intens</v>
          </cell>
        </row>
        <row r="1771">
          <cell r="I1771" t="str">
            <v>sim</v>
          </cell>
          <cell r="V1771" t="str">
            <v>antonym</v>
          </cell>
          <cell r="W1771">
            <v>1</v>
          </cell>
          <cell r="X1771" t="str">
            <v>neg</v>
          </cell>
        </row>
        <row r="1772">
          <cell r="I1772" t="str">
            <v>sim</v>
          </cell>
          <cell r="V1772" t="str">
            <v>antonym</v>
          </cell>
          <cell r="W1772">
            <v>1</v>
          </cell>
          <cell r="X1772" t="str">
            <v>intens</v>
          </cell>
        </row>
        <row r="1773">
          <cell r="I1773" t="str">
            <v>sim</v>
          </cell>
          <cell r="V1773" t="str">
            <v>antonym</v>
          </cell>
          <cell r="W1773">
            <v>1</v>
          </cell>
          <cell r="X1773" t="str">
            <v>neg</v>
          </cell>
        </row>
        <row r="1774">
          <cell r="I1774" t="str">
            <v>sim</v>
          </cell>
          <cell r="V1774" t="str">
            <v>antonym</v>
          </cell>
          <cell r="W1774">
            <v>1</v>
          </cell>
          <cell r="X1774" t="str">
            <v>intens</v>
          </cell>
        </row>
        <row r="1775">
          <cell r="I1775" t="str">
            <v>sim</v>
          </cell>
          <cell r="V1775" t="str">
            <v>antonym</v>
          </cell>
          <cell r="W1775">
            <v>1</v>
          </cell>
          <cell r="X1775" t="str">
            <v>neg</v>
          </cell>
        </row>
        <row r="1776">
          <cell r="I1776" t="str">
            <v>sim</v>
          </cell>
          <cell r="V1776" t="str">
            <v>not</v>
          </cell>
          <cell r="W1776">
            <v>1</v>
          </cell>
          <cell r="X1776" t="str">
            <v>neg</v>
          </cell>
        </row>
        <row r="1777">
          <cell r="I1777" t="str">
            <v>sim</v>
          </cell>
          <cell r="V1777" t="str">
            <v>not</v>
          </cell>
          <cell r="W1777">
            <v>1</v>
          </cell>
          <cell r="X1777" t="str">
            <v>intens</v>
          </cell>
        </row>
        <row r="1778">
          <cell r="I1778" t="str">
            <v>sim</v>
          </cell>
          <cell r="V1778" t="str">
            <v>not</v>
          </cell>
          <cell r="W1778">
            <v>1</v>
          </cell>
          <cell r="X1778" t="str">
            <v>neg</v>
          </cell>
        </row>
        <row r="1779">
          <cell r="I1779" t="str">
            <v>sim</v>
          </cell>
          <cell r="V1779" t="str">
            <v>not</v>
          </cell>
          <cell r="W1779">
            <v>1</v>
          </cell>
          <cell r="X1779" t="str">
            <v>intens</v>
          </cell>
        </row>
        <row r="1780">
          <cell r="I1780" t="str">
            <v>sim</v>
          </cell>
          <cell r="V1780" t="str">
            <v>not</v>
          </cell>
          <cell r="W1780">
            <v>1</v>
          </cell>
          <cell r="X1780" t="str">
            <v>neg</v>
          </cell>
        </row>
        <row r="1781">
          <cell r="I1781" t="str">
            <v>sim</v>
          </cell>
          <cell r="V1781" t="str">
            <v>not</v>
          </cell>
          <cell r="W1781">
            <v>1</v>
          </cell>
          <cell r="X1781" t="str">
            <v>intens</v>
          </cell>
        </row>
        <row r="1782">
          <cell r="I1782" t="str">
            <v>sim</v>
          </cell>
          <cell r="V1782" t="str">
            <v>not neg pair</v>
          </cell>
          <cell r="W1782">
            <v>0</v>
          </cell>
          <cell r="X1782" t="str">
            <v>0</v>
          </cell>
        </row>
        <row r="1783">
          <cell r="I1783" t="str">
            <v>sim</v>
          </cell>
          <cell r="V1783" t="str">
            <v>not neg pair</v>
          </cell>
          <cell r="W1783">
            <v>0</v>
          </cell>
          <cell r="X1783" t="str">
            <v>0</v>
          </cell>
        </row>
        <row r="1784">
          <cell r="I1784" t="str">
            <v>sim</v>
          </cell>
          <cell r="V1784" t="str">
            <v>not</v>
          </cell>
          <cell r="W1784">
            <v>1</v>
          </cell>
          <cell r="X1784" t="str">
            <v>intens</v>
          </cell>
        </row>
        <row r="1785">
          <cell r="I1785" t="str">
            <v>sim</v>
          </cell>
          <cell r="V1785" t="str">
            <v>not</v>
          </cell>
          <cell r="W1785">
            <v>1</v>
          </cell>
          <cell r="X1785" t="str">
            <v>neg</v>
          </cell>
        </row>
        <row r="1786">
          <cell r="I1786" t="str">
            <v>sim</v>
          </cell>
          <cell r="V1786" t="str">
            <v>not neg pair</v>
          </cell>
          <cell r="W1786">
            <v>0</v>
          </cell>
          <cell r="X1786" t="str">
            <v>0</v>
          </cell>
        </row>
        <row r="1787">
          <cell r="I1787" t="str">
            <v>sim</v>
          </cell>
          <cell r="V1787" t="str">
            <v>not neg pair</v>
          </cell>
          <cell r="W1787">
            <v>0</v>
          </cell>
          <cell r="X1787" t="str">
            <v>0</v>
          </cell>
        </row>
        <row r="1788">
          <cell r="I1788" t="str">
            <v>sim</v>
          </cell>
          <cell r="V1788" t="str">
            <v>not neg pair</v>
          </cell>
          <cell r="W1788">
            <v>0</v>
          </cell>
          <cell r="X1788" t="str">
            <v>0</v>
          </cell>
        </row>
        <row r="1789">
          <cell r="I1789" t="str">
            <v>sim</v>
          </cell>
          <cell r="V1789" t="str">
            <v>not neg pair</v>
          </cell>
          <cell r="W1789">
            <v>0</v>
          </cell>
          <cell r="X1789" t="str">
            <v>0</v>
          </cell>
        </row>
        <row r="1790">
          <cell r="I1790" t="str">
            <v>sim</v>
          </cell>
          <cell r="V1790" t="str">
            <v>not neg pair</v>
          </cell>
          <cell r="W1790">
            <v>0</v>
          </cell>
          <cell r="X1790" t="str">
            <v>0</v>
          </cell>
        </row>
        <row r="1791">
          <cell r="I1791" t="str">
            <v>sim</v>
          </cell>
          <cell r="V1791" t="str">
            <v>not neg pair</v>
          </cell>
          <cell r="W1791">
            <v>0</v>
          </cell>
          <cell r="X1791" t="str">
            <v>0</v>
          </cell>
        </row>
        <row r="1792">
          <cell r="I1792" t="str">
            <v>sim</v>
          </cell>
          <cell r="V1792" t="str">
            <v>not</v>
          </cell>
          <cell r="W1792">
            <v>1</v>
          </cell>
          <cell r="X1792" t="str">
            <v>intens</v>
          </cell>
        </row>
        <row r="1793">
          <cell r="I1793" t="str">
            <v>sim</v>
          </cell>
          <cell r="V1793" t="str">
            <v>not</v>
          </cell>
          <cell r="W1793">
            <v>1</v>
          </cell>
          <cell r="X1793" t="str">
            <v>neg</v>
          </cell>
        </row>
        <row r="1794">
          <cell r="I1794" t="str">
            <v>sim</v>
          </cell>
          <cell r="V1794" t="str">
            <v>not neg pair</v>
          </cell>
          <cell r="W1794">
            <v>0</v>
          </cell>
          <cell r="X1794" t="str">
            <v>0</v>
          </cell>
        </row>
        <row r="1795">
          <cell r="I1795" t="str">
            <v>sim</v>
          </cell>
          <cell r="V1795" t="str">
            <v>not neg pair</v>
          </cell>
          <cell r="W1795">
            <v>0</v>
          </cell>
          <cell r="X1795" t="str">
            <v>0</v>
          </cell>
        </row>
        <row r="1796">
          <cell r="I1796" t="str">
            <v>sim</v>
          </cell>
          <cell r="V1796" t="str">
            <v>not neg pair</v>
          </cell>
          <cell r="W1796">
            <v>0</v>
          </cell>
          <cell r="X1796" t="str">
            <v>0</v>
          </cell>
        </row>
        <row r="1797">
          <cell r="I1797" t="str">
            <v>sim</v>
          </cell>
          <cell r="V1797" t="str">
            <v>not neg pair</v>
          </cell>
          <cell r="W1797">
            <v>0</v>
          </cell>
          <cell r="X1797" t="str">
            <v>0</v>
          </cell>
        </row>
        <row r="1798">
          <cell r="I1798" t="str">
            <v>sim</v>
          </cell>
          <cell r="V1798" t="str">
            <v>not neg pair</v>
          </cell>
          <cell r="W1798">
            <v>0</v>
          </cell>
          <cell r="X1798" t="str">
            <v>0</v>
          </cell>
        </row>
        <row r="1799">
          <cell r="I1799" t="str">
            <v>sim</v>
          </cell>
          <cell r="V1799" t="str">
            <v>not neg pair</v>
          </cell>
          <cell r="W1799">
            <v>0</v>
          </cell>
          <cell r="X1799" t="str">
            <v>0</v>
          </cell>
        </row>
        <row r="1800">
          <cell r="I1800" t="str">
            <v>met</v>
          </cell>
          <cell r="V1800" t="str">
            <v>0</v>
          </cell>
          <cell r="W1800">
            <v>0</v>
          </cell>
          <cell r="X1800" t="str">
            <v>0</v>
          </cell>
        </row>
        <row r="1801">
          <cell r="I1801" t="str">
            <v>met</v>
          </cell>
          <cell r="V1801" t="str">
            <v>0</v>
          </cell>
          <cell r="W1801">
            <v>0</v>
          </cell>
          <cell r="X1801" t="str">
            <v>0</v>
          </cell>
        </row>
        <row r="1802">
          <cell r="I1802" t="str">
            <v>met</v>
          </cell>
          <cell r="V1802" t="str">
            <v>0</v>
          </cell>
          <cell r="W1802">
            <v>0</v>
          </cell>
          <cell r="X1802" t="str">
            <v>0</v>
          </cell>
        </row>
        <row r="1803">
          <cell r="I1803" t="str">
            <v>met</v>
          </cell>
          <cell r="V1803" t="str">
            <v>0</v>
          </cell>
          <cell r="W1803">
            <v>0</v>
          </cell>
          <cell r="X1803" t="str">
            <v>0</v>
          </cell>
        </row>
        <row r="1804">
          <cell r="I1804" t="str">
            <v>met</v>
          </cell>
          <cell r="V1804" t="str">
            <v>0</v>
          </cell>
          <cell r="W1804">
            <v>0</v>
          </cell>
          <cell r="X1804" t="str">
            <v>0</v>
          </cell>
        </row>
        <row r="1805">
          <cell r="I1805" t="str">
            <v>met</v>
          </cell>
          <cell r="V1805" t="str">
            <v>0</v>
          </cell>
          <cell r="W1805">
            <v>0</v>
          </cell>
          <cell r="X1805" t="str">
            <v>0</v>
          </cell>
        </row>
        <row r="1806">
          <cell r="I1806" t="str">
            <v>met</v>
          </cell>
          <cell r="V1806" t="str">
            <v>0</v>
          </cell>
          <cell r="W1806">
            <v>0</v>
          </cell>
          <cell r="X1806" t="str">
            <v>0</v>
          </cell>
        </row>
        <row r="1807">
          <cell r="I1807" t="str">
            <v>met</v>
          </cell>
          <cell r="V1807" t="str">
            <v>0</v>
          </cell>
          <cell r="W1807">
            <v>0</v>
          </cell>
          <cell r="X1807" t="str">
            <v>0</v>
          </cell>
        </row>
        <row r="1808">
          <cell r="I1808" t="str">
            <v>met</v>
          </cell>
          <cell r="V1808" t="str">
            <v>0</v>
          </cell>
          <cell r="W1808">
            <v>0</v>
          </cell>
          <cell r="X1808" t="str">
            <v>0</v>
          </cell>
        </row>
        <row r="1809">
          <cell r="I1809" t="str">
            <v>met</v>
          </cell>
          <cell r="V1809" t="str">
            <v>0</v>
          </cell>
          <cell r="W1809">
            <v>0</v>
          </cell>
          <cell r="X1809" t="str">
            <v>0</v>
          </cell>
        </row>
        <row r="1810">
          <cell r="I1810" t="str">
            <v>met</v>
          </cell>
          <cell r="V1810" t="str">
            <v>0</v>
          </cell>
          <cell r="W1810">
            <v>0</v>
          </cell>
          <cell r="X1810" t="str">
            <v>0</v>
          </cell>
        </row>
        <row r="1811">
          <cell r="I1811" t="str">
            <v>met</v>
          </cell>
          <cell r="V1811" t="str">
            <v>0</v>
          </cell>
          <cell r="W1811">
            <v>0</v>
          </cell>
          <cell r="X1811" t="str">
            <v>0</v>
          </cell>
        </row>
        <row r="1812">
          <cell r="I1812" t="str">
            <v>sim</v>
          </cell>
          <cell r="V1812" t="str">
            <v>not neg pair</v>
          </cell>
          <cell r="W1812">
            <v>0</v>
          </cell>
          <cell r="X1812" t="str">
            <v>0</v>
          </cell>
        </row>
        <row r="1813">
          <cell r="I1813" t="str">
            <v>sim</v>
          </cell>
          <cell r="V1813" t="str">
            <v>not neg pair</v>
          </cell>
          <cell r="W1813">
            <v>0</v>
          </cell>
          <cell r="X1813" t="str">
            <v>0</v>
          </cell>
        </row>
        <row r="1814">
          <cell r="I1814" t="str">
            <v>sim</v>
          </cell>
          <cell r="V1814" t="str">
            <v>not neg pair</v>
          </cell>
          <cell r="W1814">
            <v>0</v>
          </cell>
          <cell r="X1814" t="str">
            <v>0</v>
          </cell>
        </row>
        <row r="1815">
          <cell r="I1815" t="str">
            <v>sim</v>
          </cell>
          <cell r="V1815" t="str">
            <v>not neg pair</v>
          </cell>
          <cell r="W1815">
            <v>0</v>
          </cell>
          <cell r="X1815" t="str">
            <v>0</v>
          </cell>
        </row>
        <row r="1816">
          <cell r="I1816" t="str">
            <v>sim</v>
          </cell>
          <cell r="V1816" t="str">
            <v>not neg pair</v>
          </cell>
          <cell r="W1816">
            <v>0</v>
          </cell>
          <cell r="X1816" t="str">
            <v>0</v>
          </cell>
        </row>
        <row r="1817">
          <cell r="I1817" t="str">
            <v>sim</v>
          </cell>
          <cell r="V1817" t="str">
            <v>not neg pair</v>
          </cell>
          <cell r="W1817">
            <v>0</v>
          </cell>
          <cell r="X1817" t="str">
            <v>0</v>
          </cell>
        </row>
        <row r="1818">
          <cell r="I1818" t="str">
            <v>sim</v>
          </cell>
          <cell r="V1818" t="str">
            <v>not neg pair</v>
          </cell>
          <cell r="W1818">
            <v>0</v>
          </cell>
          <cell r="X1818" t="str">
            <v>0</v>
          </cell>
        </row>
        <row r="1819">
          <cell r="I1819" t="str">
            <v>sim</v>
          </cell>
          <cell r="V1819" t="str">
            <v>not neg pair</v>
          </cell>
          <cell r="W1819">
            <v>0</v>
          </cell>
          <cell r="X1819" t="str">
            <v>0</v>
          </cell>
        </row>
        <row r="1820">
          <cell r="I1820" t="str">
            <v>sim</v>
          </cell>
          <cell r="V1820" t="str">
            <v>not neg pair</v>
          </cell>
          <cell r="W1820">
            <v>0</v>
          </cell>
          <cell r="X1820" t="str">
            <v>0</v>
          </cell>
        </row>
        <row r="1821">
          <cell r="I1821" t="str">
            <v>sim</v>
          </cell>
          <cell r="V1821" t="str">
            <v>not neg pair</v>
          </cell>
          <cell r="W1821">
            <v>0</v>
          </cell>
          <cell r="X1821" t="str">
            <v>0</v>
          </cell>
        </row>
        <row r="1822">
          <cell r="I1822" t="str">
            <v>sim</v>
          </cell>
          <cell r="V1822" t="str">
            <v>not neg pair</v>
          </cell>
          <cell r="W1822">
            <v>0</v>
          </cell>
          <cell r="X1822" t="str">
            <v>0</v>
          </cell>
        </row>
        <row r="1823">
          <cell r="I1823" t="str">
            <v>sim</v>
          </cell>
          <cell r="V1823" t="str">
            <v>not neg pair</v>
          </cell>
          <cell r="W1823">
            <v>0</v>
          </cell>
          <cell r="X1823" t="str">
            <v>0</v>
          </cell>
        </row>
        <row r="1824">
          <cell r="I1824" t="str">
            <v>sim</v>
          </cell>
          <cell r="V1824" t="str">
            <v>not</v>
          </cell>
          <cell r="W1824">
            <v>1</v>
          </cell>
          <cell r="X1824" t="str">
            <v>intens</v>
          </cell>
        </row>
        <row r="1825">
          <cell r="I1825" t="str">
            <v>sim</v>
          </cell>
          <cell r="V1825" t="str">
            <v>not</v>
          </cell>
          <cell r="W1825">
            <v>1</v>
          </cell>
          <cell r="X1825" t="str">
            <v>neg</v>
          </cell>
        </row>
        <row r="1826">
          <cell r="I1826" t="str">
            <v>sim</v>
          </cell>
          <cell r="V1826" t="str">
            <v>antonym</v>
          </cell>
          <cell r="W1826">
            <v>1</v>
          </cell>
          <cell r="X1826" t="str">
            <v>intens</v>
          </cell>
        </row>
        <row r="1827">
          <cell r="I1827" t="str">
            <v>sim</v>
          </cell>
          <cell r="V1827" t="str">
            <v>antonym</v>
          </cell>
          <cell r="W1827">
            <v>1</v>
          </cell>
          <cell r="X1827" t="str">
            <v>neg</v>
          </cell>
        </row>
        <row r="1828">
          <cell r="I1828" t="str">
            <v>sim</v>
          </cell>
          <cell r="V1828" t="str">
            <v>not neg pair</v>
          </cell>
          <cell r="W1828">
            <v>0</v>
          </cell>
          <cell r="X1828" t="str">
            <v>0</v>
          </cell>
        </row>
        <row r="1829">
          <cell r="I1829" t="str">
            <v>sim</v>
          </cell>
          <cell r="V1829" t="str">
            <v>not neg pair</v>
          </cell>
          <cell r="W1829">
            <v>0</v>
          </cell>
          <cell r="X1829" t="str">
            <v>0</v>
          </cell>
        </row>
        <row r="1830">
          <cell r="I1830" t="str">
            <v>sim</v>
          </cell>
          <cell r="V1830" t="str">
            <v>not</v>
          </cell>
          <cell r="W1830">
            <v>1</v>
          </cell>
          <cell r="X1830" t="str">
            <v>intens</v>
          </cell>
        </row>
        <row r="1831">
          <cell r="I1831" t="str">
            <v>sim</v>
          </cell>
          <cell r="V1831" t="str">
            <v>not</v>
          </cell>
          <cell r="W1831">
            <v>1</v>
          </cell>
          <cell r="X1831" t="str">
            <v>neg</v>
          </cell>
        </row>
        <row r="1832">
          <cell r="I1832" t="str">
            <v>sim</v>
          </cell>
          <cell r="V1832" t="str">
            <v>antonym</v>
          </cell>
          <cell r="W1832">
            <v>1</v>
          </cell>
          <cell r="X1832" t="str">
            <v>intens</v>
          </cell>
        </row>
        <row r="1833">
          <cell r="I1833" t="str">
            <v>sim</v>
          </cell>
          <cell r="V1833" t="str">
            <v>antonym</v>
          </cell>
          <cell r="W1833">
            <v>1</v>
          </cell>
          <cell r="X1833" t="str">
            <v>neg</v>
          </cell>
        </row>
        <row r="1834">
          <cell r="I1834" t="str">
            <v>sim</v>
          </cell>
          <cell r="V1834" t="str">
            <v>not</v>
          </cell>
          <cell r="W1834">
            <v>1</v>
          </cell>
          <cell r="X1834" t="str">
            <v>intens</v>
          </cell>
        </row>
        <row r="1835">
          <cell r="I1835" t="str">
            <v>sim</v>
          </cell>
          <cell r="V1835" t="str">
            <v>not</v>
          </cell>
          <cell r="W1835">
            <v>1</v>
          </cell>
          <cell r="X1835" t="str">
            <v>neg</v>
          </cell>
        </row>
        <row r="1836">
          <cell r="I1836" t="str">
            <v>met</v>
          </cell>
          <cell r="V1836" t="str">
            <v>0</v>
          </cell>
          <cell r="W1836">
            <v>0</v>
          </cell>
          <cell r="X1836" t="str">
            <v>0</v>
          </cell>
        </row>
        <row r="1837">
          <cell r="I1837" t="str">
            <v>met</v>
          </cell>
          <cell r="V1837" t="str">
            <v>0</v>
          </cell>
          <cell r="W1837">
            <v>0</v>
          </cell>
          <cell r="X1837" t="str">
            <v>0</v>
          </cell>
        </row>
        <row r="1838">
          <cell r="I1838" t="str">
            <v>met</v>
          </cell>
          <cell r="V1838" t="str">
            <v>0</v>
          </cell>
          <cell r="W1838">
            <v>0</v>
          </cell>
          <cell r="X1838" t="str">
            <v>0</v>
          </cell>
        </row>
        <row r="1839">
          <cell r="I1839" t="str">
            <v>met</v>
          </cell>
          <cell r="V1839" t="str">
            <v>0</v>
          </cell>
          <cell r="W1839">
            <v>0</v>
          </cell>
          <cell r="X1839" t="str">
            <v>0</v>
          </cell>
        </row>
        <row r="1840">
          <cell r="I1840" t="str">
            <v>met</v>
          </cell>
          <cell r="V1840" t="str">
            <v>0</v>
          </cell>
          <cell r="W1840">
            <v>0</v>
          </cell>
          <cell r="X1840" t="str">
            <v>0</v>
          </cell>
        </row>
        <row r="1841">
          <cell r="I1841" t="str">
            <v>met</v>
          </cell>
          <cell r="V1841" t="str">
            <v>0</v>
          </cell>
          <cell r="W1841">
            <v>0</v>
          </cell>
          <cell r="X1841" t="str">
            <v>0</v>
          </cell>
        </row>
        <row r="1842">
          <cell r="I1842" t="str">
            <v>sim</v>
          </cell>
          <cell r="V1842" t="str">
            <v>antonym</v>
          </cell>
          <cell r="W1842">
            <v>1</v>
          </cell>
          <cell r="X1842" t="str">
            <v>neg</v>
          </cell>
        </row>
        <row r="1843">
          <cell r="I1843" t="str">
            <v>sim</v>
          </cell>
          <cell r="V1843" t="str">
            <v>antonym</v>
          </cell>
          <cell r="W1843">
            <v>1</v>
          </cell>
          <cell r="X1843" t="str">
            <v>intens</v>
          </cell>
        </row>
        <row r="1844">
          <cell r="I1844" t="str">
            <v>met</v>
          </cell>
          <cell r="V1844" t="str">
            <v>0</v>
          </cell>
          <cell r="W1844">
            <v>0</v>
          </cell>
          <cell r="X1844" t="str">
            <v>0</v>
          </cell>
        </row>
        <row r="1845">
          <cell r="I1845" t="str">
            <v>met</v>
          </cell>
          <cell r="V1845" t="str">
            <v>0</v>
          </cell>
          <cell r="W1845">
            <v>0</v>
          </cell>
          <cell r="X1845" t="str">
            <v>0</v>
          </cell>
        </row>
        <row r="1846">
          <cell r="I1846" t="str">
            <v>sim</v>
          </cell>
          <cell r="V1846" t="str">
            <v>not neg pair</v>
          </cell>
          <cell r="W1846">
            <v>0</v>
          </cell>
          <cell r="X1846" t="str">
            <v>0</v>
          </cell>
        </row>
        <row r="1847">
          <cell r="I1847" t="str">
            <v>sim</v>
          </cell>
          <cell r="V1847" t="str">
            <v>not neg pair</v>
          </cell>
          <cell r="W1847">
            <v>0</v>
          </cell>
          <cell r="X1847" t="str">
            <v>0</v>
          </cell>
        </row>
        <row r="1848">
          <cell r="I1848" t="str">
            <v>met</v>
          </cell>
          <cell r="V1848" t="str">
            <v>0</v>
          </cell>
          <cell r="W1848">
            <v>0</v>
          </cell>
          <cell r="X1848" t="str">
            <v>0</v>
          </cell>
        </row>
        <row r="1849">
          <cell r="I1849" t="str">
            <v>met</v>
          </cell>
          <cell r="V1849" t="str">
            <v>0</v>
          </cell>
          <cell r="W1849">
            <v>0</v>
          </cell>
          <cell r="X1849" t="str">
            <v>0</v>
          </cell>
        </row>
        <row r="1850">
          <cell r="I1850" t="str">
            <v>met</v>
          </cell>
          <cell r="V1850" t="str">
            <v>0</v>
          </cell>
          <cell r="W1850">
            <v>0</v>
          </cell>
          <cell r="X1850" t="str">
            <v>0</v>
          </cell>
        </row>
        <row r="1851">
          <cell r="I1851" t="str">
            <v>met</v>
          </cell>
          <cell r="V1851" t="str">
            <v>0</v>
          </cell>
          <cell r="W1851">
            <v>0</v>
          </cell>
          <cell r="X1851" t="str">
            <v>0</v>
          </cell>
        </row>
        <row r="1852">
          <cell r="I1852" t="str">
            <v>met</v>
          </cell>
          <cell r="V1852" t="str">
            <v>0</v>
          </cell>
          <cell r="W1852">
            <v>0</v>
          </cell>
          <cell r="X1852" t="str">
            <v>0</v>
          </cell>
        </row>
        <row r="1853">
          <cell r="I1853" t="str">
            <v>met</v>
          </cell>
          <cell r="V1853" t="str">
            <v>0</v>
          </cell>
          <cell r="W1853">
            <v>0</v>
          </cell>
          <cell r="X1853" t="str">
            <v>0</v>
          </cell>
        </row>
        <row r="1854">
          <cell r="I1854" t="str">
            <v>sim</v>
          </cell>
          <cell r="V1854" t="str">
            <v>not neg pair</v>
          </cell>
          <cell r="W1854">
            <v>0</v>
          </cell>
          <cell r="X1854" t="str">
            <v>0</v>
          </cell>
        </row>
        <row r="1855">
          <cell r="I1855" t="str">
            <v>sim</v>
          </cell>
          <cell r="V1855" t="str">
            <v>not neg pair</v>
          </cell>
          <cell r="W1855">
            <v>0</v>
          </cell>
          <cell r="X1855" t="str">
            <v>0</v>
          </cell>
        </row>
        <row r="1856">
          <cell r="I1856" t="str">
            <v>sim</v>
          </cell>
          <cell r="V1856" t="str">
            <v>not neg pair</v>
          </cell>
          <cell r="W1856">
            <v>0</v>
          </cell>
          <cell r="X1856" t="str">
            <v>0</v>
          </cell>
        </row>
        <row r="1857">
          <cell r="I1857" t="str">
            <v>sim</v>
          </cell>
          <cell r="V1857" t="str">
            <v>not neg pair</v>
          </cell>
          <cell r="W1857">
            <v>0</v>
          </cell>
          <cell r="X1857" t="str">
            <v>0</v>
          </cell>
        </row>
        <row r="1858">
          <cell r="I1858" t="str">
            <v>sim</v>
          </cell>
          <cell r="V1858" t="str">
            <v>not neg pair</v>
          </cell>
          <cell r="W1858">
            <v>0</v>
          </cell>
          <cell r="X1858" t="str">
            <v>0</v>
          </cell>
        </row>
        <row r="1859">
          <cell r="I1859" t="str">
            <v>sim</v>
          </cell>
          <cell r="V1859" t="str">
            <v>not neg pair</v>
          </cell>
          <cell r="W1859">
            <v>0</v>
          </cell>
          <cell r="X1859" t="str">
            <v>0</v>
          </cell>
        </row>
        <row r="1860">
          <cell r="I1860" t="str">
            <v>met</v>
          </cell>
          <cell r="V1860" t="str">
            <v>0</v>
          </cell>
          <cell r="W1860">
            <v>0</v>
          </cell>
          <cell r="X1860" t="str">
            <v>0</v>
          </cell>
        </row>
        <row r="1861">
          <cell r="I1861" t="str">
            <v>met</v>
          </cell>
          <cell r="V1861" t="str">
            <v>0</v>
          </cell>
          <cell r="W1861">
            <v>0</v>
          </cell>
          <cell r="X1861" t="str">
            <v>0</v>
          </cell>
        </row>
        <row r="1862">
          <cell r="I1862" t="str">
            <v>met</v>
          </cell>
          <cell r="V1862" t="str">
            <v>0</v>
          </cell>
          <cell r="W1862">
            <v>0</v>
          </cell>
          <cell r="X1862" t="str">
            <v>0</v>
          </cell>
        </row>
        <row r="1863">
          <cell r="I1863" t="str">
            <v>met</v>
          </cell>
          <cell r="V1863" t="str">
            <v>0</v>
          </cell>
          <cell r="W1863">
            <v>0</v>
          </cell>
          <cell r="X1863" t="str">
            <v>0</v>
          </cell>
        </row>
        <row r="1864">
          <cell r="I1864" t="str">
            <v>met</v>
          </cell>
          <cell r="V1864" t="str">
            <v>0</v>
          </cell>
          <cell r="W1864">
            <v>0</v>
          </cell>
          <cell r="X1864" t="str">
            <v>0</v>
          </cell>
        </row>
        <row r="1865">
          <cell r="I1865" t="str">
            <v>met</v>
          </cell>
          <cell r="V1865" t="str">
            <v>0</v>
          </cell>
          <cell r="W1865">
            <v>0</v>
          </cell>
          <cell r="X1865" t="str">
            <v>0</v>
          </cell>
        </row>
        <row r="1866">
          <cell r="I1866" t="str">
            <v>met</v>
          </cell>
          <cell r="V1866" t="str">
            <v>0</v>
          </cell>
          <cell r="W1866">
            <v>0</v>
          </cell>
          <cell r="X1866" t="str">
            <v>0</v>
          </cell>
        </row>
        <row r="1867">
          <cell r="I1867" t="str">
            <v>met</v>
          </cell>
          <cell r="V1867" t="str">
            <v>0</v>
          </cell>
          <cell r="W1867">
            <v>0</v>
          </cell>
          <cell r="X1867" t="str">
            <v>0</v>
          </cell>
        </row>
        <row r="1868">
          <cell r="I1868" t="str">
            <v>sim</v>
          </cell>
          <cell r="V1868" t="str">
            <v>not neg pair</v>
          </cell>
          <cell r="W1868">
            <v>0</v>
          </cell>
          <cell r="X1868" t="str">
            <v>0</v>
          </cell>
        </row>
        <row r="1869">
          <cell r="I1869" t="str">
            <v>sim</v>
          </cell>
          <cell r="V1869" t="str">
            <v>not neg pair</v>
          </cell>
          <cell r="W1869">
            <v>0</v>
          </cell>
          <cell r="X1869" t="str">
            <v>0</v>
          </cell>
        </row>
        <row r="1870">
          <cell r="I1870" t="str">
            <v>sim</v>
          </cell>
          <cell r="V1870" t="str">
            <v>not</v>
          </cell>
          <cell r="W1870">
            <v>1</v>
          </cell>
          <cell r="X1870" t="str">
            <v>neg</v>
          </cell>
        </row>
        <row r="1871">
          <cell r="I1871" t="str">
            <v>sim</v>
          </cell>
          <cell r="V1871" t="str">
            <v>not</v>
          </cell>
          <cell r="W1871">
            <v>1</v>
          </cell>
          <cell r="X1871" t="str">
            <v>intens</v>
          </cell>
        </row>
        <row r="1872">
          <cell r="I1872" t="str">
            <v>met</v>
          </cell>
          <cell r="V1872" t="str">
            <v>0</v>
          </cell>
          <cell r="W1872">
            <v>0</v>
          </cell>
          <cell r="X1872" t="str">
            <v>0</v>
          </cell>
        </row>
        <row r="1873">
          <cell r="I1873" t="str">
            <v>met</v>
          </cell>
          <cell r="V1873" t="str">
            <v>0</v>
          </cell>
          <cell r="W1873">
            <v>0</v>
          </cell>
          <cell r="X1873" t="str">
            <v>0</v>
          </cell>
        </row>
        <row r="1874">
          <cell r="I1874" t="str">
            <v>met</v>
          </cell>
          <cell r="V1874" t="str">
            <v>0</v>
          </cell>
          <cell r="W1874">
            <v>0</v>
          </cell>
          <cell r="X1874" t="str">
            <v>0</v>
          </cell>
        </row>
        <row r="1875">
          <cell r="I1875" t="str">
            <v>sim</v>
          </cell>
          <cell r="V1875" t="str">
            <v>not neg pair</v>
          </cell>
          <cell r="W1875">
            <v>0</v>
          </cell>
          <cell r="X1875" t="str">
            <v>0</v>
          </cell>
        </row>
        <row r="1876">
          <cell r="I1876" t="str">
            <v>sim</v>
          </cell>
          <cell r="V1876" t="str">
            <v>not neg pair</v>
          </cell>
          <cell r="W1876">
            <v>0</v>
          </cell>
          <cell r="X1876" t="str">
            <v>0</v>
          </cell>
        </row>
        <row r="1877">
          <cell r="I1877" t="str">
            <v>sim</v>
          </cell>
          <cell r="V1877" t="str">
            <v>not neg pair</v>
          </cell>
          <cell r="W1877">
            <v>0</v>
          </cell>
          <cell r="X1877" t="str">
            <v>0</v>
          </cell>
        </row>
        <row r="1878">
          <cell r="I1878" t="str">
            <v>met</v>
          </cell>
          <cell r="V1878" t="str">
            <v>0</v>
          </cell>
          <cell r="W1878">
            <v>0</v>
          </cell>
          <cell r="X1878" t="str">
            <v>0</v>
          </cell>
        </row>
        <row r="1879">
          <cell r="I1879" t="str">
            <v>met</v>
          </cell>
          <cell r="V1879" t="str">
            <v>0</v>
          </cell>
          <cell r="W1879">
            <v>0</v>
          </cell>
          <cell r="X1879" t="str">
            <v>0</v>
          </cell>
        </row>
        <row r="1880">
          <cell r="I1880" t="str">
            <v>sim</v>
          </cell>
          <cell r="V1880" t="str">
            <v>not</v>
          </cell>
          <cell r="W1880">
            <v>1</v>
          </cell>
          <cell r="X1880" t="str">
            <v>intens</v>
          </cell>
        </row>
        <row r="1881">
          <cell r="I1881" t="str">
            <v>sim</v>
          </cell>
          <cell r="V1881" t="str">
            <v>not</v>
          </cell>
          <cell r="W1881">
            <v>1</v>
          </cell>
          <cell r="X1881" t="str">
            <v>neg</v>
          </cell>
        </row>
        <row r="1882">
          <cell r="I1882" t="str">
            <v>sim</v>
          </cell>
          <cell r="V1882" t="str">
            <v>not</v>
          </cell>
          <cell r="W1882">
            <v>1</v>
          </cell>
          <cell r="X1882" t="str">
            <v>intens</v>
          </cell>
        </row>
        <row r="1883">
          <cell r="I1883" t="str">
            <v>sim</v>
          </cell>
          <cell r="V1883" t="str">
            <v>not</v>
          </cell>
          <cell r="W1883">
            <v>1</v>
          </cell>
          <cell r="X1883" t="str">
            <v>neg</v>
          </cell>
        </row>
        <row r="1884">
          <cell r="I1884" t="str">
            <v>sim</v>
          </cell>
          <cell r="V1884" t="str">
            <v>not</v>
          </cell>
          <cell r="W1884">
            <v>1</v>
          </cell>
          <cell r="X1884" t="str">
            <v>intens</v>
          </cell>
        </row>
        <row r="1885">
          <cell r="I1885" t="str">
            <v>sim</v>
          </cell>
          <cell r="V1885" t="str">
            <v>not</v>
          </cell>
          <cell r="W1885">
            <v>1</v>
          </cell>
          <cell r="X1885" t="str">
            <v>neg</v>
          </cell>
        </row>
        <row r="1886">
          <cell r="I1886" t="str">
            <v>sim</v>
          </cell>
          <cell r="V1886" t="str">
            <v>not</v>
          </cell>
          <cell r="W1886">
            <v>1</v>
          </cell>
          <cell r="X1886" t="str">
            <v>intens</v>
          </cell>
        </row>
        <row r="1887">
          <cell r="I1887" t="str">
            <v>sim</v>
          </cell>
          <cell r="V1887" t="str">
            <v>not</v>
          </cell>
          <cell r="W1887">
            <v>1</v>
          </cell>
          <cell r="X1887" t="str">
            <v>neg</v>
          </cell>
        </row>
        <row r="1888">
          <cell r="I1888" t="str">
            <v>sim</v>
          </cell>
          <cell r="V1888" t="str">
            <v>not</v>
          </cell>
          <cell r="W1888">
            <v>1</v>
          </cell>
          <cell r="X1888" t="str">
            <v>neg</v>
          </cell>
        </row>
        <row r="1889">
          <cell r="I1889" t="str">
            <v>sim</v>
          </cell>
          <cell r="V1889" t="str">
            <v>not</v>
          </cell>
          <cell r="W1889">
            <v>1</v>
          </cell>
          <cell r="X1889" t="str">
            <v>intens</v>
          </cell>
        </row>
        <row r="1890">
          <cell r="I1890" t="str">
            <v>sim</v>
          </cell>
          <cell r="V1890" t="str">
            <v>antonym</v>
          </cell>
          <cell r="W1890">
            <v>1</v>
          </cell>
          <cell r="X1890" t="str">
            <v>intens</v>
          </cell>
        </row>
        <row r="1891">
          <cell r="I1891" t="str">
            <v>sim</v>
          </cell>
          <cell r="V1891" t="str">
            <v>antonym</v>
          </cell>
          <cell r="W1891">
            <v>1</v>
          </cell>
          <cell r="X1891" t="str">
            <v>neg</v>
          </cell>
        </row>
        <row r="1892">
          <cell r="I1892" t="str">
            <v>met</v>
          </cell>
          <cell r="V1892" t="str">
            <v>0</v>
          </cell>
          <cell r="W1892">
            <v>0</v>
          </cell>
          <cell r="X1892" t="str">
            <v>0</v>
          </cell>
        </row>
        <row r="1893">
          <cell r="I1893" t="str">
            <v>met</v>
          </cell>
          <cell r="V1893" t="str">
            <v>0</v>
          </cell>
          <cell r="W1893">
            <v>0</v>
          </cell>
          <cell r="X1893" t="str">
            <v>0</v>
          </cell>
        </row>
        <row r="1894">
          <cell r="I1894" t="str">
            <v>sim</v>
          </cell>
          <cell r="V1894" t="str">
            <v>not neg pair</v>
          </cell>
          <cell r="W1894">
            <v>0</v>
          </cell>
          <cell r="X1894" t="str">
            <v>0</v>
          </cell>
        </row>
        <row r="1895">
          <cell r="I1895" t="str">
            <v>sim</v>
          </cell>
          <cell r="V1895" t="str">
            <v>not neg pair</v>
          </cell>
          <cell r="W1895">
            <v>0</v>
          </cell>
          <cell r="X1895" t="str">
            <v>0</v>
          </cell>
        </row>
        <row r="1896">
          <cell r="I1896" t="str">
            <v>met</v>
          </cell>
          <cell r="V1896" t="str">
            <v>0</v>
          </cell>
          <cell r="W1896">
            <v>0</v>
          </cell>
          <cell r="X1896" t="str">
            <v>0</v>
          </cell>
        </row>
        <row r="1897">
          <cell r="I1897" t="str">
            <v>met</v>
          </cell>
          <cell r="V1897" t="str">
            <v>0</v>
          </cell>
          <cell r="W1897">
            <v>0</v>
          </cell>
          <cell r="X1897" t="str">
            <v>0</v>
          </cell>
        </row>
        <row r="1898">
          <cell r="I1898" t="str">
            <v>met</v>
          </cell>
          <cell r="V1898" t="str">
            <v>0</v>
          </cell>
          <cell r="W1898">
            <v>0</v>
          </cell>
          <cell r="X1898" t="str">
            <v>0</v>
          </cell>
        </row>
        <row r="1899">
          <cell r="I1899" t="str">
            <v>met</v>
          </cell>
          <cell r="V1899" t="str">
            <v>0</v>
          </cell>
          <cell r="W1899">
            <v>0</v>
          </cell>
          <cell r="X1899" t="str">
            <v>0</v>
          </cell>
        </row>
        <row r="1900">
          <cell r="I1900" t="str">
            <v>met</v>
          </cell>
          <cell r="V1900" t="str">
            <v>0</v>
          </cell>
          <cell r="W1900">
            <v>0</v>
          </cell>
          <cell r="X1900" t="str">
            <v>0</v>
          </cell>
        </row>
        <row r="1901">
          <cell r="I1901" t="str">
            <v>met</v>
          </cell>
          <cell r="V1901" t="str">
            <v>0</v>
          </cell>
          <cell r="W1901">
            <v>0</v>
          </cell>
          <cell r="X1901" t="str">
            <v>0</v>
          </cell>
        </row>
        <row r="1902">
          <cell r="I1902" t="str">
            <v>sim</v>
          </cell>
          <cell r="V1902" t="str">
            <v>not</v>
          </cell>
          <cell r="W1902">
            <v>1</v>
          </cell>
          <cell r="X1902" t="str">
            <v>intens</v>
          </cell>
        </row>
        <row r="1903">
          <cell r="I1903" t="str">
            <v>sim</v>
          </cell>
          <cell r="V1903" t="str">
            <v>not</v>
          </cell>
          <cell r="W1903">
            <v>1</v>
          </cell>
          <cell r="X1903" t="str">
            <v>neg</v>
          </cell>
        </row>
        <row r="1904">
          <cell r="I1904" t="str">
            <v>sim</v>
          </cell>
          <cell r="V1904" t="str">
            <v>not neg pair</v>
          </cell>
          <cell r="W1904">
            <v>0</v>
          </cell>
          <cell r="X1904" t="str">
            <v>0</v>
          </cell>
        </row>
        <row r="1905">
          <cell r="I1905" t="str">
            <v>sim</v>
          </cell>
          <cell r="V1905" t="str">
            <v>not neg pair</v>
          </cell>
          <cell r="W1905">
            <v>0</v>
          </cell>
          <cell r="X1905" t="str">
            <v>0</v>
          </cell>
        </row>
        <row r="1906">
          <cell r="I1906" t="str">
            <v>sim</v>
          </cell>
          <cell r="V1906" t="str">
            <v>antonym</v>
          </cell>
          <cell r="W1906">
            <v>1</v>
          </cell>
          <cell r="X1906" t="str">
            <v>intens</v>
          </cell>
        </row>
        <row r="1907">
          <cell r="I1907" t="str">
            <v>sim</v>
          </cell>
          <cell r="V1907" t="str">
            <v>antonym</v>
          </cell>
          <cell r="W1907">
            <v>1</v>
          </cell>
          <cell r="X1907" t="str">
            <v>neg</v>
          </cell>
        </row>
        <row r="1908">
          <cell r="I1908" t="str">
            <v>sim</v>
          </cell>
          <cell r="V1908" t="str">
            <v>not neg pair</v>
          </cell>
          <cell r="W1908">
            <v>0</v>
          </cell>
          <cell r="X1908" t="str">
            <v>0</v>
          </cell>
        </row>
        <row r="1909">
          <cell r="I1909" t="str">
            <v>sim</v>
          </cell>
          <cell r="V1909" t="str">
            <v>not neg pair</v>
          </cell>
          <cell r="W1909">
            <v>0</v>
          </cell>
          <cell r="X1909" t="str">
            <v>0</v>
          </cell>
        </row>
        <row r="1910">
          <cell r="I1910" t="str">
            <v>sim</v>
          </cell>
          <cell r="V1910" t="str">
            <v>not</v>
          </cell>
          <cell r="W1910">
            <v>1</v>
          </cell>
          <cell r="X1910" t="str">
            <v>neg</v>
          </cell>
        </row>
        <row r="1911">
          <cell r="I1911" t="str">
            <v>sim</v>
          </cell>
          <cell r="V1911" t="str">
            <v>not</v>
          </cell>
          <cell r="W1911">
            <v>1</v>
          </cell>
          <cell r="X1911" t="str">
            <v>intens</v>
          </cell>
        </row>
        <row r="1912">
          <cell r="I1912" t="str">
            <v>sim</v>
          </cell>
          <cell r="V1912" t="str">
            <v>not</v>
          </cell>
          <cell r="W1912">
            <v>1</v>
          </cell>
          <cell r="X1912" t="str">
            <v>intens</v>
          </cell>
        </row>
        <row r="1913">
          <cell r="I1913" t="str">
            <v>sim</v>
          </cell>
          <cell r="V1913" t="str">
            <v>not</v>
          </cell>
          <cell r="W1913">
            <v>1</v>
          </cell>
          <cell r="X1913" t="str">
            <v>neg</v>
          </cell>
        </row>
        <row r="1914">
          <cell r="I1914" t="str">
            <v>sim</v>
          </cell>
          <cell r="V1914" t="str">
            <v>antonym</v>
          </cell>
          <cell r="W1914">
            <v>1</v>
          </cell>
          <cell r="X1914" t="str">
            <v>neg</v>
          </cell>
        </row>
        <row r="1915">
          <cell r="I1915" t="str">
            <v>sim</v>
          </cell>
          <cell r="V1915" t="str">
            <v>antonym</v>
          </cell>
          <cell r="W1915">
            <v>1</v>
          </cell>
          <cell r="X1915" t="str">
            <v>intens</v>
          </cell>
        </row>
        <row r="1916">
          <cell r="I1916" t="str">
            <v>sim</v>
          </cell>
          <cell r="V1916" t="str">
            <v>not</v>
          </cell>
          <cell r="W1916">
            <v>1</v>
          </cell>
          <cell r="X1916" t="str">
            <v>intens</v>
          </cell>
        </row>
        <row r="1917">
          <cell r="I1917" t="str">
            <v>sim</v>
          </cell>
          <cell r="V1917" t="str">
            <v>not</v>
          </cell>
          <cell r="W1917">
            <v>1</v>
          </cell>
          <cell r="X1917" t="str">
            <v>neg</v>
          </cell>
        </row>
        <row r="1918">
          <cell r="I1918" t="str">
            <v>sim</v>
          </cell>
          <cell r="V1918" t="str">
            <v>not</v>
          </cell>
          <cell r="W1918">
            <v>1</v>
          </cell>
          <cell r="X1918" t="str">
            <v>intens</v>
          </cell>
        </row>
        <row r="1919">
          <cell r="I1919" t="str">
            <v>sim</v>
          </cell>
          <cell r="V1919" t="str">
            <v>not</v>
          </cell>
          <cell r="W1919">
            <v>1</v>
          </cell>
          <cell r="X1919" t="str">
            <v>neg</v>
          </cell>
        </row>
        <row r="1920">
          <cell r="I1920" t="str">
            <v>sim</v>
          </cell>
          <cell r="V1920" t="str">
            <v>not neg pair</v>
          </cell>
          <cell r="W1920">
            <v>0</v>
          </cell>
          <cell r="X1920" t="str">
            <v>0</v>
          </cell>
        </row>
        <row r="1921">
          <cell r="I1921" t="str">
            <v>sim</v>
          </cell>
          <cell r="V1921" t="str">
            <v>not neg pair</v>
          </cell>
          <cell r="W1921">
            <v>0</v>
          </cell>
          <cell r="X1921" t="str">
            <v>0</v>
          </cell>
        </row>
        <row r="1922">
          <cell r="I1922" t="str">
            <v>sim</v>
          </cell>
          <cell r="V1922" t="str">
            <v>not neg pair</v>
          </cell>
          <cell r="W1922">
            <v>0</v>
          </cell>
          <cell r="X1922" t="str">
            <v>0</v>
          </cell>
        </row>
        <row r="1923">
          <cell r="I1923" t="str">
            <v>sim</v>
          </cell>
          <cell r="V1923" t="str">
            <v>not neg pair</v>
          </cell>
          <cell r="W1923">
            <v>0</v>
          </cell>
          <cell r="X1923" t="str">
            <v>0</v>
          </cell>
        </row>
        <row r="1924">
          <cell r="I1924" t="str">
            <v>sim</v>
          </cell>
          <cell r="V1924" t="str">
            <v>not neg pair</v>
          </cell>
          <cell r="W1924">
            <v>0</v>
          </cell>
          <cell r="X1924" t="str">
            <v>0</v>
          </cell>
        </row>
        <row r="1925">
          <cell r="I1925" t="str">
            <v>sim</v>
          </cell>
          <cell r="V1925" t="str">
            <v>not neg pair</v>
          </cell>
          <cell r="W1925">
            <v>0</v>
          </cell>
          <cell r="X1925" t="str">
            <v>0</v>
          </cell>
        </row>
        <row r="1926">
          <cell r="I1926" t="str">
            <v>met</v>
          </cell>
          <cell r="V1926" t="str">
            <v>0</v>
          </cell>
          <cell r="W1926">
            <v>0</v>
          </cell>
          <cell r="X1926" t="str">
            <v>0</v>
          </cell>
        </row>
        <row r="1927">
          <cell r="I1927" t="str">
            <v>sim</v>
          </cell>
          <cell r="V1927" t="str">
            <v>not neg pair</v>
          </cell>
          <cell r="W1927">
            <v>0</v>
          </cell>
          <cell r="X1927" t="str">
            <v>0</v>
          </cell>
        </row>
        <row r="1928">
          <cell r="I1928" t="str">
            <v>sim</v>
          </cell>
          <cell r="V1928" t="str">
            <v>not neg pair</v>
          </cell>
          <cell r="W1928">
            <v>0</v>
          </cell>
          <cell r="X1928" t="str">
            <v>0</v>
          </cell>
        </row>
        <row r="1929">
          <cell r="I1929" t="str">
            <v>sim</v>
          </cell>
          <cell r="V1929" t="str">
            <v>not neg pair</v>
          </cell>
          <cell r="W1929">
            <v>0</v>
          </cell>
          <cell r="X1929" t="str">
            <v>0</v>
          </cell>
        </row>
        <row r="1930">
          <cell r="I1930" t="str">
            <v>met</v>
          </cell>
          <cell r="V1930" t="str">
            <v>0</v>
          </cell>
          <cell r="W1930">
            <v>0</v>
          </cell>
          <cell r="X1930" t="str">
            <v>0</v>
          </cell>
        </row>
        <row r="1931">
          <cell r="I1931" t="str">
            <v>met</v>
          </cell>
          <cell r="V1931" t="str">
            <v>0</v>
          </cell>
          <cell r="W1931">
            <v>0</v>
          </cell>
          <cell r="X1931" t="str">
            <v>0</v>
          </cell>
        </row>
        <row r="1932">
          <cell r="I1932" t="str">
            <v>sim</v>
          </cell>
          <cell r="V1932" t="str">
            <v>not</v>
          </cell>
          <cell r="W1932">
            <v>1</v>
          </cell>
          <cell r="X1932" t="str">
            <v>neg</v>
          </cell>
        </row>
        <row r="1933">
          <cell r="I1933" t="str">
            <v>sim</v>
          </cell>
          <cell r="V1933" t="str">
            <v>not</v>
          </cell>
          <cell r="W1933">
            <v>1</v>
          </cell>
          <cell r="X1933" t="str">
            <v>intens</v>
          </cell>
        </row>
        <row r="1934">
          <cell r="I1934" t="str">
            <v>sim</v>
          </cell>
          <cell r="V1934" t="str">
            <v>antonym</v>
          </cell>
          <cell r="W1934">
            <v>1</v>
          </cell>
          <cell r="X1934" t="str">
            <v>intens</v>
          </cell>
        </row>
        <row r="1935">
          <cell r="I1935" t="str">
            <v>sim</v>
          </cell>
          <cell r="V1935" t="str">
            <v>antonym</v>
          </cell>
          <cell r="W1935">
            <v>1</v>
          </cell>
          <cell r="X1935" t="str">
            <v>neg</v>
          </cell>
        </row>
        <row r="1936">
          <cell r="I1936" t="str">
            <v>sim</v>
          </cell>
          <cell r="V1936" t="str">
            <v>antonym</v>
          </cell>
          <cell r="W1936">
            <v>1</v>
          </cell>
          <cell r="X1936" t="str">
            <v>intens</v>
          </cell>
        </row>
        <row r="1937">
          <cell r="I1937" t="str">
            <v>sim</v>
          </cell>
          <cell r="V1937" t="str">
            <v>antonym</v>
          </cell>
          <cell r="W1937">
            <v>1</v>
          </cell>
          <cell r="X1937" t="str">
            <v>neg</v>
          </cell>
        </row>
        <row r="1938">
          <cell r="I1938" t="str">
            <v>sim</v>
          </cell>
          <cell r="V1938" t="str">
            <v>antonym</v>
          </cell>
          <cell r="W1938">
            <v>1</v>
          </cell>
          <cell r="X1938" t="str">
            <v>neg</v>
          </cell>
        </row>
        <row r="1939">
          <cell r="I1939" t="str">
            <v>sim</v>
          </cell>
          <cell r="V1939" t="str">
            <v>antonym</v>
          </cell>
          <cell r="W1939">
            <v>1</v>
          </cell>
          <cell r="X1939" t="str">
            <v>intens</v>
          </cell>
        </row>
        <row r="1940">
          <cell r="I1940" t="str">
            <v>sim</v>
          </cell>
          <cell r="V1940" t="str">
            <v>antonym</v>
          </cell>
          <cell r="W1940">
            <v>1</v>
          </cell>
          <cell r="X1940" t="str">
            <v>intens</v>
          </cell>
        </row>
        <row r="1941">
          <cell r="I1941" t="str">
            <v>sim</v>
          </cell>
          <cell r="V1941" t="str">
            <v>antonym</v>
          </cell>
          <cell r="W1941">
            <v>1</v>
          </cell>
          <cell r="X1941" t="str">
            <v>neg</v>
          </cell>
        </row>
        <row r="1942">
          <cell r="I1942" t="str">
            <v>sim</v>
          </cell>
          <cell r="V1942" t="str">
            <v>not neg pair</v>
          </cell>
          <cell r="W1942">
            <v>0</v>
          </cell>
          <cell r="X1942" t="str">
            <v>0</v>
          </cell>
        </row>
        <row r="1943">
          <cell r="I1943" t="str">
            <v>sim</v>
          </cell>
          <cell r="V1943" t="str">
            <v>not neg pair</v>
          </cell>
          <cell r="W1943">
            <v>0</v>
          </cell>
          <cell r="X1943" t="str">
            <v>0</v>
          </cell>
        </row>
        <row r="1944">
          <cell r="I1944" t="str">
            <v>sim</v>
          </cell>
          <cell r="V1944" t="str">
            <v>not</v>
          </cell>
          <cell r="W1944">
            <v>1</v>
          </cell>
          <cell r="X1944" t="str">
            <v>intens</v>
          </cell>
        </row>
        <row r="1945">
          <cell r="I1945" t="str">
            <v>sim</v>
          </cell>
          <cell r="V1945" t="str">
            <v>not</v>
          </cell>
          <cell r="W1945">
            <v>1</v>
          </cell>
          <cell r="X1945" t="str">
            <v>neg</v>
          </cell>
        </row>
        <row r="1946">
          <cell r="I1946" t="str">
            <v>sim</v>
          </cell>
          <cell r="V1946" t="str">
            <v>not neg pair</v>
          </cell>
          <cell r="W1946">
            <v>0</v>
          </cell>
          <cell r="X1946" t="str">
            <v>0</v>
          </cell>
        </row>
        <row r="1947">
          <cell r="I1947" t="str">
            <v>sim</v>
          </cell>
          <cell r="V1947" t="str">
            <v>not neg pair</v>
          </cell>
          <cell r="W1947">
            <v>0</v>
          </cell>
          <cell r="X1947" t="str">
            <v>0</v>
          </cell>
        </row>
        <row r="1948">
          <cell r="I1948" t="str">
            <v>sim</v>
          </cell>
          <cell r="V1948" t="str">
            <v>not</v>
          </cell>
          <cell r="W1948">
            <v>1</v>
          </cell>
          <cell r="X1948" t="str">
            <v>intens</v>
          </cell>
        </row>
        <row r="1949">
          <cell r="I1949" t="str">
            <v>sim</v>
          </cell>
          <cell r="V1949" t="str">
            <v>not</v>
          </cell>
          <cell r="W1949">
            <v>1</v>
          </cell>
          <cell r="X1949" t="str">
            <v>neg</v>
          </cell>
        </row>
        <row r="1950">
          <cell r="I1950" t="str">
            <v>sim</v>
          </cell>
          <cell r="V1950" t="str">
            <v>not</v>
          </cell>
          <cell r="W1950">
            <v>1</v>
          </cell>
          <cell r="X1950" t="str">
            <v>intens</v>
          </cell>
        </row>
        <row r="1951">
          <cell r="I1951" t="str">
            <v>sim</v>
          </cell>
          <cell r="V1951" t="str">
            <v>not</v>
          </cell>
          <cell r="W1951">
            <v>1</v>
          </cell>
          <cell r="X1951" t="str">
            <v>neg</v>
          </cell>
        </row>
        <row r="1952">
          <cell r="I1952" t="str">
            <v>sim</v>
          </cell>
          <cell r="V1952" t="str">
            <v>not</v>
          </cell>
          <cell r="W1952">
            <v>1</v>
          </cell>
          <cell r="X1952" t="str">
            <v>intens</v>
          </cell>
        </row>
        <row r="1953">
          <cell r="I1953" t="str">
            <v>sim</v>
          </cell>
          <cell r="V1953" t="str">
            <v>not</v>
          </cell>
          <cell r="W1953">
            <v>1</v>
          </cell>
          <cell r="X1953" t="str">
            <v>neg</v>
          </cell>
        </row>
        <row r="1954">
          <cell r="I1954" t="str">
            <v>sim</v>
          </cell>
          <cell r="V1954" t="str">
            <v>not</v>
          </cell>
          <cell r="W1954">
            <v>1</v>
          </cell>
          <cell r="X1954" t="str">
            <v>intens</v>
          </cell>
        </row>
        <row r="1955">
          <cell r="I1955" t="str">
            <v>sim</v>
          </cell>
          <cell r="V1955" t="str">
            <v>not</v>
          </cell>
          <cell r="W1955">
            <v>1</v>
          </cell>
          <cell r="X1955" t="str">
            <v>neg</v>
          </cell>
        </row>
        <row r="1956">
          <cell r="I1956" t="str">
            <v>sim</v>
          </cell>
          <cell r="V1956" t="str">
            <v>not neg pair</v>
          </cell>
          <cell r="W1956">
            <v>0</v>
          </cell>
          <cell r="X1956" t="str">
            <v>0</v>
          </cell>
        </row>
        <row r="1957">
          <cell r="I1957" t="str">
            <v>sim</v>
          </cell>
          <cell r="V1957" t="str">
            <v>not neg pair</v>
          </cell>
          <cell r="W1957">
            <v>0</v>
          </cell>
          <cell r="X1957" t="str">
            <v>0</v>
          </cell>
        </row>
        <row r="1958">
          <cell r="I1958" t="str">
            <v>sim</v>
          </cell>
          <cell r="V1958" t="str">
            <v>not neg pair</v>
          </cell>
          <cell r="W1958">
            <v>0</v>
          </cell>
          <cell r="X1958" t="str">
            <v>0</v>
          </cell>
        </row>
        <row r="1959">
          <cell r="I1959" t="str">
            <v>sim</v>
          </cell>
          <cell r="V1959" t="str">
            <v>not neg pair</v>
          </cell>
          <cell r="W1959">
            <v>0</v>
          </cell>
          <cell r="X1959" t="str">
            <v>0</v>
          </cell>
        </row>
        <row r="1960">
          <cell r="I1960" t="str">
            <v>sim</v>
          </cell>
          <cell r="V1960" t="str">
            <v>not neg pair</v>
          </cell>
          <cell r="W1960">
            <v>0</v>
          </cell>
          <cell r="X1960" t="str">
            <v>0</v>
          </cell>
        </row>
        <row r="1961">
          <cell r="I1961" t="str">
            <v>sim</v>
          </cell>
          <cell r="V1961" t="str">
            <v>not neg pair</v>
          </cell>
          <cell r="W1961">
            <v>0</v>
          </cell>
          <cell r="X1961" t="str">
            <v>0</v>
          </cell>
        </row>
        <row r="1962">
          <cell r="I1962" t="str">
            <v>met</v>
          </cell>
          <cell r="V1962" t="str">
            <v>0</v>
          </cell>
          <cell r="W1962">
            <v>0</v>
          </cell>
          <cell r="X1962" t="str">
            <v>0</v>
          </cell>
        </row>
        <row r="1963">
          <cell r="I1963" t="str">
            <v>met</v>
          </cell>
          <cell r="V1963" t="str">
            <v>0</v>
          </cell>
          <cell r="W1963">
            <v>0</v>
          </cell>
          <cell r="X1963" t="str">
            <v>0</v>
          </cell>
        </row>
        <row r="1964">
          <cell r="I1964" t="str">
            <v>sim</v>
          </cell>
          <cell r="V1964" t="str">
            <v>not neg pair</v>
          </cell>
          <cell r="W1964">
            <v>0</v>
          </cell>
          <cell r="X1964" t="str">
            <v>0</v>
          </cell>
        </row>
        <row r="1965">
          <cell r="I1965" t="str">
            <v>sim</v>
          </cell>
          <cell r="V1965" t="str">
            <v>not neg pair</v>
          </cell>
          <cell r="W1965">
            <v>0</v>
          </cell>
          <cell r="X1965" t="str">
            <v>0</v>
          </cell>
        </row>
        <row r="1966">
          <cell r="I1966" t="str">
            <v>sim</v>
          </cell>
          <cell r="V1966" t="str">
            <v>not neg pair</v>
          </cell>
          <cell r="W1966">
            <v>0</v>
          </cell>
          <cell r="X1966" t="str">
            <v>0</v>
          </cell>
        </row>
        <row r="1967">
          <cell r="I1967" t="str">
            <v>sim</v>
          </cell>
          <cell r="V1967" t="str">
            <v>not neg pair</v>
          </cell>
          <cell r="W1967">
            <v>0</v>
          </cell>
          <cell r="X1967" t="str">
            <v>0</v>
          </cell>
        </row>
        <row r="1968">
          <cell r="I1968" t="str">
            <v>sim</v>
          </cell>
          <cell r="V1968" t="str">
            <v>not neg pair</v>
          </cell>
          <cell r="W1968">
            <v>0</v>
          </cell>
          <cell r="X1968" t="str">
            <v>0</v>
          </cell>
        </row>
        <row r="1969">
          <cell r="I1969" t="str">
            <v>sim</v>
          </cell>
          <cell r="V1969" t="str">
            <v>not neg pair</v>
          </cell>
          <cell r="W1969">
            <v>0</v>
          </cell>
          <cell r="X1969" t="str">
            <v>0</v>
          </cell>
        </row>
        <row r="1970">
          <cell r="I1970" t="str">
            <v>sim</v>
          </cell>
          <cell r="V1970" t="str">
            <v>antonym</v>
          </cell>
          <cell r="W1970">
            <v>1</v>
          </cell>
          <cell r="X1970" t="str">
            <v>intens</v>
          </cell>
        </row>
        <row r="1971">
          <cell r="I1971" t="str">
            <v>sim</v>
          </cell>
          <cell r="V1971" t="str">
            <v>antonym</v>
          </cell>
          <cell r="W1971">
            <v>1</v>
          </cell>
          <cell r="X1971" t="str">
            <v>neg</v>
          </cell>
        </row>
        <row r="1972">
          <cell r="I1972" t="str">
            <v>sim</v>
          </cell>
          <cell r="V1972" t="str">
            <v>antonym</v>
          </cell>
          <cell r="W1972">
            <v>1</v>
          </cell>
          <cell r="X1972" t="str">
            <v>neg</v>
          </cell>
        </row>
        <row r="1973">
          <cell r="I1973" t="str">
            <v>sim</v>
          </cell>
          <cell r="V1973" t="str">
            <v>antonym</v>
          </cell>
          <cell r="W1973">
            <v>1</v>
          </cell>
          <cell r="X1973" t="str">
            <v>intens</v>
          </cell>
        </row>
        <row r="1974">
          <cell r="I1974" t="str">
            <v>sim</v>
          </cell>
          <cell r="V1974" t="str">
            <v>not</v>
          </cell>
          <cell r="W1974">
            <v>1</v>
          </cell>
          <cell r="X1974" t="str">
            <v>intens</v>
          </cell>
        </row>
        <row r="1975">
          <cell r="I1975" t="str">
            <v>sim</v>
          </cell>
          <cell r="V1975" t="str">
            <v>not</v>
          </cell>
          <cell r="W1975">
            <v>1</v>
          </cell>
          <cell r="X1975" t="str">
            <v>neg</v>
          </cell>
        </row>
        <row r="1976">
          <cell r="I1976" t="str">
            <v>sim</v>
          </cell>
          <cell r="V1976" t="str">
            <v>not neg pair</v>
          </cell>
          <cell r="W1976">
            <v>0</v>
          </cell>
          <cell r="X1976" t="str">
            <v>0</v>
          </cell>
        </row>
        <row r="1977">
          <cell r="I1977" t="str">
            <v>sim</v>
          </cell>
          <cell r="V1977" t="str">
            <v>not neg pair</v>
          </cell>
          <cell r="W1977">
            <v>0</v>
          </cell>
          <cell r="X1977" t="str">
            <v>0</v>
          </cell>
        </row>
        <row r="1978">
          <cell r="I1978" t="str">
            <v>met</v>
          </cell>
          <cell r="V1978" t="str">
            <v>0</v>
          </cell>
          <cell r="W1978">
            <v>0</v>
          </cell>
          <cell r="X1978" t="str">
            <v>0</v>
          </cell>
        </row>
        <row r="1979">
          <cell r="I1979" t="str">
            <v>met</v>
          </cell>
          <cell r="V1979" t="str">
            <v>0</v>
          </cell>
          <cell r="W1979">
            <v>0</v>
          </cell>
          <cell r="X1979" t="str">
            <v>0</v>
          </cell>
        </row>
        <row r="1980">
          <cell r="I1980" t="str">
            <v>met</v>
          </cell>
          <cell r="V1980" t="str">
            <v>0</v>
          </cell>
          <cell r="W1980">
            <v>0</v>
          </cell>
          <cell r="X1980" t="str">
            <v>0</v>
          </cell>
        </row>
        <row r="1981">
          <cell r="I1981" t="str">
            <v>met</v>
          </cell>
          <cell r="V1981" t="str">
            <v>0</v>
          </cell>
          <cell r="W1981">
            <v>0</v>
          </cell>
          <cell r="X1981" t="str">
            <v>0</v>
          </cell>
        </row>
        <row r="1982">
          <cell r="I1982" t="str">
            <v>met</v>
          </cell>
          <cell r="V1982" t="str">
            <v>0</v>
          </cell>
          <cell r="W1982">
            <v>0</v>
          </cell>
          <cell r="X1982" t="str">
            <v>0</v>
          </cell>
        </row>
        <row r="1983">
          <cell r="I1983" t="str">
            <v>met</v>
          </cell>
          <cell r="V1983" t="str">
            <v>0</v>
          </cell>
          <cell r="W1983">
            <v>0</v>
          </cell>
          <cell r="X1983" t="str">
            <v>0</v>
          </cell>
        </row>
        <row r="1984">
          <cell r="I1984" t="str">
            <v>met</v>
          </cell>
          <cell r="V1984" t="str">
            <v>0</v>
          </cell>
          <cell r="W1984">
            <v>0</v>
          </cell>
          <cell r="X1984" t="str">
            <v>0</v>
          </cell>
        </row>
        <row r="1985">
          <cell r="I1985" t="str">
            <v>met</v>
          </cell>
          <cell r="V1985" t="str">
            <v>0</v>
          </cell>
          <cell r="W1985">
            <v>0</v>
          </cell>
          <cell r="X1985" t="str">
            <v>0</v>
          </cell>
        </row>
        <row r="1986">
          <cell r="I1986" t="str">
            <v>sim</v>
          </cell>
          <cell r="V1986" t="str">
            <v>not</v>
          </cell>
          <cell r="W1986">
            <v>1</v>
          </cell>
          <cell r="X1986" t="str">
            <v>intens</v>
          </cell>
        </row>
        <row r="1987">
          <cell r="I1987" t="str">
            <v>sim</v>
          </cell>
          <cell r="V1987" t="str">
            <v>not</v>
          </cell>
          <cell r="W1987">
            <v>1</v>
          </cell>
          <cell r="X1987" t="str">
            <v>neg</v>
          </cell>
        </row>
        <row r="1988">
          <cell r="I1988" t="str">
            <v>sim</v>
          </cell>
          <cell r="V1988" t="str">
            <v>not neg pair</v>
          </cell>
          <cell r="W1988">
            <v>0</v>
          </cell>
          <cell r="X1988" t="str">
            <v>0</v>
          </cell>
        </row>
        <row r="1989">
          <cell r="I1989" t="str">
            <v>sim</v>
          </cell>
          <cell r="V1989" t="str">
            <v>not neg pair</v>
          </cell>
          <cell r="W1989">
            <v>0</v>
          </cell>
          <cell r="X1989" t="str">
            <v>0</v>
          </cell>
        </row>
        <row r="1990">
          <cell r="I1990" t="str">
            <v>sim</v>
          </cell>
          <cell r="V1990" t="str">
            <v>not</v>
          </cell>
          <cell r="W1990">
            <v>1</v>
          </cell>
          <cell r="X1990" t="str">
            <v>intens</v>
          </cell>
        </row>
        <row r="1991">
          <cell r="I1991" t="str">
            <v>sim</v>
          </cell>
          <cell r="V1991" t="str">
            <v>not</v>
          </cell>
          <cell r="W1991">
            <v>1</v>
          </cell>
          <cell r="X1991" t="str">
            <v>neg</v>
          </cell>
        </row>
        <row r="1992">
          <cell r="I1992" t="str">
            <v>met</v>
          </cell>
          <cell r="V1992" t="str">
            <v>0</v>
          </cell>
          <cell r="W1992">
            <v>0</v>
          </cell>
          <cell r="X1992" t="str">
            <v>0</v>
          </cell>
        </row>
        <row r="1993">
          <cell r="I1993" t="str">
            <v>met</v>
          </cell>
          <cell r="V1993" t="str">
            <v>0</v>
          </cell>
          <cell r="W1993">
            <v>0</v>
          </cell>
          <cell r="X1993" t="str">
            <v>0</v>
          </cell>
        </row>
        <row r="1994">
          <cell r="I1994" t="str">
            <v>met</v>
          </cell>
          <cell r="V1994" t="str">
            <v>0</v>
          </cell>
          <cell r="W1994">
            <v>0</v>
          </cell>
          <cell r="X1994" t="str">
            <v>0</v>
          </cell>
        </row>
        <row r="1995">
          <cell r="I1995" t="str">
            <v>met</v>
          </cell>
          <cell r="V1995" t="str">
            <v>0</v>
          </cell>
          <cell r="W1995">
            <v>0</v>
          </cell>
          <cell r="X1995" t="str">
            <v>0</v>
          </cell>
        </row>
        <row r="1996">
          <cell r="I1996" t="str">
            <v>sim</v>
          </cell>
          <cell r="V1996" t="str">
            <v>not neg pair</v>
          </cell>
          <cell r="W1996">
            <v>0</v>
          </cell>
          <cell r="X1996" t="str">
            <v>0</v>
          </cell>
        </row>
        <row r="1997">
          <cell r="I1997" t="str">
            <v>sim</v>
          </cell>
          <cell r="V1997" t="str">
            <v>not neg pair</v>
          </cell>
          <cell r="W1997">
            <v>0</v>
          </cell>
          <cell r="X1997" t="str">
            <v>0</v>
          </cell>
        </row>
        <row r="1998">
          <cell r="I1998" t="str">
            <v>sim</v>
          </cell>
          <cell r="V1998" t="str">
            <v>not</v>
          </cell>
          <cell r="W1998">
            <v>1</v>
          </cell>
          <cell r="X1998" t="str">
            <v>intens</v>
          </cell>
        </row>
        <row r="1999">
          <cell r="I1999" t="str">
            <v>sim</v>
          </cell>
          <cell r="V1999" t="str">
            <v>not</v>
          </cell>
          <cell r="W1999">
            <v>1</v>
          </cell>
          <cell r="X1999" t="str">
            <v>neg</v>
          </cell>
        </row>
        <row r="2000">
          <cell r="I2000" t="str">
            <v>sim</v>
          </cell>
          <cell r="V2000" t="str">
            <v>not neg pair</v>
          </cell>
          <cell r="W2000">
            <v>0</v>
          </cell>
          <cell r="X2000" t="str">
            <v>0</v>
          </cell>
        </row>
        <row r="2001">
          <cell r="I2001" t="str">
            <v>sim</v>
          </cell>
          <cell r="V2001" t="str">
            <v>not neg pair</v>
          </cell>
          <cell r="W2001">
            <v>0</v>
          </cell>
          <cell r="X2001" t="str">
            <v>0</v>
          </cell>
        </row>
        <row r="2002">
          <cell r="I2002" t="str">
            <v>sim</v>
          </cell>
          <cell r="V2002" t="str">
            <v>not</v>
          </cell>
          <cell r="W2002">
            <v>1</v>
          </cell>
          <cell r="X2002" t="str">
            <v>intens</v>
          </cell>
        </row>
        <row r="2003">
          <cell r="I2003" t="str">
            <v>sim</v>
          </cell>
          <cell r="V2003" t="str">
            <v>not</v>
          </cell>
          <cell r="W2003">
            <v>1</v>
          </cell>
          <cell r="X2003" t="str">
            <v>neg</v>
          </cell>
        </row>
        <row r="2004">
          <cell r="I2004" t="str">
            <v>sim</v>
          </cell>
          <cell r="V2004" t="str">
            <v>not</v>
          </cell>
          <cell r="W2004">
            <v>1</v>
          </cell>
          <cell r="X2004" t="str">
            <v>intens</v>
          </cell>
        </row>
        <row r="2005">
          <cell r="I2005" t="str">
            <v>sim</v>
          </cell>
          <cell r="V2005" t="str">
            <v>not</v>
          </cell>
          <cell r="W2005">
            <v>1</v>
          </cell>
          <cell r="X2005" t="str">
            <v>neg</v>
          </cell>
        </row>
        <row r="2006">
          <cell r="I2006" t="str">
            <v>sim</v>
          </cell>
          <cell r="V2006" t="str">
            <v>antonym</v>
          </cell>
          <cell r="W2006">
            <v>1</v>
          </cell>
          <cell r="X2006" t="str">
            <v>intens</v>
          </cell>
        </row>
        <row r="2007">
          <cell r="I2007" t="str">
            <v>sim</v>
          </cell>
          <cell r="V2007" t="str">
            <v>antonym</v>
          </cell>
          <cell r="W2007">
            <v>1</v>
          </cell>
          <cell r="X2007" t="str">
            <v>neg</v>
          </cell>
        </row>
        <row r="2008">
          <cell r="I2008" t="str">
            <v>met</v>
          </cell>
          <cell r="V2008" t="str">
            <v>0</v>
          </cell>
          <cell r="W2008">
            <v>0</v>
          </cell>
          <cell r="X2008" t="str">
            <v>0</v>
          </cell>
        </row>
        <row r="2009">
          <cell r="I2009" t="str">
            <v>met</v>
          </cell>
          <cell r="V2009" t="str">
            <v>0</v>
          </cell>
          <cell r="W2009">
            <v>0</v>
          </cell>
          <cell r="X2009" t="str">
            <v>0</v>
          </cell>
        </row>
        <row r="2010">
          <cell r="I2010" t="str">
            <v>met</v>
          </cell>
          <cell r="V2010" t="str">
            <v>0</v>
          </cell>
          <cell r="W2010">
            <v>0</v>
          </cell>
          <cell r="X2010" t="str">
            <v>0</v>
          </cell>
        </row>
        <row r="2011">
          <cell r="I2011" t="str">
            <v>met</v>
          </cell>
          <cell r="V2011" t="str">
            <v>0</v>
          </cell>
          <cell r="W2011">
            <v>0</v>
          </cell>
          <cell r="X2011" t="str">
            <v>0</v>
          </cell>
        </row>
        <row r="2012">
          <cell r="I2012" t="str">
            <v>sim</v>
          </cell>
          <cell r="V2012" t="str">
            <v>not</v>
          </cell>
          <cell r="W2012">
            <v>1</v>
          </cell>
          <cell r="X2012" t="str">
            <v>intens</v>
          </cell>
        </row>
        <row r="2013">
          <cell r="I2013" t="str">
            <v>sim</v>
          </cell>
          <cell r="V2013" t="str">
            <v>not</v>
          </cell>
          <cell r="W2013">
            <v>1</v>
          </cell>
          <cell r="X2013" t="str">
            <v>neg</v>
          </cell>
        </row>
        <row r="2014">
          <cell r="I2014" t="str">
            <v>sim</v>
          </cell>
          <cell r="V2014" t="str">
            <v>not neg pair</v>
          </cell>
          <cell r="W2014">
            <v>0</v>
          </cell>
          <cell r="X2014" t="str">
            <v>0</v>
          </cell>
        </row>
        <row r="2015">
          <cell r="I2015" t="str">
            <v>sim</v>
          </cell>
          <cell r="V2015" t="str">
            <v>not neg pair</v>
          </cell>
          <cell r="W2015">
            <v>0</v>
          </cell>
          <cell r="X2015" t="str">
            <v>0</v>
          </cell>
        </row>
        <row r="2016">
          <cell r="I2016" t="str">
            <v>sim</v>
          </cell>
          <cell r="V2016" t="str">
            <v>antonym</v>
          </cell>
          <cell r="W2016">
            <v>1</v>
          </cell>
          <cell r="X2016" t="str">
            <v>neg</v>
          </cell>
        </row>
        <row r="2017">
          <cell r="I2017" t="str">
            <v>sim</v>
          </cell>
          <cell r="V2017" t="str">
            <v>antonym</v>
          </cell>
          <cell r="W2017">
            <v>1</v>
          </cell>
          <cell r="X2017" t="str">
            <v>intens</v>
          </cell>
        </row>
        <row r="2018">
          <cell r="I2018" t="str">
            <v>sim</v>
          </cell>
          <cell r="V2018" t="str">
            <v>not</v>
          </cell>
          <cell r="W2018">
            <v>1</v>
          </cell>
          <cell r="X2018" t="str">
            <v>intens</v>
          </cell>
        </row>
        <row r="2019">
          <cell r="I2019" t="str">
            <v>sim</v>
          </cell>
          <cell r="V2019" t="str">
            <v>not</v>
          </cell>
          <cell r="W2019">
            <v>1</v>
          </cell>
          <cell r="X2019" t="str">
            <v>neg</v>
          </cell>
        </row>
        <row r="2020">
          <cell r="I2020" t="str">
            <v>sim</v>
          </cell>
          <cell r="V2020" t="str">
            <v>not neg pair</v>
          </cell>
          <cell r="W2020">
            <v>0</v>
          </cell>
          <cell r="X2020" t="str">
            <v>0</v>
          </cell>
        </row>
        <row r="2021">
          <cell r="I2021" t="str">
            <v>sim</v>
          </cell>
          <cell r="V2021" t="str">
            <v>not neg pair</v>
          </cell>
          <cell r="W2021">
            <v>0</v>
          </cell>
          <cell r="X2021" t="str">
            <v>0</v>
          </cell>
        </row>
        <row r="2022">
          <cell r="I2022" t="str">
            <v>sim</v>
          </cell>
          <cell r="V2022" t="str">
            <v>not neg pair</v>
          </cell>
          <cell r="W2022">
            <v>0</v>
          </cell>
          <cell r="X2022" t="str">
            <v>0</v>
          </cell>
        </row>
        <row r="2023">
          <cell r="I2023" t="str">
            <v>sim</v>
          </cell>
          <cell r="V2023" t="str">
            <v>not neg pair</v>
          </cell>
          <cell r="W2023">
            <v>0</v>
          </cell>
          <cell r="X2023" t="str">
            <v>0</v>
          </cell>
        </row>
        <row r="2024">
          <cell r="I2024" t="str">
            <v>sim</v>
          </cell>
          <cell r="V2024" t="str">
            <v>not neg pair</v>
          </cell>
          <cell r="W2024">
            <v>0</v>
          </cell>
          <cell r="X2024" t="str">
            <v>0</v>
          </cell>
        </row>
        <row r="2025">
          <cell r="I2025" t="str">
            <v>sim</v>
          </cell>
          <cell r="V2025" t="str">
            <v>not neg pair</v>
          </cell>
          <cell r="W2025">
            <v>0</v>
          </cell>
          <cell r="X2025" t="str">
            <v>0</v>
          </cell>
        </row>
        <row r="2026">
          <cell r="I2026" t="str">
            <v>sim</v>
          </cell>
          <cell r="V2026" t="str">
            <v>not neg pair</v>
          </cell>
          <cell r="W2026">
            <v>0</v>
          </cell>
          <cell r="X2026" t="str">
            <v>0</v>
          </cell>
        </row>
        <row r="2027">
          <cell r="I2027" t="str">
            <v>sim</v>
          </cell>
          <cell r="V2027" t="str">
            <v>not neg pair</v>
          </cell>
          <cell r="W2027">
            <v>0</v>
          </cell>
          <cell r="X2027" t="str">
            <v>0</v>
          </cell>
        </row>
        <row r="2028">
          <cell r="I2028" t="str">
            <v>sim</v>
          </cell>
          <cell r="V2028" t="str">
            <v>not neg pair</v>
          </cell>
          <cell r="W2028">
            <v>0</v>
          </cell>
          <cell r="X2028" t="str">
            <v>0</v>
          </cell>
        </row>
        <row r="2029">
          <cell r="I2029" t="str">
            <v>sim</v>
          </cell>
          <cell r="V2029" t="str">
            <v>not neg pair</v>
          </cell>
          <cell r="W2029">
            <v>0</v>
          </cell>
          <cell r="X2029" t="str">
            <v>0</v>
          </cell>
        </row>
        <row r="2030">
          <cell r="I2030" t="str">
            <v>sim</v>
          </cell>
          <cell r="V2030" t="str">
            <v>not neg pair</v>
          </cell>
          <cell r="W2030">
            <v>0</v>
          </cell>
          <cell r="X2030" t="str">
            <v>0</v>
          </cell>
        </row>
        <row r="2031">
          <cell r="I2031" t="str">
            <v>sim</v>
          </cell>
          <cell r="V2031" t="str">
            <v>not neg pair</v>
          </cell>
          <cell r="W2031">
            <v>0</v>
          </cell>
          <cell r="X2031" t="str">
            <v>0</v>
          </cell>
        </row>
        <row r="2032">
          <cell r="I2032" t="str">
            <v>sim</v>
          </cell>
          <cell r="V2032" t="str">
            <v>not</v>
          </cell>
          <cell r="W2032">
            <v>1</v>
          </cell>
          <cell r="X2032" t="str">
            <v>intens</v>
          </cell>
        </row>
        <row r="2033">
          <cell r="I2033" t="str">
            <v>sim</v>
          </cell>
          <cell r="V2033" t="str">
            <v>not</v>
          </cell>
          <cell r="W2033">
            <v>1</v>
          </cell>
          <cell r="X2033" t="str">
            <v>neg</v>
          </cell>
        </row>
        <row r="2034">
          <cell r="I2034" t="str">
            <v>sim</v>
          </cell>
          <cell r="V2034" t="str">
            <v>not</v>
          </cell>
          <cell r="W2034">
            <v>1</v>
          </cell>
          <cell r="X2034" t="str">
            <v>intens</v>
          </cell>
        </row>
        <row r="2035">
          <cell r="I2035" t="str">
            <v>sim</v>
          </cell>
          <cell r="V2035" t="str">
            <v>not</v>
          </cell>
          <cell r="W2035">
            <v>1</v>
          </cell>
          <cell r="X2035" t="str">
            <v>neg</v>
          </cell>
        </row>
        <row r="2036">
          <cell r="I2036" t="str">
            <v>sim</v>
          </cell>
          <cell r="V2036" t="str">
            <v>not</v>
          </cell>
          <cell r="W2036">
            <v>1</v>
          </cell>
          <cell r="X2036" t="str">
            <v>intens</v>
          </cell>
        </row>
        <row r="2037">
          <cell r="I2037" t="str">
            <v>sim</v>
          </cell>
          <cell r="V2037" t="str">
            <v>not</v>
          </cell>
          <cell r="W2037">
            <v>1</v>
          </cell>
          <cell r="X2037" t="str">
            <v>neg</v>
          </cell>
        </row>
        <row r="2038">
          <cell r="I2038" t="str">
            <v>sim</v>
          </cell>
          <cell r="V2038" t="str">
            <v>not neg pair</v>
          </cell>
          <cell r="W2038">
            <v>0</v>
          </cell>
          <cell r="X2038" t="str">
            <v>0</v>
          </cell>
        </row>
        <row r="2039">
          <cell r="I2039" t="str">
            <v>sim</v>
          </cell>
          <cell r="V2039" t="str">
            <v>not neg pair</v>
          </cell>
          <cell r="W2039">
            <v>0</v>
          </cell>
          <cell r="X2039" t="str">
            <v>0</v>
          </cell>
        </row>
        <row r="2040">
          <cell r="I2040" t="str">
            <v>sim</v>
          </cell>
          <cell r="V2040" t="str">
            <v>antonym</v>
          </cell>
          <cell r="W2040">
            <v>1</v>
          </cell>
          <cell r="X2040" t="str">
            <v>neg</v>
          </cell>
        </row>
        <row r="2041">
          <cell r="I2041" t="str">
            <v>sim</v>
          </cell>
          <cell r="V2041" t="str">
            <v>antonym</v>
          </cell>
          <cell r="W2041">
            <v>1</v>
          </cell>
          <cell r="X2041" t="str">
            <v>intens</v>
          </cell>
        </row>
        <row r="2042">
          <cell r="I2042" t="str">
            <v>sim</v>
          </cell>
          <cell r="V2042" t="str">
            <v>not</v>
          </cell>
          <cell r="W2042">
            <v>1</v>
          </cell>
          <cell r="X2042" t="str">
            <v>intens</v>
          </cell>
        </row>
        <row r="2043">
          <cell r="I2043" t="str">
            <v>sim</v>
          </cell>
          <cell r="V2043" t="str">
            <v>not</v>
          </cell>
          <cell r="W2043">
            <v>1</v>
          </cell>
          <cell r="X2043" t="str">
            <v>neg</v>
          </cell>
        </row>
        <row r="2044">
          <cell r="I2044" t="str">
            <v>sim</v>
          </cell>
          <cell r="V2044" t="str">
            <v>not neg pair</v>
          </cell>
          <cell r="W2044">
            <v>0</v>
          </cell>
          <cell r="X2044" t="str">
            <v>0</v>
          </cell>
        </row>
        <row r="2045">
          <cell r="I2045" t="str">
            <v>sim</v>
          </cell>
          <cell r="V2045" t="str">
            <v>not neg pair</v>
          </cell>
          <cell r="W2045">
            <v>0</v>
          </cell>
          <cell r="X2045" t="str">
            <v>0</v>
          </cell>
        </row>
        <row r="2046">
          <cell r="I2046" t="str">
            <v>met</v>
          </cell>
          <cell r="V2046" t="str">
            <v>0</v>
          </cell>
          <cell r="W2046">
            <v>0</v>
          </cell>
          <cell r="X2046" t="str">
            <v>0</v>
          </cell>
        </row>
        <row r="2047">
          <cell r="I2047" t="str">
            <v>met</v>
          </cell>
          <cell r="V2047" t="str">
            <v>0</v>
          </cell>
          <cell r="W2047">
            <v>0</v>
          </cell>
          <cell r="X2047" t="str">
            <v>0</v>
          </cell>
        </row>
        <row r="2048">
          <cell r="I2048" t="str">
            <v>sim</v>
          </cell>
          <cell r="V2048" t="str">
            <v>not neg pair</v>
          </cell>
          <cell r="W2048">
            <v>0</v>
          </cell>
          <cell r="X2048" t="str">
            <v>0</v>
          </cell>
        </row>
        <row r="2049">
          <cell r="I2049" t="str">
            <v>sim</v>
          </cell>
          <cell r="V2049" t="str">
            <v>not neg pair</v>
          </cell>
          <cell r="W2049">
            <v>0</v>
          </cell>
          <cell r="X2049" t="str">
            <v>0</v>
          </cell>
        </row>
        <row r="2050">
          <cell r="I2050" t="str">
            <v>sim</v>
          </cell>
          <cell r="V2050" t="str">
            <v>not</v>
          </cell>
          <cell r="W2050">
            <v>1</v>
          </cell>
          <cell r="X2050" t="str">
            <v>neg</v>
          </cell>
        </row>
        <row r="2051">
          <cell r="I2051" t="str">
            <v>sim</v>
          </cell>
          <cell r="V2051" t="str">
            <v>not</v>
          </cell>
          <cell r="W2051">
            <v>1</v>
          </cell>
          <cell r="X2051" t="str">
            <v>intens</v>
          </cell>
        </row>
        <row r="2052">
          <cell r="I2052" t="str">
            <v>sim</v>
          </cell>
          <cell r="V2052" t="str">
            <v>not</v>
          </cell>
          <cell r="W2052">
            <v>1</v>
          </cell>
          <cell r="X2052" t="str">
            <v>intens</v>
          </cell>
        </row>
        <row r="2053">
          <cell r="I2053" t="str">
            <v>sim</v>
          </cell>
          <cell r="V2053" t="str">
            <v>not</v>
          </cell>
          <cell r="W2053">
            <v>1</v>
          </cell>
          <cell r="X2053" t="str">
            <v>neg</v>
          </cell>
        </row>
        <row r="2054">
          <cell r="I2054" t="str">
            <v>sim</v>
          </cell>
          <cell r="V2054" t="str">
            <v>not neg pair</v>
          </cell>
          <cell r="W2054">
            <v>0</v>
          </cell>
          <cell r="X2054" t="str">
            <v>0</v>
          </cell>
        </row>
        <row r="2055">
          <cell r="I2055" t="str">
            <v>sim</v>
          </cell>
          <cell r="V2055" t="str">
            <v>not neg pair</v>
          </cell>
          <cell r="W2055">
            <v>0</v>
          </cell>
          <cell r="X2055" t="str">
            <v>0</v>
          </cell>
        </row>
        <row r="2056">
          <cell r="I2056" t="str">
            <v>sim</v>
          </cell>
          <cell r="V2056" t="str">
            <v>not neg pair</v>
          </cell>
          <cell r="W2056">
            <v>0</v>
          </cell>
          <cell r="X2056" t="str">
            <v>0</v>
          </cell>
        </row>
        <row r="2057">
          <cell r="I2057" t="str">
            <v>sim</v>
          </cell>
          <cell r="V2057" t="str">
            <v>not neg pair</v>
          </cell>
          <cell r="W2057">
            <v>0</v>
          </cell>
          <cell r="X2057" t="str">
            <v>0</v>
          </cell>
        </row>
        <row r="2058">
          <cell r="I2058" t="str">
            <v>sim</v>
          </cell>
          <cell r="V2058" t="str">
            <v>antonym</v>
          </cell>
          <cell r="W2058">
            <v>1</v>
          </cell>
          <cell r="X2058" t="str">
            <v>intens</v>
          </cell>
        </row>
        <row r="2059">
          <cell r="I2059" t="str">
            <v>sim</v>
          </cell>
          <cell r="V2059" t="str">
            <v>antonym</v>
          </cell>
          <cell r="W2059">
            <v>1</v>
          </cell>
          <cell r="X2059" t="str">
            <v>neg</v>
          </cell>
        </row>
        <row r="2060">
          <cell r="I2060" t="str">
            <v>sim</v>
          </cell>
          <cell r="V2060" t="str">
            <v>not neg pair</v>
          </cell>
          <cell r="W2060">
            <v>0</v>
          </cell>
          <cell r="X2060" t="str">
            <v>0</v>
          </cell>
        </row>
        <row r="2061">
          <cell r="I2061" t="str">
            <v>sim</v>
          </cell>
          <cell r="V2061" t="str">
            <v>not neg pair</v>
          </cell>
          <cell r="W2061">
            <v>0</v>
          </cell>
          <cell r="X2061" t="str">
            <v>0</v>
          </cell>
        </row>
        <row r="2062">
          <cell r="I2062" t="str">
            <v>sim</v>
          </cell>
          <cell r="V2062" t="str">
            <v>not</v>
          </cell>
          <cell r="W2062">
            <v>1</v>
          </cell>
          <cell r="X2062" t="str">
            <v>neg</v>
          </cell>
        </row>
        <row r="2063">
          <cell r="I2063" t="str">
            <v>sim</v>
          </cell>
          <cell r="V2063" t="str">
            <v>not</v>
          </cell>
          <cell r="W2063">
            <v>1</v>
          </cell>
          <cell r="X2063" t="str">
            <v>intens</v>
          </cell>
        </row>
        <row r="2064">
          <cell r="I2064" t="str">
            <v>sim</v>
          </cell>
          <cell r="V2064" t="str">
            <v>not neg pair</v>
          </cell>
          <cell r="W2064">
            <v>0</v>
          </cell>
          <cell r="X2064" t="str">
            <v>0</v>
          </cell>
        </row>
        <row r="2065">
          <cell r="I2065" t="str">
            <v>sim</v>
          </cell>
          <cell r="V2065" t="str">
            <v>not neg pair</v>
          </cell>
          <cell r="W2065">
            <v>0</v>
          </cell>
          <cell r="X2065" t="str">
            <v>0</v>
          </cell>
        </row>
        <row r="2066">
          <cell r="I2066" t="str">
            <v>sim</v>
          </cell>
          <cell r="V2066" t="str">
            <v>not</v>
          </cell>
          <cell r="W2066">
            <v>1</v>
          </cell>
          <cell r="X2066" t="str">
            <v>neg</v>
          </cell>
        </row>
        <row r="2067">
          <cell r="I2067" t="str">
            <v>sim</v>
          </cell>
          <cell r="V2067" t="str">
            <v>not</v>
          </cell>
          <cell r="W2067">
            <v>1</v>
          </cell>
          <cell r="X2067" t="str">
            <v>intens</v>
          </cell>
        </row>
        <row r="2068">
          <cell r="I2068" t="str">
            <v>sim</v>
          </cell>
          <cell r="V2068" t="str">
            <v>not neg pair</v>
          </cell>
          <cell r="W2068">
            <v>0</v>
          </cell>
          <cell r="X2068" t="str">
            <v>0</v>
          </cell>
        </row>
        <row r="2069">
          <cell r="I2069" t="str">
            <v>sim</v>
          </cell>
          <cell r="V2069" t="str">
            <v>not neg pair</v>
          </cell>
          <cell r="W2069">
            <v>0</v>
          </cell>
          <cell r="X2069" t="str">
            <v>0</v>
          </cell>
        </row>
        <row r="2070">
          <cell r="I2070" t="str">
            <v>sim</v>
          </cell>
          <cell r="V2070" t="str">
            <v>not neg pair</v>
          </cell>
          <cell r="W2070">
            <v>0</v>
          </cell>
          <cell r="X2070" t="str">
            <v>0</v>
          </cell>
        </row>
        <row r="2071">
          <cell r="I2071" t="str">
            <v>sim</v>
          </cell>
          <cell r="V2071" t="str">
            <v>not neg pair</v>
          </cell>
          <cell r="W2071">
            <v>0</v>
          </cell>
          <cell r="X2071" t="str">
            <v>0</v>
          </cell>
        </row>
        <row r="2072">
          <cell r="I2072" t="str">
            <v>sim</v>
          </cell>
          <cell r="V2072" t="str">
            <v>not</v>
          </cell>
          <cell r="W2072">
            <v>1</v>
          </cell>
          <cell r="X2072" t="str">
            <v>neg</v>
          </cell>
        </row>
        <row r="2073">
          <cell r="I2073" t="str">
            <v>sim</v>
          </cell>
          <cell r="V2073" t="str">
            <v>not</v>
          </cell>
          <cell r="W2073">
            <v>1</v>
          </cell>
          <cell r="X2073" t="str">
            <v>intens</v>
          </cell>
        </row>
        <row r="2074">
          <cell r="I2074" t="str">
            <v>sim</v>
          </cell>
          <cell r="V2074" t="str">
            <v>antonym</v>
          </cell>
          <cell r="W2074">
            <v>1</v>
          </cell>
          <cell r="X2074" t="str">
            <v>intens</v>
          </cell>
        </row>
        <row r="2075">
          <cell r="I2075" t="str">
            <v>sim</v>
          </cell>
          <cell r="V2075" t="str">
            <v>antonym</v>
          </cell>
          <cell r="W2075">
            <v>1</v>
          </cell>
          <cell r="X2075" t="str">
            <v>neg</v>
          </cell>
        </row>
        <row r="2076">
          <cell r="I2076" t="str">
            <v>sim</v>
          </cell>
          <cell r="V2076" t="str">
            <v>not neg pair</v>
          </cell>
          <cell r="W2076">
            <v>0</v>
          </cell>
          <cell r="X2076" t="str">
            <v>0</v>
          </cell>
        </row>
        <row r="2077">
          <cell r="I2077" t="str">
            <v>sim</v>
          </cell>
          <cell r="V2077" t="str">
            <v>not neg pair</v>
          </cell>
          <cell r="W2077">
            <v>0</v>
          </cell>
          <cell r="X2077" t="str">
            <v>0</v>
          </cell>
        </row>
        <row r="2078">
          <cell r="I2078" t="str">
            <v>sim</v>
          </cell>
          <cell r="V2078" t="str">
            <v>not neg pair</v>
          </cell>
          <cell r="W2078">
            <v>0</v>
          </cell>
          <cell r="X2078" t="str">
            <v>0</v>
          </cell>
        </row>
        <row r="2079">
          <cell r="I2079" t="str">
            <v>sim</v>
          </cell>
          <cell r="V2079" t="str">
            <v>not neg pair</v>
          </cell>
          <cell r="W2079">
            <v>0</v>
          </cell>
          <cell r="X2079" t="str">
            <v>0</v>
          </cell>
        </row>
        <row r="2080">
          <cell r="I2080" t="str">
            <v>sim</v>
          </cell>
          <cell r="V2080" t="str">
            <v>not neg pair</v>
          </cell>
          <cell r="W2080">
            <v>0</v>
          </cell>
          <cell r="X2080" t="str">
            <v>0</v>
          </cell>
        </row>
        <row r="2081">
          <cell r="I2081" t="str">
            <v>sim</v>
          </cell>
          <cell r="V2081" t="str">
            <v>not neg pair</v>
          </cell>
          <cell r="W2081">
            <v>0</v>
          </cell>
          <cell r="X2081" t="str">
            <v>0</v>
          </cell>
        </row>
        <row r="2082">
          <cell r="I2082" t="str">
            <v>sim</v>
          </cell>
          <cell r="V2082" t="str">
            <v>not</v>
          </cell>
          <cell r="W2082">
            <v>1</v>
          </cell>
          <cell r="X2082" t="str">
            <v>intens</v>
          </cell>
        </row>
        <row r="2083">
          <cell r="I2083" t="str">
            <v>sim</v>
          </cell>
          <cell r="V2083" t="str">
            <v>not</v>
          </cell>
          <cell r="W2083">
            <v>1</v>
          </cell>
          <cell r="X2083" t="str">
            <v>neg</v>
          </cell>
        </row>
        <row r="2084">
          <cell r="I2084" t="str">
            <v>sim</v>
          </cell>
          <cell r="V2084" t="str">
            <v>not</v>
          </cell>
          <cell r="W2084">
            <v>1</v>
          </cell>
          <cell r="X2084" t="str">
            <v>intens</v>
          </cell>
        </row>
        <row r="2085">
          <cell r="I2085" t="str">
            <v>sim</v>
          </cell>
          <cell r="V2085" t="str">
            <v>not</v>
          </cell>
          <cell r="W2085">
            <v>1</v>
          </cell>
          <cell r="X2085" t="str">
            <v>neg</v>
          </cell>
        </row>
        <row r="2086">
          <cell r="I2086" t="str">
            <v>sim</v>
          </cell>
          <cell r="V2086" t="str">
            <v>not</v>
          </cell>
          <cell r="W2086">
            <v>1</v>
          </cell>
          <cell r="X2086" t="str">
            <v>neg</v>
          </cell>
        </row>
        <row r="2087">
          <cell r="I2087" t="str">
            <v>sim</v>
          </cell>
          <cell r="V2087" t="str">
            <v>not</v>
          </cell>
          <cell r="W2087">
            <v>1</v>
          </cell>
          <cell r="X2087" t="str">
            <v>intens</v>
          </cell>
        </row>
        <row r="2088">
          <cell r="I2088" t="str">
            <v>met</v>
          </cell>
          <cell r="V2088" t="str">
            <v>0</v>
          </cell>
          <cell r="W2088">
            <v>0</v>
          </cell>
          <cell r="X2088" t="str">
            <v>0</v>
          </cell>
        </row>
        <row r="2089">
          <cell r="I2089" t="str">
            <v>met</v>
          </cell>
          <cell r="V2089" t="str">
            <v>0</v>
          </cell>
          <cell r="W2089">
            <v>0</v>
          </cell>
          <cell r="X2089" t="str">
            <v>0</v>
          </cell>
        </row>
        <row r="2090">
          <cell r="I2090" t="str">
            <v>met</v>
          </cell>
          <cell r="V2090" t="str">
            <v>0</v>
          </cell>
          <cell r="W2090">
            <v>0</v>
          </cell>
          <cell r="X2090" t="str">
            <v>0</v>
          </cell>
        </row>
        <row r="2091">
          <cell r="I2091" t="str">
            <v>met</v>
          </cell>
          <cell r="V2091" t="str">
            <v>0</v>
          </cell>
          <cell r="W2091">
            <v>0</v>
          </cell>
          <cell r="X2091" t="str">
            <v>0</v>
          </cell>
        </row>
        <row r="2092">
          <cell r="I2092" t="str">
            <v>met</v>
          </cell>
          <cell r="V2092" t="str">
            <v>0</v>
          </cell>
          <cell r="W2092">
            <v>0</v>
          </cell>
          <cell r="X2092" t="str">
            <v>0</v>
          </cell>
        </row>
        <row r="2093">
          <cell r="I2093" t="str">
            <v>met</v>
          </cell>
          <cell r="V2093" t="str">
            <v>0</v>
          </cell>
          <cell r="W2093">
            <v>0</v>
          </cell>
          <cell r="X2093" t="str">
            <v>0</v>
          </cell>
        </row>
        <row r="2094">
          <cell r="I2094" t="str">
            <v>sim</v>
          </cell>
          <cell r="V2094" t="str">
            <v>not neg pair</v>
          </cell>
          <cell r="W2094">
            <v>0</v>
          </cell>
          <cell r="X2094" t="str">
            <v>0</v>
          </cell>
        </row>
        <row r="2095">
          <cell r="I2095" t="str">
            <v>sim</v>
          </cell>
          <cell r="V2095" t="str">
            <v>not neg pair</v>
          </cell>
          <cell r="W2095">
            <v>0</v>
          </cell>
          <cell r="X2095" t="str">
            <v>0</v>
          </cell>
        </row>
        <row r="2096">
          <cell r="I2096" t="str">
            <v>sim</v>
          </cell>
          <cell r="V2096" t="str">
            <v>antonym</v>
          </cell>
          <cell r="W2096">
            <v>1</v>
          </cell>
          <cell r="X2096" t="str">
            <v>intens</v>
          </cell>
        </row>
        <row r="2097">
          <cell r="I2097" t="str">
            <v>sim</v>
          </cell>
          <cell r="V2097" t="str">
            <v>antonym</v>
          </cell>
          <cell r="W2097">
            <v>1</v>
          </cell>
          <cell r="X2097" t="str">
            <v>neg</v>
          </cell>
        </row>
        <row r="2098">
          <cell r="I2098" t="str">
            <v>sim</v>
          </cell>
          <cell r="V2098" t="str">
            <v>not neg pair</v>
          </cell>
          <cell r="W2098">
            <v>0</v>
          </cell>
          <cell r="X2098" t="str">
            <v>0</v>
          </cell>
        </row>
        <row r="2099">
          <cell r="I2099" t="str">
            <v>sim</v>
          </cell>
          <cell r="V2099" t="str">
            <v>not neg pair</v>
          </cell>
          <cell r="W2099">
            <v>0</v>
          </cell>
          <cell r="X2099" t="str">
            <v>0</v>
          </cell>
        </row>
        <row r="2100">
          <cell r="I2100" t="str">
            <v>sim</v>
          </cell>
          <cell r="V2100" t="str">
            <v>not neg pair</v>
          </cell>
          <cell r="W2100">
            <v>0</v>
          </cell>
          <cell r="X2100" t="str">
            <v>0</v>
          </cell>
        </row>
        <row r="2101">
          <cell r="I2101" t="str">
            <v>sim</v>
          </cell>
          <cell r="V2101" t="str">
            <v>not neg pair</v>
          </cell>
          <cell r="W2101">
            <v>0</v>
          </cell>
          <cell r="X2101" t="str">
            <v>0</v>
          </cell>
        </row>
        <row r="2102">
          <cell r="I2102" t="str">
            <v>met</v>
          </cell>
          <cell r="V2102" t="str">
            <v>0</v>
          </cell>
          <cell r="W2102">
            <v>0</v>
          </cell>
          <cell r="X2102" t="str">
            <v>0</v>
          </cell>
        </row>
        <row r="2103">
          <cell r="I2103" t="str">
            <v>sim</v>
          </cell>
          <cell r="V2103" t="str">
            <v>not neg pair</v>
          </cell>
          <cell r="W2103">
            <v>0</v>
          </cell>
          <cell r="X2103" t="str">
            <v>0</v>
          </cell>
        </row>
        <row r="2104">
          <cell r="I2104" t="str">
            <v>sim</v>
          </cell>
          <cell r="V2104" t="str">
            <v>not neg pair</v>
          </cell>
          <cell r="W2104">
            <v>0</v>
          </cell>
          <cell r="X2104" t="str">
            <v>0</v>
          </cell>
        </row>
        <row r="2105">
          <cell r="I2105" t="str">
            <v>sim</v>
          </cell>
          <cell r="V2105" t="str">
            <v>not neg pair</v>
          </cell>
          <cell r="W2105">
            <v>0</v>
          </cell>
          <cell r="X2105" t="str">
            <v>0</v>
          </cell>
        </row>
        <row r="2106">
          <cell r="I2106" t="str">
            <v>sim</v>
          </cell>
          <cell r="V2106" t="str">
            <v>not</v>
          </cell>
          <cell r="W2106">
            <v>1</v>
          </cell>
          <cell r="X2106" t="str">
            <v>neg</v>
          </cell>
        </row>
        <row r="2107">
          <cell r="I2107" t="str">
            <v>sim</v>
          </cell>
          <cell r="V2107" t="str">
            <v>not</v>
          </cell>
          <cell r="W2107">
            <v>1</v>
          </cell>
          <cell r="X2107" t="str">
            <v>intens</v>
          </cell>
        </row>
        <row r="2108">
          <cell r="I2108" t="str">
            <v>sim</v>
          </cell>
          <cell r="V2108" t="str">
            <v>not</v>
          </cell>
          <cell r="W2108">
            <v>1</v>
          </cell>
          <cell r="X2108" t="str">
            <v>neg</v>
          </cell>
        </row>
        <row r="2109">
          <cell r="I2109" t="str">
            <v>sim</v>
          </cell>
          <cell r="V2109" t="str">
            <v>not</v>
          </cell>
          <cell r="W2109">
            <v>1</v>
          </cell>
          <cell r="X2109" t="str">
            <v>intens</v>
          </cell>
        </row>
        <row r="2110">
          <cell r="I2110" t="str">
            <v>sim</v>
          </cell>
          <cell r="V2110" t="str">
            <v>not</v>
          </cell>
          <cell r="W2110">
            <v>1</v>
          </cell>
          <cell r="X2110" t="str">
            <v>neg</v>
          </cell>
        </row>
        <row r="2111">
          <cell r="I2111" t="str">
            <v>sim</v>
          </cell>
          <cell r="V2111" t="str">
            <v>not</v>
          </cell>
          <cell r="W2111">
            <v>1</v>
          </cell>
          <cell r="X2111" t="str">
            <v>intens</v>
          </cell>
        </row>
        <row r="2112">
          <cell r="I2112" t="str">
            <v>sim</v>
          </cell>
          <cell r="V2112" t="str">
            <v>not neg pair</v>
          </cell>
          <cell r="W2112">
            <v>0</v>
          </cell>
          <cell r="X2112" t="str">
            <v>0</v>
          </cell>
        </row>
        <row r="2113">
          <cell r="I2113" t="str">
            <v>sim</v>
          </cell>
          <cell r="V2113" t="str">
            <v>not neg pair</v>
          </cell>
          <cell r="W2113">
            <v>0</v>
          </cell>
          <cell r="X2113" t="str">
            <v>0</v>
          </cell>
        </row>
        <row r="2114">
          <cell r="I2114" t="str">
            <v>sim</v>
          </cell>
          <cell r="V2114" t="str">
            <v>antonym</v>
          </cell>
          <cell r="W2114">
            <v>1</v>
          </cell>
          <cell r="X2114" t="str">
            <v>intens</v>
          </cell>
        </row>
        <row r="2115">
          <cell r="I2115" t="str">
            <v>sim</v>
          </cell>
          <cell r="V2115" t="str">
            <v>antonym</v>
          </cell>
          <cell r="W2115">
            <v>1</v>
          </cell>
          <cell r="X2115" t="str">
            <v>neg</v>
          </cell>
        </row>
        <row r="2116">
          <cell r="I2116" t="str">
            <v>sim</v>
          </cell>
          <cell r="V2116" t="str">
            <v>not neg pair</v>
          </cell>
          <cell r="W2116">
            <v>0</v>
          </cell>
          <cell r="X2116" t="str">
            <v>0</v>
          </cell>
        </row>
        <row r="2117">
          <cell r="I2117" t="str">
            <v>sim</v>
          </cell>
          <cell r="V2117" t="str">
            <v>not neg pair</v>
          </cell>
          <cell r="W2117">
            <v>0</v>
          </cell>
          <cell r="X2117" t="str">
            <v>0</v>
          </cell>
        </row>
        <row r="2118">
          <cell r="I2118" t="str">
            <v>met</v>
          </cell>
          <cell r="V2118" t="str">
            <v>0</v>
          </cell>
          <cell r="W2118">
            <v>0</v>
          </cell>
          <cell r="X2118" t="str">
            <v>0</v>
          </cell>
        </row>
        <row r="2119">
          <cell r="I2119" t="str">
            <v>met</v>
          </cell>
          <cell r="V2119" t="str">
            <v>0</v>
          </cell>
          <cell r="W2119">
            <v>0</v>
          </cell>
          <cell r="X2119" t="str">
            <v>0</v>
          </cell>
        </row>
        <row r="2120">
          <cell r="I2120" t="str">
            <v>sim</v>
          </cell>
          <cell r="V2120" t="str">
            <v>antonym</v>
          </cell>
          <cell r="W2120">
            <v>1</v>
          </cell>
          <cell r="X2120" t="str">
            <v>neg</v>
          </cell>
        </row>
        <row r="2121">
          <cell r="I2121" t="str">
            <v>sim</v>
          </cell>
          <cell r="V2121" t="str">
            <v>antonym</v>
          </cell>
          <cell r="W2121">
            <v>1</v>
          </cell>
          <cell r="X2121" t="str">
            <v>intens</v>
          </cell>
        </row>
        <row r="2122">
          <cell r="I2122" t="str">
            <v>sim</v>
          </cell>
          <cell r="V2122" t="str">
            <v>antonym</v>
          </cell>
          <cell r="W2122">
            <v>1</v>
          </cell>
          <cell r="X2122" t="str">
            <v>intens</v>
          </cell>
        </row>
        <row r="2123">
          <cell r="I2123" t="str">
            <v>sim</v>
          </cell>
          <cell r="V2123" t="str">
            <v>antonym</v>
          </cell>
          <cell r="W2123">
            <v>1</v>
          </cell>
          <cell r="X2123" t="str">
            <v>neg</v>
          </cell>
        </row>
        <row r="2124">
          <cell r="I2124" t="str">
            <v>met</v>
          </cell>
          <cell r="V2124" t="str">
            <v>0</v>
          </cell>
          <cell r="W2124">
            <v>0</v>
          </cell>
          <cell r="X2124" t="str">
            <v>0</v>
          </cell>
        </row>
        <row r="2125">
          <cell r="I2125" t="str">
            <v>sim</v>
          </cell>
          <cell r="V2125" t="str">
            <v>not neg pair</v>
          </cell>
          <cell r="W2125">
            <v>0</v>
          </cell>
          <cell r="X2125" t="str">
            <v>0</v>
          </cell>
        </row>
        <row r="2126">
          <cell r="I2126" t="str">
            <v>sim</v>
          </cell>
          <cell r="V2126" t="str">
            <v>not neg pair</v>
          </cell>
          <cell r="W2126">
            <v>0</v>
          </cell>
          <cell r="X2126" t="str">
            <v>0</v>
          </cell>
        </row>
        <row r="2127">
          <cell r="I2127" t="str">
            <v>sim</v>
          </cell>
          <cell r="V2127" t="str">
            <v>not neg pair</v>
          </cell>
          <cell r="W2127">
            <v>0</v>
          </cell>
          <cell r="X2127" t="str">
            <v>0</v>
          </cell>
        </row>
        <row r="2128">
          <cell r="I2128" t="str">
            <v>sim</v>
          </cell>
          <cell r="V2128" t="str">
            <v>not neg pair</v>
          </cell>
          <cell r="W2128">
            <v>0</v>
          </cell>
          <cell r="X2128" t="str">
            <v>0</v>
          </cell>
        </row>
        <row r="2129">
          <cell r="I2129" t="str">
            <v>sim</v>
          </cell>
          <cell r="V2129" t="str">
            <v>not neg pair</v>
          </cell>
          <cell r="W2129">
            <v>0</v>
          </cell>
          <cell r="X2129" t="str">
            <v>0</v>
          </cell>
        </row>
        <row r="2130">
          <cell r="I2130" t="str">
            <v>met</v>
          </cell>
          <cell r="V2130" t="str">
            <v>0</v>
          </cell>
          <cell r="W2130">
            <v>0</v>
          </cell>
          <cell r="X2130" t="str">
            <v>0</v>
          </cell>
        </row>
        <row r="2131">
          <cell r="I2131" t="str">
            <v>met</v>
          </cell>
          <cell r="V2131" t="str">
            <v>0</v>
          </cell>
          <cell r="W2131">
            <v>0</v>
          </cell>
          <cell r="X2131" t="str">
            <v>0</v>
          </cell>
        </row>
        <row r="2132">
          <cell r="I2132" t="str">
            <v>met</v>
          </cell>
          <cell r="V2132" t="str">
            <v>0</v>
          </cell>
          <cell r="W2132">
            <v>0</v>
          </cell>
          <cell r="X2132" t="str">
            <v>0</v>
          </cell>
        </row>
        <row r="2133">
          <cell r="I2133" t="str">
            <v>met</v>
          </cell>
          <cell r="V2133" t="str">
            <v>0</v>
          </cell>
          <cell r="W2133">
            <v>0</v>
          </cell>
          <cell r="X2133" t="str">
            <v>0</v>
          </cell>
        </row>
        <row r="2134">
          <cell r="I2134" t="str">
            <v>sim</v>
          </cell>
          <cell r="V2134" t="str">
            <v>not</v>
          </cell>
          <cell r="W2134">
            <v>1</v>
          </cell>
          <cell r="X2134" t="str">
            <v>neg</v>
          </cell>
        </row>
        <row r="2135">
          <cell r="I2135" t="str">
            <v>sim</v>
          </cell>
          <cell r="V2135" t="str">
            <v>not</v>
          </cell>
          <cell r="W2135">
            <v>1</v>
          </cell>
          <cell r="X2135" t="str">
            <v>intens</v>
          </cell>
        </row>
        <row r="2136">
          <cell r="I2136" t="str">
            <v>sim</v>
          </cell>
          <cell r="V2136" t="str">
            <v>not neg pair</v>
          </cell>
          <cell r="W2136">
            <v>0</v>
          </cell>
          <cell r="X2136" t="str">
            <v>0</v>
          </cell>
        </row>
        <row r="2137">
          <cell r="I2137" t="str">
            <v>sim</v>
          </cell>
          <cell r="V2137" t="str">
            <v>not neg pair</v>
          </cell>
          <cell r="W2137">
            <v>0</v>
          </cell>
          <cell r="X2137" t="str">
            <v>0</v>
          </cell>
        </row>
        <row r="2138">
          <cell r="I2138" t="str">
            <v>sim</v>
          </cell>
          <cell r="V2138" t="str">
            <v>not neg pair</v>
          </cell>
          <cell r="W2138">
            <v>0</v>
          </cell>
          <cell r="X2138" t="str">
            <v>0</v>
          </cell>
        </row>
        <row r="2139">
          <cell r="I2139" t="str">
            <v>sim</v>
          </cell>
          <cell r="V2139" t="str">
            <v>not neg pair</v>
          </cell>
          <cell r="W2139">
            <v>0</v>
          </cell>
          <cell r="X2139" t="str">
            <v>0</v>
          </cell>
        </row>
        <row r="2140">
          <cell r="I2140" t="str">
            <v>sim</v>
          </cell>
          <cell r="V2140" t="str">
            <v>not neg pair</v>
          </cell>
          <cell r="W2140">
            <v>0</v>
          </cell>
          <cell r="X2140" t="str">
            <v>0</v>
          </cell>
        </row>
        <row r="2141">
          <cell r="I2141" t="str">
            <v>sim</v>
          </cell>
          <cell r="V2141" t="str">
            <v>0</v>
          </cell>
          <cell r="W2141">
            <v>0</v>
          </cell>
          <cell r="X2141" t="str">
            <v>0</v>
          </cell>
        </row>
        <row r="2142">
          <cell r="I2142" t="str">
            <v>sim</v>
          </cell>
          <cell r="V2142" t="str">
            <v>not neg pair</v>
          </cell>
          <cell r="W2142">
            <v>0</v>
          </cell>
          <cell r="X2142" t="str">
            <v>0</v>
          </cell>
        </row>
        <row r="2143">
          <cell r="I2143" t="str">
            <v>sim</v>
          </cell>
          <cell r="V2143" t="str">
            <v>not neg pair</v>
          </cell>
          <cell r="W2143">
            <v>0</v>
          </cell>
          <cell r="X2143" t="str">
            <v>0</v>
          </cell>
        </row>
        <row r="2144">
          <cell r="I2144" t="str">
            <v>sim</v>
          </cell>
          <cell r="V2144" t="str">
            <v>not neg pair</v>
          </cell>
          <cell r="W2144">
            <v>0</v>
          </cell>
          <cell r="X2144" t="str">
            <v>0</v>
          </cell>
        </row>
        <row r="2145">
          <cell r="I2145" t="str">
            <v>sim</v>
          </cell>
          <cell r="V2145" t="str">
            <v>not neg pair</v>
          </cell>
          <cell r="W2145">
            <v>0</v>
          </cell>
          <cell r="X2145" t="str">
            <v>0</v>
          </cell>
        </row>
        <row r="2146">
          <cell r="I2146" t="str">
            <v>met</v>
          </cell>
          <cell r="V2146" t="str">
            <v>0</v>
          </cell>
          <cell r="W2146">
            <v>0</v>
          </cell>
          <cell r="X2146" t="str">
            <v>0</v>
          </cell>
        </row>
        <row r="2147">
          <cell r="I2147" t="str">
            <v>met</v>
          </cell>
          <cell r="V2147" t="str">
            <v>0</v>
          </cell>
          <cell r="W2147">
            <v>0</v>
          </cell>
          <cell r="X2147" t="str">
            <v>0</v>
          </cell>
        </row>
        <row r="2148">
          <cell r="I2148" t="str">
            <v>met</v>
          </cell>
          <cell r="V2148" t="str">
            <v>0</v>
          </cell>
          <cell r="W2148">
            <v>0</v>
          </cell>
          <cell r="X2148" t="str">
            <v>0</v>
          </cell>
        </row>
        <row r="2149">
          <cell r="I2149" t="str">
            <v>met</v>
          </cell>
          <cell r="V2149" t="str">
            <v>0</v>
          </cell>
          <cell r="W2149">
            <v>0</v>
          </cell>
          <cell r="X2149" t="str">
            <v>0</v>
          </cell>
        </row>
        <row r="2150">
          <cell r="I2150" t="str">
            <v>met</v>
          </cell>
          <cell r="V2150" t="str">
            <v>0</v>
          </cell>
          <cell r="W2150">
            <v>0</v>
          </cell>
          <cell r="X2150" t="str">
            <v>0</v>
          </cell>
        </row>
        <row r="2151">
          <cell r="I2151" t="str">
            <v>met</v>
          </cell>
          <cell r="V2151" t="str">
            <v>0</v>
          </cell>
          <cell r="W2151">
            <v>0</v>
          </cell>
          <cell r="X2151" t="str">
            <v>0</v>
          </cell>
        </row>
        <row r="2152">
          <cell r="I2152" t="str">
            <v>sim</v>
          </cell>
          <cell r="V2152" t="str">
            <v>not neg pair</v>
          </cell>
          <cell r="W2152">
            <v>0</v>
          </cell>
          <cell r="X2152" t="str">
            <v>0</v>
          </cell>
        </row>
        <row r="2153">
          <cell r="I2153" t="str">
            <v>sim</v>
          </cell>
          <cell r="V2153" t="str">
            <v>not neg pair</v>
          </cell>
          <cell r="W2153">
            <v>0</v>
          </cell>
          <cell r="X2153" t="str">
            <v>0</v>
          </cell>
        </row>
        <row r="2154">
          <cell r="I2154" t="str">
            <v>sim</v>
          </cell>
          <cell r="V2154" t="str">
            <v>not neg pair</v>
          </cell>
          <cell r="W2154">
            <v>0</v>
          </cell>
          <cell r="X2154" t="str">
            <v>0</v>
          </cell>
        </row>
        <row r="2155">
          <cell r="I2155" t="str">
            <v>sim</v>
          </cell>
          <cell r="V2155" t="str">
            <v>not neg pair</v>
          </cell>
          <cell r="W2155">
            <v>0</v>
          </cell>
          <cell r="X2155" t="str">
            <v>0</v>
          </cell>
        </row>
        <row r="2156">
          <cell r="I2156" t="str">
            <v>sim</v>
          </cell>
          <cell r="V2156" t="str">
            <v>antonym</v>
          </cell>
          <cell r="W2156">
            <v>1</v>
          </cell>
          <cell r="X2156" t="str">
            <v>intens</v>
          </cell>
        </row>
        <row r="2157">
          <cell r="I2157" t="str">
            <v>sim</v>
          </cell>
          <cell r="V2157" t="str">
            <v>antonym</v>
          </cell>
          <cell r="W2157">
            <v>1</v>
          </cell>
          <cell r="X2157" t="str">
            <v>neg</v>
          </cell>
        </row>
        <row r="2158">
          <cell r="I2158" t="str">
            <v>sim</v>
          </cell>
          <cell r="V2158" t="str">
            <v>antonym</v>
          </cell>
          <cell r="W2158">
            <v>1</v>
          </cell>
          <cell r="X2158" t="str">
            <v>intens</v>
          </cell>
        </row>
        <row r="2159">
          <cell r="I2159" t="str">
            <v>sim</v>
          </cell>
          <cell r="V2159" t="str">
            <v>antonym</v>
          </cell>
          <cell r="W2159">
            <v>1</v>
          </cell>
          <cell r="X2159" t="str">
            <v>neg</v>
          </cell>
        </row>
        <row r="2160">
          <cell r="I2160" t="str">
            <v>sim</v>
          </cell>
          <cell r="V2160" t="str">
            <v>not neg pair</v>
          </cell>
          <cell r="W2160">
            <v>0</v>
          </cell>
          <cell r="X2160" t="str">
            <v>0</v>
          </cell>
        </row>
        <row r="2161">
          <cell r="I2161" t="str">
            <v>sim</v>
          </cell>
          <cell r="V2161" t="str">
            <v>not neg pair</v>
          </cell>
          <cell r="W2161">
            <v>0</v>
          </cell>
          <cell r="X2161" t="str">
            <v>0</v>
          </cell>
        </row>
        <row r="2162">
          <cell r="I2162" t="str">
            <v>sim</v>
          </cell>
          <cell r="V2162" t="str">
            <v>antonym</v>
          </cell>
          <cell r="W2162">
            <v>1</v>
          </cell>
          <cell r="X2162" t="str">
            <v>intens</v>
          </cell>
        </row>
        <row r="2163">
          <cell r="I2163" t="str">
            <v>sim</v>
          </cell>
          <cell r="V2163" t="str">
            <v>antonym</v>
          </cell>
          <cell r="W2163">
            <v>1</v>
          </cell>
          <cell r="X2163" t="str">
            <v>neg</v>
          </cell>
        </row>
        <row r="2164">
          <cell r="I2164" t="str">
            <v>sim</v>
          </cell>
          <cell r="V2164" t="str">
            <v>antonym</v>
          </cell>
          <cell r="W2164">
            <v>1</v>
          </cell>
          <cell r="X2164" t="str">
            <v>intens</v>
          </cell>
        </row>
        <row r="2165">
          <cell r="I2165" t="str">
            <v>sim</v>
          </cell>
          <cell r="V2165" t="str">
            <v>antonym</v>
          </cell>
          <cell r="W2165">
            <v>1</v>
          </cell>
          <cell r="X2165" t="str">
            <v>neg</v>
          </cell>
        </row>
        <row r="2166">
          <cell r="I2166" t="str">
            <v>met</v>
          </cell>
          <cell r="V2166" t="str">
            <v>0</v>
          </cell>
          <cell r="W2166">
            <v>0</v>
          </cell>
          <cell r="X2166" t="str">
            <v>0</v>
          </cell>
        </row>
        <row r="2167">
          <cell r="I2167" t="str">
            <v>met</v>
          </cell>
          <cell r="V2167" t="str">
            <v>0</v>
          </cell>
          <cell r="W2167">
            <v>0</v>
          </cell>
          <cell r="X2167" t="str">
            <v>0</v>
          </cell>
        </row>
        <row r="2168">
          <cell r="I2168" t="str">
            <v>met</v>
          </cell>
          <cell r="V2168" t="str">
            <v>0</v>
          </cell>
          <cell r="W2168">
            <v>0</v>
          </cell>
          <cell r="X2168" t="str">
            <v>0</v>
          </cell>
        </row>
        <row r="2169">
          <cell r="I2169" t="str">
            <v>met</v>
          </cell>
          <cell r="V2169" t="str">
            <v>0</v>
          </cell>
          <cell r="W2169">
            <v>0</v>
          </cell>
          <cell r="X2169" t="str">
            <v>0</v>
          </cell>
        </row>
        <row r="2170">
          <cell r="I2170" t="str">
            <v>sim</v>
          </cell>
          <cell r="V2170" t="str">
            <v>not neg pair</v>
          </cell>
          <cell r="W2170">
            <v>0</v>
          </cell>
          <cell r="X2170" t="str">
            <v>0</v>
          </cell>
        </row>
        <row r="2171">
          <cell r="I2171" t="str">
            <v>sim</v>
          </cell>
          <cell r="V2171" t="str">
            <v>not neg pair</v>
          </cell>
          <cell r="W2171">
            <v>0</v>
          </cell>
          <cell r="X2171" t="str">
            <v>0</v>
          </cell>
        </row>
        <row r="2172">
          <cell r="I2172" t="str">
            <v>sim</v>
          </cell>
          <cell r="V2172" t="str">
            <v>not neg pair</v>
          </cell>
          <cell r="W2172">
            <v>0</v>
          </cell>
          <cell r="X2172" t="str">
            <v>0</v>
          </cell>
        </row>
        <row r="2173">
          <cell r="I2173" t="str">
            <v>sim</v>
          </cell>
          <cell r="V2173" t="str">
            <v>not neg pair</v>
          </cell>
          <cell r="W2173">
            <v>0</v>
          </cell>
          <cell r="X2173" t="str">
            <v>0</v>
          </cell>
        </row>
        <row r="2174">
          <cell r="I2174" t="str">
            <v>sim</v>
          </cell>
          <cell r="V2174" t="str">
            <v>not neg pair</v>
          </cell>
          <cell r="W2174">
            <v>0</v>
          </cell>
          <cell r="X2174" t="str">
            <v>0</v>
          </cell>
        </row>
        <row r="2175">
          <cell r="I2175" t="str">
            <v>sim</v>
          </cell>
          <cell r="V2175" t="str">
            <v>not neg pair</v>
          </cell>
          <cell r="W2175">
            <v>0</v>
          </cell>
          <cell r="X2175" t="str">
            <v>0</v>
          </cell>
        </row>
        <row r="2176">
          <cell r="I2176" t="str">
            <v>met</v>
          </cell>
          <cell r="V2176" t="str">
            <v>0</v>
          </cell>
          <cell r="W2176">
            <v>0</v>
          </cell>
          <cell r="X2176" t="str">
            <v>0</v>
          </cell>
        </row>
        <row r="2177">
          <cell r="I2177" t="str">
            <v>met</v>
          </cell>
          <cell r="V2177" t="str">
            <v>0</v>
          </cell>
          <cell r="W2177">
            <v>0</v>
          </cell>
          <cell r="X2177" t="str">
            <v>0</v>
          </cell>
        </row>
        <row r="2178">
          <cell r="I2178" t="str">
            <v>met</v>
          </cell>
          <cell r="V2178" t="str">
            <v>0</v>
          </cell>
          <cell r="W2178">
            <v>0</v>
          </cell>
          <cell r="X2178" t="str">
            <v>0</v>
          </cell>
        </row>
        <row r="2179">
          <cell r="I2179" t="str">
            <v>met</v>
          </cell>
          <cell r="V2179" t="str">
            <v>0</v>
          </cell>
          <cell r="W2179">
            <v>0</v>
          </cell>
          <cell r="X2179" t="str">
            <v>0</v>
          </cell>
        </row>
        <row r="2180">
          <cell r="I2180" t="str">
            <v>sim</v>
          </cell>
          <cell r="V2180" t="str">
            <v>not</v>
          </cell>
          <cell r="W2180">
            <v>1</v>
          </cell>
          <cell r="X2180" t="str">
            <v>intens</v>
          </cell>
        </row>
        <row r="2181">
          <cell r="I2181" t="str">
            <v>sim</v>
          </cell>
          <cell r="V2181" t="str">
            <v>not</v>
          </cell>
          <cell r="W2181">
            <v>1</v>
          </cell>
          <cell r="X2181" t="str">
            <v>neg</v>
          </cell>
        </row>
        <row r="2182">
          <cell r="I2182" t="str">
            <v>sim</v>
          </cell>
          <cell r="V2182" t="str">
            <v>not</v>
          </cell>
          <cell r="W2182">
            <v>1</v>
          </cell>
          <cell r="X2182" t="str">
            <v>intens</v>
          </cell>
        </row>
        <row r="2183">
          <cell r="I2183" t="str">
            <v>sim</v>
          </cell>
          <cell r="V2183" t="str">
            <v>not</v>
          </cell>
          <cell r="W2183">
            <v>1</v>
          </cell>
          <cell r="X2183" t="str">
            <v>neg</v>
          </cell>
        </row>
        <row r="2184">
          <cell r="I2184" t="str">
            <v>sim</v>
          </cell>
          <cell r="V2184" t="str">
            <v>antonym</v>
          </cell>
          <cell r="W2184">
            <v>1</v>
          </cell>
          <cell r="X2184" t="str">
            <v>intens</v>
          </cell>
        </row>
        <row r="2185">
          <cell r="I2185" t="str">
            <v>sim</v>
          </cell>
          <cell r="V2185" t="str">
            <v>antonym</v>
          </cell>
          <cell r="W2185">
            <v>1</v>
          </cell>
          <cell r="X2185" t="str">
            <v>neg</v>
          </cell>
        </row>
        <row r="2186">
          <cell r="I2186" t="str">
            <v>sim</v>
          </cell>
          <cell r="V2186" t="str">
            <v>not neg pair</v>
          </cell>
          <cell r="W2186">
            <v>0</v>
          </cell>
          <cell r="X2186" t="str">
            <v>0</v>
          </cell>
        </row>
        <row r="2187">
          <cell r="I2187" t="str">
            <v>sim</v>
          </cell>
          <cell r="V2187" t="str">
            <v>not neg pair</v>
          </cell>
          <cell r="W2187">
            <v>0</v>
          </cell>
          <cell r="X2187" t="str">
            <v>0</v>
          </cell>
        </row>
        <row r="2188">
          <cell r="I2188" t="str">
            <v>sim</v>
          </cell>
          <cell r="V2188" t="str">
            <v>antonym</v>
          </cell>
          <cell r="W2188">
            <v>1</v>
          </cell>
          <cell r="X2188" t="str">
            <v>intens</v>
          </cell>
        </row>
        <row r="2189">
          <cell r="I2189" t="str">
            <v>sim</v>
          </cell>
          <cell r="V2189" t="str">
            <v>antonym</v>
          </cell>
          <cell r="W2189">
            <v>1</v>
          </cell>
          <cell r="X2189" t="str">
            <v>neg</v>
          </cell>
        </row>
        <row r="2190">
          <cell r="I2190" t="str">
            <v>sim</v>
          </cell>
          <cell r="V2190" t="str">
            <v>not neg pair</v>
          </cell>
          <cell r="W2190">
            <v>0</v>
          </cell>
          <cell r="X2190" t="str">
            <v>0</v>
          </cell>
        </row>
        <row r="2191">
          <cell r="I2191" t="str">
            <v>sim</v>
          </cell>
          <cell r="V2191" t="str">
            <v>not neg pair</v>
          </cell>
          <cell r="W2191">
            <v>0</v>
          </cell>
          <cell r="X2191" t="str">
            <v>0</v>
          </cell>
        </row>
        <row r="2192">
          <cell r="I2192" t="str">
            <v>sim</v>
          </cell>
          <cell r="V2192" t="str">
            <v>not neg pair</v>
          </cell>
          <cell r="W2192">
            <v>0</v>
          </cell>
          <cell r="X2192" t="str">
            <v>0</v>
          </cell>
        </row>
        <row r="2193">
          <cell r="I2193" t="str">
            <v>sim</v>
          </cell>
          <cell r="V2193" t="str">
            <v>not neg pair</v>
          </cell>
          <cell r="W2193">
            <v>0</v>
          </cell>
          <cell r="X2193" t="str">
            <v>0</v>
          </cell>
        </row>
        <row r="2194">
          <cell r="I2194" t="str">
            <v>sim</v>
          </cell>
          <cell r="V2194" t="str">
            <v>antonym</v>
          </cell>
          <cell r="W2194">
            <v>1</v>
          </cell>
          <cell r="X2194" t="str">
            <v>intens</v>
          </cell>
        </row>
        <row r="2195">
          <cell r="I2195" t="str">
            <v>sim</v>
          </cell>
          <cell r="V2195" t="str">
            <v>antonym</v>
          </cell>
          <cell r="W2195">
            <v>1</v>
          </cell>
          <cell r="X2195" t="str">
            <v>neg</v>
          </cell>
        </row>
        <row r="2196">
          <cell r="I2196" t="str">
            <v>sim</v>
          </cell>
          <cell r="V2196" t="str">
            <v>antonym</v>
          </cell>
          <cell r="W2196">
            <v>1</v>
          </cell>
          <cell r="X2196" t="str">
            <v>neg</v>
          </cell>
        </row>
        <row r="2197">
          <cell r="I2197" t="str">
            <v>sim</v>
          </cell>
          <cell r="V2197" t="str">
            <v>antonym</v>
          </cell>
          <cell r="W2197">
            <v>1</v>
          </cell>
          <cell r="X2197" t="str">
            <v>intens</v>
          </cell>
        </row>
        <row r="2198">
          <cell r="I2198" t="str">
            <v>sim</v>
          </cell>
          <cell r="V2198" t="str">
            <v>not</v>
          </cell>
          <cell r="W2198">
            <v>1</v>
          </cell>
          <cell r="X2198" t="str">
            <v>neg</v>
          </cell>
        </row>
        <row r="2199">
          <cell r="I2199" t="str">
            <v>sim</v>
          </cell>
          <cell r="V2199" t="str">
            <v>not</v>
          </cell>
          <cell r="W2199">
            <v>1</v>
          </cell>
          <cell r="X2199" t="str">
            <v>intens</v>
          </cell>
        </row>
        <row r="2200">
          <cell r="I2200" t="str">
            <v>met</v>
          </cell>
          <cell r="V2200" t="str">
            <v>0</v>
          </cell>
          <cell r="W2200">
            <v>0</v>
          </cell>
          <cell r="X2200" t="str">
            <v>0</v>
          </cell>
        </row>
        <row r="2201">
          <cell r="I2201" t="str">
            <v>sim</v>
          </cell>
          <cell r="V2201" t="str">
            <v>not neg pair</v>
          </cell>
          <cell r="W2201">
            <v>0</v>
          </cell>
          <cell r="X2201" t="str">
            <v>0</v>
          </cell>
        </row>
        <row r="2202">
          <cell r="I2202" t="str">
            <v>sim</v>
          </cell>
          <cell r="V2202" t="str">
            <v>not</v>
          </cell>
          <cell r="W2202">
            <v>1</v>
          </cell>
          <cell r="X2202" t="str">
            <v>intens</v>
          </cell>
        </row>
        <row r="2203">
          <cell r="I2203" t="str">
            <v>sim</v>
          </cell>
          <cell r="V2203" t="str">
            <v>not</v>
          </cell>
          <cell r="W2203">
            <v>1</v>
          </cell>
          <cell r="X2203" t="str">
            <v>neg</v>
          </cell>
        </row>
        <row r="2204">
          <cell r="I2204" t="str">
            <v>sim</v>
          </cell>
          <cell r="V2204" t="str">
            <v>not neg pair</v>
          </cell>
          <cell r="W2204">
            <v>0</v>
          </cell>
          <cell r="X2204" t="str">
            <v>0</v>
          </cell>
        </row>
        <row r="2205">
          <cell r="I2205" t="str">
            <v>sim</v>
          </cell>
          <cell r="V2205" t="str">
            <v>not neg pair</v>
          </cell>
          <cell r="W2205">
            <v>0</v>
          </cell>
          <cell r="X2205" t="str">
            <v>0</v>
          </cell>
        </row>
        <row r="2206">
          <cell r="I2206" t="str">
            <v>met</v>
          </cell>
          <cell r="V2206" t="str">
            <v>0</v>
          </cell>
          <cell r="W2206">
            <v>0</v>
          </cell>
          <cell r="X2206" t="str">
            <v>0</v>
          </cell>
        </row>
        <row r="2207">
          <cell r="I2207" t="str">
            <v>met</v>
          </cell>
          <cell r="V2207" t="str">
            <v>0</v>
          </cell>
          <cell r="W2207">
            <v>0</v>
          </cell>
          <cell r="X2207" t="str">
            <v>0</v>
          </cell>
        </row>
        <row r="2208">
          <cell r="I2208" t="str">
            <v>sim</v>
          </cell>
          <cell r="V2208" t="str">
            <v>not neg pair</v>
          </cell>
          <cell r="W2208">
            <v>0</v>
          </cell>
          <cell r="X2208" t="str">
            <v>0</v>
          </cell>
        </row>
        <row r="2209">
          <cell r="I2209" t="str">
            <v>sim</v>
          </cell>
          <cell r="V2209" t="str">
            <v>not neg pair</v>
          </cell>
          <cell r="W2209">
            <v>0</v>
          </cell>
          <cell r="X2209" t="str">
            <v>0</v>
          </cell>
        </row>
        <row r="2210">
          <cell r="I2210" t="str">
            <v>met</v>
          </cell>
          <cell r="V2210" t="str">
            <v>0</v>
          </cell>
          <cell r="W2210">
            <v>0</v>
          </cell>
          <cell r="X2210" t="str">
            <v>0</v>
          </cell>
        </row>
        <row r="2211">
          <cell r="I2211" t="str">
            <v>met</v>
          </cell>
          <cell r="V2211" t="str">
            <v>0</v>
          </cell>
          <cell r="W2211">
            <v>0</v>
          </cell>
          <cell r="X2211" t="str">
            <v>0</v>
          </cell>
        </row>
        <row r="2212">
          <cell r="I2212" t="str">
            <v>met</v>
          </cell>
          <cell r="V2212" t="str">
            <v>0</v>
          </cell>
          <cell r="W2212">
            <v>0</v>
          </cell>
          <cell r="X2212" t="str">
            <v>0</v>
          </cell>
        </row>
        <row r="2213">
          <cell r="I2213" t="str">
            <v>met</v>
          </cell>
          <cell r="V2213" t="str">
            <v>0</v>
          </cell>
          <cell r="W2213">
            <v>0</v>
          </cell>
          <cell r="X2213" t="str">
            <v>0</v>
          </cell>
        </row>
        <row r="2214">
          <cell r="I2214" t="str">
            <v>sim</v>
          </cell>
          <cell r="V2214" t="str">
            <v>antonym</v>
          </cell>
          <cell r="W2214">
            <v>1</v>
          </cell>
          <cell r="X2214" t="str">
            <v>intens</v>
          </cell>
        </row>
        <row r="2215">
          <cell r="I2215" t="str">
            <v>sim</v>
          </cell>
          <cell r="V2215" t="str">
            <v>antonym</v>
          </cell>
          <cell r="W2215">
            <v>1</v>
          </cell>
          <cell r="X2215" t="str">
            <v>neg</v>
          </cell>
        </row>
        <row r="2216">
          <cell r="I2216" t="str">
            <v>sim</v>
          </cell>
          <cell r="V2216" t="str">
            <v>not neg pair</v>
          </cell>
          <cell r="W2216">
            <v>0</v>
          </cell>
          <cell r="X2216" t="str">
            <v>0</v>
          </cell>
        </row>
        <row r="2217">
          <cell r="I2217" t="str">
            <v>sim</v>
          </cell>
          <cell r="V2217" t="str">
            <v>not neg pair</v>
          </cell>
          <cell r="W2217">
            <v>0</v>
          </cell>
          <cell r="X2217" t="str">
            <v>0</v>
          </cell>
        </row>
        <row r="2218">
          <cell r="I2218" t="str">
            <v>sim</v>
          </cell>
          <cell r="V2218" t="str">
            <v>not neg pair</v>
          </cell>
          <cell r="W2218">
            <v>0</v>
          </cell>
          <cell r="X2218" t="str">
            <v>0</v>
          </cell>
        </row>
        <row r="2219">
          <cell r="I2219" t="str">
            <v>sim</v>
          </cell>
          <cell r="V2219" t="str">
            <v>not neg pair</v>
          </cell>
          <cell r="W2219">
            <v>0</v>
          </cell>
          <cell r="X2219" t="str">
            <v>0</v>
          </cell>
        </row>
        <row r="2220">
          <cell r="I2220" t="str">
            <v>sim</v>
          </cell>
          <cell r="V2220" t="str">
            <v>antonym</v>
          </cell>
          <cell r="W2220">
            <v>1</v>
          </cell>
          <cell r="X2220" t="str">
            <v>intens</v>
          </cell>
        </row>
        <row r="2221">
          <cell r="I2221" t="str">
            <v>sim</v>
          </cell>
          <cell r="V2221" t="str">
            <v>antonym</v>
          </cell>
          <cell r="W2221">
            <v>1</v>
          </cell>
          <cell r="X2221" t="str">
            <v>neg</v>
          </cell>
        </row>
        <row r="2222">
          <cell r="I2222" t="str">
            <v>sim</v>
          </cell>
          <cell r="V2222" t="str">
            <v>not neg pair</v>
          </cell>
          <cell r="W2222">
            <v>0</v>
          </cell>
          <cell r="X2222" t="str">
            <v>0</v>
          </cell>
        </row>
        <row r="2223">
          <cell r="I2223" t="str">
            <v>sim</v>
          </cell>
          <cell r="V2223" t="str">
            <v>not neg pair</v>
          </cell>
          <cell r="W2223">
            <v>0</v>
          </cell>
          <cell r="X2223" t="str">
            <v>0</v>
          </cell>
        </row>
        <row r="2224">
          <cell r="I2224" t="str">
            <v>sim</v>
          </cell>
          <cell r="V2224" t="str">
            <v>not</v>
          </cell>
          <cell r="W2224">
            <v>1</v>
          </cell>
          <cell r="X2224" t="str">
            <v>intens</v>
          </cell>
        </row>
        <row r="2225">
          <cell r="I2225" t="str">
            <v>sim</v>
          </cell>
          <cell r="V2225" t="str">
            <v>not</v>
          </cell>
          <cell r="W2225">
            <v>1</v>
          </cell>
          <cell r="X2225" t="str">
            <v>neg</v>
          </cell>
        </row>
        <row r="2226">
          <cell r="I2226" t="str">
            <v>sim</v>
          </cell>
          <cell r="V2226" t="str">
            <v>antonym</v>
          </cell>
          <cell r="W2226">
            <v>1</v>
          </cell>
          <cell r="X2226" t="str">
            <v>neg</v>
          </cell>
        </row>
        <row r="2227">
          <cell r="I2227" t="str">
            <v>sim</v>
          </cell>
          <cell r="V2227" t="str">
            <v>antonym</v>
          </cell>
          <cell r="W2227">
            <v>1</v>
          </cell>
          <cell r="X2227" t="str">
            <v>intens</v>
          </cell>
        </row>
        <row r="2228">
          <cell r="I2228" t="str">
            <v>sim</v>
          </cell>
          <cell r="V2228" t="str">
            <v>not neg pair</v>
          </cell>
          <cell r="W2228">
            <v>0</v>
          </cell>
          <cell r="X2228" t="str">
            <v>0</v>
          </cell>
        </row>
        <row r="2229">
          <cell r="I2229" t="str">
            <v>sim</v>
          </cell>
          <cell r="V2229" t="str">
            <v>not neg pair</v>
          </cell>
          <cell r="W2229">
            <v>0</v>
          </cell>
          <cell r="X2229" t="str">
            <v>0</v>
          </cell>
        </row>
        <row r="2230">
          <cell r="I2230" t="str">
            <v>sim</v>
          </cell>
          <cell r="V2230" t="str">
            <v>not neg pair</v>
          </cell>
          <cell r="W2230">
            <v>0</v>
          </cell>
          <cell r="X2230" t="str">
            <v>0</v>
          </cell>
        </row>
        <row r="2231">
          <cell r="I2231" t="str">
            <v>sim</v>
          </cell>
          <cell r="V2231" t="str">
            <v>not neg pair</v>
          </cell>
          <cell r="W2231">
            <v>0</v>
          </cell>
          <cell r="X2231" t="str">
            <v>0</v>
          </cell>
        </row>
        <row r="2232">
          <cell r="I2232" t="str">
            <v>sim</v>
          </cell>
          <cell r="V2232" t="str">
            <v>not neg pair</v>
          </cell>
          <cell r="W2232">
            <v>0</v>
          </cell>
          <cell r="X2232" t="str">
            <v>0</v>
          </cell>
        </row>
        <row r="2233">
          <cell r="I2233" t="str">
            <v>sim</v>
          </cell>
          <cell r="V2233" t="str">
            <v>not neg pair</v>
          </cell>
          <cell r="W2233">
            <v>0</v>
          </cell>
          <cell r="X2233" t="str">
            <v>0</v>
          </cell>
        </row>
        <row r="2234">
          <cell r="I2234" t="str">
            <v>sim</v>
          </cell>
          <cell r="V2234" t="str">
            <v>not neg pair</v>
          </cell>
          <cell r="W2234">
            <v>0</v>
          </cell>
          <cell r="X2234" t="str">
            <v>0</v>
          </cell>
        </row>
        <row r="2235">
          <cell r="I2235" t="str">
            <v>sim</v>
          </cell>
          <cell r="V2235" t="str">
            <v>not neg pair</v>
          </cell>
          <cell r="W2235">
            <v>0</v>
          </cell>
          <cell r="X2235" t="str">
            <v>0</v>
          </cell>
        </row>
        <row r="2236">
          <cell r="I2236" t="str">
            <v>sim</v>
          </cell>
          <cell r="V2236" t="str">
            <v>not neg pair</v>
          </cell>
          <cell r="W2236">
            <v>0</v>
          </cell>
          <cell r="X2236" t="str">
            <v>0</v>
          </cell>
        </row>
        <row r="2237">
          <cell r="I2237" t="str">
            <v>sim</v>
          </cell>
          <cell r="V2237" t="str">
            <v>not neg pair</v>
          </cell>
          <cell r="W2237">
            <v>0</v>
          </cell>
          <cell r="X2237" t="str">
            <v>0</v>
          </cell>
        </row>
        <row r="2238">
          <cell r="I2238" t="str">
            <v>met</v>
          </cell>
          <cell r="V2238" t="str">
            <v>0</v>
          </cell>
          <cell r="W2238">
            <v>0</v>
          </cell>
          <cell r="X2238" t="str">
            <v>0</v>
          </cell>
        </row>
        <row r="2239">
          <cell r="I2239" t="str">
            <v>met</v>
          </cell>
          <cell r="V2239" t="str">
            <v>0</v>
          </cell>
          <cell r="W2239">
            <v>0</v>
          </cell>
          <cell r="X2239" t="str">
            <v>0</v>
          </cell>
        </row>
        <row r="2240">
          <cell r="I2240" t="str">
            <v>sim</v>
          </cell>
          <cell r="V2240" t="str">
            <v>not neg pair</v>
          </cell>
          <cell r="W2240">
            <v>0</v>
          </cell>
          <cell r="X2240" t="str">
            <v>0</v>
          </cell>
        </row>
        <row r="2241">
          <cell r="I2241" t="str">
            <v>sim</v>
          </cell>
          <cell r="V2241" t="str">
            <v>not neg pair</v>
          </cell>
          <cell r="W2241">
            <v>0</v>
          </cell>
          <cell r="X2241" t="str">
            <v>0</v>
          </cell>
        </row>
        <row r="2242">
          <cell r="I2242" t="str">
            <v>met</v>
          </cell>
          <cell r="V2242" t="str">
            <v>0</v>
          </cell>
          <cell r="W2242">
            <v>0</v>
          </cell>
          <cell r="X2242" t="str">
            <v>0</v>
          </cell>
        </row>
        <row r="2243">
          <cell r="I2243" t="str">
            <v>met</v>
          </cell>
          <cell r="V2243" t="str">
            <v>0</v>
          </cell>
          <cell r="W2243">
            <v>0</v>
          </cell>
          <cell r="X2243" t="str">
            <v>0</v>
          </cell>
        </row>
        <row r="2244">
          <cell r="I2244" t="str">
            <v>sim</v>
          </cell>
          <cell r="V2244" t="str">
            <v>not</v>
          </cell>
          <cell r="W2244">
            <v>1</v>
          </cell>
          <cell r="X2244" t="str">
            <v>neg</v>
          </cell>
        </row>
        <row r="2245">
          <cell r="I2245" t="str">
            <v>sim</v>
          </cell>
          <cell r="V2245" t="str">
            <v>not</v>
          </cell>
          <cell r="W2245">
            <v>1</v>
          </cell>
          <cell r="X2245" t="str">
            <v>intens</v>
          </cell>
        </row>
        <row r="2246">
          <cell r="I2246" t="str">
            <v>sim</v>
          </cell>
          <cell r="V2246" t="str">
            <v>not</v>
          </cell>
          <cell r="W2246">
            <v>1</v>
          </cell>
          <cell r="X2246" t="str">
            <v>intens</v>
          </cell>
        </row>
        <row r="2247">
          <cell r="I2247" t="str">
            <v>sim</v>
          </cell>
          <cell r="V2247" t="str">
            <v>not</v>
          </cell>
          <cell r="W2247">
            <v>1</v>
          </cell>
          <cell r="X2247" t="str">
            <v>neg</v>
          </cell>
        </row>
        <row r="2248">
          <cell r="I2248" t="str">
            <v>sim</v>
          </cell>
          <cell r="V2248" t="str">
            <v>not neg pair</v>
          </cell>
          <cell r="W2248">
            <v>0</v>
          </cell>
          <cell r="X2248" t="str">
            <v>0</v>
          </cell>
        </row>
        <row r="2249">
          <cell r="I2249" t="str">
            <v>sim</v>
          </cell>
          <cell r="V2249" t="str">
            <v>not neg pair</v>
          </cell>
          <cell r="W2249">
            <v>0</v>
          </cell>
          <cell r="X2249" t="str">
            <v>0</v>
          </cell>
        </row>
        <row r="2250">
          <cell r="I2250" t="str">
            <v>sim</v>
          </cell>
          <cell r="V2250" t="str">
            <v>not</v>
          </cell>
          <cell r="W2250">
            <v>1</v>
          </cell>
          <cell r="X2250" t="str">
            <v>neg</v>
          </cell>
        </row>
        <row r="2251">
          <cell r="I2251" t="str">
            <v>sim</v>
          </cell>
          <cell r="V2251" t="str">
            <v>not</v>
          </cell>
          <cell r="W2251">
            <v>1</v>
          </cell>
          <cell r="X2251" t="str">
            <v>intens</v>
          </cell>
        </row>
        <row r="2252">
          <cell r="I2252" t="str">
            <v>sim</v>
          </cell>
          <cell r="V2252" t="str">
            <v>not</v>
          </cell>
          <cell r="W2252">
            <v>1</v>
          </cell>
          <cell r="X2252" t="str">
            <v>intens</v>
          </cell>
        </row>
        <row r="2253">
          <cell r="I2253" t="str">
            <v>sim</v>
          </cell>
          <cell r="V2253" t="str">
            <v>not</v>
          </cell>
          <cell r="W2253">
            <v>1</v>
          </cell>
          <cell r="X2253" t="str">
            <v>neg</v>
          </cell>
        </row>
        <row r="2254">
          <cell r="I2254" t="str">
            <v>sim</v>
          </cell>
          <cell r="V2254" t="str">
            <v>antonym</v>
          </cell>
          <cell r="W2254">
            <v>1</v>
          </cell>
          <cell r="X2254" t="str">
            <v>intens</v>
          </cell>
        </row>
        <row r="2255">
          <cell r="I2255" t="str">
            <v>sim</v>
          </cell>
          <cell r="V2255" t="str">
            <v>antonym</v>
          </cell>
          <cell r="W2255">
            <v>1</v>
          </cell>
          <cell r="X2255" t="str">
            <v>neg</v>
          </cell>
        </row>
        <row r="2256">
          <cell r="I2256" t="str">
            <v>sim</v>
          </cell>
          <cell r="V2256" t="str">
            <v>antonym</v>
          </cell>
          <cell r="W2256">
            <v>1</v>
          </cell>
          <cell r="X2256" t="str">
            <v>intens</v>
          </cell>
        </row>
        <row r="2257">
          <cell r="I2257" t="str">
            <v>sim</v>
          </cell>
          <cell r="V2257" t="str">
            <v>antonym</v>
          </cell>
          <cell r="W2257">
            <v>1</v>
          </cell>
          <cell r="X2257" t="str">
            <v>neg</v>
          </cell>
        </row>
        <row r="2258">
          <cell r="I2258" t="str">
            <v>sim</v>
          </cell>
          <cell r="V2258" t="str">
            <v>not neg pair</v>
          </cell>
          <cell r="W2258">
            <v>0</v>
          </cell>
          <cell r="X2258" t="str">
            <v>0</v>
          </cell>
        </row>
        <row r="2259">
          <cell r="I2259" t="str">
            <v>sim</v>
          </cell>
          <cell r="V2259" t="str">
            <v>not neg pair</v>
          </cell>
          <cell r="W2259">
            <v>0</v>
          </cell>
          <cell r="X2259" t="str">
            <v>0</v>
          </cell>
        </row>
        <row r="2260">
          <cell r="I2260" t="str">
            <v>sim</v>
          </cell>
          <cell r="V2260" t="str">
            <v>not neg pair</v>
          </cell>
          <cell r="W2260">
            <v>0</v>
          </cell>
          <cell r="X2260" t="str">
            <v>0</v>
          </cell>
        </row>
        <row r="2261">
          <cell r="I2261" t="str">
            <v>sim</v>
          </cell>
          <cell r="V2261" t="str">
            <v>not neg pair</v>
          </cell>
          <cell r="W2261">
            <v>0</v>
          </cell>
          <cell r="X2261" t="str">
            <v>0</v>
          </cell>
        </row>
        <row r="2262">
          <cell r="I2262" t="str">
            <v>sim</v>
          </cell>
          <cell r="V2262" t="str">
            <v>not</v>
          </cell>
          <cell r="W2262">
            <v>1</v>
          </cell>
          <cell r="X2262" t="str">
            <v>intens</v>
          </cell>
        </row>
        <row r="2263">
          <cell r="I2263" t="str">
            <v>sim</v>
          </cell>
          <cell r="V2263" t="str">
            <v>not</v>
          </cell>
          <cell r="W2263">
            <v>1</v>
          </cell>
          <cell r="X2263" t="str">
            <v>neg</v>
          </cell>
        </row>
        <row r="2264">
          <cell r="I2264" t="str">
            <v>sim</v>
          </cell>
          <cell r="V2264" t="str">
            <v>not</v>
          </cell>
          <cell r="W2264">
            <v>1</v>
          </cell>
          <cell r="X2264" t="str">
            <v>intens</v>
          </cell>
        </row>
        <row r="2265">
          <cell r="I2265" t="str">
            <v>sim</v>
          </cell>
          <cell r="V2265" t="str">
            <v>not</v>
          </cell>
          <cell r="W2265">
            <v>1</v>
          </cell>
          <cell r="X2265" t="str">
            <v>neg</v>
          </cell>
        </row>
        <row r="2266">
          <cell r="I2266" t="str">
            <v>sim</v>
          </cell>
          <cell r="V2266" t="str">
            <v>not neg pair</v>
          </cell>
          <cell r="W2266">
            <v>0</v>
          </cell>
          <cell r="X2266" t="str">
            <v>0</v>
          </cell>
        </row>
        <row r="2267">
          <cell r="I2267" t="str">
            <v>sim</v>
          </cell>
          <cell r="V2267" t="str">
            <v>not neg pair</v>
          </cell>
          <cell r="W2267">
            <v>0</v>
          </cell>
          <cell r="X2267" t="str">
            <v>0</v>
          </cell>
        </row>
        <row r="2268">
          <cell r="I2268" t="str">
            <v>met</v>
          </cell>
          <cell r="V2268" t="str">
            <v>0</v>
          </cell>
          <cell r="W2268">
            <v>0</v>
          </cell>
          <cell r="X2268" t="str">
            <v>0</v>
          </cell>
        </row>
        <row r="2269">
          <cell r="I2269" t="str">
            <v>met</v>
          </cell>
          <cell r="V2269" t="str">
            <v>0</v>
          </cell>
          <cell r="W2269">
            <v>0</v>
          </cell>
          <cell r="X2269" t="str">
            <v>0</v>
          </cell>
        </row>
        <row r="2270">
          <cell r="I2270" t="str">
            <v>met</v>
          </cell>
          <cell r="V2270" t="str">
            <v>0</v>
          </cell>
          <cell r="W2270">
            <v>0</v>
          </cell>
          <cell r="X2270" t="str">
            <v>0</v>
          </cell>
        </row>
        <row r="2271">
          <cell r="I2271" t="str">
            <v>met</v>
          </cell>
          <cell r="V2271" t="str">
            <v>0</v>
          </cell>
          <cell r="W2271">
            <v>0</v>
          </cell>
          <cell r="X2271" t="str">
            <v>0</v>
          </cell>
        </row>
        <row r="2272">
          <cell r="I2272" t="str">
            <v>met</v>
          </cell>
          <cell r="V2272" t="str">
            <v>0</v>
          </cell>
          <cell r="W2272">
            <v>0</v>
          </cell>
          <cell r="X2272" t="str">
            <v>0</v>
          </cell>
        </row>
        <row r="2273">
          <cell r="I2273" t="str">
            <v>met</v>
          </cell>
          <cell r="V2273" t="str">
            <v>0</v>
          </cell>
          <cell r="W2273">
            <v>0</v>
          </cell>
          <cell r="X2273" t="str">
            <v>0</v>
          </cell>
        </row>
        <row r="2274">
          <cell r="I2274" t="str">
            <v>sim</v>
          </cell>
          <cell r="V2274" t="str">
            <v>not neg pair</v>
          </cell>
          <cell r="W2274">
            <v>0</v>
          </cell>
          <cell r="X2274" t="str">
            <v>0</v>
          </cell>
        </row>
        <row r="2275">
          <cell r="I2275" t="str">
            <v>sim</v>
          </cell>
          <cell r="V2275" t="str">
            <v>not neg pair</v>
          </cell>
          <cell r="W2275">
            <v>0</v>
          </cell>
          <cell r="X2275" t="str">
            <v>0</v>
          </cell>
        </row>
        <row r="2276">
          <cell r="I2276" t="str">
            <v>sim</v>
          </cell>
          <cell r="V2276" t="str">
            <v>not neg pair</v>
          </cell>
          <cell r="W2276">
            <v>0</v>
          </cell>
          <cell r="X2276" t="str">
            <v>0</v>
          </cell>
        </row>
        <row r="2277">
          <cell r="I2277" t="str">
            <v>sim</v>
          </cell>
          <cell r="V2277" t="str">
            <v>not neg pair</v>
          </cell>
          <cell r="W2277">
            <v>0</v>
          </cell>
          <cell r="X2277" t="str">
            <v>0</v>
          </cell>
        </row>
        <row r="2278">
          <cell r="I2278" t="str">
            <v>sim</v>
          </cell>
          <cell r="V2278" t="str">
            <v>antonym</v>
          </cell>
          <cell r="W2278">
            <v>1</v>
          </cell>
          <cell r="X2278" t="str">
            <v>intens</v>
          </cell>
        </row>
        <row r="2279">
          <cell r="I2279" t="str">
            <v>sim</v>
          </cell>
          <cell r="V2279" t="str">
            <v>antonym</v>
          </cell>
          <cell r="W2279">
            <v>1</v>
          </cell>
          <cell r="X2279" t="str">
            <v>neg</v>
          </cell>
        </row>
        <row r="2280">
          <cell r="I2280" t="str">
            <v>sim</v>
          </cell>
          <cell r="V2280" t="str">
            <v>not</v>
          </cell>
          <cell r="W2280">
            <v>1</v>
          </cell>
          <cell r="X2280" t="str">
            <v>intens</v>
          </cell>
        </row>
        <row r="2281">
          <cell r="I2281" t="str">
            <v>sim</v>
          </cell>
          <cell r="V2281" t="str">
            <v>not</v>
          </cell>
          <cell r="W2281">
            <v>1</v>
          </cell>
          <cell r="X2281" t="str">
            <v>neg</v>
          </cell>
        </row>
        <row r="2282">
          <cell r="I2282" t="str">
            <v>sim</v>
          </cell>
          <cell r="V2282" t="str">
            <v>not</v>
          </cell>
          <cell r="W2282">
            <v>1</v>
          </cell>
          <cell r="X2282" t="str">
            <v>intens</v>
          </cell>
        </row>
        <row r="2283">
          <cell r="I2283" t="str">
            <v>sim</v>
          </cell>
          <cell r="V2283" t="str">
            <v>not</v>
          </cell>
          <cell r="W2283">
            <v>1</v>
          </cell>
          <cell r="X2283" t="str">
            <v>neg</v>
          </cell>
        </row>
        <row r="2284">
          <cell r="I2284" t="str">
            <v>sim</v>
          </cell>
          <cell r="V2284" t="str">
            <v>not neg pair</v>
          </cell>
          <cell r="W2284">
            <v>0</v>
          </cell>
          <cell r="X2284" t="str">
            <v>0</v>
          </cell>
        </row>
        <row r="2285">
          <cell r="I2285" t="str">
            <v>sim</v>
          </cell>
          <cell r="V2285" t="str">
            <v>not neg pair</v>
          </cell>
          <cell r="W2285">
            <v>0</v>
          </cell>
          <cell r="X2285" t="str">
            <v>0</v>
          </cell>
        </row>
        <row r="2286">
          <cell r="I2286" t="str">
            <v>sim</v>
          </cell>
          <cell r="V2286" t="str">
            <v>not</v>
          </cell>
          <cell r="W2286">
            <v>1</v>
          </cell>
          <cell r="X2286" t="str">
            <v>intens</v>
          </cell>
        </row>
        <row r="2287">
          <cell r="I2287" t="str">
            <v>sim</v>
          </cell>
          <cell r="V2287" t="str">
            <v>not</v>
          </cell>
          <cell r="W2287">
            <v>1</v>
          </cell>
          <cell r="X2287" t="str">
            <v>neg</v>
          </cell>
        </row>
        <row r="2288">
          <cell r="I2288" t="str">
            <v>sim</v>
          </cell>
          <cell r="V2288" t="str">
            <v>not</v>
          </cell>
          <cell r="W2288">
            <v>1</v>
          </cell>
          <cell r="X2288" t="str">
            <v>neg</v>
          </cell>
        </row>
        <row r="2289">
          <cell r="I2289" t="str">
            <v>sim</v>
          </cell>
          <cell r="V2289" t="str">
            <v>not</v>
          </cell>
          <cell r="W2289">
            <v>1</v>
          </cell>
          <cell r="X2289" t="str">
            <v>intens</v>
          </cell>
        </row>
        <row r="2290">
          <cell r="I2290" t="str">
            <v>sim</v>
          </cell>
          <cell r="V2290" t="str">
            <v>antonym</v>
          </cell>
          <cell r="W2290">
            <v>1</v>
          </cell>
          <cell r="X2290" t="str">
            <v>intens</v>
          </cell>
        </row>
        <row r="2291">
          <cell r="I2291" t="str">
            <v>sim</v>
          </cell>
          <cell r="V2291" t="str">
            <v>antonym</v>
          </cell>
          <cell r="W2291">
            <v>1</v>
          </cell>
          <cell r="X2291" t="str">
            <v>neg</v>
          </cell>
        </row>
        <row r="2292">
          <cell r="I2292" t="str">
            <v>sim</v>
          </cell>
          <cell r="V2292" t="str">
            <v>not neg pair</v>
          </cell>
          <cell r="W2292">
            <v>0</v>
          </cell>
          <cell r="X2292" t="str">
            <v>0</v>
          </cell>
        </row>
        <row r="2293">
          <cell r="I2293" t="str">
            <v>sim</v>
          </cell>
          <cell r="V2293" t="str">
            <v>not neg pair</v>
          </cell>
          <cell r="W2293">
            <v>0</v>
          </cell>
          <cell r="X2293" t="str">
            <v>0</v>
          </cell>
        </row>
        <row r="2294">
          <cell r="I2294" t="str">
            <v>met</v>
          </cell>
          <cell r="V2294" t="str">
            <v>0</v>
          </cell>
          <cell r="W2294">
            <v>0</v>
          </cell>
          <cell r="X2294" t="str">
            <v>0</v>
          </cell>
        </row>
        <row r="2295">
          <cell r="I2295" t="str">
            <v>met</v>
          </cell>
          <cell r="V2295" t="str">
            <v>0</v>
          </cell>
          <cell r="W2295">
            <v>0</v>
          </cell>
          <cell r="X2295" t="str">
            <v>0</v>
          </cell>
        </row>
        <row r="2296">
          <cell r="I2296" t="str">
            <v>sim</v>
          </cell>
          <cell r="V2296" t="str">
            <v>not neg pair</v>
          </cell>
          <cell r="W2296">
            <v>0</v>
          </cell>
          <cell r="X2296" t="str">
            <v>0</v>
          </cell>
        </row>
        <row r="2297">
          <cell r="I2297" t="str">
            <v>sim</v>
          </cell>
          <cell r="V2297" t="str">
            <v>not neg pair</v>
          </cell>
          <cell r="W2297">
            <v>0</v>
          </cell>
          <cell r="X2297" t="str">
            <v>0</v>
          </cell>
        </row>
        <row r="2298">
          <cell r="I2298" t="str">
            <v>sim</v>
          </cell>
          <cell r="V2298" t="str">
            <v>not</v>
          </cell>
          <cell r="W2298">
            <v>1</v>
          </cell>
          <cell r="X2298" t="str">
            <v>intens</v>
          </cell>
        </row>
        <row r="2299">
          <cell r="I2299" t="str">
            <v>sim</v>
          </cell>
          <cell r="V2299" t="str">
            <v>not</v>
          </cell>
          <cell r="W2299">
            <v>1</v>
          </cell>
          <cell r="X2299" t="str">
            <v>neg</v>
          </cell>
        </row>
        <row r="2300">
          <cell r="I2300" t="str">
            <v>sim</v>
          </cell>
          <cell r="V2300" t="str">
            <v>not neg pair</v>
          </cell>
          <cell r="W2300">
            <v>0</v>
          </cell>
          <cell r="X2300" t="str">
            <v>0</v>
          </cell>
        </row>
        <row r="2301">
          <cell r="I2301" t="str">
            <v>sim</v>
          </cell>
          <cell r="V2301" t="str">
            <v>not neg pair</v>
          </cell>
          <cell r="W2301">
            <v>0</v>
          </cell>
          <cell r="X2301" t="str">
            <v>0</v>
          </cell>
        </row>
        <row r="2302">
          <cell r="I2302" t="str">
            <v>sim</v>
          </cell>
          <cell r="V2302" t="str">
            <v>antonym</v>
          </cell>
          <cell r="W2302">
            <v>1</v>
          </cell>
          <cell r="X2302" t="str">
            <v>neg</v>
          </cell>
        </row>
        <row r="2303">
          <cell r="I2303" t="str">
            <v>sim</v>
          </cell>
          <cell r="V2303" t="str">
            <v>antonym</v>
          </cell>
          <cell r="W2303">
            <v>1</v>
          </cell>
          <cell r="X2303" t="str">
            <v>intens</v>
          </cell>
        </row>
        <row r="2304">
          <cell r="I2304" t="str">
            <v>sim</v>
          </cell>
          <cell r="V2304" t="str">
            <v>antonym</v>
          </cell>
          <cell r="W2304">
            <v>1</v>
          </cell>
          <cell r="X2304" t="str">
            <v>neg</v>
          </cell>
        </row>
        <row r="2305">
          <cell r="I2305" t="str">
            <v>sim</v>
          </cell>
          <cell r="V2305" t="str">
            <v>antonym</v>
          </cell>
          <cell r="W2305">
            <v>1</v>
          </cell>
          <cell r="X2305" t="str">
            <v>intens</v>
          </cell>
        </row>
        <row r="2306">
          <cell r="I2306" t="str">
            <v>sim</v>
          </cell>
          <cell r="V2306" t="str">
            <v>not</v>
          </cell>
          <cell r="W2306">
            <v>1</v>
          </cell>
          <cell r="X2306" t="str">
            <v>neg</v>
          </cell>
        </row>
        <row r="2307">
          <cell r="I2307" t="str">
            <v>sim</v>
          </cell>
          <cell r="V2307" t="str">
            <v>not</v>
          </cell>
          <cell r="W2307">
            <v>1</v>
          </cell>
          <cell r="X2307" t="str">
            <v>intens</v>
          </cell>
        </row>
        <row r="2308">
          <cell r="I2308" t="str">
            <v>sim</v>
          </cell>
          <cell r="V2308" t="str">
            <v>not neg pair</v>
          </cell>
          <cell r="W2308">
            <v>0</v>
          </cell>
          <cell r="X2308" t="str">
            <v>0</v>
          </cell>
        </row>
        <row r="2309">
          <cell r="I2309" t="str">
            <v>sim</v>
          </cell>
          <cell r="V2309" t="str">
            <v>not neg pair</v>
          </cell>
          <cell r="W2309">
            <v>0</v>
          </cell>
          <cell r="X2309" t="str">
            <v>0</v>
          </cell>
        </row>
        <row r="2310">
          <cell r="I2310" t="str">
            <v>sim</v>
          </cell>
          <cell r="V2310" t="str">
            <v>not neg pair</v>
          </cell>
          <cell r="W2310">
            <v>0</v>
          </cell>
          <cell r="X2310" t="str">
            <v>0</v>
          </cell>
        </row>
        <row r="2311">
          <cell r="I2311" t="str">
            <v>sim</v>
          </cell>
          <cell r="V2311" t="str">
            <v>not neg pair</v>
          </cell>
          <cell r="W2311">
            <v>0</v>
          </cell>
          <cell r="X2311" t="str">
            <v>0</v>
          </cell>
        </row>
        <row r="2312">
          <cell r="I2312" t="str">
            <v>sim</v>
          </cell>
          <cell r="V2312" t="str">
            <v>antonym</v>
          </cell>
          <cell r="W2312">
            <v>1</v>
          </cell>
          <cell r="X2312" t="str">
            <v>intens</v>
          </cell>
        </row>
        <row r="2313">
          <cell r="I2313" t="str">
            <v>sim</v>
          </cell>
          <cell r="V2313" t="str">
            <v>antonym</v>
          </cell>
          <cell r="W2313">
            <v>1</v>
          </cell>
          <cell r="X2313" t="str">
            <v>neg</v>
          </cell>
        </row>
        <row r="2314">
          <cell r="I2314" t="str">
            <v>sim</v>
          </cell>
          <cell r="V2314" t="str">
            <v>not neg pair</v>
          </cell>
          <cell r="W2314">
            <v>0</v>
          </cell>
          <cell r="X2314" t="str">
            <v>0</v>
          </cell>
        </row>
        <row r="2315">
          <cell r="I2315" t="str">
            <v>sim</v>
          </cell>
          <cell r="V2315" t="str">
            <v>not neg pair</v>
          </cell>
          <cell r="W2315">
            <v>0</v>
          </cell>
          <cell r="X2315" t="str">
            <v>0</v>
          </cell>
        </row>
        <row r="2316">
          <cell r="I2316" t="str">
            <v>sim</v>
          </cell>
          <cell r="V2316" t="str">
            <v>not neg pair</v>
          </cell>
          <cell r="W2316">
            <v>0</v>
          </cell>
          <cell r="X2316" t="str">
            <v>0</v>
          </cell>
        </row>
        <row r="2317">
          <cell r="I2317" t="str">
            <v>sim</v>
          </cell>
          <cell r="V2317" t="str">
            <v>not neg pair</v>
          </cell>
          <cell r="W2317">
            <v>0</v>
          </cell>
          <cell r="X2317" t="str">
            <v>0</v>
          </cell>
        </row>
        <row r="2318">
          <cell r="I2318" t="str">
            <v>sim</v>
          </cell>
          <cell r="V2318" t="str">
            <v>not</v>
          </cell>
          <cell r="W2318">
            <v>1</v>
          </cell>
          <cell r="X2318" t="str">
            <v>neg</v>
          </cell>
        </row>
        <row r="2319">
          <cell r="I2319" t="str">
            <v>sim</v>
          </cell>
          <cell r="V2319" t="str">
            <v>not</v>
          </cell>
          <cell r="W2319">
            <v>1</v>
          </cell>
          <cell r="X2319" t="str">
            <v>intens</v>
          </cell>
        </row>
        <row r="2320">
          <cell r="I2320" t="str">
            <v>sim</v>
          </cell>
          <cell r="V2320" t="str">
            <v>not</v>
          </cell>
          <cell r="W2320">
            <v>1</v>
          </cell>
          <cell r="X2320" t="str">
            <v>neg</v>
          </cell>
        </row>
        <row r="2321">
          <cell r="I2321" t="str">
            <v>sim</v>
          </cell>
          <cell r="V2321" t="str">
            <v>not</v>
          </cell>
          <cell r="W2321">
            <v>1</v>
          </cell>
          <cell r="X2321" t="str">
            <v>intens</v>
          </cell>
        </row>
        <row r="2322">
          <cell r="I2322" t="str">
            <v>sim</v>
          </cell>
          <cell r="V2322" t="str">
            <v>not neg pair</v>
          </cell>
          <cell r="W2322">
            <v>0</v>
          </cell>
          <cell r="X2322" t="str">
            <v>0</v>
          </cell>
        </row>
        <row r="2323">
          <cell r="I2323" t="str">
            <v>sim</v>
          </cell>
          <cell r="V2323" t="str">
            <v>not neg pair</v>
          </cell>
          <cell r="W2323">
            <v>0</v>
          </cell>
          <cell r="X2323" t="str">
            <v>0</v>
          </cell>
        </row>
        <row r="2324">
          <cell r="I2324" t="str">
            <v>sim</v>
          </cell>
          <cell r="V2324" t="str">
            <v>antonym</v>
          </cell>
          <cell r="W2324">
            <v>1</v>
          </cell>
          <cell r="X2324" t="str">
            <v>intens</v>
          </cell>
        </row>
        <row r="2325">
          <cell r="I2325" t="str">
            <v>sim</v>
          </cell>
          <cell r="V2325" t="str">
            <v>antonym</v>
          </cell>
          <cell r="W2325">
            <v>1</v>
          </cell>
          <cell r="X2325" t="str">
            <v>neg</v>
          </cell>
        </row>
        <row r="2326">
          <cell r="I2326" t="str">
            <v>sim</v>
          </cell>
          <cell r="V2326" t="str">
            <v>antonym</v>
          </cell>
          <cell r="W2326">
            <v>1</v>
          </cell>
          <cell r="X2326" t="str">
            <v>intens</v>
          </cell>
        </row>
        <row r="2327">
          <cell r="I2327" t="str">
            <v>sim</v>
          </cell>
          <cell r="V2327" t="str">
            <v>antonym</v>
          </cell>
          <cell r="W2327">
            <v>1</v>
          </cell>
          <cell r="X2327" t="str">
            <v>neg</v>
          </cell>
        </row>
        <row r="2328">
          <cell r="I2328" t="str">
            <v>sim</v>
          </cell>
          <cell r="V2328" t="str">
            <v>antonym</v>
          </cell>
          <cell r="W2328">
            <v>1</v>
          </cell>
          <cell r="X2328" t="str">
            <v>intens</v>
          </cell>
        </row>
        <row r="2329">
          <cell r="I2329" t="str">
            <v>sim</v>
          </cell>
          <cell r="V2329" t="str">
            <v>antonym</v>
          </cell>
          <cell r="W2329">
            <v>1</v>
          </cell>
          <cell r="X2329" t="str">
            <v>neg</v>
          </cell>
        </row>
        <row r="2330">
          <cell r="I2330" t="str">
            <v>sim</v>
          </cell>
          <cell r="V2330" t="str">
            <v>not neg pair</v>
          </cell>
          <cell r="W2330">
            <v>0</v>
          </cell>
          <cell r="X2330" t="str">
            <v>0</v>
          </cell>
        </row>
        <row r="2331">
          <cell r="I2331" t="str">
            <v>sim</v>
          </cell>
          <cell r="V2331" t="str">
            <v>not neg pair</v>
          </cell>
          <cell r="W2331">
            <v>0</v>
          </cell>
          <cell r="X2331" t="str">
            <v>0</v>
          </cell>
        </row>
        <row r="2332">
          <cell r="I2332" t="str">
            <v>sim</v>
          </cell>
          <cell r="V2332" t="str">
            <v>not neg pair</v>
          </cell>
          <cell r="W2332">
            <v>0</v>
          </cell>
          <cell r="X2332" t="str">
            <v>0</v>
          </cell>
        </row>
        <row r="2333">
          <cell r="I2333" t="str">
            <v>met</v>
          </cell>
          <cell r="V2333" t="str">
            <v>0</v>
          </cell>
          <cell r="W2333">
            <v>0</v>
          </cell>
          <cell r="X2333" t="str">
            <v>0</v>
          </cell>
        </row>
        <row r="2334">
          <cell r="I2334" t="str">
            <v>met</v>
          </cell>
          <cell r="V2334" t="str">
            <v>0</v>
          </cell>
          <cell r="W2334">
            <v>0</v>
          </cell>
          <cell r="X2334" t="str">
            <v>0</v>
          </cell>
        </row>
        <row r="2335">
          <cell r="I2335" t="str">
            <v>met</v>
          </cell>
          <cell r="V2335" t="str">
            <v>0</v>
          </cell>
          <cell r="W2335">
            <v>0</v>
          </cell>
          <cell r="X2335" t="str">
            <v>0</v>
          </cell>
        </row>
        <row r="2336">
          <cell r="I2336" t="str">
            <v>sim</v>
          </cell>
          <cell r="V2336" t="str">
            <v>not neg pair</v>
          </cell>
          <cell r="W2336">
            <v>0</v>
          </cell>
          <cell r="X2336" t="str">
            <v>0</v>
          </cell>
        </row>
        <row r="2337">
          <cell r="I2337" t="str">
            <v>sim</v>
          </cell>
          <cell r="V2337" t="str">
            <v>not neg pair</v>
          </cell>
          <cell r="W2337">
            <v>0</v>
          </cell>
          <cell r="X2337" t="str">
            <v>0</v>
          </cell>
        </row>
        <row r="2338">
          <cell r="I2338" t="str">
            <v>met</v>
          </cell>
          <cell r="V2338" t="str">
            <v>0</v>
          </cell>
          <cell r="W2338">
            <v>0</v>
          </cell>
          <cell r="X2338" t="str">
            <v>0</v>
          </cell>
        </row>
        <row r="2339">
          <cell r="I2339" t="str">
            <v>met</v>
          </cell>
          <cell r="V2339" t="str">
            <v>0</v>
          </cell>
          <cell r="W2339">
            <v>0</v>
          </cell>
          <cell r="X2339" t="str">
            <v>0</v>
          </cell>
        </row>
        <row r="2340">
          <cell r="I2340" t="str">
            <v>sim</v>
          </cell>
          <cell r="V2340" t="str">
            <v>not neg pair</v>
          </cell>
          <cell r="W2340">
            <v>0</v>
          </cell>
          <cell r="X2340" t="str">
            <v>0</v>
          </cell>
        </row>
        <row r="2341">
          <cell r="I2341" t="str">
            <v>sim</v>
          </cell>
          <cell r="V2341" t="str">
            <v>not neg pair</v>
          </cell>
          <cell r="W2341">
            <v>0</v>
          </cell>
          <cell r="X2341" t="str">
            <v>0</v>
          </cell>
        </row>
        <row r="2342">
          <cell r="I2342" t="str">
            <v>sim</v>
          </cell>
          <cell r="V2342" t="str">
            <v>not neg pair</v>
          </cell>
          <cell r="W2342">
            <v>0</v>
          </cell>
          <cell r="X2342" t="str">
            <v>0</v>
          </cell>
        </row>
        <row r="2343">
          <cell r="I2343" t="str">
            <v>sim</v>
          </cell>
          <cell r="V2343" t="str">
            <v>not neg pair</v>
          </cell>
          <cell r="W2343">
            <v>0</v>
          </cell>
          <cell r="X2343" t="str">
            <v>0</v>
          </cell>
        </row>
        <row r="2344">
          <cell r="I2344" t="str">
            <v>sim</v>
          </cell>
          <cell r="V2344" t="str">
            <v>not neg pair</v>
          </cell>
          <cell r="W2344">
            <v>0</v>
          </cell>
          <cell r="X2344" t="str">
            <v>0</v>
          </cell>
        </row>
        <row r="2345">
          <cell r="I2345" t="str">
            <v>sim</v>
          </cell>
          <cell r="V2345" t="str">
            <v>not neg pair</v>
          </cell>
          <cell r="W2345">
            <v>0</v>
          </cell>
          <cell r="X2345" t="str">
            <v>0</v>
          </cell>
        </row>
        <row r="2346">
          <cell r="I2346" t="str">
            <v>sim</v>
          </cell>
          <cell r="V2346" t="str">
            <v>antonym</v>
          </cell>
          <cell r="W2346">
            <v>1</v>
          </cell>
          <cell r="X2346" t="str">
            <v>intens</v>
          </cell>
        </row>
        <row r="2347">
          <cell r="I2347" t="str">
            <v>sim</v>
          </cell>
          <cell r="V2347" t="str">
            <v>antonym</v>
          </cell>
          <cell r="W2347">
            <v>1</v>
          </cell>
          <cell r="X2347" t="str">
            <v>neg</v>
          </cell>
        </row>
        <row r="2348">
          <cell r="I2348" t="str">
            <v>sim</v>
          </cell>
          <cell r="V2348" t="str">
            <v>not neg pair</v>
          </cell>
          <cell r="W2348">
            <v>0</v>
          </cell>
          <cell r="X2348" t="str">
            <v>0</v>
          </cell>
        </row>
        <row r="2349">
          <cell r="I2349" t="str">
            <v>sim</v>
          </cell>
          <cell r="V2349" t="str">
            <v>not neg pair</v>
          </cell>
          <cell r="W2349">
            <v>0</v>
          </cell>
          <cell r="X2349" t="str">
            <v>0</v>
          </cell>
        </row>
        <row r="2350">
          <cell r="I2350" t="str">
            <v>sim</v>
          </cell>
          <cell r="V2350" t="str">
            <v>not neg pair</v>
          </cell>
          <cell r="W2350">
            <v>0</v>
          </cell>
          <cell r="X2350" t="str">
            <v>0</v>
          </cell>
        </row>
        <row r="2351">
          <cell r="I2351" t="str">
            <v>sim</v>
          </cell>
          <cell r="V2351" t="str">
            <v>not neg pair</v>
          </cell>
          <cell r="W2351">
            <v>0</v>
          </cell>
          <cell r="X2351" t="str">
            <v>0</v>
          </cell>
        </row>
        <row r="2352">
          <cell r="I2352" t="str">
            <v>met</v>
          </cell>
          <cell r="V2352" t="str">
            <v>0</v>
          </cell>
          <cell r="W2352">
            <v>0</v>
          </cell>
          <cell r="X2352" t="str">
            <v>0</v>
          </cell>
        </row>
        <row r="2353">
          <cell r="I2353" t="str">
            <v>met</v>
          </cell>
          <cell r="V2353" t="str">
            <v>0</v>
          </cell>
          <cell r="W2353">
            <v>0</v>
          </cell>
          <cell r="X2353" t="str">
            <v>0</v>
          </cell>
        </row>
        <row r="2354">
          <cell r="I2354" t="str">
            <v>sim</v>
          </cell>
          <cell r="V2354" t="str">
            <v>not neg pair</v>
          </cell>
          <cell r="W2354">
            <v>0</v>
          </cell>
          <cell r="X2354" t="str">
            <v>0</v>
          </cell>
        </row>
        <row r="2355">
          <cell r="I2355" t="str">
            <v>sim</v>
          </cell>
          <cell r="V2355" t="str">
            <v>not neg pair</v>
          </cell>
          <cell r="W2355">
            <v>0</v>
          </cell>
          <cell r="X2355" t="str">
            <v>0</v>
          </cell>
        </row>
        <row r="2356">
          <cell r="I2356" t="str">
            <v>sim</v>
          </cell>
          <cell r="V2356" t="str">
            <v>not neg pair</v>
          </cell>
          <cell r="W2356">
            <v>0</v>
          </cell>
          <cell r="X2356" t="str">
            <v>0</v>
          </cell>
        </row>
        <row r="2357">
          <cell r="I2357" t="str">
            <v>sim</v>
          </cell>
          <cell r="V2357" t="str">
            <v>not neg pair</v>
          </cell>
          <cell r="W2357">
            <v>0</v>
          </cell>
          <cell r="X2357" t="str">
            <v>0</v>
          </cell>
        </row>
        <row r="2358">
          <cell r="I2358" t="str">
            <v>sim</v>
          </cell>
          <cell r="V2358" t="str">
            <v>not neg pair</v>
          </cell>
          <cell r="W2358">
            <v>0</v>
          </cell>
          <cell r="X2358" t="str">
            <v>0</v>
          </cell>
        </row>
        <row r="2359">
          <cell r="I2359" t="str">
            <v>sim</v>
          </cell>
          <cell r="V2359" t="str">
            <v>not neg pair</v>
          </cell>
          <cell r="W2359">
            <v>0</v>
          </cell>
          <cell r="X2359" t="str">
            <v>0</v>
          </cell>
        </row>
        <row r="2360">
          <cell r="I2360" t="str">
            <v>sim</v>
          </cell>
          <cell r="V2360" t="str">
            <v>not</v>
          </cell>
          <cell r="W2360">
            <v>1</v>
          </cell>
          <cell r="X2360" t="str">
            <v>intens</v>
          </cell>
        </row>
        <row r="2361">
          <cell r="I2361" t="str">
            <v>sim</v>
          </cell>
          <cell r="V2361" t="str">
            <v>not</v>
          </cell>
          <cell r="W2361">
            <v>1</v>
          </cell>
          <cell r="X2361" t="str">
            <v>neg</v>
          </cell>
        </row>
        <row r="2362">
          <cell r="I2362" t="str">
            <v>sim</v>
          </cell>
          <cell r="V2362" t="str">
            <v>not</v>
          </cell>
          <cell r="W2362">
            <v>1</v>
          </cell>
          <cell r="X2362" t="str">
            <v>neg</v>
          </cell>
        </row>
        <row r="2363">
          <cell r="I2363" t="str">
            <v>sim</v>
          </cell>
          <cell r="V2363" t="str">
            <v>not</v>
          </cell>
          <cell r="W2363">
            <v>1</v>
          </cell>
          <cell r="X2363" t="str">
            <v>intens</v>
          </cell>
        </row>
        <row r="2364">
          <cell r="I2364" t="str">
            <v>sim</v>
          </cell>
          <cell r="V2364" t="str">
            <v>not neg pair</v>
          </cell>
          <cell r="W2364">
            <v>0</v>
          </cell>
          <cell r="X2364" t="str">
            <v>0</v>
          </cell>
        </row>
        <row r="2365">
          <cell r="I2365" t="str">
            <v>sim</v>
          </cell>
          <cell r="V2365" t="str">
            <v>not neg pair</v>
          </cell>
          <cell r="W2365">
            <v>0</v>
          </cell>
          <cell r="X2365" t="str">
            <v>0</v>
          </cell>
        </row>
        <row r="2366">
          <cell r="I2366" t="str">
            <v>sim</v>
          </cell>
          <cell r="V2366" t="str">
            <v>not neg pair</v>
          </cell>
          <cell r="W2366">
            <v>0</v>
          </cell>
          <cell r="X2366" t="str">
            <v>0</v>
          </cell>
        </row>
        <row r="2367">
          <cell r="I2367" t="str">
            <v>sim</v>
          </cell>
          <cell r="V2367" t="str">
            <v>not neg pair</v>
          </cell>
          <cell r="W2367">
            <v>0</v>
          </cell>
          <cell r="X2367" t="str">
            <v>0</v>
          </cell>
        </row>
        <row r="2368">
          <cell r="I2368" t="str">
            <v>sim</v>
          </cell>
          <cell r="V2368" t="str">
            <v>not</v>
          </cell>
          <cell r="W2368">
            <v>1</v>
          </cell>
          <cell r="X2368" t="str">
            <v>intens</v>
          </cell>
        </row>
        <row r="2369">
          <cell r="I2369" t="str">
            <v>sim</v>
          </cell>
          <cell r="V2369" t="str">
            <v>not</v>
          </cell>
          <cell r="W2369">
            <v>1</v>
          </cell>
          <cell r="X2369" t="str">
            <v>neg</v>
          </cell>
        </row>
        <row r="2370">
          <cell r="I2370" t="str">
            <v>sim</v>
          </cell>
          <cell r="V2370" t="str">
            <v>antonym</v>
          </cell>
          <cell r="W2370">
            <v>1</v>
          </cell>
          <cell r="X2370" t="str">
            <v>intens</v>
          </cell>
        </row>
        <row r="2371">
          <cell r="I2371" t="str">
            <v>sim</v>
          </cell>
          <cell r="V2371" t="str">
            <v>antonym</v>
          </cell>
          <cell r="W2371">
            <v>1</v>
          </cell>
          <cell r="X2371" t="str">
            <v>neg</v>
          </cell>
        </row>
        <row r="2372">
          <cell r="I2372" t="str">
            <v>sim</v>
          </cell>
          <cell r="V2372" t="str">
            <v>not neg pair</v>
          </cell>
          <cell r="W2372">
            <v>0</v>
          </cell>
          <cell r="X2372" t="str">
            <v>0</v>
          </cell>
        </row>
        <row r="2373">
          <cell r="I2373" t="str">
            <v>sim</v>
          </cell>
          <cell r="V2373" t="str">
            <v>not neg pair</v>
          </cell>
          <cell r="W2373">
            <v>0</v>
          </cell>
          <cell r="X2373" t="str">
            <v>0</v>
          </cell>
        </row>
        <row r="2374">
          <cell r="I2374" t="str">
            <v>sim</v>
          </cell>
          <cell r="V2374" t="str">
            <v>not</v>
          </cell>
          <cell r="W2374">
            <v>1</v>
          </cell>
          <cell r="X2374" t="str">
            <v>intens</v>
          </cell>
        </row>
        <row r="2375">
          <cell r="I2375" t="str">
            <v>sim</v>
          </cell>
          <cell r="V2375" t="str">
            <v>not</v>
          </cell>
          <cell r="W2375">
            <v>1</v>
          </cell>
          <cell r="X2375" t="str">
            <v>neg</v>
          </cell>
        </row>
        <row r="2376">
          <cell r="I2376" t="str">
            <v>sim</v>
          </cell>
          <cell r="V2376" t="str">
            <v>not</v>
          </cell>
          <cell r="W2376">
            <v>1</v>
          </cell>
          <cell r="X2376" t="str">
            <v>intens</v>
          </cell>
        </row>
        <row r="2377">
          <cell r="I2377" t="str">
            <v>sim</v>
          </cell>
          <cell r="V2377" t="str">
            <v>not</v>
          </cell>
          <cell r="W2377">
            <v>1</v>
          </cell>
          <cell r="X2377" t="str">
            <v>neg</v>
          </cell>
        </row>
        <row r="2378">
          <cell r="I2378" t="str">
            <v>sim</v>
          </cell>
          <cell r="V2378" t="str">
            <v>antonym</v>
          </cell>
          <cell r="W2378">
            <v>1</v>
          </cell>
          <cell r="X2378" t="str">
            <v>neg</v>
          </cell>
        </row>
        <row r="2379">
          <cell r="I2379" t="str">
            <v>sim</v>
          </cell>
          <cell r="V2379" t="str">
            <v>antonym</v>
          </cell>
          <cell r="W2379">
            <v>1</v>
          </cell>
          <cell r="X2379" t="str">
            <v>intens</v>
          </cell>
        </row>
        <row r="2380">
          <cell r="I2380" t="str">
            <v>sim</v>
          </cell>
          <cell r="V2380" t="str">
            <v>not</v>
          </cell>
          <cell r="W2380">
            <v>1</v>
          </cell>
          <cell r="X2380" t="str">
            <v>neg</v>
          </cell>
        </row>
        <row r="2381">
          <cell r="I2381" t="str">
            <v>sim</v>
          </cell>
          <cell r="V2381" t="str">
            <v>not</v>
          </cell>
          <cell r="W2381">
            <v>1</v>
          </cell>
          <cell r="X2381" t="str">
            <v>intens</v>
          </cell>
        </row>
        <row r="2382">
          <cell r="I2382" t="str">
            <v>sim</v>
          </cell>
          <cell r="V2382" t="str">
            <v>not</v>
          </cell>
          <cell r="W2382">
            <v>1</v>
          </cell>
          <cell r="X2382" t="str">
            <v>neg</v>
          </cell>
        </row>
        <row r="2383">
          <cell r="I2383" t="str">
            <v>sim</v>
          </cell>
          <cell r="V2383" t="str">
            <v>not</v>
          </cell>
          <cell r="W2383">
            <v>1</v>
          </cell>
          <cell r="X2383" t="str">
            <v>intens</v>
          </cell>
        </row>
        <row r="2384">
          <cell r="I2384" t="str">
            <v>sim</v>
          </cell>
          <cell r="V2384" t="str">
            <v>not</v>
          </cell>
          <cell r="W2384">
            <v>1</v>
          </cell>
          <cell r="X2384" t="str">
            <v>neg</v>
          </cell>
        </row>
        <row r="2385">
          <cell r="I2385" t="str">
            <v>sim</v>
          </cell>
          <cell r="V2385" t="str">
            <v>not</v>
          </cell>
          <cell r="W2385">
            <v>1</v>
          </cell>
          <cell r="X2385" t="str">
            <v>intens</v>
          </cell>
        </row>
        <row r="2386">
          <cell r="I2386" t="str">
            <v>sim</v>
          </cell>
          <cell r="V2386" t="str">
            <v>antonym</v>
          </cell>
          <cell r="W2386">
            <v>1</v>
          </cell>
          <cell r="X2386" t="str">
            <v>neg</v>
          </cell>
        </row>
        <row r="2387">
          <cell r="I2387" t="str">
            <v>sim</v>
          </cell>
          <cell r="V2387" t="str">
            <v>antonym</v>
          </cell>
          <cell r="W2387">
            <v>1</v>
          </cell>
          <cell r="X2387" t="str">
            <v>intens</v>
          </cell>
        </row>
        <row r="2388">
          <cell r="I2388" t="str">
            <v>sim</v>
          </cell>
          <cell r="V2388" t="str">
            <v>antonym</v>
          </cell>
          <cell r="W2388">
            <v>1</v>
          </cell>
          <cell r="X2388" t="str">
            <v>neg</v>
          </cell>
        </row>
        <row r="2389">
          <cell r="I2389" t="str">
            <v>sim</v>
          </cell>
          <cell r="V2389" t="str">
            <v>antonym</v>
          </cell>
          <cell r="W2389">
            <v>1</v>
          </cell>
          <cell r="X2389" t="str">
            <v>intens</v>
          </cell>
        </row>
        <row r="2390">
          <cell r="I2390" t="str">
            <v>sim</v>
          </cell>
          <cell r="V2390" t="str">
            <v>not</v>
          </cell>
          <cell r="W2390">
            <v>1</v>
          </cell>
          <cell r="X2390" t="str">
            <v>intens</v>
          </cell>
        </row>
        <row r="2391">
          <cell r="I2391" t="str">
            <v>sim</v>
          </cell>
          <cell r="V2391" t="str">
            <v>not</v>
          </cell>
          <cell r="W2391">
            <v>1</v>
          </cell>
          <cell r="X2391" t="str">
            <v>neg</v>
          </cell>
        </row>
        <row r="2392">
          <cell r="I2392" t="str">
            <v>sim</v>
          </cell>
          <cell r="V2392" t="str">
            <v>not neg pair</v>
          </cell>
          <cell r="W2392">
            <v>0</v>
          </cell>
          <cell r="X2392" t="str">
            <v>0</v>
          </cell>
        </row>
        <row r="2393">
          <cell r="I2393" t="str">
            <v>sim</v>
          </cell>
          <cell r="V2393" t="str">
            <v>not neg pair</v>
          </cell>
          <cell r="W2393">
            <v>0</v>
          </cell>
          <cell r="X2393" t="str">
            <v>0</v>
          </cell>
        </row>
        <row r="2394">
          <cell r="I2394" t="str">
            <v>sim</v>
          </cell>
          <cell r="V2394" t="str">
            <v>not</v>
          </cell>
          <cell r="W2394">
            <v>1</v>
          </cell>
          <cell r="X2394" t="str">
            <v>intens</v>
          </cell>
        </row>
        <row r="2395">
          <cell r="I2395" t="str">
            <v>sim</v>
          </cell>
          <cell r="V2395" t="str">
            <v>not</v>
          </cell>
          <cell r="W2395">
            <v>1</v>
          </cell>
          <cell r="X2395" t="str">
            <v>neg</v>
          </cell>
        </row>
        <row r="2396">
          <cell r="I2396" t="str">
            <v>sim</v>
          </cell>
          <cell r="V2396" t="str">
            <v>not neg pair</v>
          </cell>
          <cell r="W2396">
            <v>0</v>
          </cell>
          <cell r="X2396" t="str">
            <v>0</v>
          </cell>
        </row>
        <row r="2397">
          <cell r="I2397" t="str">
            <v>sim</v>
          </cell>
          <cell r="V2397" t="str">
            <v>not neg pair</v>
          </cell>
          <cell r="W2397">
            <v>0</v>
          </cell>
          <cell r="X2397" t="str">
            <v>0</v>
          </cell>
        </row>
        <row r="2398">
          <cell r="I2398" t="str">
            <v>met</v>
          </cell>
          <cell r="V2398" t="str">
            <v>0</v>
          </cell>
          <cell r="W2398">
            <v>0</v>
          </cell>
          <cell r="X2398" t="str">
            <v>0</v>
          </cell>
        </row>
        <row r="2399">
          <cell r="I2399" t="str">
            <v>met</v>
          </cell>
          <cell r="V2399" t="str">
            <v>0</v>
          </cell>
          <cell r="W2399">
            <v>0</v>
          </cell>
          <cell r="X2399" t="str">
            <v>0</v>
          </cell>
        </row>
        <row r="2400">
          <cell r="I2400" t="str">
            <v>sim</v>
          </cell>
          <cell r="V2400" t="str">
            <v>not neg pair</v>
          </cell>
          <cell r="W2400">
            <v>0</v>
          </cell>
          <cell r="X2400" t="str">
            <v>0</v>
          </cell>
        </row>
        <row r="2401">
          <cell r="I2401" t="str">
            <v>sim</v>
          </cell>
          <cell r="V2401" t="str">
            <v>not neg pair</v>
          </cell>
          <cell r="W2401">
            <v>0</v>
          </cell>
          <cell r="X2401" t="str">
            <v>0</v>
          </cell>
        </row>
        <row r="2402">
          <cell r="I2402" t="str">
            <v>met</v>
          </cell>
          <cell r="V2402" t="str">
            <v>0</v>
          </cell>
          <cell r="W2402">
            <v>0</v>
          </cell>
          <cell r="X2402" t="str">
            <v>0</v>
          </cell>
        </row>
        <row r="2403">
          <cell r="I2403" t="str">
            <v>met</v>
          </cell>
          <cell r="V2403" t="str">
            <v>0</v>
          </cell>
          <cell r="W2403">
            <v>0</v>
          </cell>
          <cell r="X2403" t="str">
            <v>0</v>
          </cell>
        </row>
        <row r="2404">
          <cell r="I2404" t="str">
            <v>met</v>
          </cell>
          <cell r="V2404" t="str">
            <v>0</v>
          </cell>
          <cell r="W2404">
            <v>0</v>
          </cell>
          <cell r="X2404" t="str">
            <v>0</v>
          </cell>
        </row>
        <row r="2405">
          <cell r="I2405" t="str">
            <v>met</v>
          </cell>
          <cell r="V2405" t="str">
            <v>0</v>
          </cell>
          <cell r="W2405">
            <v>0</v>
          </cell>
          <cell r="X2405" t="str">
            <v>0</v>
          </cell>
        </row>
        <row r="2406">
          <cell r="I2406" t="str">
            <v>met</v>
          </cell>
          <cell r="V2406" t="str">
            <v>0</v>
          </cell>
          <cell r="W2406">
            <v>0</v>
          </cell>
          <cell r="X2406" t="str">
            <v>0</v>
          </cell>
        </row>
        <row r="2407">
          <cell r="I2407" t="str">
            <v>met</v>
          </cell>
          <cell r="V2407" t="str">
            <v>0</v>
          </cell>
          <cell r="W2407">
            <v>0</v>
          </cell>
          <cell r="X2407" t="str">
            <v>0</v>
          </cell>
        </row>
        <row r="2408">
          <cell r="I2408" t="str">
            <v>sim</v>
          </cell>
          <cell r="V2408" t="str">
            <v>not neg pair</v>
          </cell>
          <cell r="W2408">
            <v>0</v>
          </cell>
          <cell r="X2408" t="str">
            <v>0</v>
          </cell>
        </row>
        <row r="2409">
          <cell r="I2409" t="str">
            <v>sim</v>
          </cell>
          <cell r="V2409" t="str">
            <v>not neg pair</v>
          </cell>
          <cell r="W2409">
            <v>0</v>
          </cell>
          <cell r="X2409" t="str">
            <v>0</v>
          </cell>
        </row>
        <row r="2410">
          <cell r="I2410" t="str">
            <v>sim</v>
          </cell>
          <cell r="V2410" t="str">
            <v>not neg pair</v>
          </cell>
          <cell r="W2410">
            <v>0</v>
          </cell>
          <cell r="X2410" t="str">
            <v>0</v>
          </cell>
        </row>
        <row r="2411">
          <cell r="I2411" t="str">
            <v>sim</v>
          </cell>
          <cell r="V2411" t="str">
            <v>not neg pair</v>
          </cell>
          <cell r="W2411">
            <v>0</v>
          </cell>
          <cell r="X2411" t="str">
            <v>0</v>
          </cell>
        </row>
        <row r="2412">
          <cell r="I2412" t="str">
            <v>sim</v>
          </cell>
          <cell r="V2412" t="str">
            <v>0</v>
          </cell>
          <cell r="W2412">
            <v>0</v>
          </cell>
          <cell r="X2412" t="str">
            <v>0</v>
          </cell>
        </row>
        <row r="2413">
          <cell r="I2413" t="str">
            <v>sim</v>
          </cell>
          <cell r="V2413" t="str">
            <v>not neg pair</v>
          </cell>
          <cell r="W2413">
            <v>0</v>
          </cell>
          <cell r="X2413" t="str">
            <v>0</v>
          </cell>
        </row>
        <row r="2414">
          <cell r="I2414" t="str">
            <v>sim</v>
          </cell>
          <cell r="V2414" t="str">
            <v>not neg pair</v>
          </cell>
          <cell r="W2414">
            <v>0</v>
          </cell>
          <cell r="X2414" t="str">
            <v>0</v>
          </cell>
        </row>
        <row r="2415">
          <cell r="I2415" t="str">
            <v>sim</v>
          </cell>
          <cell r="V2415" t="str">
            <v>not neg pair</v>
          </cell>
          <cell r="W2415">
            <v>0</v>
          </cell>
          <cell r="X2415" t="str">
            <v>0</v>
          </cell>
        </row>
        <row r="2416">
          <cell r="I2416" t="str">
            <v>sim</v>
          </cell>
          <cell r="V2416" t="str">
            <v>not neg pair</v>
          </cell>
          <cell r="W2416">
            <v>0</v>
          </cell>
          <cell r="X2416" t="str">
            <v>0</v>
          </cell>
        </row>
        <row r="2417">
          <cell r="I2417" t="str">
            <v>sim</v>
          </cell>
          <cell r="V2417" t="str">
            <v>not neg pair</v>
          </cell>
          <cell r="W2417">
            <v>0</v>
          </cell>
          <cell r="X2417" t="str">
            <v>0</v>
          </cell>
        </row>
        <row r="2418">
          <cell r="I2418" t="str">
            <v>sim</v>
          </cell>
          <cell r="V2418" t="str">
            <v>antonym</v>
          </cell>
          <cell r="W2418">
            <v>1</v>
          </cell>
          <cell r="X2418" t="str">
            <v>intens</v>
          </cell>
        </row>
        <row r="2419">
          <cell r="I2419" t="str">
            <v>sim</v>
          </cell>
          <cell r="V2419" t="str">
            <v>antonym</v>
          </cell>
          <cell r="W2419">
            <v>1</v>
          </cell>
          <cell r="X2419" t="str">
            <v>neg</v>
          </cell>
        </row>
        <row r="2420">
          <cell r="I2420" t="str">
            <v>met</v>
          </cell>
          <cell r="V2420" t="str">
            <v>0</v>
          </cell>
          <cell r="W2420">
            <v>0</v>
          </cell>
          <cell r="X2420" t="str">
            <v>0</v>
          </cell>
        </row>
        <row r="2421">
          <cell r="I2421" t="str">
            <v>met</v>
          </cell>
          <cell r="V2421" t="str">
            <v>0</v>
          </cell>
          <cell r="W2421">
            <v>0</v>
          </cell>
          <cell r="X2421" t="str">
            <v>0</v>
          </cell>
        </row>
        <row r="2422">
          <cell r="I2422" t="str">
            <v>met</v>
          </cell>
          <cell r="V2422" t="str">
            <v>0</v>
          </cell>
          <cell r="W2422">
            <v>0</v>
          </cell>
          <cell r="X2422" t="str">
            <v>0</v>
          </cell>
        </row>
        <row r="2423">
          <cell r="I2423" t="str">
            <v>met</v>
          </cell>
          <cell r="V2423" t="str">
            <v>0</v>
          </cell>
          <cell r="W2423">
            <v>0</v>
          </cell>
          <cell r="X2423" t="str">
            <v>0</v>
          </cell>
        </row>
        <row r="2424">
          <cell r="I2424" t="str">
            <v>met</v>
          </cell>
          <cell r="V2424" t="str">
            <v>0</v>
          </cell>
          <cell r="W2424">
            <v>0</v>
          </cell>
          <cell r="X2424" t="str">
            <v>0</v>
          </cell>
        </row>
        <row r="2425">
          <cell r="I2425" t="str">
            <v>met</v>
          </cell>
          <cell r="V2425" t="str">
            <v>0</v>
          </cell>
          <cell r="W2425">
            <v>0</v>
          </cell>
          <cell r="X2425" t="str">
            <v>0</v>
          </cell>
        </row>
        <row r="2426">
          <cell r="I2426" t="str">
            <v>sim</v>
          </cell>
          <cell r="V2426" t="str">
            <v>not</v>
          </cell>
          <cell r="W2426">
            <v>1</v>
          </cell>
          <cell r="X2426" t="str">
            <v>intens</v>
          </cell>
        </row>
        <row r="2427">
          <cell r="I2427" t="str">
            <v>sim</v>
          </cell>
          <cell r="V2427" t="str">
            <v>not</v>
          </cell>
          <cell r="W2427">
            <v>1</v>
          </cell>
          <cell r="X2427" t="str">
            <v>neg</v>
          </cell>
        </row>
        <row r="2428">
          <cell r="I2428" t="str">
            <v>sim</v>
          </cell>
          <cell r="V2428" t="str">
            <v>not neg pair</v>
          </cell>
          <cell r="W2428">
            <v>0</v>
          </cell>
          <cell r="X2428" t="str">
            <v>0</v>
          </cell>
        </row>
        <row r="2429">
          <cell r="I2429" t="str">
            <v>sim</v>
          </cell>
          <cell r="V2429" t="str">
            <v>not neg pair</v>
          </cell>
          <cell r="W2429">
            <v>0</v>
          </cell>
          <cell r="X2429" t="str">
            <v>0</v>
          </cell>
        </row>
        <row r="2430">
          <cell r="I2430" t="str">
            <v>sim</v>
          </cell>
          <cell r="V2430" t="str">
            <v>not neg pair</v>
          </cell>
          <cell r="W2430">
            <v>0</v>
          </cell>
          <cell r="X2430" t="str">
            <v>0</v>
          </cell>
        </row>
        <row r="2431">
          <cell r="I2431" t="str">
            <v>sim</v>
          </cell>
          <cell r="V2431" t="str">
            <v>not neg pair</v>
          </cell>
          <cell r="W2431">
            <v>0</v>
          </cell>
          <cell r="X2431" t="str">
            <v>0</v>
          </cell>
        </row>
        <row r="2432">
          <cell r="I2432" t="str">
            <v>sim</v>
          </cell>
          <cell r="V2432" t="str">
            <v>not neg pair</v>
          </cell>
          <cell r="W2432">
            <v>0</v>
          </cell>
          <cell r="X2432" t="str">
            <v>0</v>
          </cell>
        </row>
        <row r="2433">
          <cell r="I2433" t="str">
            <v>sim</v>
          </cell>
          <cell r="V2433" t="str">
            <v>not neg pair</v>
          </cell>
          <cell r="W2433">
            <v>0</v>
          </cell>
          <cell r="X2433" t="str">
            <v>0</v>
          </cell>
        </row>
        <row r="2434">
          <cell r="I2434" t="str">
            <v>sim</v>
          </cell>
          <cell r="V2434" t="str">
            <v>not neg pair</v>
          </cell>
          <cell r="W2434">
            <v>0</v>
          </cell>
          <cell r="X2434" t="str">
            <v>0</v>
          </cell>
        </row>
        <row r="2435">
          <cell r="I2435" t="str">
            <v>sim</v>
          </cell>
          <cell r="V2435" t="str">
            <v>not neg pair</v>
          </cell>
          <cell r="W2435">
            <v>0</v>
          </cell>
          <cell r="X2435" t="str">
            <v>0</v>
          </cell>
        </row>
        <row r="2436">
          <cell r="I2436" t="str">
            <v>sim</v>
          </cell>
          <cell r="V2436" t="str">
            <v>not</v>
          </cell>
          <cell r="W2436">
            <v>1</v>
          </cell>
          <cell r="X2436" t="str">
            <v>neg</v>
          </cell>
        </row>
        <row r="2437">
          <cell r="I2437" t="str">
            <v>sim</v>
          </cell>
          <cell r="V2437" t="str">
            <v>not</v>
          </cell>
          <cell r="W2437">
            <v>1</v>
          </cell>
          <cell r="X2437" t="str">
            <v>intens</v>
          </cell>
        </row>
        <row r="2438">
          <cell r="I2438" t="str">
            <v>sim</v>
          </cell>
          <cell r="V2438" t="str">
            <v>not neg pair</v>
          </cell>
          <cell r="W2438">
            <v>0</v>
          </cell>
          <cell r="X2438" t="str">
            <v>0</v>
          </cell>
        </row>
        <row r="2439">
          <cell r="I2439" t="str">
            <v>sim</v>
          </cell>
          <cell r="V2439" t="str">
            <v>not neg pair</v>
          </cell>
          <cell r="W2439">
            <v>0</v>
          </cell>
          <cell r="X2439" t="str">
            <v>0</v>
          </cell>
        </row>
        <row r="2440">
          <cell r="I2440" t="str">
            <v>sim</v>
          </cell>
          <cell r="V2440" t="str">
            <v>not neg pair</v>
          </cell>
          <cell r="W2440">
            <v>0</v>
          </cell>
          <cell r="X2440" t="str">
            <v>0</v>
          </cell>
        </row>
        <row r="2441">
          <cell r="I2441" t="str">
            <v>sim</v>
          </cell>
          <cell r="V2441" t="str">
            <v>not neg pair</v>
          </cell>
          <cell r="W2441">
            <v>0</v>
          </cell>
          <cell r="X2441" t="str">
            <v>0</v>
          </cell>
        </row>
        <row r="2442">
          <cell r="I2442" t="str">
            <v>sim</v>
          </cell>
          <cell r="V2442" t="str">
            <v>not neg pair</v>
          </cell>
          <cell r="W2442">
            <v>0</v>
          </cell>
          <cell r="X2442" t="str">
            <v>0</v>
          </cell>
        </row>
        <row r="2443">
          <cell r="I2443" t="str">
            <v>sim</v>
          </cell>
          <cell r="V2443" t="str">
            <v>not neg pair</v>
          </cell>
          <cell r="W2443">
            <v>0</v>
          </cell>
          <cell r="X2443" t="str">
            <v>0</v>
          </cell>
        </row>
        <row r="2444">
          <cell r="I2444" t="str">
            <v>met</v>
          </cell>
          <cell r="V2444" t="str">
            <v>0</v>
          </cell>
          <cell r="W2444">
            <v>0</v>
          </cell>
          <cell r="X2444" t="str">
            <v>0</v>
          </cell>
        </row>
        <row r="2445">
          <cell r="I2445" t="str">
            <v>met</v>
          </cell>
          <cell r="V2445" t="str">
            <v>0</v>
          </cell>
          <cell r="W2445">
            <v>0</v>
          </cell>
          <cell r="X2445" t="str">
            <v>0</v>
          </cell>
        </row>
        <row r="2446">
          <cell r="I2446" t="str">
            <v>met</v>
          </cell>
          <cell r="V2446" t="str">
            <v>0</v>
          </cell>
          <cell r="W2446">
            <v>0</v>
          </cell>
          <cell r="X2446" t="str">
            <v>0</v>
          </cell>
        </row>
        <row r="2447">
          <cell r="I2447" t="str">
            <v>met</v>
          </cell>
          <cell r="V2447" t="str">
            <v>0</v>
          </cell>
          <cell r="W2447">
            <v>0</v>
          </cell>
          <cell r="X2447" t="str">
            <v>0</v>
          </cell>
        </row>
        <row r="2448">
          <cell r="I2448" t="str">
            <v>met</v>
          </cell>
          <cell r="V2448" t="str">
            <v>0</v>
          </cell>
          <cell r="W2448">
            <v>0</v>
          </cell>
          <cell r="X2448" t="str">
            <v>0</v>
          </cell>
        </row>
        <row r="2449">
          <cell r="I2449" t="str">
            <v>sim</v>
          </cell>
          <cell r="V2449" t="str">
            <v>0</v>
          </cell>
          <cell r="W2449">
            <v>0</v>
          </cell>
          <cell r="X2449" t="str">
            <v>0</v>
          </cell>
        </row>
        <row r="2450">
          <cell r="I2450" t="str">
            <v>met</v>
          </cell>
          <cell r="V2450" t="str">
            <v>0</v>
          </cell>
          <cell r="W2450">
            <v>0</v>
          </cell>
          <cell r="X2450" t="str">
            <v>0</v>
          </cell>
        </row>
        <row r="2451">
          <cell r="I2451" t="str">
            <v>met</v>
          </cell>
          <cell r="V2451" t="str">
            <v>0</v>
          </cell>
          <cell r="W2451">
            <v>0</v>
          </cell>
          <cell r="X2451" t="str">
            <v>0</v>
          </cell>
        </row>
        <row r="2452">
          <cell r="I2452" t="str">
            <v>met</v>
          </cell>
          <cell r="V2452" t="str">
            <v>0</v>
          </cell>
          <cell r="W2452">
            <v>0</v>
          </cell>
          <cell r="X2452" t="str">
            <v>0</v>
          </cell>
        </row>
        <row r="2453">
          <cell r="I2453" t="str">
            <v>met</v>
          </cell>
          <cell r="V2453" t="str">
            <v>0</v>
          </cell>
          <cell r="W2453">
            <v>0</v>
          </cell>
          <cell r="X2453" t="str">
            <v>0</v>
          </cell>
        </row>
        <row r="2454">
          <cell r="I2454" t="str">
            <v>sim</v>
          </cell>
          <cell r="V2454" t="str">
            <v>not</v>
          </cell>
          <cell r="W2454">
            <v>1</v>
          </cell>
          <cell r="X2454" t="str">
            <v>intens</v>
          </cell>
        </row>
        <row r="2455">
          <cell r="I2455" t="str">
            <v>sim</v>
          </cell>
          <cell r="V2455" t="str">
            <v>not</v>
          </cell>
          <cell r="W2455">
            <v>1</v>
          </cell>
          <cell r="X2455" t="str">
            <v>neg</v>
          </cell>
        </row>
        <row r="2456">
          <cell r="I2456" t="str">
            <v>sim</v>
          </cell>
          <cell r="V2456" t="str">
            <v>not</v>
          </cell>
          <cell r="W2456">
            <v>1</v>
          </cell>
          <cell r="X2456" t="str">
            <v>neg</v>
          </cell>
        </row>
        <row r="2457">
          <cell r="I2457" t="str">
            <v>sim</v>
          </cell>
          <cell r="V2457" t="str">
            <v>not</v>
          </cell>
          <cell r="W2457">
            <v>1</v>
          </cell>
          <cell r="X2457" t="str">
            <v>intens</v>
          </cell>
        </row>
        <row r="2458">
          <cell r="I2458" t="str">
            <v>sim</v>
          </cell>
          <cell r="V2458" t="str">
            <v>not neg pair</v>
          </cell>
          <cell r="W2458">
            <v>0</v>
          </cell>
          <cell r="X2458" t="str">
            <v>0</v>
          </cell>
        </row>
        <row r="2459">
          <cell r="I2459" t="str">
            <v>sim</v>
          </cell>
          <cell r="V2459" t="str">
            <v>not neg pair</v>
          </cell>
          <cell r="W2459">
            <v>0</v>
          </cell>
          <cell r="X2459" t="str">
            <v>0</v>
          </cell>
        </row>
        <row r="2460">
          <cell r="I2460" t="str">
            <v>sim</v>
          </cell>
          <cell r="V2460" t="str">
            <v>not neg pair</v>
          </cell>
          <cell r="W2460">
            <v>0</v>
          </cell>
          <cell r="X2460" t="str">
            <v>0</v>
          </cell>
        </row>
        <row r="2461">
          <cell r="I2461" t="str">
            <v>sim</v>
          </cell>
          <cell r="V2461" t="str">
            <v>not neg pair</v>
          </cell>
          <cell r="W2461">
            <v>0</v>
          </cell>
          <cell r="X2461" t="str">
            <v>0</v>
          </cell>
        </row>
        <row r="2462">
          <cell r="I2462" t="str">
            <v>sim</v>
          </cell>
          <cell r="V2462" t="str">
            <v>not</v>
          </cell>
          <cell r="W2462">
            <v>1</v>
          </cell>
          <cell r="X2462" t="str">
            <v>neg</v>
          </cell>
        </row>
        <row r="2463">
          <cell r="I2463" t="str">
            <v>sim</v>
          </cell>
          <cell r="V2463" t="str">
            <v>not</v>
          </cell>
          <cell r="W2463">
            <v>1</v>
          </cell>
          <cell r="X2463" t="str">
            <v>intens</v>
          </cell>
        </row>
        <row r="2464">
          <cell r="I2464" t="str">
            <v>sim</v>
          </cell>
          <cell r="V2464" t="str">
            <v>not neg pair</v>
          </cell>
          <cell r="W2464">
            <v>0</v>
          </cell>
          <cell r="X2464" t="str">
            <v>0</v>
          </cell>
        </row>
        <row r="2465">
          <cell r="I2465" t="str">
            <v>sim</v>
          </cell>
          <cell r="V2465" t="str">
            <v>not neg pair</v>
          </cell>
          <cell r="W2465">
            <v>0</v>
          </cell>
          <cell r="X2465" t="str">
            <v>0</v>
          </cell>
        </row>
        <row r="2466">
          <cell r="I2466" t="str">
            <v>sim</v>
          </cell>
          <cell r="V2466" t="str">
            <v>not</v>
          </cell>
          <cell r="W2466">
            <v>1</v>
          </cell>
          <cell r="X2466" t="str">
            <v>neg</v>
          </cell>
        </row>
        <row r="2467">
          <cell r="I2467" t="str">
            <v>sim</v>
          </cell>
          <cell r="V2467" t="str">
            <v>not</v>
          </cell>
          <cell r="W2467">
            <v>1</v>
          </cell>
          <cell r="X2467" t="str">
            <v>intens</v>
          </cell>
        </row>
        <row r="2468">
          <cell r="I2468" t="str">
            <v>sim</v>
          </cell>
          <cell r="V2468" t="str">
            <v>not neg pair</v>
          </cell>
          <cell r="W2468">
            <v>0</v>
          </cell>
          <cell r="X2468" t="str">
            <v>0</v>
          </cell>
        </row>
        <row r="2469">
          <cell r="I2469" t="str">
            <v>sim</v>
          </cell>
          <cell r="V2469" t="str">
            <v>not neg pair</v>
          </cell>
          <cell r="W2469">
            <v>0</v>
          </cell>
          <cell r="X2469" t="str">
            <v>0</v>
          </cell>
        </row>
        <row r="2470">
          <cell r="I2470" t="str">
            <v>sim</v>
          </cell>
          <cell r="V2470" t="str">
            <v>not neg pair</v>
          </cell>
          <cell r="W2470">
            <v>0</v>
          </cell>
          <cell r="X2470" t="str">
            <v>0</v>
          </cell>
        </row>
        <row r="2471">
          <cell r="I2471" t="str">
            <v>met</v>
          </cell>
          <cell r="V2471" t="str">
            <v>0</v>
          </cell>
          <cell r="W2471">
            <v>0</v>
          </cell>
          <cell r="X2471" t="str">
            <v>0</v>
          </cell>
        </row>
        <row r="2472">
          <cell r="I2472" t="str">
            <v>sim</v>
          </cell>
          <cell r="V2472" t="str">
            <v>not neg pair</v>
          </cell>
          <cell r="W2472">
            <v>0</v>
          </cell>
          <cell r="X2472" t="str">
            <v>0</v>
          </cell>
        </row>
        <row r="2473">
          <cell r="I2473" t="str">
            <v>sim</v>
          </cell>
          <cell r="V2473" t="str">
            <v>not neg pair</v>
          </cell>
          <cell r="W2473">
            <v>0</v>
          </cell>
          <cell r="X2473" t="str">
            <v>0</v>
          </cell>
        </row>
        <row r="2474">
          <cell r="I2474" t="str">
            <v>sim</v>
          </cell>
          <cell r="V2474" t="str">
            <v>not</v>
          </cell>
          <cell r="W2474">
            <v>1</v>
          </cell>
          <cell r="X2474" t="str">
            <v>intens</v>
          </cell>
        </row>
        <row r="2475">
          <cell r="I2475" t="str">
            <v>sim</v>
          </cell>
          <cell r="V2475" t="str">
            <v>not</v>
          </cell>
          <cell r="W2475">
            <v>1</v>
          </cell>
          <cell r="X2475" t="str">
            <v>neg</v>
          </cell>
        </row>
        <row r="2476">
          <cell r="I2476" t="str">
            <v>sim</v>
          </cell>
          <cell r="V2476" t="str">
            <v>not</v>
          </cell>
          <cell r="W2476">
            <v>1</v>
          </cell>
          <cell r="X2476" t="str">
            <v>intens</v>
          </cell>
        </row>
        <row r="2477">
          <cell r="I2477" t="str">
            <v>sim</v>
          </cell>
          <cell r="V2477" t="str">
            <v>not</v>
          </cell>
          <cell r="W2477">
            <v>1</v>
          </cell>
          <cell r="X2477" t="str">
            <v>neg</v>
          </cell>
        </row>
        <row r="2478">
          <cell r="I2478" t="str">
            <v>sim</v>
          </cell>
          <cell r="V2478" t="str">
            <v>not</v>
          </cell>
          <cell r="W2478">
            <v>1</v>
          </cell>
          <cell r="X2478" t="str">
            <v>neg</v>
          </cell>
        </row>
        <row r="2479">
          <cell r="I2479" t="str">
            <v>sim</v>
          </cell>
          <cell r="V2479" t="str">
            <v>not</v>
          </cell>
          <cell r="W2479">
            <v>1</v>
          </cell>
          <cell r="X2479" t="str">
            <v>intens</v>
          </cell>
        </row>
        <row r="2480">
          <cell r="I2480" t="str">
            <v>sim</v>
          </cell>
          <cell r="V2480" t="str">
            <v>not neg pair</v>
          </cell>
          <cell r="W2480">
            <v>0</v>
          </cell>
          <cell r="X2480" t="str">
            <v>0</v>
          </cell>
        </row>
        <row r="2481">
          <cell r="I2481" t="str">
            <v>sim</v>
          </cell>
          <cell r="V2481" t="str">
            <v>not neg pair</v>
          </cell>
          <cell r="W2481">
            <v>0</v>
          </cell>
          <cell r="X2481" t="str">
            <v>0</v>
          </cell>
        </row>
        <row r="2482">
          <cell r="I2482" t="str">
            <v>met</v>
          </cell>
          <cell r="V2482" t="str">
            <v>0</v>
          </cell>
          <cell r="W2482">
            <v>0</v>
          </cell>
          <cell r="X2482" t="str">
            <v>0</v>
          </cell>
        </row>
        <row r="2483">
          <cell r="I2483" t="str">
            <v>met</v>
          </cell>
          <cell r="V2483" t="str">
            <v>0</v>
          </cell>
          <cell r="W2483">
            <v>0</v>
          </cell>
          <cell r="X2483" t="str">
            <v>0</v>
          </cell>
        </row>
        <row r="2484">
          <cell r="I2484" t="str">
            <v>met</v>
          </cell>
          <cell r="V2484" t="str">
            <v>0</v>
          </cell>
          <cell r="W2484">
            <v>0</v>
          </cell>
          <cell r="X2484" t="str">
            <v>0</v>
          </cell>
        </row>
        <row r="2485">
          <cell r="I2485" t="str">
            <v>met</v>
          </cell>
          <cell r="V2485" t="str">
            <v>0</v>
          </cell>
          <cell r="W2485">
            <v>0</v>
          </cell>
          <cell r="X2485" t="str">
            <v>0</v>
          </cell>
        </row>
        <row r="2486">
          <cell r="I2486" t="str">
            <v>met</v>
          </cell>
          <cell r="V2486" t="str">
            <v>0</v>
          </cell>
          <cell r="W2486">
            <v>0</v>
          </cell>
          <cell r="X2486" t="str">
            <v>0</v>
          </cell>
        </row>
        <row r="2487">
          <cell r="I2487" t="str">
            <v>met</v>
          </cell>
          <cell r="V2487" t="str">
            <v>0</v>
          </cell>
          <cell r="W2487">
            <v>0</v>
          </cell>
          <cell r="X2487" t="str">
            <v>0</v>
          </cell>
        </row>
        <row r="2488">
          <cell r="I2488" t="str">
            <v>sim</v>
          </cell>
          <cell r="V2488" t="str">
            <v>not neg pair</v>
          </cell>
          <cell r="W2488">
            <v>0</v>
          </cell>
          <cell r="X2488" t="str">
            <v>0</v>
          </cell>
        </row>
        <row r="2489">
          <cell r="I2489" t="str">
            <v>sim</v>
          </cell>
          <cell r="V2489" t="str">
            <v>not neg pair</v>
          </cell>
          <cell r="W2489">
            <v>0</v>
          </cell>
          <cell r="X2489" t="str">
            <v>0</v>
          </cell>
        </row>
        <row r="2490">
          <cell r="I2490" t="str">
            <v>sim</v>
          </cell>
          <cell r="V2490" t="str">
            <v>not neg pair</v>
          </cell>
          <cell r="W2490">
            <v>0</v>
          </cell>
          <cell r="X2490" t="str">
            <v>0</v>
          </cell>
        </row>
        <row r="2491">
          <cell r="I2491" t="str">
            <v>sim</v>
          </cell>
          <cell r="V2491" t="str">
            <v>not neg pair</v>
          </cell>
          <cell r="W2491">
            <v>0</v>
          </cell>
          <cell r="X2491" t="str">
            <v>0</v>
          </cell>
        </row>
        <row r="2492">
          <cell r="I2492" t="str">
            <v>sim</v>
          </cell>
          <cell r="V2492" t="str">
            <v>not neg pair</v>
          </cell>
          <cell r="W2492">
            <v>0</v>
          </cell>
          <cell r="X2492" t="str">
            <v>0</v>
          </cell>
        </row>
        <row r="2493">
          <cell r="I2493" t="str">
            <v>sim</v>
          </cell>
          <cell r="V2493" t="str">
            <v>not neg pair</v>
          </cell>
          <cell r="W2493">
            <v>0</v>
          </cell>
          <cell r="X2493" t="str">
            <v>0</v>
          </cell>
        </row>
        <row r="2494">
          <cell r="I2494" t="str">
            <v>sim</v>
          </cell>
          <cell r="V2494" t="str">
            <v>not neg pair</v>
          </cell>
          <cell r="W2494">
            <v>0</v>
          </cell>
          <cell r="X2494" t="str">
            <v>0</v>
          </cell>
        </row>
        <row r="2495">
          <cell r="I2495" t="str">
            <v>met</v>
          </cell>
          <cell r="V2495" t="str">
            <v>0</v>
          </cell>
          <cell r="W2495">
            <v>0</v>
          </cell>
          <cell r="X2495" t="str">
            <v>0</v>
          </cell>
        </row>
        <row r="2496">
          <cell r="I2496" t="str">
            <v>sim</v>
          </cell>
          <cell r="V2496" t="str">
            <v>not neg pair</v>
          </cell>
          <cell r="W2496">
            <v>0</v>
          </cell>
          <cell r="X2496" t="str">
            <v>0</v>
          </cell>
        </row>
        <row r="2497">
          <cell r="I2497" t="str">
            <v>sim</v>
          </cell>
          <cell r="V2497" t="str">
            <v>not neg pair</v>
          </cell>
          <cell r="W2497">
            <v>0</v>
          </cell>
          <cell r="X2497" t="str">
            <v>0</v>
          </cell>
        </row>
        <row r="2498">
          <cell r="I2498" t="str">
            <v>sim</v>
          </cell>
          <cell r="V2498" t="str">
            <v>not neg pair</v>
          </cell>
          <cell r="W2498">
            <v>0</v>
          </cell>
          <cell r="X2498" t="str">
            <v>0</v>
          </cell>
        </row>
        <row r="2499">
          <cell r="I2499" t="str">
            <v>sim</v>
          </cell>
          <cell r="V2499" t="str">
            <v>not neg pair</v>
          </cell>
          <cell r="W2499">
            <v>0</v>
          </cell>
          <cell r="X2499" t="str">
            <v>0</v>
          </cell>
        </row>
        <row r="2500">
          <cell r="I2500" t="str">
            <v>sim</v>
          </cell>
          <cell r="V2500" t="str">
            <v>antonym</v>
          </cell>
          <cell r="W2500">
            <v>1</v>
          </cell>
          <cell r="X2500" t="str">
            <v>intens</v>
          </cell>
        </row>
        <row r="2501">
          <cell r="I2501" t="str">
            <v>sim</v>
          </cell>
          <cell r="V2501" t="str">
            <v>antonym</v>
          </cell>
          <cell r="W2501">
            <v>1</v>
          </cell>
          <cell r="X2501" t="str">
            <v>neg</v>
          </cell>
        </row>
        <row r="2502">
          <cell r="I2502" t="str">
            <v>sim</v>
          </cell>
          <cell r="V2502" t="str">
            <v>not neg pair</v>
          </cell>
          <cell r="W2502">
            <v>0</v>
          </cell>
          <cell r="X2502" t="str">
            <v>0</v>
          </cell>
        </row>
        <row r="2503">
          <cell r="I2503" t="str">
            <v>sim</v>
          </cell>
          <cell r="V2503" t="str">
            <v>not neg pair</v>
          </cell>
          <cell r="W2503">
            <v>0</v>
          </cell>
          <cell r="X2503" t="str">
            <v>0</v>
          </cell>
        </row>
        <row r="2504">
          <cell r="I2504" t="str">
            <v>sim</v>
          </cell>
          <cell r="V2504" t="str">
            <v>antonym</v>
          </cell>
          <cell r="W2504">
            <v>1</v>
          </cell>
          <cell r="X2504" t="str">
            <v>neg</v>
          </cell>
        </row>
        <row r="2505">
          <cell r="I2505" t="str">
            <v>sim</v>
          </cell>
          <cell r="V2505" t="str">
            <v>antonym</v>
          </cell>
          <cell r="W2505">
            <v>1</v>
          </cell>
          <cell r="X2505" t="str">
            <v>intens</v>
          </cell>
        </row>
        <row r="2506">
          <cell r="I2506" t="str">
            <v>sim</v>
          </cell>
          <cell r="V2506" t="str">
            <v>not neg pair</v>
          </cell>
          <cell r="W2506">
            <v>0</v>
          </cell>
          <cell r="X2506" t="str">
            <v>0</v>
          </cell>
        </row>
        <row r="2507">
          <cell r="I2507" t="str">
            <v>sim</v>
          </cell>
          <cell r="V2507" t="str">
            <v>not neg pair</v>
          </cell>
          <cell r="W2507">
            <v>0</v>
          </cell>
          <cell r="X2507" t="str">
            <v>0</v>
          </cell>
        </row>
        <row r="2508">
          <cell r="I2508" t="str">
            <v>sim</v>
          </cell>
          <cell r="V2508" t="str">
            <v>not neg pair</v>
          </cell>
          <cell r="W2508">
            <v>0</v>
          </cell>
          <cell r="X2508" t="str">
            <v>0</v>
          </cell>
        </row>
        <row r="2509">
          <cell r="I2509" t="str">
            <v>sim</v>
          </cell>
          <cell r="V2509" t="str">
            <v>0</v>
          </cell>
          <cell r="W2509">
            <v>0</v>
          </cell>
          <cell r="X2509" t="str">
            <v>0</v>
          </cell>
        </row>
        <row r="2510">
          <cell r="I2510" t="str">
            <v>sim</v>
          </cell>
          <cell r="V2510" t="str">
            <v>not neg pair</v>
          </cell>
          <cell r="W2510">
            <v>0</v>
          </cell>
          <cell r="X2510" t="str">
            <v>0</v>
          </cell>
        </row>
        <row r="2511">
          <cell r="I2511" t="str">
            <v>sim</v>
          </cell>
          <cell r="V2511" t="str">
            <v>0</v>
          </cell>
          <cell r="W2511">
            <v>0</v>
          </cell>
          <cell r="X2511" t="str">
            <v>0</v>
          </cell>
        </row>
        <row r="2512">
          <cell r="I2512" t="str">
            <v>sim</v>
          </cell>
          <cell r="V2512" t="str">
            <v>not neg pair</v>
          </cell>
          <cell r="W2512">
            <v>0</v>
          </cell>
          <cell r="X2512" t="str">
            <v>0</v>
          </cell>
        </row>
        <row r="2513">
          <cell r="I2513" t="str">
            <v>sim</v>
          </cell>
          <cell r="V2513" t="str">
            <v>not neg pair</v>
          </cell>
          <cell r="W2513">
            <v>0</v>
          </cell>
          <cell r="X2513" t="str">
            <v>0</v>
          </cell>
        </row>
        <row r="2514">
          <cell r="I2514" t="str">
            <v>sim</v>
          </cell>
          <cell r="V2514" t="str">
            <v>not neg pair</v>
          </cell>
          <cell r="W2514">
            <v>0</v>
          </cell>
          <cell r="X2514" t="str">
            <v>0</v>
          </cell>
        </row>
        <row r="2515">
          <cell r="I2515" t="str">
            <v>sim</v>
          </cell>
          <cell r="V2515" t="str">
            <v>not neg pair</v>
          </cell>
          <cell r="W2515">
            <v>0</v>
          </cell>
          <cell r="X2515" t="str">
            <v>0</v>
          </cell>
        </row>
        <row r="2516">
          <cell r="I2516" t="str">
            <v>sim</v>
          </cell>
          <cell r="V2516" t="str">
            <v>not neg pair</v>
          </cell>
          <cell r="W2516">
            <v>0</v>
          </cell>
          <cell r="X2516" t="str">
            <v>0</v>
          </cell>
        </row>
        <row r="2517">
          <cell r="I2517" t="str">
            <v>sim</v>
          </cell>
          <cell r="V2517" t="str">
            <v>not neg pair</v>
          </cell>
          <cell r="W2517">
            <v>0</v>
          </cell>
          <cell r="X2517" t="str">
            <v>0</v>
          </cell>
        </row>
        <row r="2518">
          <cell r="I2518" t="str">
            <v>sim</v>
          </cell>
          <cell r="V2518" t="str">
            <v>not neg pair</v>
          </cell>
          <cell r="W2518">
            <v>0</v>
          </cell>
          <cell r="X2518" t="str">
            <v>0</v>
          </cell>
        </row>
        <row r="2519">
          <cell r="I2519" t="str">
            <v>sim</v>
          </cell>
          <cell r="V2519" t="str">
            <v>not neg pair</v>
          </cell>
          <cell r="W2519">
            <v>0</v>
          </cell>
          <cell r="X2519" t="str">
            <v>0</v>
          </cell>
        </row>
        <row r="2520">
          <cell r="I2520" t="str">
            <v>sim</v>
          </cell>
          <cell r="V2520" t="str">
            <v>not</v>
          </cell>
          <cell r="W2520">
            <v>1</v>
          </cell>
          <cell r="X2520" t="str">
            <v>neg</v>
          </cell>
        </row>
        <row r="2521">
          <cell r="I2521" t="str">
            <v>sim</v>
          </cell>
          <cell r="V2521" t="str">
            <v>not</v>
          </cell>
          <cell r="W2521">
            <v>1</v>
          </cell>
          <cell r="X2521" t="str">
            <v>intens</v>
          </cell>
        </row>
        <row r="2522">
          <cell r="I2522" t="str">
            <v>sim</v>
          </cell>
          <cell r="V2522" t="str">
            <v>not neg pair</v>
          </cell>
          <cell r="W2522">
            <v>0</v>
          </cell>
          <cell r="X2522" t="str">
            <v>0</v>
          </cell>
        </row>
        <row r="2523">
          <cell r="I2523" t="str">
            <v>sim</v>
          </cell>
          <cell r="V2523" t="str">
            <v>not neg pair</v>
          </cell>
          <cell r="W2523">
            <v>0</v>
          </cell>
          <cell r="X2523" t="str">
            <v>0</v>
          </cell>
        </row>
        <row r="2524">
          <cell r="I2524" t="str">
            <v>sim</v>
          </cell>
          <cell r="V2524" t="str">
            <v>not</v>
          </cell>
          <cell r="W2524">
            <v>1</v>
          </cell>
          <cell r="X2524" t="str">
            <v>intens</v>
          </cell>
        </row>
        <row r="2525">
          <cell r="I2525" t="str">
            <v>sim</v>
          </cell>
          <cell r="V2525" t="str">
            <v>not</v>
          </cell>
          <cell r="W2525">
            <v>1</v>
          </cell>
          <cell r="X2525" t="str">
            <v>neg</v>
          </cell>
        </row>
        <row r="2526">
          <cell r="I2526" t="str">
            <v>sim</v>
          </cell>
          <cell r="V2526" t="str">
            <v>antonym</v>
          </cell>
          <cell r="W2526">
            <v>1</v>
          </cell>
          <cell r="X2526" t="str">
            <v>intens</v>
          </cell>
        </row>
        <row r="2527">
          <cell r="I2527" t="str">
            <v>sim</v>
          </cell>
          <cell r="V2527" t="str">
            <v>antonym</v>
          </cell>
          <cell r="W2527">
            <v>1</v>
          </cell>
          <cell r="X2527" t="str">
            <v>neg</v>
          </cell>
        </row>
        <row r="2528">
          <cell r="I2528" t="str">
            <v>sim</v>
          </cell>
          <cell r="V2528" t="str">
            <v>antonym</v>
          </cell>
          <cell r="W2528">
            <v>1</v>
          </cell>
          <cell r="X2528" t="str">
            <v>intens</v>
          </cell>
        </row>
        <row r="2529">
          <cell r="I2529" t="str">
            <v>sim</v>
          </cell>
          <cell r="V2529" t="str">
            <v>antonym</v>
          </cell>
          <cell r="W2529">
            <v>1</v>
          </cell>
          <cell r="X2529" t="str">
            <v>neg</v>
          </cell>
        </row>
        <row r="2530">
          <cell r="I2530" t="str">
            <v>sim</v>
          </cell>
          <cell r="V2530" t="str">
            <v>antonym</v>
          </cell>
          <cell r="W2530">
            <v>1</v>
          </cell>
          <cell r="X2530" t="str">
            <v>neg</v>
          </cell>
        </row>
        <row r="2531">
          <cell r="I2531" t="str">
            <v>sim</v>
          </cell>
          <cell r="V2531" t="str">
            <v>antonym</v>
          </cell>
          <cell r="W2531">
            <v>1</v>
          </cell>
          <cell r="X2531" t="str">
            <v>intens</v>
          </cell>
        </row>
        <row r="2532">
          <cell r="I2532" t="str">
            <v>sim</v>
          </cell>
          <cell r="V2532" t="str">
            <v>antonym</v>
          </cell>
          <cell r="W2532">
            <v>1</v>
          </cell>
          <cell r="X2532" t="str">
            <v>neg</v>
          </cell>
        </row>
        <row r="2533">
          <cell r="I2533" t="str">
            <v>sim</v>
          </cell>
          <cell r="V2533" t="str">
            <v>antonym</v>
          </cell>
          <cell r="W2533">
            <v>1</v>
          </cell>
          <cell r="X2533" t="str">
            <v>intens</v>
          </cell>
        </row>
        <row r="2534">
          <cell r="I2534" t="str">
            <v>sim</v>
          </cell>
          <cell r="V2534" t="str">
            <v>not neg pair</v>
          </cell>
          <cell r="W2534">
            <v>0</v>
          </cell>
          <cell r="X2534" t="str">
            <v>0</v>
          </cell>
        </row>
        <row r="2535">
          <cell r="I2535" t="str">
            <v>sim</v>
          </cell>
          <cell r="V2535" t="str">
            <v>not neg pair</v>
          </cell>
          <cell r="W2535">
            <v>0</v>
          </cell>
          <cell r="X2535" t="str">
            <v>0</v>
          </cell>
        </row>
        <row r="2536">
          <cell r="I2536" t="str">
            <v>sim</v>
          </cell>
          <cell r="V2536" t="str">
            <v>not</v>
          </cell>
          <cell r="W2536">
            <v>1</v>
          </cell>
          <cell r="X2536" t="str">
            <v>neg</v>
          </cell>
        </row>
        <row r="2537">
          <cell r="I2537" t="str">
            <v>sim</v>
          </cell>
          <cell r="V2537" t="str">
            <v>not</v>
          </cell>
          <cell r="W2537">
            <v>1</v>
          </cell>
          <cell r="X2537" t="str">
            <v>intens</v>
          </cell>
        </row>
        <row r="2538">
          <cell r="I2538" t="str">
            <v>sim</v>
          </cell>
          <cell r="V2538" t="str">
            <v>antonym</v>
          </cell>
          <cell r="W2538">
            <v>1</v>
          </cell>
          <cell r="X2538" t="str">
            <v>neg</v>
          </cell>
        </row>
        <row r="2539">
          <cell r="I2539" t="str">
            <v>sim</v>
          </cell>
          <cell r="V2539" t="str">
            <v>antonym</v>
          </cell>
          <cell r="W2539">
            <v>1</v>
          </cell>
          <cell r="X2539" t="str">
            <v>intens</v>
          </cell>
        </row>
        <row r="2540">
          <cell r="I2540" t="str">
            <v>sim</v>
          </cell>
          <cell r="V2540" t="str">
            <v>antonym</v>
          </cell>
          <cell r="W2540">
            <v>1</v>
          </cell>
          <cell r="X2540" t="str">
            <v>intens</v>
          </cell>
        </row>
        <row r="2541">
          <cell r="I2541" t="str">
            <v>sim</v>
          </cell>
          <cell r="V2541" t="str">
            <v>antonym</v>
          </cell>
          <cell r="W2541">
            <v>1</v>
          </cell>
          <cell r="X2541" t="str">
            <v>neg</v>
          </cell>
        </row>
        <row r="2542">
          <cell r="I2542" t="str">
            <v>sim</v>
          </cell>
          <cell r="V2542" t="str">
            <v>not neg pair</v>
          </cell>
          <cell r="W2542">
            <v>0</v>
          </cell>
          <cell r="X2542" t="str">
            <v>0</v>
          </cell>
        </row>
        <row r="2543">
          <cell r="I2543" t="str">
            <v>sim</v>
          </cell>
          <cell r="V2543" t="str">
            <v>not neg pair</v>
          </cell>
          <cell r="W2543">
            <v>0</v>
          </cell>
          <cell r="X2543" t="str">
            <v>0</v>
          </cell>
        </row>
        <row r="2544">
          <cell r="I2544" t="str">
            <v>sim</v>
          </cell>
          <cell r="V2544" t="str">
            <v>not</v>
          </cell>
          <cell r="W2544">
            <v>1</v>
          </cell>
          <cell r="X2544" t="str">
            <v>intens</v>
          </cell>
        </row>
        <row r="2545">
          <cell r="I2545" t="str">
            <v>sim</v>
          </cell>
          <cell r="V2545" t="str">
            <v>not</v>
          </cell>
          <cell r="W2545">
            <v>1</v>
          </cell>
          <cell r="X2545" t="str">
            <v>neg</v>
          </cell>
        </row>
        <row r="2546">
          <cell r="I2546" t="str">
            <v>sim</v>
          </cell>
          <cell r="V2546" t="str">
            <v>not neg pair</v>
          </cell>
          <cell r="W2546">
            <v>0</v>
          </cell>
          <cell r="X2546" t="str">
            <v>0</v>
          </cell>
        </row>
        <row r="2547">
          <cell r="I2547" t="str">
            <v>sim</v>
          </cell>
          <cell r="V2547" t="str">
            <v>not neg pair</v>
          </cell>
          <cell r="W2547">
            <v>0</v>
          </cell>
          <cell r="X2547" t="str">
            <v>0</v>
          </cell>
        </row>
        <row r="2548">
          <cell r="I2548" t="str">
            <v>sim</v>
          </cell>
          <cell r="V2548" t="str">
            <v>not neg pair</v>
          </cell>
          <cell r="W2548">
            <v>0</v>
          </cell>
          <cell r="X2548" t="str">
            <v>0</v>
          </cell>
        </row>
        <row r="2549">
          <cell r="I2549" t="str">
            <v>sim</v>
          </cell>
          <cell r="V2549" t="str">
            <v>not neg pair</v>
          </cell>
          <cell r="W2549">
            <v>0</v>
          </cell>
          <cell r="X2549" t="str">
            <v>0</v>
          </cell>
        </row>
        <row r="2550">
          <cell r="I2550" t="str">
            <v>sim</v>
          </cell>
          <cell r="V2550" t="str">
            <v>not neg pair</v>
          </cell>
          <cell r="W2550">
            <v>0</v>
          </cell>
          <cell r="X2550" t="str">
            <v>0</v>
          </cell>
        </row>
        <row r="2551">
          <cell r="I2551" t="str">
            <v>sim</v>
          </cell>
          <cell r="V2551" t="str">
            <v>not neg pair</v>
          </cell>
          <cell r="W2551">
            <v>0</v>
          </cell>
          <cell r="X2551" t="str">
            <v>0</v>
          </cell>
        </row>
        <row r="2552">
          <cell r="I2552" t="str">
            <v>sim</v>
          </cell>
          <cell r="V2552" t="str">
            <v>not neg pair</v>
          </cell>
          <cell r="W2552">
            <v>0</v>
          </cell>
          <cell r="X2552" t="str">
            <v>0</v>
          </cell>
        </row>
        <row r="2553">
          <cell r="I2553" t="str">
            <v>sim</v>
          </cell>
          <cell r="V2553" t="str">
            <v>not neg pair</v>
          </cell>
          <cell r="W2553">
            <v>0</v>
          </cell>
          <cell r="X2553" t="str">
            <v>0</v>
          </cell>
        </row>
        <row r="2554">
          <cell r="I2554" t="str">
            <v>sim</v>
          </cell>
          <cell r="V2554" t="str">
            <v>not</v>
          </cell>
          <cell r="W2554">
            <v>1</v>
          </cell>
          <cell r="X2554" t="str">
            <v>neg</v>
          </cell>
        </row>
        <row r="2555">
          <cell r="I2555" t="str">
            <v>sim</v>
          </cell>
          <cell r="V2555" t="str">
            <v>not</v>
          </cell>
          <cell r="W2555">
            <v>1</v>
          </cell>
          <cell r="X2555" t="str">
            <v>intens</v>
          </cell>
        </row>
        <row r="2556">
          <cell r="I2556" t="str">
            <v>sim</v>
          </cell>
          <cell r="V2556" t="str">
            <v>not</v>
          </cell>
          <cell r="W2556">
            <v>1</v>
          </cell>
          <cell r="X2556" t="str">
            <v>intens</v>
          </cell>
        </row>
        <row r="2557">
          <cell r="I2557" t="str">
            <v>sim</v>
          </cell>
          <cell r="V2557" t="str">
            <v>not</v>
          </cell>
          <cell r="W2557">
            <v>1</v>
          </cell>
          <cell r="X2557" t="str">
            <v>neg</v>
          </cell>
        </row>
        <row r="2558">
          <cell r="I2558" t="str">
            <v>sim</v>
          </cell>
          <cell r="V2558" t="str">
            <v>not neg pair</v>
          </cell>
          <cell r="W2558">
            <v>0</v>
          </cell>
          <cell r="X2558" t="str">
            <v>0</v>
          </cell>
        </row>
        <row r="2559">
          <cell r="I2559" t="str">
            <v>sim</v>
          </cell>
          <cell r="V2559" t="str">
            <v>not neg pair</v>
          </cell>
          <cell r="W2559">
            <v>0</v>
          </cell>
          <cell r="X2559" t="str">
            <v>0</v>
          </cell>
        </row>
        <row r="2560">
          <cell r="I2560" t="str">
            <v>met</v>
          </cell>
          <cell r="V2560" t="str">
            <v>0</v>
          </cell>
          <cell r="W2560">
            <v>0</v>
          </cell>
          <cell r="X2560" t="str">
            <v>0</v>
          </cell>
        </row>
        <row r="2561">
          <cell r="I2561" t="str">
            <v>met</v>
          </cell>
          <cell r="V2561" t="str">
            <v>0</v>
          </cell>
          <cell r="W2561">
            <v>0</v>
          </cell>
          <cell r="X2561" t="str">
            <v>0</v>
          </cell>
        </row>
        <row r="2562">
          <cell r="I2562" t="str">
            <v>met</v>
          </cell>
          <cell r="V2562" t="str">
            <v>0</v>
          </cell>
          <cell r="W2562">
            <v>0</v>
          </cell>
          <cell r="X2562" t="str">
            <v>0</v>
          </cell>
        </row>
        <row r="2563">
          <cell r="I2563" t="str">
            <v>met</v>
          </cell>
          <cell r="V2563" t="str">
            <v>0</v>
          </cell>
          <cell r="W2563">
            <v>0</v>
          </cell>
          <cell r="X2563" t="str">
            <v>0</v>
          </cell>
        </row>
        <row r="2564">
          <cell r="I2564" t="str">
            <v>sim</v>
          </cell>
          <cell r="V2564" t="str">
            <v>not neg pair</v>
          </cell>
          <cell r="W2564">
            <v>0</v>
          </cell>
          <cell r="X2564" t="str">
            <v>0</v>
          </cell>
        </row>
        <row r="2565">
          <cell r="I2565" t="str">
            <v>sim</v>
          </cell>
          <cell r="V2565" t="str">
            <v>not neg pair</v>
          </cell>
          <cell r="W2565">
            <v>0</v>
          </cell>
          <cell r="X2565" t="str">
            <v>0</v>
          </cell>
        </row>
        <row r="2566">
          <cell r="I2566" t="str">
            <v>met</v>
          </cell>
          <cell r="V2566" t="str">
            <v>0</v>
          </cell>
          <cell r="W2566">
            <v>0</v>
          </cell>
          <cell r="X2566" t="str">
            <v>0</v>
          </cell>
        </row>
        <row r="2567">
          <cell r="I2567" t="str">
            <v>met</v>
          </cell>
          <cell r="V2567" t="str">
            <v>0</v>
          </cell>
          <cell r="W2567">
            <v>0</v>
          </cell>
          <cell r="X2567" t="str">
            <v>0</v>
          </cell>
        </row>
        <row r="2568">
          <cell r="I2568" t="str">
            <v>met</v>
          </cell>
          <cell r="V2568" t="str">
            <v>0</v>
          </cell>
          <cell r="W2568">
            <v>0</v>
          </cell>
          <cell r="X2568" t="str">
            <v>0</v>
          </cell>
        </row>
        <row r="2569">
          <cell r="I2569" t="str">
            <v>met</v>
          </cell>
          <cell r="V2569" t="str">
            <v>0</v>
          </cell>
          <cell r="W2569">
            <v>0</v>
          </cell>
          <cell r="X2569" t="str">
            <v>0</v>
          </cell>
        </row>
        <row r="2570">
          <cell r="I2570" t="str">
            <v>sim</v>
          </cell>
          <cell r="V2570" t="str">
            <v>not neg pair</v>
          </cell>
          <cell r="W2570">
            <v>0</v>
          </cell>
          <cell r="X2570" t="str">
            <v>0</v>
          </cell>
        </row>
        <row r="2571">
          <cell r="I2571" t="str">
            <v>sim</v>
          </cell>
          <cell r="V2571" t="str">
            <v>not neg pair</v>
          </cell>
          <cell r="W2571">
            <v>0</v>
          </cell>
          <cell r="X2571" t="str">
            <v>0</v>
          </cell>
        </row>
        <row r="2572">
          <cell r="I2572" t="str">
            <v>sim</v>
          </cell>
          <cell r="V2572" t="str">
            <v>not neg pair</v>
          </cell>
          <cell r="W2572">
            <v>0</v>
          </cell>
          <cell r="X2572" t="str">
            <v>0</v>
          </cell>
        </row>
        <row r="2573">
          <cell r="I2573" t="str">
            <v>sim</v>
          </cell>
          <cell r="V2573" t="str">
            <v>not neg pair</v>
          </cell>
          <cell r="W2573">
            <v>0</v>
          </cell>
          <cell r="X2573" t="str">
            <v>0</v>
          </cell>
        </row>
        <row r="2574">
          <cell r="I2574" t="str">
            <v>sim</v>
          </cell>
          <cell r="V2574" t="str">
            <v>not neg pair</v>
          </cell>
          <cell r="W2574">
            <v>0</v>
          </cell>
          <cell r="X2574" t="str">
            <v>0</v>
          </cell>
        </row>
        <row r="2575">
          <cell r="I2575" t="str">
            <v>sim</v>
          </cell>
          <cell r="V2575" t="str">
            <v>not neg pair</v>
          </cell>
          <cell r="W2575">
            <v>0</v>
          </cell>
          <cell r="X2575" t="str">
            <v>0</v>
          </cell>
        </row>
        <row r="2576">
          <cell r="I2576" t="str">
            <v>sim</v>
          </cell>
          <cell r="V2576" t="str">
            <v>not neg pair</v>
          </cell>
          <cell r="W2576">
            <v>0</v>
          </cell>
          <cell r="X2576" t="str">
            <v>0</v>
          </cell>
        </row>
        <row r="2577">
          <cell r="I2577" t="str">
            <v>sim</v>
          </cell>
          <cell r="V2577" t="str">
            <v>not neg pair</v>
          </cell>
          <cell r="W2577">
            <v>0</v>
          </cell>
          <cell r="X2577" t="str">
            <v>0</v>
          </cell>
        </row>
        <row r="2578">
          <cell r="I2578" t="str">
            <v>sim</v>
          </cell>
          <cell r="V2578" t="str">
            <v>not neg pair</v>
          </cell>
          <cell r="W2578">
            <v>0</v>
          </cell>
          <cell r="X2578" t="str">
            <v>0</v>
          </cell>
        </row>
        <row r="2579">
          <cell r="I2579" t="str">
            <v>sim</v>
          </cell>
          <cell r="V2579" t="str">
            <v>not neg pair</v>
          </cell>
          <cell r="W2579">
            <v>0</v>
          </cell>
          <cell r="X2579" t="str">
            <v>0</v>
          </cell>
        </row>
        <row r="2580">
          <cell r="I2580" t="str">
            <v>sim</v>
          </cell>
          <cell r="V2580" t="str">
            <v>not</v>
          </cell>
          <cell r="W2580">
            <v>1</v>
          </cell>
          <cell r="X2580" t="str">
            <v>neg</v>
          </cell>
        </row>
        <row r="2581">
          <cell r="I2581" t="str">
            <v>sim</v>
          </cell>
          <cell r="V2581" t="str">
            <v>not</v>
          </cell>
          <cell r="W2581">
            <v>1</v>
          </cell>
          <cell r="X2581" t="str">
            <v>intens</v>
          </cell>
        </row>
        <row r="2582">
          <cell r="I2582" t="str">
            <v>met</v>
          </cell>
          <cell r="V2582" t="str">
            <v>0</v>
          </cell>
          <cell r="W2582">
            <v>0</v>
          </cell>
          <cell r="X2582" t="str">
            <v>0</v>
          </cell>
        </row>
        <row r="2583">
          <cell r="I2583" t="str">
            <v>met</v>
          </cell>
          <cell r="V2583" t="str">
            <v>0</v>
          </cell>
          <cell r="W2583">
            <v>0</v>
          </cell>
          <cell r="X2583" t="str">
            <v>0</v>
          </cell>
        </row>
        <row r="2584">
          <cell r="I2584" t="str">
            <v>sim</v>
          </cell>
          <cell r="V2584" t="str">
            <v>antonym</v>
          </cell>
          <cell r="W2584">
            <v>1</v>
          </cell>
          <cell r="X2584" t="str">
            <v>intens</v>
          </cell>
        </row>
        <row r="2585">
          <cell r="I2585" t="str">
            <v>sim</v>
          </cell>
          <cell r="V2585" t="str">
            <v>antonym</v>
          </cell>
          <cell r="W2585">
            <v>1</v>
          </cell>
          <cell r="X2585" t="str">
            <v>neg</v>
          </cell>
        </row>
        <row r="2586">
          <cell r="I2586" t="str">
            <v>sim</v>
          </cell>
          <cell r="V2586" t="str">
            <v>not neg pair</v>
          </cell>
          <cell r="W2586">
            <v>0</v>
          </cell>
          <cell r="X2586" t="str">
            <v>0</v>
          </cell>
        </row>
        <row r="2587">
          <cell r="I2587" t="str">
            <v>sim</v>
          </cell>
          <cell r="V2587" t="str">
            <v>not neg pair</v>
          </cell>
          <cell r="W2587">
            <v>0</v>
          </cell>
          <cell r="X2587" t="str">
            <v>0</v>
          </cell>
        </row>
        <row r="2588">
          <cell r="I2588" t="str">
            <v>sim</v>
          </cell>
          <cell r="V2588" t="str">
            <v>antonym</v>
          </cell>
          <cell r="W2588">
            <v>1</v>
          </cell>
          <cell r="X2588" t="str">
            <v>intens</v>
          </cell>
        </row>
        <row r="2589">
          <cell r="I2589" t="str">
            <v>sim</v>
          </cell>
          <cell r="V2589" t="str">
            <v>antonym</v>
          </cell>
          <cell r="W2589">
            <v>1</v>
          </cell>
          <cell r="X2589" t="str">
            <v>neg</v>
          </cell>
        </row>
        <row r="2590">
          <cell r="I2590" t="str">
            <v>sim</v>
          </cell>
          <cell r="V2590" t="str">
            <v>not neg pair</v>
          </cell>
          <cell r="W2590">
            <v>0</v>
          </cell>
          <cell r="X2590" t="str">
            <v>0</v>
          </cell>
        </row>
        <row r="2591">
          <cell r="I2591" t="str">
            <v>sim</v>
          </cell>
          <cell r="V2591" t="str">
            <v>not neg pair</v>
          </cell>
          <cell r="W2591">
            <v>0</v>
          </cell>
          <cell r="X2591" t="str">
            <v>0</v>
          </cell>
        </row>
        <row r="2592">
          <cell r="I2592" t="str">
            <v>sim</v>
          </cell>
          <cell r="V2592" t="str">
            <v>not neg pair</v>
          </cell>
          <cell r="W2592">
            <v>0</v>
          </cell>
          <cell r="X2592" t="str">
            <v>0</v>
          </cell>
        </row>
        <row r="2593">
          <cell r="I2593" t="str">
            <v>sim</v>
          </cell>
          <cell r="V2593" t="str">
            <v>not neg pair</v>
          </cell>
          <cell r="W2593">
            <v>0</v>
          </cell>
          <cell r="X2593" t="str">
            <v>0</v>
          </cell>
        </row>
        <row r="2594">
          <cell r="I2594" t="str">
            <v>sim</v>
          </cell>
          <cell r="V2594" t="str">
            <v>not neg pair</v>
          </cell>
          <cell r="W2594">
            <v>0</v>
          </cell>
          <cell r="X2594" t="str">
            <v>0</v>
          </cell>
        </row>
        <row r="2595">
          <cell r="I2595" t="str">
            <v>sim</v>
          </cell>
          <cell r="V2595" t="str">
            <v>not neg pair</v>
          </cell>
          <cell r="W2595">
            <v>0</v>
          </cell>
          <cell r="X2595" t="str">
            <v>0</v>
          </cell>
        </row>
        <row r="2596">
          <cell r="I2596" t="str">
            <v>sim</v>
          </cell>
          <cell r="V2596" t="str">
            <v>antonym</v>
          </cell>
          <cell r="W2596">
            <v>1</v>
          </cell>
          <cell r="X2596" t="str">
            <v>intens</v>
          </cell>
        </row>
        <row r="2597">
          <cell r="I2597" t="str">
            <v>sim</v>
          </cell>
          <cell r="V2597" t="str">
            <v>antonym</v>
          </cell>
          <cell r="W2597">
            <v>1</v>
          </cell>
          <cell r="X2597" t="str">
            <v>neg</v>
          </cell>
        </row>
        <row r="2598">
          <cell r="I2598" t="str">
            <v>sim</v>
          </cell>
          <cell r="V2598" t="str">
            <v>not</v>
          </cell>
          <cell r="W2598">
            <v>1</v>
          </cell>
          <cell r="X2598" t="str">
            <v>intens</v>
          </cell>
        </row>
        <row r="2599">
          <cell r="I2599" t="str">
            <v>sim</v>
          </cell>
          <cell r="V2599" t="str">
            <v>not</v>
          </cell>
          <cell r="W2599">
            <v>1</v>
          </cell>
          <cell r="X2599" t="str">
            <v>neg</v>
          </cell>
        </row>
        <row r="2600">
          <cell r="I2600" t="str">
            <v>sim</v>
          </cell>
          <cell r="V2600" t="str">
            <v>antonym</v>
          </cell>
          <cell r="W2600">
            <v>1</v>
          </cell>
          <cell r="X2600" t="str">
            <v>intens</v>
          </cell>
        </row>
        <row r="2601">
          <cell r="I2601" t="str">
            <v>sim</v>
          </cell>
          <cell r="V2601" t="str">
            <v>antonym</v>
          </cell>
          <cell r="W2601">
            <v>1</v>
          </cell>
          <cell r="X2601" t="str">
            <v>neg</v>
          </cell>
        </row>
        <row r="2602">
          <cell r="I2602" t="str">
            <v>met</v>
          </cell>
          <cell r="V2602" t="str">
            <v>0</v>
          </cell>
          <cell r="W2602">
            <v>0</v>
          </cell>
          <cell r="X2602" t="str">
            <v>0</v>
          </cell>
        </row>
        <row r="2603">
          <cell r="I2603" t="str">
            <v>met</v>
          </cell>
          <cell r="V2603" t="str">
            <v>0</v>
          </cell>
          <cell r="W2603">
            <v>0</v>
          </cell>
          <cell r="X2603" t="str">
            <v>0</v>
          </cell>
        </row>
        <row r="2604">
          <cell r="I2604" t="str">
            <v>sim</v>
          </cell>
          <cell r="V2604" t="str">
            <v>not neg pair</v>
          </cell>
          <cell r="W2604">
            <v>0</v>
          </cell>
          <cell r="X2604" t="str">
            <v>0</v>
          </cell>
        </row>
        <row r="2605">
          <cell r="I2605" t="str">
            <v>sim</v>
          </cell>
          <cell r="V2605" t="str">
            <v>not neg pair</v>
          </cell>
          <cell r="W2605">
            <v>0</v>
          </cell>
          <cell r="X2605" t="str">
            <v>0</v>
          </cell>
        </row>
        <row r="2606">
          <cell r="I2606" t="str">
            <v>met</v>
          </cell>
          <cell r="V2606" t="str">
            <v>0</v>
          </cell>
          <cell r="W2606">
            <v>0</v>
          </cell>
          <cell r="X2606" t="str">
            <v>0</v>
          </cell>
        </row>
        <row r="2607">
          <cell r="I2607" t="str">
            <v>met</v>
          </cell>
          <cell r="V2607" t="str">
            <v>0</v>
          </cell>
          <cell r="W2607">
            <v>0</v>
          </cell>
          <cell r="X2607" t="str">
            <v>0</v>
          </cell>
        </row>
        <row r="2608">
          <cell r="I2608" t="str">
            <v>sim</v>
          </cell>
          <cell r="V2608" t="str">
            <v>not</v>
          </cell>
          <cell r="W2608">
            <v>1</v>
          </cell>
          <cell r="X2608" t="str">
            <v>intens</v>
          </cell>
        </row>
        <row r="2609">
          <cell r="I2609" t="str">
            <v>sim</v>
          </cell>
          <cell r="V2609" t="str">
            <v>not</v>
          </cell>
          <cell r="W2609">
            <v>1</v>
          </cell>
          <cell r="X2609" t="str">
            <v>neg</v>
          </cell>
        </row>
        <row r="2610">
          <cell r="I2610" t="str">
            <v>sim</v>
          </cell>
          <cell r="V2610" t="str">
            <v>antonym</v>
          </cell>
          <cell r="W2610">
            <v>1</v>
          </cell>
          <cell r="X2610" t="str">
            <v>intens</v>
          </cell>
        </row>
        <row r="2611">
          <cell r="I2611" t="str">
            <v>sim</v>
          </cell>
          <cell r="V2611" t="str">
            <v>antonym</v>
          </cell>
          <cell r="W2611">
            <v>1</v>
          </cell>
          <cell r="X2611" t="str">
            <v>neg</v>
          </cell>
        </row>
        <row r="2612">
          <cell r="I2612" t="str">
            <v>sim</v>
          </cell>
          <cell r="V2612" t="str">
            <v>not neg pair</v>
          </cell>
          <cell r="W2612">
            <v>0</v>
          </cell>
          <cell r="X2612" t="str">
            <v>0</v>
          </cell>
        </row>
        <row r="2613">
          <cell r="I2613" t="str">
            <v>sim</v>
          </cell>
          <cell r="V2613" t="str">
            <v>not neg pair</v>
          </cell>
          <cell r="W2613">
            <v>0</v>
          </cell>
          <cell r="X2613" t="str">
            <v>0</v>
          </cell>
        </row>
        <row r="2614">
          <cell r="I2614" t="str">
            <v>sim</v>
          </cell>
          <cell r="V2614" t="str">
            <v>not</v>
          </cell>
          <cell r="W2614">
            <v>1</v>
          </cell>
          <cell r="X2614" t="str">
            <v>intens</v>
          </cell>
        </row>
        <row r="2615">
          <cell r="I2615" t="str">
            <v>sim</v>
          </cell>
          <cell r="V2615" t="str">
            <v>not</v>
          </cell>
          <cell r="W2615">
            <v>1</v>
          </cell>
          <cell r="X2615" t="str">
            <v>neg</v>
          </cell>
        </row>
        <row r="2616">
          <cell r="I2616" t="str">
            <v>sim</v>
          </cell>
          <cell r="V2616" t="str">
            <v>not neg pair</v>
          </cell>
          <cell r="W2616">
            <v>0</v>
          </cell>
          <cell r="X2616" t="str">
            <v>0</v>
          </cell>
        </row>
        <row r="2617">
          <cell r="I2617" t="str">
            <v>sim</v>
          </cell>
          <cell r="V2617" t="str">
            <v>not neg pair</v>
          </cell>
          <cell r="W2617">
            <v>0</v>
          </cell>
          <cell r="X2617" t="str">
            <v>0</v>
          </cell>
        </row>
        <row r="2618">
          <cell r="I2618" t="str">
            <v>sim</v>
          </cell>
          <cell r="V2618" t="str">
            <v>not</v>
          </cell>
          <cell r="W2618">
            <v>1</v>
          </cell>
          <cell r="X2618" t="str">
            <v>intens</v>
          </cell>
        </row>
        <row r="2619">
          <cell r="I2619" t="str">
            <v>sim</v>
          </cell>
          <cell r="V2619" t="str">
            <v>not</v>
          </cell>
          <cell r="W2619">
            <v>1</v>
          </cell>
          <cell r="X2619" t="str">
            <v>neg</v>
          </cell>
        </row>
        <row r="2620">
          <cell r="I2620" t="str">
            <v>sim</v>
          </cell>
          <cell r="V2620" t="str">
            <v>antonym</v>
          </cell>
          <cell r="W2620">
            <v>1</v>
          </cell>
          <cell r="X2620" t="str">
            <v>intens</v>
          </cell>
        </row>
        <row r="2621">
          <cell r="I2621" t="str">
            <v>sim</v>
          </cell>
          <cell r="V2621" t="str">
            <v>antonym</v>
          </cell>
          <cell r="W2621">
            <v>1</v>
          </cell>
          <cell r="X2621" t="str">
            <v>neg</v>
          </cell>
        </row>
        <row r="2622">
          <cell r="I2622" t="str">
            <v>sim</v>
          </cell>
          <cell r="V2622" t="str">
            <v>not</v>
          </cell>
          <cell r="W2622">
            <v>1</v>
          </cell>
          <cell r="X2622" t="str">
            <v>intens</v>
          </cell>
        </row>
        <row r="2623">
          <cell r="I2623" t="str">
            <v>sim</v>
          </cell>
          <cell r="V2623" t="str">
            <v>not</v>
          </cell>
          <cell r="W2623">
            <v>1</v>
          </cell>
          <cell r="X2623" t="str">
            <v>neg</v>
          </cell>
        </row>
        <row r="2624">
          <cell r="I2624" t="str">
            <v>sim</v>
          </cell>
          <cell r="V2624" t="str">
            <v>not</v>
          </cell>
          <cell r="W2624">
            <v>1</v>
          </cell>
          <cell r="X2624" t="str">
            <v>neg</v>
          </cell>
        </row>
        <row r="2625">
          <cell r="I2625" t="str">
            <v>sim</v>
          </cell>
          <cell r="V2625" t="str">
            <v>not</v>
          </cell>
          <cell r="W2625">
            <v>1</v>
          </cell>
          <cell r="X2625" t="str">
            <v>intens</v>
          </cell>
        </row>
        <row r="2626">
          <cell r="I2626" t="str">
            <v>sim</v>
          </cell>
          <cell r="V2626" t="str">
            <v>antonym</v>
          </cell>
          <cell r="W2626">
            <v>1</v>
          </cell>
          <cell r="X2626" t="str">
            <v>intens</v>
          </cell>
        </row>
        <row r="2627">
          <cell r="I2627" t="str">
            <v>sim</v>
          </cell>
          <cell r="V2627" t="str">
            <v>antonym</v>
          </cell>
          <cell r="W2627">
            <v>1</v>
          </cell>
          <cell r="X2627" t="str">
            <v>neg</v>
          </cell>
        </row>
        <row r="2628">
          <cell r="I2628" t="str">
            <v>sim</v>
          </cell>
          <cell r="V2628" t="str">
            <v>not neg pair</v>
          </cell>
          <cell r="W2628">
            <v>0</v>
          </cell>
          <cell r="X2628" t="str">
            <v>0</v>
          </cell>
        </row>
        <row r="2629">
          <cell r="I2629" t="str">
            <v>sim</v>
          </cell>
          <cell r="V2629" t="str">
            <v>not neg pair</v>
          </cell>
          <cell r="W2629">
            <v>0</v>
          </cell>
          <cell r="X2629" t="str">
            <v>0</v>
          </cell>
        </row>
        <row r="2630">
          <cell r="I2630" t="str">
            <v>sim</v>
          </cell>
          <cell r="V2630" t="str">
            <v>not neg pair</v>
          </cell>
          <cell r="W2630">
            <v>0</v>
          </cell>
          <cell r="X2630" t="str">
            <v>0</v>
          </cell>
        </row>
        <row r="2631">
          <cell r="I2631" t="str">
            <v>sim</v>
          </cell>
          <cell r="V2631" t="str">
            <v>not neg pair</v>
          </cell>
          <cell r="W2631">
            <v>0</v>
          </cell>
          <cell r="X2631" t="str">
            <v>0</v>
          </cell>
        </row>
        <row r="2632">
          <cell r="I2632" t="str">
            <v>sim</v>
          </cell>
          <cell r="V2632" t="str">
            <v>not neg pair</v>
          </cell>
          <cell r="W2632">
            <v>0</v>
          </cell>
          <cell r="X2632" t="str">
            <v>0</v>
          </cell>
        </row>
        <row r="2633">
          <cell r="I2633" t="str">
            <v>sim</v>
          </cell>
          <cell r="V2633" t="str">
            <v>not neg pair</v>
          </cell>
          <cell r="W2633">
            <v>0</v>
          </cell>
          <cell r="X2633" t="str">
            <v>0</v>
          </cell>
        </row>
        <row r="2634">
          <cell r="I2634" t="str">
            <v>sim</v>
          </cell>
          <cell r="V2634" t="str">
            <v>not neg pair</v>
          </cell>
          <cell r="W2634">
            <v>0</v>
          </cell>
          <cell r="X2634" t="str">
            <v>0</v>
          </cell>
        </row>
        <row r="2635">
          <cell r="I2635" t="str">
            <v>sim</v>
          </cell>
          <cell r="V2635" t="str">
            <v>not neg pair</v>
          </cell>
          <cell r="W2635">
            <v>0</v>
          </cell>
          <cell r="X2635" t="str">
            <v>0</v>
          </cell>
        </row>
        <row r="2636">
          <cell r="I2636" t="str">
            <v>sim</v>
          </cell>
          <cell r="V2636" t="str">
            <v>not neg pair</v>
          </cell>
          <cell r="W2636">
            <v>0</v>
          </cell>
          <cell r="X2636" t="str">
            <v>0</v>
          </cell>
        </row>
        <row r="2637">
          <cell r="I2637" t="str">
            <v>sim</v>
          </cell>
          <cell r="V2637" t="str">
            <v>not neg pair</v>
          </cell>
          <cell r="W2637">
            <v>0</v>
          </cell>
          <cell r="X2637" t="str">
            <v>0</v>
          </cell>
        </row>
        <row r="2638">
          <cell r="I2638" t="str">
            <v>met</v>
          </cell>
          <cell r="V2638" t="str">
            <v>0</v>
          </cell>
          <cell r="W2638">
            <v>0</v>
          </cell>
          <cell r="X2638" t="str">
            <v>0</v>
          </cell>
        </row>
        <row r="2639">
          <cell r="I2639" t="str">
            <v>met</v>
          </cell>
          <cell r="V2639" t="str">
            <v>0</v>
          </cell>
          <cell r="W2639">
            <v>0</v>
          </cell>
          <cell r="X2639" t="str">
            <v>0</v>
          </cell>
        </row>
        <row r="2640">
          <cell r="I2640" t="str">
            <v>met</v>
          </cell>
          <cell r="V2640" t="str">
            <v>0</v>
          </cell>
          <cell r="W2640">
            <v>0</v>
          </cell>
          <cell r="X2640" t="str">
            <v>0</v>
          </cell>
        </row>
        <row r="2641">
          <cell r="I2641" t="str">
            <v>met</v>
          </cell>
          <cell r="V2641" t="str">
            <v>0</v>
          </cell>
          <cell r="W2641">
            <v>0</v>
          </cell>
          <cell r="X2641" t="str">
            <v>0</v>
          </cell>
        </row>
        <row r="2642">
          <cell r="I2642" t="str">
            <v>met</v>
          </cell>
          <cell r="V2642" t="str">
            <v>0</v>
          </cell>
          <cell r="W2642">
            <v>0</v>
          </cell>
          <cell r="X2642" t="str">
            <v>0</v>
          </cell>
        </row>
        <row r="2643">
          <cell r="I2643" t="str">
            <v>met</v>
          </cell>
          <cell r="V2643" t="str">
            <v>0</v>
          </cell>
          <cell r="W2643">
            <v>0</v>
          </cell>
          <cell r="X2643" t="str">
            <v>0</v>
          </cell>
        </row>
        <row r="2644">
          <cell r="I2644" t="str">
            <v>met</v>
          </cell>
          <cell r="V2644" t="str">
            <v>0</v>
          </cell>
          <cell r="W2644">
            <v>0</v>
          </cell>
          <cell r="X2644" t="str">
            <v>0</v>
          </cell>
        </row>
        <row r="2645">
          <cell r="I2645" t="str">
            <v>met</v>
          </cell>
          <cell r="V2645" t="str">
            <v>0</v>
          </cell>
          <cell r="W2645">
            <v>0</v>
          </cell>
          <cell r="X2645" t="str">
            <v>0</v>
          </cell>
        </row>
        <row r="2646">
          <cell r="I2646" t="str">
            <v>sim</v>
          </cell>
          <cell r="V2646" t="str">
            <v>not neg pair</v>
          </cell>
          <cell r="W2646">
            <v>0</v>
          </cell>
          <cell r="X2646" t="str">
            <v>0</v>
          </cell>
        </row>
        <row r="2647">
          <cell r="I2647" t="str">
            <v>sim</v>
          </cell>
          <cell r="V2647" t="str">
            <v>not neg pair</v>
          </cell>
          <cell r="W2647">
            <v>0</v>
          </cell>
          <cell r="X2647" t="str">
            <v>0</v>
          </cell>
        </row>
        <row r="2648">
          <cell r="I2648" t="str">
            <v>sim</v>
          </cell>
          <cell r="V2648" t="str">
            <v>not</v>
          </cell>
          <cell r="W2648">
            <v>1</v>
          </cell>
          <cell r="X2648" t="str">
            <v>neg</v>
          </cell>
        </row>
        <row r="2649">
          <cell r="I2649" t="str">
            <v>sim</v>
          </cell>
          <cell r="V2649" t="str">
            <v>not</v>
          </cell>
          <cell r="W2649">
            <v>1</v>
          </cell>
          <cell r="X2649" t="str">
            <v>intens</v>
          </cell>
        </row>
        <row r="2650">
          <cell r="I2650" t="str">
            <v>met</v>
          </cell>
          <cell r="V2650" t="str">
            <v>0</v>
          </cell>
          <cell r="W2650">
            <v>0</v>
          </cell>
          <cell r="X2650" t="str">
            <v>0</v>
          </cell>
        </row>
        <row r="2651">
          <cell r="I2651" t="str">
            <v>met</v>
          </cell>
          <cell r="V2651" t="str">
            <v>0</v>
          </cell>
          <cell r="W2651">
            <v>0</v>
          </cell>
          <cell r="X2651" t="str">
            <v>0</v>
          </cell>
        </row>
        <row r="2652">
          <cell r="I2652" t="str">
            <v>met</v>
          </cell>
          <cell r="V2652" t="str">
            <v>0</v>
          </cell>
          <cell r="W2652">
            <v>0</v>
          </cell>
          <cell r="X2652" t="str">
            <v>0</v>
          </cell>
        </row>
        <row r="2653">
          <cell r="I2653" t="str">
            <v>met</v>
          </cell>
          <cell r="V2653" t="str">
            <v>0</v>
          </cell>
          <cell r="W2653">
            <v>0</v>
          </cell>
          <cell r="X2653" t="str">
            <v>0</v>
          </cell>
        </row>
        <row r="2654">
          <cell r="I2654" t="str">
            <v>met</v>
          </cell>
          <cell r="V2654" t="str">
            <v>0</v>
          </cell>
          <cell r="W2654">
            <v>0</v>
          </cell>
          <cell r="X2654" t="str">
            <v>0</v>
          </cell>
        </row>
        <row r="2655">
          <cell r="I2655" t="str">
            <v>met</v>
          </cell>
          <cell r="V2655" t="str">
            <v>0</v>
          </cell>
          <cell r="W2655">
            <v>0</v>
          </cell>
          <cell r="X2655" t="str">
            <v>0</v>
          </cell>
        </row>
        <row r="2656">
          <cell r="I2656" t="str">
            <v>met</v>
          </cell>
          <cell r="V2656" t="str">
            <v>0</v>
          </cell>
          <cell r="W2656">
            <v>0</v>
          </cell>
          <cell r="X2656" t="str">
            <v>0</v>
          </cell>
        </row>
        <row r="2657">
          <cell r="I2657" t="str">
            <v>met</v>
          </cell>
          <cell r="V2657" t="str">
            <v>0</v>
          </cell>
          <cell r="W2657">
            <v>0</v>
          </cell>
          <cell r="X2657" t="str">
            <v>0</v>
          </cell>
        </row>
        <row r="2658">
          <cell r="I2658" t="str">
            <v>met</v>
          </cell>
          <cell r="V2658" t="str">
            <v>0</v>
          </cell>
          <cell r="W2658">
            <v>0</v>
          </cell>
          <cell r="X2658" t="str">
            <v>0</v>
          </cell>
        </row>
        <row r="2659">
          <cell r="I2659" t="str">
            <v>met</v>
          </cell>
          <cell r="V2659" t="str">
            <v>0</v>
          </cell>
          <cell r="W2659">
            <v>0</v>
          </cell>
          <cell r="X2659" t="str">
            <v>0</v>
          </cell>
        </row>
        <row r="2660">
          <cell r="I2660" t="str">
            <v>met</v>
          </cell>
          <cell r="V2660" t="str">
            <v>0</v>
          </cell>
          <cell r="W2660">
            <v>0</v>
          </cell>
          <cell r="X2660" t="str">
            <v>0</v>
          </cell>
        </row>
        <row r="2661">
          <cell r="I2661" t="str">
            <v>met</v>
          </cell>
          <cell r="V2661" t="str">
            <v>0</v>
          </cell>
          <cell r="W2661">
            <v>0</v>
          </cell>
          <cell r="X2661" t="str">
            <v>0</v>
          </cell>
        </row>
        <row r="2662">
          <cell r="I2662" t="str">
            <v>sim</v>
          </cell>
          <cell r="V2662" t="str">
            <v>antonym</v>
          </cell>
          <cell r="W2662">
            <v>1</v>
          </cell>
          <cell r="X2662" t="str">
            <v>intens</v>
          </cell>
        </row>
        <row r="2663">
          <cell r="I2663" t="str">
            <v>sim</v>
          </cell>
          <cell r="V2663" t="str">
            <v>antonym</v>
          </cell>
          <cell r="W2663">
            <v>1</v>
          </cell>
          <cell r="X2663" t="str">
            <v>neg</v>
          </cell>
        </row>
        <row r="2664">
          <cell r="I2664" t="str">
            <v>sim</v>
          </cell>
          <cell r="V2664" t="str">
            <v>not neg pair</v>
          </cell>
          <cell r="W2664">
            <v>0</v>
          </cell>
          <cell r="X2664" t="str">
            <v>0</v>
          </cell>
        </row>
        <row r="2665">
          <cell r="I2665" t="str">
            <v>sim</v>
          </cell>
          <cell r="V2665" t="str">
            <v>not neg pair</v>
          </cell>
          <cell r="W2665">
            <v>0</v>
          </cell>
          <cell r="X2665" t="str">
            <v>0</v>
          </cell>
        </row>
        <row r="2666">
          <cell r="I2666" t="str">
            <v>sim</v>
          </cell>
          <cell r="V2666" t="str">
            <v>not neg pair</v>
          </cell>
          <cell r="W2666">
            <v>0</v>
          </cell>
          <cell r="X2666" t="str">
            <v>0</v>
          </cell>
        </row>
        <row r="2667">
          <cell r="I2667" t="str">
            <v>sim</v>
          </cell>
          <cell r="V2667" t="str">
            <v>not neg pair</v>
          </cell>
          <cell r="W2667">
            <v>0</v>
          </cell>
          <cell r="X2667" t="str">
            <v>0</v>
          </cell>
        </row>
        <row r="2668">
          <cell r="I2668" t="str">
            <v>sim</v>
          </cell>
          <cell r="V2668" t="str">
            <v>not neg pair</v>
          </cell>
          <cell r="W2668">
            <v>0</v>
          </cell>
          <cell r="X2668" t="str">
            <v>0</v>
          </cell>
        </row>
        <row r="2669">
          <cell r="I2669" t="str">
            <v>sim</v>
          </cell>
          <cell r="V2669" t="str">
            <v>not neg pair</v>
          </cell>
          <cell r="W2669">
            <v>0</v>
          </cell>
          <cell r="X2669" t="str">
            <v>0</v>
          </cell>
        </row>
        <row r="2670">
          <cell r="I2670" t="str">
            <v>sim</v>
          </cell>
          <cell r="V2670" t="str">
            <v>not neg pair</v>
          </cell>
          <cell r="W2670">
            <v>0</v>
          </cell>
          <cell r="X2670" t="str">
            <v>0</v>
          </cell>
        </row>
        <row r="2671">
          <cell r="I2671" t="str">
            <v>sim</v>
          </cell>
          <cell r="V2671" t="str">
            <v>not neg pair</v>
          </cell>
          <cell r="W2671">
            <v>0</v>
          </cell>
          <cell r="X2671" t="str">
            <v>0</v>
          </cell>
        </row>
        <row r="2672">
          <cell r="I2672" t="str">
            <v>sim</v>
          </cell>
          <cell r="V2672" t="str">
            <v>not neg pair</v>
          </cell>
          <cell r="W2672">
            <v>0</v>
          </cell>
          <cell r="X2672" t="str">
            <v>0</v>
          </cell>
        </row>
        <row r="2673">
          <cell r="I2673" t="str">
            <v>sim</v>
          </cell>
          <cell r="V2673" t="str">
            <v>not neg pair</v>
          </cell>
          <cell r="W2673">
            <v>0</v>
          </cell>
          <cell r="X2673" t="str">
            <v>0</v>
          </cell>
        </row>
        <row r="2674">
          <cell r="I2674" t="str">
            <v>sim</v>
          </cell>
          <cell r="V2674" t="str">
            <v>not</v>
          </cell>
          <cell r="W2674">
            <v>1</v>
          </cell>
          <cell r="X2674" t="str">
            <v>neg</v>
          </cell>
        </row>
        <row r="2675">
          <cell r="I2675" t="str">
            <v>sim</v>
          </cell>
          <cell r="V2675" t="str">
            <v>not</v>
          </cell>
          <cell r="W2675">
            <v>1</v>
          </cell>
          <cell r="X2675" t="str">
            <v>intens</v>
          </cell>
        </row>
        <row r="2676">
          <cell r="I2676" t="str">
            <v>sim</v>
          </cell>
          <cell r="V2676" t="str">
            <v>not neg pair</v>
          </cell>
          <cell r="W2676">
            <v>0</v>
          </cell>
          <cell r="X2676" t="str">
            <v>0</v>
          </cell>
        </row>
        <row r="2677">
          <cell r="I2677" t="str">
            <v>sim</v>
          </cell>
          <cell r="V2677" t="str">
            <v>not neg pair</v>
          </cell>
          <cell r="W2677">
            <v>0</v>
          </cell>
          <cell r="X2677" t="str">
            <v>0</v>
          </cell>
        </row>
        <row r="2678">
          <cell r="I2678" t="str">
            <v>sim</v>
          </cell>
          <cell r="V2678" t="str">
            <v>not neg pair</v>
          </cell>
          <cell r="W2678">
            <v>0</v>
          </cell>
          <cell r="X2678" t="str">
            <v>0</v>
          </cell>
        </row>
        <row r="2679">
          <cell r="I2679" t="str">
            <v>sim</v>
          </cell>
          <cell r="V2679" t="str">
            <v>not neg pair</v>
          </cell>
          <cell r="W2679">
            <v>0</v>
          </cell>
          <cell r="X2679" t="str">
            <v>0</v>
          </cell>
        </row>
        <row r="2680">
          <cell r="I2680" t="str">
            <v>sim</v>
          </cell>
          <cell r="V2680" t="str">
            <v>not neg pair</v>
          </cell>
          <cell r="W2680">
            <v>0</v>
          </cell>
          <cell r="X2680" t="str">
            <v>0</v>
          </cell>
        </row>
        <row r="2681">
          <cell r="I2681" t="str">
            <v>sim</v>
          </cell>
          <cell r="V2681" t="str">
            <v>not neg pair</v>
          </cell>
          <cell r="W2681">
            <v>0</v>
          </cell>
          <cell r="X2681" t="str">
            <v>0</v>
          </cell>
        </row>
        <row r="2682">
          <cell r="I2682" t="str">
            <v>sim</v>
          </cell>
          <cell r="V2682" t="str">
            <v>not neg pair</v>
          </cell>
          <cell r="W2682">
            <v>0</v>
          </cell>
          <cell r="X2682" t="str">
            <v>0</v>
          </cell>
        </row>
        <row r="2683">
          <cell r="I2683" t="str">
            <v>sim</v>
          </cell>
          <cell r="V2683" t="str">
            <v>not neg pair</v>
          </cell>
          <cell r="W2683">
            <v>0</v>
          </cell>
          <cell r="X2683" t="str">
            <v>0</v>
          </cell>
        </row>
        <row r="2684">
          <cell r="I2684" t="str">
            <v>sim</v>
          </cell>
          <cell r="V2684" t="str">
            <v>antonym</v>
          </cell>
          <cell r="W2684">
            <v>1</v>
          </cell>
          <cell r="X2684" t="str">
            <v>intens</v>
          </cell>
        </row>
        <row r="2685">
          <cell r="I2685" t="str">
            <v>sim</v>
          </cell>
          <cell r="V2685" t="str">
            <v>antonym</v>
          </cell>
          <cell r="W2685">
            <v>1</v>
          </cell>
          <cell r="X2685" t="str">
            <v>neg</v>
          </cell>
        </row>
        <row r="2686">
          <cell r="I2686" t="str">
            <v>sim</v>
          </cell>
          <cell r="V2686" t="str">
            <v>not</v>
          </cell>
          <cell r="W2686">
            <v>1</v>
          </cell>
          <cell r="X2686" t="str">
            <v>intens</v>
          </cell>
        </row>
        <row r="2687">
          <cell r="I2687" t="str">
            <v>sim</v>
          </cell>
          <cell r="V2687" t="str">
            <v>not</v>
          </cell>
          <cell r="W2687">
            <v>1</v>
          </cell>
          <cell r="X2687" t="str">
            <v>neg</v>
          </cell>
        </row>
        <row r="2688">
          <cell r="I2688" t="str">
            <v>sim</v>
          </cell>
          <cell r="V2688" t="str">
            <v>antonym</v>
          </cell>
          <cell r="W2688">
            <v>1</v>
          </cell>
          <cell r="X2688" t="str">
            <v>intens</v>
          </cell>
        </row>
        <row r="2689">
          <cell r="I2689" t="str">
            <v>sim</v>
          </cell>
          <cell r="V2689" t="str">
            <v>antonym</v>
          </cell>
          <cell r="W2689">
            <v>1</v>
          </cell>
          <cell r="X2689" t="str">
            <v>neg</v>
          </cell>
        </row>
        <row r="2690">
          <cell r="I2690" t="str">
            <v>met</v>
          </cell>
          <cell r="V2690" t="str">
            <v>0</v>
          </cell>
          <cell r="W2690">
            <v>0</v>
          </cell>
          <cell r="X2690" t="str">
            <v>0</v>
          </cell>
        </row>
        <row r="2691">
          <cell r="I2691" t="str">
            <v>met</v>
          </cell>
          <cell r="V2691" t="str">
            <v>0</v>
          </cell>
          <cell r="W2691">
            <v>0</v>
          </cell>
          <cell r="X2691" t="str">
            <v>0</v>
          </cell>
        </row>
        <row r="2692">
          <cell r="I2692" t="str">
            <v>met</v>
          </cell>
          <cell r="V2692" t="str">
            <v>0</v>
          </cell>
          <cell r="W2692">
            <v>0</v>
          </cell>
          <cell r="X2692" t="str">
            <v>0</v>
          </cell>
        </row>
        <row r="2693">
          <cell r="I2693" t="str">
            <v>met</v>
          </cell>
          <cell r="V2693" t="str">
            <v>0</v>
          </cell>
          <cell r="W2693">
            <v>0</v>
          </cell>
          <cell r="X2693" t="str">
            <v>0</v>
          </cell>
        </row>
        <row r="2694">
          <cell r="I2694" t="str">
            <v>met</v>
          </cell>
          <cell r="V2694" t="str">
            <v>0</v>
          </cell>
          <cell r="W2694">
            <v>0</v>
          </cell>
          <cell r="X2694" t="str">
            <v>0</v>
          </cell>
        </row>
        <row r="2695">
          <cell r="I2695" t="str">
            <v>met</v>
          </cell>
          <cell r="V2695" t="str">
            <v>0</v>
          </cell>
          <cell r="W2695">
            <v>0</v>
          </cell>
          <cell r="X2695" t="str">
            <v>0</v>
          </cell>
        </row>
        <row r="2696">
          <cell r="I2696" t="str">
            <v>sim</v>
          </cell>
          <cell r="V2696" t="str">
            <v>not neg pair</v>
          </cell>
          <cell r="W2696">
            <v>0</v>
          </cell>
          <cell r="X2696" t="str">
            <v>0</v>
          </cell>
        </row>
        <row r="2697">
          <cell r="I2697" t="str">
            <v>sim</v>
          </cell>
          <cell r="V2697" t="str">
            <v>not neg pair</v>
          </cell>
          <cell r="W2697">
            <v>0</v>
          </cell>
          <cell r="X2697" t="str">
            <v>0</v>
          </cell>
        </row>
        <row r="2698">
          <cell r="I2698" t="str">
            <v>sim</v>
          </cell>
          <cell r="V2698" t="str">
            <v>antonym</v>
          </cell>
          <cell r="W2698">
            <v>1</v>
          </cell>
          <cell r="X2698" t="str">
            <v>neg</v>
          </cell>
        </row>
        <row r="2699">
          <cell r="I2699" t="str">
            <v>sim</v>
          </cell>
          <cell r="V2699" t="str">
            <v>antonym</v>
          </cell>
          <cell r="W2699">
            <v>1</v>
          </cell>
          <cell r="X2699" t="str">
            <v>intens</v>
          </cell>
        </row>
        <row r="2700">
          <cell r="I2700" t="str">
            <v>sim</v>
          </cell>
          <cell r="V2700" t="str">
            <v>antonym</v>
          </cell>
          <cell r="W2700">
            <v>1</v>
          </cell>
          <cell r="X2700" t="str">
            <v>intens</v>
          </cell>
        </row>
        <row r="2701">
          <cell r="I2701" t="str">
            <v>sim</v>
          </cell>
          <cell r="V2701" t="str">
            <v>antonym</v>
          </cell>
          <cell r="W2701">
            <v>1</v>
          </cell>
          <cell r="X2701" t="str">
            <v>neg</v>
          </cell>
        </row>
        <row r="2702">
          <cell r="I2702" t="str">
            <v>sim</v>
          </cell>
          <cell r="V2702" t="str">
            <v>not neg pair</v>
          </cell>
          <cell r="W2702">
            <v>0</v>
          </cell>
          <cell r="X2702" t="str">
            <v>0</v>
          </cell>
        </row>
        <row r="2703">
          <cell r="I2703" t="str">
            <v>sim</v>
          </cell>
          <cell r="V2703" t="str">
            <v>not neg pair</v>
          </cell>
          <cell r="W2703">
            <v>0</v>
          </cell>
          <cell r="X2703" t="str">
            <v>0</v>
          </cell>
        </row>
        <row r="2704">
          <cell r="I2704" t="str">
            <v>sim</v>
          </cell>
          <cell r="V2704" t="str">
            <v>not neg pair</v>
          </cell>
          <cell r="W2704">
            <v>0</v>
          </cell>
          <cell r="X2704" t="str">
            <v>0</v>
          </cell>
        </row>
        <row r="2705">
          <cell r="I2705" t="str">
            <v>sim</v>
          </cell>
          <cell r="V2705" t="str">
            <v>not neg pair</v>
          </cell>
          <cell r="W2705">
            <v>0</v>
          </cell>
          <cell r="X2705" t="str">
            <v>0</v>
          </cell>
        </row>
        <row r="2706">
          <cell r="I2706" t="str">
            <v>sim</v>
          </cell>
          <cell r="V2706" t="str">
            <v>not neg pair</v>
          </cell>
          <cell r="W2706">
            <v>0</v>
          </cell>
          <cell r="X2706" t="str">
            <v>0</v>
          </cell>
        </row>
        <row r="2707">
          <cell r="I2707" t="str">
            <v>sim</v>
          </cell>
          <cell r="V2707" t="str">
            <v>not neg pair</v>
          </cell>
          <cell r="W2707">
            <v>0</v>
          </cell>
          <cell r="X2707" t="str">
            <v>0</v>
          </cell>
        </row>
        <row r="2708">
          <cell r="I2708" t="str">
            <v>met</v>
          </cell>
          <cell r="V2708" t="str">
            <v>0</v>
          </cell>
          <cell r="W2708">
            <v>0</v>
          </cell>
          <cell r="X2708" t="str">
            <v>0</v>
          </cell>
        </row>
        <row r="2709">
          <cell r="I2709" t="str">
            <v>met</v>
          </cell>
          <cell r="V2709" t="str">
            <v>0</v>
          </cell>
          <cell r="W2709">
            <v>0</v>
          </cell>
          <cell r="X2709" t="str">
            <v>0</v>
          </cell>
        </row>
        <row r="2710">
          <cell r="I2710" t="str">
            <v>met</v>
          </cell>
          <cell r="V2710" t="str">
            <v>0</v>
          </cell>
          <cell r="W2710">
            <v>0</v>
          </cell>
          <cell r="X2710" t="str">
            <v>0</v>
          </cell>
        </row>
        <row r="2711">
          <cell r="I2711" t="str">
            <v>met</v>
          </cell>
          <cell r="V2711" t="str">
            <v>0</v>
          </cell>
          <cell r="W2711">
            <v>0</v>
          </cell>
          <cell r="X2711" t="str">
            <v>0</v>
          </cell>
        </row>
        <row r="2712">
          <cell r="I2712" t="str">
            <v>met</v>
          </cell>
          <cell r="V2712" t="str">
            <v>0</v>
          </cell>
          <cell r="W2712">
            <v>0</v>
          </cell>
          <cell r="X2712" t="str">
            <v>0</v>
          </cell>
        </row>
        <row r="2713">
          <cell r="I2713" t="str">
            <v>met</v>
          </cell>
          <cell r="V2713" t="str">
            <v>0</v>
          </cell>
          <cell r="W2713">
            <v>0</v>
          </cell>
          <cell r="X2713" t="str">
            <v>0</v>
          </cell>
        </row>
        <row r="2714">
          <cell r="I2714" t="str">
            <v>sim</v>
          </cell>
          <cell r="V2714" t="str">
            <v>not neg pair</v>
          </cell>
          <cell r="W2714">
            <v>0</v>
          </cell>
          <cell r="X2714" t="str">
            <v>0</v>
          </cell>
        </row>
        <row r="2715">
          <cell r="I2715" t="str">
            <v>sim</v>
          </cell>
          <cell r="V2715" t="str">
            <v>not neg pair</v>
          </cell>
          <cell r="W2715">
            <v>0</v>
          </cell>
          <cell r="X2715" t="str">
            <v>0</v>
          </cell>
        </row>
        <row r="2716">
          <cell r="I2716" t="str">
            <v>sim</v>
          </cell>
          <cell r="V2716" t="str">
            <v>not neg pair</v>
          </cell>
          <cell r="W2716">
            <v>0</v>
          </cell>
          <cell r="X2716" t="str">
            <v>0</v>
          </cell>
        </row>
        <row r="2717">
          <cell r="I2717" t="str">
            <v>sim</v>
          </cell>
          <cell r="V2717" t="str">
            <v>not neg pair</v>
          </cell>
          <cell r="W2717">
            <v>0</v>
          </cell>
          <cell r="X2717" t="str">
            <v>0</v>
          </cell>
        </row>
        <row r="2718">
          <cell r="I2718" t="str">
            <v>sim</v>
          </cell>
          <cell r="V2718" t="str">
            <v>not neg pair</v>
          </cell>
          <cell r="W2718">
            <v>0</v>
          </cell>
          <cell r="X2718" t="str">
            <v>0</v>
          </cell>
        </row>
        <row r="2719">
          <cell r="I2719" t="str">
            <v>sim</v>
          </cell>
          <cell r="V2719" t="str">
            <v>not neg pair</v>
          </cell>
          <cell r="W2719">
            <v>0</v>
          </cell>
          <cell r="X2719" t="str">
            <v>0</v>
          </cell>
        </row>
        <row r="2720">
          <cell r="I2720" t="str">
            <v>sim</v>
          </cell>
          <cell r="V2720" t="str">
            <v>not</v>
          </cell>
          <cell r="W2720">
            <v>1</v>
          </cell>
          <cell r="X2720" t="str">
            <v>neg</v>
          </cell>
        </row>
        <row r="2721">
          <cell r="I2721" t="str">
            <v>sim</v>
          </cell>
          <cell r="V2721" t="str">
            <v>not</v>
          </cell>
          <cell r="W2721">
            <v>1</v>
          </cell>
          <cell r="X2721" t="str">
            <v>intens</v>
          </cell>
        </row>
        <row r="2722">
          <cell r="I2722" t="str">
            <v>sim</v>
          </cell>
          <cell r="V2722" t="str">
            <v>not</v>
          </cell>
          <cell r="W2722">
            <v>1</v>
          </cell>
          <cell r="X2722" t="str">
            <v>neg</v>
          </cell>
        </row>
        <row r="2723">
          <cell r="I2723" t="str">
            <v>sim</v>
          </cell>
          <cell r="V2723" t="str">
            <v>not</v>
          </cell>
          <cell r="W2723">
            <v>1</v>
          </cell>
          <cell r="X2723" t="str">
            <v>intens</v>
          </cell>
        </row>
        <row r="2724">
          <cell r="I2724" t="str">
            <v>sim</v>
          </cell>
          <cell r="V2724" t="str">
            <v>not</v>
          </cell>
          <cell r="W2724">
            <v>1</v>
          </cell>
          <cell r="X2724" t="str">
            <v>neg</v>
          </cell>
        </row>
        <row r="2725">
          <cell r="I2725" t="str">
            <v>sim</v>
          </cell>
          <cell r="V2725" t="str">
            <v>not</v>
          </cell>
          <cell r="W2725">
            <v>1</v>
          </cell>
          <cell r="X2725" t="str">
            <v>intens</v>
          </cell>
        </row>
        <row r="2726">
          <cell r="I2726" t="str">
            <v>sim</v>
          </cell>
          <cell r="V2726" t="str">
            <v>not</v>
          </cell>
          <cell r="W2726">
            <v>1</v>
          </cell>
          <cell r="X2726" t="str">
            <v>intens</v>
          </cell>
        </row>
        <row r="2727">
          <cell r="I2727" t="str">
            <v>sim</v>
          </cell>
          <cell r="V2727" t="str">
            <v>not</v>
          </cell>
          <cell r="W2727">
            <v>1</v>
          </cell>
          <cell r="X2727" t="str">
            <v>neg</v>
          </cell>
        </row>
        <row r="2728">
          <cell r="I2728" t="str">
            <v>sim</v>
          </cell>
          <cell r="V2728" t="str">
            <v>not neg pair</v>
          </cell>
          <cell r="W2728">
            <v>0</v>
          </cell>
          <cell r="X2728" t="str">
            <v>0</v>
          </cell>
        </row>
        <row r="2729">
          <cell r="I2729" t="str">
            <v>sim</v>
          </cell>
          <cell r="V2729" t="str">
            <v>not neg pair</v>
          </cell>
          <cell r="W2729">
            <v>0</v>
          </cell>
          <cell r="X2729" t="str">
            <v>0</v>
          </cell>
        </row>
        <row r="2730">
          <cell r="I2730" t="str">
            <v>sim</v>
          </cell>
          <cell r="V2730" t="str">
            <v>not</v>
          </cell>
          <cell r="W2730">
            <v>1</v>
          </cell>
          <cell r="X2730" t="str">
            <v>intens</v>
          </cell>
        </row>
        <row r="2731">
          <cell r="I2731" t="str">
            <v>sim</v>
          </cell>
          <cell r="V2731" t="str">
            <v>not</v>
          </cell>
          <cell r="W2731">
            <v>1</v>
          </cell>
          <cell r="X2731" t="str">
            <v>neg</v>
          </cell>
        </row>
        <row r="2732">
          <cell r="I2732" t="str">
            <v>sim</v>
          </cell>
          <cell r="V2732" t="str">
            <v>not</v>
          </cell>
          <cell r="W2732">
            <v>1</v>
          </cell>
          <cell r="X2732" t="str">
            <v>intens</v>
          </cell>
        </row>
        <row r="2733">
          <cell r="I2733" t="str">
            <v>sim</v>
          </cell>
          <cell r="V2733" t="str">
            <v>not</v>
          </cell>
          <cell r="W2733">
            <v>1</v>
          </cell>
          <cell r="X2733" t="str">
            <v>neg</v>
          </cell>
        </row>
        <row r="2734">
          <cell r="I2734" t="str">
            <v>sim</v>
          </cell>
          <cell r="V2734" t="str">
            <v>not neg pair</v>
          </cell>
          <cell r="W2734">
            <v>0</v>
          </cell>
          <cell r="X2734" t="str">
            <v>0</v>
          </cell>
        </row>
        <row r="2735">
          <cell r="I2735" t="str">
            <v>sim</v>
          </cell>
          <cell r="V2735" t="str">
            <v>not neg pair</v>
          </cell>
          <cell r="W2735">
            <v>0</v>
          </cell>
          <cell r="X2735" t="str">
            <v>0</v>
          </cell>
        </row>
        <row r="2736">
          <cell r="I2736" t="str">
            <v>sim</v>
          </cell>
          <cell r="V2736" t="str">
            <v>0</v>
          </cell>
          <cell r="W2736">
            <v>0</v>
          </cell>
          <cell r="X2736" t="str">
            <v>0</v>
          </cell>
        </row>
        <row r="2737">
          <cell r="I2737" t="str">
            <v>met</v>
          </cell>
          <cell r="V2737" t="str">
            <v>0</v>
          </cell>
          <cell r="W2737">
            <v>0</v>
          </cell>
          <cell r="X2737" t="str">
            <v>0</v>
          </cell>
        </row>
        <row r="2738">
          <cell r="I2738" t="str">
            <v>sim</v>
          </cell>
          <cell r="V2738" t="str">
            <v>not neg pair</v>
          </cell>
          <cell r="W2738">
            <v>0</v>
          </cell>
          <cell r="X2738" t="str">
            <v>0</v>
          </cell>
        </row>
        <row r="2739">
          <cell r="I2739" t="str">
            <v>sim</v>
          </cell>
          <cell r="V2739" t="str">
            <v>not neg pair</v>
          </cell>
          <cell r="W2739">
            <v>0</v>
          </cell>
          <cell r="X2739" t="str">
            <v>0</v>
          </cell>
        </row>
        <row r="2740">
          <cell r="I2740" t="str">
            <v>sim</v>
          </cell>
          <cell r="V2740" t="str">
            <v>not neg pair</v>
          </cell>
          <cell r="W2740">
            <v>0</v>
          </cell>
          <cell r="X2740" t="str">
            <v>0</v>
          </cell>
        </row>
        <row r="2741">
          <cell r="I2741" t="str">
            <v>sim</v>
          </cell>
          <cell r="V2741" t="str">
            <v>not neg pair</v>
          </cell>
          <cell r="W2741">
            <v>0</v>
          </cell>
          <cell r="X2741" t="str">
            <v>0</v>
          </cell>
        </row>
        <row r="2742">
          <cell r="I2742" t="str">
            <v>sim</v>
          </cell>
          <cell r="V2742" t="str">
            <v>antonym</v>
          </cell>
          <cell r="W2742">
            <v>1</v>
          </cell>
          <cell r="X2742" t="str">
            <v>intens</v>
          </cell>
        </row>
        <row r="2743">
          <cell r="I2743" t="str">
            <v>sim</v>
          </cell>
          <cell r="V2743" t="str">
            <v>antonym</v>
          </cell>
          <cell r="W2743">
            <v>1</v>
          </cell>
          <cell r="X2743" t="str">
            <v>neg</v>
          </cell>
        </row>
        <row r="2744">
          <cell r="I2744" t="str">
            <v>sim</v>
          </cell>
          <cell r="V2744" t="str">
            <v>not neg pair</v>
          </cell>
          <cell r="W2744">
            <v>0</v>
          </cell>
          <cell r="X2744" t="str">
            <v>0</v>
          </cell>
        </row>
        <row r="2745">
          <cell r="I2745" t="str">
            <v>sim</v>
          </cell>
          <cell r="V2745" t="str">
            <v>not neg pair</v>
          </cell>
          <cell r="W2745">
            <v>0</v>
          </cell>
          <cell r="X2745" t="str">
            <v>0</v>
          </cell>
        </row>
        <row r="2746">
          <cell r="I2746" t="str">
            <v>met</v>
          </cell>
          <cell r="V2746" t="str">
            <v>0</v>
          </cell>
          <cell r="W2746">
            <v>0</v>
          </cell>
          <cell r="X2746" t="str">
            <v>0</v>
          </cell>
        </row>
        <row r="2747">
          <cell r="I2747" t="str">
            <v>met</v>
          </cell>
          <cell r="V2747" t="str">
            <v>0</v>
          </cell>
          <cell r="W2747">
            <v>0</v>
          </cell>
          <cell r="X2747" t="str">
            <v>0</v>
          </cell>
        </row>
        <row r="2748">
          <cell r="I2748" t="str">
            <v>sim</v>
          </cell>
          <cell r="V2748" t="str">
            <v>not neg pair</v>
          </cell>
          <cell r="W2748">
            <v>0</v>
          </cell>
          <cell r="X2748" t="str">
            <v>0</v>
          </cell>
        </row>
        <row r="2749">
          <cell r="I2749" t="str">
            <v>sim</v>
          </cell>
          <cell r="V2749" t="str">
            <v>not neg pair</v>
          </cell>
          <cell r="W2749">
            <v>0</v>
          </cell>
          <cell r="X2749" t="str">
            <v>0</v>
          </cell>
        </row>
        <row r="2750">
          <cell r="I2750" t="str">
            <v>sim</v>
          </cell>
          <cell r="V2750" t="str">
            <v>antonym</v>
          </cell>
          <cell r="W2750">
            <v>1</v>
          </cell>
          <cell r="X2750" t="str">
            <v>intens</v>
          </cell>
        </row>
        <row r="2751">
          <cell r="I2751" t="str">
            <v>sim</v>
          </cell>
          <cell r="V2751" t="str">
            <v>antonym</v>
          </cell>
          <cell r="W2751">
            <v>1</v>
          </cell>
          <cell r="X2751" t="str">
            <v>neg</v>
          </cell>
        </row>
        <row r="2752">
          <cell r="I2752" t="str">
            <v>met</v>
          </cell>
          <cell r="V2752" t="str">
            <v>0</v>
          </cell>
          <cell r="W2752">
            <v>0</v>
          </cell>
          <cell r="X2752" t="str">
            <v>0</v>
          </cell>
        </row>
        <row r="2753">
          <cell r="I2753" t="str">
            <v>met</v>
          </cell>
          <cell r="V2753" t="str">
            <v>0</v>
          </cell>
          <cell r="W2753">
            <v>0</v>
          </cell>
          <cell r="X2753" t="str">
            <v>0</v>
          </cell>
        </row>
        <row r="2754">
          <cell r="I2754" t="str">
            <v>sim</v>
          </cell>
          <cell r="V2754" t="str">
            <v>not neg pair</v>
          </cell>
          <cell r="W2754">
            <v>0</v>
          </cell>
          <cell r="X2754" t="str">
            <v>0</v>
          </cell>
        </row>
        <row r="2755">
          <cell r="I2755" t="str">
            <v>sim</v>
          </cell>
          <cell r="V2755" t="str">
            <v>not neg pair</v>
          </cell>
          <cell r="W2755">
            <v>0</v>
          </cell>
          <cell r="X2755" t="str">
            <v>0</v>
          </cell>
        </row>
        <row r="2756">
          <cell r="I2756" t="str">
            <v>sim</v>
          </cell>
          <cell r="V2756" t="str">
            <v>not neg pair</v>
          </cell>
          <cell r="W2756">
            <v>0</v>
          </cell>
          <cell r="X2756" t="str">
            <v>0</v>
          </cell>
        </row>
        <row r="2757">
          <cell r="I2757" t="str">
            <v>sim</v>
          </cell>
          <cell r="V2757" t="str">
            <v>not neg pair</v>
          </cell>
          <cell r="W2757">
            <v>0</v>
          </cell>
          <cell r="X2757" t="str">
            <v>0</v>
          </cell>
        </row>
        <row r="2758">
          <cell r="I2758" t="str">
            <v>sim</v>
          </cell>
          <cell r="V2758" t="str">
            <v>antonym</v>
          </cell>
          <cell r="W2758">
            <v>1</v>
          </cell>
          <cell r="X2758" t="str">
            <v>neg</v>
          </cell>
        </row>
        <row r="2759">
          <cell r="I2759" t="str">
            <v>sim</v>
          </cell>
          <cell r="V2759" t="str">
            <v>antonym</v>
          </cell>
          <cell r="W2759">
            <v>1</v>
          </cell>
          <cell r="X2759" t="str">
            <v>intens</v>
          </cell>
        </row>
        <row r="2760">
          <cell r="I2760" t="str">
            <v>sim</v>
          </cell>
          <cell r="V2760" t="str">
            <v>not</v>
          </cell>
          <cell r="W2760">
            <v>1</v>
          </cell>
          <cell r="X2760" t="str">
            <v>neg</v>
          </cell>
        </row>
        <row r="2761">
          <cell r="I2761" t="str">
            <v>sim</v>
          </cell>
          <cell r="V2761" t="str">
            <v>not</v>
          </cell>
          <cell r="W2761">
            <v>1</v>
          </cell>
          <cell r="X2761" t="str">
            <v>intens</v>
          </cell>
        </row>
        <row r="2762">
          <cell r="I2762" t="str">
            <v>met</v>
          </cell>
          <cell r="V2762" t="str">
            <v>0</v>
          </cell>
          <cell r="W2762">
            <v>0</v>
          </cell>
          <cell r="X2762" t="str">
            <v>0</v>
          </cell>
        </row>
        <row r="2763">
          <cell r="I2763" t="str">
            <v>met</v>
          </cell>
          <cell r="V2763" t="str">
            <v>0</v>
          </cell>
          <cell r="W2763">
            <v>0</v>
          </cell>
          <cell r="X2763" t="str">
            <v>0</v>
          </cell>
        </row>
        <row r="2764">
          <cell r="I2764" t="str">
            <v>met</v>
          </cell>
          <cell r="V2764" t="str">
            <v>0</v>
          </cell>
          <cell r="W2764">
            <v>0</v>
          </cell>
          <cell r="X2764" t="str">
            <v>0</v>
          </cell>
        </row>
        <row r="2765">
          <cell r="I2765" t="str">
            <v>met</v>
          </cell>
          <cell r="V2765" t="str">
            <v>0</v>
          </cell>
          <cell r="W2765">
            <v>0</v>
          </cell>
          <cell r="X2765" t="str">
            <v>0</v>
          </cell>
        </row>
        <row r="2766">
          <cell r="I2766" t="str">
            <v>met</v>
          </cell>
          <cell r="V2766" t="str">
            <v>0</v>
          </cell>
          <cell r="W2766">
            <v>0</v>
          </cell>
          <cell r="X2766" t="str">
            <v>0</v>
          </cell>
        </row>
        <row r="2767">
          <cell r="I2767" t="str">
            <v>met</v>
          </cell>
          <cell r="V2767" t="str">
            <v>0</v>
          </cell>
          <cell r="W2767">
            <v>0</v>
          </cell>
          <cell r="X2767" t="str">
            <v>0</v>
          </cell>
        </row>
        <row r="2768">
          <cell r="I2768" t="str">
            <v>sim</v>
          </cell>
          <cell r="V2768" t="str">
            <v>antonym</v>
          </cell>
          <cell r="W2768">
            <v>1</v>
          </cell>
          <cell r="X2768" t="str">
            <v>intens</v>
          </cell>
        </row>
        <row r="2769">
          <cell r="I2769" t="str">
            <v>sim</v>
          </cell>
          <cell r="V2769" t="str">
            <v>antonym</v>
          </cell>
          <cell r="W2769">
            <v>1</v>
          </cell>
          <cell r="X2769" t="str">
            <v>neg</v>
          </cell>
        </row>
        <row r="2770">
          <cell r="I2770" t="str">
            <v>sim</v>
          </cell>
          <cell r="V2770" t="str">
            <v>antonym</v>
          </cell>
          <cell r="W2770">
            <v>1</v>
          </cell>
          <cell r="X2770" t="str">
            <v>intens</v>
          </cell>
        </row>
        <row r="2771">
          <cell r="I2771" t="str">
            <v>sim</v>
          </cell>
          <cell r="V2771" t="str">
            <v>antonym</v>
          </cell>
          <cell r="W2771">
            <v>1</v>
          </cell>
          <cell r="X2771" t="str">
            <v>neg</v>
          </cell>
        </row>
        <row r="2772">
          <cell r="I2772" t="str">
            <v>sim</v>
          </cell>
          <cell r="V2772" t="str">
            <v>antonym</v>
          </cell>
          <cell r="W2772">
            <v>1</v>
          </cell>
          <cell r="X2772" t="str">
            <v>intens</v>
          </cell>
        </row>
        <row r="2773">
          <cell r="I2773" t="str">
            <v>sim</v>
          </cell>
          <cell r="V2773" t="str">
            <v>antonym</v>
          </cell>
          <cell r="W2773">
            <v>1</v>
          </cell>
          <cell r="X2773" t="str">
            <v>neg</v>
          </cell>
        </row>
        <row r="2774">
          <cell r="I2774" t="str">
            <v>met</v>
          </cell>
          <cell r="V2774" t="str">
            <v>0</v>
          </cell>
          <cell r="W2774">
            <v>0</v>
          </cell>
          <cell r="X2774" t="str">
            <v>0</v>
          </cell>
        </row>
        <row r="2775">
          <cell r="I2775" t="str">
            <v>met</v>
          </cell>
          <cell r="V2775" t="str">
            <v>0</v>
          </cell>
          <cell r="W2775">
            <v>0</v>
          </cell>
          <cell r="X2775" t="str">
            <v>0</v>
          </cell>
        </row>
        <row r="2776">
          <cell r="I2776" t="str">
            <v>met</v>
          </cell>
          <cell r="V2776" t="str">
            <v>0</v>
          </cell>
          <cell r="W2776">
            <v>0</v>
          </cell>
          <cell r="X2776" t="str">
            <v>0</v>
          </cell>
        </row>
        <row r="2777">
          <cell r="I2777" t="str">
            <v>sim</v>
          </cell>
          <cell r="V2777" t="str">
            <v>not neg pair</v>
          </cell>
          <cell r="W2777">
            <v>0</v>
          </cell>
          <cell r="X2777" t="str">
            <v>0</v>
          </cell>
        </row>
        <row r="2778">
          <cell r="I2778" t="str">
            <v>met</v>
          </cell>
          <cell r="V2778" t="str">
            <v>0</v>
          </cell>
          <cell r="W2778">
            <v>0</v>
          </cell>
          <cell r="X2778" t="str">
            <v>0</v>
          </cell>
        </row>
        <row r="2779">
          <cell r="I2779" t="str">
            <v>met</v>
          </cell>
          <cell r="V2779" t="str">
            <v>0</v>
          </cell>
          <cell r="W2779">
            <v>0</v>
          </cell>
          <cell r="X2779" t="str">
            <v>0</v>
          </cell>
        </row>
        <row r="2780">
          <cell r="I2780" t="str">
            <v>sim</v>
          </cell>
          <cell r="V2780" t="str">
            <v>not neg pair</v>
          </cell>
          <cell r="W2780">
            <v>0</v>
          </cell>
          <cell r="X2780" t="str">
            <v>0</v>
          </cell>
        </row>
        <row r="2781">
          <cell r="I2781" t="str">
            <v>sim</v>
          </cell>
          <cell r="V2781" t="str">
            <v>not neg pair</v>
          </cell>
          <cell r="W2781">
            <v>0</v>
          </cell>
          <cell r="X2781" t="str">
            <v>0</v>
          </cell>
        </row>
        <row r="2782">
          <cell r="I2782" t="str">
            <v>sim</v>
          </cell>
          <cell r="V2782" t="str">
            <v>not neg pair</v>
          </cell>
          <cell r="W2782">
            <v>0</v>
          </cell>
          <cell r="X2782" t="str">
            <v>0</v>
          </cell>
        </row>
        <row r="2783">
          <cell r="I2783" t="str">
            <v>sim</v>
          </cell>
          <cell r="V2783" t="str">
            <v>not neg pair</v>
          </cell>
          <cell r="W2783">
            <v>0</v>
          </cell>
          <cell r="X2783" t="str">
            <v>0</v>
          </cell>
        </row>
        <row r="2784">
          <cell r="I2784" t="str">
            <v>met</v>
          </cell>
          <cell r="V2784" t="str">
            <v>0</v>
          </cell>
          <cell r="W2784">
            <v>0</v>
          </cell>
          <cell r="X2784" t="str">
            <v>0</v>
          </cell>
        </row>
        <row r="2785">
          <cell r="I2785" t="str">
            <v>met</v>
          </cell>
          <cell r="V2785" t="str">
            <v>0</v>
          </cell>
          <cell r="W2785">
            <v>0</v>
          </cell>
          <cell r="X2785" t="str">
            <v>0</v>
          </cell>
        </row>
        <row r="2786">
          <cell r="I2786" t="str">
            <v>sim</v>
          </cell>
          <cell r="V2786" t="str">
            <v>antonym</v>
          </cell>
          <cell r="W2786">
            <v>1</v>
          </cell>
          <cell r="X2786" t="str">
            <v>intens</v>
          </cell>
        </row>
        <row r="2787">
          <cell r="I2787" t="str">
            <v>sim</v>
          </cell>
          <cell r="V2787" t="str">
            <v>antonym</v>
          </cell>
          <cell r="W2787">
            <v>1</v>
          </cell>
          <cell r="X2787" t="str">
            <v>neg</v>
          </cell>
        </row>
        <row r="2788">
          <cell r="I2788" t="str">
            <v>sim</v>
          </cell>
          <cell r="V2788" t="str">
            <v>antonym</v>
          </cell>
          <cell r="W2788">
            <v>1</v>
          </cell>
          <cell r="X2788" t="str">
            <v>intens</v>
          </cell>
        </row>
        <row r="2789">
          <cell r="I2789" t="str">
            <v>sim</v>
          </cell>
          <cell r="V2789" t="str">
            <v>antonym</v>
          </cell>
          <cell r="W2789">
            <v>1</v>
          </cell>
          <cell r="X2789" t="str">
            <v>neg</v>
          </cell>
        </row>
        <row r="2790">
          <cell r="I2790" t="str">
            <v>sim</v>
          </cell>
          <cell r="V2790" t="str">
            <v>antonym</v>
          </cell>
          <cell r="W2790">
            <v>1</v>
          </cell>
          <cell r="X2790" t="str">
            <v>intens</v>
          </cell>
        </row>
        <row r="2791">
          <cell r="I2791" t="str">
            <v>sim</v>
          </cell>
          <cell r="V2791" t="str">
            <v>antonym</v>
          </cell>
          <cell r="W2791">
            <v>1</v>
          </cell>
          <cell r="X2791" t="str">
            <v>neg</v>
          </cell>
        </row>
        <row r="2792">
          <cell r="I2792" t="str">
            <v>sim</v>
          </cell>
          <cell r="V2792" t="str">
            <v>not neg pair</v>
          </cell>
          <cell r="W2792">
            <v>0</v>
          </cell>
          <cell r="X2792" t="str">
            <v>0</v>
          </cell>
        </row>
        <row r="2793">
          <cell r="I2793" t="str">
            <v>sim</v>
          </cell>
          <cell r="V2793" t="str">
            <v>not neg pair</v>
          </cell>
          <cell r="W2793">
            <v>0</v>
          </cell>
          <cell r="X2793" t="str">
            <v>0</v>
          </cell>
        </row>
        <row r="2794">
          <cell r="I2794" t="str">
            <v>sim</v>
          </cell>
          <cell r="V2794" t="str">
            <v>not neg pair</v>
          </cell>
          <cell r="W2794">
            <v>0</v>
          </cell>
          <cell r="X2794" t="str">
            <v>0</v>
          </cell>
        </row>
        <row r="2795">
          <cell r="I2795" t="str">
            <v>sim</v>
          </cell>
          <cell r="V2795" t="str">
            <v>not neg pair</v>
          </cell>
          <cell r="W2795">
            <v>0</v>
          </cell>
          <cell r="X2795" t="str">
            <v>0</v>
          </cell>
        </row>
        <row r="2796">
          <cell r="I2796" t="str">
            <v>sim</v>
          </cell>
          <cell r="V2796" t="str">
            <v>not neg pair</v>
          </cell>
          <cell r="W2796">
            <v>0</v>
          </cell>
          <cell r="X2796" t="str">
            <v>0</v>
          </cell>
        </row>
        <row r="2797">
          <cell r="I2797" t="str">
            <v>sim</v>
          </cell>
          <cell r="V2797" t="str">
            <v>not neg pair</v>
          </cell>
          <cell r="W2797">
            <v>0</v>
          </cell>
          <cell r="X2797" t="str">
            <v>0</v>
          </cell>
        </row>
        <row r="2798">
          <cell r="I2798" t="str">
            <v>sim</v>
          </cell>
          <cell r="V2798" t="str">
            <v>not neg pair</v>
          </cell>
          <cell r="W2798">
            <v>0</v>
          </cell>
          <cell r="X2798" t="str">
            <v>0</v>
          </cell>
        </row>
        <row r="2799">
          <cell r="I2799" t="str">
            <v>sim</v>
          </cell>
          <cell r="V2799" t="str">
            <v>not neg pair</v>
          </cell>
          <cell r="W2799">
            <v>0</v>
          </cell>
          <cell r="X2799" t="str">
            <v>0</v>
          </cell>
        </row>
        <row r="2800">
          <cell r="I2800" t="str">
            <v>sim</v>
          </cell>
          <cell r="V2800" t="str">
            <v>not neg pair</v>
          </cell>
          <cell r="W2800">
            <v>0</v>
          </cell>
          <cell r="X2800" t="str">
            <v>0</v>
          </cell>
        </row>
        <row r="2801">
          <cell r="I2801" t="str">
            <v>sim</v>
          </cell>
          <cell r="V2801" t="str">
            <v>not neg pair</v>
          </cell>
          <cell r="W2801">
            <v>0</v>
          </cell>
          <cell r="X2801" t="str">
            <v>0</v>
          </cell>
        </row>
        <row r="2802">
          <cell r="I2802" t="str">
            <v>sim</v>
          </cell>
          <cell r="V2802" t="str">
            <v>not neg pair</v>
          </cell>
          <cell r="W2802">
            <v>0</v>
          </cell>
          <cell r="X2802" t="str">
            <v>0</v>
          </cell>
        </row>
        <row r="2803">
          <cell r="I2803" t="str">
            <v>sim</v>
          </cell>
          <cell r="V2803" t="str">
            <v>not neg pair</v>
          </cell>
          <cell r="W2803">
            <v>0</v>
          </cell>
          <cell r="X2803" t="str">
            <v>0</v>
          </cell>
        </row>
        <row r="2804">
          <cell r="I2804" t="str">
            <v>sim</v>
          </cell>
          <cell r="V2804" t="str">
            <v>antonym</v>
          </cell>
          <cell r="W2804">
            <v>1</v>
          </cell>
          <cell r="X2804" t="str">
            <v>intens</v>
          </cell>
        </row>
        <row r="2805">
          <cell r="I2805" t="str">
            <v>sim</v>
          </cell>
          <cell r="V2805" t="str">
            <v>antonym</v>
          </cell>
          <cell r="W2805">
            <v>1</v>
          </cell>
          <cell r="X2805" t="str">
            <v>neg</v>
          </cell>
        </row>
        <row r="2806">
          <cell r="I2806" t="str">
            <v>sim</v>
          </cell>
          <cell r="V2806" t="str">
            <v>antonym</v>
          </cell>
          <cell r="W2806">
            <v>1</v>
          </cell>
          <cell r="X2806" t="str">
            <v>intens</v>
          </cell>
        </row>
        <row r="2807">
          <cell r="I2807" t="str">
            <v>sim</v>
          </cell>
          <cell r="V2807" t="str">
            <v>antonym</v>
          </cell>
          <cell r="W2807">
            <v>1</v>
          </cell>
          <cell r="X2807" t="str">
            <v>neg</v>
          </cell>
        </row>
        <row r="2808">
          <cell r="I2808" t="str">
            <v>sim</v>
          </cell>
          <cell r="V2808" t="str">
            <v>not neg pair</v>
          </cell>
          <cell r="W2808">
            <v>0</v>
          </cell>
          <cell r="X2808" t="str">
            <v>0</v>
          </cell>
        </row>
        <row r="2809">
          <cell r="I2809" t="str">
            <v>sim</v>
          </cell>
          <cell r="V2809" t="str">
            <v>not neg pair</v>
          </cell>
          <cell r="W2809">
            <v>0</v>
          </cell>
          <cell r="X2809" t="str">
            <v>0</v>
          </cell>
        </row>
        <row r="2810">
          <cell r="I2810" t="str">
            <v>met</v>
          </cell>
          <cell r="V2810" t="str">
            <v>0</v>
          </cell>
          <cell r="W2810">
            <v>0</v>
          </cell>
          <cell r="X2810" t="str">
            <v>0</v>
          </cell>
        </row>
        <row r="2811">
          <cell r="I2811" t="str">
            <v>met</v>
          </cell>
          <cell r="V2811" t="str">
            <v>0</v>
          </cell>
          <cell r="W2811">
            <v>0</v>
          </cell>
          <cell r="X2811" t="str">
            <v>0</v>
          </cell>
        </row>
        <row r="2812">
          <cell r="I2812" t="str">
            <v>met</v>
          </cell>
          <cell r="V2812" t="str">
            <v>0</v>
          </cell>
          <cell r="W2812">
            <v>0</v>
          </cell>
          <cell r="X2812" t="str">
            <v>0</v>
          </cell>
        </row>
        <row r="2813">
          <cell r="I2813" t="str">
            <v>met</v>
          </cell>
          <cell r="V2813" t="str">
            <v>0</v>
          </cell>
          <cell r="W2813">
            <v>0</v>
          </cell>
          <cell r="X2813" t="str">
            <v>0</v>
          </cell>
        </row>
        <row r="2814">
          <cell r="I2814" t="str">
            <v>sim</v>
          </cell>
          <cell r="V2814" t="str">
            <v>not</v>
          </cell>
          <cell r="W2814">
            <v>1</v>
          </cell>
          <cell r="X2814" t="str">
            <v>intens</v>
          </cell>
        </row>
        <row r="2815">
          <cell r="I2815" t="str">
            <v>sim</v>
          </cell>
          <cell r="V2815" t="str">
            <v>not</v>
          </cell>
          <cell r="W2815">
            <v>1</v>
          </cell>
          <cell r="X2815" t="str">
            <v>neg</v>
          </cell>
        </row>
        <row r="2816">
          <cell r="I2816" t="str">
            <v>met</v>
          </cell>
          <cell r="V2816" t="str">
            <v>0</v>
          </cell>
          <cell r="W2816">
            <v>0</v>
          </cell>
          <cell r="X2816" t="str">
            <v>0</v>
          </cell>
        </row>
        <row r="2817">
          <cell r="I2817" t="str">
            <v>met</v>
          </cell>
          <cell r="V2817" t="str">
            <v>0</v>
          </cell>
          <cell r="W2817">
            <v>0</v>
          </cell>
          <cell r="X2817" t="str">
            <v>0</v>
          </cell>
        </row>
        <row r="2818">
          <cell r="I2818" t="str">
            <v>sim</v>
          </cell>
          <cell r="V2818" t="str">
            <v>not neg pair</v>
          </cell>
          <cell r="W2818">
            <v>0</v>
          </cell>
          <cell r="X2818" t="str">
            <v>0</v>
          </cell>
        </row>
        <row r="2819">
          <cell r="I2819" t="str">
            <v>sim</v>
          </cell>
          <cell r="V2819" t="str">
            <v>not neg pair</v>
          </cell>
          <cell r="W2819">
            <v>0</v>
          </cell>
          <cell r="X2819" t="str">
            <v>0</v>
          </cell>
        </row>
        <row r="2820">
          <cell r="I2820" t="str">
            <v>sim</v>
          </cell>
          <cell r="V2820" t="str">
            <v>not</v>
          </cell>
          <cell r="W2820">
            <v>1</v>
          </cell>
          <cell r="X2820" t="str">
            <v>intens</v>
          </cell>
        </row>
        <row r="2821">
          <cell r="I2821" t="str">
            <v>sim</v>
          </cell>
          <cell r="V2821" t="str">
            <v>not</v>
          </cell>
          <cell r="W2821">
            <v>1</v>
          </cell>
          <cell r="X2821" t="str">
            <v>neg</v>
          </cell>
        </row>
        <row r="2822">
          <cell r="I2822" t="str">
            <v>sim</v>
          </cell>
          <cell r="V2822" t="str">
            <v>antonym</v>
          </cell>
          <cell r="W2822">
            <v>1</v>
          </cell>
          <cell r="X2822" t="str">
            <v>intens</v>
          </cell>
        </row>
        <row r="2823">
          <cell r="I2823" t="str">
            <v>sim</v>
          </cell>
          <cell r="V2823" t="str">
            <v>antonym</v>
          </cell>
          <cell r="W2823">
            <v>1</v>
          </cell>
          <cell r="X2823" t="str">
            <v>neg</v>
          </cell>
        </row>
        <row r="2824">
          <cell r="I2824" t="str">
            <v>met</v>
          </cell>
          <cell r="V2824" t="str">
            <v>0</v>
          </cell>
          <cell r="W2824">
            <v>0</v>
          </cell>
          <cell r="X2824" t="str">
            <v>0</v>
          </cell>
        </row>
        <row r="2825">
          <cell r="I2825" t="str">
            <v>met</v>
          </cell>
          <cell r="V2825" t="str">
            <v>0</v>
          </cell>
          <cell r="W2825">
            <v>0</v>
          </cell>
          <cell r="X2825" t="str">
            <v>0</v>
          </cell>
        </row>
        <row r="2826">
          <cell r="I2826" t="str">
            <v>sim</v>
          </cell>
          <cell r="V2826" t="str">
            <v>not</v>
          </cell>
          <cell r="W2826">
            <v>1</v>
          </cell>
          <cell r="X2826" t="str">
            <v>neg</v>
          </cell>
        </row>
        <row r="2827">
          <cell r="I2827" t="str">
            <v>sim</v>
          </cell>
          <cell r="V2827" t="str">
            <v>not</v>
          </cell>
          <cell r="W2827">
            <v>1</v>
          </cell>
          <cell r="X2827" t="str">
            <v>intens</v>
          </cell>
        </row>
        <row r="2828">
          <cell r="I2828" t="str">
            <v>sim</v>
          </cell>
          <cell r="V2828" t="str">
            <v>antonym</v>
          </cell>
          <cell r="W2828">
            <v>1</v>
          </cell>
          <cell r="X2828" t="str">
            <v>intens</v>
          </cell>
        </row>
        <row r="2829">
          <cell r="I2829" t="str">
            <v>sim</v>
          </cell>
          <cell r="V2829" t="str">
            <v>antonym</v>
          </cell>
          <cell r="W2829">
            <v>1</v>
          </cell>
          <cell r="X2829" t="str">
            <v>neg</v>
          </cell>
        </row>
        <row r="2830">
          <cell r="I2830" t="str">
            <v>sim</v>
          </cell>
          <cell r="V2830" t="str">
            <v>antonym</v>
          </cell>
          <cell r="W2830">
            <v>1</v>
          </cell>
          <cell r="X2830" t="str">
            <v>intens</v>
          </cell>
        </row>
        <row r="2831">
          <cell r="I2831" t="str">
            <v>sim</v>
          </cell>
          <cell r="V2831" t="str">
            <v>antonym</v>
          </cell>
          <cell r="W2831">
            <v>1</v>
          </cell>
          <cell r="X2831" t="str">
            <v>neg</v>
          </cell>
        </row>
        <row r="2832">
          <cell r="I2832" t="str">
            <v>sim</v>
          </cell>
          <cell r="V2832" t="str">
            <v>not neg pair</v>
          </cell>
          <cell r="W2832">
            <v>0</v>
          </cell>
          <cell r="X2832" t="str">
            <v>0</v>
          </cell>
        </row>
        <row r="2833">
          <cell r="I2833" t="str">
            <v>sim</v>
          </cell>
          <cell r="V2833" t="str">
            <v>not neg pair</v>
          </cell>
          <cell r="W2833">
            <v>0</v>
          </cell>
          <cell r="X2833" t="str">
            <v>0</v>
          </cell>
        </row>
        <row r="2834">
          <cell r="I2834" t="str">
            <v>sim</v>
          </cell>
          <cell r="V2834" t="str">
            <v>antonym</v>
          </cell>
          <cell r="W2834">
            <v>1</v>
          </cell>
          <cell r="X2834" t="str">
            <v>neg</v>
          </cell>
        </row>
        <row r="2835">
          <cell r="I2835" t="str">
            <v>sim</v>
          </cell>
          <cell r="V2835" t="str">
            <v>antonym</v>
          </cell>
          <cell r="W2835">
            <v>1</v>
          </cell>
          <cell r="X2835" t="str">
            <v>intens</v>
          </cell>
        </row>
        <row r="2836">
          <cell r="I2836" t="str">
            <v>sim</v>
          </cell>
          <cell r="V2836" t="str">
            <v>not neg pair</v>
          </cell>
          <cell r="W2836">
            <v>0</v>
          </cell>
          <cell r="X2836" t="str">
            <v>0</v>
          </cell>
        </row>
        <row r="2837">
          <cell r="I2837" t="str">
            <v>sim</v>
          </cell>
          <cell r="V2837" t="str">
            <v>not neg pair</v>
          </cell>
          <cell r="W2837">
            <v>0</v>
          </cell>
          <cell r="X2837" t="str">
            <v>0</v>
          </cell>
        </row>
        <row r="2838">
          <cell r="I2838" t="str">
            <v>sim</v>
          </cell>
          <cell r="V2838" t="str">
            <v>not neg pair</v>
          </cell>
          <cell r="W2838">
            <v>0</v>
          </cell>
          <cell r="X2838" t="str">
            <v>0</v>
          </cell>
        </row>
        <row r="2839">
          <cell r="I2839" t="str">
            <v>sim</v>
          </cell>
          <cell r="V2839" t="str">
            <v>not neg pair</v>
          </cell>
          <cell r="W2839">
            <v>0</v>
          </cell>
          <cell r="X2839" t="str">
            <v>0</v>
          </cell>
        </row>
        <row r="2840">
          <cell r="I2840" t="str">
            <v>sim</v>
          </cell>
          <cell r="V2840" t="str">
            <v>not neg pair</v>
          </cell>
          <cell r="W2840">
            <v>0</v>
          </cell>
          <cell r="X2840" t="str">
            <v>0</v>
          </cell>
        </row>
        <row r="2841">
          <cell r="I2841" t="str">
            <v>sim</v>
          </cell>
          <cell r="V2841" t="str">
            <v>not neg pair</v>
          </cell>
          <cell r="W2841">
            <v>0</v>
          </cell>
          <cell r="X2841" t="str">
            <v>0</v>
          </cell>
        </row>
        <row r="2842">
          <cell r="I2842" t="str">
            <v>sim</v>
          </cell>
          <cell r="V2842" t="str">
            <v>not neg pair</v>
          </cell>
          <cell r="W2842">
            <v>0</v>
          </cell>
          <cell r="X2842" t="str">
            <v>0</v>
          </cell>
        </row>
        <row r="2843">
          <cell r="I2843" t="str">
            <v>sim</v>
          </cell>
          <cell r="V2843" t="str">
            <v>not neg pair</v>
          </cell>
          <cell r="W2843">
            <v>0</v>
          </cell>
          <cell r="X2843" t="str">
            <v>0</v>
          </cell>
        </row>
        <row r="2844">
          <cell r="I2844" t="str">
            <v>sim</v>
          </cell>
          <cell r="V2844" t="str">
            <v>not</v>
          </cell>
          <cell r="W2844">
            <v>1</v>
          </cell>
          <cell r="X2844" t="str">
            <v>neg</v>
          </cell>
        </row>
        <row r="2845">
          <cell r="I2845" t="str">
            <v>sim</v>
          </cell>
          <cell r="V2845" t="str">
            <v>not</v>
          </cell>
          <cell r="W2845">
            <v>1</v>
          </cell>
          <cell r="X2845" t="str">
            <v>intens</v>
          </cell>
        </row>
        <row r="2846">
          <cell r="I2846" t="str">
            <v>sim</v>
          </cell>
          <cell r="V2846" t="str">
            <v>not</v>
          </cell>
          <cell r="W2846">
            <v>1</v>
          </cell>
          <cell r="X2846" t="str">
            <v>neg</v>
          </cell>
        </row>
        <row r="2847">
          <cell r="I2847" t="str">
            <v>sim</v>
          </cell>
          <cell r="V2847" t="str">
            <v>not</v>
          </cell>
          <cell r="W2847">
            <v>1</v>
          </cell>
          <cell r="X2847" t="str">
            <v>intens</v>
          </cell>
        </row>
        <row r="2848">
          <cell r="I2848" t="str">
            <v>sim</v>
          </cell>
          <cell r="V2848" t="str">
            <v>not neg pair</v>
          </cell>
          <cell r="W2848">
            <v>0</v>
          </cell>
          <cell r="X2848" t="str">
            <v>0</v>
          </cell>
        </row>
        <row r="2849">
          <cell r="I2849" t="str">
            <v>sim</v>
          </cell>
          <cell r="V2849" t="str">
            <v>not neg pair</v>
          </cell>
          <cell r="W2849">
            <v>0</v>
          </cell>
          <cell r="X2849" t="str">
            <v>0</v>
          </cell>
        </row>
        <row r="2850">
          <cell r="I2850" t="str">
            <v>sim</v>
          </cell>
          <cell r="V2850" t="str">
            <v>not</v>
          </cell>
          <cell r="W2850">
            <v>1</v>
          </cell>
          <cell r="X2850" t="str">
            <v>intens</v>
          </cell>
        </row>
        <row r="2851">
          <cell r="I2851" t="str">
            <v>sim</v>
          </cell>
          <cell r="V2851" t="str">
            <v>not</v>
          </cell>
          <cell r="W2851">
            <v>1</v>
          </cell>
          <cell r="X2851" t="str">
            <v>neg</v>
          </cell>
        </row>
        <row r="2852">
          <cell r="I2852" t="str">
            <v>sim</v>
          </cell>
          <cell r="V2852" t="str">
            <v>antonym</v>
          </cell>
          <cell r="W2852">
            <v>1</v>
          </cell>
          <cell r="X2852" t="str">
            <v>neg</v>
          </cell>
        </row>
        <row r="2853">
          <cell r="I2853" t="str">
            <v>sim</v>
          </cell>
          <cell r="V2853" t="str">
            <v>antonym</v>
          </cell>
          <cell r="W2853">
            <v>1</v>
          </cell>
          <cell r="X2853" t="str">
            <v>intens</v>
          </cell>
        </row>
        <row r="2854">
          <cell r="I2854" t="str">
            <v>met</v>
          </cell>
          <cell r="V2854" t="str">
            <v>0</v>
          </cell>
          <cell r="W2854">
            <v>0</v>
          </cell>
          <cell r="X2854" t="str">
            <v>0</v>
          </cell>
        </row>
        <row r="2855">
          <cell r="I2855" t="str">
            <v>met</v>
          </cell>
          <cell r="V2855" t="str">
            <v>0</v>
          </cell>
          <cell r="W2855">
            <v>0</v>
          </cell>
          <cell r="X2855" t="str">
            <v>0</v>
          </cell>
        </row>
        <row r="2856">
          <cell r="I2856" t="str">
            <v>met</v>
          </cell>
          <cell r="V2856" t="str">
            <v>0</v>
          </cell>
          <cell r="W2856">
            <v>0</v>
          </cell>
          <cell r="X2856" t="str">
            <v>0</v>
          </cell>
        </row>
        <row r="2857">
          <cell r="I2857" t="str">
            <v>met</v>
          </cell>
          <cell r="V2857" t="str">
            <v>0</v>
          </cell>
          <cell r="W2857">
            <v>0</v>
          </cell>
          <cell r="X2857" t="str">
            <v>0</v>
          </cell>
        </row>
        <row r="2858">
          <cell r="I2858" t="str">
            <v>met</v>
          </cell>
          <cell r="V2858" t="str">
            <v>0</v>
          </cell>
          <cell r="W2858">
            <v>0</v>
          </cell>
          <cell r="X2858" t="str">
            <v>0</v>
          </cell>
        </row>
        <row r="2859">
          <cell r="I2859" t="str">
            <v>met</v>
          </cell>
          <cell r="V2859" t="str">
            <v>0</v>
          </cell>
          <cell r="W2859">
            <v>0</v>
          </cell>
          <cell r="X2859" t="str">
            <v>0</v>
          </cell>
        </row>
        <row r="2860">
          <cell r="I2860" t="str">
            <v>met</v>
          </cell>
          <cell r="V2860" t="str">
            <v>0</v>
          </cell>
          <cell r="W2860">
            <v>0</v>
          </cell>
          <cell r="X2860" t="str">
            <v>0</v>
          </cell>
        </row>
        <row r="2861">
          <cell r="I2861" t="str">
            <v>met</v>
          </cell>
          <cell r="V2861" t="str">
            <v>0</v>
          </cell>
          <cell r="W2861">
            <v>0</v>
          </cell>
          <cell r="X2861" t="str">
            <v>0</v>
          </cell>
        </row>
        <row r="2862">
          <cell r="I2862" t="str">
            <v>sim</v>
          </cell>
          <cell r="V2862" t="str">
            <v>not neg pair</v>
          </cell>
          <cell r="W2862">
            <v>0</v>
          </cell>
          <cell r="X2862" t="str">
            <v>0</v>
          </cell>
        </row>
        <row r="2863">
          <cell r="I2863" t="str">
            <v>sim</v>
          </cell>
          <cell r="V2863" t="str">
            <v>not neg pair</v>
          </cell>
          <cell r="W2863">
            <v>0</v>
          </cell>
          <cell r="X2863" t="str">
            <v>0</v>
          </cell>
        </row>
        <row r="2864">
          <cell r="I2864" t="str">
            <v>sim</v>
          </cell>
          <cell r="V2864" t="str">
            <v>not</v>
          </cell>
          <cell r="W2864">
            <v>1</v>
          </cell>
          <cell r="X2864" t="str">
            <v>intens</v>
          </cell>
        </row>
        <row r="2865">
          <cell r="I2865" t="str">
            <v>sim</v>
          </cell>
          <cell r="V2865" t="str">
            <v>not</v>
          </cell>
          <cell r="W2865">
            <v>1</v>
          </cell>
          <cell r="X2865" t="str">
            <v>neg</v>
          </cell>
        </row>
        <row r="2866">
          <cell r="I2866" t="str">
            <v>sim</v>
          </cell>
          <cell r="V2866" t="str">
            <v>not</v>
          </cell>
          <cell r="W2866">
            <v>1</v>
          </cell>
          <cell r="X2866" t="str">
            <v>intens</v>
          </cell>
        </row>
        <row r="2867">
          <cell r="I2867" t="str">
            <v>sim</v>
          </cell>
          <cell r="V2867" t="str">
            <v>not</v>
          </cell>
          <cell r="W2867">
            <v>1</v>
          </cell>
          <cell r="X2867" t="str">
            <v>neg</v>
          </cell>
        </row>
        <row r="2868">
          <cell r="I2868" t="str">
            <v>sim</v>
          </cell>
          <cell r="V2868" t="str">
            <v>not</v>
          </cell>
          <cell r="W2868">
            <v>1</v>
          </cell>
          <cell r="X2868" t="str">
            <v>intens</v>
          </cell>
        </row>
        <row r="2869">
          <cell r="I2869" t="str">
            <v>sim</v>
          </cell>
          <cell r="V2869" t="str">
            <v>not</v>
          </cell>
          <cell r="W2869">
            <v>1</v>
          </cell>
          <cell r="X2869" t="str">
            <v>neg</v>
          </cell>
        </row>
        <row r="2870">
          <cell r="I2870" t="str">
            <v>sim</v>
          </cell>
          <cell r="V2870" t="str">
            <v>not</v>
          </cell>
          <cell r="W2870">
            <v>1</v>
          </cell>
          <cell r="X2870" t="str">
            <v>intens</v>
          </cell>
        </row>
        <row r="2871">
          <cell r="I2871" t="str">
            <v>sim</v>
          </cell>
          <cell r="V2871" t="str">
            <v>not</v>
          </cell>
          <cell r="W2871">
            <v>1</v>
          </cell>
          <cell r="X2871" t="str">
            <v>neg</v>
          </cell>
        </row>
        <row r="2872">
          <cell r="I2872" t="str">
            <v>sim</v>
          </cell>
          <cell r="V2872" t="str">
            <v>not neg pair</v>
          </cell>
          <cell r="W2872">
            <v>0</v>
          </cell>
          <cell r="X2872" t="str">
            <v>0</v>
          </cell>
        </row>
        <row r="2873">
          <cell r="I2873" t="str">
            <v>sim</v>
          </cell>
          <cell r="V2873" t="str">
            <v>not neg pair</v>
          </cell>
          <cell r="W2873">
            <v>0</v>
          </cell>
          <cell r="X2873" t="str">
            <v>0</v>
          </cell>
        </row>
        <row r="2874">
          <cell r="I2874" t="str">
            <v>sim</v>
          </cell>
          <cell r="V2874" t="str">
            <v>not</v>
          </cell>
          <cell r="W2874">
            <v>1</v>
          </cell>
          <cell r="X2874" t="str">
            <v>neg</v>
          </cell>
        </row>
        <row r="2875">
          <cell r="I2875" t="str">
            <v>sim</v>
          </cell>
          <cell r="V2875" t="str">
            <v>not</v>
          </cell>
          <cell r="W2875">
            <v>1</v>
          </cell>
          <cell r="X2875" t="str">
            <v>intens</v>
          </cell>
        </row>
        <row r="2876">
          <cell r="I2876" t="str">
            <v>sim</v>
          </cell>
          <cell r="V2876" t="str">
            <v>not neg pair</v>
          </cell>
          <cell r="W2876">
            <v>0</v>
          </cell>
          <cell r="X2876" t="str">
            <v>0</v>
          </cell>
        </row>
        <row r="2877">
          <cell r="I2877" t="str">
            <v>sim</v>
          </cell>
          <cell r="V2877" t="str">
            <v>not neg pair</v>
          </cell>
          <cell r="W2877">
            <v>0</v>
          </cell>
          <cell r="X2877" t="str">
            <v>0</v>
          </cell>
        </row>
        <row r="2878">
          <cell r="I2878" t="str">
            <v>sim</v>
          </cell>
          <cell r="V2878" t="str">
            <v>not</v>
          </cell>
          <cell r="W2878">
            <v>1</v>
          </cell>
          <cell r="X2878" t="str">
            <v>neg</v>
          </cell>
        </row>
        <row r="2879">
          <cell r="I2879" t="str">
            <v>sim</v>
          </cell>
          <cell r="V2879" t="str">
            <v>not</v>
          </cell>
          <cell r="W2879">
            <v>1</v>
          </cell>
          <cell r="X2879" t="str">
            <v>intens</v>
          </cell>
        </row>
        <row r="2880">
          <cell r="I2880" t="str">
            <v>met</v>
          </cell>
          <cell r="V2880" t="str">
            <v>0</v>
          </cell>
          <cell r="W2880">
            <v>0</v>
          </cell>
          <cell r="X2880" t="str">
            <v>0</v>
          </cell>
        </row>
        <row r="2881">
          <cell r="I2881" t="str">
            <v>met</v>
          </cell>
          <cell r="V2881" t="str">
            <v>0</v>
          </cell>
          <cell r="W2881">
            <v>0</v>
          </cell>
          <cell r="X2881" t="str">
            <v>0</v>
          </cell>
        </row>
        <row r="2882">
          <cell r="I2882" t="str">
            <v>met</v>
          </cell>
          <cell r="V2882" t="str">
            <v>0</v>
          </cell>
          <cell r="W2882">
            <v>0</v>
          </cell>
          <cell r="X2882" t="str">
            <v>0</v>
          </cell>
        </row>
        <row r="2883">
          <cell r="I2883" t="str">
            <v>met</v>
          </cell>
          <cell r="V2883" t="str">
            <v>0</v>
          </cell>
          <cell r="W2883">
            <v>0</v>
          </cell>
          <cell r="X2883" t="str">
            <v>0</v>
          </cell>
        </row>
        <row r="2884">
          <cell r="I2884" t="str">
            <v>met</v>
          </cell>
          <cell r="V2884" t="str">
            <v>0</v>
          </cell>
          <cell r="W2884">
            <v>0</v>
          </cell>
          <cell r="X2884" t="str">
            <v>0</v>
          </cell>
        </row>
        <row r="2885">
          <cell r="I2885" t="str">
            <v>met</v>
          </cell>
          <cell r="V2885" t="str">
            <v>0</v>
          </cell>
          <cell r="W2885">
            <v>0</v>
          </cell>
          <cell r="X2885" t="str">
            <v>0</v>
          </cell>
        </row>
        <row r="2886">
          <cell r="I2886" t="str">
            <v>met</v>
          </cell>
          <cell r="V2886" t="str">
            <v>0</v>
          </cell>
          <cell r="W2886">
            <v>0</v>
          </cell>
          <cell r="X2886" t="str">
            <v>0</v>
          </cell>
        </row>
        <row r="2887">
          <cell r="I2887" t="str">
            <v>met</v>
          </cell>
          <cell r="V2887" t="str">
            <v>0</v>
          </cell>
          <cell r="W2887">
            <v>0</v>
          </cell>
          <cell r="X2887" t="str">
            <v>0</v>
          </cell>
        </row>
        <row r="2888">
          <cell r="I2888" t="str">
            <v>met</v>
          </cell>
          <cell r="V2888" t="str">
            <v>0</v>
          </cell>
          <cell r="W2888">
            <v>0</v>
          </cell>
          <cell r="X2888" t="str">
            <v>0</v>
          </cell>
        </row>
        <row r="2889">
          <cell r="I2889" t="str">
            <v>met</v>
          </cell>
          <cell r="V2889" t="str">
            <v>0</v>
          </cell>
          <cell r="W2889">
            <v>0</v>
          </cell>
          <cell r="X2889" t="str">
            <v>0</v>
          </cell>
        </row>
        <row r="2890">
          <cell r="I2890" t="str">
            <v>met</v>
          </cell>
          <cell r="V2890" t="str">
            <v>0</v>
          </cell>
          <cell r="W2890">
            <v>0</v>
          </cell>
          <cell r="X2890" t="str">
            <v>0</v>
          </cell>
        </row>
        <row r="2891">
          <cell r="I2891" t="str">
            <v>met</v>
          </cell>
          <cell r="V2891" t="str">
            <v>0</v>
          </cell>
          <cell r="W2891">
            <v>0</v>
          </cell>
          <cell r="X2891" t="str">
            <v>0</v>
          </cell>
        </row>
        <row r="2892">
          <cell r="I2892" t="str">
            <v>sim</v>
          </cell>
          <cell r="V2892" t="str">
            <v>not neg pair</v>
          </cell>
          <cell r="W2892">
            <v>0</v>
          </cell>
          <cell r="X2892" t="str">
            <v>0</v>
          </cell>
        </row>
        <row r="2893">
          <cell r="I2893" t="str">
            <v>met</v>
          </cell>
          <cell r="V2893" t="str">
            <v>0</v>
          </cell>
          <cell r="W2893">
            <v>0</v>
          </cell>
          <cell r="X2893" t="str">
            <v>0</v>
          </cell>
        </row>
        <row r="2894">
          <cell r="I2894" t="str">
            <v>sim</v>
          </cell>
          <cell r="V2894" t="str">
            <v>not neg pair</v>
          </cell>
          <cell r="W2894">
            <v>0</v>
          </cell>
          <cell r="X2894" t="str">
            <v>0</v>
          </cell>
        </row>
        <row r="2895">
          <cell r="I2895" t="str">
            <v>met</v>
          </cell>
          <cell r="V2895" t="str">
            <v>0</v>
          </cell>
          <cell r="W2895">
            <v>0</v>
          </cell>
          <cell r="X2895" t="str">
            <v>0</v>
          </cell>
        </row>
        <row r="2896">
          <cell r="I2896" t="str">
            <v>met</v>
          </cell>
          <cell r="V2896" t="str">
            <v>0</v>
          </cell>
          <cell r="W2896">
            <v>0</v>
          </cell>
          <cell r="X2896" t="str">
            <v>0</v>
          </cell>
        </row>
        <row r="2897">
          <cell r="I2897" t="str">
            <v>met</v>
          </cell>
          <cell r="V2897" t="str">
            <v>0</v>
          </cell>
          <cell r="W2897">
            <v>0</v>
          </cell>
          <cell r="X2897" t="str">
            <v>0</v>
          </cell>
        </row>
        <row r="2898">
          <cell r="I2898" t="str">
            <v>sim</v>
          </cell>
          <cell r="V2898" t="str">
            <v>not</v>
          </cell>
          <cell r="W2898">
            <v>1</v>
          </cell>
          <cell r="X2898" t="str">
            <v>intens</v>
          </cell>
        </row>
        <row r="2899">
          <cell r="I2899" t="str">
            <v>sim</v>
          </cell>
          <cell r="V2899" t="str">
            <v>not</v>
          </cell>
          <cell r="W2899">
            <v>1</v>
          </cell>
          <cell r="X2899" t="str">
            <v>neg</v>
          </cell>
        </row>
        <row r="2900">
          <cell r="I2900" t="str">
            <v>sim</v>
          </cell>
          <cell r="V2900" t="str">
            <v>not neg pair</v>
          </cell>
          <cell r="W2900">
            <v>0</v>
          </cell>
          <cell r="X2900" t="str">
            <v>0</v>
          </cell>
        </row>
        <row r="2901">
          <cell r="I2901" t="str">
            <v>sim</v>
          </cell>
          <cell r="V2901" t="str">
            <v>not neg pair</v>
          </cell>
          <cell r="W2901">
            <v>0</v>
          </cell>
          <cell r="X2901" t="str">
            <v>0</v>
          </cell>
        </row>
        <row r="2902">
          <cell r="I2902" t="str">
            <v>sim</v>
          </cell>
          <cell r="V2902" t="str">
            <v>not neg pair</v>
          </cell>
          <cell r="W2902">
            <v>0</v>
          </cell>
          <cell r="X2902" t="str">
            <v>0</v>
          </cell>
        </row>
        <row r="2903">
          <cell r="I2903" t="str">
            <v>sim</v>
          </cell>
          <cell r="V2903" t="str">
            <v>not neg pair</v>
          </cell>
          <cell r="W2903">
            <v>0</v>
          </cell>
          <cell r="X2903" t="str">
            <v>0</v>
          </cell>
        </row>
        <row r="2904">
          <cell r="I2904" t="str">
            <v>sim</v>
          </cell>
          <cell r="V2904" t="str">
            <v>not neg pair</v>
          </cell>
          <cell r="W2904">
            <v>0</v>
          </cell>
          <cell r="X2904" t="str">
            <v>0</v>
          </cell>
        </row>
        <row r="2905">
          <cell r="I2905" t="str">
            <v>sim</v>
          </cell>
          <cell r="V2905" t="str">
            <v>not neg pair</v>
          </cell>
          <cell r="W2905">
            <v>0</v>
          </cell>
          <cell r="X2905" t="str">
            <v>0</v>
          </cell>
        </row>
        <row r="2906">
          <cell r="I2906" t="str">
            <v>sim</v>
          </cell>
          <cell r="V2906" t="str">
            <v>not neg pair</v>
          </cell>
          <cell r="W2906">
            <v>0</v>
          </cell>
          <cell r="X2906" t="str">
            <v>0</v>
          </cell>
        </row>
        <row r="2907">
          <cell r="I2907" t="str">
            <v>sim</v>
          </cell>
          <cell r="V2907" t="str">
            <v>not neg pair</v>
          </cell>
          <cell r="W2907">
            <v>0</v>
          </cell>
          <cell r="X2907" t="str">
            <v>0</v>
          </cell>
        </row>
        <row r="2908">
          <cell r="I2908" t="str">
            <v>met</v>
          </cell>
          <cell r="V2908" t="str">
            <v>0</v>
          </cell>
          <cell r="W2908">
            <v>0</v>
          </cell>
          <cell r="X2908" t="str">
            <v>0</v>
          </cell>
        </row>
        <row r="2909">
          <cell r="I2909" t="str">
            <v>met</v>
          </cell>
          <cell r="V2909" t="str">
            <v>0</v>
          </cell>
          <cell r="W2909">
            <v>0</v>
          </cell>
          <cell r="X2909" t="str">
            <v>0</v>
          </cell>
        </row>
        <row r="2910">
          <cell r="I2910" t="str">
            <v>sim</v>
          </cell>
          <cell r="V2910" t="str">
            <v>not</v>
          </cell>
          <cell r="W2910">
            <v>1</v>
          </cell>
          <cell r="X2910" t="str">
            <v>intens</v>
          </cell>
        </row>
        <row r="2911">
          <cell r="I2911" t="str">
            <v>sim</v>
          </cell>
          <cell r="V2911" t="str">
            <v>not</v>
          </cell>
          <cell r="W2911">
            <v>1</v>
          </cell>
          <cell r="X2911" t="str">
            <v>neg</v>
          </cell>
        </row>
        <row r="2912">
          <cell r="I2912" t="str">
            <v>sim</v>
          </cell>
          <cell r="V2912" t="str">
            <v>not neg pair</v>
          </cell>
          <cell r="W2912">
            <v>0</v>
          </cell>
          <cell r="X2912" t="str">
            <v>0</v>
          </cell>
        </row>
        <row r="2913">
          <cell r="I2913" t="str">
            <v>sim</v>
          </cell>
          <cell r="V2913" t="str">
            <v>not neg pair</v>
          </cell>
          <cell r="W2913">
            <v>0</v>
          </cell>
          <cell r="X2913" t="str">
            <v>0</v>
          </cell>
        </row>
        <row r="2914">
          <cell r="I2914" t="str">
            <v>sim</v>
          </cell>
          <cell r="V2914" t="str">
            <v>not neg pair</v>
          </cell>
          <cell r="W2914">
            <v>0</v>
          </cell>
          <cell r="X2914" t="str">
            <v>0</v>
          </cell>
        </row>
        <row r="2915">
          <cell r="I2915" t="str">
            <v>sim</v>
          </cell>
          <cell r="V2915" t="str">
            <v>not neg pair</v>
          </cell>
          <cell r="W2915">
            <v>0</v>
          </cell>
          <cell r="X2915" t="str">
            <v>0</v>
          </cell>
        </row>
        <row r="2916">
          <cell r="I2916" t="str">
            <v>met</v>
          </cell>
          <cell r="V2916" t="str">
            <v>0</v>
          </cell>
          <cell r="W2916">
            <v>0</v>
          </cell>
          <cell r="X2916" t="str">
            <v>0</v>
          </cell>
        </row>
        <row r="2917">
          <cell r="I2917" t="str">
            <v>met</v>
          </cell>
          <cell r="V2917" t="str">
            <v>0</v>
          </cell>
          <cell r="W2917">
            <v>0</v>
          </cell>
          <cell r="X2917" t="str">
            <v>0</v>
          </cell>
        </row>
        <row r="2918">
          <cell r="I2918" t="str">
            <v>met</v>
          </cell>
          <cell r="V2918" t="str">
            <v>0</v>
          </cell>
          <cell r="W2918">
            <v>0</v>
          </cell>
          <cell r="X2918" t="str">
            <v>0</v>
          </cell>
        </row>
        <row r="2919">
          <cell r="I2919" t="str">
            <v>met</v>
          </cell>
          <cell r="V2919" t="str">
            <v>0</v>
          </cell>
          <cell r="W2919">
            <v>0</v>
          </cell>
          <cell r="X2919" t="str">
            <v>0</v>
          </cell>
        </row>
        <row r="2920">
          <cell r="I2920" t="str">
            <v>sim</v>
          </cell>
          <cell r="V2920" t="str">
            <v>not</v>
          </cell>
          <cell r="W2920">
            <v>1</v>
          </cell>
          <cell r="X2920" t="str">
            <v>intens</v>
          </cell>
        </row>
        <row r="2921">
          <cell r="I2921" t="str">
            <v>sim</v>
          </cell>
          <cell r="V2921" t="str">
            <v>not</v>
          </cell>
          <cell r="W2921">
            <v>1</v>
          </cell>
          <cell r="X2921" t="str">
            <v>neg</v>
          </cell>
        </row>
        <row r="2922">
          <cell r="I2922" t="str">
            <v>met</v>
          </cell>
          <cell r="V2922" t="str">
            <v>0</v>
          </cell>
          <cell r="W2922">
            <v>0</v>
          </cell>
          <cell r="X2922" t="str">
            <v>0</v>
          </cell>
        </row>
        <row r="2923">
          <cell r="I2923" t="str">
            <v>met</v>
          </cell>
          <cell r="V2923" t="str">
            <v>0</v>
          </cell>
          <cell r="W2923">
            <v>0</v>
          </cell>
          <cell r="X2923" t="str">
            <v>0</v>
          </cell>
        </row>
        <row r="2924">
          <cell r="I2924" t="str">
            <v>met</v>
          </cell>
          <cell r="V2924" t="str">
            <v>0</v>
          </cell>
          <cell r="W2924">
            <v>0</v>
          </cell>
          <cell r="X2924" t="str">
            <v>0</v>
          </cell>
        </row>
        <row r="2925">
          <cell r="I2925" t="str">
            <v>met</v>
          </cell>
          <cell r="V2925" t="str">
            <v>0</v>
          </cell>
          <cell r="W2925">
            <v>0</v>
          </cell>
          <cell r="X2925" t="str">
            <v>0</v>
          </cell>
        </row>
        <row r="2926">
          <cell r="I2926" t="str">
            <v>met</v>
          </cell>
          <cell r="V2926" t="str">
            <v>0</v>
          </cell>
          <cell r="W2926">
            <v>0</v>
          </cell>
          <cell r="X2926" t="str">
            <v>0</v>
          </cell>
        </row>
        <row r="2927">
          <cell r="I2927" t="str">
            <v>met</v>
          </cell>
          <cell r="V2927" t="str">
            <v>0</v>
          </cell>
          <cell r="W2927">
            <v>0</v>
          </cell>
          <cell r="X2927" t="str">
            <v>0</v>
          </cell>
        </row>
        <row r="2928">
          <cell r="I2928" t="str">
            <v>sim</v>
          </cell>
          <cell r="V2928" t="str">
            <v>not</v>
          </cell>
          <cell r="W2928">
            <v>1</v>
          </cell>
          <cell r="X2928" t="str">
            <v>neg</v>
          </cell>
        </row>
        <row r="2929">
          <cell r="I2929" t="str">
            <v>sim</v>
          </cell>
          <cell r="V2929" t="str">
            <v>not</v>
          </cell>
          <cell r="W2929">
            <v>1</v>
          </cell>
          <cell r="X2929" t="str">
            <v>intens</v>
          </cell>
        </row>
        <row r="2930">
          <cell r="I2930" t="str">
            <v>sim</v>
          </cell>
          <cell r="V2930" t="str">
            <v>not</v>
          </cell>
          <cell r="W2930">
            <v>1</v>
          </cell>
          <cell r="X2930" t="str">
            <v>intens</v>
          </cell>
        </row>
        <row r="2931">
          <cell r="I2931" t="str">
            <v>sim</v>
          </cell>
          <cell r="V2931" t="str">
            <v>not</v>
          </cell>
          <cell r="W2931">
            <v>1</v>
          </cell>
          <cell r="X2931" t="str">
            <v>neg</v>
          </cell>
        </row>
        <row r="2932">
          <cell r="I2932" t="str">
            <v>sim</v>
          </cell>
          <cell r="V2932" t="str">
            <v>not neg pair</v>
          </cell>
          <cell r="W2932">
            <v>0</v>
          </cell>
          <cell r="X2932" t="str">
            <v>0</v>
          </cell>
        </row>
        <row r="2933">
          <cell r="I2933" t="str">
            <v>sim</v>
          </cell>
          <cell r="V2933" t="str">
            <v>not neg pair</v>
          </cell>
          <cell r="W2933">
            <v>0</v>
          </cell>
          <cell r="X2933" t="str">
            <v>0</v>
          </cell>
        </row>
        <row r="2934">
          <cell r="I2934" t="str">
            <v>sim</v>
          </cell>
          <cell r="V2934" t="str">
            <v>not</v>
          </cell>
          <cell r="W2934">
            <v>1</v>
          </cell>
          <cell r="X2934" t="str">
            <v>neg</v>
          </cell>
        </row>
        <row r="2935">
          <cell r="I2935" t="str">
            <v>sim</v>
          </cell>
          <cell r="V2935" t="str">
            <v>not</v>
          </cell>
          <cell r="W2935">
            <v>1</v>
          </cell>
          <cell r="X2935" t="str">
            <v>intens</v>
          </cell>
        </row>
        <row r="2936">
          <cell r="I2936" t="str">
            <v>sim</v>
          </cell>
          <cell r="V2936" t="str">
            <v>antonym</v>
          </cell>
          <cell r="W2936">
            <v>1</v>
          </cell>
          <cell r="X2936" t="str">
            <v>intens</v>
          </cell>
        </row>
        <row r="2937">
          <cell r="I2937" t="str">
            <v>sim</v>
          </cell>
          <cell r="V2937" t="str">
            <v>antonym</v>
          </cell>
          <cell r="W2937">
            <v>1</v>
          </cell>
          <cell r="X2937" t="str">
            <v>neg</v>
          </cell>
        </row>
        <row r="2938">
          <cell r="I2938" t="str">
            <v>sim</v>
          </cell>
          <cell r="V2938" t="str">
            <v>not neg pair</v>
          </cell>
          <cell r="W2938">
            <v>0</v>
          </cell>
          <cell r="X2938" t="str">
            <v>0</v>
          </cell>
        </row>
        <row r="2939">
          <cell r="I2939" t="str">
            <v>sim</v>
          </cell>
          <cell r="V2939" t="str">
            <v>not neg pair</v>
          </cell>
          <cell r="W2939">
            <v>0</v>
          </cell>
          <cell r="X2939" t="str">
            <v>0</v>
          </cell>
        </row>
        <row r="2940">
          <cell r="I2940" t="str">
            <v>sim</v>
          </cell>
          <cell r="V2940" t="str">
            <v>0</v>
          </cell>
          <cell r="W2940">
            <v>0</v>
          </cell>
          <cell r="X2940" t="str">
            <v>0</v>
          </cell>
        </row>
        <row r="2941">
          <cell r="I2941" t="str">
            <v>met</v>
          </cell>
          <cell r="V2941" t="str">
            <v>0</v>
          </cell>
          <cell r="W2941">
            <v>0</v>
          </cell>
          <cell r="X2941" t="str">
            <v>0</v>
          </cell>
        </row>
        <row r="2942">
          <cell r="I2942" t="str">
            <v>met</v>
          </cell>
          <cell r="V2942" t="str">
            <v>0</v>
          </cell>
          <cell r="W2942">
            <v>0</v>
          </cell>
          <cell r="X2942" t="str">
            <v>0</v>
          </cell>
        </row>
        <row r="2943">
          <cell r="I2943" t="str">
            <v>met</v>
          </cell>
          <cell r="V2943" t="str">
            <v>0</v>
          </cell>
          <cell r="W2943">
            <v>0</v>
          </cell>
          <cell r="X2943" t="str">
            <v>0</v>
          </cell>
        </row>
        <row r="2944">
          <cell r="I2944" t="str">
            <v>met</v>
          </cell>
          <cell r="V2944" t="str">
            <v>0</v>
          </cell>
          <cell r="W2944">
            <v>0</v>
          </cell>
          <cell r="X2944" t="str">
            <v>0</v>
          </cell>
        </row>
        <row r="2945">
          <cell r="I2945" t="str">
            <v>met</v>
          </cell>
          <cell r="V2945" t="str">
            <v>0</v>
          </cell>
          <cell r="W2945">
            <v>0</v>
          </cell>
          <cell r="X2945" t="str">
            <v>0</v>
          </cell>
        </row>
        <row r="2946">
          <cell r="I2946" t="str">
            <v>sim</v>
          </cell>
          <cell r="V2946" t="str">
            <v>not neg pair</v>
          </cell>
          <cell r="W2946">
            <v>0</v>
          </cell>
          <cell r="X2946" t="str">
            <v>0</v>
          </cell>
        </row>
        <row r="2947">
          <cell r="I2947" t="str">
            <v>sim</v>
          </cell>
          <cell r="V2947" t="str">
            <v>not neg pair</v>
          </cell>
          <cell r="W2947">
            <v>0</v>
          </cell>
          <cell r="X2947" t="str">
            <v>0</v>
          </cell>
        </row>
        <row r="2948">
          <cell r="I2948" t="str">
            <v>sim</v>
          </cell>
          <cell r="V2948" t="str">
            <v>not neg pair</v>
          </cell>
          <cell r="W2948">
            <v>0</v>
          </cell>
          <cell r="X2948" t="str">
            <v>0</v>
          </cell>
        </row>
        <row r="2949">
          <cell r="I2949" t="str">
            <v>sim</v>
          </cell>
          <cell r="V2949" t="str">
            <v>not neg pair</v>
          </cell>
          <cell r="W2949">
            <v>0</v>
          </cell>
          <cell r="X2949" t="str">
            <v>0</v>
          </cell>
        </row>
        <row r="2950">
          <cell r="I2950" t="str">
            <v>sim</v>
          </cell>
          <cell r="V2950" t="str">
            <v>not</v>
          </cell>
          <cell r="W2950">
            <v>1</v>
          </cell>
          <cell r="X2950" t="str">
            <v>intens</v>
          </cell>
        </row>
        <row r="2951">
          <cell r="I2951" t="str">
            <v>sim</v>
          </cell>
          <cell r="V2951" t="str">
            <v>not</v>
          </cell>
          <cell r="W2951">
            <v>1</v>
          </cell>
          <cell r="X2951" t="str">
            <v>neg</v>
          </cell>
        </row>
        <row r="2952">
          <cell r="I2952" t="str">
            <v>sim</v>
          </cell>
          <cell r="V2952" t="str">
            <v>not neg pair</v>
          </cell>
          <cell r="W2952">
            <v>0</v>
          </cell>
          <cell r="X2952" t="str">
            <v>0</v>
          </cell>
        </row>
        <row r="2953">
          <cell r="I2953" t="str">
            <v>sim</v>
          </cell>
          <cell r="V2953" t="str">
            <v>not neg pair</v>
          </cell>
          <cell r="W2953">
            <v>0</v>
          </cell>
          <cell r="X2953" t="str">
            <v>0</v>
          </cell>
        </row>
        <row r="2954">
          <cell r="I2954" t="str">
            <v>sim</v>
          </cell>
          <cell r="V2954" t="str">
            <v>not</v>
          </cell>
          <cell r="W2954">
            <v>1</v>
          </cell>
          <cell r="X2954" t="str">
            <v>intens</v>
          </cell>
        </row>
        <row r="2955">
          <cell r="I2955" t="str">
            <v>sim</v>
          </cell>
          <cell r="V2955" t="str">
            <v>not</v>
          </cell>
          <cell r="W2955">
            <v>1</v>
          </cell>
          <cell r="X2955" t="str">
            <v>neg</v>
          </cell>
        </row>
        <row r="2956">
          <cell r="I2956" t="str">
            <v>met</v>
          </cell>
          <cell r="V2956" t="str">
            <v>0</v>
          </cell>
          <cell r="W2956">
            <v>0</v>
          </cell>
          <cell r="X2956" t="str">
            <v>0</v>
          </cell>
        </row>
        <row r="2957">
          <cell r="I2957" t="str">
            <v>sim</v>
          </cell>
          <cell r="V2957" t="str">
            <v>0</v>
          </cell>
          <cell r="W2957">
            <v>0</v>
          </cell>
          <cell r="X2957" t="str">
            <v>0</v>
          </cell>
        </row>
        <row r="2958">
          <cell r="I2958" t="str">
            <v>sim</v>
          </cell>
          <cell r="V2958" t="str">
            <v>not neg pair</v>
          </cell>
          <cell r="W2958">
            <v>0</v>
          </cell>
          <cell r="X2958" t="str">
            <v>0</v>
          </cell>
        </row>
        <row r="2959">
          <cell r="I2959" t="str">
            <v>sim</v>
          </cell>
          <cell r="V2959" t="str">
            <v>not neg pair</v>
          </cell>
          <cell r="W2959">
            <v>0</v>
          </cell>
          <cell r="X2959" t="str">
            <v>0</v>
          </cell>
        </row>
        <row r="2960">
          <cell r="I2960" t="str">
            <v>sim</v>
          </cell>
          <cell r="V2960" t="str">
            <v>not neg pair</v>
          </cell>
          <cell r="W2960">
            <v>0</v>
          </cell>
          <cell r="X2960" t="str">
            <v>0</v>
          </cell>
        </row>
        <row r="2961">
          <cell r="I2961" t="str">
            <v>sim</v>
          </cell>
          <cell r="V2961" t="str">
            <v>not neg pair</v>
          </cell>
          <cell r="W2961">
            <v>0</v>
          </cell>
          <cell r="X2961" t="str">
            <v>0</v>
          </cell>
        </row>
        <row r="2962">
          <cell r="I2962" t="str">
            <v>sim</v>
          </cell>
          <cell r="V2962" t="str">
            <v>not neg pair</v>
          </cell>
          <cell r="W2962">
            <v>0</v>
          </cell>
          <cell r="X2962" t="str">
            <v>0</v>
          </cell>
        </row>
        <row r="2963">
          <cell r="I2963" t="str">
            <v>sim</v>
          </cell>
          <cell r="V2963" t="str">
            <v>not neg pair</v>
          </cell>
          <cell r="W2963">
            <v>0</v>
          </cell>
          <cell r="X2963" t="str">
            <v>0</v>
          </cell>
        </row>
        <row r="2964">
          <cell r="I2964" t="str">
            <v>sim</v>
          </cell>
          <cell r="V2964" t="str">
            <v>not</v>
          </cell>
          <cell r="W2964">
            <v>1</v>
          </cell>
          <cell r="X2964" t="str">
            <v>neg</v>
          </cell>
        </row>
        <row r="2965">
          <cell r="I2965" t="str">
            <v>sim</v>
          </cell>
          <cell r="V2965" t="str">
            <v>not</v>
          </cell>
          <cell r="W2965">
            <v>1</v>
          </cell>
          <cell r="X2965" t="str">
            <v>intens</v>
          </cell>
        </row>
        <row r="2966">
          <cell r="I2966" t="str">
            <v>sim</v>
          </cell>
          <cell r="V2966" t="str">
            <v>not neg pair</v>
          </cell>
          <cell r="W2966">
            <v>0</v>
          </cell>
          <cell r="X2966" t="str">
            <v>0</v>
          </cell>
        </row>
        <row r="2967">
          <cell r="I2967" t="str">
            <v>sim</v>
          </cell>
          <cell r="V2967" t="str">
            <v>not neg pair</v>
          </cell>
          <cell r="W2967">
            <v>0</v>
          </cell>
          <cell r="X2967" t="str">
            <v>0</v>
          </cell>
        </row>
        <row r="2968">
          <cell r="I2968" t="str">
            <v>sim</v>
          </cell>
          <cell r="V2968" t="str">
            <v>not neg pair</v>
          </cell>
          <cell r="W2968">
            <v>0</v>
          </cell>
          <cell r="X2968" t="str">
            <v>0</v>
          </cell>
        </row>
        <row r="2969">
          <cell r="I2969" t="str">
            <v>sim</v>
          </cell>
          <cell r="V2969" t="str">
            <v>not neg pair</v>
          </cell>
          <cell r="W2969">
            <v>0</v>
          </cell>
          <cell r="X2969" t="str">
            <v>0</v>
          </cell>
        </row>
        <row r="2970">
          <cell r="I2970" t="str">
            <v>met</v>
          </cell>
          <cell r="V2970" t="str">
            <v>0</v>
          </cell>
          <cell r="W2970">
            <v>0</v>
          </cell>
          <cell r="X2970" t="str">
            <v>0</v>
          </cell>
        </row>
        <row r="2971">
          <cell r="I2971" t="str">
            <v>met</v>
          </cell>
          <cell r="V2971" t="str">
            <v>0</v>
          </cell>
          <cell r="W2971">
            <v>0</v>
          </cell>
          <cell r="X2971" t="str">
            <v>0</v>
          </cell>
        </row>
        <row r="2972">
          <cell r="I2972" t="str">
            <v>sim</v>
          </cell>
          <cell r="V2972" t="str">
            <v>not</v>
          </cell>
          <cell r="W2972">
            <v>1</v>
          </cell>
          <cell r="X2972" t="str">
            <v>neg</v>
          </cell>
        </row>
        <row r="2973">
          <cell r="I2973" t="str">
            <v>sim</v>
          </cell>
          <cell r="V2973" t="str">
            <v>not</v>
          </cell>
          <cell r="W2973">
            <v>1</v>
          </cell>
          <cell r="X2973" t="str">
            <v>intens</v>
          </cell>
        </row>
        <row r="2974">
          <cell r="I2974" t="str">
            <v>met</v>
          </cell>
          <cell r="V2974" t="str">
            <v>0</v>
          </cell>
          <cell r="W2974">
            <v>0</v>
          </cell>
          <cell r="X2974" t="str">
            <v>0</v>
          </cell>
        </row>
        <row r="2975">
          <cell r="I2975" t="str">
            <v>met</v>
          </cell>
          <cell r="V2975" t="str">
            <v>0</v>
          </cell>
          <cell r="W2975">
            <v>0</v>
          </cell>
          <cell r="X2975" t="str">
            <v>0</v>
          </cell>
        </row>
        <row r="2976">
          <cell r="I2976" t="str">
            <v>sim</v>
          </cell>
          <cell r="V2976" t="str">
            <v>not neg pair</v>
          </cell>
          <cell r="W2976">
            <v>0</v>
          </cell>
          <cell r="X2976" t="str">
            <v>0</v>
          </cell>
        </row>
        <row r="2977">
          <cell r="I2977" t="str">
            <v>sim</v>
          </cell>
          <cell r="V2977" t="str">
            <v>not neg pair</v>
          </cell>
          <cell r="W2977">
            <v>0</v>
          </cell>
          <cell r="X2977" t="str">
            <v>0</v>
          </cell>
        </row>
        <row r="2978">
          <cell r="I2978" t="str">
            <v>sim</v>
          </cell>
          <cell r="V2978" t="str">
            <v>not neg pair</v>
          </cell>
          <cell r="W2978">
            <v>0</v>
          </cell>
          <cell r="X2978" t="str">
            <v>0</v>
          </cell>
        </row>
        <row r="2979">
          <cell r="I2979" t="str">
            <v>sim</v>
          </cell>
          <cell r="V2979" t="str">
            <v>not neg pair</v>
          </cell>
          <cell r="W2979">
            <v>0</v>
          </cell>
          <cell r="X2979" t="str">
            <v>0</v>
          </cell>
        </row>
        <row r="2980">
          <cell r="I2980" t="str">
            <v>sim</v>
          </cell>
          <cell r="V2980" t="str">
            <v>not neg pair</v>
          </cell>
          <cell r="W2980">
            <v>0</v>
          </cell>
          <cell r="X2980" t="str">
            <v>0</v>
          </cell>
        </row>
        <row r="2981">
          <cell r="I2981" t="str">
            <v>sim</v>
          </cell>
          <cell r="V2981" t="str">
            <v>not neg pair</v>
          </cell>
          <cell r="W2981">
            <v>0</v>
          </cell>
          <cell r="X2981" t="str">
            <v>0</v>
          </cell>
        </row>
        <row r="2982">
          <cell r="I2982" t="str">
            <v>met</v>
          </cell>
          <cell r="V2982" t="str">
            <v>0</v>
          </cell>
          <cell r="W2982">
            <v>0</v>
          </cell>
          <cell r="X2982" t="str">
            <v>0</v>
          </cell>
        </row>
        <row r="2983">
          <cell r="I2983" t="str">
            <v>met</v>
          </cell>
          <cell r="V2983" t="str">
            <v>0</v>
          </cell>
          <cell r="W2983">
            <v>0</v>
          </cell>
          <cell r="X2983" t="str">
            <v>0</v>
          </cell>
        </row>
        <row r="2984">
          <cell r="I2984" t="str">
            <v>sim</v>
          </cell>
          <cell r="V2984" t="str">
            <v>0</v>
          </cell>
          <cell r="W2984">
            <v>0</v>
          </cell>
          <cell r="X2984" t="str">
            <v>0</v>
          </cell>
        </row>
        <row r="2985">
          <cell r="I2985" t="str">
            <v>met</v>
          </cell>
          <cell r="V2985" t="str">
            <v>0</v>
          </cell>
          <cell r="W2985">
            <v>0</v>
          </cell>
          <cell r="X2985" t="str">
            <v>0</v>
          </cell>
        </row>
        <row r="2986">
          <cell r="I2986" t="str">
            <v>sim</v>
          </cell>
          <cell r="V2986" t="str">
            <v>not</v>
          </cell>
          <cell r="W2986">
            <v>1</v>
          </cell>
          <cell r="X2986" t="str">
            <v>intens</v>
          </cell>
        </row>
        <row r="2987">
          <cell r="I2987" t="str">
            <v>sim</v>
          </cell>
          <cell r="V2987" t="str">
            <v>not</v>
          </cell>
          <cell r="W2987">
            <v>1</v>
          </cell>
          <cell r="X2987" t="str">
            <v>neg</v>
          </cell>
        </row>
        <row r="2988">
          <cell r="I2988" t="str">
            <v>sim</v>
          </cell>
          <cell r="V2988" t="str">
            <v>not</v>
          </cell>
          <cell r="W2988">
            <v>1</v>
          </cell>
          <cell r="X2988" t="str">
            <v>neg</v>
          </cell>
        </row>
        <row r="2989">
          <cell r="I2989" t="str">
            <v>sim</v>
          </cell>
          <cell r="V2989" t="str">
            <v>not</v>
          </cell>
          <cell r="W2989">
            <v>1</v>
          </cell>
          <cell r="X2989" t="str">
            <v>intens</v>
          </cell>
        </row>
        <row r="2990">
          <cell r="I2990" t="str">
            <v>sim</v>
          </cell>
          <cell r="V2990" t="str">
            <v>not neg pair</v>
          </cell>
          <cell r="W2990">
            <v>0</v>
          </cell>
          <cell r="X2990" t="str">
            <v>0</v>
          </cell>
        </row>
        <row r="2991">
          <cell r="I2991" t="str">
            <v>sim</v>
          </cell>
          <cell r="V2991" t="str">
            <v>not neg pair</v>
          </cell>
          <cell r="W2991">
            <v>0</v>
          </cell>
          <cell r="X2991" t="str">
            <v>0</v>
          </cell>
        </row>
        <row r="2992">
          <cell r="I2992" t="str">
            <v>sim</v>
          </cell>
          <cell r="V2992" t="str">
            <v>not</v>
          </cell>
          <cell r="W2992">
            <v>1</v>
          </cell>
          <cell r="X2992" t="str">
            <v>neg</v>
          </cell>
        </row>
        <row r="2993">
          <cell r="I2993" t="str">
            <v>sim</v>
          </cell>
          <cell r="V2993" t="str">
            <v>not</v>
          </cell>
          <cell r="W2993">
            <v>1</v>
          </cell>
          <cell r="X2993" t="str">
            <v>intens</v>
          </cell>
        </row>
        <row r="2994">
          <cell r="I2994" t="str">
            <v>sim</v>
          </cell>
          <cell r="V2994" t="str">
            <v>not neg pair</v>
          </cell>
          <cell r="W2994">
            <v>0</v>
          </cell>
          <cell r="X2994" t="str">
            <v>0</v>
          </cell>
        </row>
        <row r="2995">
          <cell r="I2995" t="str">
            <v>sim</v>
          </cell>
          <cell r="V2995" t="str">
            <v>not neg pair</v>
          </cell>
          <cell r="W2995">
            <v>0</v>
          </cell>
          <cell r="X2995" t="str">
            <v>0</v>
          </cell>
        </row>
        <row r="2996">
          <cell r="I2996" t="str">
            <v>sim</v>
          </cell>
          <cell r="V2996" t="str">
            <v>not neg pair</v>
          </cell>
          <cell r="W2996">
            <v>0</v>
          </cell>
          <cell r="X2996" t="str">
            <v>0</v>
          </cell>
        </row>
        <row r="2997">
          <cell r="I2997" t="str">
            <v>sim</v>
          </cell>
          <cell r="V2997" t="str">
            <v>not neg pair</v>
          </cell>
          <cell r="W2997">
            <v>0</v>
          </cell>
          <cell r="X2997" t="str">
            <v>0</v>
          </cell>
        </row>
        <row r="2998">
          <cell r="I2998" t="str">
            <v>sim</v>
          </cell>
          <cell r="V2998" t="str">
            <v>not</v>
          </cell>
          <cell r="W2998">
            <v>1</v>
          </cell>
          <cell r="X2998" t="str">
            <v>intens</v>
          </cell>
        </row>
        <row r="2999">
          <cell r="I2999" t="str">
            <v>sim</v>
          </cell>
          <cell r="V2999" t="str">
            <v>not</v>
          </cell>
          <cell r="W2999">
            <v>1</v>
          </cell>
          <cell r="X2999" t="str">
            <v>neg</v>
          </cell>
        </row>
        <row r="3000">
          <cell r="I3000" t="str">
            <v>sim</v>
          </cell>
          <cell r="V3000" t="str">
            <v>not neg pair</v>
          </cell>
          <cell r="W3000">
            <v>0</v>
          </cell>
          <cell r="X3000" t="str">
            <v>0</v>
          </cell>
        </row>
        <row r="3001">
          <cell r="I3001" t="str">
            <v>sim</v>
          </cell>
          <cell r="V3001" t="str">
            <v>not neg pair</v>
          </cell>
          <cell r="W3001">
            <v>0</v>
          </cell>
          <cell r="X3001" t="str">
            <v>0</v>
          </cell>
        </row>
        <row r="3002">
          <cell r="I3002" t="str">
            <v>sim</v>
          </cell>
          <cell r="V3002" t="str">
            <v>not neg pair</v>
          </cell>
          <cell r="W3002">
            <v>0</v>
          </cell>
          <cell r="X3002" t="str">
            <v>0</v>
          </cell>
        </row>
        <row r="3003">
          <cell r="I3003" t="str">
            <v>sim</v>
          </cell>
          <cell r="V3003" t="str">
            <v>not neg pair</v>
          </cell>
          <cell r="W3003">
            <v>0</v>
          </cell>
          <cell r="X3003" t="str">
            <v>0</v>
          </cell>
        </row>
        <row r="3004">
          <cell r="I3004" t="str">
            <v>sim</v>
          </cell>
          <cell r="V3004" t="str">
            <v>not neg pair</v>
          </cell>
          <cell r="W3004">
            <v>0</v>
          </cell>
          <cell r="X3004" t="str">
            <v>0</v>
          </cell>
        </row>
        <row r="3005">
          <cell r="I3005" t="str">
            <v>sim</v>
          </cell>
          <cell r="V3005" t="str">
            <v>0</v>
          </cell>
          <cell r="W3005">
            <v>0</v>
          </cell>
          <cell r="X3005" t="str">
            <v>0</v>
          </cell>
        </row>
        <row r="3006">
          <cell r="I3006" t="str">
            <v>sim</v>
          </cell>
          <cell r="V3006" t="str">
            <v>not</v>
          </cell>
          <cell r="W3006">
            <v>1</v>
          </cell>
          <cell r="X3006" t="str">
            <v>neg</v>
          </cell>
        </row>
        <row r="3007">
          <cell r="I3007" t="str">
            <v>sim</v>
          </cell>
          <cell r="V3007" t="str">
            <v>not</v>
          </cell>
          <cell r="W3007">
            <v>1</v>
          </cell>
          <cell r="X3007" t="str">
            <v>intens</v>
          </cell>
        </row>
        <row r="3008">
          <cell r="I3008" t="str">
            <v>sim</v>
          </cell>
          <cell r="V3008" t="str">
            <v>not neg pair</v>
          </cell>
          <cell r="W3008">
            <v>0</v>
          </cell>
          <cell r="X3008" t="str">
            <v>0</v>
          </cell>
        </row>
        <row r="3009">
          <cell r="I3009" t="str">
            <v>sim</v>
          </cell>
          <cell r="V3009" t="str">
            <v>not neg pair</v>
          </cell>
          <cell r="W3009">
            <v>0</v>
          </cell>
          <cell r="X3009" t="str">
            <v>0</v>
          </cell>
        </row>
        <row r="3010">
          <cell r="I3010" t="str">
            <v>sim</v>
          </cell>
          <cell r="V3010" t="str">
            <v>not neg pair</v>
          </cell>
          <cell r="W3010">
            <v>0</v>
          </cell>
          <cell r="X3010" t="str">
            <v>0</v>
          </cell>
        </row>
        <row r="3011">
          <cell r="I3011" t="str">
            <v>sim</v>
          </cell>
          <cell r="V3011" t="str">
            <v>not neg pair</v>
          </cell>
          <cell r="W3011">
            <v>0</v>
          </cell>
          <cell r="X3011" t="str">
            <v>0</v>
          </cell>
        </row>
        <row r="3012">
          <cell r="I3012" t="str">
            <v>sim</v>
          </cell>
          <cell r="V3012" t="str">
            <v>not neg pair</v>
          </cell>
          <cell r="W3012">
            <v>0</v>
          </cell>
          <cell r="X3012" t="str">
            <v>0</v>
          </cell>
        </row>
        <row r="3013">
          <cell r="I3013" t="str">
            <v>sim</v>
          </cell>
          <cell r="V3013" t="str">
            <v>not neg pair</v>
          </cell>
          <cell r="W3013">
            <v>0</v>
          </cell>
          <cell r="X3013" t="str">
            <v>0</v>
          </cell>
        </row>
        <row r="3014">
          <cell r="I3014" t="str">
            <v>sim</v>
          </cell>
          <cell r="V3014" t="str">
            <v>not neg pair</v>
          </cell>
          <cell r="W3014">
            <v>0</v>
          </cell>
          <cell r="X3014" t="str">
            <v>0</v>
          </cell>
        </row>
        <row r="3015">
          <cell r="I3015" t="str">
            <v>sim</v>
          </cell>
          <cell r="V3015" t="str">
            <v>not neg pair</v>
          </cell>
          <cell r="W3015">
            <v>0</v>
          </cell>
          <cell r="X3015" t="str">
            <v>0</v>
          </cell>
        </row>
        <row r="3016">
          <cell r="I3016" t="str">
            <v>sim</v>
          </cell>
          <cell r="V3016" t="str">
            <v>not neg pair</v>
          </cell>
          <cell r="W3016">
            <v>0</v>
          </cell>
          <cell r="X3016" t="str">
            <v>0</v>
          </cell>
        </row>
        <row r="3017">
          <cell r="I3017" t="str">
            <v>sim</v>
          </cell>
          <cell r="V3017" t="str">
            <v>not neg pair</v>
          </cell>
          <cell r="W3017">
            <v>0</v>
          </cell>
          <cell r="X3017" t="str">
            <v>0</v>
          </cell>
        </row>
        <row r="3018">
          <cell r="I3018" t="str">
            <v>met</v>
          </cell>
          <cell r="V3018" t="str">
            <v>0</v>
          </cell>
          <cell r="W3018">
            <v>0</v>
          </cell>
          <cell r="X3018" t="str">
            <v>0</v>
          </cell>
        </row>
        <row r="3019">
          <cell r="I3019" t="str">
            <v>met</v>
          </cell>
          <cell r="V3019" t="str">
            <v>0</v>
          </cell>
          <cell r="W3019">
            <v>0</v>
          </cell>
          <cell r="X3019" t="str">
            <v>0</v>
          </cell>
        </row>
        <row r="3020">
          <cell r="I3020" t="str">
            <v>sim</v>
          </cell>
          <cell r="V3020" t="str">
            <v>not</v>
          </cell>
          <cell r="W3020">
            <v>1</v>
          </cell>
          <cell r="X3020" t="str">
            <v>intens</v>
          </cell>
        </row>
        <row r="3021">
          <cell r="I3021" t="str">
            <v>sim</v>
          </cell>
          <cell r="V3021" t="str">
            <v>not</v>
          </cell>
          <cell r="W3021">
            <v>1</v>
          </cell>
          <cell r="X3021" t="str">
            <v>neg</v>
          </cell>
        </row>
        <row r="3022">
          <cell r="I3022" t="str">
            <v>sim</v>
          </cell>
          <cell r="V3022" t="str">
            <v>not</v>
          </cell>
          <cell r="W3022">
            <v>1</v>
          </cell>
          <cell r="X3022" t="str">
            <v>intens</v>
          </cell>
        </row>
        <row r="3023">
          <cell r="I3023" t="str">
            <v>sim</v>
          </cell>
          <cell r="V3023" t="str">
            <v>not</v>
          </cell>
          <cell r="W3023">
            <v>1</v>
          </cell>
          <cell r="X3023" t="str">
            <v>neg</v>
          </cell>
        </row>
        <row r="3024">
          <cell r="I3024" t="str">
            <v>sim</v>
          </cell>
          <cell r="V3024" t="str">
            <v>not</v>
          </cell>
          <cell r="W3024">
            <v>1</v>
          </cell>
          <cell r="X3024" t="str">
            <v>intens</v>
          </cell>
        </row>
        <row r="3025">
          <cell r="I3025" t="str">
            <v>sim</v>
          </cell>
          <cell r="V3025" t="str">
            <v>not</v>
          </cell>
          <cell r="W3025">
            <v>1</v>
          </cell>
          <cell r="X3025" t="str">
            <v>neg</v>
          </cell>
        </row>
        <row r="3026">
          <cell r="I3026" t="str">
            <v>sim</v>
          </cell>
          <cell r="V3026" t="str">
            <v>not</v>
          </cell>
          <cell r="W3026">
            <v>1</v>
          </cell>
          <cell r="X3026" t="str">
            <v>intens</v>
          </cell>
        </row>
        <row r="3027">
          <cell r="I3027" t="str">
            <v>sim</v>
          </cell>
          <cell r="V3027" t="str">
            <v>not</v>
          </cell>
          <cell r="W3027">
            <v>1</v>
          </cell>
          <cell r="X3027" t="str">
            <v>neg</v>
          </cell>
        </row>
        <row r="3028">
          <cell r="I3028" t="str">
            <v>sim</v>
          </cell>
          <cell r="V3028" t="str">
            <v>not</v>
          </cell>
          <cell r="W3028">
            <v>1</v>
          </cell>
          <cell r="X3028" t="str">
            <v>intens</v>
          </cell>
        </row>
        <row r="3029">
          <cell r="I3029" t="str">
            <v>sim</v>
          </cell>
          <cell r="V3029" t="str">
            <v>not</v>
          </cell>
          <cell r="W3029">
            <v>1</v>
          </cell>
          <cell r="X3029" t="str">
            <v>neg</v>
          </cell>
        </row>
        <row r="3030">
          <cell r="I3030" t="str">
            <v>sim</v>
          </cell>
          <cell r="V3030" t="str">
            <v>not neg pair</v>
          </cell>
          <cell r="W3030">
            <v>0</v>
          </cell>
          <cell r="X3030" t="str">
            <v>0</v>
          </cell>
        </row>
        <row r="3031">
          <cell r="I3031" t="str">
            <v>sim</v>
          </cell>
          <cell r="V3031" t="str">
            <v>not neg pair</v>
          </cell>
          <cell r="W3031">
            <v>0</v>
          </cell>
          <cell r="X3031" t="str">
            <v>0</v>
          </cell>
        </row>
        <row r="3032">
          <cell r="I3032" t="str">
            <v>sim</v>
          </cell>
          <cell r="V3032" t="str">
            <v>not neg pair</v>
          </cell>
          <cell r="W3032">
            <v>0</v>
          </cell>
          <cell r="X3032" t="str">
            <v>0</v>
          </cell>
        </row>
        <row r="3033">
          <cell r="I3033" t="str">
            <v>sim</v>
          </cell>
          <cell r="V3033" t="str">
            <v>not neg pair</v>
          </cell>
          <cell r="W3033">
            <v>0</v>
          </cell>
          <cell r="X3033" t="str">
            <v>0</v>
          </cell>
        </row>
        <row r="3034">
          <cell r="I3034" t="str">
            <v>sim</v>
          </cell>
          <cell r="V3034" t="str">
            <v>not neg pair</v>
          </cell>
          <cell r="W3034">
            <v>0</v>
          </cell>
          <cell r="X3034" t="str">
            <v>0</v>
          </cell>
        </row>
        <row r="3035">
          <cell r="I3035" t="str">
            <v>sim</v>
          </cell>
          <cell r="V3035" t="str">
            <v>not neg pair</v>
          </cell>
          <cell r="W3035">
            <v>0</v>
          </cell>
          <cell r="X3035" t="str">
            <v>0</v>
          </cell>
        </row>
        <row r="3036">
          <cell r="I3036" t="str">
            <v>sim</v>
          </cell>
          <cell r="V3036" t="str">
            <v>not</v>
          </cell>
          <cell r="W3036">
            <v>1</v>
          </cell>
          <cell r="X3036" t="str">
            <v>intens</v>
          </cell>
        </row>
        <row r="3037">
          <cell r="I3037" t="str">
            <v>sim</v>
          </cell>
          <cell r="V3037" t="str">
            <v>not</v>
          </cell>
          <cell r="W3037">
            <v>1</v>
          </cell>
          <cell r="X3037" t="str">
            <v>neg</v>
          </cell>
        </row>
        <row r="3038">
          <cell r="I3038" t="str">
            <v>sim</v>
          </cell>
          <cell r="V3038" t="str">
            <v>not neg pair</v>
          </cell>
          <cell r="W3038">
            <v>0</v>
          </cell>
          <cell r="X3038" t="str">
            <v>0</v>
          </cell>
        </row>
        <row r="3039">
          <cell r="I3039" t="str">
            <v>sim</v>
          </cell>
          <cell r="V3039" t="str">
            <v>not neg pair</v>
          </cell>
          <cell r="W3039">
            <v>0</v>
          </cell>
          <cell r="X3039" t="str">
            <v>0</v>
          </cell>
        </row>
        <row r="3040">
          <cell r="I3040" t="str">
            <v>met</v>
          </cell>
          <cell r="V3040" t="str">
            <v>0</v>
          </cell>
          <cell r="W3040">
            <v>0</v>
          </cell>
          <cell r="X3040" t="str">
            <v>0</v>
          </cell>
        </row>
        <row r="3041">
          <cell r="I3041" t="str">
            <v>met</v>
          </cell>
          <cell r="V3041" t="str">
            <v>0</v>
          </cell>
          <cell r="W3041">
            <v>0</v>
          </cell>
          <cell r="X3041" t="str">
            <v>0</v>
          </cell>
        </row>
        <row r="3042">
          <cell r="I3042" t="str">
            <v>met</v>
          </cell>
          <cell r="V3042" t="str">
            <v>0</v>
          </cell>
          <cell r="W3042">
            <v>0</v>
          </cell>
          <cell r="X3042" t="str">
            <v>0</v>
          </cell>
        </row>
        <row r="3043">
          <cell r="I3043" t="str">
            <v>met</v>
          </cell>
          <cell r="V3043" t="str">
            <v>0</v>
          </cell>
          <cell r="W3043">
            <v>0</v>
          </cell>
          <cell r="X3043" t="str">
            <v>0</v>
          </cell>
        </row>
        <row r="3044">
          <cell r="I3044" t="str">
            <v>met</v>
          </cell>
          <cell r="V3044" t="str">
            <v>0</v>
          </cell>
          <cell r="W3044">
            <v>0</v>
          </cell>
          <cell r="X3044" t="str">
            <v>0</v>
          </cell>
        </row>
        <row r="3045">
          <cell r="I3045" t="str">
            <v>met</v>
          </cell>
          <cell r="V3045" t="str">
            <v>0</v>
          </cell>
          <cell r="W3045">
            <v>0</v>
          </cell>
          <cell r="X3045" t="str">
            <v>0</v>
          </cell>
        </row>
        <row r="3046">
          <cell r="I3046" t="str">
            <v>met</v>
          </cell>
          <cell r="V3046" t="str">
            <v>0</v>
          </cell>
          <cell r="W3046">
            <v>0</v>
          </cell>
          <cell r="X3046" t="str">
            <v>0</v>
          </cell>
        </row>
        <row r="3047">
          <cell r="I3047" t="str">
            <v>met</v>
          </cell>
          <cell r="V3047" t="str">
            <v>0</v>
          </cell>
          <cell r="W3047">
            <v>0</v>
          </cell>
          <cell r="X3047" t="str">
            <v>0</v>
          </cell>
        </row>
        <row r="3048">
          <cell r="I3048" t="str">
            <v>sim</v>
          </cell>
          <cell r="V3048" t="str">
            <v>not neg pair</v>
          </cell>
          <cell r="W3048">
            <v>0</v>
          </cell>
          <cell r="X3048" t="str">
            <v>0</v>
          </cell>
        </row>
        <row r="3049">
          <cell r="I3049" t="str">
            <v>sim</v>
          </cell>
          <cell r="V3049" t="str">
            <v>not neg pair</v>
          </cell>
          <cell r="W3049">
            <v>0</v>
          </cell>
          <cell r="X3049" t="str">
            <v>0</v>
          </cell>
        </row>
        <row r="3050">
          <cell r="I3050" t="str">
            <v>met</v>
          </cell>
          <cell r="V3050" t="str">
            <v>0</v>
          </cell>
          <cell r="W3050">
            <v>0</v>
          </cell>
          <cell r="X3050" t="str">
            <v>0</v>
          </cell>
        </row>
        <row r="3051">
          <cell r="I3051" t="str">
            <v>met</v>
          </cell>
          <cell r="V3051" t="str">
            <v>0</v>
          </cell>
          <cell r="W3051">
            <v>0</v>
          </cell>
          <cell r="X3051" t="str">
            <v>0</v>
          </cell>
        </row>
        <row r="3052">
          <cell r="I3052" t="str">
            <v>sim</v>
          </cell>
          <cell r="V3052" t="str">
            <v>not neg pair</v>
          </cell>
          <cell r="W3052">
            <v>0</v>
          </cell>
          <cell r="X3052" t="str">
            <v>0</v>
          </cell>
        </row>
        <row r="3053">
          <cell r="I3053" t="str">
            <v>sim</v>
          </cell>
          <cell r="V3053" t="str">
            <v>not neg pair</v>
          </cell>
          <cell r="W3053">
            <v>0</v>
          </cell>
          <cell r="X3053" t="str">
            <v>0</v>
          </cell>
        </row>
        <row r="3054">
          <cell r="I3054" t="str">
            <v>sim</v>
          </cell>
          <cell r="V3054" t="str">
            <v>not neg pair</v>
          </cell>
          <cell r="W3054">
            <v>0</v>
          </cell>
          <cell r="X3054" t="str">
            <v>0</v>
          </cell>
        </row>
        <row r="3055">
          <cell r="I3055" t="str">
            <v>sim</v>
          </cell>
          <cell r="V3055" t="str">
            <v>not neg pair</v>
          </cell>
          <cell r="W3055">
            <v>0</v>
          </cell>
          <cell r="X3055" t="str">
            <v>0</v>
          </cell>
        </row>
        <row r="3056">
          <cell r="I3056" t="str">
            <v>sim</v>
          </cell>
          <cell r="V3056" t="str">
            <v>not neg pair</v>
          </cell>
          <cell r="W3056">
            <v>0</v>
          </cell>
          <cell r="X3056" t="str">
            <v>0</v>
          </cell>
        </row>
        <row r="3057">
          <cell r="I3057" t="str">
            <v>sim</v>
          </cell>
          <cell r="V3057" t="str">
            <v>not neg pair</v>
          </cell>
          <cell r="W3057">
            <v>0</v>
          </cell>
          <cell r="X3057" t="str">
            <v>0</v>
          </cell>
        </row>
        <row r="3058">
          <cell r="I3058" t="str">
            <v>sim</v>
          </cell>
          <cell r="V3058" t="str">
            <v>not neg pair</v>
          </cell>
          <cell r="W3058">
            <v>0</v>
          </cell>
          <cell r="X3058" t="str">
            <v>0</v>
          </cell>
        </row>
        <row r="3059">
          <cell r="I3059" t="str">
            <v>sim</v>
          </cell>
          <cell r="V3059" t="str">
            <v>not neg pair</v>
          </cell>
          <cell r="W3059">
            <v>0</v>
          </cell>
          <cell r="X3059" t="str">
            <v>0</v>
          </cell>
        </row>
        <row r="3060">
          <cell r="I3060" t="str">
            <v>sim</v>
          </cell>
          <cell r="V3060" t="str">
            <v>not neg pair</v>
          </cell>
          <cell r="W3060">
            <v>0</v>
          </cell>
          <cell r="X3060" t="str">
            <v>0</v>
          </cell>
        </row>
        <row r="3061">
          <cell r="I3061" t="str">
            <v>sim</v>
          </cell>
          <cell r="V3061" t="str">
            <v>not neg pair</v>
          </cell>
          <cell r="W3061">
            <v>0</v>
          </cell>
          <cell r="X3061" t="str">
            <v>0</v>
          </cell>
        </row>
        <row r="3062">
          <cell r="I3062" t="str">
            <v>sim</v>
          </cell>
          <cell r="V3062" t="str">
            <v>antonym</v>
          </cell>
          <cell r="W3062">
            <v>1</v>
          </cell>
          <cell r="X3062" t="str">
            <v>intens</v>
          </cell>
        </row>
        <row r="3063">
          <cell r="I3063" t="str">
            <v>sim</v>
          </cell>
          <cell r="V3063" t="str">
            <v>antonym</v>
          </cell>
          <cell r="W3063">
            <v>1</v>
          </cell>
          <cell r="X3063" t="str">
            <v>neg</v>
          </cell>
        </row>
        <row r="3064">
          <cell r="I3064" t="str">
            <v>sim</v>
          </cell>
          <cell r="V3064" t="str">
            <v>not neg pair</v>
          </cell>
          <cell r="W3064">
            <v>0</v>
          </cell>
          <cell r="X3064" t="str">
            <v>0</v>
          </cell>
        </row>
        <row r="3065">
          <cell r="I3065" t="str">
            <v>sim</v>
          </cell>
          <cell r="V3065" t="str">
            <v>not neg pair</v>
          </cell>
          <cell r="W3065">
            <v>0</v>
          </cell>
          <cell r="X3065" t="str">
            <v>0</v>
          </cell>
        </row>
        <row r="3066">
          <cell r="I3066" t="str">
            <v>sim</v>
          </cell>
          <cell r="V3066" t="str">
            <v>not neg pair</v>
          </cell>
          <cell r="W3066">
            <v>0</v>
          </cell>
          <cell r="X3066" t="str">
            <v>0</v>
          </cell>
        </row>
        <row r="3067">
          <cell r="I3067" t="str">
            <v>sim</v>
          </cell>
          <cell r="V3067" t="str">
            <v>not neg pair</v>
          </cell>
          <cell r="W3067">
            <v>0</v>
          </cell>
          <cell r="X3067" t="str">
            <v>0</v>
          </cell>
        </row>
        <row r="3068">
          <cell r="I3068" t="str">
            <v>sim</v>
          </cell>
          <cell r="V3068" t="str">
            <v>not</v>
          </cell>
          <cell r="W3068">
            <v>1</v>
          </cell>
          <cell r="X3068" t="str">
            <v>neg</v>
          </cell>
        </row>
        <row r="3069">
          <cell r="I3069" t="str">
            <v>sim</v>
          </cell>
          <cell r="V3069" t="str">
            <v>not</v>
          </cell>
          <cell r="W3069">
            <v>1</v>
          </cell>
          <cell r="X3069" t="str">
            <v>intens</v>
          </cell>
        </row>
        <row r="3070">
          <cell r="I3070" t="str">
            <v>sim</v>
          </cell>
          <cell r="V3070" t="str">
            <v>not neg pair</v>
          </cell>
          <cell r="W3070">
            <v>0</v>
          </cell>
          <cell r="X3070" t="str">
            <v>0</v>
          </cell>
        </row>
        <row r="3071">
          <cell r="I3071" t="str">
            <v>sim</v>
          </cell>
          <cell r="V3071" t="str">
            <v>not neg pair</v>
          </cell>
          <cell r="W3071">
            <v>0</v>
          </cell>
          <cell r="X3071" t="str">
            <v>0</v>
          </cell>
        </row>
        <row r="3072">
          <cell r="I3072" t="str">
            <v>met</v>
          </cell>
          <cell r="V3072" t="str">
            <v>0</v>
          </cell>
          <cell r="W3072">
            <v>0</v>
          </cell>
          <cell r="X3072" t="str">
            <v>0</v>
          </cell>
        </row>
        <row r="3073">
          <cell r="I3073" t="str">
            <v>met</v>
          </cell>
          <cell r="V3073" t="str">
            <v>0</v>
          </cell>
          <cell r="W3073">
            <v>0</v>
          </cell>
          <cell r="X3073" t="str">
            <v>0</v>
          </cell>
        </row>
        <row r="3074">
          <cell r="I3074" t="str">
            <v>met</v>
          </cell>
          <cell r="V3074" t="str">
            <v>0</v>
          </cell>
          <cell r="W3074">
            <v>0</v>
          </cell>
          <cell r="X3074" t="str">
            <v>0</v>
          </cell>
        </row>
        <row r="3075">
          <cell r="I3075" t="str">
            <v>met</v>
          </cell>
          <cell r="V3075" t="str">
            <v>0</v>
          </cell>
          <cell r="W3075">
            <v>0</v>
          </cell>
          <cell r="X3075" t="str">
            <v>0</v>
          </cell>
        </row>
        <row r="3076">
          <cell r="I3076" t="str">
            <v>met</v>
          </cell>
          <cell r="V3076" t="str">
            <v>0</v>
          </cell>
          <cell r="W3076">
            <v>0</v>
          </cell>
          <cell r="X3076" t="str">
            <v>0</v>
          </cell>
        </row>
        <row r="3077">
          <cell r="I3077" t="str">
            <v>met</v>
          </cell>
          <cell r="V3077" t="str">
            <v>0</v>
          </cell>
          <cell r="W3077">
            <v>0</v>
          </cell>
          <cell r="X3077" t="str">
            <v>0</v>
          </cell>
        </row>
        <row r="3078">
          <cell r="I3078" t="str">
            <v>sim</v>
          </cell>
          <cell r="V3078" t="str">
            <v>not neg pair</v>
          </cell>
          <cell r="W3078">
            <v>0</v>
          </cell>
          <cell r="X3078" t="str">
            <v>0</v>
          </cell>
        </row>
        <row r="3079">
          <cell r="I3079" t="str">
            <v>sim</v>
          </cell>
          <cell r="V3079" t="str">
            <v>not neg pair</v>
          </cell>
          <cell r="W3079">
            <v>0</v>
          </cell>
          <cell r="X3079" t="str">
            <v>0</v>
          </cell>
        </row>
        <row r="3080">
          <cell r="I3080" t="str">
            <v>sim</v>
          </cell>
          <cell r="V3080" t="str">
            <v>not neg pair</v>
          </cell>
          <cell r="W3080">
            <v>0</v>
          </cell>
          <cell r="X3080" t="str">
            <v>0</v>
          </cell>
        </row>
        <row r="3081">
          <cell r="I3081" t="str">
            <v>sim</v>
          </cell>
          <cell r="V3081" t="str">
            <v>not neg pair</v>
          </cell>
          <cell r="W3081">
            <v>0</v>
          </cell>
          <cell r="X3081" t="str">
            <v>0</v>
          </cell>
        </row>
        <row r="3082">
          <cell r="I3082" t="str">
            <v>met</v>
          </cell>
          <cell r="V3082" t="str">
            <v>0</v>
          </cell>
          <cell r="W3082">
            <v>0</v>
          </cell>
          <cell r="X3082" t="str">
            <v>0</v>
          </cell>
        </row>
        <row r="3083">
          <cell r="I3083" t="str">
            <v>met</v>
          </cell>
          <cell r="V3083" t="str">
            <v>0</v>
          </cell>
          <cell r="W3083">
            <v>0</v>
          </cell>
          <cell r="X3083" t="str">
            <v>0</v>
          </cell>
        </row>
        <row r="3084">
          <cell r="I3084" t="str">
            <v>met</v>
          </cell>
          <cell r="V3084" t="str">
            <v>0</v>
          </cell>
          <cell r="W3084">
            <v>0</v>
          </cell>
          <cell r="X3084" t="str">
            <v>0</v>
          </cell>
        </row>
        <row r="3085">
          <cell r="I3085" t="str">
            <v>met</v>
          </cell>
          <cell r="V3085" t="str">
            <v>0</v>
          </cell>
          <cell r="W3085">
            <v>0</v>
          </cell>
          <cell r="X3085" t="str">
            <v>0</v>
          </cell>
        </row>
        <row r="3086">
          <cell r="I3086" t="str">
            <v>met</v>
          </cell>
          <cell r="V3086" t="str">
            <v>0</v>
          </cell>
          <cell r="W3086">
            <v>0</v>
          </cell>
          <cell r="X3086" t="str">
            <v>0</v>
          </cell>
        </row>
        <row r="3087">
          <cell r="I3087" t="str">
            <v>met</v>
          </cell>
          <cell r="V3087" t="str">
            <v>0</v>
          </cell>
          <cell r="W3087">
            <v>0</v>
          </cell>
          <cell r="X3087" t="str">
            <v>0</v>
          </cell>
        </row>
        <row r="3088">
          <cell r="I3088" t="str">
            <v>sim</v>
          </cell>
          <cell r="V3088" t="str">
            <v>not neg pair</v>
          </cell>
          <cell r="W3088">
            <v>0</v>
          </cell>
          <cell r="X3088" t="str">
            <v>0</v>
          </cell>
        </row>
        <row r="3089">
          <cell r="I3089" t="str">
            <v>sim</v>
          </cell>
          <cell r="V3089" t="str">
            <v>not neg pair</v>
          </cell>
          <cell r="W3089">
            <v>0</v>
          </cell>
          <cell r="X3089" t="str">
            <v>0</v>
          </cell>
        </row>
        <row r="3090">
          <cell r="I3090" t="str">
            <v>sim</v>
          </cell>
          <cell r="V3090" t="str">
            <v>not neg pair</v>
          </cell>
          <cell r="W3090">
            <v>0</v>
          </cell>
          <cell r="X3090" t="str">
            <v>0</v>
          </cell>
        </row>
        <row r="3091">
          <cell r="I3091" t="str">
            <v>sim</v>
          </cell>
          <cell r="V3091" t="str">
            <v>not neg pair</v>
          </cell>
          <cell r="W3091">
            <v>0</v>
          </cell>
          <cell r="X3091" t="str">
            <v>0</v>
          </cell>
        </row>
        <row r="3092">
          <cell r="I3092" t="str">
            <v>sim</v>
          </cell>
          <cell r="V3092" t="str">
            <v>not neg pair</v>
          </cell>
          <cell r="W3092">
            <v>0</v>
          </cell>
          <cell r="X3092" t="str">
            <v>0</v>
          </cell>
        </row>
        <row r="3093">
          <cell r="I3093" t="str">
            <v>sim</v>
          </cell>
          <cell r="V3093" t="str">
            <v>not neg pair</v>
          </cell>
          <cell r="W3093">
            <v>0</v>
          </cell>
          <cell r="X3093" t="str">
            <v>0</v>
          </cell>
        </row>
        <row r="3094">
          <cell r="I3094" t="str">
            <v>sim</v>
          </cell>
          <cell r="V3094" t="str">
            <v>not neg pair</v>
          </cell>
          <cell r="W3094">
            <v>0</v>
          </cell>
          <cell r="X3094" t="str">
            <v>0</v>
          </cell>
        </row>
        <row r="3095">
          <cell r="I3095" t="str">
            <v>sim</v>
          </cell>
          <cell r="V3095" t="str">
            <v>not neg pair</v>
          </cell>
          <cell r="W3095">
            <v>0</v>
          </cell>
          <cell r="X3095" t="str">
            <v>0</v>
          </cell>
        </row>
        <row r="3096">
          <cell r="I3096" t="str">
            <v>sim</v>
          </cell>
          <cell r="V3096" t="str">
            <v>not neg pair</v>
          </cell>
          <cell r="W3096">
            <v>0</v>
          </cell>
          <cell r="X3096" t="str">
            <v>0</v>
          </cell>
        </row>
        <row r="3097">
          <cell r="I3097" t="str">
            <v>sim</v>
          </cell>
          <cell r="V3097" t="str">
            <v>not neg pair</v>
          </cell>
          <cell r="W3097">
            <v>0</v>
          </cell>
          <cell r="X3097" t="str">
            <v>0</v>
          </cell>
        </row>
        <row r="3098">
          <cell r="I3098" t="str">
            <v>sim</v>
          </cell>
          <cell r="V3098" t="str">
            <v>not</v>
          </cell>
          <cell r="W3098">
            <v>1</v>
          </cell>
          <cell r="X3098" t="str">
            <v>intens</v>
          </cell>
        </row>
        <row r="3099">
          <cell r="I3099" t="str">
            <v>sim</v>
          </cell>
          <cell r="V3099" t="str">
            <v>not</v>
          </cell>
          <cell r="W3099">
            <v>1</v>
          </cell>
          <cell r="X3099" t="str">
            <v>neg</v>
          </cell>
        </row>
        <row r="3100">
          <cell r="I3100" t="str">
            <v>sim</v>
          </cell>
          <cell r="V3100" t="str">
            <v>not neg pair</v>
          </cell>
          <cell r="W3100">
            <v>0</v>
          </cell>
          <cell r="X3100" t="str">
            <v>0</v>
          </cell>
        </row>
        <row r="3101">
          <cell r="I3101" t="str">
            <v>sim</v>
          </cell>
          <cell r="V3101" t="str">
            <v>not neg pair</v>
          </cell>
          <cell r="W3101">
            <v>0</v>
          </cell>
          <cell r="X3101" t="str">
            <v>0</v>
          </cell>
        </row>
        <row r="3102">
          <cell r="I3102" t="str">
            <v>sim</v>
          </cell>
          <cell r="V3102" t="str">
            <v>antonym</v>
          </cell>
          <cell r="W3102">
            <v>1</v>
          </cell>
          <cell r="X3102" t="str">
            <v>intens</v>
          </cell>
        </row>
        <row r="3103">
          <cell r="I3103" t="str">
            <v>sim</v>
          </cell>
          <cell r="V3103" t="str">
            <v>antonym</v>
          </cell>
          <cell r="W3103">
            <v>1</v>
          </cell>
          <cell r="X3103" t="str">
            <v>neg</v>
          </cell>
        </row>
        <row r="3104">
          <cell r="I3104" t="str">
            <v>sim</v>
          </cell>
          <cell r="V3104" t="str">
            <v>not neg pair</v>
          </cell>
          <cell r="W3104">
            <v>0</v>
          </cell>
          <cell r="X3104" t="str">
            <v>0</v>
          </cell>
        </row>
        <row r="3105">
          <cell r="I3105" t="str">
            <v>sim</v>
          </cell>
          <cell r="V3105" t="str">
            <v>not neg pair</v>
          </cell>
          <cell r="W3105">
            <v>0</v>
          </cell>
          <cell r="X3105" t="str">
            <v>0</v>
          </cell>
        </row>
        <row r="3106">
          <cell r="I3106" t="str">
            <v>sim</v>
          </cell>
          <cell r="V3106" t="str">
            <v>not</v>
          </cell>
          <cell r="W3106">
            <v>1</v>
          </cell>
          <cell r="X3106" t="str">
            <v>neg</v>
          </cell>
        </row>
        <row r="3107">
          <cell r="I3107" t="str">
            <v>sim</v>
          </cell>
          <cell r="V3107" t="str">
            <v>not</v>
          </cell>
          <cell r="W3107">
            <v>1</v>
          </cell>
          <cell r="X3107" t="str">
            <v>intens</v>
          </cell>
        </row>
        <row r="3108">
          <cell r="I3108" t="str">
            <v>sim</v>
          </cell>
          <cell r="V3108" t="str">
            <v>not neg pair</v>
          </cell>
          <cell r="W3108">
            <v>0</v>
          </cell>
          <cell r="X3108" t="str">
            <v>0</v>
          </cell>
        </row>
        <row r="3109">
          <cell r="I3109" t="str">
            <v>sim</v>
          </cell>
          <cell r="V3109" t="str">
            <v>not neg pair</v>
          </cell>
          <cell r="W3109">
            <v>0</v>
          </cell>
          <cell r="X3109" t="str">
            <v>0</v>
          </cell>
        </row>
        <row r="3110">
          <cell r="I3110" t="str">
            <v>sim</v>
          </cell>
          <cell r="V3110" t="str">
            <v>not</v>
          </cell>
          <cell r="W3110">
            <v>1</v>
          </cell>
          <cell r="X3110" t="str">
            <v>neg</v>
          </cell>
        </row>
        <row r="3111">
          <cell r="I3111" t="str">
            <v>sim</v>
          </cell>
          <cell r="V3111" t="str">
            <v>not</v>
          </cell>
          <cell r="W3111">
            <v>1</v>
          </cell>
          <cell r="X3111" t="str">
            <v>intens</v>
          </cell>
        </row>
        <row r="3112">
          <cell r="I3112" t="str">
            <v>met</v>
          </cell>
          <cell r="V3112" t="str">
            <v>0</v>
          </cell>
          <cell r="W3112">
            <v>0</v>
          </cell>
          <cell r="X3112" t="str">
            <v>0</v>
          </cell>
        </row>
        <row r="3113">
          <cell r="I3113" t="str">
            <v>met</v>
          </cell>
          <cell r="V3113" t="str">
            <v>0</v>
          </cell>
          <cell r="W3113">
            <v>0</v>
          </cell>
          <cell r="X3113" t="str">
            <v>0</v>
          </cell>
        </row>
        <row r="3114">
          <cell r="I3114" t="str">
            <v>sim</v>
          </cell>
          <cell r="V3114" t="str">
            <v>not neg pair</v>
          </cell>
          <cell r="W3114">
            <v>0</v>
          </cell>
          <cell r="X3114" t="str">
            <v>0</v>
          </cell>
        </row>
        <row r="3115">
          <cell r="I3115" t="str">
            <v>sim</v>
          </cell>
          <cell r="V3115" t="str">
            <v>not neg pair</v>
          </cell>
          <cell r="W3115">
            <v>0</v>
          </cell>
          <cell r="X3115" t="str">
            <v>0</v>
          </cell>
        </row>
        <row r="3116">
          <cell r="I3116" t="str">
            <v>sim</v>
          </cell>
          <cell r="V3116" t="str">
            <v>not neg pair</v>
          </cell>
          <cell r="W3116">
            <v>0</v>
          </cell>
          <cell r="X3116" t="str">
            <v>0</v>
          </cell>
        </row>
        <row r="3117">
          <cell r="I3117" t="str">
            <v>sim</v>
          </cell>
          <cell r="V3117" t="str">
            <v>not neg pair</v>
          </cell>
          <cell r="W3117">
            <v>0</v>
          </cell>
          <cell r="X3117" t="str">
            <v>0</v>
          </cell>
        </row>
        <row r="3118">
          <cell r="I3118" t="str">
            <v>sim</v>
          </cell>
          <cell r="V3118" t="str">
            <v>not neg pair</v>
          </cell>
          <cell r="W3118">
            <v>0</v>
          </cell>
          <cell r="X3118" t="str">
            <v>0</v>
          </cell>
        </row>
        <row r="3119">
          <cell r="I3119" t="str">
            <v>sim</v>
          </cell>
          <cell r="V3119" t="str">
            <v>not neg pair</v>
          </cell>
          <cell r="W3119">
            <v>0</v>
          </cell>
          <cell r="X3119" t="str">
            <v>0</v>
          </cell>
        </row>
        <row r="3120">
          <cell r="I3120" t="str">
            <v>sim</v>
          </cell>
          <cell r="V3120" t="str">
            <v>not neg pair</v>
          </cell>
          <cell r="W3120">
            <v>0</v>
          </cell>
          <cell r="X3120" t="str">
            <v>0</v>
          </cell>
        </row>
        <row r="3121">
          <cell r="I3121" t="str">
            <v>sim</v>
          </cell>
          <cell r="V3121" t="str">
            <v>not neg pair</v>
          </cell>
          <cell r="W3121">
            <v>0</v>
          </cell>
          <cell r="X3121" t="str">
            <v>0</v>
          </cell>
        </row>
        <row r="3122">
          <cell r="I3122" t="str">
            <v>met</v>
          </cell>
          <cell r="V3122" t="str">
            <v>0</v>
          </cell>
          <cell r="W3122">
            <v>0</v>
          </cell>
          <cell r="X3122" t="str">
            <v>0</v>
          </cell>
        </row>
        <row r="3123">
          <cell r="I3123" t="str">
            <v>met</v>
          </cell>
          <cell r="V3123" t="str">
            <v>0</v>
          </cell>
          <cell r="W3123">
            <v>0</v>
          </cell>
          <cell r="X3123" t="str">
            <v>0</v>
          </cell>
        </row>
        <row r="3124">
          <cell r="I3124" t="str">
            <v>met</v>
          </cell>
          <cell r="V3124" t="str">
            <v>0</v>
          </cell>
          <cell r="W3124">
            <v>0</v>
          </cell>
          <cell r="X3124" t="str">
            <v>0</v>
          </cell>
        </row>
        <row r="3125">
          <cell r="I3125" t="str">
            <v>met</v>
          </cell>
          <cell r="V3125" t="str">
            <v>0</v>
          </cell>
          <cell r="W3125">
            <v>0</v>
          </cell>
          <cell r="X3125" t="str">
            <v>0</v>
          </cell>
        </row>
        <row r="3126">
          <cell r="I3126" t="str">
            <v>met</v>
          </cell>
          <cell r="V3126" t="str">
            <v>0</v>
          </cell>
          <cell r="W3126">
            <v>0</v>
          </cell>
          <cell r="X3126" t="str">
            <v>0</v>
          </cell>
        </row>
        <row r="3127">
          <cell r="I3127" t="str">
            <v>met</v>
          </cell>
          <cell r="V3127" t="str">
            <v>0</v>
          </cell>
          <cell r="W3127">
            <v>0</v>
          </cell>
          <cell r="X3127" t="str">
            <v>0</v>
          </cell>
        </row>
        <row r="3128">
          <cell r="I3128" t="str">
            <v>met</v>
          </cell>
          <cell r="V3128" t="str">
            <v>0</v>
          </cell>
          <cell r="W3128">
            <v>0</v>
          </cell>
          <cell r="X3128" t="str">
            <v>0</v>
          </cell>
        </row>
        <row r="3129">
          <cell r="I3129" t="str">
            <v>met</v>
          </cell>
          <cell r="V3129" t="str">
            <v>0</v>
          </cell>
          <cell r="W3129">
            <v>0</v>
          </cell>
          <cell r="X3129" t="str">
            <v>0</v>
          </cell>
        </row>
        <row r="3130">
          <cell r="I3130" t="str">
            <v>sim</v>
          </cell>
          <cell r="V3130" t="str">
            <v>not</v>
          </cell>
          <cell r="W3130">
            <v>1</v>
          </cell>
          <cell r="X3130" t="str">
            <v>intens</v>
          </cell>
        </row>
        <row r="3131">
          <cell r="I3131" t="str">
            <v>sim</v>
          </cell>
          <cell r="V3131" t="str">
            <v>not</v>
          </cell>
          <cell r="W3131">
            <v>1</v>
          </cell>
          <cell r="X3131" t="str">
            <v>neg</v>
          </cell>
        </row>
        <row r="3132">
          <cell r="I3132" t="str">
            <v>sim</v>
          </cell>
          <cell r="V3132" t="str">
            <v>not</v>
          </cell>
          <cell r="W3132">
            <v>1</v>
          </cell>
          <cell r="X3132" t="str">
            <v>neg</v>
          </cell>
        </row>
        <row r="3133">
          <cell r="I3133" t="str">
            <v>sim</v>
          </cell>
          <cell r="V3133" t="str">
            <v>not</v>
          </cell>
          <cell r="W3133">
            <v>1</v>
          </cell>
          <cell r="X3133" t="str">
            <v>intens</v>
          </cell>
        </row>
        <row r="3134">
          <cell r="I3134" t="str">
            <v>sim</v>
          </cell>
          <cell r="V3134" t="str">
            <v>not neg pair</v>
          </cell>
          <cell r="W3134">
            <v>0</v>
          </cell>
          <cell r="X3134" t="str">
            <v>0</v>
          </cell>
        </row>
        <row r="3135">
          <cell r="I3135" t="str">
            <v>sim</v>
          </cell>
          <cell r="V3135" t="str">
            <v>not neg pair</v>
          </cell>
          <cell r="W3135">
            <v>0</v>
          </cell>
          <cell r="X3135" t="str">
            <v>0</v>
          </cell>
        </row>
        <row r="3136">
          <cell r="I3136" t="str">
            <v>sim</v>
          </cell>
          <cell r="V3136" t="str">
            <v>not neg pair</v>
          </cell>
          <cell r="W3136">
            <v>0</v>
          </cell>
          <cell r="X3136" t="str">
            <v>0</v>
          </cell>
        </row>
        <row r="3137">
          <cell r="I3137" t="str">
            <v>sim</v>
          </cell>
          <cell r="V3137" t="str">
            <v>not neg pair</v>
          </cell>
          <cell r="W3137">
            <v>0</v>
          </cell>
          <cell r="X3137" t="str">
            <v>0</v>
          </cell>
        </row>
        <row r="3138">
          <cell r="I3138" t="str">
            <v>sim</v>
          </cell>
          <cell r="V3138" t="str">
            <v>not neg pair</v>
          </cell>
          <cell r="W3138">
            <v>0</v>
          </cell>
          <cell r="X3138" t="str">
            <v>0</v>
          </cell>
        </row>
        <row r="3139">
          <cell r="I3139" t="str">
            <v>sim</v>
          </cell>
          <cell r="V3139" t="str">
            <v>not neg pair</v>
          </cell>
          <cell r="W3139">
            <v>0</v>
          </cell>
          <cell r="X3139" t="str">
            <v>0</v>
          </cell>
        </row>
        <row r="3140">
          <cell r="I3140" t="str">
            <v>sim</v>
          </cell>
          <cell r="V3140" t="str">
            <v>not neg pair</v>
          </cell>
          <cell r="W3140">
            <v>0</v>
          </cell>
          <cell r="X3140" t="str">
            <v>0</v>
          </cell>
        </row>
        <row r="3141">
          <cell r="I3141" t="str">
            <v>sim</v>
          </cell>
          <cell r="V3141" t="str">
            <v>not neg pair</v>
          </cell>
          <cell r="W3141">
            <v>0</v>
          </cell>
          <cell r="X3141" t="str">
            <v>0</v>
          </cell>
        </row>
        <row r="3142">
          <cell r="I3142" t="str">
            <v>sim</v>
          </cell>
          <cell r="V3142" t="str">
            <v>not neg pair</v>
          </cell>
          <cell r="W3142">
            <v>0</v>
          </cell>
          <cell r="X3142" t="str">
            <v>0</v>
          </cell>
        </row>
        <row r="3143">
          <cell r="I3143" t="str">
            <v>sim</v>
          </cell>
          <cell r="V3143" t="str">
            <v>not neg pair</v>
          </cell>
          <cell r="W3143">
            <v>0</v>
          </cell>
          <cell r="X3143" t="str">
            <v>0</v>
          </cell>
        </row>
        <row r="3144">
          <cell r="I3144" t="str">
            <v>sim</v>
          </cell>
          <cell r="V3144" t="str">
            <v>not</v>
          </cell>
          <cell r="W3144">
            <v>1</v>
          </cell>
          <cell r="X3144" t="str">
            <v>neg</v>
          </cell>
        </row>
        <row r="3145">
          <cell r="I3145" t="str">
            <v>sim</v>
          </cell>
          <cell r="V3145" t="str">
            <v>not</v>
          </cell>
          <cell r="W3145">
            <v>1</v>
          </cell>
          <cell r="X3145" t="str">
            <v>intens</v>
          </cell>
        </row>
        <row r="3146">
          <cell r="I3146" t="str">
            <v>sim</v>
          </cell>
          <cell r="V3146" t="str">
            <v>not</v>
          </cell>
          <cell r="W3146">
            <v>1</v>
          </cell>
          <cell r="X3146" t="str">
            <v>neg</v>
          </cell>
        </row>
        <row r="3147">
          <cell r="I3147" t="str">
            <v>sim</v>
          </cell>
          <cell r="V3147" t="str">
            <v>not</v>
          </cell>
          <cell r="W3147">
            <v>1</v>
          </cell>
          <cell r="X3147" t="str">
            <v>intens</v>
          </cell>
        </row>
        <row r="3148">
          <cell r="I3148" t="str">
            <v>sim</v>
          </cell>
          <cell r="V3148" t="str">
            <v>not neg pair</v>
          </cell>
          <cell r="W3148">
            <v>0</v>
          </cell>
          <cell r="X3148" t="str">
            <v>0</v>
          </cell>
        </row>
        <row r="3149">
          <cell r="I3149" t="str">
            <v>sim</v>
          </cell>
          <cell r="V3149" t="str">
            <v>not neg pair</v>
          </cell>
          <cell r="W3149">
            <v>0</v>
          </cell>
          <cell r="X3149" t="str">
            <v>0</v>
          </cell>
        </row>
        <row r="3150">
          <cell r="I3150" t="str">
            <v>sim</v>
          </cell>
          <cell r="V3150" t="str">
            <v>not neg pair</v>
          </cell>
          <cell r="W3150">
            <v>0</v>
          </cell>
          <cell r="X3150" t="str">
            <v>0</v>
          </cell>
        </row>
        <row r="3151">
          <cell r="I3151" t="str">
            <v>sim</v>
          </cell>
          <cell r="V3151" t="str">
            <v>not neg pair</v>
          </cell>
          <cell r="W3151">
            <v>0</v>
          </cell>
          <cell r="X3151" t="str">
            <v>0</v>
          </cell>
        </row>
        <row r="3152">
          <cell r="I3152" t="str">
            <v>sim</v>
          </cell>
          <cell r="V3152" t="str">
            <v>antonym</v>
          </cell>
          <cell r="W3152">
            <v>1</v>
          </cell>
          <cell r="X3152" t="str">
            <v>neg</v>
          </cell>
        </row>
        <row r="3153">
          <cell r="I3153" t="str">
            <v>sim</v>
          </cell>
          <cell r="V3153" t="str">
            <v>antonym</v>
          </cell>
          <cell r="W3153">
            <v>1</v>
          </cell>
          <cell r="X3153" t="str">
            <v>intens</v>
          </cell>
        </row>
        <row r="3154">
          <cell r="I3154" t="str">
            <v>met</v>
          </cell>
          <cell r="V3154" t="str">
            <v>0</v>
          </cell>
          <cell r="W3154">
            <v>0</v>
          </cell>
          <cell r="X3154" t="str">
            <v>0</v>
          </cell>
        </row>
        <row r="3155">
          <cell r="I3155" t="str">
            <v>met</v>
          </cell>
          <cell r="V3155" t="str">
            <v>0</v>
          </cell>
          <cell r="W3155">
            <v>0</v>
          </cell>
          <cell r="X3155" t="str">
            <v>0</v>
          </cell>
        </row>
        <row r="3156">
          <cell r="I3156" t="str">
            <v>met</v>
          </cell>
          <cell r="V3156" t="str">
            <v>0</v>
          </cell>
          <cell r="W3156">
            <v>0</v>
          </cell>
          <cell r="X3156" t="str">
            <v>0</v>
          </cell>
        </row>
        <row r="3157">
          <cell r="I3157" t="str">
            <v>met</v>
          </cell>
          <cell r="V3157" t="str">
            <v>0</v>
          </cell>
          <cell r="W3157">
            <v>0</v>
          </cell>
          <cell r="X3157" t="str">
            <v>0</v>
          </cell>
        </row>
        <row r="3158">
          <cell r="I3158" t="str">
            <v>met</v>
          </cell>
          <cell r="V3158" t="str">
            <v>0</v>
          </cell>
          <cell r="W3158">
            <v>0</v>
          </cell>
          <cell r="X3158" t="str">
            <v>0</v>
          </cell>
        </row>
        <row r="3159">
          <cell r="I3159" t="str">
            <v>met</v>
          </cell>
          <cell r="V3159" t="str">
            <v>0</v>
          </cell>
          <cell r="W3159">
            <v>0</v>
          </cell>
          <cell r="X3159" t="str">
            <v>0</v>
          </cell>
        </row>
        <row r="3160">
          <cell r="I3160" t="str">
            <v>sim</v>
          </cell>
          <cell r="V3160" t="str">
            <v>not</v>
          </cell>
          <cell r="W3160">
            <v>1</v>
          </cell>
          <cell r="X3160" t="str">
            <v>neg</v>
          </cell>
        </row>
        <row r="3161">
          <cell r="I3161" t="str">
            <v>sim</v>
          </cell>
          <cell r="V3161" t="str">
            <v>not</v>
          </cell>
          <cell r="W3161">
            <v>1</v>
          </cell>
          <cell r="X3161" t="str">
            <v>intens</v>
          </cell>
        </row>
        <row r="3162">
          <cell r="I3162" t="str">
            <v>sim</v>
          </cell>
          <cell r="V3162" t="str">
            <v>not neg pair</v>
          </cell>
          <cell r="W3162">
            <v>0</v>
          </cell>
          <cell r="X3162" t="str">
            <v>0</v>
          </cell>
        </row>
        <row r="3163">
          <cell r="I3163" t="str">
            <v>sim</v>
          </cell>
          <cell r="V3163" t="str">
            <v>not neg pair</v>
          </cell>
          <cell r="W3163">
            <v>0</v>
          </cell>
          <cell r="X3163" t="str">
            <v>0</v>
          </cell>
        </row>
        <row r="3164">
          <cell r="I3164" t="str">
            <v>sim</v>
          </cell>
          <cell r="V3164" t="str">
            <v>not neg pair</v>
          </cell>
          <cell r="W3164">
            <v>0</v>
          </cell>
          <cell r="X3164" t="str">
            <v>0</v>
          </cell>
        </row>
        <row r="3165">
          <cell r="I3165" t="str">
            <v>sim</v>
          </cell>
          <cell r="V3165" t="str">
            <v>not neg pair</v>
          </cell>
          <cell r="W3165">
            <v>0</v>
          </cell>
          <cell r="X3165" t="str">
            <v>0</v>
          </cell>
        </row>
        <row r="3166">
          <cell r="I3166" t="str">
            <v>sim</v>
          </cell>
          <cell r="V3166" t="str">
            <v>not neg pair</v>
          </cell>
          <cell r="W3166">
            <v>0</v>
          </cell>
          <cell r="X3166" t="str">
            <v>0</v>
          </cell>
        </row>
        <row r="3167">
          <cell r="I3167" t="str">
            <v>sim</v>
          </cell>
          <cell r="V3167" t="str">
            <v>not neg pair</v>
          </cell>
          <cell r="W3167">
            <v>0</v>
          </cell>
          <cell r="X3167" t="str">
            <v>0</v>
          </cell>
        </row>
        <row r="3168">
          <cell r="I3168" t="str">
            <v>sim</v>
          </cell>
          <cell r="V3168" t="str">
            <v>not neg pair</v>
          </cell>
          <cell r="W3168">
            <v>0</v>
          </cell>
          <cell r="X3168" t="str">
            <v>0</v>
          </cell>
        </row>
        <row r="3169">
          <cell r="I3169" t="str">
            <v>sim</v>
          </cell>
          <cell r="V3169" t="str">
            <v>not neg pair</v>
          </cell>
          <cell r="W3169">
            <v>0</v>
          </cell>
          <cell r="X3169" t="str">
            <v>0</v>
          </cell>
        </row>
        <row r="3170">
          <cell r="I3170" t="str">
            <v>sim</v>
          </cell>
          <cell r="V3170" t="str">
            <v>not neg pair</v>
          </cell>
          <cell r="W3170">
            <v>0</v>
          </cell>
          <cell r="X3170" t="str">
            <v>0</v>
          </cell>
        </row>
        <row r="3171">
          <cell r="I3171" t="str">
            <v>sim</v>
          </cell>
          <cell r="V3171" t="str">
            <v>not neg pair</v>
          </cell>
          <cell r="W3171">
            <v>0</v>
          </cell>
          <cell r="X3171" t="str">
            <v>0</v>
          </cell>
        </row>
        <row r="3172">
          <cell r="I3172" t="str">
            <v>sim</v>
          </cell>
          <cell r="V3172" t="str">
            <v>not</v>
          </cell>
          <cell r="W3172">
            <v>1</v>
          </cell>
          <cell r="X3172" t="str">
            <v>neg</v>
          </cell>
        </row>
        <row r="3173">
          <cell r="I3173" t="str">
            <v>sim</v>
          </cell>
          <cell r="V3173" t="str">
            <v>not</v>
          </cell>
          <cell r="W3173">
            <v>1</v>
          </cell>
          <cell r="X3173" t="str">
            <v>intens</v>
          </cell>
        </row>
        <row r="3174">
          <cell r="I3174" t="str">
            <v>sim</v>
          </cell>
          <cell r="V3174" t="str">
            <v>antonym</v>
          </cell>
          <cell r="W3174">
            <v>1</v>
          </cell>
          <cell r="X3174" t="str">
            <v>intens</v>
          </cell>
        </row>
        <row r="3175">
          <cell r="I3175" t="str">
            <v>sim</v>
          </cell>
          <cell r="V3175" t="str">
            <v>antonym</v>
          </cell>
          <cell r="W3175">
            <v>1</v>
          </cell>
          <cell r="X3175" t="str">
            <v>neg</v>
          </cell>
        </row>
        <row r="3176">
          <cell r="I3176" t="str">
            <v>sim</v>
          </cell>
          <cell r="V3176" t="str">
            <v>not neg pair</v>
          </cell>
          <cell r="W3176">
            <v>0</v>
          </cell>
          <cell r="X3176" t="str">
            <v>0</v>
          </cell>
        </row>
        <row r="3177">
          <cell r="I3177" t="str">
            <v>sim</v>
          </cell>
          <cell r="V3177" t="str">
            <v>not neg pair</v>
          </cell>
          <cell r="W3177">
            <v>0</v>
          </cell>
          <cell r="X3177" t="str">
            <v>0</v>
          </cell>
        </row>
        <row r="3178">
          <cell r="I3178" t="str">
            <v>sim</v>
          </cell>
          <cell r="V3178" t="str">
            <v>not neg pair</v>
          </cell>
          <cell r="W3178">
            <v>0</v>
          </cell>
          <cell r="X3178" t="str">
            <v>0</v>
          </cell>
        </row>
        <row r="3179">
          <cell r="I3179" t="str">
            <v>sim</v>
          </cell>
          <cell r="V3179" t="str">
            <v>not neg pair</v>
          </cell>
          <cell r="W3179">
            <v>0</v>
          </cell>
          <cell r="X3179" t="str">
            <v>0</v>
          </cell>
        </row>
        <row r="3180">
          <cell r="I3180" t="str">
            <v>sim</v>
          </cell>
          <cell r="V3180" t="str">
            <v>not</v>
          </cell>
          <cell r="W3180">
            <v>1</v>
          </cell>
          <cell r="X3180" t="str">
            <v>neg</v>
          </cell>
        </row>
        <row r="3181">
          <cell r="I3181" t="str">
            <v>sim</v>
          </cell>
          <cell r="V3181" t="str">
            <v>not</v>
          </cell>
          <cell r="W3181">
            <v>1</v>
          </cell>
          <cell r="X3181" t="str">
            <v>intens</v>
          </cell>
        </row>
        <row r="3182">
          <cell r="I3182" t="str">
            <v>met</v>
          </cell>
          <cell r="V3182" t="str">
            <v>0</v>
          </cell>
          <cell r="W3182">
            <v>0</v>
          </cell>
          <cell r="X3182" t="str">
            <v>0</v>
          </cell>
        </row>
        <row r="3183">
          <cell r="I3183" t="str">
            <v>met</v>
          </cell>
          <cell r="V3183" t="str">
            <v>0</v>
          </cell>
          <cell r="W3183">
            <v>0</v>
          </cell>
          <cell r="X3183" t="str">
            <v>0</v>
          </cell>
        </row>
        <row r="3184">
          <cell r="I3184" t="str">
            <v>met</v>
          </cell>
          <cell r="V3184" t="str">
            <v>0</v>
          </cell>
          <cell r="W3184">
            <v>0</v>
          </cell>
          <cell r="X3184" t="str">
            <v>0</v>
          </cell>
        </row>
        <row r="3185">
          <cell r="I3185" t="str">
            <v>met</v>
          </cell>
          <cell r="V3185" t="str">
            <v>0</v>
          </cell>
          <cell r="W3185">
            <v>0</v>
          </cell>
          <cell r="X3185" t="str">
            <v>0</v>
          </cell>
        </row>
        <row r="3186">
          <cell r="I3186" t="str">
            <v>met</v>
          </cell>
          <cell r="V3186" t="str">
            <v>0</v>
          </cell>
          <cell r="W3186">
            <v>0</v>
          </cell>
          <cell r="X3186" t="str">
            <v>0</v>
          </cell>
        </row>
        <row r="3187">
          <cell r="I3187" t="str">
            <v>met</v>
          </cell>
          <cell r="V3187" t="str">
            <v>0</v>
          </cell>
          <cell r="W3187">
            <v>0</v>
          </cell>
          <cell r="X3187" t="str">
            <v>0</v>
          </cell>
        </row>
        <row r="3188">
          <cell r="I3188" t="str">
            <v>met</v>
          </cell>
          <cell r="V3188" t="str">
            <v>0</v>
          </cell>
          <cell r="W3188">
            <v>0</v>
          </cell>
          <cell r="X3188" t="str">
            <v>0</v>
          </cell>
        </row>
        <row r="3189">
          <cell r="I3189" t="str">
            <v>met</v>
          </cell>
          <cell r="V3189" t="str">
            <v>0</v>
          </cell>
          <cell r="W3189">
            <v>0</v>
          </cell>
          <cell r="X3189" t="str">
            <v>0</v>
          </cell>
        </row>
        <row r="3190">
          <cell r="I3190" t="str">
            <v>sim</v>
          </cell>
          <cell r="V3190" t="str">
            <v>not neg pair</v>
          </cell>
          <cell r="W3190">
            <v>0</v>
          </cell>
          <cell r="X3190" t="str">
            <v>0</v>
          </cell>
        </row>
        <row r="3191">
          <cell r="I3191" t="str">
            <v>sim</v>
          </cell>
          <cell r="V3191" t="str">
            <v>not neg pair</v>
          </cell>
          <cell r="W3191">
            <v>0</v>
          </cell>
          <cell r="X3191" t="str">
            <v>0</v>
          </cell>
        </row>
        <row r="3192">
          <cell r="I3192" t="str">
            <v>sim</v>
          </cell>
          <cell r="V3192" t="str">
            <v>not</v>
          </cell>
          <cell r="W3192">
            <v>1</v>
          </cell>
          <cell r="X3192" t="str">
            <v>intens</v>
          </cell>
        </row>
        <row r="3193">
          <cell r="I3193" t="str">
            <v>sim</v>
          </cell>
          <cell r="V3193" t="str">
            <v>not</v>
          </cell>
          <cell r="W3193">
            <v>1</v>
          </cell>
          <cell r="X3193" t="str">
            <v>neg</v>
          </cell>
        </row>
        <row r="3194">
          <cell r="I3194" t="str">
            <v>sim</v>
          </cell>
          <cell r="V3194" t="str">
            <v>antonym</v>
          </cell>
          <cell r="W3194">
            <v>1</v>
          </cell>
          <cell r="X3194" t="str">
            <v>intens</v>
          </cell>
        </row>
        <row r="3195">
          <cell r="I3195" t="str">
            <v>sim</v>
          </cell>
          <cell r="V3195" t="str">
            <v>antonym</v>
          </cell>
          <cell r="W3195">
            <v>1</v>
          </cell>
          <cell r="X3195" t="str">
            <v>neg</v>
          </cell>
        </row>
        <row r="3196">
          <cell r="I3196" t="str">
            <v>met</v>
          </cell>
          <cell r="V3196" t="str">
            <v>0</v>
          </cell>
          <cell r="W3196">
            <v>0</v>
          </cell>
          <cell r="X3196" t="str">
            <v>0</v>
          </cell>
        </row>
        <row r="3197">
          <cell r="I3197" t="str">
            <v>met</v>
          </cell>
          <cell r="V3197" t="str">
            <v>0</v>
          </cell>
          <cell r="W3197">
            <v>0</v>
          </cell>
          <cell r="X3197" t="str">
            <v>0</v>
          </cell>
        </row>
        <row r="3198">
          <cell r="I3198" t="str">
            <v>met</v>
          </cell>
          <cell r="V3198" t="str">
            <v>0</v>
          </cell>
          <cell r="W3198">
            <v>0</v>
          </cell>
          <cell r="X3198" t="str">
            <v>0</v>
          </cell>
        </row>
        <row r="3199">
          <cell r="I3199" t="str">
            <v>met</v>
          </cell>
          <cell r="V3199" t="str">
            <v>0</v>
          </cell>
          <cell r="W3199">
            <v>0</v>
          </cell>
          <cell r="X3199" t="str">
            <v>0</v>
          </cell>
        </row>
        <row r="3200">
          <cell r="I3200" t="str">
            <v>met</v>
          </cell>
          <cell r="V3200" t="str">
            <v>0</v>
          </cell>
          <cell r="W3200">
            <v>0</v>
          </cell>
          <cell r="X3200" t="str">
            <v>0</v>
          </cell>
        </row>
        <row r="3201">
          <cell r="I3201" t="str">
            <v>met</v>
          </cell>
          <cell r="V3201" t="str">
            <v>0</v>
          </cell>
          <cell r="W3201">
            <v>0</v>
          </cell>
          <cell r="X3201" t="str">
            <v>0</v>
          </cell>
        </row>
        <row r="3202">
          <cell r="I3202" t="str">
            <v>sim</v>
          </cell>
          <cell r="V3202" t="str">
            <v>not</v>
          </cell>
          <cell r="W3202">
            <v>1</v>
          </cell>
          <cell r="X3202" t="str">
            <v>intens</v>
          </cell>
        </row>
        <row r="3203">
          <cell r="I3203" t="str">
            <v>sim</v>
          </cell>
          <cell r="V3203" t="str">
            <v>not</v>
          </cell>
          <cell r="W3203">
            <v>1</v>
          </cell>
          <cell r="X3203" t="str">
            <v>neg</v>
          </cell>
        </row>
        <row r="3204">
          <cell r="I3204" t="str">
            <v>sim</v>
          </cell>
          <cell r="V3204" t="str">
            <v>not</v>
          </cell>
          <cell r="W3204">
            <v>1</v>
          </cell>
          <cell r="X3204" t="str">
            <v>intens</v>
          </cell>
        </row>
        <row r="3205">
          <cell r="I3205" t="str">
            <v>sim</v>
          </cell>
          <cell r="V3205" t="str">
            <v>not</v>
          </cell>
          <cell r="W3205">
            <v>1</v>
          </cell>
          <cell r="X3205" t="str">
            <v>neg</v>
          </cell>
        </row>
        <row r="3206">
          <cell r="I3206" t="str">
            <v>sim</v>
          </cell>
          <cell r="V3206" t="str">
            <v>not</v>
          </cell>
          <cell r="W3206">
            <v>1</v>
          </cell>
          <cell r="X3206" t="str">
            <v>intens</v>
          </cell>
        </row>
        <row r="3207">
          <cell r="I3207" t="str">
            <v>sim</v>
          </cell>
          <cell r="V3207" t="str">
            <v>not</v>
          </cell>
          <cell r="W3207">
            <v>1</v>
          </cell>
          <cell r="X3207" t="str">
            <v>neg</v>
          </cell>
        </row>
        <row r="3208">
          <cell r="I3208" t="str">
            <v>sim</v>
          </cell>
          <cell r="V3208" t="str">
            <v>not neg pair</v>
          </cell>
          <cell r="W3208">
            <v>0</v>
          </cell>
          <cell r="X3208" t="str">
            <v>0</v>
          </cell>
        </row>
        <row r="3209">
          <cell r="I3209" t="str">
            <v>sim</v>
          </cell>
          <cell r="V3209" t="str">
            <v>not neg pair</v>
          </cell>
          <cell r="W3209">
            <v>0</v>
          </cell>
          <cell r="X3209" t="str">
            <v>0</v>
          </cell>
        </row>
        <row r="3210">
          <cell r="I3210" t="str">
            <v>sim</v>
          </cell>
          <cell r="V3210" t="str">
            <v>antonym</v>
          </cell>
          <cell r="W3210">
            <v>1</v>
          </cell>
          <cell r="X3210" t="str">
            <v>intens</v>
          </cell>
        </row>
        <row r="3211">
          <cell r="I3211" t="str">
            <v>sim</v>
          </cell>
          <cell r="V3211" t="str">
            <v>antonym</v>
          </cell>
          <cell r="W3211">
            <v>1</v>
          </cell>
          <cell r="X3211" t="str">
            <v>neg</v>
          </cell>
        </row>
        <row r="3212">
          <cell r="I3212" t="str">
            <v>sim</v>
          </cell>
          <cell r="V3212" t="str">
            <v>antonym</v>
          </cell>
          <cell r="W3212">
            <v>1</v>
          </cell>
          <cell r="X3212" t="str">
            <v>intens</v>
          </cell>
        </row>
        <row r="3213">
          <cell r="I3213" t="str">
            <v>sim</v>
          </cell>
          <cell r="V3213" t="str">
            <v>antonym</v>
          </cell>
          <cell r="W3213">
            <v>1</v>
          </cell>
          <cell r="X3213" t="str">
            <v>neg</v>
          </cell>
        </row>
        <row r="3214">
          <cell r="I3214" t="str">
            <v>sim</v>
          </cell>
          <cell r="V3214" t="str">
            <v>not neg pair</v>
          </cell>
          <cell r="W3214">
            <v>0</v>
          </cell>
          <cell r="X3214" t="str">
            <v>0</v>
          </cell>
        </row>
        <row r="3215">
          <cell r="I3215" t="str">
            <v>sim</v>
          </cell>
          <cell r="V3215" t="str">
            <v>not neg pair</v>
          </cell>
          <cell r="W3215">
            <v>0</v>
          </cell>
          <cell r="X3215" t="str">
            <v>0</v>
          </cell>
        </row>
        <row r="3216">
          <cell r="I3216" t="str">
            <v>sim</v>
          </cell>
          <cell r="V3216" t="str">
            <v>antonym</v>
          </cell>
          <cell r="W3216">
            <v>1</v>
          </cell>
          <cell r="X3216" t="str">
            <v>intens</v>
          </cell>
        </row>
        <row r="3217">
          <cell r="I3217" t="str">
            <v>sim</v>
          </cell>
          <cell r="V3217" t="str">
            <v>antonym</v>
          </cell>
          <cell r="W3217">
            <v>1</v>
          </cell>
          <cell r="X3217" t="str">
            <v>neg</v>
          </cell>
        </row>
        <row r="3218">
          <cell r="I3218" t="str">
            <v>met</v>
          </cell>
          <cell r="V3218" t="str">
            <v>0</v>
          </cell>
          <cell r="W3218">
            <v>0</v>
          </cell>
          <cell r="X3218" t="str">
            <v>0</v>
          </cell>
        </row>
        <row r="3219">
          <cell r="I3219" t="str">
            <v>met</v>
          </cell>
          <cell r="V3219" t="str">
            <v>0</v>
          </cell>
          <cell r="W3219">
            <v>0</v>
          </cell>
          <cell r="X3219" t="str">
            <v>0</v>
          </cell>
        </row>
        <row r="3220">
          <cell r="I3220" t="str">
            <v>sim</v>
          </cell>
          <cell r="V3220" t="str">
            <v>not</v>
          </cell>
          <cell r="W3220">
            <v>1</v>
          </cell>
          <cell r="X3220" t="str">
            <v>neg</v>
          </cell>
        </row>
        <row r="3221">
          <cell r="I3221" t="str">
            <v>sim</v>
          </cell>
          <cell r="V3221" t="str">
            <v>not</v>
          </cell>
          <cell r="W3221">
            <v>1</v>
          </cell>
          <cell r="X3221" t="str">
            <v>intens</v>
          </cell>
        </row>
        <row r="3222">
          <cell r="I3222" t="str">
            <v>sim</v>
          </cell>
          <cell r="V3222" t="str">
            <v>not neg pair</v>
          </cell>
          <cell r="W3222">
            <v>0</v>
          </cell>
          <cell r="X3222" t="str">
            <v>0</v>
          </cell>
        </row>
        <row r="3223">
          <cell r="I3223" t="str">
            <v>sim</v>
          </cell>
          <cell r="V3223" t="str">
            <v>not neg pair</v>
          </cell>
          <cell r="W3223">
            <v>0</v>
          </cell>
          <cell r="X3223" t="str">
            <v>0</v>
          </cell>
        </row>
        <row r="3224">
          <cell r="I3224" t="str">
            <v>sim</v>
          </cell>
          <cell r="V3224" t="str">
            <v>not neg pair</v>
          </cell>
          <cell r="W3224">
            <v>0</v>
          </cell>
          <cell r="X3224" t="str">
            <v>0</v>
          </cell>
        </row>
        <row r="3225">
          <cell r="I3225" t="str">
            <v>sim</v>
          </cell>
          <cell r="V3225" t="str">
            <v>not neg pair</v>
          </cell>
          <cell r="W3225">
            <v>0</v>
          </cell>
          <cell r="X3225" t="str">
            <v>0</v>
          </cell>
        </row>
        <row r="3226">
          <cell r="I3226" t="str">
            <v>met</v>
          </cell>
          <cell r="V3226" t="str">
            <v>0</v>
          </cell>
          <cell r="W3226">
            <v>0</v>
          </cell>
          <cell r="X3226" t="str">
            <v>0</v>
          </cell>
        </row>
        <row r="3227">
          <cell r="I3227" t="str">
            <v>met</v>
          </cell>
          <cell r="V3227" t="str">
            <v>0</v>
          </cell>
          <cell r="W3227">
            <v>0</v>
          </cell>
          <cell r="X3227" t="str">
            <v>0</v>
          </cell>
        </row>
        <row r="3228">
          <cell r="I3228" t="str">
            <v>met</v>
          </cell>
          <cell r="V3228" t="str">
            <v>0</v>
          </cell>
          <cell r="W3228">
            <v>0</v>
          </cell>
          <cell r="X3228" t="str">
            <v>0</v>
          </cell>
        </row>
        <row r="3229">
          <cell r="I3229" t="str">
            <v>met</v>
          </cell>
          <cell r="V3229" t="str">
            <v>0</v>
          </cell>
          <cell r="W3229">
            <v>0</v>
          </cell>
          <cell r="X3229" t="str">
            <v>0</v>
          </cell>
        </row>
        <row r="3230">
          <cell r="I3230" t="str">
            <v>sim</v>
          </cell>
          <cell r="V3230" t="str">
            <v>not</v>
          </cell>
          <cell r="W3230">
            <v>1</v>
          </cell>
          <cell r="X3230" t="str">
            <v>intens</v>
          </cell>
        </row>
        <row r="3231">
          <cell r="I3231" t="str">
            <v>sim</v>
          </cell>
          <cell r="V3231" t="str">
            <v>not</v>
          </cell>
          <cell r="W3231">
            <v>1</v>
          </cell>
          <cell r="X3231" t="str">
            <v>neg</v>
          </cell>
        </row>
        <row r="3232">
          <cell r="I3232" t="str">
            <v>sim</v>
          </cell>
          <cell r="V3232" t="str">
            <v>antonym</v>
          </cell>
          <cell r="W3232">
            <v>1</v>
          </cell>
          <cell r="X3232" t="str">
            <v>intens</v>
          </cell>
        </row>
        <row r="3233">
          <cell r="I3233" t="str">
            <v>sim</v>
          </cell>
          <cell r="V3233" t="str">
            <v>antonym</v>
          </cell>
          <cell r="W3233">
            <v>1</v>
          </cell>
          <cell r="X3233" t="str">
            <v>neg</v>
          </cell>
        </row>
        <row r="3234">
          <cell r="I3234" t="str">
            <v>sim</v>
          </cell>
          <cell r="V3234" t="str">
            <v>not neg pair</v>
          </cell>
          <cell r="W3234">
            <v>0</v>
          </cell>
          <cell r="X3234" t="str">
            <v>0</v>
          </cell>
        </row>
        <row r="3235">
          <cell r="I3235" t="str">
            <v>sim</v>
          </cell>
          <cell r="V3235" t="str">
            <v>not neg pair</v>
          </cell>
          <cell r="W3235">
            <v>0</v>
          </cell>
          <cell r="X3235" t="str">
            <v>0</v>
          </cell>
        </row>
        <row r="3236">
          <cell r="I3236" t="str">
            <v>sim</v>
          </cell>
          <cell r="V3236" t="str">
            <v>not neg pair</v>
          </cell>
          <cell r="W3236">
            <v>0</v>
          </cell>
          <cell r="X3236" t="str">
            <v>0</v>
          </cell>
        </row>
        <row r="3237">
          <cell r="I3237" t="str">
            <v>sim</v>
          </cell>
          <cell r="V3237" t="str">
            <v>not neg pair</v>
          </cell>
          <cell r="W3237">
            <v>0</v>
          </cell>
          <cell r="X3237" t="str">
            <v>0</v>
          </cell>
        </row>
        <row r="3238">
          <cell r="I3238" t="str">
            <v>sim</v>
          </cell>
          <cell r="V3238" t="str">
            <v>not neg pair</v>
          </cell>
          <cell r="W3238">
            <v>0</v>
          </cell>
          <cell r="X3238" t="str">
            <v>0</v>
          </cell>
        </row>
        <row r="3239">
          <cell r="I3239" t="str">
            <v>sim</v>
          </cell>
          <cell r="V3239" t="str">
            <v>not neg pair</v>
          </cell>
          <cell r="W3239">
            <v>0</v>
          </cell>
          <cell r="X3239" t="str">
            <v>0</v>
          </cell>
        </row>
        <row r="3240">
          <cell r="I3240" t="str">
            <v>met</v>
          </cell>
          <cell r="V3240" t="str">
            <v>0</v>
          </cell>
          <cell r="W3240">
            <v>0</v>
          </cell>
          <cell r="X3240" t="str">
            <v>0</v>
          </cell>
        </row>
        <row r="3241">
          <cell r="I3241" t="str">
            <v>met</v>
          </cell>
          <cell r="V3241" t="str">
            <v>0</v>
          </cell>
          <cell r="W3241">
            <v>0</v>
          </cell>
          <cell r="X3241" t="str">
            <v>0</v>
          </cell>
        </row>
        <row r="3242">
          <cell r="I3242" t="str">
            <v>met</v>
          </cell>
          <cell r="V3242" t="str">
            <v>0</v>
          </cell>
          <cell r="W3242">
            <v>0</v>
          </cell>
          <cell r="X3242" t="str">
            <v>0</v>
          </cell>
        </row>
        <row r="3243">
          <cell r="I3243" t="str">
            <v>met</v>
          </cell>
          <cell r="V3243" t="str">
            <v>0</v>
          </cell>
          <cell r="W3243">
            <v>0</v>
          </cell>
          <cell r="X3243" t="str">
            <v>0</v>
          </cell>
        </row>
        <row r="3244">
          <cell r="I3244" t="str">
            <v>sim</v>
          </cell>
          <cell r="V3244" t="str">
            <v>not neg pair</v>
          </cell>
          <cell r="W3244">
            <v>0</v>
          </cell>
          <cell r="X3244" t="str">
            <v>0</v>
          </cell>
        </row>
        <row r="3245">
          <cell r="I3245" t="str">
            <v>sim</v>
          </cell>
          <cell r="V3245" t="str">
            <v>not neg pair</v>
          </cell>
          <cell r="W3245">
            <v>0</v>
          </cell>
          <cell r="X3245" t="str">
            <v>0</v>
          </cell>
        </row>
        <row r="3246">
          <cell r="I3246" t="str">
            <v>met</v>
          </cell>
          <cell r="V3246" t="str">
            <v>0</v>
          </cell>
          <cell r="W3246">
            <v>0</v>
          </cell>
          <cell r="X3246" t="str">
            <v>0</v>
          </cell>
        </row>
        <row r="3247">
          <cell r="I3247" t="str">
            <v>met</v>
          </cell>
          <cell r="V3247" t="str">
            <v>0</v>
          </cell>
          <cell r="W3247">
            <v>0</v>
          </cell>
          <cell r="X3247" t="str">
            <v>0</v>
          </cell>
        </row>
        <row r="3248">
          <cell r="I3248" t="str">
            <v>met</v>
          </cell>
          <cell r="V3248" t="str">
            <v>0</v>
          </cell>
          <cell r="W3248">
            <v>0</v>
          </cell>
          <cell r="X3248" t="str">
            <v>0</v>
          </cell>
        </row>
        <row r="3249">
          <cell r="I3249" t="str">
            <v>met</v>
          </cell>
          <cell r="V3249" t="str">
            <v>0</v>
          </cell>
          <cell r="W3249">
            <v>0</v>
          </cell>
          <cell r="X3249" t="str">
            <v>0</v>
          </cell>
        </row>
        <row r="3250">
          <cell r="I3250" t="str">
            <v>met</v>
          </cell>
          <cell r="V3250" t="str">
            <v>0</v>
          </cell>
          <cell r="W3250">
            <v>0</v>
          </cell>
          <cell r="X3250" t="str">
            <v>0</v>
          </cell>
        </row>
        <row r="3251">
          <cell r="I3251" t="str">
            <v>met</v>
          </cell>
          <cell r="V3251" t="str">
            <v>0</v>
          </cell>
          <cell r="W3251">
            <v>0</v>
          </cell>
          <cell r="X3251" t="str">
            <v>0</v>
          </cell>
        </row>
        <row r="3252">
          <cell r="I3252" t="str">
            <v>met</v>
          </cell>
          <cell r="V3252" t="str">
            <v>0</v>
          </cell>
          <cell r="W3252">
            <v>0</v>
          </cell>
          <cell r="X3252" t="str">
            <v>0</v>
          </cell>
        </row>
        <row r="3253">
          <cell r="I3253" t="str">
            <v>met</v>
          </cell>
          <cell r="V3253" t="str">
            <v>0</v>
          </cell>
          <cell r="W3253">
            <v>0</v>
          </cell>
          <cell r="X3253" t="str">
            <v>0</v>
          </cell>
        </row>
        <row r="3254">
          <cell r="I3254" t="str">
            <v>sim</v>
          </cell>
          <cell r="V3254" t="str">
            <v>not</v>
          </cell>
          <cell r="W3254">
            <v>1</v>
          </cell>
          <cell r="X3254" t="str">
            <v>neg</v>
          </cell>
        </row>
        <row r="3255">
          <cell r="I3255" t="str">
            <v>sim</v>
          </cell>
          <cell r="V3255" t="str">
            <v>not</v>
          </cell>
          <cell r="W3255">
            <v>1</v>
          </cell>
          <cell r="X3255" t="str">
            <v>intens</v>
          </cell>
        </row>
        <row r="3256">
          <cell r="I3256" t="str">
            <v>sim</v>
          </cell>
          <cell r="V3256" t="str">
            <v>antonym</v>
          </cell>
          <cell r="W3256">
            <v>1</v>
          </cell>
          <cell r="X3256" t="str">
            <v>neg</v>
          </cell>
        </row>
        <row r="3257">
          <cell r="I3257" t="str">
            <v>sim</v>
          </cell>
          <cell r="V3257" t="str">
            <v>antonym</v>
          </cell>
          <cell r="W3257">
            <v>1</v>
          </cell>
          <cell r="X3257" t="str">
            <v>intens</v>
          </cell>
        </row>
        <row r="3258">
          <cell r="I3258" t="str">
            <v>sim</v>
          </cell>
          <cell r="V3258" t="str">
            <v>not</v>
          </cell>
          <cell r="W3258">
            <v>1</v>
          </cell>
          <cell r="X3258" t="str">
            <v>neg</v>
          </cell>
        </row>
        <row r="3259">
          <cell r="I3259" t="str">
            <v>sim</v>
          </cell>
          <cell r="V3259" t="str">
            <v>not</v>
          </cell>
          <cell r="W3259">
            <v>1</v>
          </cell>
          <cell r="X3259" t="str">
            <v>intens</v>
          </cell>
        </row>
        <row r="3260">
          <cell r="I3260" t="str">
            <v>sim</v>
          </cell>
          <cell r="V3260" t="str">
            <v>not neg pair</v>
          </cell>
          <cell r="W3260">
            <v>0</v>
          </cell>
          <cell r="X3260" t="str">
            <v>0</v>
          </cell>
        </row>
        <row r="3261">
          <cell r="I3261" t="str">
            <v>sim</v>
          </cell>
          <cell r="V3261" t="str">
            <v>not neg pair</v>
          </cell>
          <cell r="W3261">
            <v>0</v>
          </cell>
          <cell r="X3261" t="str">
            <v>0</v>
          </cell>
        </row>
        <row r="3262">
          <cell r="I3262" t="str">
            <v>sim</v>
          </cell>
          <cell r="V3262" t="str">
            <v>not neg pair</v>
          </cell>
          <cell r="W3262">
            <v>0</v>
          </cell>
          <cell r="X3262" t="str">
            <v>0</v>
          </cell>
        </row>
        <row r="3263">
          <cell r="I3263" t="str">
            <v>sim</v>
          </cell>
          <cell r="V3263" t="str">
            <v>not neg pair</v>
          </cell>
          <cell r="W3263">
            <v>0</v>
          </cell>
          <cell r="X3263" t="str">
            <v>0</v>
          </cell>
        </row>
        <row r="3264">
          <cell r="I3264" t="str">
            <v>met</v>
          </cell>
          <cell r="V3264" t="str">
            <v>0</v>
          </cell>
          <cell r="W3264">
            <v>0</v>
          </cell>
          <cell r="X3264" t="str">
            <v>0</v>
          </cell>
        </row>
        <row r="3265">
          <cell r="I3265" t="str">
            <v>met</v>
          </cell>
          <cell r="V3265" t="str">
            <v>0</v>
          </cell>
          <cell r="W3265">
            <v>0</v>
          </cell>
          <cell r="X3265" t="str">
            <v>0</v>
          </cell>
        </row>
        <row r="3266">
          <cell r="I3266" t="str">
            <v>met</v>
          </cell>
          <cell r="V3266" t="str">
            <v>0</v>
          </cell>
          <cell r="W3266">
            <v>0</v>
          </cell>
          <cell r="X3266" t="str">
            <v>0</v>
          </cell>
        </row>
        <row r="3267">
          <cell r="I3267" t="str">
            <v>met</v>
          </cell>
          <cell r="V3267" t="str">
            <v>0</v>
          </cell>
          <cell r="W3267">
            <v>0</v>
          </cell>
          <cell r="X3267" t="str">
            <v>0</v>
          </cell>
        </row>
        <row r="3268">
          <cell r="I3268" t="str">
            <v>met</v>
          </cell>
          <cell r="V3268" t="str">
            <v>0</v>
          </cell>
          <cell r="W3268">
            <v>0</v>
          </cell>
          <cell r="X3268" t="str">
            <v>0</v>
          </cell>
        </row>
        <row r="3269">
          <cell r="I3269" t="str">
            <v>met</v>
          </cell>
          <cell r="V3269" t="str">
            <v>0</v>
          </cell>
          <cell r="W3269">
            <v>0</v>
          </cell>
          <cell r="X3269" t="str">
            <v>0</v>
          </cell>
        </row>
        <row r="3270">
          <cell r="I3270" t="str">
            <v>met</v>
          </cell>
          <cell r="V3270" t="str">
            <v>0</v>
          </cell>
          <cell r="W3270">
            <v>0</v>
          </cell>
          <cell r="X3270" t="str">
            <v>0</v>
          </cell>
        </row>
        <row r="3271">
          <cell r="I3271" t="str">
            <v>met</v>
          </cell>
          <cell r="V3271" t="str">
            <v>0</v>
          </cell>
          <cell r="W3271">
            <v>0</v>
          </cell>
          <cell r="X3271" t="str">
            <v>0</v>
          </cell>
        </row>
        <row r="3272">
          <cell r="I3272" t="str">
            <v>sim</v>
          </cell>
          <cell r="V3272" t="str">
            <v>not</v>
          </cell>
          <cell r="W3272">
            <v>1</v>
          </cell>
          <cell r="X3272" t="str">
            <v>intens</v>
          </cell>
        </row>
        <row r="3273">
          <cell r="I3273" t="str">
            <v>sim</v>
          </cell>
          <cell r="V3273" t="str">
            <v>not</v>
          </cell>
          <cell r="W3273">
            <v>1</v>
          </cell>
          <cell r="X3273" t="str">
            <v>neg</v>
          </cell>
        </row>
        <row r="3274">
          <cell r="I3274" t="str">
            <v>sim</v>
          </cell>
          <cell r="V3274" t="str">
            <v>antonym</v>
          </cell>
          <cell r="W3274">
            <v>1</v>
          </cell>
          <cell r="X3274" t="str">
            <v>intens</v>
          </cell>
        </row>
        <row r="3275">
          <cell r="I3275" t="str">
            <v>sim</v>
          </cell>
          <cell r="V3275" t="str">
            <v>antonym</v>
          </cell>
          <cell r="W3275">
            <v>1</v>
          </cell>
          <cell r="X3275" t="str">
            <v>neg</v>
          </cell>
        </row>
        <row r="3276">
          <cell r="I3276" t="str">
            <v>sim</v>
          </cell>
          <cell r="V3276" t="str">
            <v>0</v>
          </cell>
          <cell r="W3276">
            <v>0</v>
          </cell>
          <cell r="X3276" t="str">
            <v>0</v>
          </cell>
        </row>
        <row r="3277">
          <cell r="I3277" t="str">
            <v>sim</v>
          </cell>
          <cell r="V3277" t="str">
            <v>not neg pair</v>
          </cell>
          <cell r="W3277">
            <v>0</v>
          </cell>
          <cell r="X3277" t="str">
            <v>0</v>
          </cell>
        </row>
        <row r="3278">
          <cell r="I3278" t="str">
            <v>sim</v>
          </cell>
          <cell r="V3278" t="str">
            <v>not neg pair</v>
          </cell>
          <cell r="W3278">
            <v>0</v>
          </cell>
          <cell r="X3278" t="str">
            <v>0</v>
          </cell>
        </row>
        <row r="3279">
          <cell r="I3279" t="str">
            <v>sim</v>
          </cell>
          <cell r="V3279" t="str">
            <v>not neg pair</v>
          </cell>
          <cell r="W3279">
            <v>0</v>
          </cell>
          <cell r="X3279" t="str">
            <v>0</v>
          </cell>
        </row>
        <row r="3280">
          <cell r="I3280" t="str">
            <v>sim</v>
          </cell>
          <cell r="V3280" t="str">
            <v>not neg pair</v>
          </cell>
          <cell r="W3280">
            <v>0</v>
          </cell>
          <cell r="X3280" t="str">
            <v>0</v>
          </cell>
        </row>
        <row r="3281">
          <cell r="I3281" t="str">
            <v>sim</v>
          </cell>
          <cell r="V3281" t="str">
            <v>not neg pair</v>
          </cell>
          <cell r="W3281">
            <v>0</v>
          </cell>
          <cell r="X3281" t="str">
            <v>0</v>
          </cell>
        </row>
        <row r="3282">
          <cell r="I3282" t="str">
            <v>sim</v>
          </cell>
          <cell r="V3282" t="str">
            <v>not neg pair</v>
          </cell>
          <cell r="W3282">
            <v>0</v>
          </cell>
          <cell r="X3282" t="str">
            <v>0</v>
          </cell>
        </row>
        <row r="3283">
          <cell r="I3283" t="str">
            <v>sim</v>
          </cell>
          <cell r="V3283" t="str">
            <v>not</v>
          </cell>
          <cell r="W3283">
            <v>1</v>
          </cell>
          <cell r="X3283" t="str">
            <v>neg</v>
          </cell>
        </row>
        <row r="3284">
          <cell r="I3284" t="str">
            <v>sim</v>
          </cell>
          <cell r="V3284" t="str">
            <v>not</v>
          </cell>
          <cell r="W3284">
            <v>1</v>
          </cell>
          <cell r="X3284" t="str">
            <v>intens</v>
          </cell>
        </row>
        <row r="3285">
          <cell r="I3285" t="str">
            <v>sim</v>
          </cell>
          <cell r="V3285" t="str">
            <v>not neg pair</v>
          </cell>
          <cell r="W3285">
            <v>0</v>
          </cell>
          <cell r="X3285" t="str">
            <v>0</v>
          </cell>
        </row>
        <row r="3286">
          <cell r="I3286" t="str">
            <v>sim</v>
          </cell>
          <cell r="V3286" t="str">
            <v>not neg pair</v>
          </cell>
          <cell r="W3286">
            <v>0</v>
          </cell>
          <cell r="X3286" t="str">
            <v>0</v>
          </cell>
        </row>
        <row r="3287">
          <cell r="I3287" t="str">
            <v>sim</v>
          </cell>
          <cell r="V3287" t="str">
            <v>not neg pair</v>
          </cell>
          <cell r="W3287">
            <v>0</v>
          </cell>
          <cell r="X3287" t="str">
            <v>0</v>
          </cell>
        </row>
        <row r="3288">
          <cell r="I3288" t="str">
            <v>sim</v>
          </cell>
          <cell r="V3288" t="str">
            <v>not neg pair</v>
          </cell>
          <cell r="W3288">
            <v>0</v>
          </cell>
          <cell r="X3288" t="str">
            <v>0</v>
          </cell>
        </row>
        <row r="3289">
          <cell r="I3289" t="str">
            <v>sim</v>
          </cell>
          <cell r="V3289" t="str">
            <v>antonym</v>
          </cell>
          <cell r="W3289">
            <v>1</v>
          </cell>
          <cell r="X3289" t="str">
            <v>neg</v>
          </cell>
        </row>
        <row r="3290">
          <cell r="I3290" t="str">
            <v>sim</v>
          </cell>
          <cell r="V3290" t="str">
            <v>antonym</v>
          </cell>
          <cell r="W3290">
            <v>1</v>
          </cell>
          <cell r="X3290" t="str">
            <v>intens</v>
          </cell>
        </row>
        <row r="3291">
          <cell r="I3291" t="str">
            <v>sim</v>
          </cell>
          <cell r="V3291" t="str">
            <v>antonym</v>
          </cell>
          <cell r="W3291">
            <v>1</v>
          </cell>
          <cell r="X3291" t="str">
            <v>neg</v>
          </cell>
        </row>
        <row r="3292">
          <cell r="I3292" t="str">
            <v>sim</v>
          </cell>
          <cell r="V3292" t="str">
            <v>antonym</v>
          </cell>
          <cell r="W3292">
            <v>1</v>
          </cell>
          <cell r="X3292" t="str">
            <v>intens</v>
          </cell>
        </row>
        <row r="3293">
          <cell r="I3293" t="str">
            <v>sim</v>
          </cell>
          <cell r="V3293" t="str">
            <v>not neg pair</v>
          </cell>
          <cell r="W3293">
            <v>0</v>
          </cell>
          <cell r="X3293" t="str">
            <v>0</v>
          </cell>
        </row>
        <row r="3294">
          <cell r="I3294" t="str">
            <v>sim</v>
          </cell>
          <cell r="V3294" t="str">
            <v>not neg pair</v>
          </cell>
          <cell r="W3294">
            <v>0</v>
          </cell>
          <cell r="X3294" t="str">
            <v>0</v>
          </cell>
        </row>
        <row r="3295">
          <cell r="I3295" t="str">
            <v>sim</v>
          </cell>
          <cell r="V3295" t="str">
            <v>antonym</v>
          </cell>
          <cell r="W3295">
            <v>1</v>
          </cell>
          <cell r="X3295" t="str">
            <v>intens</v>
          </cell>
        </row>
        <row r="3296">
          <cell r="I3296" t="str">
            <v>sim</v>
          </cell>
          <cell r="V3296" t="str">
            <v>antonym</v>
          </cell>
          <cell r="W3296">
            <v>1</v>
          </cell>
          <cell r="X3296" t="str">
            <v>neg</v>
          </cell>
        </row>
        <row r="3297">
          <cell r="I3297" t="str">
            <v>sim</v>
          </cell>
          <cell r="V3297" t="str">
            <v>not</v>
          </cell>
          <cell r="W3297">
            <v>1</v>
          </cell>
          <cell r="X3297" t="str">
            <v>intens</v>
          </cell>
        </row>
        <row r="3298">
          <cell r="I3298" t="str">
            <v>sim</v>
          </cell>
          <cell r="V3298" t="str">
            <v>not</v>
          </cell>
          <cell r="W3298">
            <v>1</v>
          </cell>
          <cell r="X3298" t="str">
            <v>neg</v>
          </cell>
        </row>
        <row r="3299">
          <cell r="I3299" t="str">
            <v>sim</v>
          </cell>
          <cell r="V3299" t="str">
            <v>not neg pair</v>
          </cell>
          <cell r="W3299">
            <v>0</v>
          </cell>
          <cell r="X3299" t="str">
            <v>0</v>
          </cell>
        </row>
        <row r="3300">
          <cell r="I3300" t="str">
            <v>sim</v>
          </cell>
          <cell r="V3300" t="str">
            <v>not neg pair</v>
          </cell>
          <cell r="W3300">
            <v>0</v>
          </cell>
          <cell r="X3300" t="str">
            <v>0</v>
          </cell>
        </row>
        <row r="3301">
          <cell r="I3301" t="str">
            <v>sim</v>
          </cell>
          <cell r="V3301" t="str">
            <v>not neg pair</v>
          </cell>
          <cell r="W3301">
            <v>0</v>
          </cell>
          <cell r="X3301" t="str">
            <v>0</v>
          </cell>
        </row>
        <row r="3302">
          <cell r="I3302" t="str">
            <v>sim</v>
          </cell>
          <cell r="V3302" t="str">
            <v>not neg pair</v>
          </cell>
          <cell r="W3302">
            <v>0</v>
          </cell>
          <cell r="X3302" t="str">
            <v>0</v>
          </cell>
        </row>
        <row r="3303">
          <cell r="I3303" t="str">
            <v>sim</v>
          </cell>
          <cell r="V3303" t="str">
            <v>not</v>
          </cell>
          <cell r="W3303">
            <v>1</v>
          </cell>
          <cell r="X3303" t="str">
            <v>neg</v>
          </cell>
        </row>
        <row r="3304">
          <cell r="I3304" t="str">
            <v>sim</v>
          </cell>
          <cell r="V3304" t="str">
            <v>not</v>
          </cell>
          <cell r="W3304">
            <v>1</v>
          </cell>
          <cell r="X3304" t="str">
            <v>intens</v>
          </cell>
        </row>
        <row r="3305">
          <cell r="I3305" t="str">
            <v>sim</v>
          </cell>
          <cell r="V3305" t="str">
            <v>not neg pair</v>
          </cell>
          <cell r="W3305">
            <v>0</v>
          </cell>
          <cell r="X3305" t="str">
            <v>0</v>
          </cell>
        </row>
        <row r="3306">
          <cell r="I3306" t="str">
            <v>sim</v>
          </cell>
          <cell r="V3306" t="str">
            <v>not neg pair</v>
          </cell>
          <cell r="W3306">
            <v>0</v>
          </cell>
          <cell r="X3306" t="str">
            <v>0</v>
          </cell>
        </row>
        <row r="3307">
          <cell r="I3307" t="str">
            <v>sim</v>
          </cell>
          <cell r="V3307" t="str">
            <v>not neg pair</v>
          </cell>
          <cell r="W3307">
            <v>0</v>
          </cell>
          <cell r="X3307" t="str">
            <v>0</v>
          </cell>
        </row>
        <row r="3308">
          <cell r="I3308" t="str">
            <v>sim</v>
          </cell>
          <cell r="V3308" t="str">
            <v>not neg pair</v>
          </cell>
          <cell r="W3308">
            <v>0</v>
          </cell>
          <cell r="X3308" t="str">
            <v>0</v>
          </cell>
        </row>
        <row r="3309">
          <cell r="I3309" t="str">
            <v>sim</v>
          </cell>
          <cell r="V3309" t="str">
            <v>not neg pair</v>
          </cell>
          <cell r="W3309">
            <v>0</v>
          </cell>
          <cell r="X3309" t="str">
            <v>0</v>
          </cell>
        </row>
        <row r="3310">
          <cell r="I3310" t="str">
            <v>sim</v>
          </cell>
          <cell r="V3310" t="str">
            <v>not neg pair</v>
          </cell>
          <cell r="W3310">
            <v>0</v>
          </cell>
          <cell r="X3310" t="str">
            <v>0</v>
          </cell>
        </row>
        <row r="3311">
          <cell r="I3311" t="str">
            <v>sim</v>
          </cell>
          <cell r="V3311" t="str">
            <v>not</v>
          </cell>
          <cell r="W3311">
            <v>1</v>
          </cell>
          <cell r="X3311" t="str">
            <v>neg</v>
          </cell>
        </row>
        <row r="3312">
          <cell r="I3312" t="str">
            <v>sim</v>
          </cell>
          <cell r="V3312" t="str">
            <v>not</v>
          </cell>
          <cell r="W3312">
            <v>1</v>
          </cell>
          <cell r="X3312" t="str">
            <v>intens</v>
          </cell>
        </row>
        <row r="3313">
          <cell r="I3313" t="str">
            <v>sim</v>
          </cell>
          <cell r="V3313" t="str">
            <v>antonym</v>
          </cell>
          <cell r="W3313">
            <v>1</v>
          </cell>
          <cell r="X3313" t="str">
            <v>intens</v>
          </cell>
        </row>
        <row r="3314">
          <cell r="I3314" t="str">
            <v>sim</v>
          </cell>
          <cell r="V3314" t="str">
            <v>antonym</v>
          </cell>
          <cell r="W3314">
            <v>1</v>
          </cell>
          <cell r="X3314" t="str">
            <v>neg</v>
          </cell>
        </row>
        <row r="3315">
          <cell r="I3315" t="str">
            <v>sim</v>
          </cell>
          <cell r="V3315" t="str">
            <v>not</v>
          </cell>
          <cell r="W3315">
            <v>1</v>
          </cell>
          <cell r="X3315" t="str">
            <v>intens</v>
          </cell>
        </row>
        <row r="3316">
          <cell r="I3316" t="str">
            <v>sim</v>
          </cell>
          <cell r="V3316" t="str">
            <v>not</v>
          </cell>
          <cell r="W3316">
            <v>1</v>
          </cell>
          <cell r="X3316" t="str">
            <v>neg</v>
          </cell>
        </row>
        <row r="3317">
          <cell r="I3317" t="str">
            <v>sim</v>
          </cell>
          <cell r="V3317" t="str">
            <v>not</v>
          </cell>
          <cell r="W3317">
            <v>1</v>
          </cell>
          <cell r="X3317" t="str">
            <v>intens</v>
          </cell>
        </row>
        <row r="3318">
          <cell r="I3318" t="str">
            <v>sim</v>
          </cell>
          <cell r="V3318" t="str">
            <v>not</v>
          </cell>
          <cell r="W3318">
            <v>1</v>
          </cell>
          <cell r="X3318" t="str">
            <v>neg</v>
          </cell>
        </row>
        <row r="3319">
          <cell r="I3319" t="str">
            <v>met</v>
          </cell>
          <cell r="V3319" t="str">
            <v>0</v>
          </cell>
          <cell r="W3319">
            <v>0</v>
          </cell>
          <cell r="X3319" t="str">
            <v>0</v>
          </cell>
        </row>
        <row r="3320">
          <cell r="I3320" t="str">
            <v>met</v>
          </cell>
          <cell r="V3320" t="str">
            <v>0</v>
          </cell>
          <cell r="W3320">
            <v>0</v>
          </cell>
          <cell r="X3320" t="str">
            <v>0</v>
          </cell>
        </row>
        <row r="3321">
          <cell r="I3321" t="str">
            <v>sim</v>
          </cell>
          <cell r="V3321" t="str">
            <v>not neg pair</v>
          </cell>
          <cell r="W3321">
            <v>0</v>
          </cell>
          <cell r="X3321" t="str">
            <v>0</v>
          </cell>
        </row>
        <row r="3322">
          <cell r="I3322" t="str">
            <v>sim</v>
          </cell>
          <cell r="V3322" t="str">
            <v>not neg pair</v>
          </cell>
          <cell r="W3322">
            <v>0</v>
          </cell>
          <cell r="X3322" t="str">
            <v>0</v>
          </cell>
        </row>
        <row r="3323">
          <cell r="I3323" t="str">
            <v>sim</v>
          </cell>
          <cell r="V3323" t="str">
            <v>not neg pair</v>
          </cell>
          <cell r="W3323">
            <v>0</v>
          </cell>
          <cell r="X3323" t="str">
            <v>0</v>
          </cell>
        </row>
        <row r="3324">
          <cell r="I3324" t="str">
            <v>sim</v>
          </cell>
          <cell r="V3324" t="str">
            <v>not neg pair</v>
          </cell>
          <cell r="W3324">
            <v>0</v>
          </cell>
          <cell r="X3324" t="str">
            <v>0</v>
          </cell>
        </row>
        <row r="3325">
          <cell r="I3325" t="str">
            <v>sim</v>
          </cell>
          <cell r="V3325" t="str">
            <v>not neg pair</v>
          </cell>
          <cell r="W3325">
            <v>0</v>
          </cell>
          <cell r="X3325" t="str">
            <v>0</v>
          </cell>
        </row>
        <row r="3326">
          <cell r="I3326" t="str">
            <v>sim</v>
          </cell>
          <cell r="V3326" t="str">
            <v>not neg pair</v>
          </cell>
          <cell r="W3326">
            <v>0</v>
          </cell>
          <cell r="X3326" t="str">
            <v>0</v>
          </cell>
        </row>
        <row r="3327">
          <cell r="I3327" t="str">
            <v>sim</v>
          </cell>
          <cell r="V3327" t="str">
            <v>not neg pair</v>
          </cell>
          <cell r="W3327">
            <v>0</v>
          </cell>
          <cell r="X3327" t="str">
            <v>0</v>
          </cell>
        </row>
        <row r="3328">
          <cell r="I3328" t="str">
            <v>sim</v>
          </cell>
          <cell r="V3328" t="str">
            <v>not neg pair</v>
          </cell>
          <cell r="W3328">
            <v>0</v>
          </cell>
          <cell r="X3328" t="str">
            <v>0</v>
          </cell>
        </row>
        <row r="3329">
          <cell r="I3329" t="str">
            <v>sim</v>
          </cell>
          <cell r="V3329" t="str">
            <v>not neg pair</v>
          </cell>
          <cell r="W3329">
            <v>0</v>
          </cell>
          <cell r="X3329" t="str">
            <v>0</v>
          </cell>
        </row>
        <row r="3330">
          <cell r="I3330" t="str">
            <v>sim</v>
          </cell>
          <cell r="V3330" t="str">
            <v>not neg pair</v>
          </cell>
          <cell r="W3330">
            <v>0</v>
          </cell>
          <cell r="X3330" t="str">
            <v>0</v>
          </cell>
        </row>
        <row r="3331">
          <cell r="I3331" t="str">
            <v>sim</v>
          </cell>
          <cell r="V3331" t="str">
            <v>antonym</v>
          </cell>
          <cell r="W3331">
            <v>1</v>
          </cell>
          <cell r="X3331" t="str">
            <v>intens</v>
          </cell>
        </row>
        <row r="3332">
          <cell r="I3332" t="str">
            <v>sim</v>
          </cell>
          <cell r="V3332" t="str">
            <v>antonym</v>
          </cell>
          <cell r="W3332">
            <v>1</v>
          </cell>
          <cell r="X3332" t="str">
            <v>neg</v>
          </cell>
        </row>
        <row r="3333">
          <cell r="I3333" t="str">
            <v>sim</v>
          </cell>
          <cell r="V3333" t="str">
            <v>not neg pair</v>
          </cell>
          <cell r="W3333">
            <v>0</v>
          </cell>
          <cell r="X3333" t="str">
            <v>0</v>
          </cell>
        </row>
        <row r="3334">
          <cell r="I3334" t="str">
            <v>sim</v>
          </cell>
          <cell r="V3334" t="str">
            <v>not neg pair</v>
          </cell>
          <cell r="W3334">
            <v>0</v>
          </cell>
          <cell r="X3334" t="str">
            <v>0</v>
          </cell>
        </row>
        <row r="3335">
          <cell r="I3335" t="str">
            <v>sim</v>
          </cell>
          <cell r="V3335" t="str">
            <v>antonym</v>
          </cell>
          <cell r="W3335">
            <v>1</v>
          </cell>
          <cell r="X3335" t="str">
            <v>intens</v>
          </cell>
        </row>
        <row r="3336">
          <cell r="I3336" t="str">
            <v>sim</v>
          </cell>
          <cell r="V3336" t="str">
            <v>antonym</v>
          </cell>
          <cell r="W3336">
            <v>1</v>
          </cell>
          <cell r="X3336" t="str">
            <v>neg</v>
          </cell>
        </row>
        <row r="3337">
          <cell r="I3337" t="str">
            <v>sim</v>
          </cell>
          <cell r="V3337" t="str">
            <v>not neg pair</v>
          </cell>
          <cell r="W3337">
            <v>0</v>
          </cell>
          <cell r="X3337" t="str">
            <v>0</v>
          </cell>
        </row>
        <row r="3338">
          <cell r="I3338" t="str">
            <v>sim</v>
          </cell>
          <cell r="V3338" t="str">
            <v>not neg pair</v>
          </cell>
          <cell r="W3338">
            <v>0</v>
          </cell>
          <cell r="X3338" t="str">
            <v>0</v>
          </cell>
        </row>
        <row r="3339">
          <cell r="I3339" t="str">
            <v>sim</v>
          </cell>
          <cell r="V3339" t="str">
            <v>not neg pair</v>
          </cell>
          <cell r="W3339">
            <v>0</v>
          </cell>
          <cell r="X3339" t="str">
            <v>0</v>
          </cell>
        </row>
        <row r="3340">
          <cell r="I3340" t="str">
            <v>sim</v>
          </cell>
          <cell r="V3340" t="str">
            <v>not neg pair</v>
          </cell>
          <cell r="W3340">
            <v>0</v>
          </cell>
          <cell r="X3340" t="str">
            <v>0</v>
          </cell>
        </row>
        <row r="3341">
          <cell r="I3341" t="str">
            <v>sim</v>
          </cell>
          <cell r="V3341" t="str">
            <v>not neg pair</v>
          </cell>
          <cell r="W3341">
            <v>0</v>
          </cell>
          <cell r="X3341" t="str">
            <v>0</v>
          </cell>
        </row>
        <row r="3342">
          <cell r="I3342" t="str">
            <v>sim</v>
          </cell>
          <cell r="V3342" t="str">
            <v>not neg pair</v>
          </cell>
          <cell r="W3342">
            <v>0</v>
          </cell>
          <cell r="X3342" t="str">
            <v>0</v>
          </cell>
        </row>
        <row r="3343">
          <cell r="I3343" t="str">
            <v>sim</v>
          </cell>
          <cell r="V3343" t="str">
            <v>not neg pair</v>
          </cell>
          <cell r="W3343">
            <v>0</v>
          </cell>
          <cell r="X3343" t="str">
            <v>0</v>
          </cell>
        </row>
        <row r="3344">
          <cell r="I3344" t="str">
            <v>sim</v>
          </cell>
          <cell r="V3344" t="str">
            <v>not neg pair</v>
          </cell>
          <cell r="W3344">
            <v>0</v>
          </cell>
          <cell r="X3344" t="str">
            <v>0</v>
          </cell>
        </row>
        <row r="3345">
          <cell r="I3345" t="str">
            <v>met</v>
          </cell>
          <cell r="V3345" t="str">
            <v>0</v>
          </cell>
          <cell r="W3345">
            <v>0</v>
          </cell>
          <cell r="X3345" t="str">
            <v>0</v>
          </cell>
        </row>
        <row r="3346">
          <cell r="I3346" t="str">
            <v>sim</v>
          </cell>
          <cell r="V3346" t="str">
            <v>not neg pair</v>
          </cell>
          <cell r="W3346">
            <v>0</v>
          </cell>
          <cell r="X3346" t="str">
            <v>0</v>
          </cell>
        </row>
        <row r="3347">
          <cell r="I3347" t="str">
            <v>met</v>
          </cell>
          <cell r="V3347" t="str">
            <v>0</v>
          </cell>
          <cell r="W3347">
            <v>0</v>
          </cell>
          <cell r="X3347" t="str">
            <v>0</v>
          </cell>
        </row>
        <row r="3348">
          <cell r="I3348" t="str">
            <v>sim</v>
          </cell>
          <cell r="V3348" t="str">
            <v>not neg pair</v>
          </cell>
          <cell r="W3348">
            <v>0</v>
          </cell>
          <cell r="X3348" t="str">
            <v>0</v>
          </cell>
        </row>
        <row r="3349">
          <cell r="I3349" t="str">
            <v>sim</v>
          </cell>
          <cell r="V3349" t="str">
            <v>not</v>
          </cell>
          <cell r="W3349">
            <v>1</v>
          </cell>
          <cell r="X3349" t="str">
            <v>neg</v>
          </cell>
        </row>
        <row r="3350">
          <cell r="I3350" t="str">
            <v>sim</v>
          </cell>
          <cell r="V3350" t="str">
            <v>not</v>
          </cell>
          <cell r="W3350">
            <v>1</v>
          </cell>
          <cell r="X3350" t="str">
            <v>intens</v>
          </cell>
        </row>
        <row r="3351">
          <cell r="I3351" t="str">
            <v>sim</v>
          </cell>
          <cell r="V3351" t="str">
            <v>0</v>
          </cell>
          <cell r="W3351">
            <v>0</v>
          </cell>
          <cell r="X3351" t="str">
            <v>0</v>
          </cell>
        </row>
        <row r="3352">
          <cell r="I3352" t="str">
            <v>met</v>
          </cell>
          <cell r="V3352" t="str">
            <v>0</v>
          </cell>
          <cell r="W3352">
            <v>0</v>
          </cell>
          <cell r="X3352" t="str">
            <v>0</v>
          </cell>
        </row>
        <row r="3353">
          <cell r="I3353" t="str">
            <v>sim</v>
          </cell>
          <cell r="V3353" t="str">
            <v>not neg pair</v>
          </cell>
          <cell r="W3353">
            <v>0</v>
          </cell>
          <cell r="X3353" t="str">
            <v>0</v>
          </cell>
        </row>
        <row r="3354">
          <cell r="I3354" t="str">
            <v>sim</v>
          </cell>
          <cell r="V3354" t="str">
            <v>not neg pair</v>
          </cell>
          <cell r="W3354">
            <v>0</v>
          </cell>
          <cell r="X3354" t="str">
            <v>0</v>
          </cell>
        </row>
        <row r="3355">
          <cell r="I3355" t="str">
            <v>sim</v>
          </cell>
          <cell r="V3355" t="str">
            <v>not</v>
          </cell>
          <cell r="W3355">
            <v>1</v>
          </cell>
          <cell r="X3355" t="str">
            <v>neg</v>
          </cell>
        </row>
        <row r="3356">
          <cell r="I3356" t="str">
            <v>sim</v>
          </cell>
          <cell r="V3356" t="str">
            <v>not</v>
          </cell>
          <cell r="W3356">
            <v>1</v>
          </cell>
          <cell r="X3356" t="str">
            <v>intens</v>
          </cell>
        </row>
        <row r="3357">
          <cell r="I3357" t="str">
            <v>sim</v>
          </cell>
          <cell r="V3357" t="str">
            <v>not</v>
          </cell>
          <cell r="W3357">
            <v>1</v>
          </cell>
          <cell r="X3357" t="str">
            <v>neg</v>
          </cell>
        </row>
        <row r="3358">
          <cell r="I3358" t="str">
            <v>sim</v>
          </cell>
          <cell r="V3358" t="str">
            <v>not</v>
          </cell>
          <cell r="W3358">
            <v>1</v>
          </cell>
          <cell r="X3358" t="str">
            <v>intens</v>
          </cell>
        </row>
        <row r="3359">
          <cell r="I3359" t="str">
            <v>sim</v>
          </cell>
          <cell r="V3359" t="str">
            <v>not neg pair</v>
          </cell>
          <cell r="W3359">
            <v>0</v>
          </cell>
          <cell r="X3359" t="str">
            <v>0</v>
          </cell>
        </row>
        <row r="3360">
          <cell r="I3360" t="str">
            <v>sim</v>
          </cell>
          <cell r="V3360" t="str">
            <v>not neg pair</v>
          </cell>
          <cell r="W3360">
            <v>0</v>
          </cell>
          <cell r="X3360" t="str">
            <v>0</v>
          </cell>
        </row>
        <row r="3361">
          <cell r="I3361" t="str">
            <v>sim</v>
          </cell>
          <cell r="V3361" t="str">
            <v>not neg pair</v>
          </cell>
          <cell r="W3361">
            <v>0</v>
          </cell>
          <cell r="X3361" t="str">
            <v>0</v>
          </cell>
        </row>
        <row r="3362">
          <cell r="I3362" t="str">
            <v>sim</v>
          </cell>
          <cell r="V3362" t="str">
            <v>not neg pair</v>
          </cell>
          <cell r="W3362">
            <v>0</v>
          </cell>
          <cell r="X3362" t="str">
            <v>0</v>
          </cell>
        </row>
        <row r="3363">
          <cell r="I3363" t="str">
            <v>met</v>
          </cell>
          <cell r="V3363" t="str">
            <v>0</v>
          </cell>
          <cell r="W3363">
            <v>0</v>
          </cell>
          <cell r="X3363" t="str">
            <v>0</v>
          </cell>
        </row>
        <row r="3364">
          <cell r="I3364" t="str">
            <v>met</v>
          </cell>
          <cell r="V3364" t="str">
            <v>0</v>
          </cell>
          <cell r="W3364">
            <v>0</v>
          </cell>
          <cell r="X3364" t="str">
            <v>0</v>
          </cell>
        </row>
        <row r="3365">
          <cell r="I3365" t="str">
            <v>sim</v>
          </cell>
          <cell r="V3365" t="str">
            <v>not neg pair</v>
          </cell>
          <cell r="W3365">
            <v>0</v>
          </cell>
          <cell r="X3365" t="str">
            <v>0</v>
          </cell>
        </row>
        <row r="3366">
          <cell r="I3366" t="str">
            <v>sim</v>
          </cell>
          <cell r="V3366" t="str">
            <v>not neg pair</v>
          </cell>
          <cell r="W3366">
            <v>0</v>
          </cell>
          <cell r="X3366" t="str">
            <v>0</v>
          </cell>
        </row>
        <row r="3367">
          <cell r="I3367" t="str">
            <v>sim</v>
          </cell>
          <cell r="V3367" t="str">
            <v>antonym</v>
          </cell>
          <cell r="W3367">
            <v>1</v>
          </cell>
          <cell r="X3367" t="str">
            <v>intens</v>
          </cell>
        </row>
        <row r="3368">
          <cell r="I3368" t="str">
            <v>sim</v>
          </cell>
          <cell r="V3368" t="str">
            <v>antonym</v>
          </cell>
          <cell r="W3368">
            <v>1</v>
          </cell>
          <cell r="X3368" t="str">
            <v>neg</v>
          </cell>
        </row>
        <row r="3369">
          <cell r="I3369" t="str">
            <v>sim</v>
          </cell>
          <cell r="V3369" t="str">
            <v>not</v>
          </cell>
          <cell r="W3369">
            <v>1</v>
          </cell>
          <cell r="X3369" t="str">
            <v>intens</v>
          </cell>
        </row>
        <row r="3370">
          <cell r="I3370" t="str">
            <v>sim</v>
          </cell>
          <cell r="V3370" t="str">
            <v>not</v>
          </cell>
          <cell r="W3370">
            <v>1</v>
          </cell>
          <cell r="X3370" t="str">
            <v>neg</v>
          </cell>
        </row>
        <row r="3371">
          <cell r="I3371" t="str">
            <v>sim</v>
          </cell>
          <cell r="V3371" t="str">
            <v>antonym</v>
          </cell>
          <cell r="W3371">
            <v>1</v>
          </cell>
          <cell r="X3371" t="str">
            <v>intens</v>
          </cell>
        </row>
        <row r="3372">
          <cell r="I3372" t="str">
            <v>sim</v>
          </cell>
          <cell r="V3372" t="str">
            <v>antonym</v>
          </cell>
          <cell r="W3372">
            <v>1</v>
          </cell>
          <cell r="X3372" t="str">
            <v>neg</v>
          </cell>
        </row>
        <row r="3373">
          <cell r="I3373" t="str">
            <v>sim</v>
          </cell>
          <cell r="V3373" t="str">
            <v>not neg pair</v>
          </cell>
          <cell r="W3373">
            <v>0</v>
          </cell>
          <cell r="X3373" t="str">
            <v>0</v>
          </cell>
        </row>
        <row r="3374">
          <cell r="I3374" t="str">
            <v>sim</v>
          </cell>
          <cell r="V3374" t="str">
            <v>not neg pair</v>
          </cell>
          <cell r="W3374">
            <v>0</v>
          </cell>
          <cell r="X3374" t="str">
            <v>0</v>
          </cell>
        </row>
        <row r="3375">
          <cell r="I3375" t="str">
            <v>met</v>
          </cell>
          <cell r="V3375" t="str">
            <v>0</v>
          </cell>
          <cell r="W3375">
            <v>0</v>
          </cell>
          <cell r="X3375" t="str">
            <v>0</v>
          </cell>
        </row>
        <row r="3376">
          <cell r="I3376" t="str">
            <v>met</v>
          </cell>
          <cell r="V3376" t="str">
            <v>0</v>
          </cell>
          <cell r="W3376">
            <v>0</v>
          </cell>
          <cell r="X3376" t="str">
            <v>0</v>
          </cell>
        </row>
        <row r="3377">
          <cell r="I3377" t="str">
            <v>sim</v>
          </cell>
          <cell r="V3377" t="str">
            <v>not neg pair</v>
          </cell>
          <cell r="W3377">
            <v>0</v>
          </cell>
          <cell r="X3377" t="str">
            <v>0</v>
          </cell>
        </row>
        <row r="3378">
          <cell r="I3378" t="str">
            <v>sim</v>
          </cell>
          <cell r="V3378" t="str">
            <v>not neg pair</v>
          </cell>
          <cell r="W3378">
            <v>0</v>
          </cell>
          <cell r="X3378" t="str">
            <v>0</v>
          </cell>
        </row>
        <row r="3379">
          <cell r="I3379" t="str">
            <v>sim</v>
          </cell>
          <cell r="V3379" t="str">
            <v>not neg pair</v>
          </cell>
          <cell r="W3379">
            <v>0</v>
          </cell>
          <cell r="X3379" t="str">
            <v>0</v>
          </cell>
        </row>
        <row r="3380">
          <cell r="I3380" t="str">
            <v>sim</v>
          </cell>
          <cell r="V3380" t="str">
            <v>not neg pair</v>
          </cell>
          <cell r="W3380">
            <v>0</v>
          </cell>
          <cell r="X3380" t="str">
            <v>0</v>
          </cell>
        </row>
        <row r="3381">
          <cell r="I3381" t="str">
            <v>sim</v>
          </cell>
          <cell r="V3381" t="str">
            <v>antonym</v>
          </cell>
          <cell r="W3381">
            <v>1</v>
          </cell>
          <cell r="X3381" t="str">
            <v>intens</v>
          </cell>
        </row>
        <row r="3382">
          <cell r="I3382" t="str">
            <v>sim</v>
          </cell>
          <cell r="V3382" t="str">
            <v>antonym</v>
          </cell>
          <cell r="W3382">
            <v>1</v>
          </cell>
          <cell r="X3382" t="str">
            <v>neg</v>
          </cell>
        </row>
        <row r="3383">
          <cell r="I3383" t="str">
            <v>sim</v>
          </cell>
          <cell r="V3383" t="str">
            <v>not neg pair</v>
          </cell>
          <cell r="W3383">
            <v>0</v>
          </cell>
          <cell r="X3383" t="str">
            <v>0</v>
          </cell>
        </row>
        <row r="3384">
          <cell r="I3384" t="str">
            <v>sim</v>
          </cell>
          <cell r="V3384" t="str">
            <v>not neg pair</v>
          </cell>
          <cell r="W3384">
            <v>0</v>
          </cell>
          <cell r="X3384" t="str">
            <v>0</v>
          </cell>
        </row>
        <row r="3385">
          <cell r="I3385" t="str">
            <v>sim</v>
          </cell>
          <cell r="V3385" t="str">
            <v>not neg pair</v>
          </cell>
          <cell r="W3385">
            <v>0</v>
          </cell>
          <cell r="X3385" t="str">
            <v>0</v>
          </cell>
        </row>
        <row r="3386">
          <cell r="I3386" t="str">
            <v>sim</v>
          </cell>
          <cell r="V3386" t="str">
            <v>not neg pair</v>
          </cell>
          <cell r="W3386">
            <v>0</v>
          </cell>
          <cell r="X3386" t="str">
            <v>0</v>
          </cell>
        </row>
        <row r="3387">
          <cell r="I3387" t="str">
            <v>sim</v>
          </cell>
          <cell r="V3387" t="str">
            <v>not neg pair</v>
          </cell>
          <cell r="W3387">
            <v>0</v>
          </cell>
          <cell r="X3387" t="str">
            <v>0</v>
          </cell>
        </row>
        <row r="3388">
          <cell r="I3388" t="str">
            <v>sim</v>
          </cell>
          <cell r="V3388" t="str">
            <v>not neg pair</v>
          </cell>
          <cell r="W3388">
            <v>0</v>
          </cell>
          <cell r="X3388" t="str">
            <v>0</v>
          </cell>
        </row>
        <row r="3389">
          <cell r="I3389" t="str">
            <v>sim</v>
          </cell>
          <cell r="V3389" t="str">
            <v>antonym</v>
          </cell>
          <cell r="W3389">
            <v>1</v>
          </cell>
          <cell r="X3389" t="str">
            <v>intens</v>
          </cell>
        </row>
        <row r="3390">
          <cell r="I3390" t="str">
            <v>sim</v>
          </cell>
          <cell r="V3390" t="str">
            <v>antonym</v>
          </cell>
          <cell r="W3390">
            <v>1</v>
          </cell>
          <cell r="X3390" t="str">
            <v>neg</v>
          </cell>
        </row>
        <row r="3391">
          <cell r="I3391" t="str">
            <v>sim</v>
          </cell>
          <cell r="V3391" t="str">
            <v>antonym</v>
          </cell>
          <cell r="W3391">
            <v>1</v>
          </cell>
          <cell r="X3391" t="str">
            <v>intens</v>
          </cell>
        </row>
        <row r="3392">
          <cell r="I3392" t="str">
            <v>sim</v>
          </cell>
          <cell r="V3392" t="str">
            <v>antonym</v>
          </cell>
          <cell r="W3392">
            <v>1</v>
          </cell>
          <cell r="X3392" t="str">
            <v>neg</v>
          </cell>
        </row>
        <row r="3393">
          <cell r="I3393" t="str">
            <v>sim</v>
          </cell>
          <cell r="V3393" t="str">
            <v>not neg pair</v>
          </cell>
          <cell r="W3393">
            <v>0</v>
          </cell>
          <cell r="X3393" t="str">
            <v>0</v>
          </cell>
        </row>
        <row r="3394">
          <cell r="I3394" t="str">
            <v>sim</v>
          </cell>
          <cell r="V3394" t="str">
            <v>not neg pair</v>
          </cell>
          <cell r="W3394">
            <v>0</v>
          </cell>
          <cell r="X3394" t="str">
            <v>0</v>
          </cell>
        </row>
        <row r="3395">
          <cell r="I3395" t="str">
            <v>sim</v>
          </cell>
          <cell r="V3395" t="str">
            <v>antonym</v>
          </cell>
          <cell r="W3395">
            <v>1</v>
          </cell>
          <cell r="X3395" t="str">
            <v>intens</v>
          </cell>
        </row>
        <row r="3396">
          <cell r="I3396" t="str">
            <v>sim</v>
          </cell>
          <cell r="V3396" t="str">
            <v>antonym</v>
          </cell>
          <cell r="W3396">
            <v>1</v>
          </cell>
          <cell r="X3396" t="str">
            <v>neg</v>
          </cell>
        </row>
        <row r="3397">
          <cell r="I3397" t="str">
            <v>sim</v>
          </cell>
          <cell r="V3397" t="str">
            <v>not neg pair</v>
          </cell>
          <cell r="W3397">
            <v>0</v>
          </cell>
          <cell r="X3397" t="str">
            <v>0</v>
          </cell>
        </row>
        <row r="3398">
          <cell r="I3398" t="str">
            <v>sim</v>
          </cell>
          <cell r="V3398" t="str">
            <v>not neg pair</v>
          </cell>
          <cell r="W3398">
            <v>0</v>
          </cell>
          <cell r="X3398" t="str">
            <v>0</v>
          </cell>
        </row>
        <row r="3399">
          <cell r="I3399" t="str">
            <v>met</v>
          </cell>
          <cell r="V3399" t="str">
            <v>0</v>
          </cell>
          <cell r="W3399">
            <v>0</v>
          </cell>
          <cell r="X3399" t="str">
            <v>0</v>
          </cell>
        </row>
        <row r="3400">
          <cell r="I3400" t="str">
            <v>met</v>
          </cell>
          <cell r="V3400" t="str">
            <v>0</v>
          </cell>
          <cell r="W3400">
            <v>0</v>
          </cell>
          <cell r="X3400" t="str">
            <v>0</v>
          </cell>
        </row>
        <row r="3401">
          <cell r="I3401" t="str">
            <v>met</v>
          </cell>
          <cell r="V3401" t="str">
            <v>0</v>
          </cell>
          <cell r="W3401">
            <v>0</v>
          </cell>
          <cell r="X3401" t="str">
            <v>0</v>
          </cell>
        </row>
        <row r="3402">
          <cell r="I3402" t="str">
            <v>met</v>
          </cell>
          <cell r="V3402" t="str">
            <v>0</v>
          </cell>
          <cell r="W3402">
            <v>0</v>
          </cell>
          <cell r="X3402" t="str">
            <v>0</v>
          </cell>
        </row>
        <row r="3403">
          <cell r="I3403" t="str">
            <v>met</v>
          </cell>
          <cell r="V3403" t="str">
            <v>0</v>
          </cell>
          <cell r="W3403">
            <v>0</v>
          </cell>
          <cell r="X3403" t="str">
            <v>0</v>
          </cell>
        </row>
        <row r="3404">
          <cell r="I3404" t="str">
            <v>met</v>
          </cell>
          <cell r="V3404" t="str">
            <v>0</v>
          </cell>
          <cell r="W3404">
            <v>0</v>
          </cell>
          <cell r="X3404" t="str">
            <v>0</v>
          </cell>
        </row>
        <row r="3405">
          <cell r="I3405" t="str">
            <v>sim</v>
          </cell>
          <cell r="V3405" t="str">
            <v>not neg pair</v>
          </cell>
          <cell r="W3405">
            <v>0</v>
          </cell>
          <cell r="X3405" t="str">
            <v>0</v>
          </cell>
        </row>
        <row r="3406">
          <cell r="I3406" t="str">
            <v>sim</v>
          </cell>
          <cell r="V3406" t="str">
            <v>not neg pair</v>
          </cell>
          <cell r="W3406">
            <v>0</v>
          </cell>
          <cell r="X3406" t="str">
            <v>0</v>
          </cell>
        </row>
        <row r="3407">
          <cell r="I3407" t="str">
            <v>sim</v>
          </cell>
          <cell r="V3407" t="str">
            <v>not neg pair</v>
          </cell>
          <cell r="W3407">
            <v>0</v>
          </cell>
          <cell r="X3407" t="str">
            <v>0</v>
          </cell>
        </row>
        <row r="3408">
          <cell r="I3408" t="str">
            <v>sim</v>
          </cell>
          <cell r="V3408" t="str">
            <v>not neg pair</v>
          </cell>
          <cell r="W3408">
            <v>0</v>
          </cell>
          <cell r="X3408" t="str">
            <v>0</v>
          </cell>
        </row>
        <row r="3409">
          <cell r="I3409" t="str">
            <v>sim</v>
          </cell>
          <cell r="V3409" t="str">
            <v>not neg pair</v>
          </cell>
          <cell r="W3409">
            <v>0</v>
          </cell>
          <cell r="X3409" t="str">
            <v>0</v>
          </cell>
        </row>
        <row r="3410">
          <cell r="I3410" t="str">
            <v>sim</v>
          </cell>
          <cell r="V3410" t="str">
            <v>not neg pair</v>
          </cell>
          <cell r="W3410">
            <v>0</v>
          </cell>
          <cell r="X3410" t="str">
            <v>0</v>
          </cell>
        </row>
        <row r="3411">
          <cell r="I3411" t="str">
            <v>sim</v>
          </cell>
          <cell r="V3411" t="str">
            <v>antonym</v>
          </cell>
          <cell r="W3411">
            <v>1</v>
          </cell>
          <cell r="X3411" t="str">
            <v>intens</v>
          </cell>
        </row>
        <row r="3412">
          <cell r="I3412" t="str">
            <v>sim</v>
          </cell>
          <cell r="V3412" t="str">
            <v>antonym</v>
          </cell>
          <cell r="W3412">
            <v>1</v>
          </cell>
          <cell r="X3412" t="str">
            <v>neg</v>
          </cell>
        </row>
        <row r="3413">
          <cell r="I3413" t="str">
            <v>sim</v>
          </cell>
          <cell r="V3413" t="str">
            <v>antonym</v>
          </cell>
          <cell r="W3413">
            <v>1</v>
          </cell>
          <cell r="X3413" t="str">
            <v>intens</v>
          </cell>
        </row>
        <row r="3414">
          <cell r="I3414" t="str">
            <v>sim</v>
          </cell>
          <cell r="V3414" t="str">
            <v>antonym</v>
          </cell>
          <cell r="W3414">
            <v>1</v>
          </cell>
          <cell r="X3414" t="str">
            <v>neg</v>
          </cell>
        </row>
        <row r="3415">
          <cell r="I3415" t="str">
            <v>sim</v>
          </cell>
          <cell r="V3415" t="str">
            <v>antonym</v>
          </cell>
          <cell r="W3415">
            <v>1</v>
          </cell>
          <cell r="X3415" t="str">
            <v>intens</v>
          </cell>
        </row>
        <row r="3416">
          <cell r="I3416" t="str">
            <v>sim</v>
          </cell>
          <cell r="V3416" t="str">
            <v>antonym</v>
          </cell>
          <cell r="W3416">
            <v>1</v>
          </cell>
          <cell r="X3416" t="str">
            <v>neg</v>
          </cell>
        </row>
        <row r="3417">
          <cell r="I3417" t="str">
            <v>met</v>
          </cell>
          <cell r="V3417" t="str">
            <v>0</v>
          </cell>
          <cell r="W3417">
            <v>0</v>
          </cell>
          <cell r="X3417" t="str">
            <v>0</v>
          </cell>
        </row>
        <row r="3418">
          <cell r="I3418" t="str">
            <v>met</v>
          </cell>
          <cell r="V3418" t="str">
            <v>0</v>
          </cell>
          <cell r="W3418">
            <v>0</v>
          </cell>
          <cell r="X3418" t="str">
            <v>0</v>
          </cell>
        </row>
        <row r="3419">
          <cell r="I3419" t="str">
            <v>sim</v>
          </cell>
          <cell r="V3419" t="str">
            <v>not neg pair</v>
          </cell>
          <cell r="W3419">
            <v>0</v>
          </cell>
          <cell r="X3419" t="str">
            <v>0</v>
          </cell>
        </row>
        <row r="3420">
          <cell r="I3420" t="str">
            <v>sim</v>
          </cell>
          <cell r="V3420" t="str">
            <v>not neg pair</v>
          </cell>
          <cell r="W3420">
            <v>0</v>
          </cell>
          <cell r="X3420" t="str">
            <v>0</v>
          </cell>
        </row>
        <row r="3421">
          <cell r="I3421" t="str">
            <v>sim</v>
          </cell>
          <cell r="V3421" t="str">
            <v>not neg pair</v>
          </cell>
          <cell r="W3421">
            <v>0</v>
          </cell>
          <cell r="X3421" t="str">
            <v>0</v>
          </cell>
        </row>
        <row r="3422">
          <cell r="I3422" t="str">
            <v>sim</v>
          </cell>
          <cell r="V3422" t="str">
            <v>not neg pair</v>
          </cell>
          <cell r="W3422">
            <v>0</v>
          </cell>
          <cell r="X3422" t="str">
            <v>0</v>
          </cell>
        </row>
        <row r="3423">
          <cell r="I3423" t="str">
            <v>sim</v>
          </cell>
          <cell r="V3423" t="str">
            <v>not</v>
          </cell>
          <cell r="W3423">
            <v>1</v>
          </cell>
          <cell r="X3423" t="str">
            <v>intens</v>
          </cell>
        </row>
        <row r="3424">
          <cell r="I3424" t="str">
            <v>sim</v>
          </cell>
          <cell r="V3424" t="str">
            <v>not</v>
          </cell>
          <cell r="W3424">
            <v>1</v>
          </cell>
          <cell r="X3424" t="str">
            <v>neg</v>
          </cell>
        </row>
        <row r="3425">
          <cell r="I3425" t="str">
            <v>sim</v>
          </cell>
          <cell r="V3425" t="str">
            <v>not neg pair</v>
          </cell>
          <cell r="W3425">
            <v>0</v>
          </cell>
          <cell r="X3425" t="str">
            <v>0</v>
          </cell>
        </row>
        <row r="3426">
          <cell r="I3426" t="str">
            <v>sim</v>
          </cell>
          <cell r="V3426" t="str">
            <v>not neg pair</v>
          </cell>
          <cell r="W3426">
            <v>0</v>
          </cell>
          <cell r="X3426" t="str">
            <v>0</v>
          </cell>
        </row>
        <row r="3427">
          <cell r="I3427" t="str">
            <v>sim</v>
          </cell>
          <cell r="V3427" t="str">
            <v>0</v>
          </cell>
          <cell r="W3427">
            <v>0</v>
          </cell>
          <cell r="X3427" t="str">
            <v>0</v>
          </cell>
        </row>
        <row r="3428">
          <cell r="I3428" t="str">
            <v>met</v>
          </cell>
          <cell r="V3428" t="str">
            <v>0</v>
          </cell>
          <cell r="W3428">
            <v>0</v>
          </cell>
          <cell r="X3428" t="str">
            <v>0</v>
          </cell>
        </row>
        <row r="3429">
          <cell r="I3429" t="str">
            <v>sim</v>
          </cell>
          <cell r="V3429" t="str">
            <v>not neg pair</v>
          </cell>
          <cell r="W3429">
            <v>0</v>
          </cell>
          <cell r="X3429" t="str">
            <v>0</v>
          </cell>
        </row>
        <row r="3430">
          <cell r="I3430" t="str">
            <v>sim</v>
          </cell>
          <cell r="V3430" t="str">
            <v>not neg pair</v>
          </cell>
          <cell r="W3430">
            <v>0</v>
          </cell>
          <cell r="X3430" t="str">
            <v>0</v>
          </cell>
        </row>
        <row r="3431">
          <cell r="I3431" t="str">
            <v>sim</v>
          </cell>
          <cell r="V3431" t="str">
            <v>not</v>
          </cell>
          <cell r="W3431">
            <v>1</v>
          </cell>
          <cell r="X3431" t="str">
            <v>intens</v>
          </cell>
        </row>
        <row r="3432">
          <cell r="I3432" t="str">
            <v>sim</v>
          </cell>
          <cell r="V3432" t="str">
            <v>not</v>
          </cell>
          <cell r="W3432">
            <v>1</v>
          </cell>
          <cell r="X3432" t="str">
            <v>neg</v>
          </cell>
        </row>
        <row r="3433">
          <cell r="I3433" t="str">
            <v>sim</v>
          </cell>
          <cell r="V3433" t="str">
            <v>not neg pair</v>
          </cell>
          <cell r="W3433">
            <v>0</v>
          </cell>
          <cell r="X3433" t="str">
            <v>0</v>
          </cell>
        </row>
        <row r="3434">
          <cell r="I3434" t="str">
            <v>sim</v>
          </cell>
          <cell r="V3434" t="str">
            <v>not neg pair</v>
          </cell>
          <cell r="W3434">
            <v>0</v>
          </cell>
          <cell r="X3434" t="str">
            <v>0</v>
          </cell>
        </row>
        <row r="3435">
          <cell r="I3435" t="str">
            <v>sim</v>
          </cell>
          <cell r="V3435" t="str">
            <v>0</v>
          </cell>
          <cell r="W3435">
            <v>0</v>
          </cell>
          <cell r="X3435" t="str">
            <v>0</v>
          </cell>
        </row>
        <row r="3436">
          <cell r="I3436" t="str">
            <v>sim</v>
          </cell>
          <cell r="V3436" t="str">
            <v>antonym</v>
          </cell>
          <cell r="W3436">
            <v>1</v>
          </cell>
          <cell r="X3436" t="str">
            <v>intens</v>
          </cell>
        </row>
        <row r="3437">
          <cell r="I3437" t="str">
            <v>sim</v>
          </cell>
          <cell r="V3437" t="str">
            <v>antonym</v>
          </cell>
          <cell r="W3437">
            <v>1</v>
          </cell>
          <cell r="X3437" t="str">
            <v>neg</v>
          </cell>
        </row>
        <row r="3438">
          <cell r="I3438" t="str">
            <v>sim</v>
          </cell>
          <cell r="V3438" t="str">
            <v>antonym</v>
          </cell>
          <cell r="W3438">
            <v>1</v>
          </cell>
          <cell r="X3438" t="str">
            <v>intens</v>
          </cell>
        </row>
        <row r="3439">
          <cell r="I3439" t="str">
            <v>sim</v>
          </cell>
          <cell r="V3439" t="str">
            <v>antonym</v>
          </cell>
          <cell r="W3439">
            <v>1</v>
          </cell>
          <cell r="X3439" t="str">
            <v>neg</v>
          </cell>
        </row>
        <row r="3440">
          <cell r="I3440" t="str">
            <v>met</v>
          </cell>
          <cell r="V3440" t="str">
            <v>0</v>
          </cell>
          <cell r="W3440">
            <v>0</v>
          </cell>
          <cell r="X3440" t="str">
            <v>0</v>
          </cell>
        </row>
        <row r="3441">
          <cell r="I3441" t="str">
            <v>met</v>
          </cell>
          <cell r="V3441" t="str">
            <v>0</v>
          </cell>
          <cell r="W3441">
            <v>0</v>
          </cell>
          <cell r="X3441" t="str">
            <v>0</v>
          </cell>
        </row>
        <row r="3442">
          <cell r="I3442" t="str">
            <v>met</v>
          </cell>
          <cell r="V3442" t="str">
            <v>0</v>
          </cell>
          <cell r="W3442">
            <v>0</v>
          </cell>
          <cell r="X3442" t="str">
            <v>0</v>
          </cell>
        </row>
        <row r="3443">
          <cell r="I3443" t="str">
            <v>met</v>
          </cell>
          <cell r="V3443" t="str">
            <v>0</v>
          </cell>
          <cell r="W3443">
            <v>0</v>
          </cell>
          <cell r="X3443" t="str">
            <v>0</v>
          </cell>
        </row>
        <row r="3444">
          <cell r="I3444" t="str">
            <v>met</v>
          </cell>
          <cell r="V3444" t="str">
            <v>0</v>
          </cell>
          <cell r="W3444">
            <v>0</v>
          </cell>
          <cell r="X3444" t="str">
            <v>0</v>
          </cell>
        </row>
        <row r="3445">
          <cell r="I3445" t="str">
            <v>met</v>
          </cell>
          <cell r="V3445" t="str">
            <v>0</v>
          </cell>
          <cell r="W3445">
            <v>0</v>
          </cell>
          <cell r="X3445" t="str">
            <v>0</v>
          </cell>
        </row>
        <row r="3446">
          <cell r="I3446" t="str">
            <v>sim</v>
          </cell>
          <cell r="V3446" t="str">
            <v>antonym</v>
          </cell>
          <cell r="W3446">
            <v>1</v>
          </cell>
          <cell r="X3446" t="str">
            <v>neg</v>
          </cell>
        </row>
        <row r="3447">
          <cell r="I3447" t="str">
            <v>sim</v>
          </cell>
          <cell r="V3447" t="str">
            <v>antonym</v>
          </cell>
          <cell r="W3447">
            <v>1</v>
          </cell>
          <cell r="X3447" t="str">
            <v>intens</v>
          </cell>
        </row>
        <row r="3448">
          <cell r="I3448" t="str">
            <v>sim</v>
          </cell>
          <cell r="V3448" t="str">
            <v>not neg pair</v>
          </cell>
          <cell r="W3448">
            <v>0</v>
          </cell>
          <cell r="X3448" t="str">
            <v>0</v>
          </cell>
        </row>
        <row r="3449">
          <cell r="I3449" t="str">
            <v>sim</v>
          </cell>
          <cell r="V3449" t="str">
            <v>not neg pair</v>
          </cell>
          <cell r="W3449">
            <v>0</v>
          </cell>
          <cell r="X3449" t="str">
            <v>0</v>
          </cell>
        </row>
        <row r="3450">
          <cell r="I3450" t="str">
            <v>sim</v>
          </cell>
          <cell r="V3450" t="str">
            <v>not neg pair</v>
          </cell>
          <cell r="W3450">
            <v>0</v>
          </cell>
          <cell r="X3450" t="str">
            <v>0</v>
          </cell>
        </row>
        <row r="3451">
          <cell r="I3451" t="str">
            <v>sim</v>
          </cell>
          <cell r="V3451" t="str">
            <v>not neg pair</v>
          </cell>
          <cell r="W3451">
            <v>0</v>
          </cell>
          <cell r="X3451" t="str">
            <v>0</v>
          </cell>
        </row>
        <row r="3452">
          <cell r="I3452" t="str">
            <v>met</v>
          </cell>
          <cell r="V3452" t="str">
            <v>0</v>
          </cell>
          <cell r="W3452">
            <v>0</v>
          </cell>
          <cell r="X3452" t="str">
            <v>0</v>
          </cell>
        </row>
        <row r="3453">
          <cell r="I3453" t="str">
            <v>met</v>
          </cell>
          <cell r="V3453" t="str">
            <v>0</v>
          </cell>
          <cell r="W3453">
            <v>0</v>
          </cell>
          <cell r="X3453" t="str">
            <v>0</v>
          </cell>
        </row>
        <row r="3454">
          <cell r="I3454" t="str">
            <v>met</v>
          </cell>
          <cell r="V3454" t="str">
            <v>0</v>
          </cell>
          <cell r="W3454">
            <v>0</v>
          </cell>
          <cell r="X3454" t="str">
            <v>0</v>
          </cell>
        </row>
        <row r="3455">
          <cell r="I3455" t="str">
            <v>met</v>
          </cell>
          <cell r="V3455" t="str">
            <v>0</v>
          </cell>
          <cell r="W3455">
            <v>0</v>
          </cell>
          <cell r="X3455" t="str">
            <v>0</v>
          </cell>
        </row>
        <row r="3456">
          <cell r="I3456" t="str">
            <v>met</v>
          </cell>
          <cell r="V3456" t="str">
            <v>0</v>
          </cell>
          <cell r="W3456">
            <v>0</v>
          </cell>
          <cell r="X3456" t="str">
            <v>0</v>
          </cell>
        </row>
        <row r="3457">
          <cell r="I3457" t="str">
            <v>met</v>
          </cell>
          <cell r="V3457" t="str">
            <v>0</v>
          </cell>
          <cell r="W3457">
            <v>0</v>
          </cell>
          <cell r="X3457" t="str">
            <v>0</v>
          </cell>
        </row>
        <row r="3458">
          <cell r="I3458" t="str">
            <v>sim</v>
          </cell>
          <cell r="V3458" t="str">
            <v>not</v>
          </cell>
          <cell r="W3458">
            <v>1</v>
          </cell>
          <cell r="X3458" t="str">
            <v>neg</v>
          </cell>
        </row>
        <row r="3459">
          <cell r="I3459" t="str">
            <v>sim</v>
          </cell>
          <cell r="V3459" t="str">
            <v>not</v>
          </cell>
          <cell r="W3459">
            <v>1</v>
          </cell>
          <cell r="X3459" t="str">
            <v>intens</v>
          </cell>
        </row>
        <row r="3460">
          <cell r="I3460" t="str">
            <v>sim</v>
          </cell>
          <cell r="V3460" t="str">
            <v>antonym</v>
          </cell>
          <cell r="W3460">
            <v>1</v>
          </cell>
          <cell r="X3460" t="str">
            <v>neg</v>
          </cell>
        </row>
        <row r="3461">
          <cell r="I3461" t="str">
            <v>sim</v>
          </cell>
          <cell r="V3461" t="str">
            <v>antonym</v>
          </cell>
          <cell r="W3461">
            <v>1</v>
          </cell>
          <cell r="X3461" t="str">
            <v>intens</v>
          </cell>
        </row>
        <row r="3462">
          <cell r="I3462" t="str">
            <v>sim</v>
          </cell>
          <cell r="V3462" t="str">
            <v>not</v>
          </cell>
          <cell r="W3462">
            <v>1</v>
          </cell>
          <cell r="X3462" t="str">
            <v>neg</v>
          </cell>
        </row>
        <row r="3463">
          <cell r="I3463" t="str">
            <v>sim</v>
          </cell>
          <cell r="V3463" t="str">
            <v>not</v>
          </cell>
          <cell r="W3463">
            <v>1</v>
          </cell>
          <cell r="X3463" t="str">
            <v>intens</v>
          </cell>
        </row>
        <row r="3464">
          <cell r="I3464" t="str">
            <v>met</v>
          </cell>
          <cell r="V3464" t="str">
            <v>0</v>
          </cell>
          <cell r="W3464">
            <v>0</v>
          </cell>
          <cell r="X3464" t="str">
            <v>0</v>
          </cell>
        </row>
        <row r="3465">
          <cell r="I3465" t="str">
            <v>met</v>
          </cell>
          <cell r="V3465" t="str">
            <v>0</v>
          </cell>
          <cell r="W3465">
            <v>0</v>
          </cell>
          <cell r="X3465" t="str">
            <v>0</v>
          </cell>
        </row>
        <row r="3466">
          <cell r="I3466" t="str">
            <v>met</v>
          </cell>
          <cell r="V3466" t="str">
            <v>0</v>
          </cell>
          <cell r="W3466">
            <v>0</v>
          </cell>
          <cell r="X3466" t="str">
            <v>0</v>
          </cell>
        </row>
        <row r="3467">
          <cell r="I3467" t="str">
            <v>met</v>
          </cell>
          <cell r="V3467" t="str">
            <v>0</v>
          </cell>
          <cell r="W3467">
            <v>0</v>
          </cell>
          <cell r="X3467" t="str">
            <v>0</v>
          </cell>
        </row>
        <row r="3468">
          <cell r="I3468" t="str">
            <v>met</v>
          </cell>
          <cell r="V3468" t="str">
            <v>0</v>
          </cell>
          <cell r="W3468">
            <v>0</v>
          </cell>
          <cell r="X3468" t="str">
            <v>0</v>
          </cell>
        </row>
        <row r="3469">
          <cell r="I3469" t="str">
            <v>met</v>
          </cell>
          <cell r="V3469" t="str">
            <v>0</v>
          </cell>
          <cell r="W3469">
            <v>0</v>
          </cell>
          <cell r="X3469" t="str">
            <v>0</v>
          </cell>
        </row>
        <row r="3470">
          <cell r="I3470" t="str">
            <v>sim</v>
          </cell>
          <cell r="V3470" t="str">
            <v>not neg pair</v>
          </cell>
          <cell r="W3470">
            <v>0</v>
          </cell>
          <cell r="X3470" t="str">
            <v>0</v>
          </cell>
        </row>
        <row r="3471">
          <cell r="I3471" t="str">
            <v>sim</v>
          </cell>
          <cell r="V3471" t="str">
            <v>not neg pair</v>
          </cell>
          <cell r="W3471">
            <v>0</v>
          </cell>
          <cell r="X3471" t="str">
            <v>0</v>
          </cell>
        </row>
        <row r="3472">
          <cell r="I3472" t="str">
            <v>sim</v>
          </cell>
          <cell r="V3472" t="str">
            <v>antonym</v>
          </cell>
          <cell r="W3472">
            <v>1</v>
          </cell>
          <cell r="X3472" t="str">
            <v>intens</v>
          </cell>
        </row>
        <row r="3473">
          <cell r="I3473" t="str">
            <v>sim</v>
          </cell>
          <cell r="V3473" t="str">
            <v>antonym</v>
          </cell>
          <cell r="W3473">
            <v>1</v>
          </cell>
          <cell r="X3473" t="str">
            <v>neg</v>
          </cell>
        </row>
        <row r="3474">
          <cell r="I3474" t="str">
            <v>sim</v>
          </cell>
          <cell r="V3474" t="str">
            <v>not</v>
          </cell>
          <cell r="W3474">
            <v>1</v>
          </cell>
          <cell r="X3474" t="str">
            <v>intens</v>
          </cell>
        </row>
        <row r="3475">
          <cell r="I3475" t="str">
            <v>sim</v>
          </cell>
          <cell r="V3475" t="str">
            <v>not</v>
          </cell>
          <cell r="W3475">
            <v>1</v>
          </cell>
          <cell r="X3475" t="str">
            <v>neg</v>
          </cell>
        </row>
        <row r="3476">
          <cell r="I3476" t="str">
            <v>met</v>
          </cell>
          <cell r="V3476" t="str">
            <v>0</v>
          </cell>
          <cell r="W3476">
            <v>0</v>
          </cell>
          <cell r="X3476" t="str">
            <v>0</v>
          </cell>
        </row>
        <row r="3477">
          <cell r="I3477" t="str">
            <v>met</v>
          </cell>
          <cell r="V3477" t="str">
            <v>0</v>
          </cell>
          <cell r="W3477">
            <v>0</v>
          </cell>
          <cell r="X3477" t="str">
            <v>0</v>
          </cell>
        </row>
        <row r="3478">
          <cell r="I3478" t="str">
            <v>sim</v>
          </cell>
          <cell r="V3478" t="str">
            <v>not neg pair</v>
          </cell>
          <cell r="W3478">
            <v>0</v>
          </cell>
          <cell r="X3478" t="str">
            <v>0</v>
          </cell>
        </row>
        <row r="3479">
          <cell r="I3479" t="str">
            <v>sim</v>
          </cell>
          <cell r="V3479" t="str">
            <v>not neg pair</v>
          </cell>
          <cell r="W3479">
            <v>0</v>
          </cell>
          <cell r="X3479" t="str">
            <v>0</v>
          </cell>
        </row>
        <row r="3480">
          <cell r="I3480" t="str">
            <v>sim</v>
          </cell>
          <cell r="V3480" t="str">
            <v>not</v>
          </cell>
          <cell r="W3480">
            <v>1</v>
          </cell>
          <cell r="X3480" t="str">
            <v>intens</v>
          </cell>
        </row>
        <row r="3481">
          <cell r="I3481" t="str">
            <v>sim</v>
          </cell>
          <cell r="V3481" t="str">
            <v>not</v>
          </cell>
          <cell r="W3481">
            <v>1</v>
          </cell>
          <cell r="X3481" t="str">
            <v>neg</v>
          </cell>
        </row>
        <row r="3482">
          <cell r="I3482" t="str">
            <v>sim</v>
          </cell>
          <cell r="V3482" t="str">
            <v>antonym</v>
          </cell>
          <cell r="W3482">
            <v>1</v>
          </cell>
          <cell r="X3482" t="str">
            <v>intens</v>
          </cell>
        </row>
        <row r="3483">
          <cell r="I3483" t="str">
            <v>sim</v>
          </cell>
          <cell r="V3483" t="str">
            <v>antonym</v>
          </cell>
          <cell r="W3483">
            <v>1</v>
          </cell>
          <cell r="X3483" t="str">
            <v>neg</v>
          </cell>
        </row>
        <row r="3484">
          <cell r="I3484" t="str">
            <v>sim</v>
          </cell>
          <cell r="V3484" t="str">
            <v>antonym</v>
          </cell>
          <cell r="W3484">
            <v>1</v>
          </cell>
          <cell r="X3484" t="str">
            <v>intens</v>
          </cell>
        </row>
        <row r="3485">
          <cell r="I3485" t="str">
            <v>sim</v>
          </cell>
          <cell r="V3485" t="str">
            <v>antonym</v>
          </cell>
          <cell r="W3485">
            <v>1</v>
          </cell>
          <cell r="X3485" t="str">
            <v>neg</v>
          </cell>
        </row>
        <row r="3486">
          <cell r="I3486" t="str">
            <v>sim</v>
          </cell>
          <cell r="V3486" t="str">
            <v>not neg pair</v>
          </cell>
          <cell r="W3486">
            <v>0</v>
          </cell>
          <cell r="X3486" t="str">
            <v>0</v>
          </cell>
        </row>
        <row r="3487">
          <cell r="I3487" t="str">
            <v>sim</v>
          </cell>
          <cell r="V3487" t="str">
            <v>not neg pair</v>
          </cell>
          <cell r="W3487">
            <v>0</v>
          </cell>
          <cell r="X3487" t="str">
            <v>0</v>
          </cell>
        </row>
        <row r="3488">
          <cell r="I3488" t="str">
            <v>met</v>
          </cell>
          <cell r="V3488" t="str">
            <v>0</v>
          </cell>
          <cell r="W3488">
            <v>0</v>
          </cell>
          <cell r="X3488" t="str">
            <v>0</v>
          </cell>
        </row>
        <row r="3489">
          <cell r="I3489" t="str">
            <v>met</v>
          </cell>
          <cell r="V3489" t="str">
            <v>0</v>
          </cell>
          <cell r="W3489">
            <v>0</v>
          </cell>
          <cell r="X3489" t="str">
            <v>0</v>
          </cell>
        </row>
        <row r="3490">
          <cell r="I3490" t="str">
            <v>met</v>
          </cell>
          <cell r="V3490" t="str">
            <v>0</v>
          </cell>
          <cell r="W3490">
            <v>0</v>
          </cell>
          <cell r="X3490" t="str">
            <v>0</v>
          </cell>
        </row>
        <row r="3491">
          <cell r="I3491" t="str">
            <v>met</v>
          </cell>
          <cell r="V3491" t="str">
            <v>0</v>
          </cell>
          <cell r="W3491">
            <v>0</v>
          </cell>
          <cell r="X3491" t="str">
            <v>0</v>
          </cell>
        </row>
        <row r="3492">
          <cell r="I3492" t="str">
            <v>met</v>
          </cell>
          <cell r="V3492" t="str">
            <v>0</v>
          </cell>
          <cell r="W3492">
            <v>0</v>
          </cell>
          <cell r="X3492" t="str">
            <v>0</v>
          </cell>
        </row>
        <row r="3493">
          <cell r="I3493" t="str">
            <v>met</v>
          </cell>
          <cell r="V3493" t="str">
            <v>0</v>
          </cell>
          <cell r="W3493">
            <v>0</v>
          </cell>
          <cell r="X3493" t="str">
            <v>0</v>
          </cell>
        </row>
        <row r="3494">
          <cell r="I3494" t="str">
            <v>sim</v>
          </cell>
          <cell r="V3494" t="str">
            <v>not</v>
          </cell>
          <cell r="W3494">
            <v>1</v>
          </cell>
          <cell r="X3494" t="str">
            <v>intens</v>
          </cell>
        </row>
        <row r="3495">
          <cell r="I3495" t="str">
            <v>sim</v>
          </cell>
          <cell r="V3495" t="str">
            <v>not</v>
          </cell>
          <cell r="W3495">
            <v>1</v>
          </cell>
          <cell r="X3495" t="str">
            <v>neg</v>
          </cell>
        </row>
        <row r="3496">
          <cell r="I3496" t="str">
            <v>sim</v>
          </cell>
          <cell r="V3496" t="str">
            <v>not neg pair</v>
          </cell>
          <cell r="W3496">
            <v>0</v>
          </cell>
          <cell r="X3496" t="str">
            <v>0</v>
          </cell>
        </row>
        <row r="3497">
          <cell r="I3497" t="str">
            <v>sim</v>
          </cell>
          <cell r="V3497" t="str">
            <v>not neg pair</v>
          </cell>
          <cell r="W3497">
            <v>0</v>
          </cell>
          <cell r="X3497" t="str">
            <v>0</v>
          </cell>
        </row>
        <row r="3498">
          <cell r="I3498" t="str">
            <v>sim</v>
          </cell>
          <cell r="V3498" t="str">
            <v>not neg pair</v>
          </cell>
          <cell r="W3498">
            <v>0</v>
          </cell>
          <cell r="X3498" t="str">
            <v>0</v>
          </cell>
        </row>
        <row r="3499">
          <cell r="I3499" t="str">
            <v>sim</v>
          </cell>
          <cell r="V3499" t="str">
            <v>not neg pair</v>
          </cell>
          <cell r="W3499">
            <v>0</v>
          </cell>
          <cell r="X3499" t="str">
            <v>0</v>
          </cell>
        </row>
        <row r="3500">
          <cell r="I3500" t="str">
            <v>met</v>
          </cell>
          <cell r="V3500" t="str">
            <v>0</v>
          </cell>
          <cell r="W3500">
            <v>0</v>
          </cell>
          <cell r="X3500" t="str">
            <v>0</v>
          </cell>
        </row>
        <row r="3501">
          <cell r="I3501" t="str">
            <v>met</v>
          </cell>
          <cell r="V3501" t="str">
            <v>0</v>
          </cell>
          <cell r="W3501">
            <v>0</v>
          </cell>
          <cell r="X3501" t="str">
            <v>0</v>
          </cell>
        </row>
        <row r="3502">
          <cell r="I3502" t="str">
            <v>met</v>
          </cell>
          <cell r="V3502" t="str">
            <v>0</v>
          </cell>
          <cell r="W3502">
            <v>0</v>
          </cell>
          <cell r="X3502" t="str">
            <v>0</v>
          </cell>
        </row>
        <row r="3503">
          <cell r="I3503" t="str">
            <v>met</v>
          </cell>
          <cell r="V3503" t="str">
            <v>0</v>
          </cell>
          <cell r="W3503">
            <v>0</v>
          </cell>
          <cell r="X3503" t="str">
            <v>0</v>
          </cell>
        </row>
        <row r="3504">
          <cell r="I3504" t="str">
            <v>met</v>
          </cell>
          <cell r="V3504" t="str">
            <v>0</v>
          </cell>
          <cell r="W3504">
            <v>0</v>
          </cell>
          <cell r="X3504" t="str">
            <v>0</v>
          </cell>
        </row>
        <row r="3505">
          <cell r="I3505" t="str">
            <v>met</v>
          </cell>
          <cell r="V3505" t="str">
            <v>0</v>
          </cell>
          <cell r="W3505">
            <v>0</v>
          </cell>
          <cell r="X3505" t="str">
            <v>0</v>
          </cell>
        </row>
        <row r="3506">
          <cell r="I3506" t="str">
            <v>met</v>
          </cell>
          <cell r="V3506" t="str">
            <v>0</v>
          </cell>
          <cell r="W3506">
            <v>0</v>
          </cell>
          <cell r="X3506" t="str">
            <v>0</v>
          </cell>
        </row>
        <row r="3507">
          <cell r="I3507" t="str">
            <v>sim</v>
          </cell>
          <cell r="V3507" t="str">
            <v>not neg pair</v>
          </cell>
          <cell r="W3507">
            <v>0</v>
          </cell>
          <cell r="X3507" t="str">
            <v>0</v>
          </cell>
        </row>
        <row r="3508">
          <cell r="I3508" t="str">
            <v>met</v>
          </cell>
          <cell r="V3508" t="str">
            <v>0</v>
          </cell>
          <cell r="W3508">
            <v>0</v>
          </cell>
          <cell r="X3508" t="str">
            <v>0</v>
          </cell>
        </row>
        <row r="3509">
          <cell r="I3509" t="str">
            <v>met</v>
          </cell>
          <cell r="V3509" t="str">
            <v>0</v>
          </cell>
          <cell r="W3509">
            <v>0</v>
          </cell>
          <cell r="X3509" t="str">
            <v>0</v>
          </cell>
        </row>
        <row r="3510">
          <cell r="I3510" t="str">
            <v>met</v>
          </cell>
          <cell r="V3510" t="str">
            <v>0</v>
          </cell>
          <cell r="W3510">
            <v>0</v>
          </cell>
          <cell r="X3510" t="str">
            <v>0</v>
          </cell>
        </row>
        <row r="3511">
          <cell r="I3511" t="str">
            <v>met</v>
          </cell>
          <cell r="V3511" t="str">
            <v>0</v>
          </cell>
          <cell r="W3511">
            <v>0</v>
          </cell>
          <cell r="X3511" t="str">
            <v>0</v>
          </cell>
        </row>
        <row r="3512">
          <cell r="I3512" t="str">
            <v>sim</v>
          </cell>
          <cell r="V3512" t="str">
            <v>not neg pair</v>
          </cell>
          <cell r="W3512">
            <v>0</v>
          </cell>
          <cell r="X3512" t="str">
            <v>0</v>
          </cell>
        </row>
        <row r="3513">
          <cell r="I3513" t="str">
            <v>sim</v>
          </cell>
          <cell r="V3513" t="str">
            <v>not neg pair</v>
          </cell>
          <cell r="W3513">
            <v>0</v>
          </cell>
          <cell r="X3513" t="str">
            <v>0</v>
          </cell>
        </row>
        <row r="3514">
          <cell r="I3514" t="str">
            <v>sim</v>
          </cell>
          <cell r="V3514" t="str">
            <v>antonym</v>
          </cell>
          <cell r="W3514">
            <v>1</v>
          </cell>
          <cell r="X3514" t="str">
            <v>neg</v>
          </cell>
        </row>
        <row r="3515">
          <cell r="I3515" t="str">
            <v>sim</v>
          </cell>
          <cell r="V3515" t="str">
            <v>antonym</v>
          </cell>
          <cell r="W3515">
            <v>1</v>
          </cell>
          <cell r="X3515" t="str">
            <v>intens</v>
          </cell>
        </row>
        <row r="3516">
          <cell r="I3516" t="str">
            <v>met</v>
          </cell>
          <cell r="V3516" t="str">
            <v>0</v>
          </cell>
          <cell r="W3516">
            <v>0</v>
          </cell>
          <cell r="X3516" t="str">
            <v>0</v>
          </cell>
        </row>
        <row r="3517">
          <cell r="I3517" t="str">
            <v>met</v>
          </cell>
          <cell r="V3517" t="str">
            <v>0</v>
          </cell>
          <cell r="W3517">
            <v>0</v>
          </cell>
          <cell r="X3517" t="str">
            <v>0</v>
          </cell>
        </row>
        <row r="3518">
          <cell r="I3518" t="str">
            <v>sim</v>
          </cell>
          <cell r="V3518" t="str">
            <v>antonym</v>
          </cell>
          <cell r="W3518">
            <v>1</v>
          </cell>
          <cell r="X3518" t="str">
            <v>intens</v>
          </cell>
        </row>
        <row r="3519">
          <cell r="I3519" t="str">
            <v>sim</v>
          </cell>
          <cell r="V3519" t="str">
            <v>antonym</v>
          </cell>
          <cell r="W3519">
            <v>1</v>
          </cell>
          <cell r="X3519" t="str">
            <v>neg</v>
          </cell>
        </row>
        <row r="3520">
          <cell r="I3520" t="str">
            <v>sim</v>
          </cell>
          <cell r="V3520" t="str">
            <v>antonym</v>
          </cell>
          <cell r="W3520">
            <v>1</v>
          </cell>
          <cell r="X3520" t="str">
            <v>intens</v>
          </cell>
        </row>
        <row r="3521">
          <cell r="I3521" t="str">
            <v>sim</v>
          </cell>
          <cell r="V3521" t="str">
            <v>antonym</v>
          </cell>
          <cell r="W3521">
            <v>1</v>
          </cell>
          <cell r="X3521" t="str">
            <v>neg</v>
          </cell>
        </row>
        <row r="3522">
          <cell r="I3522" t="str">
            <v>sim</v>
          </cell>
          <cell r="V3522" t="str">
            <v>antonym</v>
          </cell>
          <cell r="W3522">
            <v>1</v>
          </cell>
          <cell r="X3522" t="str">
            <v>intens</v>
          </cell>
        </row>
        <row r="3523">
          <cell r="I3523" t="str">
            <v>sim</v>
          </cell>
          <cell r="V3523" t="str">
            <v>antonym</v>
          </cell>
          <cell r="W3523">
            <v>1</v>
          </cell>
          <cell r="X3523" t="str">
            <v>neg</v>
          </cell>
        </row>
        <row r="3524">
          <cell r="I3524" t="str">
            <v>sim</v>
          </cell>
          <cell r="V3524" t="str">
            <v>antonym</v>
          </cell>
          <cell r="W3524">
            <v>1</v>
          </cell>
          <cell r="X3524" t="str">
            <v>neg</v>
          </cell>
        </row>
        <row r="3525">
          <cell r="I3525" t="str">
            <v>sim</v>
          </cell>
          <cell r="V3525" t="str">
            <v>antonym</v>
          </cell>
          <cell r="W3525">
            <v>1</v>
          </cell>
          <cell r="X3525" t="str">
            <v>intens</v>
          </cell>
        </row>
        <row r="3526">
          <cell r="I3526" t="str">
            <v>sim</v>
          </cell>
          <cell r="V3526" t="str">
            <v>not</v>
          </cell>
          <cell r="W3526">
            <v>1</v>
          </cell>
          <cell r="X3526" t="str">
            <v>intens</v>
          </cell>
        </row>
        <row r="3527">
          <cell r="I3527" t="str">
            <v>sim</v>
          </cell>
          <cell r="V3527" t="str">
            <v>not</v>
          </cell>
          <cell r="W3527">
            <v>1</v>
          </cell>
          <cell r="X3527" t="str">
            <v>neg</v>
          </cell>
        </row>
        <row r="3528">
          <cell r="I3528" t="str">
            <v>sim</v>
          </cell>
          <cell r="V3528" t="str">
            <v>not</v>
          </cell>
          <cell r="W3528">
            <v>1</v>
          </cell>
          <cell r="X3528" t="str">
            <v>intens</v>
          </cell>
        </row>
        <row r="3529">
          <cell r="I3529" t="str">
            <v>sim</v>
          </cell>
          <cell r="V3529" t="str">
            <v>not</v>
          </cell>
          <cell r="W3529">
            <v>1</v>
          </cell>
          <cell r="X3529" t="str">
            <v>neg</v>
          </cell>
        </row>
        <row r="3530">
          <cell r="I3530" t="str">
            <v>sim</v>
          </cell>
          <cell r="V3530" t="str">
            <v>not neg pair</v>
          </cell>
          <cell r="W3530">
            <v>0</v>
          </cell>
          <cell r="X3530" t="str">
            <v>0</v>
          </cell>
        </row>
        <row r="3531">
          <cell r="I3531" t="str">
            <v>sim</v>
          </cell>
          <cell r="V3531" t="str">
            <v>not neg pair</v>
          </cell>
          <cell r="W3531">
            <v>0</v>
          </cell>
          <cell r="X3531" t="str">
            <v>0</v>
          </cell>
        </row>
        <row r="3532">
          <cell r="I3532" t="str">
            <v>met</v>
          </cell>
          <cell r="V3532" t="str">
            <v>0</v>
          </cell>
          <cell r="W3532">
            <v>0</v>
          </cell>
          <cell r="X3532" t="str">
            <v>0</v>
          </cell>
        </row>
        <row r="3533">
          <cell r="I3533" t="str">
            <v>met</v>
          </cell>
          <cell r="V3533" t="str">
            <v>0</v>
          </cell>
          <cell r="W3533">
            <v>0</v>
          </cell>
          <cell r="X3533" t="str">
            <v>0</v>
          </cell>
        </row>
        <row r="3534">
          <cell r="I3534" t="str">
            <v>met</v>
          </cell>
          <cell r="V3534" t="str">
            <v>0</v>
          </cell>
          <cell r="W3534">
            <v>0</v>
          </cell>
          <cell r="X3534" t="str">
            <v>0</v>
          </cell>
        </row>
        <row r="3535">
          <cell r="I3535" t="str">
            <v>met</v>
          </cell>
          <cell r="V3535" t="str">
            <v>0</v>
          </cell>
          <cell r="W3535">
            <v>0</v>
          </cell>
          <cell r="X3535" t="str">
            <v>0</v>
          </cell>
        </row>
        <row r="3536">
          <cell r="I3536" t="str">
            <v>sim</v>
          </cell>
          <cell r="V3536" t="str">
            <v>not</v>
          </cell>
          <cell r="W3536">
            <v>1</v>
          </cell>
          <cell r="X3536" t="str">
            <v>neg</v>
          </cell>
        </row>
        <row r="3537">
          <cell r="I3537" t="str">
            <v>sim</v>
          </cell>
          <cell r="V3537" t="str">
            <v>not</v>
          </cell>
          <cell r="W3537">
            <v>1</v>
          </cell>
          <cell r="X3537" t="str">
            <v>intens</v>
          </cell>
        </row>
        <row r="3538">
          <cell r="I3538" t="str">
            <v>sim</v>
          </cell>
          <cell r="V3538" t="str">
            <v>not neg pair</v>
          </cell>
          <cell r="W3538">
            <v>0</v>
          </cell>
          <cell r="X3538" t="str">
            <v>0</v>
          </cell>
        </row>
        <row r="3539">
          <cell r="I3539" t="str">
            <v>sim</v>
          </cell>
          <cell r="V3539" t="str">
            <v>not neg pair</v>
          </cell>
          <cell r="W3539">
            <v>0</v>
          </cell>
          <cell r="X3539" t="str">
            <v>0</v>
          </cell>
        </row>
        <row r="3540">
          <cell r="I3540" t="str">
            <v>sim</v>
          </cell>
          <cell r="V3540" t="str">
            <v>not neg pair</v>
          </cell>
          <cell r="W3540">
            <v>0</v>
          </cell>
          <cell r="X3540" t="str">
            <v>0</v>
          </cell>
        </row>
        <row r="3541">
          <cell r="I3541" t="str">
            <v>sim</v>
          </cell>
          <cell r="V3541" t="str">
            <v>not neg pair</v>
          </cell>
          <cell r="W3541">
            <v>0</v>
          </cell>
          <cell r="X3541" t="str">
            <v>0</v>
          </cell>
        </row>
        <row r="3542">
          <cell r="I3542" t="str">
            <v>sim</v>
          </cell>
          <cell r="V3542" t="str">
            <v>not</v>
          </cell>
          <cell r="W3542">
            <v>1</v>
          </cell>
          <cell r="X3542" t="str">
            <v>neg</v>
          </cell>
        </row>
        <row r="3543">
          <cell r="I3543" t="str">
            <v>sim</v>
          </cell>
          <cell r="V3543" t="str">
            <v>not</v>
          </cell>
          <cell r="W3543">
            <v>1</v>
          </cell>
          <cell r="X3543" t="str">
            <v>intens</v>
          </cell>
        </row>
        <row r="3544">
          <cell r="I3544" t="str">
            <v>sim</v>
          </cell>
          <cell r="V3544" t="str">
            <v>not neg pair</v>
          </cell>
          <cell r="W3544">
            <v>0</v>
          </cell>
          <cell r="X3544" t="str">
            <v>0</v>
          </cell>
        </row>
        <row r="3545">
          <cell r="I3545" t="str">
            <v>sim</v>
          </cell>
          <cell r="V3545" t="str">
            <v>not neg pair</v>
          </cell>
          <cell r="W3545">
            <v>0</v>
          </cell>
          <cell r="X3545" t="str">
            <v>0</v>
          </cell>
        </row>
        <row r="3546">
          <cell r="I3546" t="str">
            <v>sim</v>
          </cell>
          <cell r="V3546" t="str">
            <v>not neg pair</v>
          </cell>
          <cell r="W3546">
            <v>0</v>
          </cell>
          <cell r="X3546" t="str">
            <v>0</v>
          </cell>
        </row>
        <row r="3547">
          <cell r="I3547" t="str">
            <v>sim</v>
          </cell>
          <cell r="V3547" t="str">
            <v>not neg pair</v>
          </cell>
          <cell r="W3547">
            <v>0</v>
          </cell>
          <cell r="X3547" t="str">
            <v>0</v>
          </cell>
        </row>
        <row r="3548">
          <cell r="I3548" t="str">
            <v>sim</v>
          </cell>
          <cell r="V3548" t="str">
            <v>not neg pair</v>
          </cell>
          <cell r="W3548">
            <v>0</v>
          </cell>
          <cell r="X3548" t="str">
            <v>0</v>
          </cell>
        </row>
        <row r="3549">
          <cell r="I3549" t="str">
            <v>sim</v>
          </cell>
          <cell r="V3549" t="str">
            <v>not neg pair</v>
          </cell>
          <cell r="W3549">
            <v>0</v>
          </cell>
          <cell r="X3549" t="str">
            <v>0</v>
          </cell>
        </row>
        <row r="3550">
          <cell r="I3550" t="str">
            <v>sim</v>
          </cell>
          <cell r="V3550" t="str">
            <v>not neg pair</v>
          </cell>
          <cell r="W3550">
            <v>0</v>
          </cell>
          <cell r="X3550" t="str">
            <v>0</v>
          </cell>
        </row>
        <row r="3551">
          <cell r="I3551" t="str">
            <v>sim</v>
          </cell>
          <cell r="V3551" t="str">
            <v>not neg pair</v>
          </cell>
          <cell r="W3551">
            <v>0</v>
          </cell>
          <cell r="X3551" t="str">
            <v>0</v>
          </cell>
        </row>
        <row r="3552">
          <cell r="I3552" t="str">
            <v>sim</v>
          </cell>
          <cell r="V3552" t="str">
            <v>not</v>
          </cell>
          <cell r="W3552">
            <v>1</v>
          </cell>
          <cell r="X3552" t="str">
            <v>intens</v>
          </cell>
        </row>
        <row r="3553">
          <cell r="I3553" t="str">
            <v>sim</v>
          </cell>
          <cell r="V3553" t="str">
            <v>not</v>
          </cell>
          <cell r="W3553">
            <v>1</v>
          </cell>
          <cell r="X3553" t="str">
            <v>neg</v>
          </cell>
        </row>
        <row r="3554">
          <cell r="I3554" t="str">
            <v>met</v>
          </cell>
          <cell r="V3554" t="str">
            <v>0</v>
          </cell>
          <cell r="W3554">
            <v>0</v>
          </cell>
          <cell r="X3554" t="str">
            <v>0</v>
          </cell>
        </row>
        <row r="3555">
          <cell r="I3555" t="str">
            <v>met</v>
          </cell>
          <cell r="V3555" t="str">
            <v>0</v>
          </cell>
          <cell r="W3555">
            <v>0</v>
          </cell>
          <cell r="X3555" t="str">
            <v>0</v>
          </cell>
        </row>
        <row r="3556">
          <cell r="I3556" t="str">
            <v>sim</v>
          </cell>
          <cell r="V3556" t="str">
            <v>not neg pair</v>
          </cell>
          <cell r="W3556">
            <v>0</v>
          </cell>
          <cell r="X3556" t="str">
            <v>0</v>
          </cell>
        </row>
        <row r="3557">
          <cell r="I3557" t="str">
            <v>sim</v>
          </cell>
          <cell r="V3557" t="str">
            <v>not neg pair</v>
          </cell>
          <cell r="W3557">
            <v>0</v>
          </cell>
          <cell r="X3557" t="str">
            <v>0</v>
          </cell>
        </row>
        <row r="3558">
          <cell r="I3558" t="str">
            <v>sim</v>
          </cell>
          <cell r="V3558" t="str">
            <v>not</v>
          </cell>
          <cell r="W3558">
            <v>1</v>
          </cell>
          <cell r="X3558" t="str">
            <v>intens</v>
          </cell>
        </row>
        <row r="3559">
          <cell r="I3559" t="str">
            <v>sim</v>
          </cell>
          <cell r="V3559" t="str">
            <v>not</v>
          </cell>
          <cell r="W3559">
            <v>1</v>
          </cell>
          <cell r="X3559" t="str">
            <v>neg</v>
          </cell>
        </row>
        <row r="3560">
          <cell r="I3560" t="str">
            <v>sim</v>
          </cell>
          <cell r="V3560" t="str">
            <v>not neg pair</v>
          </cell>
          <cell r="W3560">
            <v>0</v>
          </cell>
          <cell r="X3560" t="str">
            <v>0</v>
          </cell>
        </row>
        <row r="3561">
          <cell r="I3561" t="str">
            <v>sim</v>
          </cell>
          <cell r="V3561" t="str">
            <v>not neg pair</v>
          </cell>
          <cell r="W3561">
            <v>0</v>
          </cell>
          <cell r="X3561" t="str">
            <v>0</v>
          </cell>
        </row>
        <row r="3562">
          <cell r="I3562" t="str">
            <v>sim</v>
          </cell>
          <cell r="V3562" t="str">
            <v>not neg pair</v>
          </cell>
          <cell r="W3562">
            <v>0</v>
          </cell>
          <cell r="X3562" t="str">
            <v>0</v>
          </cell>
        </row>
        <row r="3563">
          <cell r="I3563" t="str">
            <v>sim</v>
          </cell>
          <cell r="V3563" t="str">
            <v>not neg pair</v>
          </cell>
          <cell r="W3563">
            <v>0</v>
          </cell>
          <cell r="X3563" t="str">
            <v>0</v>
          </cell>
        </row>
        <row r="3564">
          <cell r="I3564" t="str">
            <v>sim</v>
          </cell>
          <cell r="V3564" t="str">
            <v>not neg pair</v>
          </cell>
          <cell r="W3564">
            <v>0</v>
          </cell>
          <cell r="X3564" t="str">
            <v>0</v>
          </cell>
        </row>
        <row r="3565">
          <cell r="I3565" t="str">
            <v>sim</v>
          </cell>
          <cell r="V3565" t="str">
            <v>not neg pair</v>
          </cell>
          <cell r="W3565">
            <v>0</v>
          </cell>
          <cell r="X3565" t="str">
            <v>0</v>
          </cell>
        </row>
        <row r="3566">
          <cell r="I3566" t="str">
            <v>sim</v>
          </cell>
          <cell r="V3566" t="str">
            <v>not</v>
          </cell>
          <cell r="W3566">
            <v>1</v>
          </cell>
          <cell r="X3566" t="str">
            <v>neg</v>
          </cell>
        </row>
        <row r="3567">
          <cell r="I3567" t="str">
            <v>sim</v>
          </cell>
          <cell r="V3567" t="str">
            <v>not</v>
          </cell>
          <cell r="W3567">
            <v>1</v>
          </cell>
          <cell r="X3567" t="str">
            <v>intens</v>
          </cell>
        </row>
        <row r="3568">
          <cell r="I3568" t="str">
            <v>sim</v>
          </cell>
          <cell r="V3568" t="str">
            <v>not</v>
          </cell>
          <cell r="W3568">
            <v>1</v>
          </cell>
          <cell r="X3568" t="str">
            <v>intens</v>
          </cell>
        </row>
        <row r="3569">
          <cell r="I3569" t="str">
            <v>sim</v>
          </cell>
          <cell r="V3569" t="str">
            <v>not</v>
          </cell>
          <cell r="W3569">
            <v>1</v>
          </cell>
          <cell r="X3569" t="str">
            <v>neg</v>
          </cell>
        </row>
        <row r="3570">
          <cell r="I3570" t="str">
            <v>sim</v>
          </cell>
          <cell r="V3570" t="str">
            <v>not</v>
          </cell>
          <cell r="W3570">
            <v>1</v>
          </cell>
          <cell r="X3570" t="str">
            <v>intens</v>
          </cell>
        </row>
        <row r="3571">
          <cell r="I3571" t="str">
            <v>sim</v>
          </cell>
          <cell r="V3571" t="str">
            <v>not</v>
          </cell>
          <cell r="W3571">
            <v>1</v>
          </cell>
          <cell r="X3571" t="str">
            <v>neg</v>
          </cell>
        </row>
        <row r="3572">
          <cell r="I3572" t="str">
            <v>met</v>
          </cell>
          <cell r="V3572" t="str">
            <v>0</v>
          </cell>
          <cell r="W3572">
            <v>0</v>
          </cell>
          <cell r="X3572" t="str">
            <v>0</v>
          </cell>
        </row>
        <row r="3573">
          <cell r="I3573" t="str">
            <v>met</v>
          </cell>
          <cell r="V3573" t="str">
            <v>0</v>
          </cell>
          <cell r="W3573">
            <v>0</v>
          </cell>
          <cell r="X3573" t="str">
            <v>0</v>
          </cell>
        </row>
        <row r="3574">
          <cell r="I3574" t="str">
            <v>sim</v>
          </cell>
          <cell r="V3574" t="str">
            <v>not neg pair</v>
          </cell>
          <cell r="W3574">
            <v>0</v>
          </cell>
          <cell r="X3574" t="str">
            <v>0</v>
          </cell>
        </row>
        <row r="3575">
          <cell r="I3575" t="str">
            <v>sim</v>
          </cell>
          <cell r="V3575" t="str">
            <v>not neg pair</v>
          </cell>
          <cell r="W3575">
            <v>0</v>
          </cell>
          <cell r="X3575" t="str">
            <v>0</v>
          </cell>
        </row>
        <row r="3576">
          <cell r="I3576" t="str">
            <v>met</v>
          </cell>
          <cell r="V3576" t="str">
            <v>0</v>
          </cell>
          <cell r="W3576">
            <v>0</v>
          </cell>
          <cell r="X3576" t="str">
            <v>0</v>
          </cell>
        </row>
        <row r="3577">
          <cell r="I3577" t="str">
            <v>met</v>
          </cell>
          <cell r="V3577" t="str">
            <v>0</v>
          </cell>
          <cell r="W3577">
            <v>0</v>
          </cell>
          <cell r="X3577" t="str">
            <v>0</v>
          </cell>
        </row>
        <row r="3578">
          <cell r="I3578" t="str">
            <v>sim</v>
          </cell>
          <cell r="V3578" t="str">
            <v>not</v>
          </cell>
          <cell r="W3578">
            <v>1</v>
          </cell>
          <cell r="X3578" t="str">
            <v>neg</v>
          </cell>
        </row>
        <row r="3579">
          <cell r="I3579" t="str">
            <v>sim</v>
          </cell>
          <cell r="V3579" t="str">
            <v>not</v>
          </cell>
          <cell r="W3579">
            <v>1</v>
          </cell>
          <cell r="X3579" t="str">
            <v>intens</v>
          </cell>
        </row>
        <row r="3580">
          <cell r="I3580" t="str">
            <v>sim</v>
          </cell>
          <cell r="V3580" t="str">
            <v>not neg pair</v>
          </cell>
          <cell r="W3580">
            <v>0</v>
          </cell>
          <cell r="X3580" t="str">
            <v>0</v>
          </cell>
        </row>
        <row r="3581">
          <cell r="I3581" t="str">
            <v>sim</v>
          </cell>
          <cell r="V3581" t="str">
            <v>not neg pair</v>
          </cell>
          <cell r="W3581">
            <v>0</v>
          </cell>
          <cell r="X3581" t="str">
            <v>0</v>
          </cell>
        </row>
        <row r="3582">
          <cell r="I3582" t="str">
            <v>sim</v>
          </cell>
          <cell r="V3582" t="str">
            <v>not neg pair</v>
          </cell>
          <cell r="W3582">
            <v>0</v>
          </cell>
          <cell r="X3582" t="str">
            <v>0</v>
          </cell>
        </row>
        <row r="3583">
          <cell r="I3583" t="str">
            <v>sim</v>
          </cell>
          <cell r="V3583" t="str">
            <v>not neg pair</v>
          </cell>
          <cell r="W3583">
            <v>0</v>
          </cell>
          <cell r="X3583" t="str">
            <v>0</v>
          </cell>
        </row>
        <row r="3584">
          <cell r="I3584" t="str">
            <v>sim</v>
          </cell>
          <cell r="V3584" t="str">
            <v>antonym</v>
          </cell>
          <cell r="W3584">
            <v>1</v>
          </cell>
          <cell r="X3584" t="str">
            <v>intens</v>
          </cell>
        </row>
        <row r="3585">
          <cell r="I3585" t="str">
            <v>sim</v>
          </cell>
          <cell r="V3585" t="str">
            <v>antonym</v>
          </cell>
          <cell r="W3585">
            <v>1</v>
          </cell>
          <cell r="X3585" t="str">
            <v>neg</v>
          </cell>
        </row>
        <row r="3586">
          <cell r="I3586" t="str">
            <v>sim</v>
          </cell>
          <cell r="V3586" t="str">
            <v>not</v>
          </cell>
          <cell r="W3586">
            <v>1</v>
          </cell>
          <cell r="X3586" t="str">
            <v>intens</v>
          </cell>
        </row>
        <row r="3587">
          <cell r="I3587" t="str">
            <v>sim</v>
          </cell>
          <cell r="V3587" t="str">
            <v>not</v>
          </cell>
          <cell r="W3587">
            <v>1</v>
          </cell>
          <cell r="X3587" t="str">
            <v>neg</v>
          </cell>
        </row>
        <row r="3588">
          <cell r="I3588" t="str">
            <v>sim</v>
          </cell>
          <cell r="V3588" t="str">
            <v>not</v>
          </cell>
          <cell r="W3588">
            <v>1</v>
          </cell>
          <cell r="X3588" t="str">
            <v>intens</v>
          </cell>
        </row>
        <row r="3589">
          <cell r="I3589" t="str">
            <v>sim</v>
          </cell>
          <cell r="V3589" t="str">
            <v>not</v>
          </cell>
          <cell r="W3589">
            <v>1</v>
          </cell>
          <cell r="X3589" t="str">
            <v>neg</v>
          </cell>
        </row>
        <row r="3590">
          <cell r="I3590" t="str">
            <v>sim</v>
          </cell>
          <cell r="V3590" t="str">
            <v>not neg pair</v>
          </cell>
          <cell r="W3590">
            <v>0</v>
          </cell>
          <cell r="X3590" t="str">
            <v>0</v>
          </cell>
        </row>
        <row r="3591">
          <cell r="I3591" t="str">
            <v>sim</v>
          </cell>
          <cell r="V3591" t="str">
            <v>not neg pair</v>
          </cell>
          <cell r="W3591">
            <v>0</v>
          </cell>
          <cell r="X3591" t="str">
            <v>0</v>
          </cell>
        </row>
        <row r="3592">
          <cell r="I3592" t="str">
            <v>sim</v>
          </cell>
          <cell r="V3592" t="str">
            <v>not</v>
          </cell>
          <cell r="W3592">
            <v>1</v>
          </cell>
          <cell r="X3592" t="str">
            <v>neg</v>
          </cell>
        </row>
        <row r="3593">
          <cell r="I3593" t="str">
            <v>sim</v>
          </cell>
          <cell r="V3593" t="str">
            <v>not</v>
          </cell>
          <cell r="W3593">
            <v>1</v>
          </cell>
          <cell r="X3593" t="str">
            <v>intens</v>
          </cell>
        </row>
        <row r="3594">
          <cell r="I3594" t="str">
            <v>sim</v>
          </cell>
          <cell r="V3594" t="str">
            <v>not neg pair</v>
          </cell>
          <cell r="W3594">
            <v>0</v>
          </cell>
          <cell r="X3594" t="str">
            <v>0</v>
          </cell>
        </row>
        <row r="3595">
          <cell r="I3595" t="str">
            <v>sim</v>
          </cell>
          <cell r="V3595" t="str">
            <v>not neg pair</v>
          </cell>
          <cell r="W3595">
            <v>0</v>
          </cell>
          <cell r="X3595" t="str">
            <v>0</v>
          </cell>
        </row>
        <row r="3596">
          <cell r="I3596" t="str">
            <v>sim</v>
          </cell>
          <cell r="V3596" t="str">
            <v>antonym</v>
          </cell>
          <cell r="W3596">
            <v>1</v>
          </cell>
          <cell r="X3596" t="str">
            <v>intens</v>
          </cell>
        </row>
        <row r="3597">
          <cell r="I3597" t="str">
            <v>sim</v>
          </cell>
          <cell r="V3597" t="str">
            <v>antonym</v>
          </cell>
          <cell r="W3597">
            <v>1</v>
          </cell>
          <cell r="X3597" t="str">
            <v>neg</v>
          </cell>
        </row>
        <row r="3598">
          <cell r="I3598" t="str">
            <v>sim</v>
          </cell>
          <cell r="V3598" t="str">
            <v>not neg pair</v>
          </cell>
          <cell r="W3598">
            <v>0</v>
          </cell>
          <cell r="X3598" t="str">
            <v>0</v>
          </cell>
        </row>
        <row r="3599">
          <cell r="I3599" t="str">
            <v>sim</v>
          </cell>
          <cell r="V3599" t="str">
            <v>0</v>
          </cell>
          <cell r="W3599">
            <v>0</v>
          </cell>
          <cell r="X3599" t="str">
            <v>0</v>
          </cell>
        </row>
        <row r="3600">
          <cell r="I3600" t="str">
            <v>sim</v>
          </cell>
          <cell r="V3600" t="str">
            <v>not neg pair</v>
          </cell>
          <cell r="W3600">
            <v>0</v>
          </cell>
          <cell r="X3600" t="str">
            <v>0</v>
          </cell>
        </row>
        <row r="3601">
          <cell r="I3601" t="str">
            <v>sim</v>
          </cell>
          <cell r="V3601" t="str">
            <v>not neg pair</v>
          </cell>
          <cell r="W3601">
            <v>0</v>
          </cell>
          <cell r="X3601" t="str">
            <v>0</v>
          </cell>
        </row>
        <row r="3602">
          <cell r="I3602" t="str">
            <v>met</v>
          </cell>
          <cell r="V3602" t="str">
            <v>0</v>
          </cell>
          <cell r="W3602">
            <v>0</v>
          </cell>
          <cell r="X3602" t="str">
            <v>0</v>
          </cell>
        </row>
        <row r="3603">
          <cell r="I3603" t="str">
            <v>met</v>
          </cell>
          <cell r="V3603" t="str">
            <v>0</v>
          </cell>
          <cell r="W3603">
            <v>0</v>
          </cell>
          <cell r="X3603" t="str">
            <v>0</v>
          </cell>
        </row>
        <row r="3604">
          <cell r="I3604" t="str">
            <v>met</v>
          </cell>
          <cell r="V3604" t="str">
            <v>0</v>
          </cell>
          <cell r="W3604">
            <v>0</v>
          </cell>
          <cell r="X3604" t="str">
            <v>0</v>
          </cell>
        </row>
        <row r="3605">
          <cell r="I3605" t="str">
            <v>met</v>
          </cell>
          <cell r="V3605" t="str">
            <v>0</v>
          </cell>
          <cell r="W3605">
            <v>0</v>
          </cell>
          <cell r="X3605" t="str">
            <v>0</v>
          </cell>
        </row>
        <row r="3606">
          <cell r="I3606" t="str">
            <v>sim</v>
          </cell>
          <cell r="V3606" t="str">
            <v>not neg pair</v>
          </cell>
          <cell r="W3606">
            <v>0</v>
          </cell>
          <cell r="X3606" t="str">
            <v>0</v>
          </cell>
        </row>
        <row r="3607">
          <cell r="I3607" t="str">
            <v>sim</v>
          </cell>
          <cell r="V3607" t="str">
            <v>not neg pair</v>
          </cell>
          <cell r="W3607">
            <v>0</v>
          </cell>
          <cell r="X3607" t="str">
            <v>0</v>
          </cell>
        </row>
        <row r="3608">
          <cell r="I3608" t="str">
            <v>sim</v>
          </cell>
          <cell r="V3608" t="str">
            <v>not neg pair</v>
          </cell>
          <cell r="W3608">
            <v>0</v>
          </cell>
          <cell r="X3608" t="str">
            <v>0</v>
          </cell>
        </row>
        <row r="3609">
          <cell r="I3609" t="str">
            <v>sim</v>
          </cell>
          <cell r="V3609" t="str">
            <v>not neg pair</v>
          </cell>
          <cell r="W3609">
            <v>0</v>
          </cell>
          <cell r="X3609" t="str">
            <v>0</v>
          </cell>
        </row>
        <row r="3610">
          <cell r="I3610" t="str">
            <v>sim</v>
          </cell>
          <cell r="V3610" t="str">
            <v>not</v>
          </cell>
          <cell r="W3610">
            <v>1</v>
          </cell>
          <cell r="X3610" t="str">
            <v>intens</v>
          </cell>
        </row>
        <row r="3611">
          <cell r="I3611" t="str">
            <v>sim</v>
          </cell>
          <cell r="V3611" t="str">
            <v>not</v>
          </cell>
          <cell r="W3611">
            <v>1</v>
          </cell>
          <cell r="X3611" t="str">
            <v>neg</v>
          </cell>
        </row>
        <row r="3612">
          <cell r="I3612" t="str">
            <v>sim</v>
          </cell>
          <cell r="V3612" t="str">
            <v>not neg pair</v>
          </cell>
          <cell r="W3612">
            <v>0</v>
          </cell>
          <cell r="X3612" t="str">
            <v>0</v>
          </cell>
        </row>
        <row r="3613">
          <cell r="I3613" t="str">
            <v>sim</v>
          </cell>
          <cell r="V3613" t="str">
            <v>not neg pair</v>
          </cell>
          <cell r="W3613">
            <v>0</v>
          </cell>
          <cell r="X3613" t="str">
            <v>0</v>
          </cell>
        </row>
        <row r="3614">
          <cell r="I3614" t="str">
            <v>sim</v>
          </cell>
          <cell r="V3614" t="str">
            <v>not neg pair</v>
          </cell>
          <cell r="W3614">
            <v>0</v>
          </cell>
          <cell r="X3614" t="str">
            <v>0</v>
          </cell>
        </row>
        <row r="3615">
          <cell r="I3615" t="str">
            <v>sim</v>
          </cell>
          <cell r="V3615" t="str">
            <v>not neg pair</v>
          </cell>
          <cell r="W3615">
            <v>0</v>
          </cell>
          <cell r="X3615" t="str">
            <v>0</v>
          </cell>
        </row>
        <row r="3616">
          <cell r="I3616" t="str">
            <v>sim</v>
          </cell>
          <cell r="V3616" t="str">
            <v>not</v>
          </cell>
          <cell r="W3616">
            <v>1</v>
          </cell>
          <cell r="X3616" t="str">
            <v>intens</v>
          </cell>
        </row>
        <row r="3617">
          <cell r="I3617" t="str">
            <v>sim</v>
          </cell>
          <cell r="V3617" t="str">
            <v>not</v>
          </cell>
          <cell r="W3617">
            <v>1</v>
          </cell>
          <cell r="X3617" t="str">
            <v>neg</v>
          </cell>
        </row>
        <row r="3618">
          <cell r="I3618" t="str">
            <v>sim</v>
          </cell>
          <cell r="V3618" t="str">
            <v>antonym</v>
          </cell>
          <cell r="W3618">
            <v>1</v>
          </cell>
          <cell r="X3618" t="str">
            <v>intens</v>
          </cell>
        </row>
        <row r="3619">
          <cell r="I3619" t="str">
            <v>sim</v>
          </cell>
          <cell r="V3619" t="str">
            <v>antonym</v>
          </cell>
          <cell r="W3619">
            <v>1</v>
          </cell>
          <cell r="X3619" t="str">
            <v>neg</v>
          </cell>
        </row>
        <row r="3620">
          <cell r="I3620" t="str">
            <v>met</v>
          </cell>
          <cell r="V3620" t="str">
            <v>0</v>
          </cell>
          <cell r="W3620">
            <v>0</v>
          </cell>
          <cell r="X3620" t="str">
            <v>0</v>
          </cell>
        </row>
        <row r="3621">
          <cell r="I3621" t="str">
            <v>met</v>
          </cell>
          <cell r="V3621" t="str">
            <v>0</v>
          </cell>
          <cell r="W3621">
            <v>0</v>
          </cell>
          <cell r="X3621" t="str">
            <v>0</v>
          </cell>
        </row>
        <row r="3622">
          <cell r="I3622" t="str">
            <v>met</v>
          </cell>
          <cell r="V3622" t="str">
            <v>0</v>
          </cell>
          <cell r="W3622">
            <v>0</v>
          </cell>
          <cell r="X3622" t="str">
            <v>0</v>
          </cell>
        </row>
        <row r="3623">
          <cell r="I3623" t="str">
            <v>met</v>
          </cell>
          <cell r="V3623" t="str">
            <v>0</v>
          </cell>
          <cell r="W3623">
            <v>0</v>
          </cell>
          <cell r="X3623" t="str">
            <v>0</v>
          </cell>
        </row>
        <row r="3624">
          <cell r="I3624" t="str">
            <v>met</v>
          </cell>
          <cell r="V3624" t="str">
            <v>0</v>
          </cell>
          <cell r="W3624">
            <v>0</v>
          </cell>
          <cell r="X3624" t="str">
            <v>0</v>
          </cell>
        </row>
        <row r="3625">
          <cell r="I3625" t="str">
            <v>met</v>
          </cell>
          <cell r="V3625" t="str">
            <v>0</v>
          </cell>
          <cell r="W3625">
            <v>0</v>
          </cell>
          <cell r="X3625" t="str">
            <v>0</v>
          </cell>
        </row>
        <row r="3626">
          <cell r="I3626" t="str">
            <v>sim</v>
          </cell>
          <cell r="V3626" t="str">
            <v>not neg pair</v>
          </cell>
          <cell r="W3626">
            <v>0</v>
          </cell>
          <cell r="X3626" t="str">
            <v>0</v>
          </cell>
        </row>
        <row r="3627">
          <cell r="I3627" t="str">
            <v>sim</v>
          </cell>
          <cell r="V3627" t="str">
            <v>not neg pair</v>
          </cell>
          <cell r="W3627">
            <v>0</v>
          </cell>
          <cell r="X3627" t="str">
            <v>0</v>
          </cell>
        </row>
        <row r="3628">
          <cell r="I3628" t="str">
            <v>sim</v>
          </cell>
          <cell r="V3628" t="str">
            <v>antonym</v>
          </cell>
          <cell r="W3628">
            <v>1</v>
          </cell>
          <cell r="X3628" t="str">
            <v>intens</v>
          </cell>
        </row>
        <row r="3629">
          <cell r="I3629" t="str">
            <v>sim</v>
          </cell>
          <cell r="V3629" t="str">
            <v>antonym</v>
          </cell>
          <cell r="W3629">
            <v>1</v>
          </cell>
          <cell r="X3629" t="str">
            <v>neg</v>
          </cell>
        </row>
        <row r="3630">
          <cell r="I3630" t="str">
            <v>met</v>
          </cell>
          <cell r="V3630" t="str">
            <v>0</v>
          </cell>
          <cell r="W3630">
            <v>0</v>
          </cell>
          <cell r="X3630" t="str">
            <v>0</v>
          </cell>
        </row>
        <row r="3631">
          <cell r="I3631" t="str">
            <v>met</v>
          </cell>
          <cell r="V3631" t="str">
            <v>0</v>
          </cell>
          <cell r="W3631">
            <v>0</v>
          </cell>
          <cell r="X3631" t="str">
            <v>0</v>
          </cell>
        </row>
        <row r="3632">
          <cell r="I3632" t="str">
            <v>met</v>
          </cell>
          <cell r="V3632" t="str">
            <v>0</v>
          </cell>
          <cell r="W3632">
            <v>0</v>
          </cell>
          <cell r="X3632" t="str">
            <v>0</v>
          </cell>
        </row>
        <row r="3633">
          <cell r="I3633" t="str">
            <v>met</v>
          </cell>
          <cell r="V3633" t="str">
            <v>0</v>
          </cell>
          <cell r="W3633">
            <v>0</v>
          </cell>
          <cell r="X3633" t="str">
            <v>0</v>
          </cell>
        </row>
        <row r="3634">
          <cell r="I3634" t="str">
            <v>sim</v>
          </cell>
          <cell r="V3634" t="str">
            <v>not neg pair</v>
          </cell>
          <cell r="W3634">
            <v>0</v>
          </cell>
          <cell r="X3634" t="str">
            <v>0</v>
          </cell>
        </row>
        <row r="3635">
          <cell r="I3635" t="str">
            <v>sim</v>
          </cell>
          <cell r="V3635" t="str">
            <v>not neg pair</v>
          </cell>
          <cell r="W3635">
            <v>0</v>
          </cell>
          <cell r="X3635" t="str">
            <v>0</v>
          </cell>
        </row>
        <row r="3636">
          <cell r="I3636" t="str">
            <v>sim</v>
          </cell>
          <cell r="V3636" t="str">
            <v>not neg pair</v>
          </cell>
          <cell r="W3636">
            <v>0</v>
          </cell>
          <cell r="X3636" t="str">
            <v>0</v>
          </cell>
        </row>
        <row r="3637">
          <cell r="I3637" t="str">
            <v>sim</v>
          </cell>
          <cell r="V3637" t="str">
            <v>not neg pair</v>
          </cell>
          <cell r="W3637">
            <v>0</v>
          </cell>
          <cell r="X3637" t="str">
            <v>0</v>
          </cell>
        </row>
        <row r="3638">
          <cell r="I3638" t="str">
            <v>sim</v>
          </cell>
          <cell r="V3638" t="str">
            <v>not neg pair</v>
          </cell>
          <cell r="W3638">
            <v>0</v>
          </cell>
          <cell r="X3638" t="str">
            <v>0</v>
          </cell>
        </row>
        <row r="3639">
          <cell r="I3639" t="str">
            <v>sim</v>
          </cell>
          <cell r="V3639" t="str">
            <v>not neg pair</v>
          </cell>
          <cell r="W3639">
            <v>0</v>
          </cell>
          <cell r="X3639" t="str">
            <v>0</v>
          </cell>
        </row>
        <row r="3640">
          <cell r="I3640" t="str">
            <v>met</v>
          </cell>
          <cell r="V3640" t="str">
            <v>0</v>
          </cell>
          <cell r="W3640">
            <v>0</v>
          </cell>
          <cell r="X3640" t="str">
            <v>0</v>
          </cell>
        </row>
        <row r="3641">
          <cell r="I3641" t="str">
            <v>met</v>
          </cell>
          <cell r="V3641" t="str">
            <v>0</v>
          </cell>
          <cell r="W3641">
            <v>0</v>
          </cell>
          <cell r="X3641" t="str">
            <v>0</v>
          </cell>
        </row>
        <row r="3642">
          <cell r="I3642" t="str">
            <v>met</v>
          </cell>
          <cell r="V3642" t="str">
            <v>0</v>
          </cell>
          <cell r="W3642">
            <v>0</v>
          </cell>
          <cell r="X3642" t="str">
            <v>0</v>
          </cell>
        </row>
        <row r="3643">
          <cell r="I3643" t="str">
            <v>met</v>
          </cell>
          <cell r="V3643" t="str">
            <v>0</v>
          </cell>
          <cell r="W3643">
            <v>0</v>
          </cell>
          <cell r="X3643" t="str">
            <v>0</v>
          </cell>
        </row>
        <row r="3644">
          <cell r="I3644" t="str">
            <v>met</v>
          </cell>
          <cell r="V3644" t="str">
            <v>0</v>
          </cell>
          <cell r="W3644">
            <v>0</v>
          </cell>
          <cell r="X3644" t="str">
            <v>0</v>
          </cell>
        </row>
        <row r="3645">
          <cell r="I3645" t="str">
            <v>met</v>
          </cell>
          <cell r="V3645" t="str">
            <v>0</v>
          </cell>
          <cell r="W3645">
            <v>0</v>
          </cell>
          <cell r="X3645" t="str">
            <v>0</v>
          </cell>
        </row>
        <row r="3646">
          <cell r="I3646" t="str">
            <v>met</v>
          </cell>
          <cell r="V3646" t="str">
            <v>0</v>
          </cell>
          <cell r="W3646">
            <v>0</v>
          </cell>
          <cell r="X3646" t="str">
            <v>0</v>
          </cell>
        </row>
        <row r="3647">
          <cell r="I3647" t="str">
            <v>met</v>
          </cell>
          <cell r="V3647" t="str">
            <v>0</v>
          </cell>
          <cell r="W3647">
            <v>0</v>
          </cell>
          <cell r="X3647" t="str">
            <v>0</v>
          </cell>
        </row>
        <row r="3648">
          <cell r="I3648" t="str">
            <v>met</v>
          </cell>
          <cell r="V3648" t="str">
            <v>0</v>
          </cell>
          <cell r="W3648">
            <v>0</v>
          </cell>
          <cell r="X3648" t="str">
            <v>0</v>
          </cell>
        </row>
        <row r="3649">
          <cell r="I3649" t="str">
            <v>met</v>
          </cell>
          <cell r="V3649" t="str">
            <v>0</v>
          </cell>
          <cell r="W3649">
            <v>0</v>
          </cell>
          <cell r="X3649" t="str">
            <v>0</v>
          </cell>
        </row>
        <row r="3650">
          <cell r="I3650" t="str">
            <v>met</v>
          </cell>
          <cell r="V3650" t="str">
            <v>0</v>
          </cell>
          <cell r="W3650">
            <v>0</v>
          </cell>
          <cell r="X3650" t="str">
            <v>0</v>
          </cell>
        </row>
        <row r="3651">
          <cell r="I3651" t="str">
            <v>met</v>
          </cell>
          <cell r="V3651" t="str">
            <v>0</v>
          </cell>
          <cell r="W3651">
            <v>0</v>
          </cell>
          <cell r="X3651" t="str">
            <v>0</v>
          </cell>
        </row>
        <row r="3652">
          <cell r="I3652" t="str">
            <v>met</v>
          </cell>
          <cell r="V3652" t="str">
            <v>0</v>
          </cell>
          <cell r="W3652">
            <v>0</v>
          </cell>
          <cell r="X3652" t="str">
            <v>0</v>
          </cell>
        </row>
        <row r="3653">
          <cell r="I3653" t="str">
            <v>met</v>
          </cell>
          <cell r="V3653" t="str">
            <v>0</v>
          </cell>
          <cell r="W3653">
            <v>0</v>
          </cell>
          <cell r="X3653" t="str">
            <v>0</v>
          </cell>
        </row>
        <row r="3654">
          <cell r="I3654" t="str">
            <v>sim</v>
          </cell>
          <cell r="V3654" t="str">
            <v>not</v>
          </cell>
          <cell r="W3654">
            <v>1</v>
          </cell>
          <cell r="X3654" t="str">
            <v>neg</v>
          </cell>
        </row>
        <row r="3655">
          <cell r="I3655" t="str">
            <v>sim</v>
          </cell>
          <cell r="V3655" t="str">
            <v>not</v>
          </cell>
          <cell r="W3655">
            <v>1</v>
          </cell>
          <cell r="X3655" t="str">
            <v>intens</v>
          </cell>
        </row>
        <row r="3656">
          <cell r="I3656" t="str">
            <v>sim</v>
          </cell>
          <cell r="V3656" t="str">
            <v>not</v>
          </cell>
          <cell r="W3656">
            <v>1</v>
          </cell>
          <cell r="X3656" t="str">
            <v>neg</v>
          </cell>
        </row>
        <row r="3657">
          <cell r="I3657" t="str">
            <v>sim</v>
          </cell>
          <cell r="V3657" t="str">
            <v>not</v>
          </cell>
          <cell r="W3657">
            <v>1</v>
          </cell>
          <cell r="X3657" t="str">
            <v>intens</v>
          </cell>
        </row>
        <row r="3658">
          <cell r="I3658" t="str">
            <v>sim</v>
          </cell>
          <cell r="V3658" t="str">
            <v>not neg pair</v>
          </cell>
          <cell r="W3658">
            <v>0</v>
          </cell>
          <cell r="X3658" t="str">
            <v>0</v>
          </cell>
        </row>
        <row r="3659">
          <cell r="I3659" t="str">
            <v>sim</v>
          </cell>
          <cell r="V3659" t="str">
            <v>not neg pair</v>
          </cell>
          <cell r="W3659">
            <v>0</v>
          </cell>
          <cell r="X3659" t="str">
            <v>0</v>
          </cell>
        </row>
        <row r="3660">
          <cell r="I3660" t="str">
            <v>sim</v>
          </cell>
          <cell r="V3660" t="str">
            <v>not neg pair</v>
          </cell>
          <cell r="W3660">
            <v>0</v>
          </cell>
          <cell r="X3660" t="str">
            <v>0</v>
          </cell>
        </row>
        <row r="3661">
          <cell r="I3661" t="str">
            <v>sim</v>
          </cell>
          <cell r="V3661" t="str">
            <v>not neg pair</v>
          </cell>
          <cell r="W3661">
            <v>0</v>
          </cell>
          <cell r="X3661" t="str">
            <v>0</v>
          </cell>
        </row>
        <row r="3662">
          <cell r="I3662" t="str">
            <v>sim</v>
          </cell>
          <cell r="V3662" t="str">
            <v>not neg pair</v>
          </cell>
          <cell r="W3662">
            <v>0</v>
          </cell>
          <cell r="X3662" t="str">
            <v>0</v>
          </cell>
        </row>
        <row r="3663">
          <cell r="I3663" t="str">
            <v>sim</v>
          </cell>
          <cell r="V3663" t="str">
            <v>not neg pair</v>
          </cell>
          <cell r="W3663">
            <v>0</v>
          </cell>
          <cell r="X3663" t="str">
            <v>0</v>
          </cell>
        </row>
        <row r="3664">
          <cell r="I3664" t="str">
            <v>sim</v>
          </cell>
          <cell r="V3664" t="str">
            <v>not neg pair</v>
          </cell>
          <cell r="W3664">
            <v>0</v>
          </cell>
          <cell r="X3664" t="str">
            <v>0</v>
          </cell>
        </row>
        <row r="3665">
          <cell r="I3665" t="str">
            <v>sim</v>
          </cell>
          <cell r="V3665" t="str">
            <v>not neg pair</v>
          </cell>
          <cell r="W3665">
            <v>0</v>
          </cell>
          <cell r="X3665" t="str">
            <v>0</v>
          </cell>
        </row>
        <row r="3666">
          <cell r="I3666" t="str">
            <v>met</v>
          </cell>
          <cell r="V3666" t="str">
            <v>0</v>
          </cell>
          <cell r="W3666">
            <v>0</v>
          </cell>
          <cell r="X3666" t="str">
            <v>0</v>
          </cell>
        </row>
        <row r="3667">
          <cell r="I3667" t="str">
            <v>met</v>
          </cell>
          <cell r="V3667" t="str">
            <v>0</v>
          </cell>
          <cell r="W3667">
            <v>0</v>
          </cell>
          <cell r="X3667" t="str">
            <v>0</v>
          </cell>
        </row>
        <row r="3668">
          <cell r="I3668" t="str">
            <v>sim</v>
          </cell>
          <cell r="V3668" t="str">
            <v>not neg pair</v>
          </cell>
          <cell r="W3668">
            <v>0</v>
          </cell>
          <cell r="X3668" t="str">
            <v>0</v>
          </cell>
        </row>
        <row r="3669">
          <cell r="I3669" t="str">
            <v>sim</v>
          </cell>
          <cell r="V3669" t="str">
            <v>not neg pair</v>
          </cell>
          <cell r="W3669">
            <v>0</v>
          </cell>
          <cell r="X3669" t="str">
            <v>0</v>
          </cell>
        </row>
        <row r="3670">
          <cell r="I3670" t="str">
            <v>sim</v>
          </cell>
          <cell r="V3670" t="str">
            <v>not neg pair</v>
          </cell>
          <cell r="W3670">
            <v>0</v>
          </cell>
          <cell r="X3670" t="str">
            <v>0</v>
          </cell>
        </row>
        <row r="3671">
          <cell r="I3671" t="str">
            <v>sim</v>
          </cell>
          <cell r="V3671" t="str">
            <v>not neg pair</v>
          </cell>
          <cell r="W3671">
            <v>0</v>
          </cell>
          <cell r="X3671" t="str">
            <v>0</v>
          </cell>
        </row>
        <row r="3672">
          <cell r="I3672" t="str">
            <v>sim</v>
          </cell>
          <cell r="V3672" t="str">
            <v>not</v>
          </cell>
          <cell r="W3672">
            <v>1</v>
          </cell>
          <cell r="X3672" t="str">
            <v>neg</v>
          </cell>
        </row>
        <row r="3673">
          <cell r="I3673" t="str">
            <v>sim</v>
          </cell>
          <cell r="V3673" t="str">
            <v>not</v>
          </cell>
          <cell r="W3673">
            <v>1</v>
          </cell>
          <cell r="X3673" t="str">
            <v>intens</v>
          </cell>
        </row>
        <row r="3674">
          <cell r="I3674" t="str">
            <v>sim</v>
          </cell>
          <cell r="V3674" t="str">
            <v>not</v>
          </cell>
          <cell r="W3674">
            <v>1</v>
          </cell>
          <cell r="X3674" t="str">
            <v>intens</v>
          </cell>
        </row>
        <row r="3675">
          <cell r="I3675" t="str">
            <v>sim</v>
          </cell>
          <cell r="V3675" t="str">
            <v>not</v>
          </cell>
          <cell r="W3675">
            <v>1</v>
          </cell>
          <cell r="X3675" t="str">
            <v>neg</v>
          </cell>
        </row>
        <row r="3676">
          <cell r="I3676" t="str">
            <v>met</v>
          </cell>
          <cell r="V3676" t="str">
            <v>0</v>
          </cell>
          <cell r="W3676">
            <v>0</v>
          </cell>
          <cell r="X3676" t="str">
            <v>0</v>
          </cell>
        </row>
        <row r="3677">
          <cell r="I3677" t="str">
            <v>met</v>
          </cell>
          <cell r="V3677" t="str">
            <v>0</v>
          </cell>
          <cell r="W3677">
            <v>0</v>
          </cell>
          <cell r="X3677" t="str">
            <v>0</v>
          </cell>
        </row>
        <row r="3678">
          <cell r="I3678" t="str">
            <v>sim</v>
          </cell>
          <cell r="V3678" t="str">
            <v>not neg pair</v>
          </cell>
          <cell r="W3678">
            <v>0</v>
          </cell>
          <cell r="X3678" t="str">
            <v>0</v>
          </cell>
        </row>
        <row r="3679">
          <cell r="I3679" t="str">
            <v>sim</v>
          </cell>
          <cell r="V3679" t="str">
            <v>not neg pair</v>
          </cell>
          <cell r="W3679">
            <v>0</v>
          </cell>
          <cell r="X3679" t="str">
            <v>0</v>
          </cell>
        </row>
        <row r="3680">
          <cell r="I3680" t="str">
            <v>sim</v>
          </cell>
          <cell r="V3680" t="str">
            <v>not neg pair</v>
          </cell>
          <cell r="W3680">
            <v>0</v>
          </cell>
          <cell r="X3680" t="str">
            <v>0</v>
          </cell>
        </row>
        <row r="3681">
          <cell r="I3681" t="str">
            <v>sim</v>
          </cell>
          <cell r="V3681" t="str">
            <v>not neg pair</v>
          </cell>
          <cell r="W3681">
            <v>0</v>
          </cell>
          <cell r="X3681" t="str">
            <v>0</v>
          </cell>
        </row>
        <row r="3682">
          <cell r="I3682" t="str">
            <v>sim</v>
          </cell>
          <cell r="V3682" t="str">
            <v>not neg pair</v>
          </cell>
          <cell r="W3682">
            <v>0</v>
          </cell>
          <cell r="X3682" t="str">
            <v>0</v>
          </cell>
        </row>
        <row r="3683">
          <cell r="I3683" t="str">
            <v>sim</v>
          </cell>
          <cell r="V3683" t="str">
            <v>not neg pair</v>
          </cell>
          <cell r="W3683">
            <v>0</v>
          </cell>
          <cell r="X3683" t="str">
            <v>0</v>
          </cell>
        </row>
        <row r="3684">
          <cell r="I3684" t="str">
            <v>sim</v>
          </cell>
          <cell r="V3684" t="str">
            <v>not</v>
          </cell>
          <cell r="W3684">
            <v>1</v>
          </cell>
          <cell r="X3684" t="str">
            <v>intens</v>
          </cell>
        </row>
        <row r="3685">
          <cell r="I3685" t="str">
            <v>sim</v>
          </cell>
          <cell r="V3685" t="str">
            <v>not</v>
          </cell>
          <cell r="W3685">
            <v>1</v>
          </cell>
          <cell r="X3685" t="str">
            <v>neg</v>
          </cell>
        </row>
        <row r="3686">
          <cell r="I3686" t="str">
            <v>sim</v>
          </cell>
          <cell r="V3686" t="str">
            <v>antonym</v>
          </cell>
          <cell r="W3686">
            <v>1</v>
          </cell>
          <cell r="X3686" t="str">
            <v>intens</v>
          </cell>
        </row>
        <row r="3687">
          <cell r="I3687" t="str">
            <v>sim</v>
          </cell>
          <cell r="V3687" t="str">
            <v>antonym</v>
          </cell>
          <cell r="W3687">
            <v>1</v>
          </cell>
          <cell r="X3687" t="str">
            <v>neg</v>
          </cell>
        </row>
        <row r="3688">
          <cell r="I3688" t="str">
            <v>met</v>
          </cell>
          <cell r="V3688" t="str">
            <v>0</v>
          </cell>
          <cell r="W3688">
            <v>0</v>
          </cell>
          <cell r="X3688" t="str">
            <v>0</v>
          </cell>
        </row>
        <row r="3689">
          <cell r="I3689" t="str">
            <v>met</v>
          </cell>
          <cell r="V3689" t="str">
            <v>0</v>
          </cell>
          <cell r="W3689">
            <v>0</v>
          </cell>
          <cell r="X3689" t="str">
            <v>0</v>
          </cell>
        </row>
        <row r="3690">
          <cell r="I3690" t="str">
            <v>sim</v>
          </cell>
          <cell r="V3690" t="str">
            <v>not neg pair</v>
          </cell>
          <cell r="W3690">
            <v>0</v>
          </cell>
          <cell r="X3690" t="str">
            <v>0</v>
          </cell>
        </row>
        <row r="3691">
          <cell r="I3691" t="str">
            <v>sim</v>
          </cell>
          <cell r="V3691" t="str">
            <v>not neg pair</v>
          </cell>
          <cell r="W3691">
            <v>0</v>
          </cell>
          <cell r="X3691" t="str">
            <v>0</v>
          </cell>
        </row>
        <row r="3692">
          <cell r="I3692" t="str">
            <v>met</v>
          </cell>
          <cell r="V3692" t="str">
            <v>0</v>
          </cell>
          <cell r="W3692">
            <v>0</v>
          </cell>
          <cell r="X3692" t="str">
            <v>0</v>
          </cell>
        </row>
        <row r="3693">
          <cell r="I3693" t="str">
            <v>sim</v>
          </cell>
          <cell r="V3693" t="str">
            <v>not neg pair</v>
          </cell>
          <cell r="W3693">
            <v>0</v>
          </cell>
          <cell r="X3693" t="str">
            <v>0</v>
          </cell>
        </row>
        <row r="3694">
          <cell r="I3694" t="str">
            <v>sim</v>
          </cell>
          <cell r="V3694" t="str">
            <v>not</v>
          </cell>
          <cell r="W3694">
            <v>1</v>
          </cell>
          <cell r="X3694" t="str">
            <v>neg</v>
          </cell>
        </row>
        <row r="3695">
          <cell r="I3695" t="str">
            <v>sim</v>
          </cell>
          <cell r="V3695" t="str">
            <v>not</v>
          </cell>
          <cell r="W3695">
            <v>1</v>
          </cell>
          <cell r="X3695" t="str">
            <v>intens</v>
          </cell>
        </row>
        <row r="3696">
          <cell r="I3696" t="str">
            <v>sim</v>
          </cell>
          <cell r="V3696" t="str">
            <v>not</v>
          </cell>
          <cell r="W3696">
            <v>1</v>
          </cell>
          <cell r="X3696" t="str">
            <v>neg</v>
          </cell>
        </row>
        <row r="3697">
          <cell r="I3697" t="str">
            <v>sim</v>
          </cell>
          <cell r="V3697" t="str">
            <v>not</v>
          </cell>
          <cell r="W3697">
            <v>1</v>
          </cell>
          <cell r="X3697" t="str">
            <v>intens</v>
          </cell>
        </row>
        <row r="3698">
          <cell r="I3698" t="str">
            <v>sim</v>
          </cell>
          <cell r="V3698" t="str">
            <v>not neg pair</v>
          </cell>
          <cell r="W3698">
            <v>0</v>
          </cell>
          <cell r="X3698" t="str">
            <v>0</v>
          </cell>
        </row>
        <row r="3699">
          <cell r="I3699" t="str">
            <v>sim</v>
          </cell>
          <cell r="V3699" t="str">
            <v>not neg pair</v>
          </cell>
          <cell r="W3699">
            <v>0</v>
          </cell>
          <cell r="X3699" t="str">
            <v>0</v>
          </cell>
        </row>
        <row r="3700">
          <cell r="I3700" t="str">
            <v>met</v>
          </cell>
          <cell r="V3700" t="str">
            <v>0</v>
          </cell>
          <cell r="W3700">
            <v>0</v>
          </cell>
          <cell r="X3700" t="str">
            <v>0</v>
          </cell>
        </row>
        <row r="3701">
          <cell r="I3701" t="str">
            <v>met</v>
          </cell>
          <cell r="V3701" t="str">
            <v>0</v>
          </cell>
          <cell r="W3701">
            <v>0</v>
          </cell>
          <cell r="X3701" t="str">
            <v>0</v>
          </cell>
        </row>
        <row r="3702">
          <cell r="I3702" t="str">
            <v>sim</v>
          </cell>
          <cell r="V3702" t="str">
            <v>not neg pair</v>
          </cell>
          <cell r="W3702">
            <v>0</v>
          </cell>
          <cell r="X3702" t="str">
            <v>0</v>
          </cell>
        </row>
        <row r="3703">
          <cell r="I3703" t="str">
            <v>sim</v>
          </cell>
          <cell r="V3703" t="str">
            <v>not neg pair</v>
          </cell>
          <cell r="W3703">
            <v>0</v>
          </cell>
          <cell r="X3703" t="str">
            <v>0</v>
          </cell>
        </row>
        <row r="3704">
          <cell r="I3704" t="str">
            <v>sim</v>
          </cell>
          <cell r="V3704" t="str">
            <v>not neg pair</v>
          </cell>
          <cell r="W3704">
            <v>0</v>
          </cell>
          <cell r="X3704" t="str">
            <v>0</v>
          </cell>
        </row>
        <row r="3705">
          <cell r="I3705" t="str">
            <v>sim</v>
          </cell>
          <cell r="V3705" t="str">
            <v>not neg pair</v>
          </cell>
          <cell r="W3705">
            <v>0</v>
          </cell>
          <cell r="X3705" t="str">
            <v>0</v>
          </cell>
        </row>
        <row r="3706">
          <cell r="I3706" t="str">
            <v>sim</v>
          </cell>
          <cell r="V3706" t="str">
            <v>not</v>
          </cell>
          <cell r="W3706">
            <v>1</v>
          </cell>
          <cell r="X3706" t="str">
            <v>intens</v>
          </cell>
        </row>
        <row r="3707">
          <cell r="I3707" t="str">
            <v>sim</v>
          </cell>
          <cell r="V3707" t="str">
            <v>not</v>
          </cell>
          <cell r="W3707">
            <v>1</v>
          </cell>
          <cell r="X3707" t="str">
            <v>neg</v>
          </cell>
        </row>
        <row r="3708">
          <cell r="I3708" t="str">
            <v>sim</v>
          </cell>
          <cell r="V3708" t="str">
            <v>not</v>
          </cell>
          <cell r="W3708">
            <v>1</v>
          </cell>
          <cell r="X3708" t="str">
            <v>neg</v>
          </cell>
        </row>
        <row r="3709">
          <cell r="I3709" t="str">
            <v>sim</v>
          </cell>
          <cell r="V3709" t="str">
            <v>not</v>
          </cell>
          <cell r="W3709">
            <v>1</v>
          </cell>
          <cell r="X3709" t="str">
            <v>intens</v>
          </cell>
        </row>
        <row r="3710">
          <cell r="I3710" t="str">
            <v>sim</v>
          </cell>
          <cell r="V3710" t="str">
            <v>antonym</v>
          </cell>
          <cell r="W3710">
            <v>1</v>
          </cell>
          <cell r="X3710" t="str">
            <v>intens</v>
          </cell>
        </row>
        <row r="3711">
          <cell r="I3711" t="str">
            <v>sim</v>
          </cell>
          <cell r="V3711" t="str">
            <v>antonym</v>
          </cell>
          <cell r="W3711">
            <v>1</v>
          </cell>
          <cell r="X3711" t="str">
            <v>neg</v>
          </cell>
        </row>
        <row r="3712">
          <cell r="I3712" t="str">
            <v>sim</v>
          </cell>
          <cell r="V3712" t="str">
            <v>antonym</v>
          </cell>
          <cell r="W3712">
            <v>1</v>
          </cell>
          <cell r="X3712" t="str">
            <v>intens</v>
          </cell>
        </row>
        <row r="3713">
          <cell r="I3713" t="str">
            <v>sim</v>
          </cell>
          <cell r="V3713" t="str">
            <v>antonym</v>
          </cell>
          <cell r="W3713">
            <v>1</v>
          </cell>
          <cell r="X3713" t="str">
            <v>neg</v>
          </cell>
        </row>
        <row r="3714">
          <cell r="I3714" t="str">
            <v>sim</v>
          </cell>
          <cell r="V3714" t="str">
            <v>not</v>
          </cell>
          <cell r="W3714">
            <v>1</v>
          </cell>
          <cell r="X3714" t="str">
            <v>intens</v>
          </cell>
        </row>
        <row r="3715">
          <cell r="I3715" t="str">
            <v>sim</v>
          </cell>
          <cell r="V3715" t="str">
            <v>not</v>
          </cell>
          <cell r="W3715">
            <v>1</v>
          </cell>
          <cell r="X3715" t="str">
            <v>neg</v>
          </cell>
        </row>
        <row r="3716">
          <cell r="I3716" t="str">
            <v>sim</v>
          </cell>
          <cell r="V3716" t="str">
            <v>not</v>
          </cell>
          <cell r="W3716">
            <v>1</v>
          </cell>
          <cell r="X3716" t="str">
            <v>intens</v>
          </cell>
        </row>
        <row r="3717">
          <cell r="I3717" t="str">
            <v>sim</v>
          </cell>
          <cell r="V3717" t="str">
            <v>not</v>
          </cell>
          <cell r="W3717">
            <v>1</v>
          </cell>
          <cell r="X3717" t="str">
            <v>neg</v>
          </cell>
        </row>
        <row r="3718">
          <cell r="I3718" t="str">
            <v>met</v>
          </cell>
          <cell r="V3718" t="str">
            <v>0</v>
          </cell>
          <cell r="W3718">
            <v>0</v>
          </cell>
          <cell r="X3718" t="str">
            <v>0</v>
          </cell>
        </row>
        <row r="3719">
          <cell r="I3719" t="str">
            <v>met</v>
          </cell>
          <cell r="V3719" t="str">
            <v>0</v>
          </cell>
          <cell r="W3719">
            <v>0</v>
          </cell>
          <cell r="X3719" t="str">
            <v>0</v>
          </cell>
        </row>
        <row r="3720">
          <cell r="I3720" t="str">
            <v>met</v>
          </cell>
          <cell r="V3720" t="str">
            <v>0</v>
          </cell>
          <cell r="W3720">
            <v>0</v>
          </cell>
          <cell r="X3720" t="str">
            <v>0</v>
          </cell>
        </row>
        <row r="3721">
          <cell r="I3721" t="str">
            <v>met</v>
          </cell>
          <cell r="V3721" t="str">
            <v>0</v>
          </cell>
          <cell r="W3721">
            <v>0</v>
          </cell>
          <cell r="X3721" t="str">
            <v>0</v>
          </cell>
        </row>
        <row r="3722">
          <cell r="I3722" t="str">
            <v>sim</v>
          </cell>
          <cell r="V3722" t="str">
            <v>not neg pair</v>
          </cell>
          <cell r="W3722">
            <v>0</v>
          </cell>
          <cell r="X3722" t="str">
            <v>0</v>
          </cell>
        </row>
        <row r="3723">
          <cell r="I3723" t="str">
            <v>met</v>
          </cell>
          <cell r="V3723" t="str">
            <v>0</v>
          </cell>
          <cell r="W3723">
            <v>0</v>
          </cell>
          <cell r="X3723" t="str">
            <v>0</v>
          </cell>
        </row>
        <row r="3724">
          <cell r="I3724" t="str">
            <v>sim</v>
          </cell>
          <cell r="V3724" t="str">
            <v>not neg pair</v>
          </cell>
          <cell r="W3724">
            <v>0</v>
          </cell>
          <cell r="X3724" t="str">
            <v>0</v>
          </cell>
        </row>
        <row r="3725">
          <cell r="I3725" t="str">
            <v>sim</v>
          </cell>
          <cell r="V3725" t="str">
            <v>not neg pair</v>
          </cell>
          <cell r="W3725">
            <v>0</v>
          </cell>
          <cell r="X3725" t="str">
            <v>0</v>
          </cell>
        </row>
        <row r="3726">
          <cell r="I3726" t="str">
            <v>sim</v>
          </cell>
          <cell r="V3726" t="str">
            <v>not neg pair</v>
          </cell>
          <cell r="W3726">
            <v>0</v>
          </cell>
          <cell r="X3726" t="str">
            <v>0</v>
          </cell>
        </row>
        <row r="3727">
          <cell r="I3727" t="str">
            <v>sim</v>
          </cell>
          <cell r="V3727" t="str">
            <v>not neg pair</v>
          </cell>
          <cell r="W3727">
            <v>0</v>
          </cell>
          <cell r="X3727" t="str">
            <v>0</v>
          </cell>
        </row>
        <row r="3728">
          <cell r="I3728" t="str">
            <v>sim</v>
          </cell>
          <cell r="V3728" t="str">
            <v>not neg pair</v>
          </cell>
          <cell r="W3728">
            <v>0</v>
          </cell>
          <cell r="X3728" t="str">
            <v>0</v>
          </cell>
        </row>
        <row r="3729">
          <cell r="I3729" t="str">
            <v>sim</v>
          </cell>
          <cell r="V3729" t="str">
            <v>not neg pair</v>
          </cell>
          <cell r="W3729">
            <v>0</v>
          </cell>
          <cell r="X3729" t="str">
            <v>0</v>
          </cell>
        </row>
        <row r="3730">
          <cell r="I3730" t="str">
            <v>met</v>
          </cell>
          <cell r="V3730" t="str">
            <v>0</v>
          </cell>
          <cell r="W3730">
            <v>0</v>
          </cell>
          <cell r="X3730" t="str">
            <v>0</v>
          </cell>
        </row>
        <row r="3731">
          <cell r="I3731" t="str">
            <v>met</v>
          </cell>
          <cell r="V3731" t="str">
            <v>0</v>
          </cell>
          <cell r="W3731">
            <v>0</v>
          </cell>
          <cell r="X3731" t="str">
            <v>0</v>
          </cell>
        </row>
        <row r="3732">
          <cell r="I3732" t="str">
            <v>sim</v>
          </cell>
          <cell r="V3732" t="str">
            <v>not</v>
          </cell>
          <cell r="W3732">
            <v>1</v>
          </cell>
          <cell r="X3732" t="str">
            <v>intens</v>
          </cell>
        </row>
        <row r="3733">
          <cell r="I3733" t="str">
            <v>sim</v>
          </cell>
          <cell r="V3733" t="str">
            <v>not</v>
          </cell>
          <cell r="W3733">
            <v>1</v>
          </cell>
          <cell r="X3733" t="str">
            <v>neg</v>
          </cell>
        </row>
        <row r="3734">
          <cell r="I3734" t="str">
            <v>sim</v>
          </cell>
          <cell r="V3734" t="str">
            <v>not</v>
          </cell>
          <cell r="W3734">
            <v>1</v>
          </cell>
          <cell r="X3734" t="str">
            <v>intens</v>
          </cell>
        </row>
        <row r="3735">
          <cell r="I3735" t="str">
            <v>sim</v>
          </cell>
          <cell r="V3735" t="str">
            <v>not</v>
          </cell>
          <cell r="W3735">
            <v>1</v>
          </cell>
          <cell r="X3735" t="str">
            <v>neg</v>
          </cell>
        </row>
        <row r="3736">
          <cell r="I3736" t="str">
            <v>sim</v>
          </cell>
          <cell r="V3736" t="str">
            <v>antonym</v>
          </cell>
          <cell r="W3736">
            <v>1</v>
          </cell>
          <cell r="X3736" t="str">
            <v>intens</v>
          </cell>
        </row>
        <row r="3737">
          <cell r="I3737" t="str">
            <v>sim</v>
          </cell>
          <cell r="V3737" t="str">
            <v>antonym</v>
          </cell>
          <cell r="W3737">
            <v>1</v>
          </cell>
          <cell r="X3737" t="str">
            <v>neg</v>
          </cell>
        </row>
        <row r="3738">
          <cell r="I3738" t="str">
            <v>sim</v>
          </cell>
          <cell r="V3738" t="str">
            <v>not</v>
          </cell>
          <cell r="W3738">
            <v>1</v>
          </cell>
          <cell r="X3738" t="str">
            <v>intens</v>
          </cell>
        </row>
        <row r="3739">
          <cell r="I3739" t="str">
            <v>sim</v>
          </cell>
          <cell r="V3739" t="str">
            <v>not</v>
          </cell>
          <cell r="W3739">
            <v>1</v>
          </cell>
          <cell r="X3739" t="str">
            <v>neg</v>
          </cell>
        </row>
        <row r="3740">
          <cell r="I3740" t="str">
            <v>sim</v>
          </cell>
          <cell r="V3740" t="str">
            <v>not neg pair</v>
          </cell>
          <cell r="W3740">
            <v>0</v>
          </cell>
          <cell r="X3740" t="str">
            <v>0</v>
          </cell>
        </row>
        <row r="3741">
          <cell r="I3741" t="str">
            <v>sim</v>
          </cell>
          <cell r="V3741" t="str">
            <v>not neg pair</v>
          </cell>
          <cell r="W3741">
            <v>0</v>
          </cell>
          <cell r="X3741" t="str">
            <v>0</v>
          </cell>
        </row>
        <row r="3742">
          <cell r="I3742" t="str">
            <v>sim</v>
          </cell>
          <cell r="V3742" t="str">
            <v>not neg pair</v>
          </cell>
          <cell r="W3742">
            <v>0</v>
          </cell>
          <cell r="X3742" t="str">
            <v>0</v>
          </cell>
        </row>
        <row r="3743">
          <cell r="I3743" t="str">
            <v>sim</v>
          </cell>
          <cell r="V3743" t="str">
            <v>not neg pair</v>
          </cell>
          <cell r="W3743">
            <v>0</v>
          </cell>
          <cell r="X3743" t="str">
            <v>0</v>
          </cell>
        </row>
        <row r="3744">
          <cell r="I3744" t="str">
            <v>met</v>
          </cell>
          <cell r="V3744" t="str">
            <v>0</v>
          </cell>
          <cell r="W3744">
            <v>0</v>
          </cell>
          <cell r="X3744" t="str">
            <v>0</v>
          </cell>
        </row>
        <row r="3745">
          <cell r="I3745" t="str">
            <v>met</v>
          </cell>
          <cell r="V3745" t="str">
            <v>0</v>
          </cell>
          <cell r="W3745">
            <v>0</v>
          </cell>
          <cell r="X3745" t="str">
            <v>0</v>
          </cell>
        </row>
        <row r="3746">
          <cell r="I3746" t="str">
            <v>sim</v>
          </cell>
          <cell r="V3746" t="str">
            <v>antonym</v>
          </cell>
          <cell r="W3746">
            <v>1</v>
          </cell>
          <cell r="X3746" t="str">
            <v>intens</v>
          </cell>
        </row>
        <row r="3747">
          <cell r="I3747" t="str">
            <v>sim</v>
          </cell>
          <cell r="V3747" t="str">
            <v>antonym</v>
          </cell>
          <cell r="W3747">
            <v>1</v>
          </cell>
          <cell r="X3747" t="str">
            <v>neg</v>
          </cell>
        </row>
        <row r="3748">
          <cell r="I3748" t="str">
            <v>sim</v>
          </cell>
          <cell r="V3748" t="str">
            <v>not</v>
          </cell>
          <cell r="W3748">
            <v>1</v>
          </cell>
          <cell r="X3748" t="str">
            <v>neg</v>
          </cell>
        </row>
        <row r="3749">
          <cell r="I3749" t="str">
            <v>sim</v>
          </cell>
          <cell r="V3749" t="str">
            <v>not</v>
          </cell>
          <cell r="W3749">
            <v>1</v>
          </cell>
          <cell r="X3749" t="str">
            <v>intens</v>
          </cell>
        </row>
        <row r="3750">
          <cell r="I3750" t="str">
            <v>sim</v>
          </cell>
          <cell r="V3750" t="str">
            <v>not</v>
          </cell>
          <cell r="W3750">
            <v>1</v>
          </cell>
          <cell r="X3750" t="str">
            <v>intens</v>
          </cell>
        </row>
        <row r="3751">
          <cell r="I3751" t="str">
            <v>sim</v>
          </cell>
          <cell r="V3751" t="str">
            <v>not</v>
          </cell>
          <cell r="W3751">
            <v>1</v>
          </cell>
          <cell r="X3751" t="str">
            <v>neg</v>
          </cell>
        </row>
        <row r="3752">
          <cell r="I3752" t="str">
            <v>sim</v>
          </cell>
          <cell r="V3752" t="str">
            <v>not</v>
          </cell>
          <cell r="W3752">
            <v>1</v>
          </cell>
          <cell r="X3752" t="str">
            <v>intens</v>
          </cell>
        </row>
        <row r="3753">
          <cell r="I3753" t="str">
            <v>sim</v>
          </cell>
          <cell r="V3753" t="str">
            <v>not</v>
          </cell>
          <cell r="W3753">
            <v>1</v>
          </cell>
          <cell r="X3753" t="str">
            <v>neg</v>
          </cell>
        </row>
        <row r="3754">
          <cell r="I3754" t="str">
            <v>sim</v>
          </cell>
          <cell r="V3754" t="str">
            <v>not</v>
          </cell>
          <cell r="W3754">
            <v>1</v>
          </cell>
          <cell r="X3754" t="str">
            <v>intens</v>
          </cell>
        </row>
        <row r="3755">
          <cell r="I3755" t="str">
            <v>sim</v>
          </cell>
          <cell r="V3755" t="str">
            <v>not</v>
          </cell>
          <cell r="W3755">
            <v>1</v>
          </cell>
          <cell r="X3755" t="str">
            <v>neg</v>
          </cell>
        </row>
        <row r="3756">
          <cell r="I3756" t="str">
            <v>sim</v>
          </cell>
          <cell r="V3756" t="str">
            <v>not neg pair</v>
          </cell>
          <cell r="W3756">
            <v>0</v>
          </cell>
          <cell r="X3756" t="str">
            <v>0</v>
          </cell>
        </row>
        <row r="3757">
          <cell r="I3757" t="str">
            <v>sim</v>
          </cell>
          <cell r="V3757" t="str">
            <v>not neg pair</v>
          </cell>
          <cell r="W3757">
            <v>0</v>
          </cell>
          <cell r="X3757" t="str">
            <v>0</v>
          </cell>
        </row>
        <row r="3758">
          <cell r="I3758" t="str">
            <v>sim</v>
          </cell>
          <cell r="V3758" t="str">
            <v>not neg pair</v>
          </cell>
          <cell r="W3758">
            <v>0</v>
          </cell>
          <cell r="X3758" t="str">
            <v>0</v>
          </cell>
        </row>
        <row r="3759">
          <cell r="I3759" t="str">
            <v>sim</v>
          </cell>
          <cell r="V3759" t="str">
            <v>not neg pair</v>
          </cell>
          <cell r="W3759">
            <v>0</v>
          </cell>
          <cell r="X3759" t="str">
            <v>0</v>
          </cell>
        </row>
        <row r="3760">
          <cell r="I3760" t="str">
            <v>sim</v>
          </cell>
          <cell r="V3760" t="str">
            <v>antonym</v>
          </cell>
          <cell r="W3760">
            <v>1</v>
          </cell>
          <cell r="X3760" t="str">
            <v>intens</v>
          </cell>
        </row>
        <row r="3761">
          <cell r="I3761" t="str">
            <v>sim</v>
          </cell>
          <cell r="V3761" t="str">
            <v>antonym</v>
          </cell>
          <cell r="W3761">
            <v>1</v>
          </cell>
          <cell r="X3761" t="str">
            <v>neg</v>
          </cell>
        </row>
        <row r="3762">
          <cell r="I3762" t="str">
            <v>sim</v>
          </cell>
          <cell r="V3762" t="str">
            <v>not neg pair</v>
          </cell>
          <cell r="W3762">
            <v>0</v>
          </cell>
          <cell r="X3762" t="str">
            <v>0</v>
          </cell>
        </row>
        <row r="3763">
          <cell r="I3763" t="str">
            <v>sim</v>
          </cell>
          <cell r="V3763" t="str">
            <v>not neg pair</v>
          </cell>
          <cell r="W3763">
            <v>0</v>
          </cell>
          <cell r="X3763" t="str">
            <v>0</v>
          </cell>
        </row>
        <row r="3764">
          <cell r="I3764" t="str">
            <v>sim</v>
          </cell>
          <cell r="V3764" t="str">
            <v>not neg pair</v>
          </cell>
          <cell r="W3764">
            <v>0</v>
          </cell>
          <cell r="X3764" t="str">
            <v>0</v>
          </cell>
        </row>
        <row r="3765">
          <cell r="I3765" t="str">
            <v>sim</v>
          </cell>
          <cell r="V3765" t="str">
            <v>not neg pair</v>
          </cell>
          <cell r="W3765">
            <v>0</v>
          </cell>
          <cell r="X3765" t="str">
            <v>0</v>
          </cell>
        </row>
        <row r="3766">
          <cell r="I3766" t="str">
            <v>sim</v>
          </cell>
          <cell r="V3766" t="str">
            <v>not neg pair</v>
          </cell>
          <cell r="W3766">
            <v>0</v>
          </cell>
          <cell r="X3766" t="str">
            <v>0</v>
          </cell>
        </row>
        <row r="3767">
          <cell r="I3767" t="str">
            <v>sim</v>
          </cell>
          <cell r="V3767" t="str">
            <v>not neg pair</v>
          </cell>
          <cell r="W3767">
            <v>0</v>
          </cell>
          <cell r="X3767" t="str">
            <v>0</v>
          </cell>
        </row>
        <row r="3768">
          <cell r="I3768" t="str">
            <v>sim</v>
          </cell>
          <cell r="V3768" t="str">
            <v>not</v>
          </cell>
          <cell r="W3768">
            <v>1</v>
          </cell>
          <cell r="X3768" t="str">
            <v>neg</v>
          </cell>
        </row>
        <row r="3769">
          <cell r="I3769" t="str">
            <v>sim</v>
          </cell>
          <cell r="V3769" t="str">
            <v>not</v>
          </cell>
          <cell r="W3769">
            <v>1</v>
          </cell>
          <cell r="X3769" t="str">
            <v>intens</v>
          </cell>
        </row>
        <row r="3770">
          <cell r="I3770" t="str">
            <v>sim</v>
          </cell>
          <cell r="V3770" t="str">
            <v>not</v>
          </cell>
          <cell r="W3770">
            <v>1</v>
          </cell>
          <cell r="X3770" t="str">
            <v>intens</v>
          </cell>
        </row>
        <row r="3771">
          <cell r="I3771" t="str">
            <v>sim</v>
          </cell>
          <cell r="V3771" t="str">
            <v>not</v>
          </cell>
          <cell r="W3771">
            <v>1</v>
          </cell>
          <cell r="X3771" t="str">
            <v>neg</v>
          </cell>
        </row>
        <row r="3772">
          <cell r="I3772" t="str">
            <v>sim</v>
          </cell>
          <cell r="V3772" t="str">
            <v>not neg pair</v>
          </cell>
          <cell r="W3772">
            <v>0</v>
          </cell>
          <cell r="X3772" t="str">
            <v>0</v>
          </cell>
        </row>
        <row r="3773">
          <cell r="I3773" t="str">
            <v>sim</v>
          </cell>
          <cell r="V3773" t="str">
            <v>not neg pair</v>
          </cell>
          <cell r="W3773">
            <v>0</v>
          </cell>
          <cell r="X3773" t="str">
            <v>0</v>
          </cell>
        </row>
        <row r="3774">
          <cell r="I3774" t="str">
            <v>sim</v>
          </cell>
          <cell r="V3774" t="str">
            <v>antonym</v>
          </cell>
          <cell r="W3774">
            <v>1</v>
          </cell>
          <cell r="X3774" t="str">
            <v>intens</v>
          </cell>
        </row>
        <row r="3775">
          <cell r="I3775" t="str">
            <v>sim</v>
          </cell>
          <cell r="V3775" t="str">
            <v>antonym</v>
          </cell>
          <cell r="W3775">
            <v>1</v>
          </cell>
          <cell r="X3775" t="str">
            <v>neg</v>
          </cell>
        </row>
        <row r="3776">
          <cell r="I3776" t="str">
            <v>sim</v>
          </cell>
          <cell r="V3776" t="str">
            <v>antonym</v>
          </cell>
          <cell r="W3776">
            <v>1</v>
          </cell>
          <cell r="X3776" t="str">
            <v>neg</v>
          </cell>
        </row>
        <row r="3777">
          <cell r="I3777" t="str">
            <v>sim</v>
          </cell>
          <cell r="V3777" t="str">
            <v>antonym</v>
          </cell>
          <cell r="W3777">
            <v>1</v>
          </cell>
          <cell r="X3777" t="str">
            <v>intens</v>
          </cell>
        </row>
        <row r="3778">
          <cell r="I3778" t="str">
            <v>sim</v>
          </cell>
          <cell r="V3778" t="str">
            <v>antonym</v>
          </cell>
          <cell r="W3778">
            <v>1</v>
          </cell>
          <cell r="X3778" t="str">
            <v>intens</v>
          </cell>
        </row>
        <row r="3779">
          <cell r="I3779" t="str">
            <v>sim</v>
          </cell>
          <cell r="V3779" t="str">
            <v>antonym</v>
          </cell>
          <cell r="W3779">
            <v>1</v>
          </cell>
          <cell r="X3779" t="str">
            <v>neg</v>
          </cell>
        </row>
        <row r="3780">
          <cell r="I3780" t="str">
            <v>met</v>
          </cell>
          <cell r="V3780" t="str">
            <v>0</v>
          </cell>
          <cell r="W3780">
            <v>0</v>
          </cell>
          <cell r="X3780" t="str">
            <v>0</v>
          </cell>
        </row>
        <row r="3781">
          <cell r="I3781" t="str">
            <v>met</v>
          </cell>
          <cell r="V3781" t="str">
            <v>0</v>
          </cell>
          <cell r="W3781">
            <v>0</v>
          </cell>
          <cell r="X3781" t="str">
            <v>0</v>
          </cell>
        </row>
        <row r="3782">
          <cell r="I3782" t="str">
            <v>sim</v>
          </cell>
          <cell r="V3782" t="str">
            <v>not neg pair</v>
          </cell>
          <cell r="W3782">
            <v>0</v>
          </cell>
          <cell r="X3782" t="str">
            <v>0</v>
          </cell>
        </row>
        <row r="3783">
          <cell r="I3783" t="str">
            <v>sim</v>
          </cell>
          <cell r="V3783" t="str">
            <v>not neg pair</v>
          </cell>
          <cell r="W3783">
            <v>0</v>
          </cell>
          <cell r="X3783" t="str">
            <v>0</v>
          </cell>
        </row>
        <row r="3784">
          <cell r="I3784" t="str">
            <v>met</v>
          </cell>
          <cell r="V3784" t="str">
            <v>0</v>
          </cell>
          <cell r="W3784">
            <v>0</v>
          </cell>
          <cell r="X3784" t="str">
            <v>0</v>
          </cell>
        </row>
        <row r="3785">
          <cell r="I3785" t="str">
            <v>met</v>
          </cell>
          <cell r="V3785" t="str">
            <v>0</v>
          </cell>
          <cell r="W3785">
            <v>0</v>
          </cell>
          <cell r="X3785" t="str">
            <v>0</v>
          </cell>
        </row>
        <row r="3786">
          <cell r="I3786" t="str">
            <v>met</v>
          </cell>
          <cell r="V3786" t="str">
            <v>0</v>
          </cell>
          <cell r="W3786">
            <v>0</v>
          </cell>
          <cell r="X3786" t="str">
            <v>0</v>
          </cell>
        </row>
        <row r="3787">
          <cell r="I3787" t="str">
            <v>sim</v>
          </cell>
          <cell r="V3787" t="str">
            <v>0</v>
          </cell>
          <cell r="W3787">
            <v>0</v>
          </cell>
          <cell r="X3787" t="str">
            <v>0</v>
          </cell>
        </row>
        <row r="3788">
          <cell r="I3788" t="str">
            <v>sim</v>
          </cell>
          <cell r="V3788" t="str">
            <v>not neg pair</v>
          </cell>
          <cell r="W3788">
            <v>0</v>
          </cell>
          <cell r="X3788" t="str">
            <v>0</v>
          </cell>
        </row>
        <row r="3789">
          <cell r="I3789" t="str">
            <v>sim</v>
          </cell>
          <cell r="V3789" t="str">
            <v>not neg pair</v>
          </cell>
          <cell r="W3789">
            <v>0</v>
          </cell>
          <cell r="X3789" t="str">
            <v>0</v>
          </cell>
        </row>
        <row r="3790">
          <cell r="I3790" t="str">
            <v>sim</v>
          </cell>
          <cell r="V3790" t="str">
            <v>not neg pair</v>
          </cell>
          <cell r="W3790">
            <v>0</v>
          </cell>
          <cell r="X3790" t="str">
            <v>0</v>
          </cell>
        </row>
        <row r="3791">
          <cell r="I3791" t="str">
            <v>sim</v>
          </cell>
          <cell r="V3791" t="str">
            <v>not neg pair</v>
          </cell>
          <cell r="W3791">
            <v>0</v>
          </cell>
          <cell r="X3791" t="str">
            <v>0</v>
          </cell>
        </row>
        <row r="3792">
          <cell r="I3792" t="str">
            <v>met</v>
          </cell>
          <cell r="V3792" t="str">
            <v>0</v>
          </cell>
          <cell r="W3792">
            <v>0</v>
          </cell>
          <cell r="X3792" t="str">
            <v>0</v>
          </cell>
        </row>
        <row r="3793">
          <cell r="I3793" t="str">
            <v>met</v>
          </cell>
          <cell r="V3793" t="str">
            <v>0</v>
          </cell>
          <cell r="W3793">
            <v>0</v>
          </cell>
          <cell r="X3793" t="str">
            <v>0</v>
          </cell>
        </row>
        <row r="3794">
          <cell r="I3794" t="str">
            <v>met</v>
          </cell>
          <cell r="V3794" t="str">
            <v>0</v>
          </cell>
          <cell r="W3794">
            <v>0</v>
          </cell>
          <cell r="X3794" t="str">
            <v>0</v>
          </cell>
        </row>
        <row r="3795">
          <cell r="I3795" t="str">
            <v>met</v>
          </cell>
          <cell r="V3795" t="str">
            <v>0</v>
          </cell>
          <cell r="W3795">
            <v>0</v>
          </cell>
          <cell r="X3795" t="str">
            <v>0</v>
          </cell>
        </row>
        <row r="3796">
          <cell r="I3796" t="str">
            <v>met</v>
          </cell>
          <cell r="V3796" t="str">
            <v>0</v>
          </cell>
          <cell r="W3796">
            <v>0</v>
          </cell>
          <cell r="X3796" t="str">
            <v>0</v>
          </cell>
        </row>
        <row r="3797">
          <cell r="I3797" t="str">
            <v>met</v>
          </cell>
          <cell r="V3797" t="str">
            <v>0</v>
          </cell>
          <cell r="W3797">
            <v>0</v>
          </cell>
          <cell r="X3797" t="str">
            <v>0</v>
          </cell>
        </row>
        <row r="3798">
          <cell r="I3798" t="str">
            <v>sim</v>
          </cell>
          <cell r="V3798" t="str">
            <v>not neg pair</v>
          </cell>
          <cell r="W3798">
            <v>0</v>
          </cell>
          <cell r="X3798" t="str">
            <v>0</v>
          </cell>
        </row>
        <row r="3799">
          <cell r="I3799" t="str">
            <v>sim</v>
          </cell>
          <cell r="V3799" t="str">
            <v>not neg pair</v>
          </cell>
          <cell r="W3799">
            <v>0</v>
          </cell>
          <cell r="X3799" t="str">
            <v>0</v>
          </cell>
        </row>
        <row r="3800">
          <cell r="I3800" t="str">
            <v>sim</v>
          </cell>
          <cell r="V3800" t="str">
            <v>not neg pair</v>
          </cell>
          <cell r="W3800">
            <v>0</v>
          </cell>
          <cell r="X3800" t="str">
            <v>0</v>
          </cell>
        </row>
        <row r="3801">
          <cell r="I3801" t="str">
            <v>sim</v>
          </cell>
          <cell r="V3801" t="str">
            <v>not neg pair</v>
          </cell>
          <cell r="W3801">
            <v>0</v>
          </cell>
          <cell r="X3801" t="str">
            <v>0</v>
          </cell>
        </row>
        <row r="3802">
          <cell r="I3802" t="str">
            <v>sim</v>
          </cell>
          <cell r="V3802" t="str">
            <v>not</v>
          </cell>
          <cell r="W3802">
            <v>1</v>
          </cell>
          <cell r="X3802" t="str">
            <v>neg</v>
          </cell>
        </row>
        <row r="3803">
          <cell r="I3803" t="str">
            <v>sim</v>
          </cell>
          <cell r="V3803" t="str">
            <v>not</v>
          </cell>
          <cell r="W3803">
            <v>1</v>
          </cell>
          <cell r="X3803" t="str">
            <v>intens</v>
          </cell>
        </row>
        <row r="3804">
          <cell r="I3804" t="str">
            <v>met</v>
          </cell>
          <cell r="V3804" t="str">
            <v>0</v>
          </cell>
          <cell r="W3804">
            <v>0</v>
          </cell>
          <cell r="X3804" t="str">
            <v>0</v>
          </cell>
        </row>
        <row r="3805">
          <cell r="I3805" t="str">
            <v>met</v>
          </cell>
          <cell r="V3805" t="str">
            <v>0</v>
          </cell>
          <cell r="W3805">
            <v>0</v>
          </cell>
          <cell r="X3805" t="str">
            <v>0</v>
          </cell>
        </row>
        <row r="3806">
          <cell r="I3806" t="str">
            <v>met</v>
          </cell>
          <cell r="V3806" t="str">
            <v>0</v>
          </cell>
          <cell r="W3806">
            <v>0</v>
          </cell>
          <cell r="X3806" t="str">
            <v>0</v>
          </cell>
        </row>
        <row r="3807">
          <cell r="I3807" t="str">
            <v>met</v>
          </cell>
          <cell r="V3807" t="str">
            <v>0</v>
          </cell>
          <cell r="W3807">
            <v>0</v>
          </cell>
          <cell r="X3807" t="str">
            <v>0</v>
          </cell>
        </row>
        <row r="3808">
          <cell r="I3808" t="str">
            <v>met</v>
          </cell>
          <cell r="V3808" t="str">
            <v>0</v>
          </cell>
          <cell r="W3808">
            <v>0</v>
          </cell>
          <cell r="X3808" t="str">
            <v>0</v>
          </cell>
        </row>
        <row r="3809">
          <cell r="I3809" t="str">
            <v>met</v>
          </cell>
          <cell r="V3809" t="str">
            <v>0</v>
          </cell>
          <cell r="W3809">
            <v>0</v>
          </cell>
          <cell r="X3809" t="str">
            <v>0</v>
          </cell>
        </row>
        <row r="3810">
          <cell r="I3810" t="str">
            <v>sim</v>
          </cell>
          <cell r="V3810" t="str">
            <v>not neg pair</v>
          </cell>
          <cell r="W3810">
            <v>0</v>
          </cell>
          <cell r="X3810" t="str">
            <v>0</v>
          </cell>
        </row>
        <row r="3811">
          <cell r="I3811" t="str">
            <v>sim</v>
          </cell>
          <cell r="V3811" t="str">
            <v>not neg pair</v>
          </cell>
          <cell r="W3811">
            <v>0</v>
          </cell>
          <cell r="X3811" t="str">
            <v>0</v>
          </cell>
        </row>
        <row r="3812">
          <cell r="I3812" t="str">
            <v>sim</v>
          </cell>
          <cell r="V3812" t="str">
            <v>not</v>
          </cell>
          <cell r="W3812">
            <v>1</v>
          </cell>
          <cell r="X3812" t="str">
            <v>neg</v>
          </cell>
        </row>
        <row r="3813">
          <cell r="I3813" t="str">
            <v>sim</v>
          </cell>
          <cell r="V3813" t="str">
            <v>not</v>
          </cell>
          <cell r="W3813">
            <v>1</v>
          </cell>
          <cell r="X3813" t="str">
            <v>intens</v>
          </cell>
        </row>
        <row r="3814">
          <cell r="I3814" t="str">
            <v>sim</v>
          </cell>
          <cell r="V3814" t="str">
            <v>antonym</v>
          </cell>
          <cell r="W3814">
            <v>1</v>
          </cell>
          <cell r="X3814" t="str">
            <v>intens</v>
          </cell>
        </row>
        <row r="3815">
          <cell r="I3815" t="str">
            <v>sim</v>
          </cell>
          <cell r="V3815" t="str">
            <v>antonym</v>
          </cell>
          <cell r="W3815">
            <v>1</v>
          </cell>
          <cell r="X3815" t="str">
            <v>neg</v>
          </cell>
        </row>
        <row r="3816">
          <cell r="I3816" t="str">
            <v>met</v>
          </cell>
          <cell r="V3816" t="str">
            <v>0</v>
          </cell>
          <cell r="W3816">
            <v>0</v>
          </cell>
          <cell r="X3816" t="str">
            <v>0</v>
          </cell>
        </row>
        <row r="3817">
          <cell r="I3817" t="str">
            <v>met</v>
          </cell>
          <cell r="V3817" t="str">
            <v>0</v>
          </cell>
          <cell r="W3817">
            <v>0</v>
          </cell>
          <cell r="X3817" t="str">
            <v>0</v>
          </cell>
        </row>
        <row r="3818">
          <cell r="I3818" t="str">
            <v>sim</v>
          </cell>
          <cell r="V3818" t="str">
            <v>not neg pair</v>
          </cell>
          <cell r="W3818">
            <v>0</v>
          </cell>
          <cell r="X3818" t="str">
            <v>0</v>
          </cell>
        </row>
        <row r="3819">
          <cell r="I3819" t="str">
            <v>sim</v>
          </cell>
          <cell r="V3819" t="str">
            <v>not neg pair</v>
          </cell>
          <cell r="W3819">
            <v>0</v>
          </cell>
          <cell r="X3819" t="str">
            <v>0</v>
          </cell>
        </row>
        <row r="3820">
          <cell r="I3820" t="str">
            <v>met</v>
          </cell>
          <cell r="V3820" t="str">
            <v>0</v>
          </cell>
          <cell r="W3820">
            <v>0</v>
          </cell>
          <cell r="X3820" t="str">
            <v>0</v>
          </cell>
        </row>
        <row r="3821">
          <cell r="I3821" t="str">
            <v>met</v>
          </cell>
          <cell r="V3821" t="str">
            <v>0</v>
          </cell>
          <cell r="W3821">
            <v>0</v>
          </cell>
          <cell r="X3821" t="str">
            <v>0</v>
          </cell>
        </row>
        <row r="3822">
          <cell r="I3822" t="str">
            <v>sim</v>
          </cell>
          <cell r="V3822" t="str">
            <v>not</v>
          </cell>
          <cell r="W3822">
            <v>1</v>
          </cell>
          <cell r="X3822" t="str">
            <v>neg</v>
          </cell>
        </row>
        <row r="3823">
          <cell r="I3823" t="str">
            <v>sim</v>
          </cell>
          <cell r="V3823" t="str">
            <v>not</v>
          </cell>
          <cell r="W3823">
            <v>1</v>
          </cell>
          <cell r="X3823" t="str">
            <v>intens</v>
          </cell>
        </row>
        <row r="3824">
          <cell r="I3824" t="str">
            <v>sim</v>
          </cell>
          <cell r="V3824" t="str">
            <v>not</v>
          </cell>
          <cell r="W3824">
            <v>1</v>
          </cell>
          <cell r="X3824" t="str">
            <v>intens</v>
          </cell>
        </row>
        <row r="3825">
          <cell r="I3825" t="str">
            <v>sim</v>
          </cell>
          <cell r="V3825" t="str">
            <v>not</v>
          </cell>
          <cell r="W3825">
            <v>1</v>
          </cell>
          <cell r="X3825" t="str">
            <v>neg</v>
          </cell>
        </row>
        <row r="3826">
          <cell r="I3826" t="str">
            <v>sim</v>
          </cell>
          <cell r="V3826" t="str">
            <v>not</v>
          </cell>
          <cell r="W3826">
            <v>1</v>
          </cell>
          <cell r="X3826" t="str">
            <v>neg</v>
          </cell>
        </row>
        <row r="3827">
          <cell r="I3827" t="str">
            <v>sim</v>
          </cell>
          <cell r="V3827" t="str">
            <v>not</v>
          </cell>
          <cell r="W3827">
            <v>1</v>
          </cell>
          <cell r="X3827" t="str">
            <v>intens</v>
          </cell>
        </row>
        <row r="3828">
          <cell r="I3828" t="str">
            <v>sim</v>
          </cell>
          <cell r="V3828" t="str">
            <v>not</v>
          </cell>
          <cell r="W3828">
            <v>1</v>
          </cell>
          <cell r="X3828" t="str">
            <v>intens</v>
          </cell>
        </row>
        <row r="3829">
          <cell r="I3829" t="str">
            <v>sim</v>
          </cell>
          <cell r="V3829" t="str">
            <v>not</v>
          </cell>
          <cell r="W3829">
            <v>1</v>
          </cell>
          <cell r="X3829" t="str">
            <v>neg</v>
          </cell>
        </row>
        <row r="3830">
          <cell r="I3830" t="str">
            <v>sim</v>
          </cell>
          <cell r="V3830" t="str">
            <v>antonym</v>
          </cell>
          <cell r="W3830">
            <v>1</v>
          </cell>
          <cell r="X3830" t="str">
            <v>neg</v>
          </cell>
        </row>
        <row r="3831">
          <cell r="I3831" t="str">
            <v>sim</v>
          </cell>
          <cell r="V3831" t="str">
            <v>antonym</v>
          </cell>
          <cell r="W3831">
            <v>1</v>
          </cell>
          <cell r="X3831" t="str">
            <v>intens</v>
          </cell>
        </row>
        <row r="3832">
          <cell r="I3832" t="str">
            <v>sim</v>
          </cell>
          <cell r="V3832" t="str">
            <v>not</v>
          </cell>
          <cell r="W3832">
            <v>1</v>
          </cell>
          <cell r="X3832" t="str">
            <v>intens</v>
          </cell>
        </row>
        <row r="3833">
          <cell r="I3833" t="str">
            <v>sim</v>
          </cell>
          <cell r="V3833" t="str">
            <v>not</v>
          </cell>
          <cell r="W3833">
            <v>1</v>
          </cell>
          <cell r="X3833" t="str">
            <v>neg</v>
          </cell>
        </row>
        <row r="3834">
          <cell r="I3834" t="str">
            <v>sim</v>
          </cell>
          <cell r="V3834" t="str">
            <v>not neg pair</v>
          </cell>
          <cell r="W3834">
            <v>0</v>
          </cell>
          <cell r="X3834" t="str">
            <v>0</v>
          </cell>
        </row>
        <row r="3835">
          <cell r="I3835" t="str">
            <v>sim</v>
          </cell>
          <cell r="V3835" t="str">
            <v>not neg pair</v>
          </cell>
          <cell r="W3835">
            <v>0</v>
          </cell>
          <cell r="X3835" t="str">
            <v>0</v>
          </cell>
        </row>
        <row r="3836">
          <cell r="I3836" t="str">
            <v>met</v>
          </cell>
          <cell r="V3836" t="str">
            <v>0</v>
          </cell>
          <cell r="W3836">
            <v>0</v>
          </cell>
          <cell r="X3836" t="str">
            <v>0</v>
          </cell>
        </row>
        <row r="3837">
          <cell r="I3837" t="str">
            <v>met</v>
          </cell>
          <cell r="V3837" t="str">
            <v>0</v>
          </cell>
          <cell r="W3837">
            <v>0</v>
          </cell>
          <cell r="X3837" t="str">
            <v>0</v>
          </cell>
        </row>
        <row r="3838">
          <cell r="I3838" t="str">
            <v>sim</v>
          </cell>
          <cell r="V3838" t="str">
            <v>not neg pair</v>
          </cell>
          <cell r="W3838">
            <v>0</v>
          </cell>
          <cell r="X3838" t="str">
            <v>0</v>
          </cell>
        </row>
        <row r="3839">
          <cell r="I3839" t="str">
            <v>sim</v>
          </cell>
          <cell r="V3839" t="str">
            <v>not neg pair</v>
          </cell>
          <cell r="W3839">
            <v>0</v>
          </cell>
          <cell r="X3839" t="str">
            <v>0</v>
          </cell>
        </row>
        <row r="3840">
          <cell r="I3840" t="str">
            <v>sim</v>
          </cell>
          <cell r="V3840" t="str">
            <v>not neg pair</v>
          </cell>
          <cell r="W3840">
            <v>0</v>
          </cell>
          <cell r="X3840" t="str">
            <v>0</v>
          </cell>
        </row>
        <row r="3841">
          <cell r="I3841" t="str">
            <v>sim</v>
          </cell>
          <cell r="V3841" t="str">
            <v>not neg pair</v>
          </cell>
          <cell r="W3841">
            <v>0</v>
          </cell>
          <cell r="X3841" t="str">
            <v>0</v>
          </cell>
        </row>
        <row r="3842">
          <cell r="I3842" t="str">
            <v>sim</v>
          </cell>
          <cell r="V3842" t="str">
            <v>not neg pair</v>
          </cell>
          <cell r="W3842">
            <v>0</v>
          </cell>
          <cell r="X3842" t="str">
            <v>0</v>
          </cell>
        </row>
        <row r="3843">
          <cell r="I3843" t="str">
            <v>sim</v>
          </cell>
          <cell r="V3843" t="str">
            <v>not neg pair</v>
          </cell>
          <cell r="W3843">
            <v>0</v>
          </cell>
          <cell r="X3843" t="str">
            <v>0</v>
          </cell>
        </row>
        <row r="3844">
          <cell r="I3844" t="str">
            <v>sim</v>
          </cell>
          <cell r="V3844" t="str">
            <v>not neg pair</v>
          </cell>
          <cell r="W3844">
            <v>0</v>
          </cell>
          <cell r="X3844" t="str">
            <v>0</v>
          </cell>
        </row>
        <row r="3845">
          <cell r="I3845" t="str">
            <v>sim</v>
          </cell>
          <cell r="V3845" t="str">
            <v>not neg pair</v>
          </cell>
          <cell r="W3845">
            <v>0</v>
          </cell>
          <cell r="X3845" t="str">
            <v>0</v>
          </cell>
        </row>
        <row r="3846">
          <cell r="I3846" t="str">
            <v>sim</v>
          </cell>
          <cell r="V3846" t="str">
            <v>not neg pair</v>
          </cell>
          <cell r="W3846">
            <v>0</v>
          </cell>
          <cell r="X3846" t="str">
            <v>0</v>
          </cell>
        </row>
        <row r="3847">
          <cell r="I3847" t="str">
            <v>sim</v>
          </cell>
          <cell r="V3847" t="str">
            <v>not neg pair</v>
          </cell>
          <cell r="W3847">
            <v>0</v>
          </cell>
          <cell r="X3847" t="str">
            <v>0</v>
          </cell>
        </row>
        <row r="3848">
          <cell r="I3848" t="str">
            <v>sim</v>
          </cell>
          <cell r="V3848" t="str">
            <v>not neg pair</v>
          </cell>
          <cell r="W3848">
            <v>0</v>
          </cell>
          <cell r="X3848" t="str">
            <v>0</v>
          </cell>
        </row>
        <row r="3849">
          <cell r="I3849" t="str">
            <v>sim</v>
          </cell>
          <cell r="V3849" t="str">
            <v>not neg pair</v>
          </cell>
          <cell r="W3849">
            <v>0</v>
          </cell>
          <cell r="X3849" t="str">
            <v>0</v>
          </cell>
        </row>
        <row r="3850">
          <cell r="I3850" t="str">
            <v>sim</v>
          </cell>
          <cell r="V3850" t="str">
            <v>not neg pair</v>
          </cell>
          <cell r="W3850">
            <v>0</v>
          </cell>
          <cell r="X3850" t="str">
            <v>0</v>
          </cell>
        </row>
        <row r="3851">
          <cell r="I3851" t="str">
            <v>sim</v>
          </cell>
          <cell r="V3851" t="str">
            <v>not neg pair</v>
          </cell>
          <cell r="W3851">
            <v>0</v>
          </cell>
          <cell r="X3851" t="str">
            <v>0</v>
          </cell>
        </row>
        <row r="3852">
          <cell r="I3852" t="str">
            <v>sim</v>
          </cell>
          <cell r="V3852" t="str">
            <v>not</v>
          </cell>
          <cell r="W3852">
            <v>1</v>
          </cell>
          <cell r="X3852" t="str">
            <v>neg</v>
          </cell>
        </row>
        <row r="3853">
          <cell r="I3853" t="str">
            <v>sim</v>
          </cell>
          <cell r="V3853" t="str">
            <v>not</v>
          </cell>
          <cell r="W3853">
            <v>1</v>
          </cell>
          <cell r="X3853" t="str">
            <v>intens</v>
          </cell>
        </row>
        <row r="3854">
          <cell r="I3854" t="str">
            <v>sim</v>
          </cell>
          <cell r="V3854" t="str">
            <v>not neg pair</v>
          </cell>
          <cell r="W3854">
            <v>0</v>
          </cell>
          <cell r="X3854" t="str">
            <v>0</v>
          </cell>
        </row>
        <row r="3855">
          <cell r="I3855" t="str">
            <v>sim</v>
          </cell>
          <cell r="V3855" t="str">
            <v>not neg pair</v>
          </cell>
          <cell r="W3855">
            <v>0</v>
          </cell>
          <cell r="X3855" t="str">
            <v>0</v>
          </cell>
        </row>
        <row r="3856">
          <cell r="I3856" t="str">
            <v>sim</v>
          </cell>
          <cell r="V3856" t="str">
            <v>not</v>
          </cell>
          <cell r="W3856">
            <v>1</v>
          </cell>
          <cell r="X3856" t="str">
            <v>intens</v>
          </cell>
        </row>
        <row r="3857">
          <cell r="I3857" t="str">
            <v>sim</v>
          </cell>
          <cell r="V3857" t="str">
            <v>not</v>
          </cell>
          <cell r="W3857">
            <v>1</v>
          </cell>
          <cell r="X3857" t="str">
            <v>neg</v>
          </cell>
        </row>
        <row r="3858">
          <cell r="I3858" t="str">
            <v>sim</v>
          </cell>
          <cell r="V3858" t="str">
            <v>not neg pair</v>
          </cell>
          <cell r="W3858">
            <v>0</v>
          </cell>
          <cell r="X3858" t="str">
            <v>0</v>
          </cell>
        </row>
        <row r="3859">
          <cell r="I3859" t="str">
            <v>sim</v>
          </cell>
          <cell r="V3859" t="str">
            <v>not neg pair</v>
          </cell>
          <cell r="W3859">
            <v>0</v>
          </cell>
          <cell r="X3859" t="str">
            <v>0</v>
          </cell>
        </row>
        <row r="3860">
          <cell r="I3860" t="str">
            <v>sim</v>
          </cell>
          <cell r="V3860" t="str">
            <v>not neg pair</v>
          </cell>
          <cell r="W3860">
            <v>0</v>
          </cell>
          <cell r="X3860" t="str">
            <v>0</v>
          </cell>
        </row>
        <row r="3861">
          <cell r="I3861" t="str">
            <v>sim</v>
          </cell>
          <cell r="V3861" t="str">
            <v>not neg pair</v>
          </cell>
          <cell r="W3861">
            <v>0</v>
          </cell>
          <cell r="X3861" t="str">
            <v>0</v>
          </cell>
        </row>
        <row r="3862">
          <cell r="I3862" t="str">
            <v>sim</v>
          </cell>
          <cell r="V3862" t="str">
            <v>not neg pair</v>
          </cell>
          <cell r="W3862">
            <v>0</v>
          </cell>
          <cell r="X3862" t="str">
            <v>0</v>
          </cell>
        </row>
        <row r="3863">
          <cell r="I3863" t="str">
            <v>sim</v>
          </cell>
          <cell r="V3863" t="str">
            <v>not neg pair</v>
          </cell>
          <cell r="W3863">
            <v>0</v>
          </cell>
          <cell r="X3863" t="str">
            <v>0</v>
          </cell>
        </row>
        <row r="3864">
          <cell r="I3864" t="str">
            <v>sim</v>
          </cell>
          <cell r="V3864" t="str">
            <v>antonym</v>
          </cell>
          <cell r="W3864">
            <v>1</v>
          </cell>
          <cell r="X3864" t="str">
            <v>neg</v>
          </cell>
        </row>
        <row r="3865">
          <cell r="I3865" t="str">
            <v>sim</v>
          </cell>
          <cell r="V3865" t="str">
            <v>antonym</v>
          </cell>
          <cell r="W3865">
            <v>1</v>
          </cell>
          <cell r="X3865" t="str">
            <v>intens</v>
          </cell>
        </row>
        <row r="3866">
          <cell r="I3866" t="str">
            <v>sim</v>
          </cell>
          <cell r="V3866" t="str">
            <v>antonym</v>
          </cell>
          <cell r="W3866">
            <v>1</v>
          </cell>
          <cell r="X3866" t="str">
            <v>intens</v>
          </cell>
        </row>
        <row r="3867">
          <cell r="I3867" t="str">
            <v>sim</v>
          </cell>
          <cell r="V3867" t="str">
            <v>antonym</v>
          </cell>
          <cell r="W3867">
            <v>1</v>
          </cell>
          <cell r="X3867" t="str">
            <v>neg</v>
          </cell>
        </row>
        <row r="3868">
          <cell r="I3868" t="str">
            <v>sim</v>
          </cell>
          <cell r="V3868" t="str">
            <v>antonym</v>
          </cell>
          <cell r="W3868">
            <v>1</v>
          </cell>
          <cell r="X3868" t="str">
            <v>intens</v>
          </cell>
        </row>
        <row r="3869">
          <cell r="I3869" t="str">
            <v>sim</v>
          </cell>
          <cell r="V3869" t="str">
            <v>antonym</v>
          </cell>
          <cell r="W3869">
            <v>1</v>
          </cell>
          <cell r="X3869" t="str">
            <v>neg</v>
          </cell>
        </row>
        <row r="3870">
          <cell r="I3870" t="str">
            <v>met</v>
          </cell>
          <cell r="V3870" t="str">
            <v>0</v>
          </cell>
          <cell r="W3870">
            <v>0</v>
          </cell>
          <cell r="X3870" t="str">
            <v>0</v>
          </cell>
        </row>
        <row r="3871">
          <cell r="I3871" t="str">
            <v>met</v>
          </cell>
          <cell r="V3871" t="str">
            <v>0</v>
          </cell>
          <cell r="W3871">
            <v>0</v>
          </cell>
          <cell r="X3871" t="str">
            <v>0</v>
          </cell>
        </row>
        <row r="3872">
          <cell r="I3872" t="str">
            <v>met</v>
          </cell>
          <cell r="V3872" t="str">
            <v>0</v>
          </cell>
          <cell r="W3872">
            <v>0</v>
          </cell>
          <cell r="X3872" t="str">
            <v>0</v>
          </cell>
        </row>
        <row r="3873">
          <cell r="I3873" t="str">
            <v>met</v>
          </cell>
          <cell r="V3873" t="str">
            <v>0</v>
          </cell>
          <cell r="W3873">
            <v>0</v>
          </cell>
          <cell r="X3873" t="str">
            <v>0</v>
          </cell>
        </row>
        <row r="3874">
          <cell r="I3874" t="str">
            <v>met</v>
          </cell>
          <cell r="V3874" t="str">
            <v>0</v>
          </cell>
          <cell r="W3874">
            <v>0</v>
          </cell>
          <cell r="X3874" t="str">
            <v>0</v>
          </cell>
        </row>
        <row r="3875">
          <cell r="I3875" t="str">
            <v>met</v>
          </cell>
          <cell r="V3875" t="str">
            <v>0</v>
          </cell>
          <cell r="W3875">
            <v>0</v>
          </cell>
          <cell r="X3875" t="str">
            <v>0</v>
          </cell>
        </row>
        <row r="3876">
          <cell r="I3876" t="str">
            <v>met</v>
          </cell>
          <cell r="V3876" t="str">
            <v>0</v>
          </cell>
          <cell r="W3876">
            <v>0</v>
          </cell>
          <cell r="X3876" t="str">
            <v>0</v>
          </cell>
        </row>
        <row r="3877">
          <cell r="I3877" t="str">
            <v>met</v>
          </cell>
          <cell r="V3877" t="str">
            <v>0</v>
          </cell>
          <cell r="W3877">
            <v>0</v>
          </cell>
          <cell r="X3877" t="str">
            <v>0</v>
          </cell>
        </row>
        <row r="3878">
          <cell r="I3878" t="str">
            <v>met</v>
          </cell>
          <cell r="V3878" t="str">
            <v>0</v>
          </cell>
          <cell r="W3878">
            <v>0</v>
          </cell>
          <cell r="X3878" t="str">
            <v>0</v>
          </cell>
        </row>
        <row r="3879">
          <cell r="I3879" t="str">
            <v>met</v>
          </cell>
          <cell r="V3879" t="str">
            <v>0</v>
          </cell>
          <cell r="W3879">
            <v>0</v>
          </cell>
          <cell r="X3879" t="str">
            <v>0</v>
          </cell>
        </row>
        <row r="3880">
          <cell r="I3880" t="str">
            <v>sim</v>
          </cell>
          <cell r="V3880" t="str">
            <v>antonym</v>
          </cell>
          <cell r="W3880">
            <v>1</v>
          </cell>
          <cell r="X3880" t="str">
            <v>intens</v>
          </cell>
        </row>
        <row r="3881">
          <cell r="I3881" t="str">
            <v>sim</v>
          </cell>
          <cell r="V3881" t="str">
            <v>antonym</v>
          </cell>
          <cell r="W3881">
            <v>1</v>
          </cell>
          <cell r="X3881" t="str">
            <v>neg</v>
          </cell>
        </row>
        <row r="3882">
          <cell r="I3882" t="str">
            <v>sim</v>
          </cell>
          <cell r="V3882" t="str">
            <v>not neg pair</v>
          </cell>
          <cell r="W3882">
            <v>0</v>
          </cell>
          <cell r="X3882" t="str">
            <v>0</v>
          </cell>
        </row>
        <row r="3883">
          <cell r="I3883" t="str">
            <v>sim</v>
          </cell>
          <cell r="V3883" t="str">
            <v>not neg pair</v>
          </cell>
          <cell r="W3883">
            <v>0</v>
          </cell>
          <cell r="X3883" t="str">
            <v>0</v>
          </cell>
        </row>
        <row r="3884">
          <cell r="I3884" t="str">
            <v>sim</v>
          </cell>
          <cell r="V3884" t="str">
            <v>not neg pair</v>
          </cell>
          <cell r="W3884">
            <v>0</v>
          </cell>
          <cell r="X3884" t="str">
            <v>0</v>
          </cell>
        </row>
        <row r="3885">
          <cell r="I3885" t="str">
            <v>sim</v>
          </cell>
          <cell r="V3885" t="str">
            <v>not neg pair</v>
          </cell>
          <cell r="W3885">
            <v>0</v>
          </cell>
          <cell r="X3885" t="str">
            <v>0</v>
          </cell>
        </row>
        <row r="3886">
          <cell r="I3886" t="str">
            <v>sim</v>
          </cell>
          <cell r="V3886" t="str">
            <v>not neg pair</v>
          </cell>
          <cell r="W3886">
            <v>0</v>
          </cell>
          <cell r="X3886" t="str">
            <v>0</v>
          </cell>
        </row>
        <row r="3887">
          <cell r="I3887" t="str">
            <v>sim</v>
          </cell>
          <cell r="V3887" t="str">
            <v>not neg pair</v>
          </cell>
          <cell r="W3887">
            <v>0</v>
          </cell>
          <cell r="X3887" t="str">
            <v>0</v>
          </cell>
        </row>
        <row r="3888">
          <cell r="I3888" t="str">
            <v>sim</v>
          </cell>
          <cell r="V3888" t="str">
            <v>antonym</v>
          </cell>
          <cell r="W3888">
            <v>1</v>
          </cell>
          <cell r="X3888" t="str">
            <v>intens</v>
          </cell>
        </row>
        <row r="3889">
          <cell r="I3889" t="str">
            <v>sim</v>
          </cell>
          <cell r="V3889" t="str">
            <v>antonym</v>
          </cell>
          <cell r="W3889">
            <v>1</v>
          </cell>
          <cell r="X3889" t="str">
            <v>neg</v>
          </cell>
        </row>
        <row r="3890">
          <cell r="I3890" t="str">
            <v>sim</v>
          </cell>
          <cell r="V3890" t="str">
            <v>not neg pair</v>
          </cell>
          <cell r="W3890">
            <v>0</v>
          </cell>
          <cell r="X3890" t="str">
            <v>0</v>
          </cell>
        </row>
        <row r="3891">
          <cell r="I3891" t="str">
            <v>sim</v>
          </cell>
          <cell r="V3891" t="str">
            <v>not neg pair</v>
          </cell>
          <cell r="W3891">
            <v>0</v>
          </cell>
          <cell r="X3891" t="str">
            <v>0</v>
          </cell>
        </row>
        <row r="3892">
          <cell r="I3892" t="str">
            <v>sim</v>
          </cell>
          <cell r="V3892" t="str">
            <v>antonym</v>
          </cell>
          <cell r="W3892">
            <v>1</v>
          </cell>
          <cell r="X3892" t="str">
            <v>intens</v>
          </cell>
        </row>
        <row r="3893">
          <cell r="I3893" t="str">
            <v>sim</v>
          </cell>
          <cell r="V3893" t="str">
            <v>antonym</v>
          </cell>
          <cell r="W3893">
            <v>1</v>
          </cell>
          <cell r="X3893" t="str">
            <v>neg</v>
          </cell>
        </row>
        <row r="3894">
          <cell r="I3894" t="str">
            <v>sim</v>
          </cell>
          <cell r="V3894" t="str">
            <v>not neg pair</v>
          </cell>
          <cell r="W3894">
            <v>0</v>
          </cell>
          <cell r="X3894" t="str">
            <v>0</v>
          </cell>
        </row>
        <row r="3895">
          <cell r="I3895" t="str">
            <v>sim</v>
          </cell>
          <cell r="V3895" t="str">
            <v>not neg pair</v>
          </cell>
          <cell r="W3895">
            <v>0</v>
          </cell>
          <cell r="X3895" t="str">
            <v>0</v>
          </cell>
        </row>
        <row r="3896">
          <cell r="I3896" t="str">
            <v>sim</v>
          </cell>
          <cell r="V3896" t="str">
            <v>not neg pair</v>
          </cell>
          <cell r="W3896">
            <v>0</v>
          </cell>
          <cell r="X3896" t="str">
            <v>0</v>
          </cell>
        </row>
        <row r="3897">
          <cell r="I3897" t="str">
            <v>sim</v>
          </cell>
          <cell r="V3897" t="str">
            <v>not neg pair</v>
          </cell>
          <cell r="W3897">
            <v>0</v>
          </cell>
          <cell r="X3897" t="str">
            <v>0</v>
          </cell>
        </row>
        <row r="3898">
          <cell r="I3898" t="str">
            <v>sim</v>
          </cell>
          <cell r="V3898" t="str">
            <v>not neg pair</v>
          </cell>
          <cell r="W3898">
            <v>0</v>
          </cell>
          <cell r="X3898" t="str">
            <v>0</v>
          </cell>
        </row>
        <row r="3899">
          <cell r="I3899" t="str">
            <v>sim</v>
          </cell>
          <cell r="V3899" t="str">
            <v>not neg pair</v>
          </cell>
          <cell r="W3899">
            <v>0</v>
          </cell>
          <cell r="X3899" t="str">
            <v>0</v>
          </cell>
        </row>
        <row r="3900">
          <cell r="I3900" t="str">
            <v>sim</v>
          </cell>
          <cell r="V3900" t="str">
            <v>antonym</v>
          </cell>
          <cell r="W3900">
            <v>1</v>
          </cell>
          <cell r="X3900" t="str">
            <v>intens</v>
          </cell>
        </row>
        <row r="3901">
          <cell r="I3901" t="str">
            <v>sim</v>
          </cell>
          <cell r="V3901" t="str">
            <v>antonym</v>
          </cell>
          <cell r="W3901">
            <v>1</v>
          </cell>
          <cell r="X3901" t="str">
            <v>neg</v>
          </cell>
        </row>
        <row r="3902">
          <cell r="I3902" t="str">
            <v>sim</v>
          </cell>
          <cell r="V3902" t="str">
            <v>not neg pair</v>
          </cell>
          <cell r="W3902">
            <v>0</v>
          </cell>
          <cell r="X3902" t="str">
            <v>0</v>
          </cell>
        </row>
        <row r="3903">
          <cell r="I3903" t="str">
            <v>sim</v>
          </cell>
          <cell r="V3903" t="str">
            <v>not neg pair</v>
          </cell>
          <cell r="W3903">
            <v>0</v>
          </cell>
          <cell r="X3903" t="str">
            <v>0</v>
          </cell>
        </row>
        <row r="3904">
          <cell r="I3904" t="str">
            <v>sim</v>
          </cell>
          <cell r="V3904" t="str">
            <v>not</v>
          </cell>
          <cell r="W3904">
            <v>1</v>
          </cell>
          <cell r="X3904" t="str">
            <v>intens</v>
          </cell>
        </row>
        <row r="3905">
          <cell r="I3905" t="str">
            <v>sim</v>
          </cell>
          <cell r="V3905" t="str">
            <v>not</v>
          </cell>
          <cell r="W3905">
            <v>1</v>
          </cell>
          <cell r="X3905" t="str">
            <v>neg</v>
          </cell>
        </row>
        <row r="3906">
          <cell r="I3906" t="str">
            <v>sim</v>
          </cell>
          <cell r="V3906" t="str">
            <v>not</v>
          </cell>
          <cell r="W3906">
            <v>1</v>
          </cell>
          <cell r="X3906" t="str">
            <v>intens</v>
          </cell>
        </row>
        <row r="3907">
          <cell r="I3907" t="str">
            <v>sim</v>
          </cell>
          <cell r="V3907" t="str">
            <v>not</v>
          </cell>
          <cell r="W3907">
            <v>1</v>
          </cell>
          <cell r="X3907" t="str">
            <v>neg</v>
          </cell>
        </row>
        <row r="3908">
          <cell r="I3908" t="str">
            <v>sim</v>
          </cell>
          <cell r="V3908" t="str">
            <v>not neg pair</v>
          </cell>
          <cell r="W3908">
            <v>0</v>
          </cell>
          <cell r="X3908" t="str">
            <v>0</v>
          </cell>
        </row>
        <row r="3909">
          <cell r="I3909" t="str">
            <v>sim</v>
          </cell>
          <cell r="V3909" t="str">
            <v>not neg pair</v>
          </cell>
          <cell r="W3909">
            <v>0</v>
          </cell>
          <cell r="X3909" t="str">
            <v>0</v>
          </cell>
        </row>
        <row r="3910">
          <cell r="I3910" t="str">
            <v>sim</v>
          </cell>
          <cell r="V3910" t="str">
            <v>antonym</v>
          </cell>
          <cell r="W3910">
            <v>1</v>
          </cell>
          <cell r="X3910" t="str">
            <v>intens</v>
          </cell>
        </row>
        <row r="3911">
          <cell r="I3911" t="str">
            <v>sim</v>
          </cell>
          <cell r="V3911" t="str">
            <v>antonym</v>
          </cell>
          <cell r="W3911">
            <v>1</v>
          </cell>
          <cell r="X3911" t="str">
            <v>neg</v>
          </cell>
        </row>
        <row r="3912">
          <cell r="I3912" t="str">
            <v>sim</v>
          </cell>
          <cell r="V3912" t="str">
            <v>not</v>
          </cell>
          <cell r="W3912">
            <v>1</v>
          </cell>
          <cell r="X3912" t="str">
            <v>neg</v>
          </cell>
        </row>
        <row r="3913">
          <cell r="I3913" t="str">
            <v>sim</v>
          </cell>
          <cell r="V3913" t="str">
            <v>not</v>
          </cell>
          <cell r="W3913">
            <v>1</v>
          </cell>
          <cell r="X3913" t="str">
            <v>intens</v>
          </cell>
        </row>
        <row r="3914">
          <cell r="I3914" t="str">
            <v>sim</v>
          </cell>
          <cell r="V3914" t="str">
            <v>not</v>
          </cell>
          <cell r="W3914">
            <v>1</v>
          </cell>
          <cell r="X3914" t="str">
            <v>intens</v>
          </cell>
        </row>
        <row r="3915">
          <cell r="I3915" t="str">
            <v>sim</v>
          </cell>
          <cell r="V3915" t="str">
            <v>not</v>
          </cell>
          <cell r="W3915">
            <v>1</v>
          </cell>
          <cell r="X3915" t="str">
            <v>neg</v>
          </cell>
        </row>
        <row r="3916">
          <cell r="I3916" t="str">
            <v>sim</v>
          </cell>
          <cell r="V3916" t="str">
            <v>not</v>
          </cell>
          <cell r="W3916">
            <v>1</v>
          </cell>
          <cell r="X3916" t="str">
            <v>intens</v>
          </cell>
        </row>
        <row r="3917">
          <cell r="I3917" t="str">
            <v>sim</v>
          </cell>
          <cell r="V3917" t="str">
            <v>not</v>
          </cell>
          <cell r="W3917">
            <v>1</v>
          </cell>
          <cell r="X3917" t="str">
            <v>neg</v>
          </cell>
        </row>
        <row r="3918">
          <cell r="I3918" t="str">
            <v>sim</v>
          </cell>
          <cell r="V3918" t="str">
            <v>not</v>
          </cell>
          <cell r="W3918">
            <v>1</v>
          </cell>
          <cell r="X3918" t="str">
            <v>intens</v>
          </cell>
        </row>
        <row r="3919">
          <cell r="I3919" t="str">
            <v>sim</v>
          </cell>
          <cell r="V3919" t="str">
            <v>not</v>
          </cell>
          <cell r="W3919">
            <v>1</v>
          </cell>
          <cell r="X3919" t="str">
            <v>neg</v>
          </cell>
        </row>
        <row r="3920">
          <cell r="I3920" t="str">
            <v>sim</v>
          </cell>
          <cell r="V3920" t="str">
            <v>not neg pair</v>
          </cell>
          <cell r="W3920">
            <v>0</v>
          </cell>
          <cell r="X3920" t="str">
            <v>0</v>
          </cell>
        </row>
        <row r="3921">
          <cell r="I3921" t="str">
            <v>sim</v>
          </cell>
          <cell r="V3921" t="str">
            <v>not neg pair</v>
          </cell>
          <cell r="W3921">
            <v>0</v>
          </cell>
          <cell r="X3921" t="str">
            <v>0</v>
          </cell>
        </row>
        <row r="3922">
          <cell r="I3922" t="str">
            <v>sim</v>
          </cell>
          <cell r="V3922" t="str">
            <v>not</v>
          </cell>
          <cell r="W3922">
            <v>1</v>
          </cell>
          <cell r="X3922" t="str">
            <v>intens</v>
          </cell>
        </row>
        <row r="3923">
          <cell r="I3923" t="str">
            <v>sim</v>
          </cell>
          <cell r="V3923" t="str">
            <v>not</v>
          </cell>
          <cell r="W3923">
            <v>1</v>
          </cell>
          <cell r="X3923" t="str">
            <v>neg</v>
          </cell>
        </row>
        <row r="3924">
          <cell r="I3924" t="str">
            <v>met</v>
          </cell>
          <cell r="V3924" t="str">
            <v>0</v>
          </cell>
          <cell r="W3924">
            <v>0</v>
          </cell>
          <cell r="X3924" t="str">
            <v>0</v>
          </cell>
        </row>
        <row r="3925">
          <cell r="I3925" t="str">
            <v>sim</v>
          </cell>
          <cell r="V3925" t="str">
            <v>not neg pair</v>
          </cell>
          <cell r="W3925">
            <v>0</v>
          </cell>
          <cell r="X3925" t="str">
            <v>0</v>
          </cell>
        </row>
        <row r="3926">
          <cell r="I3926" t="str">
            <v>sim</v>
          </cell>
          <cell r="V3926" t="str">
            <v>not neg pair</v>
          </cell>
          <cell r="W3926">
            <v>0</v>
          </cell>
          <cell r="X3926" t="str">
            <v>0</v>
          </cell>
        </row>
        <row r="3927">
          <cell r="I3927" t="str">
            <v>sim</v>
          </cell>
          <cell r="V3927" t="str">
            <v>not neg pair</v>
          </cell>
          <cell r="W3927">
            <v>0</v>
          </cell>
          <cell r="X3927" t="str">
            <v>0</v>
          </cell>
        </row>
        <row r="3928">
          <cell r="I3928" t="str">
            <v>sim</v>
          </cell>
          <cell r="V3928" t="str">
            <v>not</v>
          </cell>
          <cell r="W3928">
            <v>1</v>
          </cell>
          <cell r="X3928" t="str">
            <v>intens</v>
          </cell>
        </row>
        <row r="3929">
          <cell r="I3929" t="str">
            <v>sim</v>
          </cell>
          <cell r="V3929" t="str">
            <v>not</v>
          </cell>
          <cell r="W3929">
            <v>1</v>
          </cell>
          <cell r="X3929" t="str">
            <v>neg</v>
          </cell>
        </row>
        <row r="3930">
          <cell r="I3930" t="str">
            <v>sim</v>
          </cell>
          <cell r="V3930" t="str">
            <v>not neg pair</v>
          </cell>
          <cell r="W3930">
            <v>0</v>
          </cell>
          <cell r="X3930" t="str">
            <v>0</v>
          </cell>
        </row>
        <row r="3931">
          <cell r="I3931" t="str">
            <v>sim</v>
          </cell>
          <cell r="V3931" t="str">
            <v>not neg pair</v>
          </cell>
          <cell r="W3931">
            <v>0</v>
          </cell>
          <cell r="X3931" t="str">
            <v>0</v>
          </cell>
        </row>
        <row r="3932">
          <cell r="I3932" t="str">
            <v>sim</v>
          </cell>
          <cell r="V3932" t="str">
            <v>not neg pair</v>
          </cell>
          <cell r="W3932">
            <v>0</v>
          </cell>
          <cell r="X3932" t="str">
            <v>0</v>
          </cell>
        </row>
        <row r="3933">
          <cell r="I3933" t="str">
            <v>sim</v>
          </cell>
          <cell r="V3933" t="str">
            <v>not neg pair</v>
          </cell>
          <cell r="W3933">
            <v>0</v>
          </cell>
          <cell r="X3933" t="str">
            <v>0</v>
          </cell>
        </row>
        <row r="3934">
          <cell r="I3934" t="str">
            <v>sim</v>
          </cell>
          <cell r="V3934" t="str">
            <v>not neg pair</v>
          </cell>
          <cell r="W3934">
            <v>0</v>
          </cell>
          <cell r="X3934" t="str">
            <v>0</v>
          </cell>
        </row>
        <row r="3935">
          <cell r="I3935" t="str">
            <v>sim</v>
          </cell>
          <cell r="V3935" t="str">
            <v>not neg pair</v>
          </cell>
          <cell r="W3935">
            <v>0</v>
          </cell>
          <cell r="X3935" t="str">
            <v>0</v>
          </cell>
        </row>
        <row r="3936">
          <cell r="I3936" t="str">
            <v>sim</v>
          </cell>
          <cell r="V3936" t="str">
            <v>not neg pair</v>
          </cell>
          <cell r="W3936">
            <v>0</v>
          </cell>
          <cell r="X3936" t="str">
            <v>0</v>
          </cell>
        </row>
        <row r="3937">
          <cell r="I3937" t="str">
            <v>sim</v>
          </cell>
          <cell r="V3937" t="str">
            <v>not neg pair</v>
          </cell>
          <cell r="W3937">
            <v>0</v>
          </cell>
          <cell r="X3937" t="str">
            <v>0</v>
          </cell>
        </row>
        <row r="3938">
          <cell r="I3938" t="str">
            <v>sim</v>
          </cell>
          <cell r="V3938" t="str">
            <v>not neg pair</v>
          </cell>
          <cell r="W3938">
            <v>0</v>
          </cell>
          <cell r="X3938" t="str">
            <v>0</v>
          </cell>
        </row>
        <row r="3939">
          <cell r="I3939" t="str">
            <v>sim</v>
          </cell>
          <cell r="V3939" t="str">
            <v>not neg pair</v>
          </cell>
          <cell r="W3939">
            <v>0</v>
          </cell>
          <cell r="X3939" t="str">
            <v>0</v>
          </cell>
        </row>
        <row r="3940">
          <cell r="I3940" t="str">
            <v>sim</v>
          </cell>
          <cell r="V3940" t="str">
            <v>not</v>
          </cell>
          <cell r="W3940">
            <v>1</v>
          </cell>
          <cell r="X3940" t="str">
            <v>neg</v>
          </cell>
        </row>
        <row r="3941">
          <cell r="I3941" t="str">
            <v>sim</v>
          </cell>
          <cell r="V3941" t="str">
            <v>not</v>
          </cell>
          <cell r="W3941">
            <v>1</v>
          </cell>
          <cell r="X3941" t="str">
            <v>intens</v>
          </cell>
        </row>
        <row r="3942">
          <cell r="I3942" t="str">
            <v>met</v>
          </cell>
          <cell r="V3942" t="str">
            <v>0</v>
          </cell>
          <cell r="W3942">
            <v>0</v>
          </cell>
          <cell r="X3942" t="str">
            <v>0</v>
          </cell>
        </row>
        <row r="3943">
          <cell r="I3943" t="str">
            <v>met</v>
          </cell>
          <cell r="V3943" t="str">
            <v>0</v>
          </cell>
          <cell r="W3943">
            <v>0</v>
          </cell>
          <cell r="X3943" t="str">
            <v>0</v>
          </cell>
        </row>
        <row r="3944">
          <cell r="I3944" t="str">
            <v>met</v>
          </cell>
          <cell r="V3944" t="str">
            <v>0</v>
          </cell>
          <cell r="W3944">
            <v>0</v>
          </cell>
          <cell r="X3944" t="str">
            <v>0</v>
          </cell>
        </row>
        <row r="3945">
          <cell r="I3945" t="str">
            <v>met</v>
          </cell>
          <cell r="V3945" t="str">
            <v>0</v>
          </cell>
          <cell r="W3945">
            <v>0</v>
          </cell>
          <cell r="X3945" t="str">
            <v>0</v>
          </cell>
        </row>
        <row r="3946">
          <cell r="I3946" t="str">
            <v>met</v>
          </cell>
          <cell r="V3946" t="str">
            <v>0</v>
          </cell>
          <cell r="W3946">
            <v>0</v>
          </cell>
          <cell r="X3946" t="str">
            <v>0</v>
          </cell>
        </row>
        <row r="3947">
          <cell r="I3947" t="str">
            <v>met</v>
          </cell>
          <cell r="V3947" t="str">
            <v>0</v>
          </cell>
          <cell r="W3947">
            <v>0</v>
          </cell>
          <cell r="X3947" t="str">
            <v>0</v>
          </cell>
        </row>
        <row r="3948">
          <cell r="I3948" t="str">
            <v>met</v>
          </cell>
          <cell r="V3948" t="str">
            <v>0</v>
          </cell>
          <cell r="W3948">
            <v>0</v>
          </cell>
          <cell r="X3948" t="str">
            <v>0</v>
          </cell>
        </row>
        <row r="3949">
          <cell r="I3949" t="str">
            <v>met</v>
          </cell>
          <cell r="V3949" t="str">
            <v>0</v>
          </cell>
          <cell r="W3949">
            <v>0</v>
          </cell>
          <cell r="X3949" t="str">
            <v>0</v>
          </cell>
        </row>
        <row r="3950">
          <cell r="I3950" t="str">
            <v>sim</v>
          </cell>
          <cell r="V3950" t="str">
            <v>not neg pair</v>
          </cell>
          <cell r="W3950">
            <v>0</v>
          </cell>
          <cell r="X3950" t="str">
            <v>0</v>
          </cell>
        </row>
        <row r="3951">
          <cell r="I3951" t="str">
            <v>sim</v>
          </cell>
          <cell r="V3951" t="str">
            <v>not neg pair</v>
          </cell>
          <cell r="W3951">
            <v>0</v>
          </cell>
          <cell r="X3951" t="str">
            <v>0</v>
          </cell>
        </row>
        <row r="3952">
          <cell r="I3952" t="str">
            <v>met</v>
          </cell>
          <cell r="V3952" t="str">
            <v>0</v>
          </cell>
          <cell r="W3952">
            <v>0</v>
          </cell>
          <cell r="X3952" t="str">
            <v>0</v>
          </cell>
        </row>
        <row r="3953">
          <cell r="I3953" t="str">
            <v>met</v>
          </cell>
          <cell r="V3953" t="str">
            <v>0</v>
          </cell>
          <cell r="W3953">
            <v>0</v>
          </cell>
          <cell r="X3953" t="str">
            <v>0</v>
          </cell>
        </row>
        <row r="3954">
          <cell r="I3954" t="str">
            <v>sim</v>
          </cell>
          <cell r="V3954" t="str">
            <v>not</v>
          </cell>
          <cell r="W3954">
            <v>1</v>
          </cell>
          <cell r="X3954" t="str">
            <v>intens</v>
          </cell>
        </row>
        <row r="3955">
          <cell r="I3955" t="str">
            <v>sim</v>
          </cell>
          <cell r="V3955" t="str">
            <v>not</v>
          </cell>
          <cell r="W3955">
            <v>1</v>
          </cell>
          <cell r="X3955" t="str">
            <v>neg</v>
          </cell>
        </row>
        <row r="3956">
          <cell r="I3956" t="str">
            <v>sim</v>
          </cell>
          <cell r="V3956" t="str">
            <v>antonym</v>
          </cell>
          <cell r="W3956">
            <v>1</v>
          </cell>
          <cell r="X3956" t="str">
            <v>intens</v>
          </cell>
        </row>
        <row r="3957">
          <cell r="I3957" t="str">
            <v>sim</v>
          </cell>
          <cell r="V3957" t="str">
            <v>antonym</v>
          </cell>
          <cell r="W3957">
            <v>1</v>
          </cell>
          <cell r="X3957" t="str">
            <v>neg</v>
          </cell>
        </row>
        <row r="3958">
          <cell r="I3958" t="str">
            <v>sim</v>
          </cell>
          <cell r="V3958" t="str">
            <v>not neg pair</v>
          </cell>
          <cell r="W3958">
            <v>0</v>
          </cell>
          <cell r="X3958" t="str">
            <v>0</v>
          </cell>
        </row>
        <row r="3959">
          <cell r="I3959" t="str">
            <v>sim</v>
          </cell>
          <cell r="V3959" t="str">
            <v>not neg pair</v>
          </cell>
          <cell r="W3959">
            <v>0</v>
          </cell>
          <cell r="X3959" t="str">
            <v>0</v>
          </cell>
        </row>
        <row r="3960">
          <cell r="I3960" t="str">
            <v>met</v>
          </cell>
          <cell r="V3960" t="str">
            <v>0</v>
          </cell>
          <cell r="W3960">
            <v>0</v>
          </cell>
          <cell r="X3960" t="str">
            <v>0</v>
          </cell>
        </row>
        <row r="3961">
          <cell r="I3961" t="str">
            <v>met</v>
          </cell>
          <cell r="V3961" t="str">
            <v>0</v>
          </cell>
          <cell r="W3961">
            <v>0</v>
          </cell>
          <cell r="X3961" t="str">
            <v>0</v>
          </cell>
        </row>
        <row r="3962">
          <cell r="I3962" t="str">
            <v>met</v>
          </cell>
          <cell r="V3962" t="str">
            <v>0</v>
          </cell>
          <cell r="W3962">
            <v>0</v>
          </cell>
          <cell r="X3962" t="str">
            <v>0</v>
          </cell>
        </row>
        <row r="3963">
          <cell r="I3963" t="str">
            <v>sim</v>
          </cell>
          <cell r="V3963" t="str">
            <v>not neg pair</v>
          </cell>
          <cell r="W3963">
            <v>0</v>
          </cell>
          <cell r="X3963" t="str">
            <v>0</v>
          </cell>
        </row>
        <row r="3964">
          <cell r="I3964" t="str">
            <v>met</v>
          </cell>
          <cell r="V3964" t="str">
            <v>0</v>
          </cell>
          <cell r="W3964">
            <v>0</v>
          </cell>
          <cell r="X3964" t="str">
            <v>0</v>
          </cell>
        </row>
        <row r="3965">
          <cell r="I3965" t="str">
            <v>sim</v>
          </cell>
          <cell r="V3965" t="str">
            <v>not neg pair</v>
          </cell>
          <cell r="W3965">
            <v>0</v>
          </cell>
          <cell r="X3965" t="str">
            <v>0</v>
          </cell>
        </row>
        <row r="3966">
          <cell r="I3966" t="str">
            <v>met</v>
          </cell>
          <cell r="V3966" t="str">
            <v>0</v>
          </cell>
          <cell r="W3966">
            <v>0</v>
          </cell>
          <cell r="X3966" t="str">
            <v>0</v>
          </cell>
        </row>
        <row r="3967">
          <cell r="I3967" t="str">
            <v>met</v>
          </cell>
          <cell r="V3967" t="str">
            <v>0</v>
          </cell>
          <cell r="W3967">
            <v>0</v>
          </cell>
          <cell r="X3967" t="str">
            <v>0</v>
          </cell>
        </row>
        <row r="3968">
          <cell r="I3968" t="str">
            <v>sim</v>
          </cell>
          <cell r="V3968" t="str">
            <v>not neg pair</v>
          </cell>
          <cell r="W3968">
            <v>0</v>
          </cell>
          <cell r="X3968" t="str">
            <v>0</v>
          </cell>
        </row>
        <row r="3969">
          <cell r="I3969" t="str">
            <v>sim</v>
          </cell>
          <cell r="V3969" t="str">
            <v>not neg pair</v>
          </cell>
          <cell r="W3969">
            <v>0</v>
          </cell>
          <cell r="X3969" t="str">
            <v>0</v>
          </cell>
        </row>
        <row r="3970">
          <cell r="I3970" t="str">
            <v>sim</v>
          </cell>
          <cell r="V3970" t="str">
            <v>antonym</v>
          </cell>
          <cell r="W3970">
            <v>1</v>
          </cell>
          <cell r="X3970" t="str">
            <v>intens</v>
          </cell>
        </row>
        <row r="3971">
          <cell r="I3971" t="str">
            <v>sim</v>
          </cell>
          <cell r="V3971" t="str">
            <v>antonym</v>
          </cell>
          <cell r="W3971">
            <v>1</v>
          </cell>
          <cell r="X3971" t="str">
            <v>neg</v>
          </cell>
        </row>
        <row r="3972">
          <cell r="I3972" t="str">
            <v>sim</v>
          </cell>
          <cell r="V3972" t="str">
            <v>not neg pair</v>
          </cell>
          <cell r="W3972">
            <v>0</v>
          </cell>
          <cell r="X3972" t="str">
            <v>0</v>
          </cell>
        </row>
        <row r="3973">
          <cell r="I3973" t="str">
            <v>sim</v>
          </cell>
          <cell r="V3973" t="str">
            <v>not neg pair</v>
          </cell>
          <cell r="W3973">
            <v>0</v>
          </cell>
          <cell r="X3973" t="str">
            <v>0</v>
          </cell>
        </row>
        <row r="3974">
          <cell r="I3974" t="str">
            <v>sim</v>
          </cell>
          <cell r="V3974" t="str">
            <v>not</v>
          </cell>
          <cell r="W3974">
            <v>1</v>
          </cell>
          <cell r="X3974" t="str">
            <v>intens</v>
          </cell>
        </row>
        <row r="3975">
          <cell r="I3975" t="str">
            <v>sim</v>
          </cell>
          <cell r="V3975" t="str">
            <v>not</v>
          </cell>
          <cell r="W3975">
            <v>1</v>
          </cell>
          <cell r="X3975" t="str">
            <v>neg</v>
          </cell>
        </row>
        <row r="3976">
          <cell r="I3976" t="str">
            <v>met</v>
          </cell>
          <cell r="V3976" t="str">
            <v>0</v>
          </cell>
          <cell r="W3976">
            <v>0</v>
          </cell>
          <cell r="X3976" t="str">
            <v>0</v>
          </cell>
        </row>
        <row r="3977">
          <cell r="I3977" t="str">
            <v>met</v>
          </cell>
          <cell r="V3977" t="str">
            <v>0</v>
          </cell>
          <cell r="W3977">
            <v>0</v>
          </cell>
          <cell r="X3977" t="str">
            <v>0</v>
          </cell>
        </row>
        <row r="3978">
          <cell r="I3978" t="str">
            <v>met</v>
          </cell>
          <cell r="V3978" t="str">
            <v>0</v>
          </cell>
          <cell r="W3978">
            <v>0</v>
          </cell>
          <cell r="X3978" t="str">
            <v>0</v>
          </cell>
        </row>
        <row r="3979">
          <cell r="I3979" t="str">
            <v>met</v>
          </cell>
          <cell r="V3979" t="str">
            <v>0</v>
          </cell>
          <cell r="W3979">
            <v>0</v>
          </cell>
          <cell r="X3979" t="str">
            <v>0</v>
          </cell>
        </row>
        <row r="3980">
          <cell r="I3980" t="str">
            <v>sim</v>
          </cell>
          <cell r="V3980" t="str">
            <v>not</v>
          </cell>
          <cell r="W3980">
            <v>1</v>
          </cell>
          <cell r="X3980" t="str">
            <v>neg</v>
          </cell>
        </row>
        <row r="3981">
          <cell r="I3981" t="str">
            <v>sim</v>
          </cell>
          <cell r="V3981" t="str">
            <v>not</v>
          </cell>
          <cell r="W3981">
            <v>1</v>
          </cell>
          <cell r="X3981" t="str">
            <v>intens</v>
          </cell>
        </row>
        <row r="3982">
          <cell r="I3982" t="str">
            <v>sim</v>
          </cell>
          <cell r="V3982" t="str">
            <v>not</v>
          </cell>
          <cell r="W3982">
            <v>1</v>
          </cell>
          <cell r="X3982" t="str">
            <v>intens</v>
          </cell>
        </row>
        <row r="3983">
          <cell r="I3983" t="str">
            <v>sim</v>
          </cell>
          <cell r="V3983" t="str">
            <v>not</v>
          </cell>
          <cell r="W3983">
            <v>1</v>
          </cell>
          <cell r="X3983" t="str">
            <v>neg</v>
          </cell>
        </row>
        <row r="3984">
          <cell r="I3984" t="str">
            <v>sim</v>
          </cell>
          <cell r="V3984" t="str">
            <v>not</v>
          </cell>
          <cell r="W3984">
            <v>1</v>
          </cell>
          <cell r="X3984" t="str">
            <v>neg</v>
          </cell>
        </row>
        <row r="3985">
          <cell r="I3985" t="str">
            <v>sim</v>
          </cell>
          <cell r="V3985" t="str">
            <v>not</v>
          </cell>
          <cell r="W3985">
            <v>1</v>
          </cell>
          <cell r="X3985" t="str">
            <v>intens</v>
          </cell>
        </row>
        <row r="3986">
          <cell r="I3986" t="str">
            <v>sim</v>
          </cell>
          <cell r="V3986" t="str">
            <v>not neg pair</v>
          </cell>
          <cell r="W3986">
            <v>0</v>
          </cell>
          <cell r="X3986" t="str">
            <v>0</v>
          </cell>
        </row>
        <row r="3987">
          <cell r="I3987" t="str">
            <v>sim</v>
          </cell>
          <cell r="V3987" t="str">
            <v>not neg pair</v>
          </cell>
          <cell r="W3987">
            <v>0</v>
          </cell>
          <cell r="X3987" t="str">
            <v>0</v>
          </cell>
        </row>
        <row r="3988">
          <cell r="I3988" t="str">
            <v>sim</v>
          </cell>
          <cell r="V3988" t="str">
            <v>not neg pair</v>
          </cell>
          <cell r="W3988">
            <v>0</v>
          </cell>
          <cell r="X3988" t="str">
            <v>0</v>
          </cell>
        </row>
        <row r="3989">
          <cell r="I3989" t="str">
            <v>sim</v>
          </cell>
          <cell r="V3989" t="str">
            <v>not neg pair</v>
          </cell>
          <cell r="W3989">
            <v>0</v>
          </cell>
          <cell r="X3989" t="str">
            <v>0</v>
          </cell>
        </row>
        <row r="3990">
          <cell r="I3990" t="str">
            <v>sim</v>
          </cell>
          <cell r="V3990" t="str">
            <v>not neg pair</v>
          </cell>
          <cell r="W3990">
            <v>0</v>
          </cell>
          <cell r="X3990" t="str">
            <v>0</v>
          </cell>
        </row>
        <row r="3991">
          <cell r="I3991" t="str">
            <v>sim</v>
          </cell>
          <cell r="V3991" t="str">
            <v>not neg pair</v>
          </cell>
          <cell r="W3991">
            <v>0</v>
          </cell>
          <cell r="X3991" t="str">
            <v>0</v>
          </cell>
        </row>
        <row r="3992">
          <cell r="I3992" t="str">
            <v>sim</v>
          </cell>
          <cell r="V3992" t="str">
            <v>antonym</v>
          </cell>
          <cell r="W3992">
            <v>1</v>
          </cell>
          <cell r="X3992" t="str">
            <v>intens</v>
          </cell>
        </row>
        <row r="3993">
          <cell r="I3993" t="str">
            <v>sim</v>
          </cell>
          <cell r="V3993" t="str">
            <v>antonym</v>
          </cell>
          <cell r="W3993">
            <v>1</v>
          </cell>
          <cell r="X3993" t="str">
            <v>neg</v>
          </cell>
        </row>
        <row r="3994">
          <cell r="I3994" t="str">
            <v>sim</v>
          </cell>
          <cell r="V3994" t="str">
            <v>not neg pair</v>
          </cell>
          <cell r="W3994">
            <v>0</v>
          </cell>
          <cell r="X3994" t="str">
            <v>0</v>
          </cell>
        </row>
        <row r="3995">
          <cell r="I3995" t="str">
            <v>sim</v>
          </cell>
          <cell r="V3995" t="str">
            <v>not neg pair</v>
          </cell>
          <cell r="W3995">
            <v>0</v>
          </cell>
          <cell r="X3995" t="str">
            <v>0</v>
          </cell>
        </row>
        <row r="3996">
          <cell r="I3996" t="str">
            <v>sim</v>
          </cell>
          <cell r="V3996" t="str">
            <v>not neg pair</v>
          </cell>
          <cell r="W3996">
            <v>0</v>
          </cell>
          <cell r="X3996" t="str">
            <v>0</v>
          </cell>
        </row>
        <row r="3997">
          <cell r="I3997" t="str">
            <v>sim</v>
          </cell>
          <cell r="V3997" t="str">
            <v>not neg pair</v>
          </cell>
          <cell r="W3997">
            <v>0</v>
          </cell>
          <cell r="X3997" t="str">
            <v>0</v>
          </cell>
        </row>
        <row r="3998">
          <cell r="I3998" t="str">
            <v>sim</v>
          </cell>
          <cell r="V3998" t="str">
            <v>not neg pair</v>
          </cell>
          <cell r="W3998">
            <v>0</v>
          </cell>
          <cell r="X3998" t="str">
            <v>0</v>
          </cell>
        </row>
        <row r="3999">
          <cell r="I3999" t="str">
            <v>sim</v>
          </cell>
          <cell r="V3999" t="str">
            <v>not neg pair</v>
          </cell>
          <cell r="W3999">
            <v>0</v>
          </cell>
          <cell r="X3999" t="str">
            <v>0</v>
          </cell>
        </row>
        <row r="4000">
          <cell r="I4000" t="str">
            <v>sim</v>
          </cell>
          <cell r="V4000" t="str">
            <v>not</v>
          </cell>
          <cell r="W4000">
            <v>1</v>
          </cell>
          <cell r="X4000" t="str">
            <v>neg</v>
          </cell>
        </row>
        <row r="4001">
          <cell r="I4001" t="str">
            <v>sim</v>
          </cell>
          <cell r="V4001" t="str">
            <v>not</v>
          </cell>
          <cell r="W4001">
            <v>1</v>
          </cell>
          <cell r="X4001" t="str">
            <v>intens</v>
          </cell>
        </row>
        <row r="4002">
          <cell r="I4002" t="str">
            <v>sim</v>
          </cell>
          <cell r="V4002" t="str">
            <v>not</v>
          </cell>
          <cell r="W4002">
            <v>1</v>
          </cell>
          <cell r="X4002" t="str">
            <v>neg</v>
          </cell>
        </row>
        <row r="4003">
          <cell r="I4003" t="str">
            <v>sim</v>
          </cell>
          <cell r="V4003" t="str">
            <v>not</v>
          </cell>
          <cell r="W4003">
            <v>1</v>
          </cell>
          <cell r="X4003" t="str">
            <v>intens</v>
          </cell>
        </row>
        <row r="4004">
          <cell r="I4004" t="str">
            <v>sim</v>
          </cell>
          <cell r="V4004" t="str">
            <v>not neg pair</v>
          </cell>
          <cell r="W4004">
            <v>0</v>
          </cell>
          <cell r="X4004" t="str">
            <v>0</v>
          </cell>
        </row>
        <row r="4005">
          <cell r="I4005" t="str">
            <v>sim</v>
          </cell>
          <cell r="V4005" t="str">
            <v>not neg pair</v>
          </cell>
          <cell r="W4005">
            <v>0</v>
          </cell>
          <cell r="X4005" t="str">
            <v>0</v>
          </cell>
        </row>
        <row r="4006">
          <cell r="I4006" t="str">
            <v>sim</v>
          </cell>
          <cell r="V4006" t="str">
            <v>not neg pair</v>
          </cell>
          <cell r="W4006">
            <v>0</v>
          </cell>
          <cell r="X4006" t="str">
            <v>0</v>
          </cell>
        </row>
        <row r="4007">
          <cell r="I4007" t="str">
            <v>met</v>
          </cell>
          <cell r="V4007" t="str">
            <v>0</v>
          </cell>
          <cell r="W4007">
            <v>0</v>
          </cell>
          <cell r="X4007" t="str">
            <v>0</v>
          </cell>
        </row>
        <row r="4008">
          <cell r="I4008" t="str">
            <v>met</v>
          </cell>
          <cell r="V4008" t="str">
            <v>0</v>
          </cell>
          <cell r="W4008">
            <v>0</v>
          </cell>
          <cell r="X4008" t="str">
            <v>0</v>
          </cell>
        </row>
        <row r="4009">
          <cell r="I4009" t="str">
            <v>sim</v>
          </cell>
          <cell r="V4009" t="str">
            <v>not neg pair</v>
          </cell>
          <cell r="W4009">
            <v>0</v>
          </cell>
          <cell r="X4009" t="str">
            <v>0</v>
          </cell>
        </row>
        <row r="4010">
          <cell r="I4010" t="str">
            <v>sim</v>
          </cell>
          <cell r="V4010" t="str">
            <v>not neg pair</v>
          </cell>
          <cell r="W4010">
            <v>0</v>
          </cell>
          <cell r="X4010" t="str">
            <v>0</v>
          </cell>
        </row>
        <row r="4011">
          <cell r="I4011" t="str">
            <v>sim</v>
          </cell>
          <cell r="V4011" t="str">
            <v>not neg pair</v>
          </cell>
          <cell r="W4011">
            <v>0</v>
          </cell>
          <cell r="X4011" t="str">
            <v>0</v>
          </cell>
        </row>
        <row r="4012">
          <cell r="I4012" t="str">
            <v>sim</v>
          </cell>
          <cell r="V4012" t="str">
            <v>not neg pair</v>
          </cell>
          <cell r="W4012">
            <v>0</v>
          </cell>
          <cell r="X4012" t="str">
            <v>0</v>
          </cell>
        </row>
        <row r="4013">
          <cell r="I4013" t="str">
            <v>sim</v>
          </cell>
          <cell r="V4013" t="str">
            <v>not neg pair</v>
          </cell>
          <cell r="W4013">
            <v>0</v>
          </cell>
          <cell r="X4013" t="str">
            <v>0</v>
          </cell>
        </row>
        <row r="4014">
          <cell r="I4014" t="str">
            <v>sim</v>
          </cell>
          <cell r="V4014" t="str">
            <v>not neg pair</v>
          </cell>
          <cell r="W4014">
            <v>0</v>
          </cell>
          <cell r="X4014" t="str">
            <v>0</v>
          </cell>
        </row>
        <row r="4015">
          <cell r="I4015" t="str">
            <v>sim</v>
          </cell>
          <cell r="V4015" t="str">
            <v>not neg pair</v>
          </cell>
          <cell r="W4015">
            <v>0</v>
          </cell>
          <cell r="X4015" t="str">
            <v>0</v>
          </cell>
        </row>
        <row r="4016">
          <cell r="I4016" t="str">
            <v>sim</v>
          </cell>
          <cell r="V4016" t="str">
            <v>not</v>
          </cell>
          <cell r="W4016">
            <v>1</v>
          </cell>
          <cell r="X4016" t="str">
            <v>intens</v>
          </cell>
        </row>
        <row r="4017">
          <cell r="I4017" t="str">
            <v>sim</v>
          </cell>
          <cell r="V4017" t="str">
            <v>not</v>
          </cell>
          <cell r="W4017">
            <v>1</v>
          </cell>
          <cell r="X4017" t="str">
            <v>neg</v>
          </cell>
        </row>
        <row r="4018">
          <cell r="I4018" t="str">
            <v>sim</v>
          </cell>
          <cell r="V4018" t="str">
            <v>not neg pair</v>
          </cell>
          <cell r="W4018">
            <v>0</v>
          </cell>
          <cell r="X4018" t="str">
            <v>0</v>
          </cell>
        </row>
        <row r="4019">
          <cell r="I4019" t="str">
            <v>sim</v>
          </cell>
          <cell r="V4019" t="str">
            <v>not neg pair</v>
          </cell>
          <cell r="W4019">
            <v>0</v>
          </cell>
          <cell r="X4019" t="str">
            <v>0</v>
          </cell>
        </row>
        <row r="4020">
          <cell r="I4020" t="str">
            <v>sim</v>
          </cell>
          <cell r="V4020" t="str">
            <v>antonym</v>
          </cell>
          <cell r="W4020">
            <v>1</v>
          </cell>
          <cell r="X4020" t="str">
            <v>neg</v>
          </cell>
        </row>
        <row r="4021">
          <cell r="I4021" t="str">
            <v>sim</v>
          </cell>
          <cell r="V4021" t="str">
            <v>antonym</v>
          </cell>
          <cell r="W4021">
            <v>1</v>
          </cell>
          <cell r="X4021" t="str">
            <v>intens</v>
          </cell>
        </row>
        <row r="4022">
          <cell r="I4022" t="str">
            <v>sim</v>
          </cell>
          <cell r="V4022" t="str">
            <v>not neg pair</v>
          </cell>
          <cell r="W4022">
            <v>0</v>
          </cell>
          <cell r="X4022" t="str">
            <v>0</v>
          </cell>
        </row>
        <row r="4023">
          <cell r="I4023" t="str">
            <v>sim</v>
          </cell>
          <cell r="V4023" t="str">
            <v>not neg pair</v>
          </cell>
          <cell r="W4023">
            <v>0</v>
          </cell>
          <cell r="X4023" t="str">
            <v>0</v>
          </cell>
        </row>
        <row r="4024">
          <cell r="I4024" t="str">
            <v>sim</v>
          </cell>
          <cell r="V4024" t="str">
            <v>antonym</v>
          </cell>
          <cell r="W4024">
            <v>1</v>
          </cell>
          <cell r="X4024" t="str">
            <v>neg</v>
          </cell>
        </row>
        <row r="4025">
          <cell r="I4025" t="str">
            <v>sim</v>
          </cell>
          <cell r="V4025" t="str">
            <v>antonym</v>
          </cell>
          <cell r="W4025">
            <v>1</v>
          </cell>
          <cell r="X4025" t="str">
            <v>intens</v>
          </cell>
        </row>
        <row r="4026">
          <cell r="I4026" t="str">
            <v>sim</v>
          </cell>
          <cell r="V4026" t="str">
            <v>antonym</v>
          </cell>
          <cell r="W4026">
            <v>1</v>
          </cell>
          <cell r="X4026" t="str">
            <v>intens</v>
          </cell>
        </row>
        <row r="4027">
          <cell r="I4027" t="str">
            <v>sim</v>
          </cell>
          <cell r="V4027" t="str">
            <v>antonym</v>
          </cell>
          <cell r="W4027">
            <v>1</v>
          </cell>
          <cell r="X4027" t="str">
            <v>neg</v>
          </cell>
        </row>
        <row r="4028">
          <cell r="I4028" t="str">
            <v>sim</v>
          </cell>
          <cell r="V4028" t="str">
            <v>not neg pair</v>
          </cell>
          <cell r="W4028">
            <v>0</v>
          </cell>
          <cell r="X4028" t="str">
            <v>0</v>
          </cell>
        </row>
        <row r="4029">
          <cell r="I4029" t="str">
            <v>sim</v>
          </cell>
          <cell r="V4029" t="str">
            <v>not neg pair</v>
          </cell>
          <cell r="W4029">
            <v>0</v>
          </cell>
          <cell r="X4029" t="str">
            <v>0</v>
          </cell>
        </row>
        <row r="4030">
          <cell r="I4030" t="str">
            <v>met</v>
          </cell>
          <cell r="V4030" t="str">
            <v>0</v>
          </cell>
          <cell r="W4030">
            <v>0</v>
          </cell>
          <cell r="X4030" t="str">
            <v>0</v>
          </cell>
        </row>
        <row r="4031">
          <cell r="I4031" t="str">
            <v>met</v>
          </cell>
          <cell r="V4031" t="str">
            <v>0</v>
          </cell>
          <cell r="W4031">
            <v>0</v>
          </cell>
          <cell r="X4031" t="str">
            <v>0</v>
          </cell>
        </row>
        <row r="4032">
          <cell r="I4032" t="str">
            <v>sim</v>
          </cell>
          <cell r="V4032" t="str">
            <v>not neg pair</v>
          </cell>
          <cell r="W4032">
            <v>0</v>
          </cell>
          <cell r="X4032" t="str">
            <v>0</v>
          </cell>
        </row>
        <row r="4033">
          <cell r="I4033" t="str">
            <v>sim</v>
          </cell>
          <cell r="V4033" t="str">
            <v>not neg pair</v>
          </cell>
          <cell r="W4033">
            <v>0</v>
          </cell>
          <cell r="X4033" t="str">
            <v>0</v>
          </cell>
        </row>
        <row r="4034">
          <cell r="I4034" t="str">
            <v>sim</v>
          </cell>
          <cell r="V4034" t="str">
            <v>not</v>
          </cell>
          <cell r="W4034">
            <v>1</v>
          </cell>
          <cell r="X4034" t="str">
            <v>intens</v>
          </cell>
        </row>
        <row r="4035">
          <cell r="I4035" t="str">
            <v>sim</v>
          </cell>
          <cell r="V4035" t="str">
            <v>not</v>
          </cell>
          <cell r="W4035">
            <v>1</v>
          </cell>
          <cell r="X4035" t="str">
            <v>neg</v>
          </cell>
        </row>
        <row r="4036">
          <cell r="I4036" t="str">
            <v>sim</v>
          </cell>
          <cell r="V4036" t="str">
            <v>not</v>
          </cell>
          <cell r="W4036">
            <v>1</v>
          </cell>
          <cell r="X4036" t="str">
            <v>intens</v>
          </cell>
        </row>
        <row r="4037">
          <cell r="I4037" t="str">
            <v>sim</v>
          </cell>
          <cell r="V4037" t="str">
            <v>not</v>
          </cell>
          <cell r="W4037">
            <v>1</v>
          </cell>
          <cell r="X4037" t="str">
            <v>neg</v>
          </cell>
        </row>
        <row r="4038">
          <cell r="I4038" t="str">
            <v>sim</v>
          </cell>
          <cell r="V4038" t="str">
            <v>not</v>
          </cell>
          <cell r="W4038">
            <v>1</v>
          </cell>
          <cell r="X4038" t="str">
            <v>intens</v>
          </cell>
        </row>
        <row r="4039">
          <cell r="I4039" t="str">
            <v>sim</v>
          </cell>
          <cell r="V4039" t="str">
            <v>not</v>
          </cell>
          <cell r="W4039">
            <v>1</v>
          </cell>
          <cell r="X4039" t="str">
            <v>neg</v>
          </cell>
        </row>
        <row r="4040">
          <cell r="I4040" t="str">
            <v>sim</v>
          </cell>
          <cell r="V4040" t="str">
            <v>not neg pair</v>
          </cell>
          <cell r="W4040">
            <v>0</v>
          </cell>
          <cell r="X4040" t="str">
            <v>0</v>
          </cell>
        </row>
        <row r="4041">
          <cell r="I4041" t="str">
            <v>sim</v>
          </cell>
          <cell r="V4041" t="str">
            <v>not neg pair</v>
          </cell>
          <cell r="W4041">
            <v>0</v>
          </cell>
          <cell r="X4041" t="str">
            <v>0</v>
          </cell>
        </row>
        <row r="4042">
          <cell r="I4042" t="str">
            <v>sim</v>
          </cell>
          <cell r="V4042" t="str">
            <v>not neg pair</v>
          </cell>
          <cell r="W4042">
            <v>0</v>
          </cell>
          <cell r="X4042" t="str">
            <v>0</v>
          </cell>
        </row>
        <row r="4043">
          <cell r="I4043" t="str">
            <v>sim</v>
          </cell>
          <cell r="V4043" t="str">
            <v>not neg pair</v>
          </cell>
          <cell r="W4043">
            <v>0</v>
          </cell>
          <cell r="X4043" t="str">
            <v>0</v>
          </cell>
        </row>
        <row r="4044">
          <cell r="I4044" t="str">
            <v>sim</v>
          </cell>
          <cell r="V4044" t="str">
            <v>not neg pair</v>
          </cell>
          <cell r="W4044">
            <v>0</v>
          </cell>
          <cell r="X4044" t="str">
            <v>0</v>
          </cell>
        </row>
        <row r="4045">
          <cell r="I4045" t="str">
            <v>sim</v>
          </cell>
          <cell r="V4045" t="str">
            <v>not neg pair</v>
          </cell>
          <cell r="W4045">
            <v>0</v>
          </cell>
          <cell r="X4045" t="str">
            <v>0</v>
          </cell>
        </row>
        <row r="4046">
          <cell r="I4046" t="str">
            <v>sim</v>
          </cell>
          <cell r="V4046" t="str">
            <v>not neg pair</v>
          </cell>
          <cell r="W4046">
            <v>0</v>
          </cell>
          <cell r="X4046" t="str">
            <v>0</v>
          </cell>
        </row>
        <row r="4047">
          <cell r="I4047" t="str">
            <v>sim</v>
          </cell>
          <cell r="V4047" t="str">
            <v>not neg pair</v>
          </cell>
          <cell r="W4047">
            <v>0</v>
          </cell>
          <cell r="X4047" t="str">
            <v>0</v>
          </cell>
        </row>
        <row r="4048">
          <cell r="I4048" t="str">
            <v>sim</v>
          </cell>
          <cell r="V4048" t="str">
            <v>antonym</v>
          </cell>
          <cell r="W4048">
            <v>1</v>
          </cell>
          <cell r="X4048" t="str">
            <v>intens</v>
          </cell>
        </row>
        <row r="4049">
          <cell r="I4049" t="str">
            <v>sim</v>
          </cell>
          <cell r="V4049" t="str">
            <v>antonym</v>
          </cell>
          <cell r="W4049">
            <v>1</v>
          </cell>
          <cell r="X4049" t="str">
            <v>neg</v>
          </cell>
        </row>
        <row r="4050">
          <cell r="I4050" t="str">
            <v>sim</v>
          </cell>
          <cell r="V4050" t="str">
            <v>antonym</v>
          </cell>
          <cell r="W4050">
            <v>1</v>
          </cell>
          <cell r="X4050" t="str">
            <v>neg</v>
          </cell>
        </row>
        <row r="4051">
          <cell r="I4051" t="str">
            <v>sim</v>
          </cell>
          <cell r="V4051" t="str">
            <v>antonym</v>
          </cell>
          <cell r="W4051">
            <v>1</v>
          </cell>
          <cell r="X4051" t="str">
            <v>intens</v>
          </cell>
        </row>
        <row r="4052">
          <cell r="I4052" t="str">
            <v>sim</v>
          </cell>
          <cell r="V4052" t="str">
            <v>antonym</v>
          </cell>
          <cell r="W4052">
            <v>1</v>
          </cell>
          <cell r="X4052" t="str">
            <v>intens</v>
          </cell>
        </row>
        <row r="4053">
          <cell r="I4053" t="str">
            <v>sim</v>
          </cell>
          <cell r="V4053" t="str">
            <v>antonym</v>
          </cell>
          <cell r="W4053">
            <v>1</v>
          </cell>
          <cell r="X4053" t="str">
            <v>neg</v>
          </cell>
        </row>
        <row r="4054">
          <cell r="I4054" t="str">
            <v>met</v>
          </cell>
          <cell r="V4054" t="str">
            <v>0</v>
          </cell>
          <cell r="W4054">
            <v>0</v>
          </cell>
          <cell r="X4054" t="str">
            <v>0</v>
          </cell>
        </row>
        <row r="4055">
          <cell r="I4055" t="str">
            <v>sim</v>
          </cell>
          <cell r="V4055" t="str">
            <v>not neg pair</v>
          </cell>
          <cell r="W4055">
            <v>0</v>
          </cell>
          <cell r="X4055" t="str">
            <v>0</v>
          </cell>
        </row>
        <row r="4056">
          <cell r="I4056" t="str">
            <v>sim</v>
          </cell>
          <cell r="V4056" t="str">
            <v>antonym</v>
          </cell>
          <cell r="W4056">
            <v>1</v>
          </cell>
          <cell r="X4056" t="str">
            <v>intens</v>
          </cell>
        </row>
        <row r="4057">
          <cell r="I4057" t="str">
            <v>sim</v>
          </cell>
          <cell r="V4057" t="str">
            <v>antonym</v>
          </cell>
          <cell r="W4057">
            <v>1</v>
          </cell>
          <cell r="X4057" t="str">
            <v>neg</v>
          </cell>
        </row>
        <row r="4058">
          <cell r="I4058" t="str">
            <v>sim</v>
          </cell>
          <cell r="V4058" t="str">
            <v>not</v>
          </cell>
          <cell r="W4058">
            <v>1</v>
          </cell>
          <cell r="X4058" t="str">
            <v>intens</v>
          </cell>
        </row>
        <row r="4059">
          <cell r="I4059" t="str">
            <v>sim</v>
          </cell>
          <cell r="V4059" t="str">
            <v>not</v>
          </cell>
          <cell r="W4059">
            <v>1</v>
          </cell>
          <cell r="X4059" t="str">
            <v>neg</v>
          </cell>
        </row>
        <row r="4060">
          <cell r="I4060" t="str">
            <v>sim</v>
          </cell>
          <cell r="V4060" t="str">
            <v>antonym</v>
          </cell>
          <cell r="W4060">
            <v>1</v>
          </cell>
          <cell r="X4060" t="str">
            <v>intens</v>
          </cell>
        </row>
        <row r="4061">
          <cell r="I4061" t="str">
            <v>sim</v>
          </cell>
          <cell r="V4061" t="str">
            <v>antonym</v>
          </cell>
          <cell r="W4061">
            <v>1</v>
          </cell>
          <cell r="X4061" t="str">
            <v>neg</v>
          </cell>
        </row>
        <row r="4062">
          <cell r="I4062" t="str">
            <v>sim</v>
          </cell>
          <cell r="V4062" t="str">
            <v>not</v>
          </cell>
          <cell r="W4062">
            <v>1</v>
          </cell>
          <cell r="X4062" t="str">
            <v>neg</v>
          </cell>
        </row>
        <row r="4063">
          <cell r="I4063" t="str">
            <v>sim</v>
          </cell>
          <cell r="V4063" t="str">
            <v>not</v>
          </cell>
          <cell r="W4063">
            <v>1</v>
          </cell>
          <cell r="X4063" t="str">
            <v>intens</v>
          </cell>
        </row>
        <row r="4064">
          <cell r="I4064" t="str">
            <v>sim</v>
          </cell>
          <cell r="V4064" t="str">
            <v>not neg pair</v>
          </cell>
          <cell r="W4064">
            <v>0</v>
          </cell>
          <cell r="X4064" t="str">
            <v>0</v>
          </cell>
        </row>
        <row r="4065">
          <cell r="I4065" t="str">
            <v>sim</v>
          </cell>
          <cell r="V4065" t="str">
            <v>not neg pair</v>
          </cell>
          <cell r="W4065">
            <v>0</v>
          </cell>
          <cell r="X4065" t="str">
            <v>0</v>
          </cell>
        </row>
        <row r="4066">
          <cell r="I4066" t="str">
            <v>sim</v>
          </cell>
          <cell r="V4066" t="str">
            <v>antonym</v>
          </cell>
          <cell r="W4066">
            <v>1</v>
          </cell>
          <cell r="X4066" t="str">
            <v>neg</v>
          </cell>
        </row>
        <row r="4067">
          <cell r="I4067" t="str">
            <v>sim</v>
          </cell>
          <cell r="V4067" t="str">
            <v>antonym</v>
          </cell>
          <cell r="W4067">
            <v>1</v>
          </cell>
          <cell r="X4067" t="str">
            <v>intens</v>
          </cell>
        </row>
        <row r="4068">
          <cell r="I4068" t="str">
            <v>sim</v>
          </cell>
          <cell r="V4068" t="str">
            <v>not</v>
          </cell>
          <cell r="W4068">
            <v>1</v>
          </cell>
          <cell r="X4068" t="str">
            <v>intens</v>
          </cell>
        </row>
        <row r="4069">
          <cell r="I4069" t="str">
            <v>sim</v>
          </cell>
          <cell r="V4069" t="str">
            <v>not</v>
          </cell>
          <cell r="W4069">
            <v>1</v>
          </cell>
          <cell r="X4069" t="str">
            <v>neg</v>
          </cell>
        </row>
        <row r="4070">
          <cell r="I4070" t="str">
            <v>sim</v>
          </cell>
          <cell r="V4070" t="str">
            <v>antonym</v>
          </cell>
          <cell r="W4070">
            <v>1</v>
          </cell>
          <cell r="X4070" t="str">
            <v>intens</v>
          </cell>
        </row>
        <row r="4071">
          <cell r="I4071" t="str">
            <v>sim</v>
          </cell>
          <cell r="V4071" t="str">
            <v>antonym</v>
          </cell>
          <cell r="W4071">
            <v>1</v>
          </cell>
          <cell r="X4071" t="str">
            <v>neg</v>
          </cell>
        </row>
        <row r="4072">
          <cell r="I4072" t="str">
            <v>sim</v>
          </cell>
          <cell r="V4072" t="str">
            <v>not neg pair</v>
          </cell>
          <cell r="W4072">
            <v>0</v>
          </cell>
          <cell r="X4072" t="str">
            <v>0</v>
          </cell>
        </row>
        <row r="4073">
          <cell r="I4073" t="str">
            <v>sim</v>
          </cell>
          <cell r="V4073" t="str">
            <v>not neg pair</v>
          </cell>
          <cell r="W4073">
            <v>0</v>
          </cell>
          <cell r="X4073" t="str">
            <v>0</v>
          </cell>
        </row>
        <row r="4074">
          <cell r="I4074" t="str">
            <v>sim</v>
          </cell>
          <cell r="V4074" t="str">
            <v>not neg pair</v>
          </cell>
          <cell r="W4074">
            <v>0</v>
          </cell>
          <cell r="X4074" t="str">
            <v>0</v>
          </cell>
        </row>
        <row r="4075">
          <cell r="I4075" t="str">
            <v>sim</v>
          </cell>
          <cell r="V4075" t="str">
            <v>not neg pair</v>
          </cell>
          <cell r="W4075">
            <v>0</v>
          </cell>
          <cell r="X4075" t="str">
            <v>0</v>
          </cell>
        </row>
        <row r="4076">
          <cell r="I4076" t="str">
            <v>sim</v>
          </cell>
          <cell r="V4076" t="str">
            <v>not neg pair</v>
          </cell>
          <cell r="W4076">
            <v>0</v>
          </cell>
          <cell r="X4076" t="str">
            <v>0</v>
          </cell>
        </row>
        <row r="4077">
          <cell r="I4077" t="str">
            <v>sim</v>
          </cell>
          <cell r="V4077" t="str">
            <v>not neg pair</v>
          </cell>
          <cell r="W4077">
            <v>0</v>
          </cell>
          <cell r="X4077" t="str">
            <v>0</v>
          </cell>
        </row>
        <row r="4078">
          <cell r="I4078" t="str">
            <v>sim</v>
          </cell>
          <cell r="V4078" t="str">
            <v>not</v>
          </cell>
          <cell r="W4078">
            <v>1</v>
          </cell>
          <cell r="X4078" t="str">
            <v>neg</v>
          </cell>
        </row>
        <row r="4079">
          <cell r="I4079" t="str">
            <v>sim</v>
          </cell>
          <cell r="V4079" t="str">
            <v>not</v>
          </cell>
          <cell r="W4079">
            <v>1</v>
          </cell>
          <cell r="X4079" t="str">
            <v>intens</v>
          </cell>
        </row>
        <row r="4080">
          <cell r="I4080" t="str">
            <v>sim</v>
          </cell>
          <cell r="V4080" t="str">
            <v>not neg pair</v>
          </cell>
          <cell r="W4080">
            <v>0</v>
          </cell>
          <cell r="X4080" t="str">
            <v>0</v>
          </cell>
        </row>
        <row r="4081">
          <cell r="I4081" t="str">
            <v>sim</v>
          </cell>
          <cell r="V4081" t="str">
            <v>not neg pair</v>
          </cell>
          <cell r="W4081">
            <v>0</v>
          </cell>
          <cell r="X4081" t="str">
            <v>0</v>
          </cell>
        </row>
        <row r="4082">
          <cell r="I4082" t="str">
            <v>sim</v>
          </cell>
          <cell r="V4082" t="str">
            <v>antonym</v>
          </cell>
          <cell r="W4082">
            <v>1</v>
          </cell>
          <cell r="X4082" t="str">
            <v>neg</v>
          </cell>
        </row>
        <row r="4083">
          <cell r="I4083" t="str">
            <v>sim</v>
          </cell>
          <cell r="V4083" t="str">
            <v>antonym</v>
          </cell>
          <cell r="W4083">
            <v>1</v>
          </cell>
          <cell r="X4083" t="str">
            <v>intens</v>
          </cell>
        </row>
        <row r="4084">
          <cell r="I4084" t="str">
            <v>sim</v>
          </cell>
          <cell r="V4084" t="str">
            <v>antonym</v>
          </cell>
          <cell r="W4084">
            <v>1</v>
          </cell>
          <cell r="X4084" t="str">
            <v>intens</v>
          </cell>
        </row>
        <row r="4085">
          <cell r="I4085" t="str">
            <v>sim</v>
          </cell>
          <cell r="V4085" t="str">
            <v>antonym</v>
          </cell>
          <cell r="W4085">
            <v>1</v>
          </cell>
          <cell r="X4085" t="str">
            <v>neg</v>
          </cell>
        </row>
        <row r="4086">
          <cell r="I4086" t="str">
            <v>sim</v>
          </cell>
          <cell r="V4086" t="str">
            <v>not neg pair</v>
          </cell>
          <cell r="W4086">
            <v>0</v>
          </cell>
          <cell r="X4086" t="str">
            <v>0</v>
          </cell>
        </row>
        <row r="4087">
          <cell r="I4087" t="str">
            <v>sim</v>
          </cell>
          <cell r="V4087" t="str">
            <v>not neg pair</v>
          </cell>
          <cell r="W4087">
            <v>0</v>
          </cell>
          <cell r="X4087" t="str">
            <v>0</v>
          </cell>
        </row>
        <row r="4088">
          <cell r="I4088" t="str">
            <v>sim</v>
          </cell>
          <cell r="V4088" t="str">
            <v>not neg pair</v>
          </cell>
          <cell r="W4088">
            <v>0</v>
          </cell>
          <cell r="X4088" t="str">
            <v>0</v>
          </cell>
        </row>
        <row r="4089">
          <cell r="I4089" t="str">
            <v>sim</v>
          </cell>
          <cell r="V4089" t="str">
            <v>not neg pair</v>
          </cell>
          <cell r="W4089">
            <v>0</v>
          </cell>
          <cell r="X4089" t="str">
            <v>0</v>
          </cell>
        </row>
        <row r="4090">
          <cell r="I4090" t="str">
            <v>sim</v>
          </cell>
          <cell r="V4090" t="str">
            <v>not</v>
          </cell>
          <cell r="W4090">
            <v>1</v>
          </cell>
          <cell r="X4090" t="str">
            <v>neg</v>
          </cell>
        </row>
        <row r="4091">
          <cell r="I4091" t="str">
            <v>sim</v>
          </cell>
          <cell r="V4091" t="str">
            <v>not</v>
          </cell>
          <cell r="W4091">
            <v>1</v>
          </cell>
          <cell r="X4091" t="str">
            <v>intens</v>
          </cell>
        </row>
        <row r="4092">
          <cell r="I4092" t="str">
            <v>sim</v>
          </cell>
          <cell r="V4092" t="str">
            <v>not</v>
          </cell>
          <cell r="W4092">
            <v>1</v>
          </cell>
          <cell r="X4092" t="str">
            <v>neg</v>
          </cell>
        </row>
        <row r="4093">
          <cell r="I4093" t="str">
            <v>sim</v>
          </cell>
          <cell r="V4093" t="str">
            <v>not</v>
          </cell>
          <cell r="W4093">
            <v>1</v>
          </cell>
          <cell r="X4093" t="str">
            <v>intens</v>
          </cell>
        </row>
        <row r="4094">
          <cell r="I4094" t="str">
            <v>sim</v>
          </cell>
          <cell r="V4094" t="str">
            <v>not</v>
          </cell>
          <cell r="W4094">
            <v>1</v>
          </cell>
          <cell r="X4094" t="str">
            <v>intens</v>
          </cell>
        </row>
        <row r="4095">
          <cell r="I4095" t="str">
            <v>sim</v>
          </cell>
          <cell r="V4095" t="str">
            <v>not</v>
          </cell>
          <cell r="W4095">
            <v>1</v>
          </cell>
          <cell r="X4095" t="str">
            <v>neg</v>
          </cell>
        </row>
        <row r="4096">
          <cell r="I4096" t="str">
            <v>sim</v>
          </cell>
          <cell r="V4096" t="str">
            <v>not</v>
          </cell>
          <cell r="W4096">
            <v>1</v>
          </cell>
          <cell r="X4096" t="str">
            <v>intens</v>
          </cell>
        </row>
        <row r="4097">
          <cell r="I4097" t="str">
            <v>sim</v>
          </cell>
          <cell r="V4097" t="str">
            <v>not</v>
          </cell>
          <cell r="W4097">
            <v>1</v>
          </cell>
          <cell r="X4097" t="str">
            <v>neg</v>
          </cell>
        </row>
        <row r="4098">
          <cell r="I4098" t="str">
            <v>sim</v>
          </cell>
          <cell r="V4098" t="str">
            <v>antonym</v>
          </cell>
          <cell r="W4098">
            <v>1</v>
          </cell>
          <cell r="X4098" t="str">
            <v>neg</v>
          </cell>
        </row>
        <row r="4099">
          <cell r="I4099" t="str">
            <v>sim</v>
          </cell>
          <cell r="V4099" t="str">
            <v>antonym</v>
          </cell>
          <cell r="W4099">
            <v>1</v>
          </cell>
          <cell r="X4099" t="str">
            <v>intens</v>
          </cell>
        </row>
        <row r="4100">
          <cell r="I4100" t="str">
            <v>sim</v>
          </cell>
          <cell r="V4100" t="str">
            <v>not neg pair</v>
          </cell>
          <cell r="W4100">
            <v>0</v>
          </cell>
          <cell r="X4100" t="str">
            <v>0</v>
          </cell>
        </row>
        <row r="4101">
          <cell r="I4101" t="str">
            <v>sim</v>
          </cell>
          <cell r="V4101" t="str">
            <v>not neg pair</v>
          </cell>
          <cell r="W4101">
            <v>0</v>
          </cell>
          <cell r="X4101" t="str">
            <v>0</v>
          </cell>
        </row>
        <row r="4102">
          <cell r="I4102" t="str">
            <v>sim</v>
          </cell>
          <cell r="V4102" t="str">
            <v>not neg pair</v>
          </cell>
          <cell r="W4102">
            <v>0</v>
          </cell>
          <cell r="X4102" t="str">
            <v>0</v>
          </cell>
        </row>
        <row r="4103">
          <cell r="I4103" t="str">
            <v>sim</v>
          </cell>
          <cell r="V4103" t="str">
            <v>not neg pair</v>
          </cell>
          <cell r="W4103">
            <v>0</v>
          </cell>
          <cell r="X4103" t="str">
            <v>0</v>
          </cell>
        </row>
        <row r="4104">
          <cell r="I4104" t="str">
            <v>sim</v>
          </cell>
          <cell r="V4104" t="str">
            <v>antonym</v>
          </cell>
          <cell r="W4104">
            <v>1</v>
          </cell>
          <cell r="X4104" t="str">
            <v>intens</v>
          </cell>
        </row>
        <row r="4105">
          <cell r="I4105" t="str">
            <v>sim</v>
          </cell>
          <cell r="V4105" t="str">
            <v>antonym</v>
          </cell>
          <cell r="W4105">
            <v>1</v>
          </cell>
          <cell r="X4105" t="str">
            <v>neg</v>
          </cell>
        </row>
        <row r="4106">
          <cell r="I4106" t="str">
            <v>sim</v>
          </cell>
          <cell r="V4106" t="str">
            <v>not neg pair</v>
          </cell>
          <cell r="W4106">
            <v>0</v>
          </cell>
          <cell r="X4106" t="str">
            <v>0</v>
          </cell>
        </row>
        <row r="4107">
          <cell r="I4107" t="str">
            <v>sim</v>
          </cell>
          <cell r="V4107" t="str">
            <v>not neg pair</v>
          </cell>
          <cell r="W4107">
            <v>0</v>
          </cell>
          <cell r="X4107" t="str">
            <v>0</v>
          </cell>
        </row>
        <row r="4108">
          <cell r="I4108" t="str">
            <v>sim</v>
          </cell>
          <cell r="V4108" t="str">
            <v>not</v>
          </cell>
          <cell r="W4108">
            <v>1</v>
          </cell>
          <cell r="X4108" t="str">
            <v>intens</v>
          </cell>
        </row>
        <row r="4109">
          <cell r="I4109" t="str">
            <v>sim</v>
          </cell>
          <cell r="V4109" t="str">
            <v>not</v>
          </cell>
          <cell r="W4109">
            <v>1</v>
          </cell>
          <cell r="X4109" t="str">
            <v>neg</v>
          </cell>
        </row>
        <row r="4110">
          <cell r="I4110" t="str">
            <v>sim</v>
          </cell>
          <cell r="V4110" t="str">
            <v>antonym</v>
          </cell>
          <cell r="W4110">
            <v>1</v>
          </cell>
          <cell r="X4110" t="str">
            <v>intens</v>
          </cell>
        </row>
        <row r="4111">
          <cell r="I4111" t="str">
            <v>sim</v>
          </cell>
          <cell r="V4111" t="str">
            <v>antonym</v>
          </cell>
          <cell r="W4111">
            <v>1</v>
          </cell>
          <cell r="X4111" t="str">
            <v>neg</v>
          </cell>
        </row>
        <row r="4112">
          <cell r="I4112" t="str">
            <v>met</v>
          </cell>
          <cell r="V4112" t="str">
            <v>0</v>
          </cell>
          <cell r="W4112">
            <v>0</v>
          </cell>
          <cell r="X4112" t="str">
            <v>0</v>
          </cell>
        </row>
        <row r="4113">
          <cell r="I4113" t="str">
            <v>met</v>
          </cell>
          <cell r="V4113" t="str">
            <v>0</v>
          </cell>
          <cell r="W4113">
            <v>0</v>
          </cell>
          <cell r="X4113" t="str">
            <v>0</v>
          </cell>
        </row>
        <row r="4114">
          <cell r="I4114" t="str">
            <v>met</v>
          </cell>
          <cell r="V4114" t="str">
            <v>0</v>
          </cell>
          <cell r="W4114">
            <v>0</v>
          </cell>
          <cell r="X4114" t="str">
            <v>0</v>
          </cell>
        </row>
        <row r="4115">
          <cell r="I4115" t="str">
            <v>met</v>
          </cell>
          <cell r="V4115" t="str">
            <v>0</v>
          </cell>
          <cell r="W4115">
            <v>0</v>
          </cell>
          <cell r="X4115" t="str">
            <v>0</v>
          </cell>
        </row>
        <row r="4116">
          <cell r="I4116" t="str">
            <v>sim</v>
          </cell>
          <cell r="V4116" t="str">
            <v>not neg pair</v>
          </cell>
          <cell r="W4116">
            <v>0</v>
          </cell>
          <cell r="X4116" t="str">
            <v>0</v>
          </cell>
        </row>
        <row r="4117">
          <cell r="I4117" t="str">
            <v>sim</v>
          </cell>
          <cell r="V4117" t="str">
            <v>not neg pair</v>
          </cell>
          <cell r="W4117">
            <v>0</v>
          </cell>
          <cell r="X4117" t="str">
            <v>0</v>
          </cell>
        </row>
        <row r="4118">
          <cell r="I4118" t="str">
            <v>sim</v>
          </cell>
          <cell r="V4118" t="str">
            <v>not</v>
          </cell>
          <cell r="W4118">
            <v>1</v>
          </cell>
          <cell r="X4118" t="str">
            <v>neg</v>
          </cell>
        </row>
        <row r="4119">
          <cell r="I4119" t="str">
            <v>sim</v>
          </cell>
          <cell r="V4119" t="str">
            <v>not</v>
          </cell>
          <cell r="W4119">
            <v>1</v>
          </cell>
          <cell r="X4119" t="str">
            <v>intens</v>
          </cell>
        </row>
        <row r="4120">
          <cell r="I4120" t="str">
            <v>sim</v>
          </cell>
          <cell r="V4120" t="str">
            <v>not neg pair</v>
          </cell>
          <cell r="W4120">
            <v>0</v>
          </cell>
          <cell r="X4120" t="str">
            <v>0</v>
          </cell>
        </row>
        <row r="4121">
          <cell r="I4121" t="str">
            <v>sim</v>
          </cell>
          <cell r="V4121" t="str">
            <v>not neg pair</v>
          </cell>
          <cell r="W4121">
            <v>0</v>
          </cell>
          <cell r="X4121" t="str">
            <v>0</v>
          </cell>
        </row>
        <row r="4122">
          <cell r="I4122" t="str">
            <v>met</v>
          </cell>
          <cell r="V4122" t="str">
            <v>0</v>
          </cell>
          <cell r="W4122">
            <v>0</v>
          </cell>
          <cell r="X4122" t="str">
            <v>0</v>
          </cell>
        </row>
        <row r="4123">
          <cell r="I4123" t="str">
            <v>met</v>
          </cell>
          <cell r="V4123" t="str">
            <v>0</v>
          </cell>
          <cell r="W4123">
            <v>0</v>
          </cell>
          <cell r="X4123" t="str">
            <v>0</v>
          </cell>
        </row>
        <row r="4124">
          <cell r="I4124" t="str">
            <v>met</v>
          </cell>
          <cell r="V4124" t="str">
            <v>0</v>
          </cell>
          <cell r="W4124">
            <v>0</v>
          </cell>
          <cell r="X4124" t="str">
            <v>0</v>
          </cell>
        </row>
        <row r="4125">
          <cell r="I4125" t="str">
            <v>met</v>
          </cell>
          <cell r="V4125" t="str">
            <v>0</v>
          </cell>
          <cell r="W4125">
            <v>0</v>
          </cell>
          <cell r="X4125" t="str">
            <v>0</v>
          </cell>
        </row>
        <row r="4126">
          <cell r="I4126" t="str">
            <v>met</v>
          </cell>
          <cell r="V4126" t="str">
            <v>0</v>
          </cell>
          <cell r="W4126">
            <v>0</v>
          </cell>
          <cell r="X4126" t="str">
            <v>0</v>
          </cell>
        </row>
        <row r="4127">
          <cell r="I4127" t="str">
            <v>met</v>
          </cell>
          <cell r="V4127" t="str">
            <v>0</v>
          </cell>
          <cell r="W4127">
            <v>0</v>
          </cell>
          <cell r="X4127" t="str">
            <v>0</v>
          </cell>
        </row>
        <row r="4128">
          <cell r="I4128" t="str">
            <v>sim</v>
          </cell>
          <cell r="V4128" t="str">
            <v>antonym</v>
          </cell>
          <cell r="W4128">
            <v>1</v>
          </cell>
          <cell r="X4128" t="str">
            <v>neg</v>
          </cell>
        </row>
        <row r="4129">
          <cell r="I4129" t="str">
            <v>sim</v>
          </cell>
          <cell r="V4129" t="str">
            <v>antonym</v>
          </cell>
          <cell r="W4129">
            <v>1</v>
          </cell>
          <cell r="X4129" t="str">
            <v>intens</v>
          </cell>
        </row>
        <row r="4130">
          <cell r="I4130" t="str">
            <v>sim</v>
          </cell>
          <cell r="V4130" t="str">
            <v>not neg pair</v>
          </cell>
          <cell r="W4130">
            <v>0</v>
          </cell>
          <cell r="X4130" t="str">
            <v>0</v>
          </cell>
        </row>
        <row r="4131">
          <cell r="I4131" t="str">
            <v>sim</v>
          </cell>
          <cell r="V4131" t="str">
            <v>not neg pair</v>
          </cell>
          <cell r="W4131">
            <v>0</v>
          </cell>
          <cell r="X4131" t="str">
            <v>0</v>
          </cell>
        </row>
        <row r="4132">
          <cell r="I4132" t="str">
            <v>sim</v>
          </cell>
          <cell r="V4132" t="str">
            <v>not neg pair</v>
          </cell>
          <cell r="W4132">
            <v>0</v>
          </cell>
          <cell r="X4132" t="str">
            <v>0</v>
          </cell>
        </row>
        <row r="4133">
          <cell r="I4133" t="str">
            <v>sim</v>
          </cell>
          <cell r="V4133" t="str">
            <v>not neg pair</v>
          </cell>
          <cell r="W4133">
            <v>0</v>
          </cell>
          <cell r="X4133" t="str">
            <v>0</v>
          </cell>
        </row>
        <row r="4134">
          <cell r="I4134" t="str">
            <v>met</v>
          </cell>
          <cell r="V4134" t="str">
            <v>0</v>
          </cell>
          <cell r="W4134">
            <v>0</v>
          </cell>
          <cell r="X4134" t="str">
            <v>0</v>
          </cell>
        </row>
        <row r="4135">
          <cell r="I4135" t="str">
            <v>met</v>
          </cell>
          <cell r="V4135" t="str">
            <v>0</v>
          </cell>
          <cell r="W4135">
            <v>0</v>
          </cell>
          <cell r="X4135" t="str">
            <v>0</v>
          </cell>
        </row>
        <row r="4136">
          <cell r="I4136" t="str">
            <v>met</v>
          </cell>
          <cell r="V4136" t="str">
            <v>0</v>
          </cell>
          <cell r="W4136">
            <v>0</v>
          </cell>
          <cell r="X4136" t="str">
            <v>0</v>
          </cell>
        </row>
        <row r="4137">
          <cell r="I4137" t="str">
            <v>met</v>
          </cell>
          <cell r="V4137" t="str">
            <v>0</v>
          </cell>
          <cell r="W4137">
            <v>0</v>
          </cell>
          <cell r="X4137" t="str">
            <v>0</v>
          </cell>
        </row>
        <row r="4138">
          <cell r="I4138" t="str">
            <v>sim</v>
          </cell>
          <cell r="V4138" t="str">
            <v>not neg pair</v>
          </cell>
          <cell r="W4138">
            <v>0</v>
          </cell>
          <cell r="X4138" t="str">
            <v>0</v>
          </cell>
        </row>
        <row r="4139">
          <cell r="I4139" t="str">
            <v>sim</v>
          </cell>
          <cell r="V4139" t="str">
            <v>not neg pair</v>
          </cell>
          <cell r="W4139">
            <v>0</v>
          </cell>
          <cell r="X4139" t="str">
            <v>0</v>
          </cell>
        </row>
        <row r="4140">
          <cell r="I4140" t="str">
            <v>sim</v>
          </cell>
          <cell r="V4140" t="str">
            <v>not</v>
          </cell>
          <cell r="W4140">
            <v>1</v>
          </cell>
          <cell r="X4140" t="str">
            <v>intens</v>
          </cell>
        </row>
        <row r="4141">
          <cell r="I4141" t="str">
            <v>sim</v>
          </cell>
          <cell r="V4141" t="str">
            <v>not</v>
          </cell>
          <cell r="W4141">
            <v>1</v>
          </cell>
          <cell r="X4141" t="str">
            <v>neg</v>
          </cell>
        </row>
        <row r="4142">
          <cell r="I4142" t="str">
            <v>sim</v>
          </cell>
          <cell r="V4142" t="str">
            <v>not</v>
          </cell>
          <cell r="W4142">
            <v>1</v>
          </cell>
          <cell r="X4142" t="str">
            <v>neg</v>
          </cell>
        </row>
        <row r="4143">
          <cell r="I4143" t="str">
            <v>sim</v>
          </cell>
          <cell r="V4143" t="str">
            <v>not</v>
          </cell>
          <cell r="W4143">
            <v>1</v>
          </cell>
          <cell r="X4143" t="str">
            <v>intens</v>
          </cell>
        </row>
        <row r="4144">
          <cell r="I4144" t="str">
            <v>sim</v>
          </cell>
          <cell r="V4144" t="str">
            <v>not neg pair</v>
          </cell>
          <cell r="W4144">
            <v>0</v>
          </cell>
          <cell r="X4144" t="str">
            <v>0</v>
          </cell>
        </row>
        <row r="4145">
          <cell r="I4145" t="str">
            <v>sim</v>
          </cell>
          <cell r="V4145" t="str">
            <v>not neg pair</v>
          </cell>
          <cell r="W4145">
            <v>0</v>
          </cell>
          <cell r="X4145" t="str">
            <v>0</v>
          </cell>
        </row>
        <row r="4146">
          <cell r="I4146" t="str">
            <v>sim</v>
          </cell>
          <cell r="V4146" t="str">
            <v>not neg pair</v>
          </cell>
          <cell r="W4146">
            <v>0</v>
          </cell>
          <cell r="X4146" t="str">
            <v>0</v>
          </cell>
        </row>
        <row r="4147">
          <cell r="I4147" t="str">
            <v>sim</v>
          </cell>
          <cell r="V4147" t="str">
            <v>not neg pair</v>
          </cell>
          <cell r="W4147">
            <v>0</v>
          </cell>
          <cell r="X4147" t="str">
            <v>0</v>
          </cell>
        </row>
        <row r="4148">
          <cell r="I4148" t="str">
            <v>sim</v>
          </cell>
          <cell r="V4148" t="str">
            <v>antonym</v>
          </cell>
          <cell r="W4148">
            <v>1</v>
          </cell>
          <cell r="X4148" t="str">
            <v>intens</v>
          </cell>
        </row>
        <row r="4149">
          <cell r="I4149" t="str">
            <v>sim</v>
          </cell>
          <cell r="V4149" t="str">
            <v>antonym</v>
          </cell>
          <cell r="W4149">
            <v>1</v>
          </cell>
          <cell r="X4149" t="str">
            <v>neg</v>
          </cell>
        </row>
        <row r="4150">
          <cell r="I4150" t="str">
            <v>sim</v>
          </cell>
          <cell r="V4150" t="str">
            <v>not neg pair</v>
          </cell>
          <cell r="W4150">
            <v>0</v>
          </cell>
          <cell r="X4150" t="str">
            <v>0</v>
          </cell>
        </row>
        <row r="4151">
          <cell r="I4151" t="str">
            <v>sim</v>
          </cell>
          <cell r="V4151" t="str">
            <v>not neg pair</v>
          </cell>
          <cell r="W4151">
            <v>0</v>
          </cell>
          <cell r="X4151" t="str">
            <v>0</v>
          </cell>
        </row>
        <row r="4152">
          <cell r="I4152" t="str">
            <v>sim</v>
          </cell>
          <cell r="V4152" t="str">
            <v>not neg pair</v>
          </cell>
          <cell r="W4152">
            <v>0</v>
          </cell>
          <cell r="X4152" t="str">
            <v>0</v>
          </cell>
        </row>
        <row r="4153">
          <cell r="I4153" t="str">
            <v>sim</v>
          </cell>
          <cell r="V4153" t="str">
            <v>not neg pair</v>
          </cell>
          <cell r="W4153">
            <v>0</v>
          </cell>
          <cell r="X4153" t="str">
            <v>0</v>
          </cell>
        </row>
        <row r="4154">
          <cell r="I4154" t="str">
            <v>sim</v>
          </cell>
          <cell r="V4154" t="str">
            <v>not neg pair</v>
          </cell>
          <cell r="W4154">
            <v>0</v>
          </cell>
          <cell r="X4154" t="str">
            <v>0</v>
          </cell>
        </row>
        <row r="4155">
          <cell r="I4155" t="str">
            <v>sim</v>
          </cell>
          <cell r="V4155" t="str">
            <v>not neg pair</v>
          </cell>
          <cell r="W4155">
            <v>0</v>
          </cell>
          <cell r="X4155" t="str">
            <v>0</v>
          </cell>
        </row>
        <row r="4156">
          <cell r="I4156" t="str">
            <v>sim</v>
          </cell>
          <cell r="V4156" t="str">
            <v>not neg pair</v>
          </cell>
          <cell r="W4156">
            <v>0</v>
          </cell>
          <cell r="X4156" t="str">
            <v>0</v>
          </cell>
        </row>
        <row r="4157">
          <cell r="I4157" t="str">
            <v>sim</v>
          </cell>
          <cell r="V4157" t="str">
            <v>not neg pair</v>
          </cell>
          <cell r="W4157">
            <v>0</v>
          </cell>
          <cell r="X4157" t="str">
            <v>0</v>
          </cell>
        </row>
        <row r="4158">
          <cell r="I4158" t="str">
            <v>sim</v>
          </cell>
          <cell r="V4158" t="str">
            <v>not neg pair</v>
          </cell>
          <cell r="W4158">
            <v>0</v>
          </cell>
          <cell r="X4158" t="str">
            <v>0</v>
          </cell>
        </row>
        <row r="4159">
          <cell r="I4159" t="str">
            <v>sim</v>
          </cell>
          <cell r="V4159" t="str">
            <v>not neg pair</v>
          </cell>
          <cell r="W4159">
            <v>0</v>
          </cell>
          <cell r="X4159" t="str">
            <v>0</v>
          </cell>
        </row>
        <row r="4160">
          <cell r="I4160" t="str">
            <v>sim</v>
          </cell>
          <cell r="V4160" t="str">
            <v>antonym</v>
          </cell>
          <cell r="W4160">
            <v>1</v>
          </cell>
          <cell r="X4160" t="str">
            <v>intens</v>
          </cell>
        </row>
        <row r="4161">
          <cell r="I4161" t="str">
            <v>sim</v>
          </cell>
          <cell r="V4161" t="str">
            <v>antonym</v>
          </cell>
          <cell r="W4161">
            <v>1</v>
          </cell>
          <cell r="X4161" t="str">
            <v>neg</v>
          </cell>
        </row>
        <row r="4162">
          <cell r="I4162" t="str">
            <v>sim</v>
          </cell>
          <cell r="V4162" t="str">
            <v>not</v>
          </cell>
          <cell r="W4162">
            <v>1</v>
          </cell>
          <cell r="X4162" t="str">
            <v>neg</v>
          </cell>
        </row>
        <row r="4163">
          <cell r="I4163" t="str">
            <v>sim</v>
          </cell>
          <cell r="V4163" t="str">
            <v>not</v>
          </cell>
          <cell r="W4163">
            <v>1</v>
          </cell>
          <cell r="X4163" t="str">
            <v>intens</v>
          </cell>
        </row>
        <row r="4164">
          <cell r="I4164" t="str">
            <v>sim</v>
          </cell>
          <cell r="V4164" t="str">
            <v>not neg pair</v>
          </cell>
          <cell r="W4164">
            <v>0</v>
          </cell>
          <cell r="X4164" t="str">
            <v>0</v>
          </cell>
        </row>
        <row r="4165">
          <cell r="I4165" t="str">
            <v>sim</v>
          </cell>
          <cell r="V4165" t="str">
            <v>not neg pair</v>
          </cell>
          <cell r="W4165">
            <v>0</v>
          </cell>
          <cell r="X4165" t="str">
            <v>0</v>
          </cell>
        </row>
        <row r="4166">
          <cell r="I4166" t="str">
            <v>sim</v>
          </cell>
          <cell r="V4166" t="str">
            <v>not</v>
          </cell>
          <cell r="W4166">
            <v>1</v>
          </cell>
          <cell r="X4166" t="str">
            <v>neg</v>
          </cell>
        </row>
        <row r="4167">
          <cell r="I4167" t="str">
            <v>sim</v>
          </cell>
          <cell r="V4167" t="str">
            <v>not</v>
          </cell>
          <cell r="W4167">
            <v>1</v>
          </cell>
          <cell r="X4167" t="str">
            <v>intens</v>
          </cell>
        </row>
        <row r="4168">
          <cell r="I4168" t="str">
            <v>sim</v>
          </cell>
          <cell r="V4168" t="str">
            <v>not neg pair</v>
          </cell>
          <cell r="W4168">
            <v>0</v>
          </cell>
          <cell r="X4168" t="str">
            <v>0</v>
          </cell>
        </row>
        <row r="4169">
          <cell r="I4169" t="str">
            <v>sim</v>
          </cell>
          <cell r="V4169" t="str">
            <v>not neg pair</v>
          </cell>
          <cell r="W4169">
            <v>0</v>
          </cell>
          <cell r="X4169" t="str">
            <v>0</v>
          </cell>
        </row>
        <row r="4170">
          <cell r="I4170" t="str">
            <v>sim</v>
          </cell>
          <cell r="V4170" t="str">
            <v>not neg pair</v>
          </cell>
          <cell r="W4170">
            <v>0</v>
          </cell>
          <cell r="X4170" t="str">
            <v>0</v>
          </cell>
        </row>
        <row r="4171">
          <cell r="I4171" t="str">
            <v>sim</v>
          </cell>
          <cell r="V4171" t="str">
            <v>not neg pair</v>
          </cell>
          <cell r="W4171">
            <v>0</v>
          </cell>
          <cell r="X4171" t="str">
            <v>0</v>
          </cell>
        </row>
        <row r="4172">
          <cell r="I4172" t="str">
            <v>sim</v>
          </cell>
          <cell r="V4172" t="str">
            <v>not</v>
          </cell>
          <cell r="W4172">
            <v>1</v>
          </cell>
          <cell r="X4172" t="str">
            <v>neg</v>
          </cell>
        </row>
        <row r="4173">
          <cell r="I4173" t="str">
            <v>sim</v>
          </cell>
          <cell r="V4173" t="str">
            <v>not</v>
          </cell>
          <cell r="W4173">
            <v>1</v>
          </cell>
          <cell r="X4173" t="str">
            <v>intens</v>
          </cell>
        </row>
        <row r="4174">
          <cell r="I4174" t="str">
            <v>sim</v>
          </cell>
          <cell r="V4174" t="str">
            <v>not neg pair</v>
          </cell>
          <cell r="W4174">
            <v>0</v>
          </cell>
          <cell r="X4174" t="str">
            <v>0</v>
          </cell>
        </row>
        <row r="4175">
          <cell r="I4175" t="str">
            <v>sim</v>
          </cell>
          <cell r="V4175" t="str">
            <v>not neg pair</v>
          </cell>
          <cell r="W4175">
            <v>0</v>
          </cell>
          <cell r="X4175" t="str">
            <v>0</v>
          </cell>
        </row>
        <row r="4176">
          <cell r="I4176" t="str">
            <v>sim</v>
          </cell>
          <cell r="V4176" t="str">
            <v>not</v>
          </cell>
          <cell r="W4176">
            <v>1</v>
          </cell>
          <cell r="X4176" t="str">
            <v>neg</v>
          </cell>
        </row>
        <row r="4177">
          <cell r="I4177" t="str">
            <v>sim</v>
          </cell>
          <cell r="V4177" t="str">
            <v>not</v>
          </cell>
          <cell r="W4177">
            <v>1</v>
          </cell>
          <cell r="X4177" t="str">
            <v>intens</v>
          </cell>
        </row>
        <row r="4178">
          <cell r="I4178" t="str">
            <v>met</v>
          </cell>
          <cell r="V4178" t="str">
            <v>0</v>
          </cell>
          <cell r="W4178">
            <v>0</v>
          </cell>
          <cell r="X4178" t="str">
            <v>0</v>
          </cell>
        </row>
        <row r="4179">
          <cell r="I4179" t="str">
            <v>met</v>
          </cell>
          <cell r="V4179" t="str">
            <v>0</v>
          </cell>
          <cell r="W4179">
            <v>0</v>
          </cell>
          <cell r="X4179" t="str">
            <v>0</v>
          </cell>
        </row>
        <row r="4180">
          <cell r="I4180" t="str">
            <v>met</v>
          </cell>
          <cell r="V4180" t="str">
            <v>0</v>
          </cell>
          <cell r="W4180">
            <v>0</v>
          </cell>
          <cell r="X4180" t="str">
            <v>0</v>
          </cell>
        </row>
        <row r="4181">
          <cell r="I4181" t="str">
            <v>met</v>
          </cell>
          <cell r="V4181" t="str">
            <v>0</v>
          </cell>
          <cell r="W4181">
            <v>0</v>
          </cell>
          <cell r="X4181" t="str">
            <v>0</v>
          </cell>
        </row>
        <row r="4182">
          <cell r="I4182" t="str">
            <v>sim</v>
          </cell>
          <cell r="V4182" t="str">
            <v>not neg pair</v>
          </cell>
          <cell r="W4182">
            <v>0</v>
          </cell>
          <cell r="X4182" t="str">
            <v>0</v>
          </cell>
        </row>
        <row r="4183">
          <cell r="I4183" t="str">
            <v>sim</v>
          </cell>
          <cell r="V4183" t="str">
            <v>not neg pair</v>
          </cell>
          <cell r="W4183">
            <v>0</v>
          </cell>
          <cell r="X4183" t="str">
            <v>0</v>
          </cell>
        </row>
        <row r="4184">
          <cell r="I4184" t="str">
            <v>met</v>
          </cell>
          <cell r="V4184" t="str">
            <v>0</v>
          </cell>
          <cell r="W4184">
            <v>0</v>
          </cell>
          <cell r="X4184" t="str">
            <v>0</v>
          </cell>
        </row>
        <row r="4185">
          <cell r="I4185" t="str">
            <v>met</v>
          </cell>
          <cell r="V4185" t="str">
            <v>0</v>
          </cell>
          <cell r="W4185">
            <v>0</v>
          </cell>
          <cell r="X4185" t="str">
            <v>0</v>
          </cell>
        </row>
        <row r="4186">
          <cell r="I4186" t="str">
            <v>sim</v>
          </cell>
          <cell r="V4186" t="str">
            <v>not neg pair</v>
          </cell>
          <cell r="W4186">
            <v>0</v>
          </cell>
          <cell r="X4186" t="str">
            <v>0</v>
          </cell>
        </row>
        <row r="4187">
          <cell r="I4187" t="str">
            <v>sim</v>
          </cell>
          <cell r="V4187" t="str">
            <v>not neg pair</v>
          </cell>
          <cell r="W4187">
            <v>0</v>
          </cell>
          <cell r="X4187" t="str">
            <v>0</v>
          </cell>
        </row>
        <row r="4188">
          <cell r="I4188" t="str">
            <v>sim</v>
          </cell>
          <cell r="V4188" t="str">
            <v>not</v>
          </cell>
          <cell r="W4188">
            <v>1</v>
          </cell>
          <cell r="X4188" t="str">
            <v>intens</v>
          </cell>
        </row>
        <row r="4189">
          <cell r="I4189" t="str">
            <v>sim</v>
          </cell>
          <cell r="V4189" t="str">
            <v>not</v>
          </cell>
          <cell r="W4189">
            <v>1</v>
          </cell>
          <cell r="X4189" t="str">
            <v>neg</v>
          </cell>
        </row>
        <row r="4190">
          <cell r="I4190" t="str">
            <v>met</v>
          </cell>
          <cell r="V4190" t="str">
            <v>0</v>
          </cell>
          <cell r="W4190">
            <v>0</v>
          </cell>
          <cell r="X4190" t="str">
            <v>0</v>
          </cell>
        </row>
        <row r="4191">
          <cell r="I4191" t="str">
            <v>met</v>
          </cell>
          <cell r="V4191" t="str">
            <v>0</v>
          </cell>
          <cell r="W4191">
            <v>0</v>
          </cell>
          <cell r="X4191" t="str">
            <v>0</v>
          </cell>
        </row>
        <row r="4192">
          <cell r="I4192" t="str">
            <v>sim</v>
          </cell>
          <cell r="V4192" t="str">
            <v>not neg pair</v>
          </cell>
          <cell r="W4192">
            <v>0</v>
          </cell>
          <cell r="X4192" t="str">
            <v>0</v>
          </cell>
        </row>
        <row r="4193">
          <cell r="I4193" t="str">
            <v>sim</v>
          </cell>
          <cell r="V4193" t="str">
            <v>not neg pair</v>
          </cell>
          <cell r="W4193">
            <v>0</v>
          </cell>
          <cell r="X4193" t="str">
            <v>0</v>
          </cell>
        </row>
        <row r="4194">
          <cell r="I4194" t="str">
            <v>sim</v>
          </cell>
          <cell r="V4194" t="str">
            <v>not neg pair</v>
          </cell>
          <cell r="W4194">
            <v>0</v>
          </cell>
          <cell r="X4194" t="str">
            <v>0</v>
          </cell>
        </row>
        <row r="4195">
          <cell r="I4195" t="str">
            <v>sim</v>
          </cell>
          <cell r="V4195" t="str">
            <v>not neg pair</v>
          </cell>
          <cell r="W4195">
            <v>0</v>
          </cell>
          <cell r="X4195" t="str">
            <v>0</v>
          </cell>
        </row>
        <row r="4196">
          <cell r="I4196" t="str">
            <v>sim</v>
          </cell>
          <cell r="V4196" t="str">
            <v>not</v>
          </cell>
          <cell r="W4196">
            <v>1</v>
          </cell>
          <cell r="X4196" t="str">
            <v>neg</v>
          </cell>
        </row>
        <row r="4197">
          <cell r="I4197" t="str">
            <v>sim</v>
          </cell>
          <cell r="V4197" t="str">
            <v>not</v>
          </cell>
          <cell r="W4197">
            <v>1</v>
          </cell>
          <cell r="X4197" t="str">
            <v>intens</v>
          </cell>
        </row>
        <row r="4198">
          <cell r="I4198" t="str">
            <v>sim</v>
          </cell>
          <cell r="V4198" t="str">
            <v>not neg pair</v>
          </cell>
          <cell r="W4198">
            <v>0</v>
          </cell>
          <cell r="X4198" t="str">
            <v>0</v>
          </cell>
        </row>
        <row r="4199">
          <cell r="I4199" t="str">
            <v>sim</v>
          </cell>
          <cell r="V4199" t="str">
            <v>not neg pair</v>
          </cell>
          <cell r="W4199">
            <v>0</v>
          </cell>
          <cell r="X4199" t="str">
            <v>0</v>
          </cell>
        </row>
        <row r="4200">
          <cell r="I4200" t="str">
            <v>sim</v>
          </cell>
          <cell r="V4200" t="str">
            <v>not neg pair</v>
          </cell>
          <cell r="W4200">
            <v>0</v>
          </cell>
          <cell r="X4200" t="str">
            <v>0</v>
          </cell>
        </row>
        <row r="4201">
          <cell r="I4201" t="str">
            <v>sim</v>
          </cell>
          <cell r="V4201" t="str">
            <v>not neg pair</v>
          </cell>
          <cell r="W4201">
            <v>0</v>
          </cell>
          <cell r="X4201" t="str">
            <v>0</v>
          </cell>
        </row>
        <row r="4202">
          <cell r="I4202" t="str">
            <v>sim</v>
          </cell>
          <cell r="V4202" t="str">
            <v>antonym</v>
          </cell>
          <cell r="W4202">
            <v>1</v>
          </cell>
          <cell r="X4202" t="str">
            <v>intens</v>
          </cell>
        </row>
        <row r="4203">
          <cell r="I4203" t="str">
            <v>sim</v>
          </cell>
          <cell r="V4203" t="str">
            <v>antonym</v>
          </cell>
          <cell r="W4203">
            <v>1</v>
          </cell>
          <cell r="X4203" t="str">
            <v>neg</v>
          </cell>
        </row>
        <row r="4204">
          <cell r="I4204" t="str">
            <v>sim</v>
          </cell>
          <cell r="V4204" t="str">
            <v>not neg pair</v>
          </cell>
          <cell r="W4204">
            <v>0</v>
          </cell>
          <cell r="X4204" t="str">
            <v>0</v>
          </cell>
        </row>
        <row r="4205">
          <cell r="I4205" t="str">
            <v>sim</v>
          </cell>
          <cell r="V4205" t="str">
            <v>not neg pair</v>
          </cell>
          <cell r="W4205">
            <v>0</v>
          </cell>
          <cell r="X4205" t="str">
            <v>0</v>
          </cell>
        </row>
        <row r="4206">
          <cell r="I4206" t="str">
            <v>sim</v>
          </cell>
          <cell r="V4206" t="str">
            <v>not</v>
          </cell>
          <cell r="W4206">
            <v>1</v>
          </cell>
          <cell r="X4206" t="str">
            <v>intens</v>
          </cell>
        </row>
        <row r="4207">
          <cell r="I4207" t="str">
            <v>sim</v>
          </cell>
          <cell r="V4207" t="str">
            <v>not</v>
          </cell>
          <cell r="W4207">
            <v>1</v>
          </cell>
          <cell r="X4207" t="str">
            <v>neg</v>
          </cell>
        </row>
        <row r="4208">
          <cell r="I4208" t="str">
            <v>sim</v>
          </cell>
          <cell r="V4208" t="str">
            <v>not</v>
          </cell>
          <cell r="W4208">
            <v>1</v>
          </cell>
          <cell r="X4208" t="str">
            <v>intens</v>
          </cell>
        </row>
        <row r="4209">
          <cell r="I4209" t="str">
            <v>sim</v>
          </cell>
          <cell r="V4209" t="str">
            <v>not</v>
          </cell>
          <cell r="W4209">
            <v>1</v>
          </cell>
          <cell r="X4209" t="str">
            <v>neg</v>
          </cell>
        </row>
        <row r="4210">
          <cell r="I4210" t="str">
            <v>sim</v>
          </cell>
          <cell r="V4210" t="str">
            <v>antonym</v>
          </cell>
          <cell r="W4210">
            <v>1</v>
          </cell>
          <cell r="X4210" t="str">
            <v>intens</v>
          </cell>
        </row>
        <row r="4211">
          <cell r="I4211" t="str">
            <v>sim</v>
          </cell>
          <cell r="V4211" t="str">
            <v>antonym</v>
          </cell>
          <cell r="W4211">
            <v>1</v>
          </cell>
          <cell r="X4211" t="str">
            <v>neg</v>
          </cell>
        </row>
        <row r="4212">
          <cell r="I4212" t="str">
            <v>met</v>
          </cell>
          <cell r="V4212" t="str">
            <v>0</v>
          </cell>
          <cell r="W4212">
            <v>0</v>
          </cell>
          <cell r="X4212" t="str">
            <v>0</v>
          </cell>
        </row>
        <row r="4213">
          <cell r="I4213" t="str">
            <v>met</v>
          </cell>
          <cell r="V4213" t="str">
            <v>0</v>
          </cell>
          <cell r="W4213">
            <v>0</v>
          </cell>
          <cell r="X4213" t="str">
            <v>0</v>
          </cell>
        </row>
        <row r="4214">
          <cell r="I4214" t="str">
            <v>sim</v>
          </cell>
          <cell r="V4214" t="str">
            <v>not neg pair</v>
          </cell>
          <cell r="W4214">
            <v>0</v>
          </cell>
          <cell r="X4214" t="str">
            <v>0</v>
          </cell>
        </row>
        <row r="4215">
          <cell r="I4215" t="str">
            <v>sim</v>
          </cell>
          <cell r="V4215" t="str">
            <v>not neg pair</v>
          </cell>
          <cell r="W4215">
            <v>0</v>
          </cell>
          <cell r="X4215" t="str">
            <v>0</v>
          </cell>
        </row>
        <row r="4216">
          <cell r="I4216" t="str">
            <v>sim</v>
          </cell>
          <cell r="V4216" t="str">
            <v>not neg pair</v>
          </cell>
          <cell r="W4216">
            <v>0</v>
          </cell>
          <cell r="X4216" t="str">
            <v>0</v>
          </cell>
        </row>
        <row r="4217">
          <cell r="I4217" t="str">
            <v>sim</v>
          </cell>
          <cell r="V4217" t="str">
            <v>not neg pair</v>
          </cell>
          <cell r="W4217">
            <v>0</v>
          </cell>
          <cell r="X4217" t="str">
            <v>0</v>
          </cell>
        </row>
        <row r="4218">
          <cell r="I4218" t="str">
            <v>sim</v>
          </cell>
          <cell r="V4218" t="str">
            <v>not</v>
          </cell>
          <cell r="W4218">
            <v>1</v>
          </cell>
          <cell r="X4218" t="str">
            <v>intens</v>
          </cell>
        </row>
        <row r="4219">
          <cell r="I4219" t="str">
            <v>sim</v>
          </cell>
          <cell r="V4219" t="str">
            <v>not</v>
          </cell>
          <cell r="W4219">
            <v>1</v>
          </cell>
          <cell r="X4219" t="str">
            <v>neg</v>
          </cell>
        </row>
        <row r="4220">
          <cell r="I4220" t="str">
            <v>sim</v>
          </cell>
          <cell r="V4220" t="str">
            <v>antonym</v>
          </cell>
          <cell r="W4220">
            <v>1</v>
          </cell>
          <cell r="X4220" t="str">
            <v>neg</v>
          </cell>
        </row>
        <row r="4221">
          <cell r="I4221" t="str">
            <v>sim</v>
          </cell>
          <cell r="V4221" t="str">
            <v>antonym</v>
          </cell>
          <cell r="W4221">
            <v>1</v>
          </cell>
          <cell r="X4221" t="str">
            <v>intens</v>
          </cell>
        </row>
        <row r="4222">
          <cell r="I4222" t="str">
            <v>sim</v>
          </cell>
          <cell r="V4222" t="str">
            <v>antonym</v>
          </cell>
          <cell r="W4222">
            <v>1</v>
          </cell>
          <cell r="X4222" t="str">
            <v>intens</v>
          </cell>
        </row>
        <row r="4223">
          <cell r="I4223" t="str">
            <v>sim</v>
          </cell>
          <cell r="V4223" t="str">
            <v>antonym</v>
          </cell>
          <cell r="W4223">
            <v>1</v>
          </cell>
          <cell r="X4223" t="str">
            <v>neg</v>
          </cell>
        </row>
        <row r="4224">
          <cell r="I4224" t="str">
            <v>sim</v>
          </cell>
          <cell r="V4224" t="str">
            <v>antonym</v>
          </cell>
          <cell r="W4224">
            <v>1</v>
          </cell>
          <cell r="X4224" t="str">
            <v>neg</v>
          </cell>
        </row>
        <row r="4225">
          <cell r="I4225" t="str">
            <v>sim</v>
          </cell>
          <cell r="V4225" t="str">
            <v>antonym</v>
          </cell>
          <cell r="W4225">
            <v>1</v>
          </cell>
          <cell r="X4225" t="str">
            <v>intens</v>
          </cell>
        </row>
        <row r="4226">
          <cell r="I4226" t="str">
            <v>sim</v>
          </cell>
          <cell r="V4226" t="str">
            <v>not neg pair</v>
          </cell>
          <cell r="W4226">
            <v>0</v>
          </cell>
          <cell r="X4226" t="str">
            <v>0</v>
          </cell>
        </row>
        <row r="4227">
          <cell r="I4227" t="str">
            <v>sim</v>
          </cell>
          <cell r="V4227" t="str">
            <v>not neg pair</v>
          </cell>
          <cell r="W4227">
            <v>0</v>
          </cell>
          <cell r="X4227" t="str">
            <v>0</v>
          </cell>
        </row>
        <row r="4228">
          <cell r="I4228" t="str">
            <v>sim</v>
          </cell>
          <cell r="V4228" t="str">
            <v>antonym</v>
          </cell>
          <cell r="W4228">
            <v>1</v>
          </cell>
          <cell r="X4228" t="str">
            <v>intens</v>
          </cell>
        </row>
        <row r="4229">
          <cell r="I4229" t="str">
            <v>sim</v>
          </cell>
          <cell r="V4229" t="str">
            <v>antonym</v>
          </cell>
          <cell r="W4229">
            <v>1</v>
          </cell>
          <cell r="X4229" t="str">
            <v>neg</v>
          </cell>
        </row>
        <row r="4230">
          <cell r="I4230" t="str">
            <v>sim</v>
          </cell>
          <cell r="V4230" t="str">
            <v>not neg pair</v>
          </cell>
          <cell r="W4230">
            <v>0</v>
          </cell>
          <cell r="X4230" t="str">
            <v>0</v>
          </cell>
        </row>
        <row r="4231">
          <cell r="I4231" t="str">
            <v>sim</v>
          </cell>
          <cell r="V4231" t="str">
            <v>not neg pair</v>
          </cell>
          <cell r="W4231">
            <v>0</v>
          </cell>
          <cell r="X4231" t="str">
            <v>0</v>
          </cell>
        </row>
        <row r="4232">
          <cell r="I4232" t="str">
            <v>met</v>
          </cell>
          <cell r="V4232" t="str">
            <v>0</v>
          </cell>
          <cell r="W4232">
            <v>0</v>
          </cell>
          <cell r="X4232" t="str">
            <v>0</v>
          </cell>
        </row>
        <row r="4233">
          <cell r="I4233" t="str">
            <v>met</v>
          </cell>
          <cell r="V4233" t="str">
            <v>0</v>
          </cell>
          <cell r="W4233">
            <v>0</v>
          </cell>
          <cell r="X4233" t="str">
            <v>0</v>
          </cell>
        </row>
        <row r="4234">
          <cell r="I4234" t="str">
            <v>met</v>
          </cell>
          <cell r="V4234" t="str">
            <v>0</v>
          </cell>
          <cell r="W4234">
            <v>0</v>
          </cell>
          <cell r="X4234" t="str">
            <v>0</v>
          </cell>
        </row>
        <row r="4235">
          <cell r="I4235" t="str">
            <v>met</v>
          </cell>
          <cell r="V4235" t="str">
            <v>0</v>
          </cell>
          <cell r="W4235">
            <v>0</v>
          </cell>
          <cell r="X4235" t="str">
            <v>0</v>
          </cell>
        </row>
        <row r="4236">
          <cell r="I4236" t="str">
            <v>sim</v>
          </cell>
          <cell r="V4236" t="str">
            <v>not</v>
          </cell>
          <cell r="W4236">
            <v>1</v>
          </cell>
          <cell r="X4236" t="str">
            <v>neg</v>
          </cell>
        </row>
        <row r="4237">
          <cell r="I4237" t="str">
            <v>sim</v>
          </cell>
          <cell r="V4237" t="str">
            <v>not</v>
          </cell>
          <cell r="W4237">
            <v>1</v>
          </cell>
          <cell r="X4237" t="str">
            <v>intens</v>
          </cell>
        </row>
        <row r="4238">
          <cell r="I4238" t="str">
            <v>sim</v>
          </cell>
          <cell r="V4238" t="str">
            <v>not neg pair</v>
          </cell>
          <cell r="W4238">
            <v>0</v>
          </cell>
          <cell r="X4238" t="str">
            <v>0</v>
          </cell>
        </row>
        <row r="4239">
          <cell r="I4239" t="str">
            <v>sim</v>
          </cell>
          <cell r="V4239" t="str">
            <v>not neg pair</v>
          </cell>
          <cell r="W4239">
            <v>0</v>
          </cell>
          <cell r="X4239" t="str">
            <v>0</v>
          </cell>
        </row>
        <row r="4240">
          <cell r="I4240" t="str">
            <v>met</v>
          </cell>
          <cell r="V4240" t="str">
            <v>0</v>
          </cell>
          <cell r="W4240">
            <v>0</v>
          </cell>
          <cell r="X4240" t="str">
            <v>0</v>
          </cell>
        </row>
        <row r="4241">
          <cell r="I4241" t="str">
            <v>met</v>
          </cell>
          <cell r="V4241" t="str">
            <v>0</v>
          </cell>
          <cell r="W4241">
            <v>0</v>
          </cell>
          <cell r="X4241" t="str">
            <v>0</v>
          </cell>
        </row>
        <row r="4242">
          <cell r="I4242" t="str">
            <v>sim</v>
          </cell>
          <cell r="V4242" t="str">
            <v>not neg pair</v>
          </cell>
          <cell r="W4242">
            <v>0</v>
          </cell>
          <cell r="X4242" t="str">
            <v>0</v>
          </cell>
        </row>
        <row r="4243">
          <cell r="I4243" t="str">
            <v>sim</v>
          </cell>
          <cell r="V4243" t="str">
            <v>not neg pair</v>
          </cell>
          <cell r="W4243">
            <v>0</v>
          </cell>
          <cell r="X4243" t="str">
            <v>0</v>
          </cell>
        </row>
        <row r="4244">
          <cell r="I4244" t="str">
            <v>sim</v>
          </cell>
          <cell r="V4244" t="str">
            <v>not neg pair</v>
          </cell>
          <cell r="W4244">
            <v>0</v>
          </cell>
          <cell r="X4244" t="str">
            <v>0</v>
          </cell>
        </row>
        <row r="4245">
          <cell r="I4245" t="str">
            <v>met</v>
          </cell>
          <cell r="V4245" t="str">
            <v>0</v>
          </cell>
          <cell r="W4245">
            <v>0</v>
          </cell>
          <cell r="X4245" t="str">
            <v>0</v>
          </cell>
        </row>
        <row r="4246">
          <cell r="I4246" t="str">
            <v>sim</v>
          </cell>
          <cell r="V4246" t="str">
            <v>not neg pair</v>
          </cell>
          <cell r="W4246">
            <v>0</v>
          </cell>
          <cell r="X4246" t="str">
            <v>0</v>
          </cell>
        </row>
        <row r="4247">
          <cell r="I4247" t="str">
            <v>sim</v>
          </cell>
          <cell r="V4247" t="str">
            <v>not neg pair</v>
          </cell>
          <cell r="W4247">
            <v>0</v>
          </cell>
          <cell r="X4247" t="str">
            <v>0</v>
          </cell>
        </row>
        <row r="4248">
          <cell r="I4248" t="str">
            <v>met</v>
          </cell>
          <cell r="V4248" t="str">
            <v>0</v>
          </cell>
          <cell r="W4248">
            <v>0</v>
          </cell>
          <cell r="X4248" t="str">
            <v>0</v>
          </cell>
        </row>
        <row r="4249">
          <cell r="I4249" t="str">
            <v>met</v>
          </cell>
          <cell r="V4249" t="str">
            <v>0</v>
          </cell>
          <cell r="W4249">
            <v>0</v>
          </cell>
          <cell r="X4249" t="str">
            <v>0</v>
          </cell>
        </row>
        <row r="4250">
          <cell r="I4250" t="str">
            <v>sim</v>
          </cell>
          <cell r="V4250" t="str">
            <v>not</v>
          </cell>
          <cell r="W4250">
            <v>1</v>
          </cell>
          <cell r="X4250" t="str">
            <v>intens</v>
          </cell>
        </row>
        <row r="4251">
          <cell r="I4251" t="str">
            <v>sim</v>
          </cell>
          <cell r="V4251" t="str">
            <v>not</v>
          </cell>
          <cell r="W4251">
            <v>1</v>
          </cell>
          <cell r="X4251" t="str">
            <v>neg</v>
          </cell>
        </row>
        <row r="4252">
          <cell r="I4252" t="str">
            <v>sim</v>
          </cell>
          <cell r="V4252" t="str">
            <v>not neg pair</v>
          </cell>
          <cell r="W4252">
            <v>0</v>
          </cell>
          <cell r="X4252" t="str">
            <v>0</v>
          </cell>
        </row>
        <row r="4253">
          <cell r="I4253" t="str">
            <v>sim</v>
          </cell>
          <cell r="V4253" t="str">
            <v>not neg pair</v>
          </cell>
          <cell r="W4253">
            <v>0</v>
          </cell>
          <cell r="X4253" t="str">
            <v>0</v>
          </cell>
        </row>
        <row r="4254">
          <cell r="I4254" t="str">
            <v>sim</v>
          </cell>
          <cell r="V4254" t="str">
            <v>not neg pair</v>
          </cell>
          <cell r="W4254">
            <v>0</v>
          </cell>
          <cell r="X4254" t="str">
            <v>0</v>
          </cell>
        </row>
        <row r="4255">
          <cell r="I4255" t="str">
            <v>sim</v>
          </cell>
          <cell r="V4255" t="str">
            <v>not neg pair</v>
          </cell>
          <cell r="W4255">
            <v>0</v>
          </cell>
          <cell r="X4255" t="str">
            <v>0</v>
          </cell>
        </row>
        <row r="4256">
          <cell r="I4256" t="str">
            <v>sim</v>
          </cell>
          <cell r="V4256" t="str">
            <v>not neg pair</v>
          </cell>
          <cell r="W4256">
            <v>0</v>
          </cell>
          <cell r="X4256" t="str">
            <v>0</v>
          </cell>
        </row>
        <row r="4257">
          <cell r="I4257" t="str">
            <v>sim</v>
          </cell>
          <cell r="V4257" t="str">
            <v>not neg pair</v>
          </cell>
          <cell r="W4257">
            <v>0</v>
          </cell>
          <cell r="X4257" t="str">
            <v>0</v>
          </cell>
        </row>
        <row r="4258">
          <cell r="I4258" t="str">
            <v>met</v>
          </cell>
          <cell r="V4258" t="str">
            <v>0</v>
          </cell>
          <cell r="W4258">
            <v>0</v>
          </cell>
          <cell r="X4258" t="str">
            <v>0</v>
          </cell>
        </row>
        <row r="4259">
          <cell r="I4259" t="str">
            <v>met</v>
          </cell>
          <cell r="V4259" t="str">
            <v>0</v>
          </cell>
          <cell r="W4259">
            <v>0</v>
          </cell>
          <cell r="X4259" t="str">
            <v>0</v>
          </cell>
        </row>
        <row r="4260">
          <cell r="I4260" t="str">
            <v>sim</v>
          </cell>
          <cell r="V4260" t="str">
            <v>not neg pair</v>
          </cell>
          <cell r="W4260">
            <v>0</v>
          </cell>
          <cell r="X4260" t="str">
            <v>0</v>
          </cell>
        </row>
        <row r="4261">
          <cell r="I4261" t="str">
            <v>sim</v>
          </cell>
          <cell r="V4261" t="str">
            <v>not neg pair</v>
          </cell>
          <cell r="W4261">
            <v>0</v>
          </cell>
          <cell r="X4261" t="str">
            <v>0</v>
          </cell>
        </row>
        <row r="4262">
          <cell r="I4262" t="str">
            <v>sim</v>
          </cell>
          <cell r="V4262" t="str">
            <v>not neg pair</v>
          </cell>
          <cell r="W4262">
            <v>0</v>
          </cell>
          <cell r="X4262" t="str">
            <v>0</v>
          </cell>
        </row>
        <row r="4263">
          <cell r="I4263" t="str">
            <v>sim</v>
          </cell>
          <cell r="V4263" t="str">
            <v>not neg pair</v>
          </cell>
          <cell r="W4263">
            <v>0</v>
          </cell>
          <cell r="X4263" t="str">
            <v>0</v>
          </cell>
        </row>
        <row r="4264">
          <cell r="I4264" t="str">
            <v>sim</v>
          </cell>
          <cell r="V4264" t="str">
            <v>not</v>
          </cell>
          <cell r="W4264">
            <v>1</v>
          </cell>
          <cell r="X4264" t="str">
            <v>neg</v>
          </cell>
        </row>
        <row r="4265">
          <cell r="I4265" t="str">
            <v>sim</v>
          </cell>
          <cell r="V4265" t="str">
            <v>not</v>
          </cell>
          <cell r="W4265">
            <v>1</v>
          </cell>
          <cell r="X4265" t="str">
            <v>intens</v>
          </cell>
        </row>
        <row r="4266">
          <cell r="I4266" t="str">
            <v>met</v>
          </cell>
          <cell r="V4266" t="str">
            <v>0</v>
          </cell>
          <cell r="W4266">
            <v>0</v>
          </cell>
          <cell r="X4266" t="str">
            <v>0</v>
          </cell>
        </row>
        <row r="4267">
          <cell r="I4267" t="str">
            <v>met</v>
          </cell>
          <cell r="V4267" t="str">
            <v>0</v>
          </cell>
          <cell r="W4267">
            <v>0</v>
          </cell>
          <cell r="X4267" t="str">
            <v>0</v>
          </cell>
        </row>
        <row r="4268">
          <cell r="I4268" t="str">
            <v>sim</v>
          </cell>
          <cell r="V4268" t="str">
            <v>antonym</v>
          </cell>
          <cell r="W4268">
            <v>1</v>
          </cell>
          <cell r="X4268" t="str">
            <v>neg</v>
          </cell>
        </row>
        <row r="4269">
          <cell r="I4269" t="str">
            <v>sim</v>
          </cell>
          <cell r="V4269" t="str">
            <v>antonym</v>
          </cell>
          <cell r="W4269">
            <v>1</v>
          </cell>
          <cell r="X4269" t="str">
            <v>intens</v>
          </cell>
        </row>
        <row r="4270">
          <cell r="I4270" t="str">
            <v>sim</v>
          </cell>
          <cell r="V4270" t="str">
            <v>antonym</v>
          </cell>
          <cell r="W4270">
            <v>1</v>
          </cell>
          <cell r="X4270" t="str">
            <v>intens</v>
          </cell>
        </row>
        <row r="4271">
          <cell r="I4271" t="str">
            <v>sim</v>
          </cell>
          <cell r="V4271" t="str">
            <v>antonym</v>
          </cell>
          <cell r="W4271">
            <v>1</v>
          </cell>
          <cell r="X4271" t="str">
            <v>neg</v>
          </cell>
        </row>
        <row r="4272">
          <cell r="I4272" t="str">
            <v>sim</v>
          </cell>
          <cell r="V4272" t="str">
            <v>not</v>
          </cell>
          <cell r="W4272">
            <v>1</v>
          </cell>
          <cell r="X4272" t="str">
            <v>intens</v>
          </cell>
        </row>
        <row r="4273">
          <cell r="I4273" t="str">
            <v>sim</v>
          </cell>
          <cell r="V4273" t="str">
            <v>not</v>
          </cell>
          <cell r="W4273">
            <v>1</v>
          </cell>
          <cell r="X4273" t="str">
            <v>neg</v>
          </cell>
        </row>
        <row r="4274">
          <cell r="I4274" t="str">
            <v>sim</v>
          </cell>
          <cell r="V4274" t="str">
            <v>not</v>
          </cell>
          <cell r="W4274">
            <v>1</v>
          </cell>
          <cell r="X4274" t="str">
            <v>intens</v>
          </cell>
        </row>
        <row r="4275">
          <cell r="I4275" t="str">
            <v>sim</v>
          </cell>
          <cell r="V4275" t="str">
            <v>not</v>
          </cell>
          <cell r="W4275">
            <v>1</v>
          </cell>
          <cell r="X4275" t="str">
            <v>neg</v>
          </cell>
        </row>
        <row r="4276">
          <cell r="I4276" t="str">
            <v>sim</v>
          </cell>
          <cell r="V4276" t="str">
            <v>not neg pair</v>
          </cell>
          <cell r="W4276">
            <v>0</v>
          </cell>
          <cell r="X4276" t="str">
            <v>0</v>
          </cell>
        </row>
        <row r="4277">
          <cell r="I4277" t="str">
            <v>sim</v>
          </cell>
          <cell r="V4277" t="str">
            <v>not neg pair</v>
          </cell>
          <cell r="W4277">
            <v>0</v>
          </cell>
          <cell r="X4277" t="str">
            <v>0</v>
          </cell>
        </row>
        <row r="4278">
          <cell r="I4278" t="str">
            <v>sim</v>
          </cell>
          <cell r="V4278" t="str">
            <v>not neg pair</v>
          </cell>
          <cell r="W4278">
            <v>0</v>
          </cell>
          <cell r="X4278" t="str">
            <v>0</v>
          </cell>
        </row>
        <row r="4279">
          <cell r="I4279" t="str">
            <v>sim</v>
          </cell>
          <cell r="V4279" t="str">
            <v>not neg pair</v>
          </cell>
          <cell r="W4279">
            <v>0</v>
          </cell>
          <cell r="X4279" t="str">
            <v>0</v>
          </cell>
        </row>
        <row r="4280">
          <cell r="I4280" t="str">
            <v>sim</v>
          </cell>
          <cell r="V4280" t="str">
            <v>not neg pair</v>
          </cell>
          <cell r="W4280">
            <v>0</v>
          </cell>
          <cell r="X4280" t="str">
            <v>0</v>
          </cell>
        </row>
        <row r="4281">
          <cell r="I4281" t="str">
            <v>sim</v>
          </cell>
          <cell r="V4281" t="str">
            <v>not neg pair</v>
          </cell>
          <cell r="W4281">
            <v>0</v>
          </cell>
          <cell r="X4281" t="str">
            <v>0</v>
          </cell>
        </row>
        <row r="4282">
          <cell r="I4282" t="str">
            <v>sim</v>
          </cell>
          <cell r="V4282" t="str">
            <v>not neg pair</v>
          </cell>
          <cell r="W4282">
            <v>0</v>
          </cell>
          <cell r="X4282" t="str">
            <v>0</v>
          </cell>
        </row>
        <row r="4283">
          <cell r="I4283" t="str">
            <v>sim</v>
          </cell>
          <cell r="V4283" t="str">
            <v>not neg pair</v>
          </cell>
          <cell r="W4283">
            <v>0</v>
          </cell>
          <cell r="X4283" t="str">
            <v>0</v>
          </cell>
        </row>
        <row r="4284">
          <cell r="I4284" t="str">
            <v>sim</v>
          </cell>
          <cell r="V4284" t="str">
            <v>not neg pair</v>
          </cell>
          <cell r="W4284">
            <v>0</v>
          </cell>
          <cell r="X4284" t="str">
            <v>0</v>
          </cell>
        </row>
        <row r="4285">
          <cell r="I4285" t="str">
            <v>sim</v>
          </cell>
          <cell r="V4285" t="str">
            <v>not neg pair</v>
          </cell>
          <cell r="W4285">
            <v>0</v>
          </cell>
          <cell r="X4285" t="str">
            <v>0</v>
          </cell>
        </row>
        <row r="4286">
          <cell r="I4286" t="str">
            <v>sim</v>
          </cell>
          <cell r="V4286" t="str">
            <v>not neg pair</v>
          </cell>
          <cell r="W4286">
            <v>0</v>
          </cell>
          <cell r="X4286" t="str">
            <v>0</v>
          </cell>
        </row>
        <row r="4287">
          <cell r="I4287" t="str">
            <v>sim</v>
          </cell>
          <cell r="V4287" t="str">
            <v>not neg pair</v>
          </cell>
          <cell r="W4287">
            <v>0</v>
          </cell>
          <cell r="X4287" t="str">
            <v>0</v>
          </cell>
        </row>
        <row r="4288">
          <cell r="I4288" t="str">
            <v>sim</v>
          </cell>
          <cell r="V4288" t="str">
            <v>not neg pair</v>
          </cell>
          <cell r="W4288">
            <v>0</v>
          </cell>
          <cell r="X4288" t="str">
            <v>0</v>
          </cell>
        </row>
        <row r="4289">
          <cell r="I4289" t="str">
            <v>sim</v>
          </cell>
          <cell r="V4289" t="str">
            <v>not neg pair</v>
          </cell>
          <cell r="W4289">
            <v>0</v>
          </cell>
          <cell r="X4289" t="str">
            <v>0</v>
          </cell>
        </row>
        <row r="4290">
          <cell r="I4290" t="str">
            <v>sim</v>
          </cell>
          <cell r="V4290" t="str">
            <v>not neg pair</v>
          </cell>
          <cell r="W4290">
            <v>0</v>
          </cell>
          <cell r="X4290" t="str">
            <v>0</v>
          </cell>
        </row>
        <row r="4291">
          <cell r="I4291" t="str">
            <v>sim</v>
          </cell>
          <cell r="V4291" t="str">
            <v>not neg pair</v>
          </cell>
          <cell r="W4291">
            <v>0</v>
          </cell>
          <cell r="X4291" t="str">
            <v>0</v>
          </cell>
        </row>
        <row r="4292">
          <cell r="I4292" t="str">
            <v>sim</v>
          </cell>
          <cell r="V4292" t="str">
            <v>antonym</v>
          </cell>
          <cell r="W4292">
            <v>1</v>
          </cell>
          <cell r="X4292" t="str">
            <v>intens</v>
          </cell>
        </row>
        <row r="4293">
          <cell r="I4293" t="str">
            <v>sim</v>
          </cell>
          <cell r="V4293" t="str">
            <v>antonym</v>
          </cell>
          <cell r="W4293">
            <v>1</v>
          </cell>
          <cell r="X4293" t="str">
            <v>neg</v>
          </cell>
        </row>
        <row r="4294">
          <cell r="I4294" t="str">
            <v>sim</v>
          </cell>
          <cell r="V4294" t="str">
            <v>not</v>
          </cell>
          <cell r="W4294">
            <v>1</v>
          </cell>
          <cell r="X4294" t="str">
            <v>intens</v>
          </cell>
        </row>
        <row r="4295">
          <cell r="I4295" t="str">
            <v>sim</v>
          </cell>
          <cell r="V4295" t="str">
            <v>not</v>
          </cell>
          <cell r="W4295">
            <v>1</v>
          </cell>
          <cell r="X4295" t="str">
            <v>neg</v>
          </cell>
        </row>
        <row r="4296">
          <cell r="I4296" t="str">
            <v>sim</v>
          </cell>
          <cell r="V4296" t="str">
            <v>not neg pair</v>
          </cell>
          <cell r="W4296">
            <v>0</v>
          </cell>
          <cell r="X4296" t="str">
            <v>0</v>
          </cell>
        </row>
        <row r="4297">
          <cell r="I4297" t="str">
            <v>sim</v>
          </cell>
          <cell r="V4297" t="str">
            <v>not neg pair</v>
          </cell>
          <cell r="W4297">
            <v>0</v>
          </cell>
          <cell r="X4297" t="str">
            <v>0</v>
          </cell>
        </row>
        <row r="4298">
          <cell r="I4298" t="str">
            <v>sim</v>
          </cell>
          <cell r="V4298" t="str">
            <v>not neg pair</v>
          </cell>
          <cell r="W4298">
            <v>0</v>
          </cell>
          <cell r="X4298" t="str">
            <v>0</v>
          </cell>
        </row>
        <row r="4299">
          <cell r="I4299" t="str">
            <v>sim</v>
          </cell>
          <cell r="V4299" t="str">
            <v>not neg pair</v>
          </cell>
          <cell r="W4299">
            <v>0</v>
          </cell>
          <cell r="X4299" t="str">
            <v>0</v>
          </cell>
        </row>
        <row r="4300">
          <cell r="I4300" t="str">
            <v>sim</v>
          </cell>
          <cell r="V4300" t="str">
            <v>not neg pair</v>
          </cell>
          <cell r="W4300">
            <v>0</v>
          </cell>
          <cell r="X4300" t="str">
            <v>0</v>
          </cell>
        </row>
        <row r="4301">
          <cell r="I4301" t="str">
            <v>sim</v>
          </cell>
          <cell r="V4301" t="str">
            <v>not neg pair</v>
          </cell>
          <cell r="W4301">
            <v>0</v>
          </cell>
          <cell r="X4301" t="str">
            <v>0</v>
          </cell>
        </row>
        <row r="4302">
          <cell r="I4302" t="str">
            <v>sim</v>
          </cell>
          <cell r="V4302" t="str">
            <v>not neg pair</v>
          </cell>
          <cell r="W4302">
            <v>0</v>
          </cell>
          <cell r="X4302" t="str">
            <v>0</v>
          </cell>
        </row>
        <row r="4303">
          <cell r="I4303" t="str">
            <v>sim</v>
          </cell>
          <cell r="V4303" t="str">
            <v>not neg pair</v>
          </cell>
          <cell r="W4303">
            <v>0</v>
          </cell>
          <cell r="X4303" t="str">
            <v>0</v>
          </cell>
        </row>
        <row r="4304">
          <cell r="I4304" t="str">
            <v>sim</v>
          </cell>
          <cell r="V4304" t="str">
            <v>not neg pair</v>
          </cell>
          <cell r="W4304">
            <v>0</v>
          </cell>
          <cell r="X4304" t="str">
            <v>0</v>
          </cell>
        </row>
        <row r="4305">
          <cell r="I4305" t="str">
            <v>sim</v>
          </cell>
          <cell r="V4305" t="str">
            <v>not neg pair</v>
          </cell>
          <cell r="W4305">
            <v>0</v>
          </cell>
          <cell r="X4305" t="str">
            <v>0</v>
          </cell>
        </row>
        <row r="4306">
          <cell r="I4306" t="str">
            <v>sim</v>
          </cell>
          <cell r="V4306" t="str">
            <v>not</v>
          </cell>
          <cell r="W4306">
            <v>1</v>
          </cell>
          <cell r="X4306" t="str">
            <v>neg</v>
          </cell>
        </row>
        <row r="4307">
          <cell r="I4307" t="str">
            <v>sim</v>
          </cell>
          <cell r="V4307" t="str">
            <v>not</v>
          </cell>
          <cell r="W4307">
            <v>1</v>
          </cell>
          <cell r="X4307" t="str">
            <v>intens</v>
          </cell>
        </row>
        <row r="4308">
          <cell r="I4308" t="str">
            <v>sim</v>
          </cell>
          <cell r="V4308" t="str">
            <v>not neg pair</v>
          </cell>
          <cell r="W4308">
            <v>0</v>
          </cell>
          <cell r="X4308" t="str">
            <v>0</v>
          </cell>
        </row>
        <row r="4309">
          <cell r="I4309" t="str">
            <v>sim</v>
          </cell>
          <cell r="V4309" t="str">
            <v>not neg pair</v>
          </cell>
          <cell r="W4309">
            <v>0</v>
          </cell>
          <cell r="X4309" t="str">
            <v>0</v>
          </cell>
        </row>
        <row r="4310">
          <cell r="I4310" t="str">
            <v>sim</v>
          </cell>
          <cell r="V4310" t="str">
            <v>not neg pair</v>
          </cell>
          <cell r="W4310">
            <v>0</v>
          </cell>
          <cell r="X4310" t="str">
            <v>0</v>
          </cell>
        </row>
        <row r="4311">
          <cell r="I4311" t="str">
            <v>sim</v>
          </cell>
          <cell r="V4311" t="str">
            <v>not neg pair</v>
          </cell>
          <cell r="W4311">
            <v>0</v>
          </cell>
          <cell r="X4311" t="str">
            <v>0</v>
          </cell>
        </row>
        <row r="4312">
          <cell r="I4312" t="str">
            <v>met</v>
          </cell>
          <cell r="V4312" t="str">
            <v>0</v>
          </cell>
          <cell r="W4312">
            <v>0</v>
          </cell>
          <cell r="X4312" t="str">
            <v>0</v>
          </cell>
        </row>
        <row r="4313">
          <cell r="I4313" t="str">
            <v>met</v>
          </cell>
          <cell r="V4313" t="str">
            <v>0</v>
          </cell>
          <cell r="W4313">
            <v>0</v>
          </cell>
          <cell r="X4313" t="str">
            <v>0</v>
          </cell>
        </row>
        <row r="4314">
          <cell r="I4314" t="str">
            <v>met</v>
          </cell>
          <cell r="V4314" t="str">
            <v>0</v>
          </cell>
          <cell r="W4314">
            <v>0</v>
          </cell>
          <cell r="X4314" t="str">
            <v>0</v>
          </cell>
        </row>
        <row r="4315">
          <cell r="I4315" t="str">
            <v>met</v>
          </cell>
          <cell r="V4315" t="str">
            <v>0</v>
          </cell>
          <cell r="W4315">
            <v>0</v>
          </cell>
          <cell r="X4315" t="str">
            <v>0</v>
          </cell>
        </row>
        <row r="4316">
          <cell r="I4316" t="str">
            <v>met</v>
          </cell>
          <cell r="V4316" t="str">
            <v>0</v>
          </cell>
          <cell r="W4316">
            <v>0</v>
          </cell>
          <cell r="X4316" t="str">
            <v>0</v>
          </cell>
        </row>
        <row r="4317">
          <cell r="I4317" t="str">
            <v>met</v>
          </cell>
          <cell r="V4317" t="str">
            <v>0</v>
          </cell>
          <cell r="W4317">
            <v>0</v>
          </cell>
          <cell r="X4317" t="str">
            <v>0</v>
          </cell>
        </row>
        <row r="4318">
          <cell r="I4318" t="str">
            <v>met</v>
          </cell>
          <cell r="V4318" t="str">
            <v>0</v>
          </cell>
          <cell r="W4318">
            <v>0</v>
          </cell>
          <cell r="X4318" t="str">
            <v>0</v>
          </cell>
        </row>
        <row r="4319">
          <cell r="I4319" t="str">
            <v>met</v>
          </cell>
          <cell r="V4319" t="str">
            <v>0</v>
          </cell>
          <cell r="W4319">
            <v>0</v>
          </cell>
          <cell r="X4319" t="str">
            <v>0</v>
          </cell>
        </row>
        <row r="4320">
          <cell r="I4320" t="str">
            <v>met</v>
          </cell>
          <cell r="V4320" t="str">
            <v>0</v>
          </cell>
          <cell r="W4320">
            <v>0</v>
          </cell>
          <cell r="X4320" t="str">
            <v>0</v>
          </cell>
        </row>
        <row r="4321">
          <cell r="I4321" t="str">
            <v>met</v>
          </cell>
          <cell r="V4321" t="str">
            <v>0</v>
          </cell>
          <cell r="W4321">
            <v>0</v>
          </cell>
          <cell r="X4321" t="str">
            <v>0</v>
          </cell>
        </row>
        <row r="4322">
          <cell r="I4322" t="str">
            <v>sim</v>
          </cell>
          <cell r="V4322" t="str">
            <v>not neg pair</v>
          </cell>
          <cell r="W4322">
            <v>0</v>
          </cell>
          <cell r="X4322" t="str">
            <v>0</v>
          </cell>
        </row>
        <row r="4323">
          <cell r="I4323" t="str">
            <v>sim</v>
          </cell>
          <cell r="V4323" t="str">
            <v>not neg pair</v>
          </cell>
          <cell r="W4323">
            <v>0</v>
          </cell>
          <cell r="X4323" t="str">
            <v>0</v>
          </cell>
        </row>
        <row r="4324">
          <cell r="I4324" t="str">
            <v>sim</v>
          </cell>
          <cell r="V4324" t="str">
            <v>not neg pair</v>
          </cell>
          <cell r="W4324">
            <v>0</v>
          </cell>
          <cell r="X4324" t="str">
            <v>0</v>
          </cell>
        </row>
        <row r="4325">
          <cell r="I4325" t="str">
            <v>sim</v>
          </cell>
          <cell r="V4325" t="str">
            <v>not neg pair</v>
          </cell>
          <cell r="W4325">
            <v>0</v>
          </cell>
          <cell r="X4325" t="str">
            <v>0</v>
          </cell>
        </row>
        <row r="4326">
          <cell r="I4326" t="str">
            <v>sim</v>
          </cell>
          <cell r="V4326" t="str">
            <v>antonym</v>
          </cell>
          <cell r="W4326">
            <v>1</v>
          </cell>
          <cell r="X4326" t="str">
            <v>intens</v>
          </cell>
        </row>
        <row r="4327">
          <cell r="I4327" t="str">
            <v>sim</v>
          </cell>
          <cell r="V4327" t="str">
            <v>antonym</v>
          </cell>
          <cell r="W4327">
            <v>1</v>
          </cell>
          <cell r="X4327" t="str">
            <v>neg</v>
          </cell>
        </row>
        <row r="4328">
          <cell r="I4328" t="str">
            <v>sim</v>
          </cell>
          <cell r="V4328" t="str">
            <v>not neg pair</v>
          </cell>
          <cell r="W4328">
            <v>0</v>
          </cell>
          <cell r="X4328" t="str">
            <v>0</v>
          </cell>
        </row>
        <row r="4329">
          <cell r="I4329" t="str">
            <v>sim</v>
          </cell>
          <cell r="V4329" t="str">
            <v>not neg pair</v>
          </cell>
          <cell r="W4329">
            <v>0</v>
          </cell>
          <cell r="X4329" t="str">
            <v>0</v>
          </cell>
        </row>
        <row r="4330">
          <cell r="I4330" t="str">
            <v>sim</v>
          </cell>
          <cell r="V4330" t="str">
            <v>not neg pair</v>
          </cell>
          <cell r="W4330">
            <v>0</v>
          </cell>
          <cell r="X4330" t="str">
            <v>0</v>
          </cell>
        </row>
        <row r="4331">
          <cell r="I4331" t="str">
            <v>sim</v>
          </cell>
          <cell r="V4331" t="str">
            <v>not neg pair</v>
          </cell>
          <cell r="W4331">
            <v>0</v>
          </cell>
          <cell r="X4331" t="str">
            <v>0</v>
          </cell>
        </row>
        <row r="4332">
          <cell r="I4332" t="str">
            <v>sim</v>
          </cell>
          <cell r="V4332" t="str">
            <v>not neg pair</v>
          </cell>
          <cell r="W4332">
            <v>0</v>
          </cell>
          <cell r="X4332" t="str">
            <v>0</v>
          </cell>
        </row>
        <row r="4333">
          <cell r="I4333" t="str">
            <v>sim</v>
          </cell>
          <cell r="V4333" t="str">
            <v>not neg pair</v>
          </cell>
          <cell r="W4333">
            <v>0</v>
          </cell>
          <cell r="X4333" t="str">
            <v>0</v>
          </cell>
        </row>
        <row r="4334">
          <cell r="I4334" t="str">
            <v>sim</v>
          </cell>
          <cell r="V4334" t="str">
            <v>not</v>
          </cell>
          <cell r="W4334">
            <v>1</v>
          </cell>
          <cell r="X4334" t="str">
            <v>intens</v>
          </cell>
        </row>
        <row r="4335">
          <cell r="I4335" t="str">
            <v>sim</v>
          </cell>
          <cell r="V4335" t="str">
            <v>not</v>
          </cell>
          <cell r="W4335">
            <v>1</v>
          </cell>
          <cell r="X4335" t="str">
            <v>neg</v>
          </cell>
        </row>
        <row r="4336">
          <cell r="I4336" t="str">
            <v>sim</v>
          </cell>
          <cell r="V4336" t="str">
            <v>0</v>
          </cell>
          <cell r="W4336">
            <v>0</v>
          </cell>
          <cell r="X4336" t="str">
            <v>0</v>
          </cell>
        </row>
        <row r="4337">
          <cell r="I4337" t="str">
            <v>sim</v>
          </cell>
          <cell r="V4337" t="str">
            <v>not neg pair</v>
          </cell>
          <cell r="W4337">
            <v>0</v>
          </cell>
          <cell r="X4337" t="str">
            <v>0</v>
          </cell>
        </row>
        <row r="4338">
          <cell r="I4338" t="str">
            <v>sim</v>
          </cell>
          <cell r="V4338" t="str">
            <v>not neg pair</v>
          </cell>
          <cell r="W4338">
            <v>0</v>
          </cell>
          <cell r="X4338" t="str">
            <v>0</v>
          </cell>
        </row>
        <row r="4339">
          <cell r="I4339" t="str">
            <v>sim</v>
          </cell>
          <cell r="V4339" t="str">
            <v>not neg pair</v>
          </cell>
          <cell r="W4339">
            <v>0</v>
          </cell>
          <cell r="X4339" t="str">
            <v>0</v>
          </cell>
        </row>
        <row r="4340">
          <cell r="I4340" t="str">
            <v>sim</v>
          </cell>
          <cell r="V4340" t="str">
            <v>not neg pair</v>
          </cell>
          <cell r="W4340">
            <v>0</v>
          </cell>
          <cell r="X4340" t="str">
            <v>0</v>
          </cell>
        </row>
        <row r="4341">
          <cell r="I4341" t="str">
            <v>sim</v>
          </cell>
          <cell r="V4341" t="str">
            <v>not neg pair</v>
          </cell>
          <cell r="W4341">
            <v>0</v>
          </cell>
          <cell r="X4341" t="str">
            <v>0</v>
          </cell>
        </row>
        <row r="4342">
          <cell r="I4342" t="str">
            <v>sim</v>
          </cell>
          <cell r="V4342" t="str">
            <v>not neg pair</v>
          </cell>
          <cell r="W4342">
            <v>0</v>
          </cell>
          <cell r="X4342" t="str">
            <v>0</v>
          </cell>
        </row>
        <row r="4343">
          <cell r="I4343" t="str">
            <v>sim</v>
          </cell>
          <cell r="V4343" t="str">
            <v>not neg pair</v>
          </cell>
          <cell r="W4343">
            <v>0</v>
          </cell>
          <cell r="X4343" t="str">
            <v>0</v>
          </cell>
        </row>
        <row r="4344">
          <cell r="I4344" t="str">
            <v>met</v>
          </cell>
          <cell r="V4344" t="str">
            <v>0</v>
          </cell>
          <cell r="W4344">
            <v>0</v>
          </cell>
          <cell r="X4344" t="str">
            <v>0</v>
          </cell>
        </row>
        <row r="4345">
          <cell r="I4345" t="str">
            <v>met</v>
          </cell>
          <cell r="V4345" t="str">
            <v>0</v>
          </cell>
          <cell r="W4345">
            <v>0</v>
          </cell>
          <cell r="X4345" t="str">
            <v>0</v>
          </cell>
        </row>
        <row r="4346">
          <cell r="I4346" t="str">
            <v>met</v>
          </cell>
          <cell r="V4346" t="str">
            <v>0</v>
          </cell>
          <cell r="W4346">
            <v>0</v>
          </cell>
          <cell r="X4346" t="str">
            <v>0</v>
          </cell>
        </row>
        <row r="4347">
          <cell r="I4347" t="str">
            <v>met</v>
          </cell>
          <cell r="V4347" t="str">
            <v>0</v>
          </cell>
          <cell r="W4347">
            <v>0</v>
          </cell>
          <cell r="X4347" t="str">
            <v>0</v>
          </cell>
        </row>
        <row r="4348">
          <cell r="I4348" t="str">
            <v>met</v>
          </cell>
          <cell r="V4348" t="str">
            <v>0</v>
          </cell>
          <cell r="W4348">
            <v>0</v>
          </cell>
          <cell r="X4348" t="str">
            <v>0</v>
          </cell>
        </row>
        <row r="4349">
          <cell r="I4349" t="str">
            <v>met</v>
          </cell>
          <cell r="V4349" t="str">
            <v>0</v>
          </cell>
          <cell r="W4349">
            <v>0</v>
          </cell>
          <cell r="X4349" t="str">
            <v>0</v>
          </cell>
        </row>
        <row r="4350">
          <cell r="I4350" t="str">
            <v>sim</v>
          </cell>
          <cell r="V4350" t="str">
            <v>antonym</v>
          </cell>
          <cell r="W4350">
            <v>1</v>
          </cell>
          <cell r="X4350" t="str">
            <v>intens</v>
          </cell>
        </row>
        <row r="4351">
          <cell r="I4351" t="str">
            <v>sim</v>
          </cell>
          <cell r="V4351" t="str">
            <v>antonym</v>
          </cell>
          <cell r="W4351">
            <v>1</v>
          </cell>
          <cell r="X4351" t="str">
            <v>neg</v>
          </cell>
        </row>
        <row r="4352">
          <cell r="I4352" t="str">
            <v>sim</v>
          </cell>
          <cell r="V4352" t="str">
            <v>not</v>
          </cell>
          <cell r="W4352">
            <v>1</v>
          </cell>
          <cell r="X4352" t="str">
            <v>intens</v>
          </cell>
        </row>
        <row r="4353">
          <cell r="I4353" t="str">
            <v>sim</v>
          </cell>
          <cell r="V4353" t="str">
            <v>not</v>
          </cell>
          <cell r="W4353">
            <v>1</v>
          </cell>
          <cell r="X4353" t="str">
            <v>neg</v>
          </cell>
        </row>
        <row r="4354">
          <cell r="I4354" t="str">
            <v>sim</v>
          </cell>
          <cell r="V4354" t="str">
            <v>not</v>
          </cell>
          <cell r="W4354">
            <v>1</v>
          </cell>
          <cell r="X4354" t="str">
            <v>intens</v>
          </cell>
        </row>
        <row r="4355">
          <cell r="I4355" t="str">
            <v>sim</v>
          </cell>
          <cell r="V4355" t="str">
            <v>not</v>
          </cell>
          <cell r="W4355">
            <v>1</v>
          </cell>
          <cell r="X4355" t="str">
            <v>neg</v>
          </cell>
        </row>
        <row r="4356">
          <cell r="I4356" t="str">
            <v>sim</v>
          </cell>
          <cell r="V4356" t="str">
            <v>not neg pair</v>
          </cell>
          <cell r="W4356">
            <v>0</v>
          </cell>
          <cell r="X4356" t="str">
            <v>0</v>
          </cell>
        </row>
        <row r="4357">
          <cell r="I4357" t="str">
            <v>sim</v>
          </cell>
          <cell r="V4357" t="str">
            <v>not neg pair</v>
          </cell>
          <cell r="W4357">
            <v>0</v>
          </cell>
          <cell r="X4357" t="str">
            <v>0</v>
          </cell>
        </row>
        <row r="4358">
          <cell r="I4358" t="str">
            <v>sim</v>
          </cell>
          <cell r="V4358" t="str">
            <v>not neg pair</v>
          </cell>
          <cell r="W4358">
            <v>0</v>
          </cell>
          <cell r="X4358" t="str">
            <v>0</v>
          </cell>
        </row>
        <row r="4359">
          <cell r="I4359" t="str">
            <v>sim</v>
          </cell>
          <cell r="V4359" t="str">
            <v>not neg pair</v>
          </cell>
          <cell r="W4359">
            <v>0</v>
          </cell>
          <cell r="X4359" t="str">
            <v>0</v>
          </cell>
        </row>
        <row r="4360">
          <cell r="I4360" t="str">
            <v>sim</v>
          </cell>
          <cell r="V4360" t="str">
            <v>not neg pair</v>
          </cell>
          <cell r="W4360">
            <v>0</v>
          </cell>
          <cell r="X4360" t="str">
            <v>0</v>
          </cell>
        </row>
        <row r="4361">
          <cell r="I4361" t="str">
            <v>sim</v>
          </cell>
          <cell r="V4361" t="str">
            <v>not neg pair</v>
          </cell>
          <cell r="W4361">
            <v>0</v>
          </cell>
          <cell r="X4361" t="str">
            <v>0</v>
          </cell>
        </row>
        <row r="4362">
          <cell r="I4362" t="str">
            <v>sim</v>
          </cell>
          <cell r="V4362" t="str">
            <v>not</v>
          </cell>
          <cell r="W4362">
            <v>1</v>
          </cell>
          <cell r="X4362" t="str">
            <v>neg</v>
          </cell>
        </row>
        <row r="4363">
          <cell r="I4363" t="str">
            <v>sim</v>
          </cell>
          <cell r="V4363" t="str">
            <v>not</v>
          </cell>
          <cell r="W4363">
            <v>1</v>
          </cell>
          <cell r="X4363" t="str">
            <v>intens</v>
          </cell>
        </row>
        <row r="4364">
          <cell r="I4364" t="str">
            <v>sim</v>
          </cell>
          <cell r="V4364" t="str">
            <v>not</v>
          </cell>
          <cell r="W4364">
            <v>1</v>
          </cell>
          <cell r="X4364" t="str">
            <v>intens</v>
          </cell>
        </row>
        <row r="4365">
          <cell r="I4365" t="str">
            <v>sim</v>
          </cell>
          <cell r="V4365" t="str">
            <v>not</v>
          </cell>
          <cell r="W4365">
            <v>1</v>
          </cell>
          <cell r="X4365" t="str">
            <v>neg</v>
          </cell>
        </row>
        <row r="4366">
          <cell r="I4366" t="str">
            <v>sim</v>
          </cell>
          <cell r="V4366" t="str">
            <v>not</v>
          </cell>
          <cell r="W4366">
            <v>1</v>
          </cell>
          <cell r="X4366" t="str">
            <v>intens</v>
          </cell>
        </row>
        <row r="4367">
          <cell r="I4367" t="str">
            <v>sim</v>
          </cell>
          <cell r="V4367" t="str">
            <v>not</v>
          </cell>
          <cell r="W4367">
            <v>1</v>
          </cell>
          <cell r="X4367" t="str">
            <v>neg</v>
          </cell>
        </row>
        <row r="4368">
          <cell r="I4368" t="str">
            <v>sim</v>
          </cell>
          <cell r="V4368" t="str">
            <v>not</v>
          </cell>
          <cell r="W4368">
            <v>1</v>
          </cell>
          <cell r="X4368" t="str">
            <v>intens</v>
          </cell>
        </row>
        <row r="4369">
          <cell r="I4369" t="str">
            <v>sim</v>
          </cell>
          <cell r="V4369" t="str">
            <v>not</v>
          </cell>
          <cell r="W4369">
            <v>1</v>
          </cell>
          <cell r="X4369" t="str">
            <v>neg</v>
          </cell>
        </row>
        <row r="4370">
          <cell r="I4370" t="str">
            <v>sim</v>
          </cell>
          <cell r="V4370" t="str">
            <v>not neg pair</v>
          </cell>
          <cell r="W4370">
            <v>0</v>
          </cell>
          <cell r="X4370" t="str">
            <v>0</v>
          </cell>
        </row>
        <row r="4371">
          <cell r="I4371" t="str">
            <v>sim</v>
          </cell>
          <cell r="V4371" t="str">
            <v>not neg pair</v>
          </cell>
          <cell r="W4371">
            <v>0</v>
          </cell>
          <cell r="X4371" t="str">
            <v>0</v>
          </cell>
        </row>
        <row r="4372">
          <cell r="I4372" t="str">
            <v>sim</v>
          </cell>
          <cell r="V4372" t="str">
            <v>antonym</v>
          </cell>
          <cell r="W4372">
            <v>1</v>
          </cell>
          <cell r="X4372" t="str">
            <v>neg</v>
          </cell>
        </row>
        <row r="4373">
          <cell r="I4373" t="str">
            <v>sim</v>
          </cell>
          <cell r="V4373" t="str">
            <v>antonym</v>
          </cell>
          <cell r="W4373">
            <v>1</v>
          </cell>
          <cell r="X4373" t="str">
            <v>intens</v>
          </cell>
        </row>
        <row r="4374">
          <cell r="I4374" t="str">
            <v>sim</v>
          </cell>
          <cell r="V4374" t="str">
            <v>not neg pair</v>
          </cell>
          <cell r="W4374">
            <v>0</v>
          </cell>
          <cell r="X4374" t="str">
            <v>0</v>
          </cell>
        </row>
        <row r="4375">
          <cell r="I4375" t="str">
            <v>sim</v>
          </cell>
          <cell r="V4375" t="str">
            <v>not neg pair</v>
          </cell>
          <cell r="W4375">
            <v>0</v>
          </cell>
          <cell r="X4375" t="str">
            <v>0</v>
          </cell>
        </row>
        <row r="4376">
          <cell r="I4376" t="str">
            <v>met</v>
          </cell>
          <cell r="V4376" t="str">
            <v>0</v>
          </cell>
          <cell r="W4376">
            <v>0</v>
          </cell>
          <cell r="X4376" t="str">
            <v>0</v>
          </cell>
        </row>
        <row r="4377">
          <cell r="I4377" t="str">
            <v>met</v>
          </cell>
          <cell r="V4377" t="str">
            <v>0</v>
          </cell>
          <cell r="W4377">
            <v>0</v>
          </cell>
          <cell r="X4377" t="str">
            <v>0</v>
          </cell>
        </row>
        <row r="4378">
          <cell r="I4378" t="str">
            <v>sim</v>
          </cell>
          <cell r="V4378" t="str">
            <v>antonym</v>
          </cell>
          <cell r="W4378">
            <v>1</v>
          </cell>
          <cell r="X4378" t="str">
            <v>intens</v>
          </cell>
        </row>
        <row r="4379">
          <cell r="I4379" t="str">
            <v>sim</v>
          </cell>
          <cell r="V4379" t="str">
            <v>antonym</v>
          </cell>
          <cell r="W4379">
            <v>1</v>
          </cell>
          <cell r="X4379" t="str">
            <v>neg</v>
          </cell>
        </row>
        <row r="4380">
          <cell r="I4380" t="str">
            <v>sim</v>
          </cell>
          <cell r="V4380" t="str">
            <v>not neg pair</v>
          </cell>
          <cell r="W4380">
            <v>0</v>
          </cell>
          <cell r="X4380" t="str">
            <v>0</v>
          </cell>
        </row>
        <row r="4381">
          <cell r="I4381" t="str">
            <v>sim</v>
          </cell>
          <cell r="V4381" t="str">
            <v>not neg pair</v>
          </cell>
          <cell r="W4381">
            <v>0</v>
          </cell>
          <cell r="X4381" t="str">
            <v>0</v>
          </cell>
        </row>
        <row r="4382">
          <cell r="I4382" t="str">
            <v>sim</v>
          </cell>
          <cell r="V4382" t="str">
            <v>not</v>
          </cell>
          <cell r="W4382">
            <v>1</v>
          </cell>
          <cell r="X4382" t="str">
            <v>neg</v>
          </cell>
        </row>
        <row r="4383">
          <cell r="I4383" t="str">
            <v>sim</v>
          </cell>
          <cell r="V4383" t="str">
            <v>not</v>
          </cell>
          <cell r="W4383">
            <v>1</v>
          </cell>
          <cell r="X4383" t="str">
            <v>intens</v>
          </cell>
        </row>
        <row r="4384">
          <cell r="I4384" t="str">
            <v>sim</v>
          </cell>
          <cell r="V4384" t="str">
            <v>not</v>
          </cell>
          <cell r="W4384">
            <v>1</v>
          </cell>
          <cell r="X4384" t="str">
            <v>intens</v>
          </cell>
        </row>
        <row r="4385">
          <cell r="I4385" t="str">
            <v>sim</v>
          </cell>
          <cell r="V4385" t="str">
            <v>not</v>
          </cell>
          <cell r="W4385">
            <v>1</v>
          </cell>
          <cell r="X4385" t="str">
            <v>neg</v>
          </cell>
        </row>
        <row r="4386">
          <cell r="I4386" t="str">
            <v>sim</v>
          </cell>
          <cell r="V4386" t="str">
            <v>not neg pair</v>
          </cell>
          <cell r="W4386">
            <v>0</v>
          </cell>
          <cell r="X4386" t="str">
            <v>0</v>
          </cell>
        </row>
        <row r="4387">
          <cell r="I4387" t="str">
            <v>sim</v>
          </cell>
          <cell r="V4387" t="str">
            <v>not neg pair</v>
          </cell>
          <cell r="W4387">
            <v>0</v>
          </cell>
          <cell r="X4387" t="str">
            <v>0</v>
          </cell>
        </row>
        <row r="4388">
          <cell r="I4388" t="str">
            <v>sim</v>
          </cell>
          <cell r="V4388" t="str">
            <v>not</v>
          </cell>
          <cell r="W4388">
            <v>1</v>
          </cell>
          <cell r="X4388" t="str">
            <v>neg</v>
          </cell>
        </row>
        <row r="4389">
          <cell r="I4389" t="str">
            <v>sim</v>
          </cell>
          <cell r="V4389" t="str">
            <v>not</v>
          </cell>
          <cell r="W4389">
            <v>1</v>
          </cell>
          <cell r="X4389" t="str">
            <v>intens</v>
          </cell>
        </row>
        <row r="4390">
          <cell r="I4390" t="str">
            <v>sim</v>
          </cell>
          <cell r="V4390" t="str">
            <v>not neg pair</v>
          </cell>
          <cell r="W4390">
            <v>0</v>
          </cell>
          <cell r="X4390" t="str">
            <v>0</v>
          </cell>
        </row>
        <row r="4391">
          <cell r="I4391" t="str">
            <v>sim</v>
          </cell>
          <cell r="V4391" t="str">
            <v>not neg pair</v>
          </cell>
          <cell r="W4391">
            <v>0</v>
          </cell>
          <cell r="X4391" t="str">
            <v>0</v>
          </cell>
        </row>
        <row r="4392">
          <cell r="I4392" t="str">
            <v>met</v>
          </cell>
          <cell r="V4392" t="str">
            <v>0</v>
          </cell>
          <cell r="W4392">
            <v>0</v>
          </cell>
          <cell r="X4392" t="str">
            <v>0</v>
          </cell>
        </row>
        <row r="4393">
          <cell r="I4393" t="str">
            <v>met</v>
          </cell>
          <cell r="V4393" t="str">
            <v>0</v>
          </cell>
          <cell r="W4393">
            <v>0</v>
          </cell>
          <cell r="X4393" t="str">
            <v>0</v>
          </cell>
        </row>
        <row r="4394">
          <cell r="I4394" t="str">
            <v>met</v>
          </cell>
          <cell r="V4394" t="str">
            <v>0</v>
          </cell>
          <cell r="W4394">
            <v>0</v>
          </cell>
          <cell r="X4394" t="str">
            <v>0</v>
          </cell>
        </row>
        <row r="4395">
          <cell r="I4395" t="str">
            <v>met</v>
          </cell>
          <cell r="V4395" t="str">
            <v>0</v>
          </cell>
          <cell r="W4395">
            <v>0</v>
          </cell>
          <cell r="X4395" t="str">
            <v>0</v>
          </cell>
        </row>
        <row r="4396">
          <cell r="I4396" t="str">
            <v>sim</v>
          </cell>
          <cell r="V4396" t="str">
            <v>not neg pair</v>
          </cell>
          <cell r="W4396">
            <v>0</v>
          </cell>
          <cell r="X4396" t="str">
            <v>0</v>
          </cell>
        </row>
        <row r="4397">
          <cell r="I4397" t="str">
            <v>sim</v>
          </cell>
          <cell r="V4397" t="str">
            <v>not neg pair</v>
          </cell>
          <cell r="W4397">
            <v>0</v>
          </cell>
          <cell r="X4397" t="str">
            <v>0</v>
          </cell>
        </row>
        <row r="4398">
          <cell r="I4398" t="str">
            <v>sim</v>
          </cell>
          <cell r="V4398" t="str">
            <v>not neg pair</v>
          </cell>
          <cell r="W4398">
            <v>0</v>
          </cell>
          <cell r="X4398" t="str">
            <v>0</v>
          </cell>
        </row>
        <row r="4399">
          <cell r="I4399" t="str">
            <v>sim</v>
          </cell>
          <cell r="V4399" t="str">
            <v>not neg pair</v>
          </cell>
          <cell r="W4399">
            <v>0</v>
          </cell>
          <cell r="X4399" t="str">
            <v>0</v>
          </cell>
        </row>
        <row r="4400">
          <cell r="I4400" t="str">
            <v>sim</v>
          </cell>
          <cell r="V4400" t="str">
            <v>not neg pair</v>
          </cell>
          <cell r="W4400">
            <v>0</v>
          </cell>
          <cell r="X4400" t="str">
            <v>0</v>
          </cell>
        </row>
        <row r="4401">
          <cell r="I4401" t="str">
            <v>sim</v>
          </cell>
          <cell r="V4401" t="str">
            <v>not neg pair</v>
          </cell>
          <cell r="W4401">
            <v>0</v>
          </cell>
          <cell r="X4401" t="str">
            <v>0</v>
          </cell>
        </row>
        <row r="4402">
          <cell r="I4402" t="str">
            <v>sim</v>
          </cell>
          <cell r="V4402" t="str">
            <v>not neg pair</v>
          </cell>
          <cell r="W4402">
            <v>0</v>
          </cell>
          <cell r="X4402" t="str">
            <v>0</v>
          </cell>
        </row>
        <row r="4403">
          <cell r="I4403" t="str">
            <v>sim</v>
          </cell>
          <cell r="V4403" t="str">
            <v>not neg pair</v>
          </cell>
          <cell r="W4403">
            <v>0</v>
          </cell>
          <cell r="X4403" t="str">
            <v>0</v>
          </cell>
        </row>
        <row r="4404">
          <cell r="I4404" t="str">
            <v>met</v>
          </cell>
          <cell r="V4404" t="str">
            <v>0</v>
          </cell>
          <cell r="W4404">
            <v>0</v>
          </cell>
          <cell r="X4404" t="str">
            <v>0</v>
          </cell>
        </row>
        <row r="4405">
          <cell r="I4405" t="str">
            <v>met</v>
          </cell>
          <cell r="V4405" t="str">
            <v>0</v>
          </cell>
          <cell r="W4405">
            <v>0</v>
          </cell>
          <cell r="X4405" t="str">
            <v>0</v>
          </cell>
        </row>
        <row r="4406">
          <cell r="I4406" t="str">
            <v>sim</v>
          </cell>
          <cell r="V4406" t="str">
            <v>not</v>
          </cell>
          <cell r="W4406">
            <v>1</v>
          </cell>
          <cell r="X4406" t="str">
            <v>intens</v>
          </cell>
        </row>
        <row r="4407">
          <cell r="I4407" t="str">
            <v>sim</v>
          </cell>
          <cell r="V4407" t="str">
            <v>not</v>
          </cell>
          <cell r="W4407">
            <v>1</v>
          </cell>
          <cell r="X4407" t="str">
            <v>neg</v>
          </cell>
        </row>
        <row r="4408">
          <cell r="I4408" t="str">
            <v>sim</v>
          </cell>
          <cell r="V4408" t="str">
            <v>not neg pair</v>
          </cell>
          <cell r="W4408">
            <v>0</v>
          </cell>
          <cell r="X4408" t="str">
            <v>0</v>
          </cell>
        </row>
        <row r="4409">
          <cell r="I4409" t="str">
            <v>sim</v>
          </cell>
          <cell r="V4409" t="str">
            <v>not neg pair</v>
          </cell>
          <cell r="W4409">
            <v>0</v>
          </cell>
          <cell r="X4409" t="str">
            <v>0</v>
          </cell>
        </row>
        <row r="4410">
          <cell r="I4410" t="str">
            <v>sim</v>
          </cell>
          <cell r="V4410" t="str">
            <v>not neg pair</v>
          </cell>
          <cell r="W4410">
            <v>0</v>
          </cell>
          <cell r="X4410" t="str">
            <v>0</v>
          </cell>
        </row>
        <row r="4411">
          <cell r="I4411" t="str">
            <v>sim</v>
          </cell>
          <cell r="V4411" t="str">
            <v>not neg pair</v>
          </cell>
          <cell r="W4411">
            <v>0</v>
          </cell>
          <cell r="X4411" t="str">
            <v>0</v>
          </cell>
        </row>
        <row r="4412">
          <cell r="I4412" t="str">
            <v>met</v>
          </cell>
          <cell r="V4412" t="str">
            <v>0</v>
          </cell>
          <cell r="W4412">
            <v>0</v>
          </cell>
          <cell r="X4412" t="str">
            <v>0</v>
          </cell>
        </row>
        <row r="4413">
          <cell r="I4413" t="str">
            <v>met</v>
          </cell>
          <cell r="V4413" t="str">
            <v>0</v>
          </cell>
          <cell r="W4413">
            <v>0</v>
          </cell>
          <cell r="X4413" t="str">
            <v>0</v>
          </cell>
        </row>
        <row r="4414">
          <cell r="I4414" t="str">
            <v>met</v>
          </cell>
          <cell r="V4414" t="str">
            <v>0</v>
          </cell>
          <cell r="W4414">
            <v>0</v>
          </cell>
          <cell r="X4414" t="str">
            <v>0</v>
          </cell>
        </row>
        <row r="4415">
          <cell r="I4415" t="str">
            <v>met</v>
          </cell>
          <cell r="V4415" t="str">
            <v>0</v>
          </cell>
          <cell r="W4415">
            <v>0</v>
          </cell>
          <cell r="X4415" t="str">
            <v>0</v>
          </cell>
        </row>
        <row r="4416">
          <cell r="I4416" t="str">
            <v>met</v>
          </cell>
          <cell r="V4416" t="str">
            <v>0</v>
          </cell>
          <cell r="W4416">
            <v>0</v>
          </cell>
          <cell r="X4416" t="str">
            <v>0</v>
          </cell>
        </row>
        <row r="4417">
          <cell r="I4417" t="str">
            <v>met</v>
          </cell>
          <cell r="V4417" t="str">
            <v>0</v>
          </cell>
          <cell r="W4417">
            <v>0</v>
          </cell>
          <cell r="X4417" t="str">
            <v>0</v>
          </cell>
        </row>
        <row r="4418">
          <cell r="I4418" t="str">
            <v>sim</v>
          </cell>
          <cell r="V4418" t="str">
            <v>not neg pair</v>
          </cell>
          <cell r="W4418">
            <v>0</v>
          </cell>
          <cell r="X4418" t="str">
            <v>0</v>
          </cell>
        </row>
        <row r="4419">
          <cell r="I4419" t="str">
            <v>sim</v>
          </cell>
          <cell r="V4419" t="str">
            <v>not neg pair</v>
          </cell>
          <cell r="W4419">
            <v>0</v>
          </cell>
          <cell r="X4419" t="str">
            <v>0</v>
          </cell>
        </row>
        <row r="4420">
          <cell r="I4420" t="str">
            <v>sim</v>
          </cell>
          <cell r="V4420" t="str">
            <v>not</v>
          </cell>
          <cell r="W4420">
            <v>1</v>
          </cell>
          <cell r="X4420" t="str">
            <v>neg</v>
          </cell>
        </row>
        <row r="4421">
          <cell r="I4421" t="str">
            <v>sim</v>
          </cell>
          <cell r="V4421" t="str">
            <v>not</v>
          </cell>
          <cell r="W4421">
            <v>1</v>
          </cell>
          <cell r="X4421" t="str">
            <v>intens</v>
          </cell>
        </row>
        <row r="4422">
          <cell r="I4422" t="str">
            <v>sim</v>
          </cell>
          <cell r="V4422" t="str">
            <v>not</v>
          </cell>
          <cell r="W4422">
            <v>1</v>
          </cell>
          <cell r="X4422" t="str">
            <v>neg</v>
          </cell>
        </row>
        <row r="4423">
          <cell r="I4423" t="str">
            <v>sim</v>
          </cell>
          <cell r="V4423" t="str">
            <v>not</v>
          </cell>
          <cell r="W4423">
            <v>1</v>
          </cell>
          <cell r="X4423" t="str">
            <v>intens</v>
          </cell>
        </row>
        <row r="4424">
          <cell r="I4424" t="str">
            <v>sim</v>
          </cell>
          <cell r="V4424" t="str">
            <v>not neg pair</v>
          </cell>
          <cell r="W4424">
            <v>0</v>
          </cell>
          <cell r="X4424" t="str">
            <v>0</v>
          </cell>
        </row>
        <row r="4425">
          <cell r="I4425" t="str">
            <v>sim</v>
          </cell>
          <cell r="V4425" t="str">
            <v>not neg pair</v>
          </cell>
          <cell r="W4425">
            <v>0</v>
          </cell>
          <cell r="X4425" t="str">
            <v>0</v>
          </cell>
        </row>
        <row r="4426">
          <cell r="I4426" t="str">
            <v>sim</v>
          </cell>
          <cell r="V4426" t="str">
            <v>not neg pair</v>
          </cell>
          <cell r="W4426">
            <v>0</v>
          </cell>
          <cell r="X4426" t="str">
            <v>0</v>
          </cell>
        </row>
        <row r="4427">
          <cell r="I4427" t="str">
            <v>sim</v>
          </cell>
          <cell r="V4427" t="str">
            <v>not neg pair</v>
          </cell>
          <cell r="W4427">
            <v>0</v>
          </cell>
          <cell r="X4427" t="str">
            <v>0</v>
          </cell>
        </row>
        <row r="4428">
          <cell r="I4428" t="str">
            <v>met</v>
          </cell>
          <cell r="V4428" t="str">
            <v>0</v>
          </cell>
          <cell r="W4428">
            <v>0</v>
          </cell>
          <cell r="X4428" t="str">
            <v>0</v>
          </cell>
        </row>
        <row r="4429">
          <cell r="I4429" t="str">
            <v>met</v>
          </cell>
          <cell r="V4429" t="str">
            <v>0</v>
          </cell>
          <cell r="W4429">
            <v>0</v>
          </cell>
          <cell r="X4429" t="str">
            <v>0</v>
          </cell>
        </row>
        <row r="4430">
          <cell r="I4430" t="str">
            <v>sim</v>
          </cell>
          <cell r="V4430" t="str">
            <v>not neg pair</v>
          </cell>
          <cell r="W4430">
            <v>0</v>
          </cell>
          <cell r="X4430" t="str">
            <v>0</v>
          </cell>
        </row>
        <row r="4431">
          <cell r="I4431" t="str">
            <v>sim</v>
          </cell>
          <cell r="V4431" t="str">
            <v>not neg pair</v>
          </cell>
          <cell r="W4431">
            <v>0</v>
          </cell>
          <cell r="X4431" t="str">
            <v>0</v>
          </cell>
        </row>
        <row r="4432">
          <cell r="I4432" t="str">
            <v>sim</v>
          </cell>
          <cell r="V4432" t="str">
            <v>not</v>
          </cell>
          <cell r="W4432">
            <v>1</v>
          </cell>
          <cell r="X4432" t="str">
            <v>intens</v>
          </cell>
        </row>
        <row r="4433">
          <cell r="I4433" t="str">
            <v>sim</v>
          </cell>
          <cell r="V4433" t="str">
            <v>not</v>
          </cell>
          <cell r="W4433">
            <v>1</v>
          </cell>
          <cell r="X4433" t="str">
            <v>neg</v>
          </cell>
        </row>
        <row r="4434">
          <cell r="I4434" t="str">
            <v>sim</v>
          </cell>
          <cell r="V4434" t="str">
            <v>not neg pair</v>
          </cell>
          <cell r="W4434">
            <v>0</v>
          </cell>
          <cell r="X4434" t="str">
            <v>0</v>
          </cell>
        </row>
        <row r="4435">
          <cell r="I4435" t="str">
            <v>sim</v>
          </cell>
          <cell r="V4435" t="str">
            <v>not neg pair</v>
          </cell>
          <cell r="W4435">
            <v>0</v>
          </cell>
          <cell r="X4435" t="str">
            <v>0</v>
          </cell>
        </row>
        <row r="4436">
          <cell r="I4436" t="str">
            <v>sim</v>
          </cell>
          <cell r="V4436" t="str">
            <v>not neg pair</v>
          </cell>
          <cell r="W4436">
            <v>0</v>
          </cell>
          <cell r="X4436" t="str">
            <v>0</v>
          </cell>
        </row>
        <row r="4437">
          <cell r="I4437" t="str">
            <v>sim</v>
          </cell>
          <cell r="V4437" t="str">
            <v>not neg pair</v>
          </cell>
          <cell r="W4437">
            <v>0</v>
          </cell>
          <cell r="X4437" t="str">
            <v>0</v>
          </cell>
        </row>
        <row r="4438">
          <cell r="I4438" t="str">
            <v>sim</v>
          </cell>
          <cell r="V4438" t="str">
            <v>not neg pair</v>
          </cell>
          <cell r="W4438">
            <v>0</v>
          </cell>
          <cell r="X4438" t="str">
            <v>0</v>
          </cell>
        </row>
        <row r="4439">
          <cell r="I4439" t="str">
            <v>met</v>
          </cell>
          <cell r="V4439" t="str">
            <v>0</v>
          </cell>
          <cell r="W4439">
            <v>0</v>
          </cell>
          <cell r="X4439" t="str">
            <v>0</v>
          </cell>
        </row>
        <row r="4440">
          <cell r="I4440" t="str">
            <v>met</v>
          </cell>
          <cell r="V4440" t="str">
            <v>0</v>
          </cell>
          <cell r="W4440">
            <v>0</v>
          </cell>
          <cell r="X4440" t="str">
            <v>0</v>
          </cell>
        </row>
        <row r="4441">
          <cell r="I4441" t="str">
            <v>sim</v>
          </cell>
          <cell r="V4441" t="str">
            <v>not neg pair</v>
          </cell>
          <cell r="W4441">
            <v>0</v>
          </cell>
          <cell r="X4441" t="str">
            <v>0</v>
          </cell>
        </row>
        <row r="4442">
          <cell r="I4442" t="str">
            <v>sim</v>
          </cell>
          <cell r="V4442" t="str">
            <v>not neg pair</v>
          </cell>
          <cell r="W4442">
            <v>0</v>
          </cell>
          <cell r="X4442" t="str">
            <v>0</v>
          </cell>
        </row>
        <row r="4443">
          <cell r="I4443" t="str">
            <v>sim</v>
          </cell>
          <cell r="V4443" t="str">
            <v>not neg pair</v>
          </cell>
          <cell r="W4443">
            <v>0</v>
          </cell>
          <cell r="X4443" t="str">
            <v>0</v>
          </cell>
        </row>
        <row r="4444">
          <cell r="I4444" t="str">
            <v>sim</v>
          </cell>
          <cell r="V4444" t="str">
            <v>not</v>
          </cell>
          <cell r="W4444">
            <v>1</v>
          </cell>
          <cell r="X4444" t="str">
            <v>intens</v>
          </cell>
        </row>
        <row r="4445">
          <cell r="I4445" t="str">
            <v>sim</v>
          </cell>
          <cell r="V4445" t="str">
            <v>not</v>
          </cell>
          <cell r="W4445">
            <v>1</v>
          </cell>
          <cell r="X4445" t="str">
            <v>neg</v>
          </cell>
        </row>
        <row r="4446">
          <cell r="I4446" t="str">
            <v>sim</v>
          </cell>
          <cell r="V4446" t="str">
            <v>antonym</v>
          </cell>
          <cell r="W4446">
            <v>1</v>
          </cell>
          <cell r="X4446" t="str">
            <v>neg</v>
          </cell>
        </row>
        <row r="4447">
          <cell r="I4447" t="str">
            <v>sim</v>
          </cell>
          <cell r="V4447" t="str">
            <v>antonym</v>
          </cell>
          <cell r="W4447">
            <v>1</v>
          </cell>
          <cell r="X4447" t="str">
            <v>intens</v>
          </cell>
        </row>
        <row r="4448">
          <cell r="I4448" t="str">
            <v>sim</v>
          </cell>
          <cell r="V4448" t="str">
            <v>not neg pair</v>
          </cell>
          <cell r="W4448">
            <v>0</v>
          </cell>
          <cell r="X4448" t="str">
            <v>0</v>
          </cell>
        </row>
        <row r="4449">
          <cell r="I4449" t="str">
            <v>sim</v>
          </cell>
          <cell r="V4449" t="str">
            <v>not neg pair</v>
          </cell>
          <cell r="W4449">
            <v>0</v>
          </cell>
          <cell r="X4449" t="str">
            <v>0</v>
          </cell>
        </row>
        <row r="4450">
          <cell r="I4450" t="str">
            <v>sim</v>
          </cell>
          <cell r="V4450" t="str">
            <v>not</v>
          </cell>
          <cell r="W4450">
            <v>1</v>
          </cell>
          <cell r="X4450" t="str">
            <v>intens</v>
          </cell>
        </row>
        <row r="4451">
          <cell r="I4451" t="str">
            <v>sim</v>
          </cell>
          <cell r="V4451" t="str">
            <v>not</v>
          </cell>
          <cell r="W4451">
            <v>1</v>
          </cell>
          <cell r="X4451" t="str">
            <v>neg</v>
          </cell>
        </row>
        <row r="4452">
          <cell r="I4452" t="str">
            <v>sim</v>
          </cell>
          <cell r="V4452" t="str">
            <v>antonym</v>
          </cell>
          <cell r="W4452">
            <v>1</v>
          </cell>
          <cell r="X4452" t="str">
            <v>neg</v>
          </cell>
        </row>
        <row r="4453">
          <cell r="I4453" t="str">
            <v>sim</v>
          </cell>
          <cell r="V4453" t="str">
            <v>antonym</v>
          </cell>
          <cell r="W4453">
            <v>1</v>
          </cell>
          <cell r="X4453" t="str">
            <v>intens</v>
          </cell>
        </row>
        <row r="4454">
          <cell r="I4454" t="str">
            <v>sim</v>
          </cell>
          <cell r="V4454" t="str">
            <v>antonym</v>
          </cell>
          <cell r="W4454">
            <v>1</v>
          </cell>
          <cell r="X4454" t="str">
            <v>intens</v>
          </cell>
        </row>
        <row r="4455">
          <cell r="I4455" t="str">
            <v>sim</v>
          </cell>
          <cell r="V4455" t="str">
            <v>antonym</v>
          </cell>
          <cell r="W4455">
            <v>1</v>
          </cell>
          <cell r="X4455" t="str">
            <v>neg</v>
          </cell>
        </row>
        <row r="4456">
          <cell r="I4456" t="str">
            <v>sim</v>
          </cell>
          <cell r="V4456" t="str">
            <v>not neg pair</v>
          </cell>
          <cell r="W4456">
            <v>0</v>
          </cell>
          <cell r="X4456" t="str">
            <v>0</v>
          </cell>
        </row>
        <row r="4457">
          <cell r="I4457" t="str">
            <v>sim</v>
          </cell>
          <cell r="V4457" t="str">
            <v>not neg pair</v>
          </cell>
          <cell r="W4457">
            <v>0</v>
          </cell>
          <cell r="X4457" t="str">
            <v>0</v>
          </cell>
        </row>
        <row r="4458">
          <cell r="I4458" t="str">
            <v>sim</v>
          </cell>
          <cell r="V4458" t="str">
            <v>not neg pair</v>
          </cell>
          <cell r="W4458">
            <v>0</v>
          </cell>
          <cell r="X4458" t="str">
            <v>0</v>
          </cell>
        </row>
        <row r="4459">
          <cell r="I4459" t="str">
            <v>sim</v>
          </cell>
          <cell r="V4459" t="str">
            <v>not neg pair</v>
          </cell>
          <cell r="W4459">
            <v>0</v>
          </cell>
          <cell r="X4459" t="str">
            <v>0</v>
          </cell>
        </row>
        <row r="4460">
          <cell r="I4460" t="str">
            <v>sim</v>
          </cell>
          <cell r="V4460" t="str">
            <v>not neg pair</v>
          </cell>
          <cell r="W4460">
            <v>0</v>
          </cell>
          <cell r="X4460" t="str">
            <v>0</v>
          </cell>
        </row>
        <row r="4461">
          <cell r="I4461" t="str">
            <v>sim</v>
          </cell>
          <cell r="V4461" t="str">
            <v>not neg pair</v>
          </cell>
          <cell r="W4461">
            <v>0</v>
          </cell>
          <cell r="X4461" t="str">
            <v>0</v>
          </cell>
        </row>
        <row r="4462">
          <cell r="I4462" t="str">
            <v>sim</v>
          </cell>
          <cell r="V4462" t="str">
            <v>not</v>
          </cell>
          <cell r="W4462">
            <v>1</v>
          </cell>
          <cell r="X4462" t="str">
            <v>intens</v>
          </cell>
        </row>
        <row r="4463">
          <cell r="I4463" t="str">
            <v>sim</v>
          </cell>
          <cell r="V4463" t="str">
            <v>not</v>
          </cell>
          <cell r="W4463">
            <v>1</v>
          </cell>
          <cell r="X4463" t="str">
            <v>neg</v>
          </cell>
        </row>
        <row r="4464">
          <cell r="I4464" t="str">
            <v>sim</v>
          </cell>
          <cell r="V4464" t="str">
            <v>not</v>
          </cell>
          <cell r="W4464">
            <v>1</v>
          </cell>
          <cell r="X4464" t="str">
            <v>intens</v>
          </cell>
        </row>
        <row r="4465">
          <cell r="I4465" t="str">
            <v>sim</v>
          </cell>
          <cell r="V4465" t="str">
            <v>not</v>
          </cell>
          <cell r="W4465">
            <v>1</v>
          </cell>
          <cell r="X4465" t="str">
            <v>neg</v>
          </cell>
        </row>
        <row r="4466">
          <cell r="I4466" t="str">
            <v>sim</v>
          </cell>
          <cell r="V4466" t="str">
            <v>not</v>
          </cell>
          <cell r="W4466">
            <v>1</v>
          </cell>
          <cell r="X4466" t="str">
            <v>intens</v>
          </cell>
        </row>
        <row r="4467">
          <cell r="I4467" t="str">
            <v>sim</v>
          </cell>
          <cell r="V4467" t="str">
            <v>not</v>
          </cell>
          <cell r="W4467">
            <v>1</v>
          </cell>
          <cell r="X4467" t="str">
            <v>neg</v>
          </cell>
        </row>
        <row r="4468">
          <cell r="I4468" t="str">
            <v>sim</v>
          </cell>
          <cell r="V4468" t="str">
            <v>not</v>
          </cell>
          <cell r="W4468">
            <v>1</v>
          </cell>
          <cell r="X4468" t="str">
            <v>neg</v>
          </cell>
        </row>
        <row r="4469">
          <cell r="I4469" t="str">
            <v>sim</v>
          </cell>
          <cell r="V4469" t="str">
            <v>not</v>
          </cell>
          <cell r="W4469">
            <v>1</v>
          </cell>
          <cell r="X4469" t="str">
            <v>intens</v>
          </cell>
        </row>
        <row r="4470">
          <cell r="I4470" t="str">
            <v>sim</v>
          </cell>
          <cell r="V4470" t="str">
            <v>not</v>
          </cell>
          <cell r="W4470">
            <v>1</v>
          </cell>
          <cell r="X4470" t="str">
            <v>neg</v>
          </cell>
        </row>
        <row r="4471">
          <cell r="I4471" t="str">
            <v>sim</v>
          </cell>
          <cell r="V4471" t="str">
            <v>not</v>
          </cell>
          <cell r="W4471">
            <v>1</v>
          </cell>
          <cell r="X4471" t="str">
            <v>intens</v>
          </cell>
        </row>
        <row r="4472">
          <cell r="I4472" t="str">
            <v>sim</v>
          </cell>
          <cell r="V4472" t="str">
            <v>not neg pair</v>
          </cell>
          <cell r="W4472">
            <v>0</v>
          </cell>
          <cell r="X4472" t="str">
            <v>0</v>
          </cell>
        </row>
        <row r="4473">
          <cell r="I4473" t="str">
            <v>sim</v>
          </cell>
          <cell r="V4473" t="str">
            <v>not neg pair</v>
          </cell>
          <cell r="W4473">
            <v>0</v>
          </cell>
          <cell r="X4473" t="str">
            <v>0</v>
          </cell>
        </row>
        <row r="4474">
          <cell r="I4474" t="str">
            <v>sim</v>
          </cell>
          <cell r="V4474" t="str">
            <v>not neg pair</v>
          </cell>
          <cell r="W4474">
            <v>0</v>
          </cell>
          <cell r="X4474" t="str">
            <v>0</v>
          </cell>
        </row>
        <row r="4475">
          <cell r="I4475" t="str">
            <v>sim</v>
          </cell>
          <cell r="V4475" t="str">
            <v>not neg pair</v>
          </cell>
          <cell r="W4475">
            <v>0</v>
          </cell>
          <cell r="X4475" t="str">
            <v>0</v>
          </cell>
        </row>
        <row r="4476">
          <cell r="I4476" t="str">
            <v>met</v>
          </cell>
          <cell r="V4476" t="str">
            <v>0</v>
          </cell>
          <cell r="W4476">
            <v>0</v>
          </cell>
          <cell r="X4476" t="str">
            <v>0</v>
          </cell>
        </row>
        <row r="4477">
          <cell r="I4477" t="str">
            <v>sim</v>
          </cell>
          <cell r="V4477" t="str">
            <v>not neg pair</v>
          </cell>
          <cell r="W4477">
            <v>0</v>
          </cell>
          <cell r="X4477" t="str">
            <v>0</v>
          </cell>
        </row>
        <row r="4478">
          <cell r="I4478" t="str">
            <v>sim</v>
          </cell>
          <cell r="V4478" t="str">
            <v>not neg pair</v>
          </cell>
          <cell r="W4478">
            <v>0</v>
          </cell>
          <cell r="X4478" t="str">
            <v>0</v>
          </cell>
        </row>
        <row r="4479">
          <cell r="I4479" t="str">
            <v>sim</v>
          </cell>
          <cell r="V4479" t="str">
            <v>not neg pair</v>
          </cell>
          <cell r="W4479">
            <v>0</v>
          </cell>
          <cell r="X4479" t="str">
            <v>0</v>
          </cell>
        </row>
        <row r="4480">
          <cell r="I4480" t="str">
            <v>sim</v>
          </cell>
          <cell r="V4480" t="str">
            <v>not neg pair</v>
          </cell>
          <cell r="W4480">
            <v>0</v>
          </cell>
          <cell r="X4480" t="str">
            <v>0</v>
          </cell>
        </row>
        <row r="4481">
          <cell r="I4481" t="str">
            <v>sim</v>
          </cell>
          <cell r="V4481" t="str">
            <v>not neg pair</v>
          </cell>
          <cell r="W4481">
            <v>0</v>
          </cell>
          <cell r="X4481" t="str">
            <v>0</v>
          </cell>
        </row>
        <row r="4482">
          <cell r="I4482" t="str">
            <v>sim</v>
          </cell>
          <cell r="V4482" t="str">
            <v>not neg pair</v>
          </cell>
          <cell r="W4482">
            <v>0</v>
          </cell>
          <cell r="X4482" t="str">
            <v>0</v>
          </cell>
        </row>
        <row r="4483">
          <cell r="I4483" t="str">
            <v>sim</v>
          </cell>
          <cell r="V4483" t="str">
            <v>not neg pair</v>
          </cell>
          <cell r="W4483">
            <v>0</v>
          </cell>
          <cell r="X4483" t="str">
            <v>0</v>
          </cell>
        </row>
        <row r="4484">
          <cell r="I4484" t="str">
            <v>sim</v>
          </cell>
          <cell r="V4484" t="str">
            <v>antonym</v>
          </cell>
          <cell r="W4484">
            <v>1</v>
          </cell>
          <cell r="X4484" t="str">
            <v>intens</v>
          </cell>
        </row>
        <row r="4485">
          <cell r="I4485" t="str">
            <v>sim</v>
          </cell>
          <cell r="V4485" t="str">
            <v>antonym</v>
          </cell>
          <cell r="W4485">
            <v>1</v>
          </cell>
          <cell r="X4485" t="str">
            <v>neg</v>
          </cell>
        </row>
        <row r="4486">
          <cell r="I4486" t="str">
            <v>sim</v>
          </cell>
          <cell r="V4486" t="str">
            <v>not</v>
          </cell>
          <cell r="W4486">
            <v>1</v>
          </cell>
          <cell r="X4486" t="str">
            <v>intens</v>
          </cell>
        </row>
        <row r="4487">
          <cell r="I4487" t="str">
            <v>sim</v>
          </cell>
          <cell r="V4487" t="str">
            <v>not</v>
          </cell>
          <cell r="W4487">
            <v>1</v>
          </cell>
          <cell r="X4487" t="str">
            <v>neg</v>
          </cell>
        </row>
        <row r="4488">
          <cell r="I4488" t="str">
            <v>met</v>
          </cell>
          <cell r="V4488" t="str">
            <v>0</v>
          </cell>
          <cell r="W4488">
            <v>0</v>
          </cell>
          <cell r="X4488" t="str">
            <v>0</v>
          </cell>
        </row>
        <row r="4489">
          <cell r="I4489" t="str">
            <v>met</v>
          </cell>
          <cell r="V4489" t="str">
            <v>0</v>
          </cell>
          <cell r="W4489">
            <v>0</v>
          </cell>
          <cell r="X4489" t="str">
            <v>0</v>
          </cell>
        </row>
        <row r="4490">
          <cell r="I4490" t="str">
            <v>sim</v>
          </cell>
          <cell r="V4490" t="str">
            <v>not neg pair</v>
          </cell>
          <cell r="W4490">
            <v>0</v>
          </cell>
          <cell r="X4490" t="str">
            <v>0</v>
          </cell>
        </row>
        <row r="4491">
          <cell r="I4491" t="str">
            <v>sim</v>
          </cell>
          <cell r="V4491" t="str">
            <v>not neg pair</v>
          </cell>
          <cell r="W4491">
            <v>0</v>
          </cell>
          <cell r="X4491" t="str">
            <v>0</v>
          </cell>
        </row>
        <row r="4492">
          <cell r="I4492" t="str">
            <v>sim</v>
          </cell>
          <cell r="V4492" t="str">
            <v>not neg pair</v>
          </cell>
          <cell r="W4492">
            <v>0</v>
          </cell>
          <cell r="X4492" t="str">
            <v>0</v>
          </cell>
        </row>
        <row r="4493">
          <cell r="I4493" t="str">
            <v>sim</v>
          </cell>
          <cell r="V4493" t="str">
            <v>not neg pair</v>
          </cell>
          <cell r="W4493">
            <v>0</v>
          </cell>
          <cell r="X4493" t="str">
            <v>0</v>
          </cell>
        </row>
        <row r="4494">
          <cell r="I4494" t="str">
            <v>sim</v>
          </cell>
          <cell r="V4494" t="str">
            <v>not neg pair</v>
          </cell>
          <cell r="W4494">
            <v>0</v>
          </cell>
          <cell r="X4494" t="str">
            <v>0</v>
          </cell>
        </row>
        <row r="4495">
          <cell r="I4495" t="str">
            <v>sim</v>
          </cell>
          <cell r="V4495" t="str">
            <v>not neg pair</v>
          </cell>
          <cell r="W4495">
            <v>0</v>
          </cell>
          <cell r="X4495" t="str">
            <v>0</v>
          </cell>
        </row>
        <row r="4496">
          <cell r="I4496" t="str">
            <v>sim</v>
          </cell>
          <cell r="V4496" t="str">
            <v>antonym</v>
          </cell>
          <cell r="W4496">
            <v>1</v>
          </cell>
          <cell r="X4496" t="str">
            <v>neg</v>
          </cell>
        </row>
        <row r="4497">
          <cell r="I4497" t="str">
            <v>sim</v>
          </cell>
          <cell r="V4497" t="str">
            <v>antonym</v>
          </cell>
          <cell r="W4497">
            <v>1</v>
          </cell>
          <cell r="X4497" t="str">
            <v>intens</v>
          </cell>
        </row>
        <row r="4498">
          <cell r="I4498" t="str">
            <v>sim</v>
          </cell>
          <cell r="V4498" t="str">
            <v>not</v>
          </cell>
          <cell r="W4498">
            <v>1</v>
          </cell>
          <cell r="X4498" t="str">
            <v>neg</v>
          </cell>
        </row>
        <row r="4499">
          <cell r="I4499" t="str">
            <v>sim</v>
          </cell>
          <cell r="V4499" t="str">
            <v>not</v>
          </cell>
          <cell r="W4499">
            <v>1</v>
          </cell>
          <cell r="X4499" t="str">
            <v>intens</v>
          </cell>
        </row>
        <row r="4500">
          <cell r="I4500" t="str">
            <v>sim</v>
          </cell>
          <cell r="V4500" t="str">
            <v>not neg pair</v>
          </cell>
          <cell r="W4500">
            <v>0</v>
          </cell>
          <cell r="X4500" t="str">
            <v>0</v>
          </cell>
        </row>
        <row r="4501">
          <cell r="I4501" t="str">
            <v>sim</v>
          </cell>
          <cell r="V4501" t="str">
            <v>not neg pair</v>
          </cell>
          <cell r="W4501">
            <v>0</v>
          </cell>
          <cell r="X4501" t="str">
            <v>0</v>
          </cell>
        </row>
        <row r="4502">
          <cell r="I4502" t="str">
            <v>sim</v>
          </cell>
          <cell r="V4502" t="str">
            <v>not</v>
          </cell>
          <cell r="W4502">
            <v>1</v>
          </cell>
          <cell r="X4502" t="str">
            <v>intens</v>
          </cell>
        </row>
        <row r="4503">
          <cell r="I4503" t="str">
            <v>sim</v>
          </cell>
          <cell r="V4503" t="str">
            <v>not</v>
          </cell>
          <cell r="W4503">
            <v>1</v>
          </cell>
          <cell r="X4503" t="str">
            <v>neg</v>
          </cell>
        </row>
        <row r="4504">
          <cell r="I4504" t="str">
            <v>sim</v>
          </cell>
          <cell r="V4504" t="str">
            <v>not neg pair</v>
          </cell>
          <cell r="W4504">
            <v>0</v>
          </cell>
          <cell r="X4504" t="str">
            <v>0</v>
          </cell>
        </row>
        <row r="4505">
          <cell r="I4505" t="str">
            <v>sim</v>
          </cell>
          <cell r="V4505" t="str">
            <v>not neg pair</v>
          </cell>
          <cell r="W4505">
            <v>0</v>
          </cell>
          <cell r="X4505" t="str">
            <v>0</v>
          </cell>
        </row>
        <row r="4506">
          <cell r="I4506" t="str">
            <v>sim</v>
          </cell>
          <cell r="V4506" t="str">
            <v>not neg pair</v>
          </cell>
          <cell r="W4506">
            <v>0</v>
          </cell>
          <cell r="X4506" t="str">
            <v>0</v>
          </cell>
        </row>
        <row r="4507">
          <cell r="I4507" t="str">
            <v>sim</v>
          </cell>
          <cell r="V4507" t="str">
            <v>not neg pair</v>
          </cell>
          <cell r="W4507">
            <v>0</v>
          </cell>
          <cell r="X4507" t="str">
            <v>0</v>
          </cell>
        </row>
        <row r="4508">
          <cell r="I4508" t="str">
            <v>met</v>
          </cell>
          <cell r="V4508" t="str">
            <v>0</v>
          </cell>
          <cell r="W4508">
            <v>0</v>
          </cell>
          <cell r="X4508" t="str">
            <v>0</v>
          </cell>
        </row>
        <row r="4509">
          <cell r="I4509" t="str">
            <v>met</v>
          </cell>
          <cell r="V4509" t="str">
            <v>0</v>
          </cell>
          <cell r="W4509">
            <v>0</v>
          </cell>
          <cell r="X4509" t="str">
            <v>0</v>
          </cell>
        </row>
        <row r="4510">
          <cell r="I4510" t="str">
            <v>met</v>
          </cell>
          <cell r="V4510" t="str">
            <v>0</v>
          </cell>
          <cell r="W4510">
            <v>0</v>
          </cell>
          <cell r="X4510" t="str">
            <v>0</v>
          </cell>
        </row>
        <row r="4511">
          <cell r="I4511" t="str">
            <v>met</v>
          </cell>
          <cell r="V4511" t="str">
            <v>0</v>
          </cell>
          <cell r="W4511">
            <v>0</v>
          </cell>
          <cell r="X4511" t="str">
            <v>0</v>
          </cell>
        </row>
        <row r="4512">
          <cell r="I4512" t="str">
            <v>sim</v>
          </cell>
          <cell r="V4512" t="str">
            <v>not neg pair</v>
          </cell>
          <cell r="W4512">
            <v>0</v>
          </cell>
          <cell r="X4512" t="str">
            <v>0</v>
          </cell>
        </row>
        <row r="4513">
          <cell r="I4513" t="str">
            <v>sim</v>
          </cell>
          <cell r="V4513" t="str">
            <v>not neg pair</v>
          </cell>
          <cell r="W4513">
            <v>0</v>
          </cell>
          <cell r="X4513" t="str">
            <v>0</v>
          </cell>
        </row>
        <row r="4514">
          <cell r="I4514" t="str">
            <v>sim</v>
          </cell>
          <cell r="V4514" t="str">
            <v>not neg pair</v>
          </cell>
          <cell r="W4514">
            <v>0</v>
          </cell>
          <cell r="X4514" t="str">
            <v>0</v>
          </cell>
        </row>
        <row r="4515">
          <cell r="I4515" t="str">
            <v>sim</v>
          </cell>
          <cell r="V4515" t="str">
            <v>not neg pair</v>
          </cell>
          <cell r="W4515">
            <v>0</v>
          </cell>
          <cell r="X4515" t="str">
            <v>0</v>
          </cell>
        </row>
        <row r="4516">
          <cell r="I4516" t="str">
            <v>sim</v>
          </cell>
          <cell r="V4516" t="str">
            <v>not neg pair</v>
          </cell>
          <cell r="W4516">
            <v>0</v>
          </cell>
          <cell r="X4516" t="str">
            <v>0</v>
          </cell>
        </row>
        <row r="4517">
          <cell r="I4517" t="str">
            <v>sim</v>
          </cell>
          <cell r="V4517" t="str">
            <v>not neg pair</v>
          </cell>
          <cell r="W4517">
            <v>0</v>
          </cell>
          <cell r="X4517" t="str">
            <v>0</v>
          </cell>
        </row>
        <row r="4518">
          <cell r="I4518" t="str">
            <v>sim</v>
          </cell>
          <cell r="V4518" t="str">
            <v>antonym</v>
          </cell>
          <cell r="W4518">
            <v>1</v>
          </cell>
          <cell r="X4518" t="str">
            <v>intens</v>
          </cell>
        </row>
        <row r="4519">
          <cell r="I4519" t="str">
            <v>sim</v>
          </cell>
          <cell r="V4519" t="str">
            <v>antonym</v>
          </cell>
          <cell r="W4519">
            <v>1</v>
          </cell>
          <cell r="X4519" t="str">
            <v>neg</v>
          </cell>
        </row>
        <row r="4520">
          <cell r="I4520" t="str">
            <v>sim</v>
          </cell>
          <cell r="V4520" t="str">
            <v>not neg pair</v>
          </cell>
          <cell r="W4520">
            <v>0</v>
          </cell>
          <cell r="X4520" t="str">
            <v>0</v>
          </cell>
        </row>
        <row r="4521">
          <cell r="I4521" t="str">
            <v>sim</v>
          </cell>
          <cell r="V4521" t="str">
            <v>not neg pair</v>
          </cell>
          <cell r="W4521">
            <v>0</v>
          </cell>
          <cell r="X4521" t="str">
            <v>0</v>
          </cell>
        </row>
        <row r="4522">
          <cell r="I4522" t="str">
            <v>sim</v>
          </cell>
          <cell r="V4522" t="str">
            <v>antonym</v>
          </cell>
          <cell r="W4522">
            <v>1</v>
          </cell>
          <cell r="X4522" t="str">
            <v>intens</v>
          </cell>
        </row>
        <row r="4523">
          <cell r="I4523" t="str">
            <v>sim</v>
          </cell>
          <cell r="V4523" t="str">
            <v>antonym</v>
          </cell>
          <cell r="W4523">
            <v>1</v>
          </cell>
          <cell r="X4523" t="str">
            <v>neg</v>
          </cell>
        </row>
        <row r="4524">
          <cell r="I4524" t="str">
            <v>sim</v>
          </cell>
          <cell r="V4524" t="str">
            <v>not</v>
          </cell>
          <cell r="W4524">
            <v>1</v>
          </cell>
          <cell r="X4524" t="str">
            <v>neg</v>
          </cell>
        </row>
        <row r="4525">
          <cell r="I4525" t="str">
            <v>sim</v>
          </cell>
          <cell r="V4525" t="str">
            <v>not</v>
          </cell>
          <cell r="W4525">
            <v>1</v>
          </cell>
          <cell r="X4525" t="str">
            <v>intens</v>
          </cell>
        </row>
        <row r="4526">
          <cell r="I4526" t="str">
            <v>sim</v>
          </cell>
          <cell r="V4526" t="str">
            <v>not neg pair</v>
          </cell>
          <cell r="W4526">
            <v>0</v>
          </cell>
          <cell r="X4526" t="str">
            <v>0</v>
          </cell>
        </row>
        <row r="4527">
          <cell r="I4527" t="str">
            <v>sim</v>
          </cell>
          <cell r="V4527" t="str">
            <v>not neg pair</v>
          </cell>
          <cell r="W4527">
            <v>0</v>
          </cell>
          <cell r="X4527" t="str">
            <v>0</v>
          </cell>
        </row>
        <row r="4528">
          <cell r="I4528" t="str">
            <v>sim</v>
          </cell>
          <cell r="V4528" t="str">
            <v>not</v>
          </cell>
          <cell r="W4528">
            <v>1</v>
          </cell>
          <cell r="X4528" t="str">
            <v>neg</v>
          </cell>
        </row>
        <row r="4529">
          <cell r="I4529" t="str">
            <v>sim</v>
          </cell>
          <cell r="V4529" t="str">
            <v>not</v>
          </cell>
          <cell r="W4529">
            <v>1</v>
          </cell>
          <cell r="X4529" t="str">
            <v>intens</v>
          </cell>
        </row>
        <row r="4530">
          <cell r="I4530" t="str">
            <v>sim</v>
          </cell>
          <cell r="V4530" t="str">
            <v>not</v>
          </cell>
          <cell r="W4530">
            <v>1</v>
          </cell>
          <cell r="X4530" t="str">
            <v>neg</v>
          </cell>
        </row>
        <row r="4531">
          <cell r="I4531" t="str">
            <v>sim</v>
          </cell>
          <cell r="V4531" t="str">
            <v>not</v>
          </cell>
          <cell r="W4531">
            <v>1</v>
          </cell>
          <cell r="X4531" t="str">
            <v>intens</v>
          </cell>
        </row>
        <row r="4532">
          <cell r="I4532" t="str">
            <v>sim</v>
          </cell>
          <cell r="V4532" t="str">
            <v>not neg pair</v>
          </cell>
          <cell r="W4532">
            <v>0</v>
          </cell>
          <cell r="X4532" t="str">
            <v>0</v>
          </cell>
        </row>
        <row r="4533">
          <cell r="I4533" t="str">
            <v>sim</v>
          </cell>
          <cell r="V4533" t="str">
            <v>not neg pair</v>
          </cell>
          <cell r="W4533">
            <v>0</v>
          </cell>
          <cell r="X4533" t="str">
            <v>0</v>
          </cell>
        </row>
        <row r="4534">
          <cell r="I4534" t="str">
            <v>sim</v>
          </cell>
          <cell r="V4534" t="str">
            <v>not neg pair</v>
          </cell>
          <cell r="W4534">
            <v>0</v>
          </cell>
          <cell r="X4534" t="str">
            <v>0</v>
          </cell>
        </row>
        <row r="4535">
          <cell r="I4535" t="str">
            <v>sim</v>
          </cell>
          <cell r="V4535" t="str">
            <v>not neg pair</v>
          </cell>
          <cell r="W4535">
            <v>0</v>
          </cell>
          <cell r="X4535" t="str">
            <v>0</v>
          </cell>
        </row>
        <row r="4536">
          <cell r="I4536" t="str">
            <v>sim</v>
          </cell>
          <cell r="V4536" t="str">
            <v>not neg pair</v>
          </cell>
          <cell r="W4536">
            <v>0</v>
          </cell>
          <cell r="X4536" t="str">
            <v>0</v>
          </cell>
        </row>
        <row r="4537">
          <cell r="I4537" t="str">
            <v>sim</v>
          </cell>
          <cell r="V4537" t="str">
            <v>not neg pair</v>
          </cell>
          <cell r="W4537">
            <v>0</v>
          </cell>
          <cell r="X4537" t="str">
            <v>0</v>
          </cell>
        </row>
        <row r="4538">
          <cell r="I4538" t="str">
            <v>sim</v>
          </cell>
          <cell r="V4538" t="str">
            <v>not neg pair</v>
          </cell>
          <cell r="W4538">
            <v>0</v>
          </cell>
          <cell r="X4538" t="str">
            <v>0</v>
          </cell>
        </row>
        <row r="4539">
          <cell r="I4539" t="str">
            <v>sim</v>
          </cell>
          <cell r="V4539" t="str">
            <v>not neg pair</v>
          </cell>
          <cell r="W4539">
            <v>0</v>
          </cell>
          <cell r="X4539" t="str">
            <v>0</v>
          </cell>
        </row>
        <row r="4540">
          <cell r="I4540" t="str">
            <v>sim</v>
          </cell>
          <cell r="V4540" t="str">
            <v>antonym</v>
          </cell>
          <cell r="W4540">
            <v>1</v>
          </cell>
          <cell r="X4540" t="str">
            <v>intens</v>
          </cell>
        </row>
        <row r="4541">
          <cell r="I4541" t="str">
            <v>sim</v>
          </cell>
          <cell r="V4541" t="str">
            <v>antonym</v>
          </cell>
          <cell r="W4541">
            <v>1</v>
          </cell>
          <cell r="X4541" t="str">
            <v>neg</v>
          </cell>
        </row>
        <row r="4542">
          <cell r="I4542" t="str">
            <v>sim</v>
          </cell>
          <cell r="V4542" t="str">
            <v>not neg pair</v>
          </cell>
          <cell r="W4542">
            <v>0</v>
          </cell>
          <cell r="X4542" t="str">
            <v>0</v>
          </cell>
        </row>
        <row r="4543">
          <cell r="I4543" t="str">
            <v>sim</v>
          </cell>
          <cell r="V4543" t="str">
            <v>not neg pair</v>
          </cell>
          <cell r="W4543">
            <v>0</v>
          </cell>
          <cell r="X4543" t="str">
            <v>0</v>
          </cell>
        </row>
        <row r="4544">
          <cell r="I4544" t="str">
            <v>sim</v>
          </cell>
          <cell r="V4544" t="str">
            <v>antonym</v>
          </cell>
          <cell r="W4544">
            <v>1</v>
          </cell>
          <cell r="X4544" t="str">
            <v>intens</v>
          </cell>
        </row>
        <row r="4545">
          <cell r="I4545" t="str">
            <v>sim</v>
          </cell>
          <cell r="V4545" t="str">
            <v>antonym</v>
          </cell>
          <cell r="W4545">
            <v>1</v>
          </cell>
          <cell r="X4545" t="str">
            <v>neg</v>
          </cell>
        </row>
        <row r="4546">
          <cell r="I4546" t="str">
            <v>sim</v>
          </cell>
          <cell r="V4546" t="str">
            <v>antonym</v>
          </cell>
          <cell r="W4546">
            <v>1</v>
          </cell>
          <cell r="X4546" t="str">
            <v>intens</v>
          </cell>
        </row>
        <row r="4547">
          <cell r="I4547" t="str">
            <v>sim</v>
          </cell>
          <cell r="V4547" t="str">
            <v>antonym</v>
          </cell>
          <cell r="W4547">
            <v>1</v>
          </cell>
          <cell r="X4547" t="str">
            <v>neg</v>
          </cell>
        </row>
        <row r="4548">
          <cell r="I4548" t="str">
            <v>sim</v>
          </cell>
          <cell r="V4548" t="str">
            <v>antonym</v>
          </cell>
          <cell r="W4548">
            <v>1</v>
          </cell>
          <cell r="X4548" t="str">
            <v>intens</v>
          </cell>
        </row>
        <row r="4549">
          <cell r="I4549" t="str">
            <v>sim</v>
          </cell>
          <cell r="V4549" t="str">
            <v>antonym</v>
          </cell>
          <cell r="W4549">
            <v>1</v>
          </cell>
          <cell r="X4549" t="str">
            <v>neg</v>
          </cell>
        </row>
        <row r="4550">
          <cell r="I4550" t="str">
            <v>sim</v>
          </cell>
          <cell r="V4550" t="str">
            <v>not</v>
          </cell>
          <cell r="W4550">
            <v>1</v>
          </cell>
          <cell r="X4550" t="str">
            <v>intens</v>
          </cell>
        </row>
        <row r="4551">
          <cell r="I4551" t="str">
            <v>sim</v>
          </cell>
          <cell r="V4551" t="str">
            <v>not</v>
          </cell>
          <cell r="W4551">
            <v>1</v>
          </cell>
          <cell r="X4551" t="str">
            <v>neg</v>
          </cell>
        </row>
        <row r="4552">
          <cell r="I4552" t="str">
            <v>met</v>
          </cell>
          <cell r="V4552" t="str">
            <v>0</v>
          </cell>
          <cell r="W4552">
            <v>0</v>
          </cell>
          <cell r="X4552" t="str">
            <v>0</v>
          </cell>
        </row>
        <row r="4553">
          <cell r="I4553" t="str">
            <v>met</v>
          </cell>
          <cell r="V4553" t="str">
            <v>0</v>
          </cell>
          <cell r="W4553">
            <v>0</v>
          </cell>
          <cell r="X4553" t="str">
            <v>0</v>
          </cell>
        </row>
        <row r="4554">
          <cell r="I4554" t="str">
            <v>sim</v>
          </cell>
          <cell r="V4554" t="str">
            <v>not</v>
          </cell>
          <cell r="W4554">
            <v>1</v>
          </cell>
          <cell r="X4554" t="str">
            <v>intens</v>
          </cell>
        </row>
        <row r="4555">
          <cell r="I4555" t="str">
            <v>sim</v>
          </cell>
          <cell r="V4555" t="str">
            <v>not</v>
          </cell>
          <cell r="W4555">
            <v>1</v>
          </cell>
          <cell r="X4555" t="str">
            <v>neg</v>
          </cell>
        </row>
        <row r="4556">
          <cell r="I4556" t="str">
            <v>sim</v>
          </cell>
          <cell r="V4556" t="str">
            <v>antonym</v>
          </cell>
          <cell r="W4556">
            <v>1</v>
          </cell>
          <cell r="X4556" t="str">
            <v>intens</v>
          </cell>
        </row>
        <row r="4557">
          <cell r="I4557" t="str">
            <v>sim</v>
          </cell>
          <cell r="V4557" t="str">
            <v>antonym</v>
          </cell>
          <cell r="W4557">
            <v>1</v>
          </cell>
          <cell r="X4557" t="str">
            <v>neg</v>
          </cell>
        </row>
        <row r="4558">
          <cell r="I4558" t="str">
            <v>met</v>
          </cell>
          <cell r="V4558" t="str">
            <v>0</v>
          </cell>
          <cell r="W4558">
            <v>0</v>
          </cell>
          <cell r="X4558" t="str">
            <v>0</v>
          </cell>
        </row>
        <row r="4559">
          <cell r="I4559" t="str">
            <v>met</v>
          </cell>
          <cell r="V4559" t="str">
            <v>0</v>
          </cell>
          <cell r="W4559">
            <v>0</v>
          </cell>
          <cell r="X4559" t="str">
            <v>0</v>
          </cell>
        </row>
        <row r="4560">
          <cell r="I4560" t="str">
            <v>sim</v>
          </cell>
          <cell r="V4560" t="str">
            <v>not neg pair</v>
          </cell>
          <cell r="W4560">
            <v>0</v>
          </cell>
          <cell r="X4560" t="str">
            <v>0</v>
          </cell>
        </row>
        <row r="4561">
          <cell r="I4561" t="str">
            <v>sim</v>
          </cell>
          <cell r="V4561" t="str">
            <v>not neg pair</v>
          </cell>
          <cell r="W4561">
            <v>0</v>
          </cell>
          <cell r="X4561" t="str">
            <v>0</v>
          </cell>
        </row>
        <row r="4562">
          <cell r="I4562" t="str">
            <v>sim</v>
          </cell>
          <cell r="V4562" t="str">
            <v>not neg pair</v>
          </cell>
          <cell r="W4562">
            <v>0</v>
          </cell>
          <cell r="X4562" t="str">
            <v>0</v>
          </cell>
        </row>
        <row r="4563">
          <cell r="I4563" t="str">
            <v>sim</v>
          </cell>
          <cell r="V4563" t="str">
            <v>not neg pair</v>
          </cell>
          <cell r="W4563">
            <v>0</v>
          </cell>
          <cell r="X4563" t="str">
            <v>0</v>
          </cell>
        </row>
        <row r="4564">
          <cell r="I4564" t="str">
            <v>sim</v>
          </cell>
          <cell r="V4564" t="str">
            <v>not</v>
          </cell>
          <cell r="W4564">
            <v>1</v>
          </cell>
          <cell r="X4564" t="str">
            <v>neg</v>
          </cell>
        </row>
        <row r="4565">
          <cell r="I4565" t="str">
            <v>sim</v>
          </cell>
          <cell r="V4565" t="str">
            <v>not</v>
          </cell>
          <cell r="W4565">
            <v>1</v>
          </cell>
          <cell r="X4565" t="str">
            <v>intens</v>
          </cell>
        </row>
        <row r="4566">
          <cell r="I4566" t="str">
            <v>sim</v>
          </cell>
          <cell r="V4566" t="str">
            <v>not</v>
          </cell>
          <cell r="W4566">
            <v>1</v>
          </cell>
          <cell r="X4566" t="str">
            <v>neg</v>
          </cell>
        </row>
        <row r="4567">
          <cell r="I4567" t="str">
            <v>sim</v>
          </cell>
          <cell r="V4567" t="str">
            <v>not</v>
          </cell>
          <cell r="W4567">
            <v>1</v>
          </cell>
          <cell r="X4567" t="str">
            <v>intens</v>
          </cell>
        </row>
        <row r="4568">
          <cell r="I4568" t="str">
            <v>sim</v>
          </cell>
          <cell r="V4568" t="str">
            <v>antonym</v>
          </cell>
          <cell r="W4568">
            <v>1</v>
          </cell>
          <cell r="X4568" t="str">
            <v>neg</v>
          </cell>
        </row>
        <row r="4569">
          <cell r="I4569" t="str">
            <v>sim</v>
          </cell>
          <cell r="V4569" t="str">
            <v>antonym</v>
          </cell>
          <cell r="W4569">
            <v>1</v>
          </cell>
          <cell r="X4569" t="str">
            <v>intens</v>
          </cell>
        </row>
        <row r="4570">
          <cell r="I4570" t="str">
            <v>sim</v>
          </cell>
          <cell r="V4570" t="str">
            <v>not</v>
          </cell>
          <cell r="W4570">
            <v>1</v>
          </cell>
          <cell r="X4570" t="str">
            <v>intens</v>
          </cell>
        </row>
        <row r="4571">
          <cell r="I4571" t="str">
            <v>sim</v>
          </cell>
          <cell r="V4571" t="str">
            <v>not</v>
          </cell>
          <cell r="W4571">
            <v>1</v>
          </cell>
          <cell r="X4571" t="str">
            <v>neg</v>
          </cell>
        </row>
        <row r="4572">
          <cell r="I4572" t="str">
            <v>sim</v>
          </cell>
          <cell r="V4572" t="str">
            <v>not neg pair</v>
          </cell>
          <cell r="W4572">
            <v>0</v>
          </cell>
          <cell r="X4572" t="str">
            <v>0</v>
          </cell>
        </row>
        <row r="4573">
          <cell r="I4573" t="str">
            <v>sim</v>
          </cell>
          <cell r="V4573" t="str">
            <v>not neg pair</v>
          </cell>
          <cell r="W4573">
            <v>0</v>
          </cell>
          <cell r="X4573" t="str">
            <v>0</v>
          </cell>
        </row>
        <row r="4574">
          <cell r="I4574" t="str">
            <v>sim</v>
          </cell>
          <cell r="V4574" t="str">
            <v>not neg pair</v>
          </cell>
          <cell r="W4574">
            <v>0</v>
          </cell>
          <cell r="X4574" t="str">
            <v>0</v>
          </cell>
        </row>
        <row r="4575">
          <cell r="I4575" t="str">
            <v>sim</v>
          </cell>
          <cell r="V4575" t="str">
            <v>not neg pair</v>
          </cell>
          <cell r="W4575">
            <v>0</v>
          </cell>
          <cell r="X4575" t="str">
            <v>0</v>
          </cell>
        </row>
        <row r="4576">
          <cell r="I4576" t="str">
            <v>sim</v>
          </cell>
          <cell r="V4576" t="str">
            <v>not neg pair</v>
          </cell>
          <cell r="W4576">
            <v>0</v>
          </cell>
          <cell r="X4576" t="str">
            <v>0</v>
          </cell>
        </row>
        <row r="4577">
          <cell r="I4577" t="str">
            <v>met</v>
          </cell>
          <cell r="V4577" t="str">
            <v>0</v>
          </cell>
          <cell r="W4577">
            <v>0</v>
          </cell>
          <cell r="X4577" t="str">
            <v>0</v>
          </cell>
        </row>
        <row r="4578">
          <cell r="I4578" t="str">
            <v>sim</v>
          </cell>
          <cell r="V4578" t="str">
            <v>not neg pair</v>
          </cell>
          <cell r="W4578">
            <v>0</v>
          </cell>
          <cell r="X4578" t="str">
            <v>0</v>
          </cell>
        </row>
        <row r="4579">
          <cell r="I4579" t="str">
            <v>sim</v>
          </cell>
          <cell r="V4579" t="str">
            <v>not neg pair</v>
          </cell>
          <cell r="W4579">
            <v>0</v>
          </cell>
          <cell r="X4579" t="str">
            <v>0</v>
          </cell>
        </row>
        <row r="4580">
          <cell r="I4580" t="str">
            <v>met</v>
          </cell>
          <cell r="V4580" t="str">
            <v>0</v>
          </cell>
          <cell r="W4580">
            <v>0</v>
          </cell>
          <cell r="X4580" t="str">
            <v>0</v>
          </cell>
        </row>
        <row r="4581">
          <cell r="I4581" t="str">
            <v>met</v>
          </cell>
          <cell r="V4581" t="str">
            <v>0</v>
          </cell>
          <cell r="W4581">
            <v>0</v>
          </cell>
          <cell r="X4581" t="str">
            <v>0</v>
          </cell>
        </row>
        <row r="4582">
          <cell r="I4582" t="str">
            <v>sim</v>
          </cell>
          <cell r="V4582" t="str">
            <v>not neg pair</v>
          </cell>
          <cell r="W4582">
            <v>0</v>
          </cell>
          <cell r="X4582" t="str">
            <v>0</v>
          </cell>
        </row>
        <row r="4583">
          <cell r="I4583" t="str">
            <v>sim</v>
          </cell>
          <cell r="V4583" t="str">
            <v>not neg pair</v>
          </cell>
          <cell r="W4583">
            <v>0</v>
          </cell>
          <cell r="X4583" t="str">
            <v>0</v>
          </cell>
        </row>
        <row r="4584">
          <cell r="I4584" t="str">
            <v>sim</v>
          </cell>
          <cell r="V4584" t="str">
            <v>not neg pair</v>
          </cell>
          <cell r="W4584">
            <v>0</v>
          </cell>
          <cell r="X4584" t="str">
            <v>0</v>
          </cell>
        </row>
        <row r="4585">
          <cell r="I4585" t="str">
            <v>sim</v>
          </cell>
          <cell r="V4585" t="str">
            <v>not neg pair</v>
          </cell>
          <cell r="W4585">
            <v>0</v>
          </cell>
          <cell r="X4585" t="str">
            <v>0</v>
          </cell>
        </row>
        <row r="4586">
          <cell r="I4586" t="str">
            <v>sim</v>
          </cell>
          <cell r="V4586" t="str">
            <v>not neg pair</v>
          </cell>
          <cell r="W4586">
            <v>0</v>
          </cell>
          <cell r="X4586" t="str">
            <v>0</v>
          </cell>
        </row>
        <row r="4587">
          <cell r="I4587" t="str">
            <v>sim</v>
          </cell>
          <cell r="V4587" t="str">
            <v>not neg pair</v>
          </cell>
          <cell r="W4587">
            <v>0</v>
          </cell>
          <cell r="X4587" t="str">
            <v>0</v>
          </cell>
        </row>
        <row r="4588">
          <cell r="I4588" t="str">
            <v>sim</v>
          </cell>
          <cell r="V4588" t="str">
            <v>antonym</v>
          </cell>
          <cell r="W4588">
            <v>1</v>
          </cell>
          <cell r="X4588" t="str">
            <v>intens</v>
          </cell>
        </row>
        <row r="4589">
          <cell r="I4589" t="str">
            <v>sim</v>
          </cell>
          <cell r="V4589" t="str">
            <v>antonym</v>
          </cell>
          <cell r="W4589">
            <v>1</v>
          </cell>
          <cell r="X4589" t="str">
            <v>neg</v>
          </cell>
        </row>
        <row r="4590">
          <cell r="I4590" t="str">
            <v>sim</v>
          </cell>
          <cell r="V4590" t="str">
            <v>not neg pair</v>
          </cell>
          <cell r="W4590">
            <v>0</v>
          </cell>
          <cell r="X4590" t="str">
            <v>0</v>
          </cell>
        </row>
        <row r="4591">
          <cell r="I4591" t="str">
            <v>sim</v>
          </cell>
          <cell r="V4591" t="str">
            <v>not neg pair</v>
          </cell>
          <cell r="W4591">
            <v>0</v>
          </cell>
          <cell r="X4591" t="str">
            <v>0</v>
          </cell>
        </row>
        <row r="4592">
          <cell r="I4592" t="str">
            <v>sim</v>
          </cell>
          <cell r="V4592" t="str">
            <v>not</v>
          </cell>
          <cell r="W4592">
            <v>1</v>
          </cell>
          <cell r="X4592" t="str">
            <v>intens</v>
          </cell>
        </row>
        <row r="4593">
          <cell r="I4593" t="str">
            <v>sim</v>
          </cell>
          <cell r="V4593" t="str">
            <v>not</v>
          </cell>
          <cell r="W4593">
            <v>1</v>
          </cell>
          <cell r="X4593" t="str">
            <v>neg</v>
          </cell>
        </row>
        <row r="4594">
          <cell r="I4594" t="str">
            <v>sim</v>
          </cell>
          <cell r="V4594" t="str">
            <v>not neg pair</v>
          </cell>
          <cell r="W4594">
            <v>0</v>
          </cell>
          <cell r="X4594" t="str">
            <v>0</v>
          </cell>
        </row>
        <row r="4595">
          <cell r="I4595" t="str">
            <v>sim</v>
          </cell>
          <cell r="V4595" t="str">
            <v>not neg pair</v>
          </cell>
          <cell r="W4595">
            <v>0</v>
          </cell>
          <cell r="X4595" t="str">
            <v>0</v>
          </cell>
        </row>
        <row r="4596">
          <cell r="I4596" t="str">
            <v>sim</v>
          </cell>
          <cell r="V4596" t="str">
            <v>not</v>
          </cell>
          <cell r="W4596">
            <v>1</v>
          </cell>
          <cell r="X4596" t="str">
            <v>intens</v>
          </cell>
        </row>
        <row r="4597">
          <cell r="I4597" t="str">
            <v>sim</v>
          </cell>
          <cell r="V4597" t="str">
            <v>not</v>
          </cell>
          <cell r="W4597">
            <v>1</v>
          </cell>
          <cell r="X4597" t="str">
            <v>neg</v>
          </cell>
        </row>
        <row r="4598">
          <cell r="I4598" t="str">
            <v>sim</v>
          </cell>
          <cell r="V4598" t="str">
            <v>antonym</v>
          </cell>
          <cell r="W4598">
            <v>1</v>
          </cell>
          <cell r="X4598" t="str">
            <v>intens</v>
          </cell>
        </row>
        <row r="4599">
          <cell r="I4599" t="str">
            <v>sim</v>
          </cell>
          <cell r="V4599" t="str">
            <v>antonym</v>
          </cell>
          <cell r="W4599">
            <v>1</v>
          </cell>
          <cell r="X4599" t="str">
            <v>neg</v>
          </cell>
        </row>
        <row r="4600">
          <cell r="I4600" t="str">
            <v>sim</v>
          </cell>
          <cell r="V4600" t="str">
            <v>antonym</v>
          </cell>
          <cell r="W4600">
            <v>1</v>
          </cell>
          <cell r="X4600" t="str">
            <v>neg</v>
          </cell>
        </row>
        <row r="4601">
          <cell r="I4601" t="str">
            <v>sim</v>
          </cell>
          <cell r="V4601" t="str">
            <v>antonym</v>
          </cell>
          <cell r="W4601">
            <v>1</v>
          </cell>
          <cell r="X4601" t="str">
            <v>intens</v>
          </cell>
        </row>
        <row r="4602">
          <cell r="I4602" t="str">
            <v>sim</v>
          </cell>
          <cell r="V4602" t="str">
            <v>not neg pair</v>
          </cell>
          <cell r="W4602">
            <v>0</v>
          </cell>
          <cell r="X4602" t="str">
            <v>0</v>
          </cell>
        </row>
        <row r="4603">
          <cell r="I4603" t="str">
            <v>sim</v>
          </cell>
          <cell r="V4603" t="str">
            <v>not neg pair</v>
          </cell>
          <cell r="W4603">
            <v>0</v>
          </cell>
          <cell r="X4603" t="str">
            <v>0</v>
          </cell>
        </row>
        <row r="4604">
          <cell r="I4604" t="str">
            <v>sim</v>
          </cell>
          <cell r="V4604" t="str">
            <v>not neg pair</v>
          </cell>
          <cell r="W4604">
            <v>0</v>
          </cell>
          <cell r="X4604" t="str">
            <v>0</v>
          </cell>
        </row>
        <row r="4605">
          <cell r="I4605" t="str">
            <v>sim</v>
          </cell>
          <cell r="V4605" t="str">
            <v>not neg pair</v>
          </cell>
          <cell r="W4605">
            <v>0</v>
          </cell>
          <cell r="X4605" t="str">
            <v>0</v>
          </cell>
        </row>
        <row r="4606">
          <cell r="I4606" t="str">
            <v>sim</v>
          </cell>
          <cell r="V4606" t="str">
            <v>not neg pair</v>
          </cell>
          <cell r="W4606">
            <v>0</v>
          </cell>
          <cell r="X4606" t="str">
            <v>0</v>
          </cell>
        </row>
        <row r="4607">
          <cell r="I4607" t="str">
            <v>sim</v>
          </cell>
          <cell r="V4607" t="str">
            <v>not neg pair</v>
          </cell>
          <cell r="W4607">
            <v>0</v>
          </cell>
          <cell r="X4607" t="str">
            <v>0</v>
          </cell>
        </row>
        <row r="4608">
          <cell r="I4608" t="str">
            <v>sim</v>
          </cell>
          <cell r="V4608" t="str">
            <v>not neg pair</v>
          </cell>
          <cell r="W4608">
            <v>0</v>
          </cell>
          <cell r="X4608" t="str">
            <v>0</v>
          </cell>
        </row>
        <row r="4609">
          <cell r="I4609" t="str">
            <v>sim</v>
          </cell>
          <cell r="V4609" t="str">
            <v>not neg pair</v>
          </cell>
          <cell r="W4609">
            <v>0</v>
          </cell>
          <cell r="X4609" t="str">
            <v>0</v>
          </cell>
        </row>
        <row r="4610">
          <cell r="I4610" t="str">
            <v>sim</v>
          </cell>
          <cell r="V4610" t="str">
            <v>not neg pair</v>
          </cell>
          <cell r="W4610">
            <v>0</v>
          </cell>
          <cell r="X4610" t="str">
            <v>0</v>
          </cell>
        </row>
        <row r="4611">
          <cell r="I4611" t="str">
            <v>sim</v>
          </cell>
          <cell r="V4611" t="str">
            <v>not neg pair</v>
          </cell>
          <cell r="W4611">
            <v>0</v>
          </cell>
          <cell r="X4611" t="str">
            <v>0</v>
          </cell>
        </row>
        <row r="4612">
          <cell r="I4612" t="str">
            <v>sim</v>
          </cell>
          <cell r="V4612" t="str">
            <v>antonym</v>
          </cell>
          <cell r="W4612">
            <v>1</v>
          </cell>
          <cell r="X4612" t="str">
            <v>intens</v>
          </cell>
        </row>
        <row r="4613">
          <cell r="I4613" t="str">
            <v>sim</v>
          </cell>
          <cell r="V4613" t="str">
            <v>antonym</v>
          </cell>
          <cell r="W4613">
            <v>1</v>
          </cell>
          <cell r="X4613" t="str">
            <v>neg</v>
          </cell>
        </row>
        <row r="4614">
          <cell r="I4614" t="str">
            <v>sim</v>
          </cell>
          <cell r="V4614" t="str">
            <v>not neg pair</v>
          </cell>
          <cell r="W4614">
            <v>0</v>
          </cell>
          <cell r="X4614" t="str">
            <v>0</v>
          </cell>
        </row>
        <row r="4615">
          <cell r="I4615" t="str">
            <v>sim</v>
          </cell>
          <cell r="V4615" t="str">
            <v>not neg pair</v>
          </cell>
          <cell r="W4615">
            <v>0</v>
          </cell>
          <cell r="X4615" t="str">
            <v>0</v>
          </cell>
        </row>
        <row r="4616">
          <cell r="I4616" t="str">
            <v>sim</v>
          </cell>
          <cell r="V4616" t="str">
            <v>antonym</v>
          </cell>
          <cell r="W4616">
            <v>1</v>
          </cell>
          <cell r="X4616" t="str">
            <v>intens</v>
          </cell>
        </row>
        <row r="4617">
          <cell r="I4617" t="str">
            <v>sim</v>
          </cell>
          <cell r="V4617" t="str">
            <v>antonym</v>
          </cell>
          <cell r="W4617">
            <v>1</v>
          </cell>
          <cell r="X4617" t="str">
            <v>neg</v>
          </cell>
        </row>
        <row r="4618">
          <cell r="I4618" t="str">
            <v>sim</v>
          </cell>
          <cell r="V4618" t="str">
            <v>not neg pair</v>
          </cell>
          <cell r="W4618">
            <v>0</v>
          </cell>
          <cell r="X4618" t="str">
            <v>0</v>
          </cell>
        </row>
        <row r="4619">
          <cell r="I4619" t="str">
            <v>sim</v>
          </cell>
          <cell r="V4619" t="str">
            <v>not neg pair</v>
          </cell>
          <cell r="W4619">
            <v>0</v>
          </cell>
          <cell r="X4619" t="str">
            <v>0</v>
          </cell>
        </row>
        <row r="4620">
          <cell r="I4620" t="str">
            <v>sim</v>
          </cell>
          <cell r="V4620" t="str">
            <v>not neg pair</v>
          </cell>
          <cell r="W4620">
            <v>0</v>
          </cell>
          <cell r="X4620" t="str">
            <v>0</v>
          </cell>
        </row>
        <row r="4621">
          <cell r="I4621" t="str">
            <v>sim</v>
          </cell>
          <cell r="V4621" t="str">
            <v>not neg pair</v>
          </cell>
          <cell r="W4621">
            <v>0</v>
          </cell>
          <cell r="X4621" t="str">
            <v>0</v>
          </cell>
        </row>
        <row r="4622">
          <cell r="I4622" t="str">
            <v>met</v>
          </cell>
          <cell r="V4622" t="str">
            <v>0</v>
          </cell>
          <cell r="W4622">
            <v>0</v>
          </cell>
          <cell r="X4622" t="str">
            <v>0</v>
          </cell>
        </row>
        <row r="4623">
          <cell r="I4623" t="str">
            <v>met</v>
          </cell>
          <cell r="V4623" t="str">
            <v>0</v>
          </cell>
          <cell r="W4623">
            <v>0</v>
          </cell>
          <cell r="X4623" t="str">
            <v>0</v>
          </cell>
        </row>
        <row r="4624">
          <cell r="I4624" t="str">
            <v>sim</v>
          </cell>
          <cell r="V4624" t="str">
            <v>not neg pair</v>
          </cell>
          <cell r="W4624">
            <v>0</v>
          </cell>
          <cell r="X4624" t="str">
            <v>0</v>
          </cell>
        </row>
        <row r="4625">
          <cell r="I4625" t="str">
            <v>sim</v>
          </cell>
          <cell r="V4625" t="str">
            <v>not neg pair</v>
          </cell>
          <cell r="W4625">
            <v>0</v>
          </cell>
          <cell r="X4625" t="str">
            <v>0</v>
          </cell>
        </row>
        <row r="4626">
          <cell r="I4626" t="str">
            <v>met</v>
          </cell>
          <cell r="V4626" t="str">
            <v>0</v>
          </cell>
          <cell r="W4626">
            <v>0</v>
          </cell>
          <cell r="X4626" t="str">
            <v>0</v>
          </cell>
        </row>
        <row r="4627">
          <cell r="I4627" t="str">
            <v>met</v>
          </cell>
          <cell r="V4627" t="str">
            <v>0</v>
          </cell>
          <cell r="W4627">
            <v>0</v>
          </cell>
          <cell r="X4627" t="str">
            <v>0</v>
          </cell>
        </row>
        <row r="4628">
          <cell r="I4628" t="str">
            <v>sim</v>
          </cell>
          <cell r="V4628" t="str">
            <v>not neg pair</v>
          </cell>
          <cell r="W4628">
            <v>0</v>
          </cell>
          <cell r="X4628" t="str">
            <v>0</v>
          </cell>
        </row>
        <row r="4629">
          <cell r="I4629" t="str">
            <v>sim</v>
          </cell>
          <cell r="V4629" t="str">
            <v>not neg pair</v>
          </cell>
          <cell r="W4629">
            <v>0</v>
          </cell>
          <cell r="X4629" t="str">
            <v>0</v>
          </cell>
        </row>
        <row r="4630">
          <cell r="I4630" t="str">
            <v>sim</v>
          </cell>
          <cell r="V4630" t="str">
            <v>not neg pair</v>
          </cell>
          <cell r="W4630">
            <v>0</v>
          </cell>
          <cell r="X4630" t="str">
            <v>0</v>
          </cell>
        </row>
        <row r="4631">
          <cell r="I4631" t="str">
            <v>sim</v>
          </cell>
          <cell r="V4631" t="str">
            <v>not neg pair</v>
          </cell>
          <cell r="W4631">
            <v>0</v>
          </cell>
          <cell r="X4631" t="str">
            <v>0</v>
          </cell>
        </row>
        <row r="4632">
          <cell r="I4632" t="str">
            <v>sim</v>
          </cell>
          <cell r="V4632" t="str">
            <v>not neg pair</v>
          </cell>
          <cell r="W4632">
            <v>0</v>
          </cell>
          <cell r="X4632" t="str">
            <v>0</v>
          </cell>
        </row>
        <row r="4633">
          <cell r="I4633" t="str">
            <v>sim</v>
          </cell>
          <cell r="V4633" t="str">
            <v>not neg pair</v>
          </cell>
          <cell r="W4633">
            <v>0</v>
          </cell>
          <cell r="X4633" t="str">
            <v>0</v>
          </cell>
        </row>
        <row r="4634">
          <cell r="I4634" t="str">
            <v>met</v>
          </cell>
          <cell r="V4634" t="str">
            <v>0</v>
          </cell>
          <cell r="W4634">
            <v>0</v>
          </cell>
          <cell r="X4634" t="str">
            <v>0</v>
          </cell>
        </row>
        <row r="4635">
          <cell r="I4635" t="str">
            <v>met</v>
          </cell>
          <cell r="V4635" t="str">
            <v>0</v>
          </cell>
          <cell r="W4635">
            <v>0</v>
          </cell>
          <cell r="X4635" t="str">
            <v>0</v>
          </cell>
        </row>
        <row r="4636">
          <cell r="I4636" t="str">
            <v>met</v>
          </cell>
          <cell r="V4636" t="str">
            <v>0</v>
          </cell>
          <cell r="W4636">
            <v>0</v>
          </cell>
          <cell r="X4636" t="str">
            <v>0</v>
          </cell>
        </row>
        <row r="4637">
          <cell r="I4637" t="str">
            <v>met</v>
          </cell>
          <cell r="V4637" t="str">
            <v>0</v>
          </cell>
          <cell r="W4637">
            <v>0</v>
          </cell>
          <cell r="X4637" t="str">
            <v>0</v>
          </cell>
        </row>
        <row r="4638">
          <cell r="I4638" t="str">
            <v>met</v>
          </cell>
          <cell r="V4638" t="str">
            <v>0</v>
          </cell>
          <cell r="W4638">
            <v>0</v>
          </cell>
          <cell r="X4638" t="str">
            <v>0</v>
          </cell>
        </row>
        <row r="4639">
          <cell r="I4639" t="str">
            <v>met</v>
          </cell>
          <cell r="V4639" t="str">
            <v>0</v>
          </cell>
          <cell r="W4639">
            <v>0</v>
          </cell>
          <cell r="X4639" t="str">
            <v>0</v>
          </cell>
        </row>
        <row r="4640">
          <cell r="I4640" t="str">
            <v>sim</v>
          </cell>
          <cell r="V4640" t="str">
            <v>not neg pair</v>
          </cell>
          <cell r="W4640">
            <v>0</v>
          </cell>
          <cell r="X4640" t="str">
            <v>0</v>
          </cell>
        </row>
        <row r="4641">
          <cell r="I4641" t="str">
            <v>sim</v>
          </cell>
          <cell r="V4641" t="str">
            <v>not neg pair</v>
          </cell>
          <cell r="W4641">
            <v>0</v>
          </cell>
          <cell r="X4641" t="str">
            <v>0</v>
          </cell>
        </row>
        <row r="4642">
          <cell r="I4642" t="str">
            <v>met</v>
          </cell>
          <cell r="V4642" t="str">
            <v>0</v>
          </cell>
          <cell r="W4642">
            <v>0</v>
          </cell>
          <cell r="X4642" t="str">
            <v>0</v>
          </cell>
        </row>
        <row r="4643">
          <cell r="I4643" t="str">
            <v>met</v>
          </cell>
          <cell r="V4643" t="str">
            <v>0</v>
          </cell>
          <cell r="W4643">
            <v>0</v>
          </cell>
          <cell r="X4643" t="str">
            <v>0</v>
          </cell>
        </row>
        <row r="4644">
          <cell r="I4644" t="str">
            <v>sim</v>
          </cell>
          <cell r="V4644" t="str">
            <v>not neg pair</v>
          </cell>
          <cell r="W4644">
            <v>0</v>
          </cell>
          <cell r="X4644" t="str">
            <v>0</v>
          </cell>
        </row>
        <row r="4645">
          <cell r="I4645" t="str">
            <v>sim</v>
          </cell>
          <cell r="V4645" t="str">
            <v>not neg pair</v>
          </cell>
          <cell r="W4645">
            <v>0</v>
          </cell>
          <cell r="X4645" t="str">
            <v>0</v>
          </cell>
        </row>
        <row r="4646">
          <cell r="I4646" t="str">
            <v>sim</v>
          </cell>
          <cell r="V4646" t="str">
            <v>not neg pair</v>
          </cell>
          <cell r="W4646">
            <v>0</v>
          </cell>
          <cell r="X4646" t="str">
            <v>0</v>
          </cell>
        </row>
        <row r="4647">
          <cell r="I4647" t="str">
            <v>sim</v>
          </cell>
          <cell r="V4647" t="str">
            <v>not neg pair</v>
          </cell>
          <cell r="W4647">
            <v>0</v>
          </cell>
          <cell r="X4647" t="str">
            <v>0</v>
          </cell>
        </row>
        <row r="4648">
          <cell r="I4648" t="str">
            <v>sim</v>
          </cell>
          <cell r="V4648" t="str">
            <v>not neg pair</v>
          </cell>
          <cell r="W4648">
            <v>0</v>
          </cell>
          <cell r="X4648" t="str">
            <v>0</v>
          </cell>
        </row>
        <row r="4649">
          <cell r="I4649" t="str">
            <v>sim</v>
          </cell>
          <cell r="V4649" t="str">
            <v>not neg pair</v>
          </cell>
          <cell r="W4649">
            <v>0</v>
          </cell>
          <cell r="X4649" t="str">
            <v>0</v>
          </cell>
        </row>
        <row r="4650">
          <cell r="I4650" t="str">
            <v>sim</v>
          </cell>
          <cell r="V4650" t="str">
            <v>not</v>
          </cell>
          <cell r="W4650">
            <v>1</v>
          </cell>
          <cell r="X4650" t="str">
            <v>neg</v>
          </cell>
        </row>
        <row r="4651">
          <cell r="I4651" t="str">
            <v>sim</v>
          </cell>
          <cell r="V4651" t="str">
            <v>not</v>
          </cell>
          <cell r="W4651">
            <v>1</v>
          </cell>
          <cell r="X4651" t="str">
            <v>intens</v>
          </cell>
        </row>
        <row r="4652">
          <cell r="I4652" t="str">
            <v>sim</v>
          </cell>
          <cell r="V4652" t="str">
            <v>not neg pair</v>
          </cell>
          <cell r="W4652">
            <v>0</v>
          </cell>
          <cell r="X4652" t="str">
            <v>0</v>
          </cell>
        </row>
        <row r="4653">
          <cell r="I4653" t="str">
            <v>sim</v>
          </cell>
          <cell r="V4653" t="str">
            <v>not neg pair</v>
          </cell>
          <cell r="W4653">
            <v>0</v>
          </cell>
          <cell r="X4653" t="str">
            <v>0</v>
          </cell>
        </row>
        <row r="4654">
          <cell r="I4654" t="str">
            <v>sim</v>
          </cell>
          <cell r="V4654" t="str">
            <v>not</v>
          </cell>
          <cell r="W4654">
            <v>1</v>
          </cell>
          <cell r="X4654" t="str">
            <v>intens</v>
          </cell>
        </row>
        <row r="4655">
          <cell r="I4655" t="str">
            <v>sim</v>
          </cell>
          <cell r="V4655" t="str">
            <v>not</v>
          </cell>
          <cell r="W4655">
            <v>1</v>
          </cell>
          <cell r="X4655" t="str">
            <v>neg</v>
          </cell>
        </row>
        <row r="4656">
          <cell r="I4656" t="str">
            <v>sim</v>
          </cell>
          <cell r="V4656" t="str">
            <v>not</v>
          </cell>
          <cell r="W4656">
            <v>1</v>
          </cell>
          <cell r="X4656" t="str">
            <v>intens</v>
          </cell>
        </row>
        <row r="4657">
          <cell r="I4657" t="str">
            <v>sim</v>
          </cell>
          <cell r="V4657" t="str">
            <v>not</v>
          </cell>
          <cell r="W4657">
            <v>1</v>
          </cell>
          <cell r="X4657" t="str">
            <v>neg</v>
          </cell>
        </row>
        <row r="4658">
          <cell r="I4658" t="str">
            <v>sim</v>
          </cell>
          <cell r="V4658" t="str">
            <v>antonym</v>
          </cell>
          <cell r="W4658">
            <v>1</v>
          </cell>
          <cell r="X4658" t="str">
            <v>intens</v>
          </cell>
        </row>
        <row r="4659">
          <cell r="I4659" t="str">
            <v>sim</v>
          </cell>
          <cell r="V4659" t="str">
            <v>antonym</v>
          </cell>
          <cell r="W4659">
            <v>1</v>
          </cell>
          <cell r="X4659" t="str">
            <v>neg</v>
          </cell>
        </row>
        <row r="4660">
          <cell r="I4660" t="str">
            <v>sim</v>
          </cell>
          <cell r="V4660" t="str">
            <v>antonym</v>
          </cell>
          <cell r="W4660">
            <v>1</v>
          </cell>
          <cell r="X4660" t="str">
            <v>intens</v>
          </cell>
        </row>
        <row r="4661">
          <cell r="I4661" t="str">
            <v>sim</v>
          </cell>
          <cell r="V4661" t="str">
            <v>antonym</v>
          </cell>
          <cell r="W4661">
            <v>1</v>
          </cell>
          <cell r="X4661" t="str">
            <v>neg</v>
          </cell>
        </row>
        <row r="4662">
          <cell r="I4662" t="str">
            <v>sim</v>
          </cell>
          <cell r="V4662" t="str">
            <v>not</v>
          </cell>
          <cell r="W4662">
            <v>1</v>
          </cell>
          <cell r="X4662" t="str">
            <v>neg</v>
          </cell>
        </row>
        <row r="4663">
          <cell r="I4663" t="str">
            <v>sim</v>
          </cell>
          <cell r="V4663" t="str">
            <v>not</v>
          </cell>
          <cell r="W4663">
            <v>1</v>
          </cell>
          <cell r="X4663" t="str">
            <v>intens</v>
          </cell>
        </row>
        <row r="4664">
          <cell r="I4664" t="str">
            <v>sim</v>
          </cell>
          <cell r="V4664" t="str">
            <v>not neg pair</v>
          </cell>
          <cell r="W4664">
            <v>0</v>
          </cell>
          <cell r="X4664" t="str">
            <v>0</v>
          </cell>
        </row>
        <row r="4665">
          <cell r="I4665" t="str">
            <v>sim</v>
          </cell>
          <cell r="V4665" t="str">
            <v>not neg pair</v>
          </cell>
          <cell r="W4665">
            <v>0</v>
          </cell>
          <cell r="X4665" t="str">
            <v>0</v>
          </cell>
        </row>
        <row r="4666">
          <cell r="I4666" t="str">
            <v>sim</v>
          </cell>
          <cell r="V4666" t="str">
            <v>not</v>
          </cell>
          <cell r="W4666">
            <v>1</v>
          </cell>
          <cell r="X4666" t="str">
            <v>intens</v>
          </cell>
        </row>
        <row r="4667">
          <cell r="I4667" t="str">
            <v>sim</v>
          </cell>
          <cell r="V4667" t="str">
            <v>not</v>
          </cell>
          <cell r="W4667">
            <v>1</v>
          </cell>
          <cell r="X4667" t="str">
            <v>neg</v>
          </cell>
        </row>
        <row r="4668">
          <cell r="I4668" t="str">
            <v>sim</v>
          </cell>
          <cell r="V4668" t="str">
            <v>not neg pair</v>
          </cell>
          <cell r="W4668">
            <v>0</v>
          </cell>
          <cell r="X4668" t="str">
            <v>0</v>
          </cell>
        </row>
        <row r="4669">
          <cell r="I4669" t="str">
            <v>sim</v>
          </cell>
          <cell r="V4669" t="str">
            <v>not neg pair</v>
          </cell>
          <cell r="W4669">
            <v>0</v>
          </cell>
          <cell r="X4669" t="str">
            <v>0</v>
          </cell>
        </row>
        <row r="4670">
          <cell r="I4670" t="str">
            <v>sim</v>
          </cell>
          <cell r="V4670" t="str">
            <v>not</v>
          </cell>
          <cell r="W4670">
            <v>1</v>
          </cell>
          <cell r="X4670" t="str">
            <v>intens</v>
          </cell>
        </row>
        <row r="4671">
          <cell r="I4671" t="str">
            <v>sim</v>
          </cell>
          <cell r="V4671" t="str">
            <v>not</v>
          </cell>
          <cell r="W4671">
            <v>1</v>
          </cell>
          <cell r="X4671" t="str">
            <v>neg</v>
          </cell>
        </row>
        <row r="4672">
          <cell r="I4672" t="str">
            <v>sim</v>
          </cell>
          <cell r="V4672" t="str">
            <v>not</v>
          </cell>
          <cell r="W4672">
            <v>1</v>
          </cell>
          <cell r="X4672" t="str">
            <v>neg</v>
          </cell>
        </row>
        <row r="4673">
          <cell r="I4673" t="str">
            <v>sim</v>
          </cell>
          <cell r="V4673" t="str">
            <v>not</v>
          </cell>
          <cell r="W4673">
            <v>1</v>
          </cell>
          <cell r="X4673" t="str">
            <v>intens</v>
          </cell>
        </row>
        <row r="4674">
          <cell r="I4674" t="str">
            <v>sim</v>
          </cell>
          <cell r="V4674" t="str">
            <v>not neg pair</v>
          </cell>
          <cell r="W4674">
            <v>0</v>
          </cell>
          <cell r="X4674" t="str">
            <v>0</v>
          </cell>
        </row>
        <row r="4675">
          <cell r="I4675" t="str">
            <v>sim</v>
          </cell>
          <cell r="V4675" t="str">
            <v>not neg pair</v>
          </cell>
          <cell r="W4675">
            <v>0</v>
          </cell>
          <cell r="X4675" t="str">
            <v>0</v>
          </cell>
        </row>
        <row r="4676">
          <cell r="I4676" t="str">
            <v>sim</v>
          </cell>
          <cell r="V4676" t="str">
            <v>not</v>
          </cell>
          <cell r="W4676">
            <v>1</v>
          </cell>
          <cell r="X4676" t="str">
            <v>intens</v>
          </cell>
        </row>
        <row r="4677">
          <cell r="I4677" t="str">
            <v>sim</v>
          </cell>
          <cell r="V4677" t="str">
            <v>not</v>
          </cell>
          <cell r="W4677">
            <v>1</v>
          </cell>
          <cell r="X4677" t="str">
            <v>neg</v>
          </cell>
        </row>
        <row r="4678">
          <cell r="I4678" t="str">
            <v>sim</v>
          </cell>
          <cell r="V4678" t="str">
            <v>not</v>
          </cell>
          <cell r="W4678">
            <v>1</v>
          </cell>
          <cell r="X4678" t="str">
            <v>intens</v>
          </cell>
        </row>
        <row r="4679">
          <cell r="I4679" t="str">
            <v>sim</v>
          </cell>
          <cell r="V4679" t="str">
            <v>not</v>
          </cell>
          <cell r="W4679">
            <v>1</v>
          </cell>
          <cell r="X4679" t="str">
            <v>neg</v>
          </cell>
        </row>
        <row r="4680">
          <cell r="I4680" t="str">
            <v>met</v>
          </cell>
          <cell r="V4680" t="str">
            <v>0</v>
          </cell>
          <cell r="W4680">
            <v>0</v>
          </cell>
          <cell r="X4680" t="str">
            <v>0</v>
          </cell>
        </row>
        <row r="4681">
          <cell r="I4681" t="str">
            <v>met</v>
          </cell>
          <cell r="V4681" t="str">
            <v>0</v>
          </cell>
          <cell r="W4681">
            <v>0</v>
          </cell>
          <cell r="X4681" t="str">
            <v>0</v>
          </cell>
        </row>
        <row r="4682">
          <cell r="I4682" t="str">
            <v>sim</v>
          </cell>
          <cell r="V4682" t="str">
            <v>not neg pair</v>
          </cell>
          <cell r="W4682">
            <v>0</v>
          </cell>
          <cell r="X4682" t="str">
            <v>0</v>
          </cell>
        </row>
        <row r="4683">
          <cell r="I4683" t="str">
            <v>sim</v>
          </cell>
          <cell r="V4683" t="str">
            <v>not neg pair</v>
          </cell>
          <cell r="W4683">
            <v>0</v>
          </cell>
          <cell r="X4683" t="str">
            <v>0</v>
          </cell>
        </row>
        <row r="4684">
          <cell r="I4684" t="str">
            <v>sim</v>
          </cell>
          <cell r="V4684" t="str">
            <v>not</v>
          </cell>
          <cell r="W4684">
            <v>1</v>
          </cell>
          <cell r="X4684" t="str">
            <v>neg</v>
          </cell>
        </row>
        <row r="4685">
          <cell r="I4685" t="str">
            <v>sim</v>
          </cell>
          <cell r="V4685" t="str">
            <v>not</v>
          </cell>
          <cell r="W4685">
            <v>1</v>
          </cell>
          <cell r="X4685" t="str">
            <v>intens</v>
          </cell>
        </row>
        <row r="4686">
          <cell r="I4686" t="str">
            <v>sim</v>
          </cell>
          <cell r="V4686" t="str">
            <v>not neg pair</v>
          </cell>
          <cell r="W4686">
            <v>0</v>
          </cell>
          <cell r="X4686" t="str">
            <v>0</v>
          </cell>
        </row>
        <row r="4687">
          <cell r="I4687" t="str">
            <v>sim</v>
          </cell>
          <cell r="V4687" t="str">
            <v>not neg pair</v>
          </cell>
          <cell r="W4687">
            <v>0</v>
          </cell>
          <cell r="X4687" t="str">
            <v>0</v>
          </cell>
        </row>
        <row r="4688">
          <cell r="I4688" t="str">
            <v>sim</v>
          </cell>
          <cell r="V4688" t="str">
            <v>not neg pair</v>
          </cell>
          <cell r="W4688">
            <v>0</v>
          </cell>
          <cell r="X4688" t="str">
            <v>0</v>
          </cell>
        </row>
        <row r="4689">
          <cell r="I4689" t="str">
            <v>sim</v>
          </cell>
          <cell r="V4689" t="str">
            <v>not neg pair</v>
          </cell>
          <cell r="W4689">
            <v>0</v>
          </cell>
          <cell r="X4689" t="str">
            <v>0</v>
          </cell>
        </row>
        <row r="4690">
          <cell r="I4690" t="str">
            <v>sim</v>
          </cell>
          <cell r="V4690" t="str">
            <v>not neg pair</v>
          </cell>
          <cell r="W4690">
            <v>0</v>
          </cell>
          <cell r="X4690" t="str">
            <v>0</v>
          </cell>
        </row>
        <row r="4691">
          <cell r="I4691" t="str">
            <v>sim</v>
          </cell>
          <cell r="V4691" t="str">
            <v>not neg pair</v>
          </cell>
          <cell r="W4691">
            <v>0</v>
          </cell>
          <cell r="X4691" t="str">
            <v>0</v>
          </cell>
        </row>
        <row r="4692">
          <cell r="I4692" t="str">
            <v>sim</v>
          </cell>
          <cell r="V4692" t="str">
            <v>not neg pair</v>
          </cell>
          <cell r="W4692">
            <v>0</v>
          </cell>
          <cell r="X4692" t="str">
            <v>0</v>
          </cell>
        </row>
        <row r="4693">
          <cell r="I4693" t="str">
            <v>sim</v>
          </cell>
          <cell r="V4693" t="str">
            <v>not neg pair</v>
          </cell>
          <cell r="W4693">
            <v>0</v>
          </cell>
          <cell r="X4693" t="str">
            <v>0</v>
          </cell>
        </row>
        <row r="4694">
          <cell r="I4694" t="str">
            <v>sim</v>
          </cell>
          <cell r="V4694" t="str">
            <v>not neg pair</v>
          </cell>
          <cell r="W4694">
            <v>0</v>
          </cell>
          <cell r="X4694" t="str">
            <v>0</v>
          </cell>
        </row>
        <row r="4695">
          <cell r="I4695" t="str">
            <v>sim</v>
          </cell>
          <cell r="V4695" t="str">
            <v>not neg pair</v>
          </cell>
          <cell r="W4695">
            <v>0</v>
          </cell>
          <cell r="X4695" t="str">
            <v>0</v>
          </cell>
        </row>
        <row r="4696">
          <cell r="I4696" t="str">
            <v>sim</v>
          </cell>
          <cell r="V4696" t="str">
            <v>not</v>
          </cell>
          <cell r="W4696">
            <v>1</v>
          </cell>
          <cell r="X4696" t="str">
            <v>neg</v>
          </cell>
        </row>
        <row r="4697">
          <cell r="I4697" t="str">
            <v>sim</v>
          </cell>
          <cell r="V4697" t="str">
            <v>not</v>
          </cell>
          <cell r="W4697">
            <v>1</v>
          </cell>
          <cell r="X4697" t="str">
            <v>intens</v>
          </cell>
        </row>
        <row r="4698">
          <cell r="I4698" t="str">
            <v>sim</v>
          </cell>
          <cell r="V4698" t="str">
            <v>not neg pair</v>
          </cell>
          <cell r="W4698">
            <v>0</v>
          </cell>
          <cell r="X4698" t="str">
            <v>0</v>
          </cell>
        </row>
        <row r="4699">
          <cell r="I4699" t="str">
            <v>sim</v>
          </cell>
          <cell r="V4699" t="str">
            <v>not neg pair</v>
          </cell>
          <cell r="W4699">
            <v>0</v>
          </cell>
          <cell r="X4699" t="str">
            <v>0</v>
          </cell>
        </row>
        <row r="4700">
          <cell r="I4700" t="str">
            <v>sim</v>
          </cell>
          <cell r="V4700" t="str">
            <v>antonym</v>
          </cell>
          <cell r="W4700">
            <v>1</v>
          </cell>
          <cell r="X4700" t="str">
            <v>intens</v>
          </cell>
        </row>
        <row r="4701">
          <cell r="I4701" t="str">
            <v>sim</v>
          </cell>
          <cell r="V4701" t="str">
            <v>antonym</v>
          </cell>
          <cell r="W4701">
            <v>1</v>
          </cell>
          <cell r="X4701" t="str">
            <v>neg</v>
          </cell>
        </row>
        <row r="4702">
          <cell r="I4702" t="str">
            <v>met</v>
          </cell>
          <cell r="V4702" t="str">
            <v>0</v>
          </cell>
          <cell r="W4702">
            <v>0</v>
          </cell>
          <cell r="X4702" t="str">
            <v>0</v>
          </cell>
        </row>
        <row r="4703">
          <cell r="I4703" t="str">
            <v>met</v>
          </cell>
          <cell r="V4703" t="str">
            <v>0</v>
          </cell>
          <cell r="W4703">
            <v>0</v>
          </cell>
          <cell r="X4703" t="str">
            <v>0</v>
          </cell>
        </row>
        <row r="4704">
          <cell r="I4704" t="str">
            <v>sim</v>
          </cell>
          <cell r="V4704" t="str">
            <v>not neg pair</v>
          </cell>
          <cell r="W4704">
            <v>0</v>
          </cell>
          <cell r="X4704" t="str">
            <v>0</v>
          </cell>
        </row>
        <row r="4705">
          <cell r="I4705" t="str">
            <v>sim</v>
          </cell>
          <cell r="V4705" t="str">
            <v>not neg pair</v>
          </cell>
          <cell r="W4705">
            <v>0</v>
          </cell>
          <cell r="X4705" t="str">
            <v>0</v>
          </cell>
        </row>
        <row r="4706">
          <cell r="I4706" t="str">
            <v>sim</v>
          </cell>
          <cell r="V4706" t="str">
            <v>not</v>
          </cell>
          <cell r="W4706">
            <v>1</v>
          </cell>
          <cell r="X4706" t="str">
            <v>intens</v>
          </cell>
        </row>
        <row r="4707">
          <cell r="I4707" t="str">
            <v>sim</v>
          </cell>
          <cell r="V4707" t="str">
            <v>not</v>
          </cell>
          <cell r="W4707">
            <v>1</v>
          </cell>
          <cell r="X4707" t="str">
            <v>neg</v>
          </cell>
        </row>
        <row r="4708">
          <cell r="I4708" t="str">
            <v>sim</v>
          </cell>
          <cell r="V4708" t="str">
            <v>antonym</v>
          </cell>
          <cell r="W4708">
            <v>1</v>
          </cell>
          <cell r="X4708" t="str">
            <v>intens</v>
          </cell>
        </row>
        <row r="4709">
          <cell r="I4709" t="str">
            <v>sim</v>
          </cell>
          <cell r="V4709" t="str">
            <v>antonym</v>
          </cell>
          <cell r="W4709">
            <v>1</v>
          </cell>
          <cell r="X4709" t="str">
            <v>neg</v>
          </cell>
        </row>
        <row r="4710">
          <cell r="I4710" t="str">
            <v>sim</v>
          </cell>
          <cell r="V4710" t="str">
            <v>antonym</v>
          </cell>
          <cell r="W4710">
            <v>1</v>
          </cell>
          <cell r="X4710" t="str">
            <v>intens</v>
          </cell>
        </row>
        <row r="4711">
          <cell r="I4711" t="str">
            <v>sim</v>
          </cell>
          <cell r="V4711" t="str">
            <v>antonym</v>
          </cell>
          <cell r="W4711">
            <v>1</v>
          </cell>
          <cell r="X4711" t="str">
            <v>neg</v>
          </cell>
        </row>
        <row r="4712">
          <cell r="I4712" t="str">
            <v>sim</v>
          </cell>
          <cell r="V4712" t="str">
            <v>antonym</v>
          </cell>
          <cell r="W4712">
            <v>1</v>
          </cell>
          <cell r="X4712" t="str">
            <v>intens</v>
          </cell>
        </row>
        <row r="4713">
          <cell r="I4713" t="str">
            <v>sim</v>
          </cell>
          <cell r="V4713" t="str">
            <v>antonym</v>
          </cell>
          <cell r="W4713">
            <v>1</v>
          </cell>
          <cell r="X4713" t="str">
            <v>neg</v>
          </cell>
        </row>
        <row r="4714">
          <cell r="I4714" t="str">
            <v>sim</v>
          </cell>
          <cell r="V4714" t="str">
            <v>antonym</v>
          </cell>
          <cell r="W4714">
            <v>1</v>
          </cell>
          <cell r="X4714" t="str">
            <v>intens</v>
          </cell>
        </row>
        <row r="4715">
          <cell r="I4715" t="str">
            <v>sim</v>
          </cell>
          <cell r="V4715" t="str">
            <v>antonym</v>
          </cell>
          <cell r="W4715">
            <v>1</v>
          </cell>
          <cell r="X4715" t="str">
            <v>neg</v>
          </cell>
        </row>
        <row r="4716">
          <cell r="I4716" t="str">
            <v>sim</v>
          </cell>
          <cell r="V4716" t="str">
            <v>not</v>
          </cell>
          <cell r="W4716">
            <v>1</v>
          </cell>
          <cell r="X4716" t="str">
            <v>intens</v>
          </cell>
        </row>
        <row r="4717">
          <cell r="I4717" t="str">
            <v>sim</v>
          </cell>
          <cell r="V4717" t="str">
            <v>not</v>
          </cell>
          <cell r="W4717">
            <v>1</v>
          </cell>
          <cell r="X4717" t="str">
            <v>neg</v>
          </cell>
        </row>
        <row r="4718">
          <cell r="I4718" t="str">
            <v>sim</v>
          </cell>
          <cell r="V4718" t="str">
            <v>antonym</v>
          </cell>
          <cell r="W4718">
            <v>1</v>
          </cell>
          <cell r="X4718" t="str">
            <v>intens</v>
          </cell>
        </row>
        <row r="4719">
          <cell r="I4719" t="str">
            <v>sim</v>
          </cell>
          <cell r="V4719" t="str">
            <v>antonym</v>
          </cell>
          <cell r="W4719">
            <v>1</v>
          </cell>
          <cell r="X4719" t="str">
            <v>neg</v>
          </cell>
        </row>
        <row r="4720">
          <cell r="I4720" t="str">
            <v>sim</v>
          </cell>
          <cell r="V4720" t="str">
            <v>not neg pair</v>
          </cell>
          <cell r="W4720">
            <v>0</v>
          </cell>
          <cell r="X4720" t="str">
            <v>0</v>
          </cell>
        </row>
        <row r="4721">
          <cell r="I4721" t="str">
            <v>sim</v>
          </cell>
          <cell r="V4721" t="str">
            <v>not neg pair</v>
          </cell>
          <cell r="W4721">
            <v>0</v>
          </cell>
          <cell r="X4721" t="str">
            <v>0</v>
          </cell>
        </row>
        <row r="4722">
          <cell r="I4722" t="str">
            <v>met</v>
          </cell>
          <cell r="V4722" t="str">
            <v>0</v>
          </cell>
          <cell r="W4722">
            <v>0</v>
          </cell>
          <cell r="X4722" t="str">
            <v>0</v>
          </cell>
        </row>
        <row r="4723">
          <cell r="I4723" t="str">
            <v>met</v>
          </cell>
          <cell r="V4723" t="str">
            <v>0</v>
          </cell>
          <cell r="W4723">
            <v>0</v>
          </cell>
          <cell r="X4723" t="str">
            <v>0</v>
          </cell>
        </row>
        <row r="4724">
          <cell r="I4724" t="str">
            <v>met</v>
          </cell>
          <cell r="V4724" t="str">
            <v>0</v>
          </cell>
          <cell r="W4724">
            <v>0</v>
          </cell>
          <cell r="X4724" t="str">
            <v>0</v>
          </cell>
        </row>
        <row r="4725">
          <cell r="I4725" t="str">
            <v>met</v>
          </cell>
          <cell r="V4725" t="str">
            <v>0</v>
          </cell>
          <cell r="W4725">
            <v>0</v>
          </cell>
          <cell r="X4725" t="str">
            <v>0</v>
          </cell>
        </row>
        <row r="4726">
          <cell r="I4726" t="str">
            <v>met</v>
          </cell>
          <cell r="V4726" t="str">
            <v>0</v>
          </cell>
          <cell r="W4726">
            <v>0</v>
          </cell>
          <cell r="X4726" t="str">
            <v>0</v>
          </cell>
        </row>
        <row r="4727">
          <cell r="I4727" t="str">
            <v>met</v>
          </cell>
          <cell r="V4727" t="str">
            <v>0</v>
          </cell>
          <cell r="W4727">
            <v>0</v>
          </cell>
          <cell r="X4727" t="str">
            <v>0</v>
          </cell>
        </row>
        <row r="4728">
          <cell r="I4728" t="str">
            <v>sim</v>
          </cell>
          <cell r="V4728" t="str">
            <v>not neg pair</v>
          </cell>
          <cell r="W4728">
            <v>0</v>
          </cell>
          <cell r="X4728" t="str">
            <v>0</v>
          </cell>
        </row>
        <row r="4729">
          <cell r="I4729" t="str">
            <v>sim</v>
          </cell>
          <cell r="V4729" t="str">
            <v>not neg pair</v>
          </cell>
          <cell r="W4729">
            <v>0</v>
          </cell>
          <cell r="X4729" t="str">
            <v>0</v>
          </cell>
        </row>
        <row r="4730">
          <cell r="I4730" t="str">
            <v>sim</v>
          </cell>
          <cell r="V4730" t="str">
            <v>not neg pair</v>
          </cell>
          <cell r="W4730">
            <v>0</v>
          </cell>
          <cell r="X4730" t="str">
            <v>0</v>
          </cell>
        </row>
        <row r="4731">
          <cell r="I4731" t="str">
            <v>sim</v>
          </cell>
          <cell r="V4731" t="str">
            <v>not neg pair</v>
          </cell>
          <cell r="W4731">
            <v>0</v>
          </cell>
          <cell r="X4731" t="str">
            <v>0</v>
          </cell>
        </row>
        <row r="4732">
          <cell r="I4732" t="str">
            <v>sim</v>
          </cell>
          <cell r="V4732" t="str">
            <v>not neg pair</v>
          </cell>
          <cell r="W4732">
            <v>0</v>
          </cell>
          <cell r="X4732" t="str">
            <v>0</v>
          </cell>
        </row>
        <row r="4733">
          <cell r="I4733" t="str">
            <v>sim</v>
          </cell>
          <cell r="V4733" t="str">
            <v>not neg pair</v>
          </cell>
          <cell r="W4733">
            <v>0</v>
          </cell>
          <cell r="X4733" t="str">
            <v>0</v>
          </cell>
        </row>
        <row r="4734">
          <cell r="I4734" t="str">
            <v>sim</v>
          </cell>
          <cell r="V4734" t="str">
            <v>not neg pair</v>
          </cell>
          <cell r="W4734">
            <v>0</v>
          </cell>
          <cell r="X4734" t="str">
            <v>0</v>
          </cell>
        </row>
        <row r="4735">
          <cell r="I4735" t="str">
            <v>sim</v>
          </cell>
          <cell r="V4735" t="str">
            <v>not neg pair</v>
          </cell>
          <cell r="W4735">
            <v>0</v>
          </cell>
          <cell r="X4735" t="str">
            <v>0</v>
          </cell>
        </row>
        <row r="4736">
          <cell r="I4736" t="str">
            <v>sim</v>
          </cell>
          <cell r="V4736" t="str">
            <v>not neg pair</v>
          </cell>
          <cell r="W4736">
            <v>0</v>
          </cell>
          <cell r="X4736" t="str">
            <v>0</v>
          </cell>
        </row>
        <row r="4737">
          <cell r="I4737" t="str">
            <v>sim</v>
          </cell>
          <cell r="V4737" t="str">
            <v>not neg pair</v>
          </cell>
          <cell r="W4737">
            <v>0</v>
          </cell>
          <cell r="X4737" t="str">
            <v>0</v>
          </cell>
        </row>
        <row r="4738">
          <cell r="I4738" t="str">
            <v>sim</v>
          </cell>
          <cell r="V4738" t="str">
            <v>not neg pair</v>
          </cell>
          <cell r="W4738">
            <v>0</v>
          </cell>
          <cell r="X4738" t="str">
            <v>0</v>
          </cell>
        </row>
        <row r="4739">
          <cell r="I4739" t="str">
            <v>sim</v>
          </cell>
          <cell r="V4739" t="str">
            <v>not neg pair</v>
          </cell>
          <cell r="W4739">
            <v>0</v>
          </cell>
          <cell r="X4739" t="str">
            <v>0</v>
          </cell>
        </row>
        <row r="4740">
          <cell r="I4740" t="str">
            <v>sim</v>
          </cell>
          <cell r="V4740" t="str">
            <v>antonym</v>
          </cell>
          <cell r="W4740">
            <v>1</v>
          </cell>
          <cell r="X4740" t="str">
            <v>intens</v>
          </cell>
        </row>
        <row r="4741">
          <cell r="I4741" t="str">
            <v>sim</v>
          </cell>
          <cell r="V4741" t="str">
            <v>antonym</v>
          </cell>
          <cell r="W4741">
            <v>1</v>
          </cell>
          <cell r="X4741" t="str">
            <v>neg</v>
          </cell>
        </row>
        <row r="4742">
          <cell r="I4742" t="str">
            <v>sim</v>
          </cell>
          <cell r="V4742" t="str">
            <v>antonym</v>
          </cell>
          <cell r="W4742">
            <v>1</v>
          </cell>
          <cell r="X4742" t="str">
            <v>intens</v>
          </cell>
        </row>
        <row r="4743">
          <cell r="I4743" t="str">
            <v>sim</v>
          </cell>
          <cell r="V4743" t="str">
            <v>antonym</v>
          </cell>
          <cell r="W4743">
            <v>1</v>
          </cell>
          <cell r="X4743" t="str">
            <v>neg</v>
          </cell>
        </row>
        <row r="4744">
          <cell r="I4744" t="str">
            <v>sim</v>
          </cell>
          <cell r="V4744" t="str">
            <v>antonym</v>
          </cell>
          <cell r="W4744">
            <v>1</v>
          </cell>
          <cell r="X4744" t="str">
            <v>intens</v>
          </cell>
        </row>
        <row r="4745">
          <cell r="I4745" t="str">
            <v>sim</v>
          </cell>
          <cell r="V4745" t="str">
            <v>antonym</v>
          </cell>
          <cell r="W4745">
            <v>1</v>
          </cell>
          <cell r="X4745" t="str">
            <v>neg</v>
          </cell>
        </row>
        <row r="4746">
          <cell r="I4746" t="str">
            <v>met</v>
          </cell>
          <cell r="V4746" t="str">
            <v>0</v>
          </cell>
          <cell r="W4746">
            <v>0</v>
          </cell>
          <cell r="X4746" t="str">
            <v>0</v>
          </cell>
        </row>
        <row r="4747">
          <cell r="I4747" t="str">
            <v>met</v>
          </cell>
          <cell r="V4747" t="str">
            <v>0</v>
          </cell>
          <cell r="W4747">
            <v>0</v>
          </cell>
          <cell r="X4747" t="str">
            <v>0</v>
          </cell>
        </row>
        <row r="4748">
          <cell r="I4748" t="str">
            <v>met</v>
          </cell>
          <cell r="V4748" t="str">
            <v>0</v>
          </cell>
          <cell r="W4748">
            <v>0</v>
          </cell>
          <cell r="X4748" t="str">
            <v>0</v>
          </cell>
        </row>
        <row r="4749">
          <cell r="I4749" t="str">
            <v>met</v>
          </cell>
          <cell r="V4749" t="str">
            <v>0</v>
          </cell>
          <cell r="W4749">
            <v>0</v>
          </cell>
          <cell r="X4749" t="str">
            <v>0</v>
          </cell>
        </row>
        <row r="4750">
          <cell r="I4750" t="str">
            <v>met</v>
          </cell>
          <cell r="V4750" t="str">
            <v>0</v>
          </cell>
          <cell r="W4750">
            <v>0</v>
          </cell>
          <cell r="X4750" t="str">
            <v>0</v>
          </cell>
        </row>
        <row r="4751">
          <cell r="I4751" t="str">
            <v>met</v>
          </cell>
          <cell r="V4751" t="str">
            <v>0</v>
          </cell>
          <cell r="W4751">
            <v>0</v>
          </cell>
          <cell r="X4751" t="str">
            <v>0</v>
          </cell>
        </row>
        <row r="4752">
          <cell r="I4752" t="str">
            <v>sim</v>
          </cell>
          <cell r="V4752" t="str">
            <v>not neg pair</v>
          </cell>
          <cell r="W4752">
            <v>0</v>
          </cell>
          <cell r="X4752" t="str">
            <v>0</v>
          </cell>
        </row>
        <row r="4753">
          <cell r="I4753" t="str">
            <v>sim</v>
          </cell>
          <cell r="V4753" t="str">
            <v>not neg pair</v>
          </cell>
          <cell r="W4753">
            <v>0</v>
          </cell>
          <cell r="X4753" t="str">
            <v>0</v>
          </cell>
        </row>
        <row r="4754">
          <cell r="I4754" t="str">
            <v>sim</v>
          </cell>
          <cell r="V4754" t="str">
            <v>not neg pair</v>
          </cell>
          <cell r="W4754">
            <v>0</v>
          </cell>
          <cell r="X4754" t="str">
            <v>0</v>
          </cell>
        </row>
        <row r="4755">
          <cell r="I4755" t="str">
            <v>sim</v>
          </cell>
          <cell r="V4755" t="str">
            <v>not neg pair</v>
          </cell>
          <cell r="W4755">
            <v>0</v>
          </cell>
          <cell r="X4755" t="str">
            <v>0</v>
          </cell>
        </row>
        <row r="4756">
          <cell r="I4756" t="str">
            <v>sim</v>
          </cell>
          <cell r="V4756" t="str">
            <v>not neg pair</v>
          </cell>
          <cell r="W4756">
            <v>0</v>
          </cell>
          <cell r="X4756" t="str">
            <v>0</v>
          </cell>
        </row>
        <row r="4757">
          <cell r="I4757" t="str">
            <v>sim</v>
          </cell>
          <cell r="V4757" t="str">
            <v>not neg pair</v>
          </cell>
          <cell r="W4757">
            <v>0</v>
          </cell>
          <cell r="X4757" t="str">
            <v>0</v>
          </cell>
        </row>
        <row r="4758">
          <cell r="I4758" t="str">
            <v>met</v>
          </cell>
          <cell r="V4758" t="str">
            <v>0</v>
          </cell>
          <cell r="W4758">
            <v>0</v>
          </cell>
          <cell r="X4758" t="str">
            <v>0</v>
          </cell>
        </row>
        <row r="4759">
          <cell r="I4759" t="str">
            <v>met</v>
          </cell>
          <cell r="V4759" t="str">
            <v>0</v>
          </cell>
          <cell r="W4759">
            <v>0</v>
          </cell>
          <cell r="X4759" t="str">
            <v>0</v>
          </cell>
        </row>
        <row r="4760">
          <cell r="I4760" t="str">
            <v>met</v>
          </cell>
          <cell r="V4760" t="str">
            <v>0</v>
          </cell>
          <cell r="W4760">
            <v>0</v>
          </cell>
          <cell r="X4760" t="str">
            <v>0</v>
          </cell>
        </row>
        <row r="4761">
          <cell r="I4761" t="str">
            <v>met</v>
          </cell>
          <cell r="V4761" t="str">
            <v>0</v>
          </cell>
          <cell r="W4761">
            <v>0</v>
          </cell>
          <cell r="X4761" t="str">
            <v>0</v>
          </cell>
        </row>
        <row r="4762">
          <cell r="I4762" t="str">
            <v>met</v>
          </cell>
          <cell r="V4762" t="str">
            <v>0</v>
          </cell>
          <cell r="W4762">
            <v>0</v>
          </cell>
          <cell r="X4762" t="str">
            <v>0</v>
          </cell>
        </row>
        <row r="4763">
          <cell r="I4763" t="str">
            <v>met</v>
          </cell>
          <cell r="V4763" t="str">
            <v>0</v>
          </cell>
          <cell r="W4763">
            <v>0</v>
          </cell>
          <cell r="X4763" t="str">
            <v>0</v>
          </cell>
        </row>
        <row r="4764">
          <cell r="I4764" t="str">
            <v>sim</v>
          </cell>
          <cell r="V4764" t="str">
            <v>not</v>
          </cell>
          <cell r="W4764">
            <v>1</v>
          </cell>
          <cell r="X4764" t="str">
            <v>intens</v>
          </cell>
        </row>
        <row r="4765">
          <cell r="I4765" t="str">
            <v>sim</v>
          </cell>
          <cell r="V4765" t="str">
            <v>not</v>
          </cell>
          <cell r="W4765">
            <v>1</v>
          </cell>
          <cell r="X4765" t="str">
            <v>neg</v>
          </cell>
        </row>
        <row r="4766">
          <cell r="I4766" t="str">
            <v>sim</v>
          </cell>
          <cell r="V4766" t="str">
            <v>not neg pair</v>
          </cell>
          <cell r="W4766">
            <v>0</v>
          </cell>
          <cell r="X4766" t="str">
            <v>0</v>
          </cell>
        </row>
        <row r="4767">
          <cell r="I4767" t="str">
            <v>sim</v>
          </cell>
          <cell r="V4767" t="str">
            <v>not neg pair</v>
          </cell>
          <cell r="W4767">
            <v>0</v>
          </cell>
          <cell r="X4767" t="str">
            <v>0</v>
          </cell>
        </row>
        <row r="4768">
          <cell r="I4768" t="str">
            <v>sim</v>
          </cell>
          <cell r="V4768" t="str">
            <v>not neg pair</v>
          </cell>
          <cell r="W4768">
            <v>0</v>
          </cell>
          <cell r="X4768" t="str">
            <v>0</v>
          </cell>
        </row>
        <row r="4769">
          <cell r="I4769" t="str">
            <v>sim</v>
          </cell>
          <cell r="V4769" t="str">
            <v>not neg pair</v>
          </cell>
          <cell r="W4769">
            <v>0</v>
          </cell>
          <cell r="X4769" t="str">
            <v>0</v>
          </cell>
        </row>
        <row r="4770">
          <cell r="I4770" t="str">
            <v>sim</v>
          </cell>
          <cell r="V4770" t="str">
            <v>not neg pair</v>
          </cell>
          <cell r="W4770">
            <v>0</v>
          </cell>
          <cell r="X4770" t="str">
            <v>0</v>
          </cell>
        </row>
        <row r="4771">
          <cell r="I4771" t="str">
            <v>sim</v>
          </cell>
          <cell r="V4771" t="str">
            <v>not neg pair</v>
          </cell>
          <cell r="W4771">
            <v>0</v>
          </cell>
          <cell r="X4771" t="str">
            <v>0</v>
          </cell>
        </row>
        <row r="4772">
          <cell r="I4772" t="str">
            <v>sim</v>
          </cell>
          <cell r="V4772" t="str">
            <v>not neg pair</v>
          </cell>
          <cell r="W4772">
            <v>0</v>
          </cell>
          <cell r="X4772" t="str">
            <v>0</v>
          </cell>
        </row>
        <row r="4773">
          <cell r="I4773" t="str">
            <v>sim</v>
          </cell>
          <cell r="V4773" t="str">
            <v>not neg pair</v>
          </cell>
          <cell r="W4773">
            <v>0</v>
          </cell>
          <cell r="X4773" t="str">
            <v>0</v>
          </cell>
        </row>
        <row r="4774">
          <cell r="I4774" t="str">
            <v>sim</v>
          </cell>
          <cell r="V4774" t="str">
            <v>not neg pair</v>
          </cell>
          <cell r="W4774">
            <v>0</v>
          </cell>
          <cell r="X4774" t="str">
            <v>0</v>
          </cell>
        </row>
        <row r="4775">
          <cell r="I4775" t="str">
            <v>sim</v>
          </cell>
          <cell r="V4775" t="str">
            <v>not neg pair</v>
          </cell>
          <cell r="W4775">
            <v>0</v>
          </cell>
          <cell r="X4775" t="str">
            <v>0</v>
          </cell>
        </row>
        <row r="4776">
          <cell r="I4776" t="str">
            <v>sim</v>
          </cell>
          <cell r="V4776" t="str">
            <v>antonym</v>
          </cell>
          <cell r="W4776">
            <v>1</v>
          </cell>
          <cell r="X4776" t="str">
            <v>intens</v>
          </cell>
        </row>
        <row r="4777">
          <cell r="I4777" t="str">
            <v>sim</v>
          </cell>
          <cell r="V4777" t="str">
            <v>antonym</v>
          </cell>
          <cell r="W4777">
            <v>1</v>
          </cell>
          <cell r="X4777" t="str">
            <v>neg</v>
          </cell>
        </row>
        <row r="4778">
          <cell r="I4778" t="str">
            <v>sim</v>
          </cell>
          <cell r="V4778" t="str">
            <v>not neg pair</v>
          </cell>
          <cell r="W4778">
            <v>0</v>
          </cell>
          <cell r="X4778" t="str">
            <v>0</v>
          </cell>
        </row>
        <row r="4779">
          <cell r="I4779" t="str">
            <v>sim</v>
          </cell>
          <cell r="V4779" t="str">
            <v>not neg pair</v>
          </cell>
          <cell r="W4779">
            <v>0</v>
          </cell>
          <cell r="X4779" t="str">
            <v>0</v>
          </cell>
        </row>
        <row r="4780">
          <cell r="I4780" t="str">
            <v>sim</v>
          </cell>
          <cell r="V4780" t="str">
            <v>antonym</v>
          </cell>
          <cell r="W4780">
            <v>1</v>
          </cell>
          <cell r="X4780" t="str">
            <v>neg</v>
          </cell>
        </row>
        <row r="4781">
          <cell r="I4781" t="str">
            <v>sim</v>
          </cell>
          <cell r="V4781" t="str">
            <v>antonym</v>
          </cell>
          <cell r="W4781">
            <v>1</v>
          </cell>
          <cell r="X4781" t="str">
            <v>intens</v>
          </cell>
        </row>
        <row r="4782">
          <cell r="I4782" t="str">
            <v>sim</v>
          </cell>
          <cell r="V4782" t="str">
            <v>not</v>
          </cell>
          <cell r="W4782">
            <v>1</v>
          </cell>
          <cell r="X4782" t="str">
            <v>intens</v>
          </cell>
        </row>
        <row r="4783">
          <cell r="I4783" t="str">
            <v>sim</v>
          </cell>
          <cell r="V4783" t="str">
            <v>not</v>
          </cell>
          <cell r="W4783">
            <v>1</v>
          </cell>
          <cell r="X4783" t="str">
            <v>neg</v>
          </cell>
        </row>
        <row r="4784">
          <cell r="I4784" t="str">
            <v>sim</v>
          </cell>
          <cell r="V4784" t="str">
            <v>not neg pair</v>
          </cell>
          <cell r="W4784">
            <v>0</v>
          </cell>
          <cell r="X4784" t="str">
            <v>0</v>
          </cell>
        </row>
        <row r="4785">
          <cell r="I4785" t="str">
            <v>sim</v>
          </cell>
          <cell r="V4785" t="str">
            <v>not neg pair</v>
          </cell>
          <cell r="W4785">
            <v>0</v>
          </cell>
          <cell r="X4785" t="str">
            <v>0</v>
          </cell>
        </row>
        <row r="4786">
          <cell r="I4786" t="str">
            <v>sim</v>
          </cell>
          <cell r="V4786" t="str">
            <v>not</v>
          </cell>
          <cell r="W4786">
            <v>1</v>
          </cell>
          <cell r="X4786" t="str">
            <v>neg</v>
          </cell>
        </row>
        <row r="4787">
          <cell r="I4787" t="str">
            <v>sim</v>
          </cell>
          <cell r="V4787" t="str">
            <v>not</v>
          </cell>
          <cell r="W4787">
            <v>1</v>
          </cell>
          <cell r="X4787" t="str">
            <v>intens</v>
          </cell>
        </row>
        <row r="4788">
          <cell r="I4788" t="str">
            <v>sim</v>
          </cell>
          <cell r="V4788" t="str">
            <v>antonym</v>
          </cell>
          <cell r="W4788">
            <v>1</v>
          </cell>
          <cell r="X4788" t="str">
            <v>intens</v>
          </cell>
        </row>
        <row r="4789">
          <cell r="I4789" t="str">
            <v>sim</v>
          </cell>
          <cell r="V4789" t="str">
            <v>antonym</v>
          </cell>
          <cell r="W4789">
            <v>1</v>
          </cell>
          <cell r="X4789" t="str">
            <v>neg</v>
          </cell>
        </row>
        <row r="4790">
          <cell r="I4790" t="str">
            <v>sim</v>
          </cell>
          <cell r="V4790" t="str">
            <v>not</v>
          </cell>
          <cell r="W4790">
            <v>1</v>
          </cell>
          <cell r="X4790" t="str">
            <v>intens</v>
          </cell>
        </row>
        <row r="4791">
          <cell r="I4791" t="str">
            <v>sim</v>
          </cell>
          <cell r="V4791" t="str">
            <v>not</v>
          </cell>
          <cell r="W4791">
            <v>1</v>
          </cell>
          <cell r="X4791" t="str">
            <v>neg</v>
          </cell>
        </row>
        <row r="4792">
          <cell r="I4792" t="str">
            <v>met</v>
          </cell>
          <cell r="V4792" t="str">
            <v>0</v>
          </cell>
          <cell r="W4792">
            <v>0</v>
          </cell>
          <cell r="X4792" t="str">
            <v>0</v>
          </cell>
        </row>
        <row r="4793">
          <cell r="I4793" t="str">
            <v>met</v>
          </cell>
          <cell r="V4793" t="str">
            <v>0</v>
          </cell>
          <cell r="W4793">
            <v>0</v>
          </cell>
          <cell r="X4793" t="str">
            <v>0</v>
          </cell>
        </row>
        <row r="4794">
          <cell r="I4794" t="str">
            <v>met</v>
          </cell>
          <cell r="V4794" t="str">
            <v>0</v>
          </cell>
          <cell r="W4794">
            <v>0</v>
          </cell>
          <cell r="X4794" t="str">
            <v>0</v>
          </cell>
        </row>
        <row r="4795">
          <cell r="I4795" t="str">
            <v>met</v>
          </cell>
          <cell r="V4795" t="str">
            <v>0</v>
          </cell>
          <cell r="W4795">
            <v>0</v>
          </cell>
          <cell r="X4795" t="str">
            <v>0</v>
          </cell>
        </row>
        <row r="4796">
          <cell r="I4796" t="str">
            <v>met</v>
          </cell>
          <cell r="V4796" t="str">
            <v>0</v>
          </cell>
          <cell r="W4796">
            <v>0</v>
          </cell>
          <cell r="X4796" t="str">
            <v>0</v>
          </cell>
        </row>
        <row r="4797">
          <cell r="I4797" t="str">
            <v>met</v>
          </cell>
          <cell r="V4797" t="str">
            <v>0</v>
          </cell>
          <cell r="W4797">
            <v>0</v>
          </cell>
          <cell r="X4797" t="str">
            <v>0</v>
          </cell>
        </row>
        <row r="4798">
          <cell r="I4798" t="str">
            <v>sim</v>
          </cell>
          <cell r="V4798" t="str">
            <v>not neg pair</v>
          </cell>
          <cell r="W4798">
            <v>0</v>
          </cell>
          <cell r="X4798" t="str">
            <v>0</v>
          </cell>
        </row>
        <row r="4799">
          <cell r="I4799" t="str">
            <v>sim</v>
          </cell>
          <cell r="V4799" t="str">
            <v>not neg pair</v>
          </cell>
          <cell r="W4799">
            <v>0</v>
          </cell>
          <cell r="X4799" t="str">
            <v>0</v>
          </cell>
        </row>
        <row r="4800">
          <cell r="I4800" t="str">
            <v>sim</v>
          </cell>
          <cell r="V4800" t="str">
            <v>not neg pair</v>
          </cell>
          <cell r="W4800">
            <v>0</v>
          </cell>
          <cell r="X4800" t="str">
            <v>0</v>
          </cell>
        </row>
        <row r="4801">
          <cell r="I4801" t="str">
            <v>sim</v>
          </cell>
          <cell r="V4801" t="str">
            <v>not neg pair</v>
          </cell>
          <cell r="W4801">
            <v>0</v>
          </cell>
          <cell r="X4801" t="str">
            <v>0</v>
          </cell>
        </row>
        <row r="4802">
          <cell r="I4802" t="str">
            <v>sim</v>
          </cell>
          <cell r="V4802" t="str">
            <v>antonym</v>
          </cell>
          <cell r="W4802">
            <v>1</v>
          </cell>
          <cell r="X4802" t="str">
            <v>neg</v>
          </cell>
        </row>
        <row r="4803">
          <cell r="I4803" t="str">
            <v>sim</v>
          </cell>
          <cell r="V4803" t="str">
            <v>antonym</v>
          </cell>
          <cell r="W4803">
            <v>1</v>
          </cell>
          <cell r="X4803" t="str">
            <v>intens</v>
          </cell>
        </row>
        <row r="4804">
          <cell r="I4804" t="str">
            <v>sim</v>
          </cell>
          <cell r="V4804" t="str">
            <v>not</v>
          </cell>
          <cell r="W4804">
            <v>1</v>
          </cell>
          <cell r="X4804" t="str">
            <v>intens</v>
          </cell>
        </row>
        <row r="4805">
          <cell r="I4805" t="str">
            <v>sim</v>
          </cell>
          <cell r="V4805" t="str">
            <v>not</v>
          </cell>
          <cell r="W4805">
            <v>1</v>
          </cell>
          <cell r="X4805" t="str">
            <v>neg</v>
          </cell>
        </row>
        <row r="4806">
          <cell r="I4806" t="str">
            <v>met</v>
          </cell>
          <cell r="V4806" t="str">
            <v>0</v>
          </cell>
          <cell r="W4806">
            <v>0</v>
          </cell>
          <cell r="X4806" t="str">
            <v>0</v>
          </cell>
        </row>
        <row r="4807">
          <cell r="I4807" t="str">
            <v>met</v>
          </cell>
          <cell r="V4807" t="str">
            <v>0</v>
          </cell>
          <cell r="W4807">
            <v>0</v>
          </cell>
          <cell r="X4807" t="str">
            <v>0</v>
          </cell>
        </row>
        <row r="4808">
          <cell r="I4808" t="str">
            <v>sim</v>
          </cell>
          <cell r="V4808" t="str">
            <v>not neg pair</v>
          </cell>
          <cell r="W4808">
            <v>0</v>
          </cell>
          <cell r="X4808" t="str">
            <v>0</v>
          </cell>
        </row>
        <row r="4809">
          <cell r="I4809" t="str">
            <v>sim</v>
          </cell>
          <cell r="V4809" t="str">
            <v>not neg pair</v>
          </cell>
          <cell r="W4809">
            <v>0</v>
          </cell>
          <cell r="X4809" t="str">
            <v>0</v>
          </cell>
        </row>
        <row r="4810">
          <cell r="I4810" t="str">
            <v>met</v>
          </cell>
          <cell r="V4810" t="str">
            <v>0</v>
          </cell>
          <cell r="W4810">
            <v>0</v>
          </cell>
          <cell r="X4810" t="str">
            <v>0</v>
          </cell>
        </row>
        <row r="4811">
          <cell r="I4811" t="str">
            <v>met</v>
          </cell>
          <cell r="V4811" t="str">
            <v>0</v>
          </cell>
          <cell r="W4811">
            <v>0</v>
          </cell>
          <cell r="X4811" t="str">
            <v>0</v>
          </cell>
        </row>
        <row r="4812">
          <cell r="I4812" t="str">
            <v>met</v>
          </cell>
          <cell r="V4812" t="str">
            <v>0</v>
          </cell>
          <cell r="W4812">
            <v>0</v>
          </cell>
          <cell r="X4812" t="str">
            <v>0</v>
          </cell>
        </row>
        <row r="4813">
          <cell r="I4813" t="str">
            <v>met</v>
          </cell>
          <cell r="V4813" t="str">
            <v>0</v>
          </cell>
          <cell r="W4813">
            <v>0</v>
          </cell>
          <cell r="X4813" t="str">
            <v>0</v>
          </cell>
        </row>
        <row r="4814">
          <cell r="I4814" t="str">
            <v>met</v>
          </cell>
          <cell r="V4814" t="str">
            <v>0</v>
          </cell>
          <cell r="W4814">
            <v>0</v>
          </cell>
          <cell r="X4814" t="str">
            <v>0</v>
          </cell>
        </row>
        <row r="4815">
          <cell r="I4815" t="str">
            <v>met</v>
          </cell>
          <cell r="V4815" t="str">
            <v>0</v>
          </cell>
          <cell r="W4815">
            <v>0</v>
          </cell>
          <cell r="X4815" t="str">
            <v>0</v>
          </cell>
        </row>
        <row r="4816">
          <cell r="I4816" t="str">
            <v>sim</v>
          </cell>
          <cell r="V4816" t="str">
            <v>not neg pair</v>
          </cell>
          <cell r="W4816">
            <v>0</v>
          </cell>
          <cell r="X4816" t="str">
            <v>0</v>
          </cell>
        </row>
        <row r="4817">
          <cell r="I4817" t="str">
            <v>sim</v>
          </cell>
          <cell r="V4817" t="str">
            <v>not neg pair</v>
          </cell>
          <cell r="W4817">
            <v>0</v>
          </cell>
          <cell r="X4817" t="str">
            <v>0</v>
          </cell>
        </row>
        <row r="4818">
          <cell r="I4818" t="str">
            <v>sim</v>
          </cell>
          <cell r="V4818" t="str">
            <v>not</v>
          </cell>
          <cell r="W4818">
            <v>1</v>
          </cell>
          <cell r="X4818" t="str">
            <v>intens</v>
          </cell>
        </row>
        <row r="4819">
          <cell r="I4819" t="str">
            <v>sim</v>
          </cell>
          <cell r="V4819" t="str">
            <v>not</v>
          </cell>
          <cell r="W4819">
            <v>1</v>
          </cell>
          <cell r="X4819" t="str">
            <v>neg</v>
          </cell>
        </row>
        <row r="4820">
          <cell r="I4820" t="str">
            <v>sim</v>
          </cell>
          <cell r="V4820" t="str">
            <v>not</v>
          </cell>
          <cell r="W4820">
            <v>1</v>
          </cell>
          <cell r="X4820" t="str">
            <v>intens</v>
          </cell>
        </row>
        <row r="4821">
          <cell r="I4821" t="str">
            <v>sim</v>
          </cell>
          <cell r="V4821" t="str">
            <v>not</v>
          </cell>
          <cell r="W4821">
            <v>1</v>
          </cell>
          <cell r="X4821" t="str">
            <v>neg</v>
          </cell>
        </row>
        <row r="4822">
          <cell r="I4822" t="str">
            <v>met</v>
          </cell>
          <cell r="V4822" t="str">
            <v>0</v>
          </cell>
          <cell r="W4822">
            <v>0</v>
          </cell>
          <cell r="X4822" t="str">
            <v>0</v>
          </cell>
        </row>
        <row r="4823">
          <cell r="I4823" t="str">
            <v>met</v>
          </cell>
          <cell r="V4823" t="str">
            <v>0</v>
          </cell>
          <cell r="W4823">
            <v>0</v>
          </cell>
          <cell r="X4823" t="str">
            <v>0</v>
          </cell>
        </row>
        <row r="4824">
          <cell r="I4824" t="str">
            <v>met</v>
          </cell>
          <cell r="V4824" t="str">
            <v>0</v>
          </cell>
          <cell r="W4824">
            <v>0</v>
          </cell>
          <cell r="X4824" t="str">
            <v>0</v>
          </cell>
        </row>
        <row r="4825">
          <cell r="I4825" t="str">
            <v>met</v>
          </cell>
          <cell r="V4825" t="str">
            <v>0</v>
          </cell>
          <cell r="W4825">
            <v>0</v>
          </cell>
          <cell r="X4825" t="str">
            <v>0</v>
          </cell>
        </row>
        <row r="4826">
          <cell r="I4826" t="str">
            <v>met</v>
          </cell>
          <cell r="V4826" t="str">
            <v>0</v>
          </cell>
          <cell r="W4826">
            <v>0</v>
          </cell>
          <cell r="X4826" t="str">
            <v>0</v>
          </cell>
        </row>
        <row r="4827">
          <cell r="I4827" t="str">
            <v>met</v>
          </cell>
          <cell r="V4827" t="str">
            <v>0</v>
          </cell>
          <cell r="W4827">
            <v>0</v>
          </cell>
          <cell r="X4827" t="str">
            <v>0</v>
          </cell>
        </row>
        <row r="4828">
          <cell r="I4828" t="str">
            <v>met</v>
          </cell>
          <cell r="V4828" t="str">
            <v>0</v>
          </cell>
          <cell r="W4828">
            <v>0</v>
          </cell>
          <cell r="X4828" t="str">
            <v>0</v>
          </cell>
        </row>
        <row r="4829">
          <cell r="I4829" t="str">
            <v>met</v>
          </cell>
          <cell r="V4829" t="str">
            <v>0</v>
          </cell>
          <cell r="W4829">
            <v>0</v>
          </cell>
          <cell r="X4829" t="str">
            <v>0</v>
          </cell>
        </row>
        <row r="4830">
          <cell r="I4830" t="str">
            <v>sim</v>
          </cell>
          <cell r="V4830" t="str">
            <v>not neg pair</v>
          </cell>
          <cell r="W4830">
            <v>0</v>
          </cell>
          <cell r="X4830" t="str">
            <v>0</v>
          </cell>
        </row>
        <row r="4831">
          <cell r="I4831" t="str">
            <v>sim</v>
          </cell>
          <cell r="V4831" t="str">
            <v>not neg pair</v>
          </cell>
          <cell r="W4831">
            <v>0</v>
          </cell>
          <cell r="X4831" t="str">
            <v>0</v>
          </cell>
        </row>
        <row r="4832">
          <cell r="I4832" t="str">
            <v>sim</v>
          </cell>
          <cell r="V4832" t="str">
            <v>not neg pair</v>
          </cell>
          <cell r="W4832">
            <v>0</v>
          </cell>
          <cell r="X4832" t="str">
            <v>0</v>
          </cell>
        </row>
        <row r="4833">
          <cell r="I4833" t="str">
            <v>sim</v>
          </cell>
          <cell r="V4833" t="str">
            <v>not neg pair</v>
          </cell>
          <cell r="W4833">
            <v>0</v>
          </cell>
          <cell r="X4833" t="str">
            <v>0</v>
          </cell>
        </row>
        <row r="4834">
          <cell r="I4834" t="str">
            <v>sim</v>
          </cell>
          <cell r="V4834" t="str">
            <v>antonym</v>
          </cell>
          <cell r="W4834">
            <v>1</v>
          </cell>
          <cell r="X4834" t="str">
            <v>intens</v>
          </cell>
        </row>
        <row r="4835">
          <cell r="I4835" t="str">
            <v>sim</v>
          </cell>
          <cell r="V4835" t="str">
            <v>antonym</v>
          </cell>
          <cell r="W4835">
            <v>1</v>
          </cell>
          <cell r="X4835" t="str">
            <v>neg</v>
          </cell>
        </row>
        <row r="4836">
          <cell r="I4836" t="str">
            <v>met</v>
          </cell>
          <cell r="V4836" t="str">
            <v>0</v>
          </cell>
          <cell r="W4836">
            <v>0</v>
          </cell>
          <cell r="X4836" t="str">
            <v>0</v>
          </cell>
        </row>
        <row r="4837">
          <cell r="I4837" t="str">
            <v>met</v>
          </cell>
          <cell r="V4837" t="str">
            <v>0</v>
          </cell>
          <cell r="W4837">
            <v>0</v>
          </cell>
          <cell r="X4837" t="str">
            <v>0</v>
          </cell>
        </row>
        <row r="4838">
          <cell r="I4838" t="str">
            <v>met</v>
          </cell>
          <cell r="V4838" t="str">
            <v>0</v>
          </cell>
          <cell r="W4838">
            <v>0</v>
          </cell>
          <cell r="X4838" t="str">
            <v>0</v>
          </cell>
        </row>
        <row r="4839">
          <cell r="I4839" t="str">
            <v>met</v>
          </cell>
          <cell r="V4839" t="str">
            <v>0</v>
          </cell>
          <cell r="W4839">
            <v>0</v>
          </cell>
          <cell r="X4839" t="str">
            <v>0</v>
          </cell>
        </row>
        <row r="4840">
          <cell r="I4840" t="str">
            <v>sim</v>
          </cell>
          <cell r="V4840" t="str">
            <v>not neg pair</v>
          </cell>
          <cell r="W4840">
            <v>0</v>
          </cell>
          <cell r="X4840" t="str">
            <v>0</v>
          </cell>
        </row>
        <row r="4841">
          <cell r="I4841" t="str">
            <v>sim</v>
          </cell>
          <cell r="V4841" t="str">
            <v>not neg pair</v>
          </cell>
          <cell r="W4841">
            <v>0</v>
          </cell>
          <cell r="X4841" t="str">
            <v>0</v>
          </cell>
        </row>
        <row r="4842">
          <cell r="I4842" t="str">
            <v>sim</v>
          </cell>
          <cell r="V4842" t="str">
            <v>not neg pair</v>
          </cell>
          <cell r="W4842">
            <v>0</v>
          </cell>
          <cell r="X4842" t="str">
            <v>0</v>
          </cell>
        </row>
        <row r="4843">
          <cell r="I4843" t="str">
            <v>sim</v>
          </cell>
          <cell r="V4843" t="str">
            <v>not neg pair</v>
          </cell>
          <cell r="W4843">
            <v>0</v>
          </cell>
          <cell r="X4843" t="str">
            <v>0</v>
          </cell>
        </row>
        <row r="4844">
          <cell r="I4844" t="str">
            <v>sim</v>
          </cell>
          <cell r="V4844" t="str">
            <v>not neg pair</v>
          </cell>
          <cell r="W4844">
            <v>0</v>
          </cell>
          <cell r="X4844" t="str">
            <v>0</v>
          </cell>
        </row>
        <row r="4845">
          <cell r="I4845" t="str">
            <v>sim</v>
          </cell>
          <cell r="V4845" t="str">
            <v>not neg pair</v>
          </cell>
          <cell r="W4845">
            <v>0</v>
          </cell>
          <cell r="X4845" t="str">
            <v>0</v>
          </cell>
        </row>
        <row r="4846">
          <cell r="I4846" t="str">
            <v>sim</v>
          </cell>
          <cell r="V4846" t="str">
            <v>not neg pair</v>
          </cell>
          <cell r="W4846">
            <v>0</v>
          </cell>
          <cell r="X4846" t="str">
            <v>0</v>
          </cell>
        </row>
        <row r="4847">
          <cell r="I4847" t="str">
            <v>sim</v>
          </cell>
          <cell r="V4847" t="str">
            <v>not neg pair</v>
          </cell>
          <cell r="W4847">
            <v>0</v>
          </cell>
          <cell r="X4847" t="str">
            <v>0</v>
          </cell>
        </row>
        <row r="4848">
          <cell r="I4848" t="str">
            <v>sim</v>
          </cell>
          <cell r="V4848" t="str">
            <v>not neg pair</v>
          </cell>
          <cell r="W4848">
            <v>0</v>
          </cell>
          <cell r="X4848" t="str">
            <v>0</v>
          </cell>
        </row>
        <row r="4849">
          <cell r="I4849" t="str">
            <v>sim</v>
          </cell>
          <cell r="V4849" t="str">
            <v>not neg pair</v>
          </cell>
          <cell r="W4849">
            <v>0</v>
          </cell>
          <cell r="X4849" t="str">
            <v>0</v>
          </cell>
        </row>
        <row r="4850">
          <cell r="I4850" t="str">
            <v>met</v>
          </cell>
          <cell r="V4850" t="str">
            <v>0</v>
          </cell>
          <cell r="W4850">
            <v>0</v>
          </cell>
          <cell r="X4850" t="str">
            <v>0</v>
          </cell>
        </row>
        <row r="4851">
          <cell r="I4851" t="str">
            <v>met</v>
          </cell>
          <cell r="V4851" t="str">
            <v>0</v>
          </cell>
          <cell r="W4851">
            <v>0</v>
          </cell>
          <cell r="X4851" t="str">
            <v>0</v>
          </cell>
        </row>
        <row r="4852">
          <cell r="I4852" t="str">
            <v>met</v>
          </cell>
          <cell r="V4852" t="str">
            <v>0</v>
          </cell>
          <cell r="W4852">
            <v>0</v>
          </cell>
          <cell r="X4852" t="str">
            <v>0</v>
          </cell>
        </row>
        <row r="4853">
          <cell r="I4853" t="str">
            <v>met</v>
          </cell>
          <cell r="V4853" t="str">
            <v>0</v>
          </cell>
          <cell r="W4853">
            <v>0</v>
          </cell>
          <cell r="X4853" t="str">
            <v>0</v>
          </cell>
        </row>
        <row r="4854">
          <cell r="I4854" t="str">
            <v>met</v>
          </cell>
          <cell r="V4854" t="str">
            <v>0</v>
          </cell>
          <cell r="W4854">
            <v>0</v>
          </cell>
          <cell r="X4854" t="str">
            <v>0</v>
          </cell>
        </row>
        <row r="4855">
          <cell r="I4855" t="str">
            <v>met</v>
          </cell>
          <cell r="V4855" t="str">
            <v>0</v>
          </cell>
          <cell r="W4855">
            <v>0</v>
          </cell>
          <cell r="X4855" t="str">
            <v>0</v>
          </cell>
        </row>
        <row r="4856">
          <cell r="I4856" t="str">
            <v>sim</v>
          </cell>
          <cell r="V4856" t="str">
            <v>not neg pair</v>
          </cell>
          <cell r="W4856">
            <v>0</v>
          </cell>
          <cell r="X4856" t="str">
            <v>0</v>
          </cell>
        </row>
        <row r="4857">
          <cell r="I4857" t="str">
            <v>sim</v>
          </cell>
          <cell r="V4857" t="str">
            <v>not neg pair</v>
          </cell>
          <cell r="W4857">
            <v>0</v>
          </cell>
          <cell r="X4857" t="str">
            <v>0</v>
          </cell>
        </row>
        <row r="4858">
          <cell r="I4858" t="str">
            <v>sim</v>
          </cell>
          <cell r="V4858" t="str">
            <v>antonym</v>
          </cell>
          <cell r="W4858">
            <v>1</v>
          </cell>
          <cell r="X4858" t="str">
            <v>intens</v>
          </cell>
        </row>
        <row r="4859">
          <cell r="I4859" t="str">
            <v>sim</v>
          </cell>
          <cell r="V4859" t="str">
            <v>antonym</v>
          </cell>
          <cell r="W4859">
            <v>1</v>
          </cell>
          <cell r="X4859" t="str">
            <v>neg</v>
          </cell>
        </row>
        <row r="4860">
          <cell r="I4860" t="str">
            <v>sim</v>
          </cell>
          <cell r="V4860" t="str">
            <v>not</v>
          </cell>
          <cell r="W4860">
            <v>1</v>
          </cell>
          <cell r="X4860" t="str">
            <v>intens</v>
          </cell>
        </row>
        <row r="4861">
          <cell r="I4861" t="str">
            <v>sim</v>
          </cell>
          <cell r="V4861" t="str">
            <v>not</v>
          </cell>
          <cell r="W4861">
            <v>1</v>
          </cell>
          <cell r="X4861" t="str">
            <v>neg</v>
          </cell>
        </row>
        <row r="4862">
          <cell r="I4862" t="str">
            <v>sim</v>
          </cell>
          <cell r="V4862" t="str">
            <v>not</v>
          </cell>
          <cell r="W4862">
            <v>1</v>
          </cell>
          <cell r="X4862" t="str">
            <v>neg</v>
          </cell>
        </row>
        <row r="4863">
          <cell r="I4863" t="str">
            <v>sim</v>
          </cell>
          <cell r="V4863" t="str">
            <v>not</v>
          </cell>
          <cell r="W4863">
            <v>1</v>
          </cell>
          <cell r="X4863" t="str">
            <v>intens</v>
          </cell>
        </row>
        <row r="4864">
          <cell r="I4864" t="str">
            <v>sim</v>
          </cell>
          <cell r="V4864" t="str">
            <v>not</v>
          </cell>
          <cell r="W4864">
            <v>1</v>
          </cell>
          <cell r="X4864" t="str">
            <v>intens</v>
          </cell>
        </row>
        <row r="4865">
          <cell r="I4865" t="str">
            <v>sim</v>
          </cell>
          <cell r="V4865" t="str">
            <v>not</v>
          </cell>
          <cell r="W4865">
            <v>1</v>
          </cell>
          <cell r="X4865" t="str">
            <v>neg</v>
          </cell>
        </row>
        <row r="4866">
          <cell r="I4866" t="str">
            <v>sim</v>
          </cell>
          <cell r="V4866" t="str">
            <v>not</v>
          </cell>
          <cell r="W4866">
            <v>1</v>
          </cell>
          <cell r="X4866" t="str">
            <v>intens</v>
          </cell>
        </row>
        <row r="4867">
          <cell r="I4867" t="str">
            <v>sim</v>
          </cell>
          <cell r="V4867" t="str">
            <v>not</v>
          </cell>
          <cell r="W4867">
            <v>1</v>
          </cell>
          <cell r="X4867" t="str">
            <v>neg</v>
          </cell>
        </row>
        <row r="4868">
          <cell r="I4868" t="str">
            <v>sim</v>
          </cell>
          <cell r="V4868" t="str">
            <v>not</v>
          </cell>
          <cell r="W4868">
            <v>1</v>
          </cell>
          <cell r="X4868" t="str">
            <v>intens</v>
          </cell>
        </row>
        <row r="4869">
          <cell r="I4869" t="str">
            <v>sim</v>
          </cell>
          <cell r="V4869" t="str">
            <v>not</v>
          </cell>
          <cell r="W4869">
            <v>1</v>
          </cell>
          <cell r="X4869" t="str">
            <v>neg</v>
          </cell>
        </row>
        <row r="4870">
          <cell r="I4870" t="str">
            <v>met</v>
          </cell>
          <cell r="V4870" t="str">
            <v>0</v>
          </cell>
          <cell r="W4870">
            <v>0</v>
          </cell>
          <cell r="X4870" t="str">
            <v>0</v>
          </cell>
        </row>
        <row r="4871">
          <cell r="I4871" t="str">
            <v>met</v>
          </cell>
          <cell r="V4871" t="str">
            <v>0</v>
          </cell>
          <cell r="W4871">
            <v>0</v>
          </cell>
          <cell r="X4871" t="str">
            <v>0</v>
          </cell>
        </row>
        <row r="4872">
          <cell r="I4872" t="str">
            <v>sim</v>
          </cell>
          <cell r="V4872" t="str">
            <v>not neg pair</v>
          </cell>
          <cell r="W4872">
            <v>0</v>
          </cell>
          <cell r="X4872" t="str">
            <v>0</v>
          </cell>
        </row>
        <row r="4873">
          <cell r="I4873" t="str">
            <v>sim</v>
          </cell>
          <cell r="V4873" t="str">
            <v>not neg pair</v>
          </cell>
          <cell r="W4873">
            <v>0</v>
          </cell>
          <cell r="X4873" t="str">
            <v>0</v>
          </cell>
        </row>
        <row r="4874">
          <cell r="I4874" t="str">
            <v>sim</v>
          </cell>
          <cell r="V4874" t="str">
            <v>not neg pair</v>
          </cell>
          <cell r="W4874">
            <v>0</v>
          </cell>
          <cell r="X4874" t="str">
            <v>0</v>
          </cell>
        </row>
        <row r="4875">
          <cell r="I4875" t="str">
            <v>sim</v>
          </cell>
          <cell r="V4875" t="str">
            <v>not neg pair</v>
          </cell>
          <cell r="W4875">
            <v>0</v>
          </cell>
          <cell r="X4875" t="str">
            <v>0</v>
          </cell>
        </row>
        <row r="4876">
          <cell r="I4876" t="str">
            <v>sim</v>
          </cell>
          <cell r="V4876" t="str">
            <v>antonym</v>
          </cell>
          <cell r="W4876">
            <v>1</v>
          </cell>
          <cell r="X4876" t="str">
            <v>intens</v>
          </cell>
        </row>
        <row r="4877">
          <cell r="I4877" t="str">
            <v>sim</v>
          </cell>
          <cell r="V4877" t="str">
            <v>antonym</v>
          </cell>
          <cell r="W4877">
            <v>1</v>
          </cell>
          <cell r="X4877" t="str">
            <v>neg</v>
          </cell>
        </row>
        <row r="4878">
          <cell r="I4878" t="str">
            <v>sim</v>
          </cell>
          <cell r="V4878" t="str">
            <v>not neg pair</v>
          </cell>
          <cell r="W4878">
            <v>0</v>
          </cell>
          <cell r="X4878" t="str">
            <v>0</v>
          </cell>
        </row>
        <row r="4879">
          <cell r="I4879" t="str">
            <v>sim</v>
          </cell>
          <cell r="V4879" t="str">
            <v>not neg pair</v>
          </cell>
          <cell r="W4879">
            <v>0</v>
          </cell>
          <cell r="X4879" t="str">
            <v>0</v>
          </cell>
        </row>
        <row r="4880">
          <cell r="I4880" t="str">
            <v>sim</v>
          </cell>
          <cell r="V4880" t="str">
            <v>not neg pair</v>
          </cell>
          <cell r="W4880">
            <v>0</v>
          </cell>
          <cell r="X4880" t="str">
            <v>0</v>
          </cell>
        </row>
        <row r="4881">
          <cell r="I4881" t="str">
            <v>sim</v>
          </cell>
          <cell r="V4881" t="str">
            <v>not neg pair</v>
          </cell>
          <cell r="W4881">
            <v>0</v>
          </cell>
          <cell r="X4881" t="str">
            <v>0</v>
          </cell>
        </row>
        <row r="4882">
          <cell r="I4882" t="str">
            <v>sim</v>
          </cell>
          <cell r="V4882" t="str">
            <v>not neg pair</v>
          </cell>
          <cell r="W4882">
            <v>0</v>
          </cell>
          <cell r="X4882" t="str">
            <v>0</v>
          </cell>
        </row>
        <row r="4883">
          <cell r="I4883" t="str">
            <v>sim</v>
          </cell>
          <cell r="V4883" t="str">
            <v>not neg pair</v>
          </cell>
          <cell r="W4883">
            <v>0</v>
          </cell>
          <cell r="X4883" t="str">
            <v>0</v>
          </cell>
        </row>
        <row r="4884">
          <cell r="I4884" t="str">
            <v>sim</v>
          </cell>
          <cell r="V4884" t="str">
            <v>antonym</v>
          </cell>
          <cell r="W4884">
            <v>1</v>
          </cell>
          <cell r="X4884" t="str">
            <v>intens</v>
          </cell>
        </row>
        <row r="4885">
          <cell r="I4885" t="str">
            <v>sim</v>
          </cell>
          <cell r="V4885" t="str">
            <v>antonym</v>
          </cell>
          <cell r="W4885">
            <v>1</v>
          </cell>
          <cell r="X4885" t="str">
            <v>neg</v>
          </cell>
        </row>
        <row r="4886">
          <cell r="I4886" t="str">
            <v>sim</v>
          </cell>
          <cell r="V4886" t="str">
            <v>not neg pair</v>
          </cell>
          <cell r="W4886">
            <v>0</v>
          </cell>
          <cell r="X4886" t="str">
            <v>0</v>
          </cell>
        </row>
        <row r="4887">
          <cell r="I4887" t="str">
            <v>sim</v>
          </cell>
          <cell r="V4887" t="str">
            <v>not neg pair</v>
          </cell>
          <cell r="W4887">
            <v>0</v>
          </cell>
          <cell r="X4887" t="str">
            <v>0</v>
          </cell>
        </row>
        <row r="4888">
          <cell r="I4888" t="str">
            <v>sim</v>
          </cell>
          <cell r="V4888" t="str">
            <v>not neg pair</v>
          </cell>
          <cell r="W4888">
            <v>0</v>
          </cell>
          <cell r="X4888" t="str">
            <v>0</v>
          </cell>
        </row>
        <row r="4889">
          <cell r="I4889" t="str">
            <v>sim</v>
          </cell>
          <cell r="V4889" t="str">
            <v>not neg pair</v>
          </cell>
          <cell r="W4889">
            <v>0</v>
          </cell>
          <cell r="X4889" t="str">
            <v>0</v>
          </cell>
        </row>
        <row r="4890">
          <cell r="I4890" t="str">
            <v>sim</v>
          </cell>
          <cell r="V4890" t="str">
            <v>not</v>
          </cell>
          <cell r="W4890">
            <v>1</v>
          </cell>
          <cell r="X4890" t="str">
            <v>intens</v>
          </cell>
        </row>
        <row r="4891">
          <cell r="I4891" t="str">
            <v>sim</v>
          </cell>
          <cell r="V4891" t="str">
            <v>not</v>
          </cell>
          <cell r="W4891">
            <v>1</v>
          </cell>
          <cell r="X4891" t="str">
            <v>neg</v>
          </cell>
        </row>
        <row r="4892">
          <cell r="I4892" t="str">
            <v>sim</v>
          </cell>
          <cell r="V4892" t="str">
            <v>not</v>
          </cell>
          <cell r="W4892">
            <v>1</v>
          </cell>
          <cell r="X4892" t="str">
            <v>intens</v>
          </cell>
        </row>
        <row r="4893">
          <cell r="I4893" t="str">
            <v>sim</v>
          </cell>
          <cell r="V4893" t="str">
            <v>not</v>
          </cell>
          <cell r="W4893">
            <v>1</v>
          </cell>
          <cell r="X4893" t="str">
            <v>neg</v>
          </cell>
        </row>
        <row r="4894">
          <cell r="I4894" t="str">
            <v>sim</v>
          </cell>
          <cell r="V4894" t="str">
            <v>not</v>
          </cell>
          <cell r="W4894">
            <v>1</v>
          </cell>
          <cell r="X4894" t="str">
            <v>intens</v>
          </cell>
        </row>
        <row r="4895">
          <cell r="I4895" t="str">
            <v>sim</v>
          </cell>
          <cell r="V4895" t="str">
            <v>not</v>
          </cell>
          <cell r="W4895">
            <v>1</v>
          </cell>
          <cell r="X4895" t="str">
            <v>neg</v>
          </cell>
        </row>
        <row r="4896">
          <cell r="I4896" t="str">
            <v>sim</v>
          </cell>
          <cell r="V4896" t="str">
            <v>not</v>
          </cell>
          <cell r="W4896">
            <v>1</v>
          </cell>
          <cell r="X4896" t="str">
            <v>intens</v>
          </cell>
        </row>
        <row r="4897">
          <cell r="I4897" t="str">
            <v>sim</v>
          </cell>
          <cell r="V4897" t="str">
            <v>not</v>
          </cell>
          <cell r="W4897">
            <v>1</v>
          </cell>
          <cell r="X4897" t="str">
            <v>neg</v>
          </cell>
        </row>
        <row r="4898">
          <cell r="I4898" t="str">
            <v>sim</v>
          </cell>
          <cell r="V4898" t="str">
            <v>not neg pair</v>
          </cell>
          <cell r="W4898">
            <v>0</v>
          </cell>
          <cell r="X4898" t="str">
            <v>0</v>
          </cell>
        </row>
        <row r="4899">
          <cell r="I4899" t="str">
            <v>sim</v>
          </cell>
          <cell r="V4899" t="str">
            <v>not neg pair</v>
          </cell>
          <cell r="W4899">
            <v>0</v>
          </cell>
          <cell r="X4899" t="str">
            <v>0</v>
          </cell>
        </row>
        <row r="4900">
          <cell r="I4900" t="str">
            <v>sim</v>
          </cell>
          <cell r="V4900" t="str">
            <v>not</v>
          </cell>
          <cell r="W4900">
            <v>1</v>
          </cell>
          <cell r="X4900" t="str">
            <v>intens</v>
          </cell>
        </row>
        <row r="4901">
          <cell r="I4901" t="str">
            <v>sim</v>
          </cell>
          <cell r="V4901" t="str">
            <v>not</v>
          </cell>
          <cell r="W4901">
            <v>1</v>
          </cell>
          <cell r="X4901" t="str">
            <v>neg</v>
          </cell>
        </row>
        <row r="4902">
          <cell r="I4902" t="str">
            <v>sim</v>
          </cell>
          <cell r="V4902" t="str">
            <v>not neg pair</v>
          </cell>
          <cell r="W4902">
            <v>0</v>
          </cell>
          <cell r="X4902" t="str">
            <v>0</v>
          </cell>
        </row>
        <row r="4903">
          <cell r="I4903" t="str">
            <v>sim</v>
          </cell>
          <cell r="V4903" t="str">
            <v>not neg pair</v>
          </cell>
          <cell r="W4903">
            <v>0</v>
          </cell>
          <cell r="X4903" t="str">
            <v>0</v>
          </cell>
        </row>
        <row r="4904">
          <cell r="I4904" t="str">
            <v>sim</v>
          </cell>
          <cell r="V4904" t="str">
            <v>not neg pair</v>
          </cell>
          <cell r="W4904">
            <v>0</v>
          </cell>
          <cell r="X4904" t="str">
            <v>0</v>
          </cell>
        </row>
        <row r="4905">
          <cell r="I4905" t="str">
            <v>sim</v>
          </cell>
          <cell r="V4905" t="str">
            <v>not neg pair</v>
          </cell>
          <cell r="W4905">
            <v>0</v>
          </cell>
          <cell r="X4905" t="str">
            <v>0</v>
          </cell>
        </row>
        <row r="4906">
          <cell r="I4906" t="str">
            <v>sim</v>
          </cell>
          <cell r="V4906" t="str">
            <v>antonym</v>
          </cell>
          <cell r="W4906">
            <v>1</v>
          </cell>
          <cell r="X4906" t="str">
            <v>intens</v>
          </cell>
        </row>
        <row r="4907">
          <cell r="I4907" t="str">
            <v>sim</v>
          </cell>
          <cell r="V4907" t="str">
            <v>antonym</v>
          </cell>
          <cell r="W4907">
            <v>1</v>
          </cell>
          <cell r="X4907" t="str">
            <v>neg</v>
          </cell>
        </row>
        <row r="4908">
          <cell r="I4908" t="str">
            <v>met</v>
          </cell>
          <cell r="V4908" t="str">
            <v>0</v>
          </cell>
          <cell r="W4908">
            <v>0</v>
          </cell>
          <cell r="X4908" t="str">
            <v>0</v>
          </cell>
        </row>
        <row r="4909">
          <cell r="I4909" t="str">
            <v>met</v>
          </cell>
          <cell r="V4909" t="str">
            <v>0</v>
          </cell>
          <cell r="W4909">
            <v>0</v>
          </cell>
          <cell r="X4909" t="str">
            <v>0</v>
          </cell>
        </row>
        <row r="4910">
          <cell r="I4910" t="str">
            <v>sim</v>
          </cell>
          <cell r="V4910" t="str">
            <v>not neg pair</v>
          </cell>
          <cell r="W4910">
            <v>0</v>
          </cell>
          <cell r="X4910" t="str">
            <v>0</v>
          </cell>
        </row>
        <row r="4911">
          <cell r="I4911" t="str">
            <v>sim</v>
          </cell>
          <cell r="V4911" t="str">
            <v>not neg pair</v>
          </cell>
          <cell r="W4911">
            <v>0</v>
          </cell>
          <cell r="X4911" t="str">
            <v>0</v>
          </cell>
        </row>
        <row r="4912">
          <cell r="I4912" t="str">
            <v>sim</v>
          </cell>
          <cell r="V4912" t="str">
            <v>not neg pair</v>
          </cell>
          <cell r="W4912">
            <v>0</v>
          </cell>
          <cell r="X4912" t="str">
            <v>0</v>
          </cell>
        </row>
        <row r="4913">
          <cell r="I4913" t="str">
            <v>sim</v>
          </cell>
          <cell r="V4913" t="str">
            <v>not neg pair</v>
          </cell>
          <cell r="W4913">
            <v>0</v>
          </cell>
          <cell r="X4913" t="str">
            <v>0</v>
          </cell>
        </row>
        <row r="4914">
          <cell r="I4914" t="str">
            <v>sim</v>
          </cell>
          <cell r="V4914" t="str">
            <v>not neg pair</v>
          </cell>
          <cell r="W4914">
            <v>0</v>
          </cell>
          <cell r="X4914" t="str">
            <v>0</v>
          </cell>
        </row>
        <row r="4915">
          <cell r="I4915" t="str">
            <v>sim</v>
          </cell>
          <cell r="V4915" t="str">
            <v>not neg pair</v>
          </cell>
          <cell r="W4915">
            <v>0</v>
          </cell>
          <cell r="X4915" t="str">
            <v>0</v>
          </cell>
        </row>
        <row r="4916">
          <cell r="I4916" t="str">
            <v>sim</v>
          </cell>
          <cell r="V4916" t="str">
            <v>not neg pair</v>
          </cell>
          <cell r="W4916">
            <v>0</v>
          </cell>
          <cell r="X4916" t="str">
            <v>0</v>
          </cell>
        </row>
        <row r="4917">
          <cell r="I4917" t="str">
            <v>sim</v>
          </cell>
          <cell r="V4917" t="str">
            <v>not neg pair</v>
          </cell>
          <cell r="W4917">
            <v>0</v>
          </cell>
          <cell r="X4917" t="str">
            <v>0</v>
          </cell>
        </row>
        <row r="4918">
          <cell r="I4918" t="str">
            <v>sim</v>
          </cell>
          <cell r="V4918" t="str">
            <v>antonym</v>
          </cell>
          <cell r="W4918">
            <v>1</v>
          </cell>
          <cell r="X4918" t="str">
            <v>intens</v>
          </cell>
        </row>
        <row r="4919">
          <cell r="I4919" t="str">
            <v>sim</v>
          </cell>
          <cell r="V4919" t="str">
            <v>antonym</v>
          </cell>
          <cell r="W4919">
            <v>1</v>
          </cell>
          <cell r="X4919" t="str">
            <v>neg</v>
          </cell>
        </row>
        <row r="4920">
          <cell r="I4920" t="str">
            <v>sim</v>
          </cell>
          <cell r="V4920" t="str">
            <v>not</v>
          </cell>
          <cell r="W4920">
            <v>1</v>
          </cell>
          <cell r="X4920" t="str">
            <v>intens</v>
          </cell>
        </row>
        <row r="4921">
          <cell r="I4921" t="str">
            <v>sim</v>
          </cell>
          <cell r="V4921" t="str">
            <v>not</v>
          </cell>
          <cell r="W4921">
            <v>1</v>
          </cell>
          <cell r="X4921" t="str">
            <v>neg</v>
          </cell>
        </row>
        <row r="4922">
          <cell r="I4922" t="str">
            <v>sim</v>
          </cell>
          <cell r="V4922" t="str">
            <v>not neg pair</v>
          </cell>
          <cell r="W4922">
            <v>0</v>
          </cell>
          <cell r="X4922" t="str">
            <v>0</v>
          </cell>
        </row>
        <row r="4923">
          <cell r="I4923" t="str">
            <v>sim</v>
          </cell>
          <cell r="V4923" t="str">
            <v>not neg pair</v>
          </cell>
          <cell r="W4923">
            <v>0</v>
          </cell>
          <cell r="X4923" t="str">
            <v>0</v>
          </cell>
        </row>
        <row r="4924">
          <cell r="I4924" t="str">
            <v>sim</v>
          </cell>
          <cell r="V4924" t="str">
            <v>not neg pair</v>
          </cell>
          <cell r="W4924">
            <v>0</v>
          </cell>
          <cell r="X4924" t="str">
            <v>0</v>
          </cell>
        </row>
        <row r="4925">
          <cell r="I4925" t="str">
            <v>sim</v>
          </cell>
          <cell r="V4925" t="str">
            <v>not neg pair</v>
          </cell>
          <cell r="W4925">
            <v>0</v>
          </cell>
          <cell r="X4925" t="str">
            <v>0</v>
          </cell>
        </row>
        <row r="4926">
          <cell r="I4926" t="str">
            <v>sim</v>
          </cell>
          <cell r="V4926" t="str">
            <v>not neg pair</v>
          </cell>
          <cell r="W4926">
            <v>0</v>
          </cell>
          <cell r="X4926" t="str">
            <v>0</v>
          </cell>
        </row>
        <row r="4927">
          <cell r="I4927" t="str">
            <v>sim</v>
          </cell>
          <cell r="V4927" t="str">
            <v>not neg pair</v>
          </cell>
          <cell r="W4927">
            <v>0</v>
          </cell>
          <cell r="X4927" t="str">
            <v>0</v>
          </cell>
        </row>
        <row r="4928">
          <cell r="I4928" t="str">
            <v>met</v>
          </cell>
          <cell r="V4928" t="str">
            <v>0</v>
          </cell>
          <cell r="W4928">
            <v>0</v>
          </cell>
          <cell r="X4928" t="str">
            <v>0</v>
          </cell>
        </row>
        <row r="4929">
          <cell r="I4929" t="str">
            <v>sim</v>
          </cell>
          <cell r="V4929" t="str">
            <v>not neg pair</v>
          </cell>
          <cell r="W4929">
            <v>0</v>
          </cell>
          <cell r="X4929" t="str">
            <v>0</v>
          </cell>
        </row>
        <row r="4930">
          <cell r="I4930" t="str">
            <v>met</v>
          </cell>
          <cell r="V4930" t="str">
            <v>0</v>
          </cell>
          <cell r="W4930">
            <v>0</v>
          </cell>
          <cell r="X4930" t="str">
            <v>0</v>
          </cell>
        </row>
        <row r="4931">
          <cell r="I4931" t="str">
            <v>met</v>
          </cell>
          <cell r="V4931" t="str">
            <v>0</v>
          </cell>
          <cell r="W4931">
            <v>0</v>
          </cell>
          <cell r="X4931" t="str">
            <v>0</v>
          </cell>
        </row>
        <row r="4932">
          <cell r="I4932" t="str">
            <v>met</v>
          </cell>
          <cell r="V4932" t="str">
            <v>0</v>
          </cell>
          <cell r="W4932">
            <v>0</v>
          </cell>
          <cell r="X4932" t="str">
            <v>0</v>
          </cell>
        </row>
        <row r="4933">
          <cell r="I4933" t="str">
            <v>met</v>
          </cell>
          <cell r="V4933" t="str">
            <v>0</v>
          </cell>
          <cell r="W4933">
            <v>0</v>
          </cell>
          <cell r="X4933" t="str">
            <v>0</v>
          </cell>
        </row>
        <row r="4934">
          <cell r="I4934" t="str">
            <v>met</v>
          </cell>
          <cell r="V4934" t="str">
            <v>0</v>
          </cell>
          <cell r="W4934">
            <v>0</v>
          </cell>
          <cell r="X4934" t="str">
            <v>0</v>
          </cell>
        </row>
        <row r="4935">
          <cell r="I4935" t="str">
            <v>met</v>
          </cell>
          <cell r="V4935" t="str">
            <v>0</v>
          </cell>
          <cell r="W4935">
            <v>0</v>
          </cell>
          <cell r="X4935" t="str">
            <v>0</v>
          </cell>
        </row>
        <row r="4936">
          <cell r="I4936" t="str">
            <v>met</v>
          </cell>
          <cell r="V4936" t="str">
            <v>0</v>
          </cell>
          <cell r="W4936">
            <v>0</v>
          </cell>
          <cell r="X4936" t="str">
            <v>0</v>
          </cell>
        </row>
        <row r="4937">
          <cell r="I4937" t="str">
            <v>met</v>
          </cell>
          <cell r="V4937" t="str">
            <v>0</v>
          </cell>
          <cell r="W4937">
            <v>0</v>
          </cell>
          <cell r="X4937" t="str">
            <v>0</v>
          </cell>
        </row>
        <row r="4938">
          <cell r="I4938" t="str">
            <v>sim</v>
          </cell>
          <cell r="V4938" t="str">
            <v>not neg pair</v>
          </cell>
          <cell r="W4938">
            <v>0</v>
          </cell>
          <cell r="X4938" t="str">
            <v>0</v>
          </cell>
        </row>
        <row r="4939">
          <cell r="I4939" t="str">
            <v>sim</v>
          </cell>
          <cell r="V4939" t="str">
            <v>not neg pair</v>
          </cell>
          <cell r="W4939">
            <v>0</v>
          </cell>
          <cell r="X4939" t="str">
            <v>0</v>
          </cell>
        </row>
        <row r="4940">
          <cell r="I4940" t="str">
            <v>met</v>
          </cell>
          <cell r="V4940" t="str">
            <v>0</v>
          </cell>
          <cell r="W4940">
            <v>0</v>
          </cell>
          <cell r="X4940" t="str">
            <v>0</v>
          </cell>
        </row>
        <row r="4941">
          <cell r="I4941" t="str">
            <v>met</v>
          </cell>
          <cell r="V4941" t="str">
            <v>0</v>
          </cell>
          <cell r="W4941">
            <v>0</v>
          </cell>
          <cell r="X4941" t="str">
            <v>0</v>
          </cell>
        </row>
        <row r="4942">
          <cell r="I4942" t="str">
            <v>met</v>
          </cell>
          <cell r="V4942" t="str">
            <v>0</v>
          </cell>
          <cell r="W4942">
            <v>0</v>
          </cell>
          <cell r="X4942" t="str">
            <v>0</v>
          </cell>
        </row>
        <row r="4943">
          <cell r="I4943" t="str">
            <v>met</v>
          </cell>
          <cell r="V4943" t="str">
            <v>0</v>
          </cell>
          <cell r="W4943">
            <v>0</v>
          </cell>
          <cell r="X4943" t="str">
            <v>0</v>
          </cell>
        </row>
        <row r="4944">
          <cell r="I4944" t="str">
            <v>met</v>
          </cell>
          <cell r="V4944" t="str">
            <v>0</v>
          </cell>
          <cell r="W4944">
            <v>0</v>
          </cell>
          <cell r="X4944" t="str">
            <v>0</v>
          </cell>
        </row>
        <row r="4945">
          <cell r="I4945" t="str">
            <v>met</v>
          </cell>
          <cell r="V4945" t="str">
            <v>0</v>
          </cell>
          <cell r="W4945">
            <v>0</v>
          </cell>
          <cell r="X4945" t="str">
            <v>0</v>
          </cell>
        </row>
        <row r="4946">
          <cell r="I4946" t="str">
            <v>sim</v>
          </cell>
          <cell r="V4946" t="str">
            <v>not</v>
          </cell>
          <cell r="W4946">
            <v>1</v>
          </cell>
          <cell r="X4946" t="str">
            <v>neg</v>
          </cell>
        </row>
        <row r="4947">
          <cell r="I4947" t="str">
            <v>sim</v>
          </cell>
          <cell r="V4947" t="str">
            <v>not</v>
          </cell>
          <cell r="W4947">
            <v>1</v>
          </cell>
          <cell r="X4947" t="str">
            <v>intens</v>
          </cell>
        </row>
        <row r="4948">
          <cell r="I4948" t="str">
            <v>sim</v>
          </cell>
          <cell r="V4948" t="str">
            <v>not neg pair</v>
          </cell>
          <cell r="W4948">
            <v>0</v>
          </cell>
          <cell r="X4948" t="str">
            <v>0</v>
          </cell>
        </row>
        <row r="4949">
          <cell r="I4949" t="str">
            <v>sim</v>
          </cell>
          <cell r="V4949" t="str">
            <v>not neg pair</v>
          </cell>
          <cell r="W4949">
            <v>0</v>
          </cell>
          <cell r="X4949" t="str">
            <v>0</v>
          </cell>
        </row>
        <row r="4950">
          <cell r="I4950" t="str">
            <v>sim</v>
          </cell>
          <cell r="V4950" t="str">
            <v>not neg pair</v>
          </cell>
          <cell r="W4950">
            <v>0</v>
          </cell>
          <cell r="X4950" t="str">
            <v>0</v>
          </cell>
        </row>
        <row r="4951">
          <cell r="I4951" t="str">
            <v>sim</v>
          </cell>
          <cell r="V4951" t="str">
            <v>not neg pair</v>
          </cell>
          <cell r="W4951">
            <v>0</v>
          </cell>
          <cell r="X4951" t="str">
            <v>0</v>
          </cell>
        </row>
        <row r="4952">
          <cell r="I4952" t="str">
            <v>sim</v>
          </cell>
          <cell r="V4952" t="str">
            <v>not</v>
          </cell>
          <cell r="W4952">
            <v>1</v>
          </cell>
          <cell r="X4952" t="str">
            <v>intens</v>
          </cell>
        </row>
        <row r="4953">
          <cell r="I4953" t="str">
            <v>sim</v>
          </cell>
          <cell r="V4953" t="str">
            <v>not</v>
          </cell>
          <cell r="W4953">
            <v>1</v>
          </cell>
          <cell r="X4953" t="str">
            <v>neg</v>
          </cell>
        </row>
        <row r="4954">
          <cell r="I4954" t="str">
            <v>sim</v>
          </cell>
          <cell r="V4954" t="str">
            <v>not neg pair</v>
          </cell>
          <cell r="W4954">
            <v>0</v>
          </cell>
          <cell r="X4954" t="str">
            <v>0</v>
          </cell>
        </row>
        <row r="4955">
          <cell r="I4955" t="str">
            <v>sim</v>
          </cell>
          <cell r="V4955" t="str">
            <v>not neg pair</v>
          </cell>
          <cell r="W4955">
            <v>0</v>
          </cell>
          <cell r="X4955" t="str">
            <v>0</v>
          </cell>
        </row>
        <row r="4956">
          <cell r="I4956" t="str">
            <v>sim</v>
          </cell>
          <cell r="V4956" t="str">
            <v>not neg pair</v>
          </cell>
          <cell r="W4956">
            <v>0</v>
          </cell>
          <cell r="X4956" t="str">
            <v>0</v>
          </cell>
        </row>
        <row r="4957">
          <cell r="I4957" t="str">
            <v>sim</v>
          </cell>
          <cell r="V4957" t="str">
            <v>not neg pair</v>
          </cell>
          <cell r="W4957">
            <v>0</v>
          </cell>
          <cell r="X4957" t="str">
            <v>0</v>
          </cell>
        </row>
        <row r="4958">
          <cell r="I4958" t="str">
            <v>sim</v>
          </cell>
          <cell r="V4958" t="str">
            <v>not</v>
          </cell>
          <cell r="W4958">
            <v>1</v>
          </cell>
          <cell r="X4958" t="str">
            <v>intens</v>
          </cell>
        </row>
        <row r="4959">
          <cell r="I4959" t="str">
            <v>sim</v>
          </cell>
          <cell r="V4959" t="str">
            <v>not</v>
          </cell>
          <cell r="W4959">
            <v>1</v>
          </cell>
          <cell r="X4959" t="str">
            <v>neg</v>
          </cell>
        </row>
        <row r="4960">
          <cell r="I4960" t="str">
            <v>sim</v>
          </cell>
          <cell r="V4960" t="str">
            <v>not neg pair</v>
          </cell>
          <cell r="W4960">
            <v>0</v>
          </cell>
          <cell r="X4960" t="str">
            <v>0</v>
          </cell>
        </row>
        <row r="4961">
          <cell r="I4961" t="str">
            <v>sim</v>
          </cell>
          <cell r="V4961" t="str">
            <v>not neg pair</v>
          </cell>
          <cell r="W4961">
            <v>0</v>
          </cell>
          <cell r="X4961" t="str">
            <v>0</v>
          </cell>
        </row>
        <row r="4962">
          <cell r="I4962" t="str">
            <v>sim</v>
          </cell>
          <cell r="V4962" t="str">
            <v>not neg pair</v>
          </cell>
          <cell r="W4962">
            <v>0</v>
          </cell>
          <cell r="X4962" t="str">
            <v>0</v>
          </cell>
        </row>
        <row r="4963">
          <cell r="I4963" t="str">
            <v>sim</v>
          </cell>
          <cell r="V4963" t="str">
            <v>not neg pair</v>
          </cell>
          <cell r="W4963">
            <v>0</v>
          </cell>
          <cell r="X4963" t="str">
            <v>0</v>
          </cell>
        </row>
        <row r="4964">
          <cell r="I4964" t="str">
            <v>met</v>
          </cell>
          <cell r="V4964" t="str">
            <v>0</v>
          </cell>
          <cell r="W4964">
            <v>0</v>
          </cell>
          <cell r="X4964" t="str">
            <v>0</v>
          </cell>
        </row>
        <row r="4965">
          <cell r="I4965" t="str">
            <v>met</v>
          </cell>
          <cell r="V4965" t="str">
            <v>0</v>
          </cell>
          <cell r="W4965">
            <v>0</v>
          </cell>
          <cell r="X4965" t="str">
            <v>0</v>
          </cell>
        </row>
        <row r="4966">
          <cell r="I4966" t="str">
            <v>met</v>
          </cell>
          <cell r="V4966" t="str">
            <v>0</v>
          </cell>
          <cell r="W4966">
            <v>0</v>
          </cell>
          <cell r="X4966" t="str">
            <v>0</v>
          </cell>
        </row>
        <row r="4967">
          <cell r="I4967" t="str">
            <v>met</v>
          </cell>
          <cell r="V4967" t="str">
            <v>0</v>
          </cell>
          <cell r="W4967">
            <v>0</v>
          </cell>
          <cell r="X4967" t="str">
            <v>0</v>
          </cell>
        </row>
        <row r="4968">
          <cell r="I4968" t="str">
            <v>met</v>
          </cell>
          <cell r="V4968" t="str">
            <v>0</v>
          </cell>
          <cell r="W4968">
            <v>0</v>
          </cell>
          <cell r="X4968" t="str">
            <v>0</v>
          </cell>
        </row>
        <row r="4969">
          <cell r="I4969" t="str">
            <v>met</v>
          </cell>
          <cell r="V4969" t="str">
            <v>0</v>
          </cell>
          <cell r="W4969">
            <v>0</v>
          </cell>
          <cell r="X4969" t="str">
            <v>0</v>
          </cell>
        </row>
        <row r="4970">
          <cell r="I4970" t="str">
            <v>sim</v>
          </cell>
          <cell r="V4970" t="str">
            <v>not neg pair</v>
          </cell>
          <cell r="W4970">
            <v>0</v>
          </cell>
          <cell r="X4970" t="str">
            <v>0</v>
          </cell>
        </row>
        <row r="4971">
          <cell r="I4971" t="str">
            <v>sim</v>
          </cell>
          <cell r="V4971" t="str">
            <v>not neg pair</v>
          </cell>
          <cell r="W4971">
            <v>0</v>
          </cell>
          <cell r="X4971" t="str">
            <v>0</v>
          </cell>
        </row>
        <row r="4972">
          <cell r="I4972" t="str">
            <v>sim</v>
          </cell>
          <cell r="V4972" t="str">
            <v>not neg pair</v>
          </cell>
          <cell r="W4972">
            <v>0</v>
          </cell>
          <cell r="X4972" t="str">
            <v>0</v>
          </cell>
        </row>
        <row r="4973">
          <cell r="I4973" t="str">
            <v>sim</v>
          </cell>
          <cell r="V4973" t="str">
            <v>not neg pair</v>
          </cell>
          <cell r="W4973">
            <v>0</v>
          </cell>
          <cell r="X4973" t="str">
            <v>0</v>
          </cell>
        </row>
        <row r="4974">
          <cell r="I4974" t="str">
            <v>sim</v>
          </cell>
          <cell r="V4974" t="str">
            <v>not neg pair</v>
          </cell>
          <cell r="W4974">
            <v>0</v>
          </cell>
          <cell r="X4974" t="str">
            <v>0</v>
          </cell>
        </row>
        <row r="4975">
          <cell r="I4975" t="str">
            <v>sim</v>
          </cell>
          <cell r="V4975" t="str">
            <v>not neg pair</v>
          </cell>
          <cell r="W4975">
            <v>0</v>
          </cell>
          <cell r="X4975" t="str">
            <v>0</v>
          </cell>
        </row>
        <row r="4976">
          <cell r="I4976" t="str">
            <v>met</v>
          </cell>
          <cell r="V4976" t="str">
            <v>0</v>
          </cell>
          <cell r="W4976">
            <v>0</v>
          </cell>
          <cell r="X4976" t="str">
            <v>0</v>
          </cell>
        </row>
        <row r="4977">
          <cell r="I4977" t="str">
            <v>met</v>
          </cell>
          <cell r="V4977" t="str">
            <v>0</v>
          </cell>
          <cell r="W4977">
            <v>0</v>
          </cell>
          <cell r="X4977" t="str">
            <v>0</v>
          </cell>
        </row>
        <row r="4978">
          <cell r="I4978" t="str">
            <v>sim</v>
          </cell>
          <cell r="V4978" t="str">
            <v>not neg pair</v>
          </cell>
          <cell r="W4978">
            <v>0</v>
          </cell>
          <cell r="X4978" t="str">
            <v>0</v>
          </cell>
        </row>
        <row r="4979">
          <cell r="I4979" t="str">
            <v>sim</v>
          </cell>
          <cell r="V4979" t="str">
            <v>not neg pair</v>
          </cell>
          <cell r="W4979">
            <v>0</v>
          </cell>
          <cell r="X4979" t="str">
            <v>0</v>
          </cell>
        </row>
        <row r="4980">
          <cell r="I4980" t="str">
            <v>sim</v>
          </cell>
          <cell r="V4980" t="str">
            <v>not neg pair</v>
          </cell>
          <cell r="W4980">
            <v>0</v>
          </cell>
          <cell r="X4980" t="str">
            <v>0</v>
          </cell>
        </row>
        <row r="4981">
          <cell r="I4981" t="str">
            <v>sim</v>
          </cell>
          <cell r="V4981" t="str">
            <v>not neg pair</v>
          </cell>
          <cell r="W4981">
            <v>0</v>
          </cell>
          <cell r="X4981" t="str">
            <v>0</v>
          </cell>
        </row>
        <row r="4982">
          <cell r="I4982" t="str">
            <v>sim</v>
          </cell>
          <cell r="V4982" t="str">
            <v>not neg pair</v>
          </cell>
          <cell r="W4982">
            <v>0</v>
          </cell>
          <cell r="X4982" t="str">
            <v>0</v>
          </cell>
        </row>
        <row r="4983">
          <cell r="I4983" t="str">
            <v>sim</v>
          </cell>
          <cell r="V4983" t="str">
            <v>not neg pair</v>
          </cell>
          <cell r="W4983">
            <v>0</v>
          </cell>
          <cell r="X4983" t="str">
            <v>0</v>
          </cell>
        </row>
        <row r="4984">
          <cell r="I4984" t="str">
            <v>sim</v>
          </cell>
          <cell r="V4984" t="str">
            <v>not neg pair</v>
          </cell>
          <cell r="W4984">
            <v>0</v>
          </cell>
          <cell r="X4984" t="str">
            <v>0</v>
          </cell>
        </row>
        <row r="4985">
          <cell r="I4985" t="str">
            <v>sim</v>
          </cell>
          <cell r="V4985" t="str">
            <v>not neg pair</v>
          </cell>
          <cell r="W4985">
            <v>0</v>
          </cell>
          <cell r="X4985" t="str">
            <v>0</v>
          </cell>
        </row>
        <row r="4986">
          <cell r="I4986" t="str">
            <v>sim</v>
          </cell>
          <cell r="V4986" t="str">
            <v>not neg pair</v>
          </cell>
          <cell r="W4986">
            <v>0</v>
          </cell>
          <cell r="X4986" t="str">
            <v>0</v>
          </cell>
        </row>
        <row r="4987">
          <cell r="I4987" t="str">
            <v>sim</v>
          </cell>
          <cell r="V4987" t="str">
            <v>not neg pair</v>
          </cell>
          <cell r="W4987">
            <v>0</v>
          </cell>
          <cell r="X4987" t="str">
            <v>0</v>
          </cell>
        </row>
        <row r="4988">
          <cell r="I4988" t="str">
            <v>sim</v>
          </cell>
          <cell r="V4988" t="str">
            <v>antonym</v>
          </cell>
          <cell r="W4988">
            <v>1</v>
          </cell>
          <cell r="X4988" t="str">
            <v>neg</v>
          </cell>
        </row>
        <row r="4989">
          <cell r="I4989" t="str">
            <v>sim</v>
          </cell>
          <cell r="V4989" t="str">
            <v>antonym</v>
          </cell>
          <cell r="W4989">
            <v>1</v>
          </cell>
          <cell r="X4989" t="str">
            <v>intens</v>
          </cell>
        </row>
        <row r="4990">
          <cell r="I4990" t="str">
            <v>sim</v>
          </cell>
          <cell r="V4990" t="str">
            <v>not neg pair</v>
          </cell>
          <cell r="W4990">
            <v>0</v>
          </cell>
          <cell r="X4990" t="str">
            <v>0</v>
          </cell>
        </row>
        <row r="4991">
          <cell r="I4991" t="str">
            <v>sim</v>
          </cell>
          <cell r="V4991" t="str">
            <v>not neg pair</v>
          </cell>
          <cell r="W4991">
            <v>0</v>
          </cell>
          <cell r="X4991" t="str">
            <v>0</v>
          </cell>
        </row>
        <row r="4992">
          <cell r="I4992" t="str">
            <v>sim</v>
          </cell>
          <cell r="V4992" t="str">
            <v>not neg pair</v>
          </cell>
          <cell r="W4992">
            <v>0</v>
          </cell>
          <cell r="X4992" t="str">
            <v>0</v>
          </cell>
        </row>
        <row r="4993">
          <cell r="I4993" t="str">
            <v>sim</v>
          </cell>
          <cell r="V4993" t="str">
            <v>not neg pair</v>
          </cell>
          <cell r="W4993">
            <v>0</v>
          </cell>
          <cell r="X4993" t="str">
            <v>0</v>
          </cell>
        </row>
        <row r="4994">
          <cell r="I4994" t="str">
            <v>sim</v>
          </cell>
          <cell r="V4994" t="str">
            <v>antonym</v>
          </cell>
          <cell r="W4994">
            <v>1</v>
          </cell>
          <cell r="X4994" t="str">
            <v>intens</v>
          </cell>
        </row>
        <row r="4995">
          <cell r="I4995" t="str">
            <v>sim</v>
          </cell>
          <cell r="V4995" t="str">
            <v>antonym</v>
          </cell>
          <cell r="W4995">
            <v>1</v>
          </cell>
          <cell r="X4995" t="str">
            <v>neg</v>
          </cell>
        </row>
        <row r="4996">
          <cell r="I4996" t="str">
            <v>sim</v>
          </cell>
          <cell r="V4996" t="str">
            <v>antonym</v>
          </cell>
          <cell r="W4996">
            <v>1</v>
          </cell>
          <cell r="X4996" t="str">
            <v>intens</v>
          </cell>
        </row>
        <row r="4997">
          <cell r="I4997" t="str">
            <v>sim</v>
          </cell>
          <cell r="V4997" t="str">
            <v>antonym</v>
          </cell>
          <cell r="W4997">
            <v>1</v>
          </cell>
          <cell r="X4997" t="str">
            <v>neg</v>
          </cell>
        </row>
        <row r="4998">
          <cell r="I4998" t="str">
            <v>sim</v>
          </cell>
          <cell r="V4998" t="str">
            <v>not</v>
          </cell>
          <cell r="W4998">
            <v>1</v>
          </cell>
          <cell r="X4998" t="str">
            <v>neg</v>
          </cell>
        </row>
        <row r="4999">
          <cell r="I4999" t="str">
            <v>sim</v>
          </cell>
          <cell r="V4999" t="str">
            <v>not</v>
          </cell>
          <cell r="W4999">
            <v>1</v>
          </cell>
          <cell r="X4999" t="str">
            <v>intens</v>
          </cell>
        </row>
        <row r="5000">
          <cell r="I5000" t="str">
            <v>sim</v>
          </cell>
          <cell r="V5000" t="str">
            <v>not neg pair</v>
          </cell>
          <cell r="W5000">
            <v>0</v>
          </cell>
          <cell r="X5000" t="str">
            <v>0</v>
          </cell>
        </row>
        <row r="5001">
          <cell r="I5001" t="str">
            <v>sim</v>
          </cell>
          <cell r="V5001" t="str">
            <v>not neg pair</v>
          </cell>
          <cell r="W5001">
            <v>0</v>
          </cell>
          <cell r="X5001" t="str">
            <v>0</v>
          </cell>
        </row>
        <row r="5002">
          <cell r="I5002" t="str">
            <v>sim</v>
          </cell>
          <cell r="V5002" t="str">
            <v>not neg pair</v>
          </cell>
          <cell r="W5002">
            <v>0</v>
          </cell>
          <cell r="X5002" t="str">
            <v>0</v>
          </cell>
        </row>
        <row r="5003">
          <cell r="I5003" t="str">
            <v>sim</v>
          </cell>
          <cell r="V5003" t="str">
            <v>not neg pair</v>
          </cell>
          <cell r="W5003">
            <v>0</v>
          </cell>
          <cell r="X5003" t="str">
            <v>0</v>
          </cell>
        </row>
        <row r="5004">
          <cell r="I5004" t="str">
            <v>sim</v>
          </cell>
          <cell r="V5004" t="str">
            <v>not neg pair</v>
          </cell>
          <cell r="W5004">
            <v>0</v>
          </cell>
          <cell r="X5004" t="str">
            <v>0</v>
          </cell>
        </row>
        <row r="5005">
          <cell r="I5005" t="str">
            <v>sim</v>
          </cell>
          <cell r="V5005" t="str">
            <v>not neg pair</v>
          </cell>
          <cell r="W5005">
            <v>0</v>
          </cell>
          <cell r="X5005" t="str">
            <v>0</v>
          </cell>
        </row>
        <row r="5006">
          <cell r="I5006" t="str">
            <v>met</v>
          </cell>
          <cell r="V5006" t="str">
            <v>0</v>
          </cell>
          <cell r="W5006">
            <v>0</v>
          </cell>
          <cell r="X5006" t="str">
            <v>0</v>
          </cell>
        </row>
        <row r="5007">
          <cell r="I5007" t="str">
            <v>met</v>
          </cell>
          <cell r="V5007" t="str">
            <v>0</v>
          </cell>
          <cell r="W5007">
            <v>0</v>
          </cell>
          <cell r="X5007" t="str">
            <v>0</v>
          </cell>
        </row>
        <row r="5008">
          <cell r="I5008" t="str">
            <v>met</v>
          </cell>
          <cell r="V5008" t="str">
            <v>0</v>
          </cell>
          <cell r="W5008">
            <v>0</v>
          </cell>
          <cell r="X5008" t="str">
            <v>0</v>
          </cell>
        </row>
        <row r="5009">
          <cell r="I5009" t="str">
            <v>met</v>
          </cell>
          <cell r="V5009" t="str">
            <v>0</v>
          </cell>
          <cell r="W5009">
            <v>0</v>
          </cell>
          <cell r="X5009" t="str">
            <v>0</v>
          </cell>
        </row>
        <row r="5010">
          <cell r="I5010" t="str">
            <v>met</v>
          </cell>
          <cell r="V5010" t="str">
            <v>0</v>
          </cell>
          <cell r="W5010">
            <v>0</v>
          </cell>
          <cell r="X5010" t="str">
            <v>0</v>
          </cell>
        </row>
        <row r="5011">
          <cell r="I5011" t="str">
            <v>met</v>
          </cell>
          <cell r="V5011" t="str">
            <v>0</v>
          </cell>
          <cell r="W5011">
            <v>0</v>
          </cell>
          <cell r="X5011" t="str">
            <v>0</v>
          </cell>
        </row>
        <row r="5012">
          <cell r="I5012" t="str">
            <v>met</v>
          </cell>
          <cell r="V5012" t="str">
            <v>0</v>
          </cell>
          <cell r="W5012">
            <v>0</v>
          </cell>
          <cell r="X5012" t="str">
            <v>0</v>
          </cell>
        </row>
        <row r="5013">
          <cell r="I5013" t="str">
            <v>met</v>
          </cell>
          <cell r="V5013" t="str">
            <v>0</v>
          </cell>
          <cell r="W5013">
            <v>0</v>
          </cell>
          <cell r="X5013" t="str">
            <v>0</v>
          </cell>
        </row>
        <row r="5014">
          <cell r="I5014" t="str">
            <v>met</v>
          </cell>
          <cell r="V5014" t="str">
            <v>0</v>
          </cell>
          <cell r="W5014">
            <v>0</v>
          </cell>
          <cell r="X5014" t="str">
            <v>0</v>
          </cell>
        </row>
        <row r="5015">
          <cell r="I5015" t="str">
            <v>met</v>
          </cell>
          <cell r="V5015" t="str">
            <v>0</v>
          </cell>
          <cell r="W5015">
            <v>0</v>
          </cell>
          <cell r="X5015" t="str">
            <v>0</v>
          </cell>
        </row>
        <row r="5016">
          <cell r="I5016" t="str">
            <v>sim</v>
          </cell>
          <cell r="V5016" t="str">
            <v>not neg pair</v>
          </cell>
          <cell r="W5016">
            <v>0</v>
          </cell>
          <cell r="X5016" t="str">
            <v>0</v>
          </cell>
        </row>
        <row r="5017">
          <cell r="I5017" t="str">
            <v>sim</v>
          </cell>
          <cell r="V5017" t="str">
            <v>not neg pair</v>
          </cell>
          <cell r="W5017">
            <v>0</v>
          </cell>
          <cell r="X5017" t="str">
            <v>0</v>
          </cell>
        </row>
        <row r="5018">
          <cell r="I5018" t="str">
            <v>sim</v>
          </cell>
          <cell r="V5018" t="str">
            <v>not neg pair</v>
          </cell>
          <cell r="W5018">
            <v>0</v>
          </cell>
          <cell r="X5018" t="str">
            <v>0</v>
          </cell>
        </row>
        <row r="5019">
          <cell r="I5019" t="str">
            <v>sim</v>
          </cell>
          <cell r="V5019" t="str">
            <v>not neg pair</v>
          </cell>
          <cell r="W5019">
            <v>0</v>
          </cell>
          <cell r="X5019" t="str">
            <v>0</v>
          </cell>
        </row>
        <row r="5020">
          <cell r="I5020" t="str">
            <v>sim</v>
          </cell>
          <cell r="V5020" t="str">
            <v>not neg pair</v>
          </cell>
          <cell r="W5020">
            <v>0</v>
          </cell>
          <cell r="X5020" t="str">
            <v>0</v>
          </cell>
        </row>
        <row r="5021">
          <cell r="I5021" t="str">
            <v>sim</v>
          </cell>
          <cell r="V5021" t="str">
            <v>not neg pair</v>
          </cell>
          <cell r="W5021">
            <v>0</v>
          </cell>
          <cell r="X5021" t="str">
            <v>0</v>
          </cell>
        </row>
        <row r="5022">
          <cell r="I5022" t="str">
            <v>sim</v>
          </cell>
          <cell r="V5022" t="str">
            <v>not neg pair</v>
          </cell>
          <cell r="W5022">
            <v>0</v>
          </cell>
          <cell r="X5022" t="str">
            <v>0</v>
          </cell>
        </row>
        <row r="5023">
          <cell r="I5023" t="str">
            <v>sim</v>
          </cell>
          <cell r="V5023" t="str">
            <v>not neg pair</v>
          </cell>
          <cell r="W5023">
            <v>0</v>
          </cell>
          <cell r="X5023" t="str">
            <v>0</v>
          </cell>
        </row>
        <row r="5024">
          <cell r="I5024" t="str">
            <v>sim</v>
          </cell>
          <cell r="V5024" t="str">
            <v>not neg pair</v>
          </cell>
          <cell r="W5024">
            <v>0</v>
          </cell>
          <cell r="X5024" t="str">
            <v>0</v>
          </cell>
        </row>
        <row r="5025">
          <cell r="I5025" t="str">
            <v>sim</v>
          </cell>
          <cell r="V5025" t="str">
            <v>not neg pair</v>
          </cell>
          <cell r="W5025">
            <v>0</v>
          </cell>
          <cell r="X5025" t="str">
            <v>0</v>
          </cell>
        </row>
        <row r="5026">
          <cell r="I5026" t="str">
            <v>sim</v>
          </cell>
          <cell r="V5026" t="str">
            <v>not neg pair</v>
          </cell>
          <cell r="W5026">
            <v>0</v>
          </cell>
          <cell r="X5026" t="str">
            <v>0</v>
          </cell>
        </row>
        <row r="5027">
          <cell r="I5027" t="str">
            <v>sim</v>
          </cell>
          <cell r="V5027" t="str">
            <v>not neg pair</v>
          </cell>
          <cell r="W5027">
            <v>0</v>
          </cell>
          <cell r="X5027" t="str">
            <v>0</v>
          </cell>
        </row>
        <row r="5028">
          <cell r="I5028" t="str">
            <v>sim</v>
          </cell>
          <cell r="V5028" t="str">
            <v>not neg pair</v>
          </cell>
          <cell r="W5028">
            <v>0</v>
          </cell>
          <cell r="X5028" t="str">
            <v>0</v>
          </cell>
        </row>
        <row r="5029">
          <cell r="I5029" t="str">
            <v>sim</v>
          </cell>
          <cell r="V5029" t="str">
            <v>not neg pair</v>
          </cell>
          <cell r="W5029">
            <v>0</v>
          </cell>
          <cell r="X5029" t="str">
            <v>0</v>
          </cell>
        </row>
        <row r="5030">
          <cell r="I5030" t="str">
            <v>sim</v>
          </cell>
          <cell r="V5030" t="str">
            <v>not neg pair</v>
          </cell>
          <cell r="W5030">
            <v>0</v>
          </cell>
          <cell r="X5030" t="str">
            <v>0</v>
          </cell>
        </row>
        <row r="5031">
          <cell r="I5031" t="str">
            <v>sim</v>
          </cell>
          <cell r="V5031" t="str">
            <v>not neg pair</v>
          </cell>
          <cell r="W5031">
            <v>0</v>
          </cell>
          <cell r="X5031" t="str">
            <v>0</v>
          </cell>
        </row>
        <row r="5032">
          <cell r="I5032" t="str">
            <v>sim</v>
          </cell>
          <cell r="V5032" t="str">
            <v>not neg pair</v>
          </cell>
          <cell r="W5032">
            <v>0</v>
          </cell>
          <cell r="X5032" t="str">
            <v>0</v>
          </cell>
        </row>
        <row r="5033">
          <cell r="I5033" t="str">
            <v>sim</v>
          </cell>
          <cell r="V5033" t="str">
            <v>not neg pair</v>
          </cell>
          <cell r="W5033">
            <v>0</v>
          </cell>
          <cell r="X5033" t="str">
            <v>0</v>
          </cell>
        </row>
        <row r="5034">
          <cell r="I5034" t="str">
            <v>sim</v>
          </cell>
          <cell r="V5034" t="str">
            <v>not neg pair</v>
          </cell>
          <cell r="W5034">
            <v>0</v>
          </cell>
          <cell r="X5034" t="str">
            <v>0</v>
          </cell>
        </row>
        <row r="5035">
          <cell r="I5035" t="str">
            <v>sim</v>
          </cell>
          <cell r="V5035" t="str">
            <v>not neg pair</v>
          </cell>
          <cell r="W5035">
            <v>0</v>
          </cell>
          <cell r="X5035" t="str">
            <v>0</v>
          </cell>
        </row>
        <row r="5036">
          <cell r="I5036" t="str">
            <v>met</v>
          </cell>
          <cell r="V5036" t="str">
            <v>0</v>
          </cell>
          <cell r="W5036">
            <v>0</v>
          </cell>
          <cell r="X5036" t="str">
            <v>0</v>
          </cell>
        </row>
        <row r="5037">
          <cell r="I5037" t="str">
            <v>met</v>
          </cell>
          <cell r="V5037" t="str">
            <v>0</v>
          </cell>
          <cell r="W5037">
            <v>0</v>
          </cell>
          <cell r="X5037" t="str">
            <v>0</v>
          </cell>
        </row>
        <row r="5038">
          <cell r="I5038" t="str">
            <v>sim</v>
          </cell>
          <cell r="V5038" t="str">
            <v>antonym</v>
          </cell>
          <cell r="W5038">
            <v>1</v>
          </cell>
          <cell r="X5038" t="str">
            <v>intens</v>
          </cell>
        </row>
        <row r="5039">
          <cell r="I5039" t="str">
            <v>sim</v>
          </cell>
          <cell r="V5039" t="str">
            <v>antonym</v>
          </cell>
          <cell r="W5039">
            <v>1</v>
          </cell>
          <cell r="X5039" t="str">
            <v>neg</v>
          </cell>
        </row>
        <row r="5040">
          <cell r="I5040" t="str">
            <v>sim</v>
          </cell>
          <cell r="V5040" t="str">
            <v>not neg pair</v>
          </cell>
          <cell r="W5040">
            <v>0</v>
          </cell>
          <cell r="X5040" t="str">
            <v>0</v>
          </cell>
        </row>
        <row r="5041">
          <cell r="I5041" t="str">
            <v>sim</v>
          </cell>
          <cell r="V5041" t="str">
            <v>not neg pair</v>
          </cell>
          <cell r="W5041">
            <v>0</v>
          </cell>
          <cell r="X5041" t="str">
            <v>0</v>
          </cell>
        </row>
        <row r="5042">
          <cell r="I5042" t="str">
            <v>sim</v>
          </cell>
          <cell r="V5042" t="str">
            <v>not</v>
          </cell>
          <cell r="W5042">
            <v>1</v>
          </cell>
          <cell r="X5042" t="str">
            <v>intens</v>
          </cell>
        </row>
        <row r="5043">
          <cell r="I5043" t="str">
            <v>sim</v>
          </cell>
          <cell r="V5043" t="str">
            <v>not</v>
          </cell>
          <cell r="W5043">
            <v>1</v>
          </cell>
          <cell r="X5043" t="str">
            <v>neg</v>
          </cell>
        </row>
        <row r="5044">
          <cell r="I5044" t="str">
            <v>sim</v>
          </cell>
          <cell r="V5044" t="str">
            <v>not neg pair</v>
          </cell>
          <cell r="W5044">
            <v>0</v>
          </cell>
          <cell r="X5044" t="str">
            <v>0</v>
          </cell>
        </row>
        <row r="5045">
          <cell r="I5045" t="str">
            <v>sim</v>
          </cell>
          <cell r="V5045" t="str">
            <v>not neg pair</v>
          </cell>
          <cell r="W5045">
            <v>0</v>
          </cell>
          <cell r="X5045" t="str">
            <v>0</v>
          </cell>
        </row>
        <row r="5046">
          <cell r="I5046" t="str">
            <v>sim</v>
          </cell>
          <cell r="V5046" t="str">
            <v>not neg pair</v>
          </cell>
          <cell r="W5046">
            <v>0</v>
          </cell>
          <cell r="X5046" t="str">
            <v>0</v>
          </cell>
        </row>
        <row r="5047">
          <cell r="I5047" t="str">
            <v>sim</v>
          </cell>
          <cell r="V5047" t="str">
            <v>not neg pair</v>
          </cell>
          <cell r="W5047">
            <v>0</v>
          </cell>
          <cell r="X5047" t="str">
            <v>0</v>
          </cell>
        </row>
        <row r="5048">
          <cell r="I5048" t="str">
            <v>sim</v>
          </cell>
          <cell r="V5048" t="str">
            <v>not neg pair</v>
          </cell>
          <cell r="W5048">
            <v>0</v>
          </cell>
          <cell r="X5048" t="str">
            <v>0</v>
          </cell>
        </row>
        <row r="5049">
          <cell r="I5049" t="str">
            <v>sim</v>
          </cell>
          <cell r="V5049" t="str">
            <v>not neg pair</v>
          </cell>
          <cell r="W5049">
            <v>0</v>
          </cell>
          <cell r="X5049" t="str">
            <v>0</v>
          </cell>
        </row>
        <row r="5050">
          <cell r="I5050" t="str">
            <v>met</v>
          </cell>
          <cell r="V5050" t="str">
            <v>0</v>
          </cell>
          <cell r="W5050">
            <v>0</v>
          </cell>
          <cell r="X5050" t="str">
            <v>0</v>
          </cell>
        </row>
        <row r="5051">
          <cell r="I5051" t="str">
            <v>met</v>
          </cell>
          <cell r="V5051" t="str">
            <v>0</v>
          </cell>
          <cell r="W5051">
            <v>0</v>
          </cell>
          <cell r="X5051" t="str">
            <v>0</v>
          </cell>
        </row>
        <row r="5052">
          <cell r="I5052" t="str">
            <v>sim</v>
          </cell>
          <cell r="V5052" t="str">
            <v>not neg pair</v>
          </cell>
          <cell r="W5052">
            <v>0</v>
          </cell>
          <cell r="X5052" t="str">
            <v>0</v>
          </cell>
        </row>
        <row r="5053">
          <cell r="I5053" t="str">
            <v>sim</v>
          </cell>
          <cell r="V5053" t="str">
            <v>not neg pair</v>
          </cell>
          <cell r="W5053">
            <v>0</v>
          </cell>
          <cell r="X5053" t="str">
            <v>0</v>
          </cell>
        </row>
        <row r="5054">
          <cell r="I5054" t="str">
            <v>sim</v>
          </cell>
          <cell r="V5054" t="str">
            <v>not</v>
          </cell>
          <cell r="W5054">
            <v>1</v>
          </cell>
          <cell r="X5054" t="str">
            <v>neg</v>
          </cell>
        </row>
        <row r="5055">
          <cell r="I5055" t="str">
            <v>sim</v>
          </cell>
          <cell r="V5055" t="str">
            <v>not</v>
          </cell>
          <cell r="W5055">
            <v>1</v>
          </cell>
          <cell r="X5055" t="str">
            <v>intens</v>
          </cell>
        </row>
        <row r="5056">
          <cell r="I5056" t="str">
            <v>sim</v>
          </cell>
          <cell r="V5056" t="str">
            <v>not</v>
          </cell>
          <cell r="W5056">
            <v>1</v>
          </cell>
          <cell r="X5056" t="str">
            <v>neg</v>
          </cell>
        </row>
        <row r="5057">
          <cell r="I5057" t="str">
            <v>sim</v>
          </cell>
          <cell r="V5057" t="str">
            <v>not</v>
          </cell>
          <cell r="W5057">
            <v>1</v>
          </cell>
          <cell r="X5057" t="str">
            <v>intens</v>
          </cell>
        </row>
        <row r="5058">
          <cell r="I5058" t="str">
            <v>sim</v>
          </cell>
          <cell r="V5058" t="str">
            <v>not</v>
          </cell>
          <cell r="W5058">
            <v>1</v>
          </cell>
          <cell r="X5058" t="str">
            <v>neg</v>
          </cell>
        </row>
        <row r="5059">
          <cell r="I5059" t="str">
            <v>sim</v>
          </cell>
          <cell r="V5059" t="str">
            <v>not</v>
          </cell>
          <cell r="W5059">
            <v>1</v>
          </cell>
          <cell r="X5059" t="str">
            <v>intens</v>
          </cell>
        </row>
        <row r="5060">
          <cell r="I5060" t="str">
            <v>met</v>
          </cell>
          <cell r="V5060" t="str">
            <v>0</v>
          </cell>
          <cell r="W5060">
            <v>0</v>
          </cell>
          <cell r="X5060" t="str">
            <v>0</v>
          </cell>
        </row>
        <row r="5061">
          <cell r="I5061" t="str">
            <v>met</v>
          </cell>
          <cell r="V5061" t="str">
            <v>0</v>
          </cell>
          <cell r="W5061">
            <v>0</v>
          </cell>
          <cell r="X5061" t="str">
            <v>0</v>
          </cell>
        </row>
        <row r="5062">
          <cell r="I5062" t="str">
            <v>met</v>
          </cell>
          <cell r="V5062" t="str">
            <v>0</v>
          </cell>
          <cell r="W5062">
            <v>0</v>
          </cell>
          <cell r="X5062" t="str">
            <v>0</v>
          </cell>
        </row>
        <row r="5063">
          <cell r="I5063" t="str">
            <v>met</v>
          </cell>
          <cell r="V5063" t="str">
            <v>0</v>
          </cell>
          <cell r="W5063">
            <v>0</v>
          </cell>
          <cell r="X5063" t="str">
            <v>0</v>
          </cell>
        </row>
        <row r="5064">
          <cell r="I5064" t="str">
            <v>met</v>
          </cell>
          <cell r="V5064" t="str">
            <v>0</v>
          </cell>
          <cell r="W5064">
            <v>0</v>
          </cell>
          <cell r="X5064" t="str">
            <v>0</v>
          </cell>
        </row>
        <row r="5065">
          <cell r="I5065" t="str">
            <v>met</v>
          </cell>
          <cell r="V5065" t="str">
            <v>0</v>
          </cell>
          <cell r="W5065">
            <v>0</v>
          </cell>
          <cell r="X5065" t="str">
            <v>0</v>
          </cell>
        </row>
        <row r="5066">
          <cell r="I5066" t="str">
            <v>met</v>
          </cell>
          <cell r="V5066" t="str">
            <v>0</v>
          </cell>
          <cell r="W5066">
            <v>0</v>
          </cell>
          <cell r="X5066" t="str">
            <v>0</v>
          </cell>
        </row>
        <row r="5067">
          <cell r="I5067" t="str">
            <v>met</v>
          </cell>
          <cell r="V5067" t="str">
            <v>0</v>
          </cell>
          <cell r="W5067">
            <v>0</v>
          </cell>
          <cell r="X5067" t="str">
            <v>0</v>
          </cell>
        </row>
        <row r="5068">
          <cell r="I5068" t="str">
            <v>met</v>
          </cell>
          <cell r="V5068" t="str">
            <v>0</v>
          </cell>
          <cell r="W5068">
            <v>0</v>
          </cell>
          <cell r="X5068" t="str">
            <v>0</v>
          </cell>
        </row>
        <row r="5069">
          <cell r="I5069" t="str">
            <v>met</v>
          </cell>
          <cell r="V5069" t="str">
            <v>0</v>
          </cell>
          <cell r="W5069">
            <v>0</v>
          </cell>
          <cell r="X5069" t="str">
            <v>0</v>
          </cell>
        </row>
        <row r="5070">
          <cell r="I5070" t="str">
            <v>sim</v>
          </cell>
          <cell r="V5070" t="str">
            <v>antonym</v>
          </cell>
          <cell r="W5070">
            <v>1</v>
          </cell>
          <cell r="X5070" t="str">
            <v>intens</v>
          </cell>
        </row>
        <row r="5071">
          <cell r="I5071" t="str">
            <v>sim</v>
          </cell>
          <cell r="V5071" t="str">
            <v>antonym</v>
          </cell>
          <cell r="W5071">
            <v>1</v>
          </cell>
          <cell r="X5071" t="str">
            <v>neg</v>
          </cell>
        </row>
        <row r="5072">
          <cell r="I5072" t="str">
            <v>sim</v>
          </cell>
          <cell r="V5072" t="str">
            <v>not</v>
          </cell>
          <cell r="W5072">
            <v>1</v>
          </cell>
          <cell r="X5072" t="str">
            <v>intens</v>
          </cell>
        </row>
        <row r="5073">
          <cell r="I5073" t="str">
            <v>sim</v>
          </cell>
          <cell r="V5073" t="str">
            <v>not</v>
          </cell>
          <cell r="W5073">
            <v>1</v>
          </cell>
          <cell r="X5073" t="str">
            <v>neg</v>
          </cell>
        </row>
        <row r="5074">
          <cell r="I5074" t="str">
            <v>sim</v>
          </cell>
          <cell r="V5074" t="str">
            <v>not neg pair</v>
          </cell>
          <cell r="W5074">
            <v>0</v>
          </cell>
          <cell r="X5074" t="str">
            <v>0</v>
          </cell>
        </row>
        <row r="5075">
          <cell r="I5075" t="str">
            <v>sim</v>
          </cell>
          <cell r="V5075" t="str">
            <v>not neg pair</v>
          </cell>
          <cell r="W5075">
            <v>0</v>
          </cell>
          <cell r="X5075" t="str">
            <v>0</v>
          </cell>
        </row>
        <row r="5076">
          <cell r="I5076" t="str">
            <v>sim</v>
          </cell>
          <cell r="V5076" t="str">
            <v>not neg pair</v>
          </cell>
          <cell r="W5076">
            <v>0</v>
          </cell>
          <cell r="X5076" t="str">
            <v>0</v>
          </cell>
        </row>
        <row r="5077">
          <cell r="I5077" t="str">
            <v>sim</v>
          </cell>
          <cell r="V5077" t="str">
            <v>not neg pair</v>
          </cell>
          <cell r="W5077">
            <v>0</v>
          </cell>
          <cell r="X5077" t="str">
            <v>0</v>
          </cell>
        </row>
        <row r="5078">
          <cell r="I5078" t="str">
            <v>sim</v>
          </cell>
          <cell r="V5078" t="str">
            <v>antonym</v>
          </cell>
          <cell r="W5078">
            <v>1</v>
          </cell>
          <cell r="X5078" t="str">
            <v>neg</v>
          </cell>
        </row>
        <row r="5079">
          <cell r="I5079" t="str">
            <v>sim</v>
          </cell>
          <cell r="V5079" t="str">
            <v>antonym</v>
          </cell>
          <cell r="W5079">
            <v>1</v>
          </cell>
          <cell r="X5079" t="str">
            <v>intens</v>
          </cell>
        </row>
        <row r="5080">
          <cell r="I5080" t="str">
            <v>sim</v>
          </cell>
          <cell r="V5080" t="str">
            <v>not</v>
          </cell>
          <cell r="W5080">
            <v>1</v>
          </cell>
          <cell r="X5080" t="str">
            <v>neg</v>
          </cell>
        </row>
        <row r="5081">
          <cell r="I5081" t="str">
            <v>sim</v>
          </cell>
          <cell r="V5081" t="str">
            <v>not</v>
          </cell>
          <cell r="W5081">
            <v>1</v>
          </cell>
          <cell r="X5081" t="str">
            <v>intens</v>
          </cell>
        </row>
        <row r="5082">
          <cell r="I5082" t="str">
            <v>sim</v>
          </cell>
          <cell r="V5082" t="str">
            <v>not</v>
          </cell>
          <cell r="W5082">
            <v>1</v>
          </cell>
          <cell r="X5082" t="str">
            <v>neg</v>
          </cell>
        </row>
        <row r="5083">
          <cell r="I5083" t="str">
            <v>sim</v>
          </cell>
          <cell r="V5083" t="str">
            <v>not</v>
          </cell>
          <cell r="W5083">
            <v>1</v>
          </cell>
          <cell r="X5083" t="str">
            <v>intens</v>
          </cell>
        </row>
        <row r="5084">
          <cell r="I5084" t="str">
            <v>sim</v>
          </cell>
          <cell r="V5084" t="str">
            <v>antonym</v>
          </cell>
          <cell r="W5084">
            <v>1</v>
          </cell>
          <cell r="X5084" t="str">
            <v>intens</v>
          </cell>
        </row>
        <row r="5085">
          <cell r="I5085" t="str">
            <v>sim</v>
          </cell>
          <cell r="V5085" t="str">
            <v>antonym</v>
          </cell>
          <cell r="W5085">
            <v>1</v>
          </cell>
          <cell r="X5085" t="str">
            <v>neg</v>
          </cell>
        </row>
        <row r="5086">
          <cell r="I5086" t="str">
            <v>met</v>
          </cell>
          <cell r="V5086" t="str">
            <v>0</v>
          </cell>
          <cell r="W5086">
            <v>0</v>
          </cell>
          <cell r="X5086" t="str">
            <v>0</v>
          </cell>
        </row>
        <row r="5087">
          <cell r="I5087" t="str">
            <v>met</v>
          </cell>
          <cell r="V5087" t="str">
            <v>0</v>
          </cell>
          <cell r="W5087">
            <v>0</v>
          </cell>
          <cell r="X5087" t="str">
            <v>0</v>
          </cell>
        </row>
        <row r="5088">
          <cell r="I5088" t="str">
            <v>met</v>
          </cell>
          <cell r="V5088" t="str">
            <v>0</v>
          </cell>
          <cell r="W5088">
            <v>0</v>
          </cell>
          <cell r="X5088" t="str">
            <v>0</v>
          </cell>
        </row>
        <row r="5089">
          <cell r="I5089" t="str">
            <v>met</v>
          </cell>
          <cell r="V5089" t="str">
            <v>0</v>
          </cell>
          <cell r="W5089">
            <v>0</v>
          </cell>
          <cell r="X5089" t="str">
            <v>0</v>
          </cell>
        </row>
        <row r="5090">
          <cell r="I5090" t="str">
            <v>sim</v>
          </cell>
          <cell r="V5090" t="str">
            <v>not</v>
          </cell>
          <cell r="W5090">
            <v>1</v>
          </cell>
          <cell r="X5090" t="str">
            <v>intens</v>
          </cell>
        </row>
        <row r="5091">
          <cell r="I5091" t="str">
            <v>sim</v>
          </cell>
          <cell r="V5091" t="str">
            <v>not</v>
          </cell>
          <cell r="W5091">
            <v>1</v>
          </cell>
          <cell r="X5091" t="str">
            <v>neg</v>
          </cell>
        </row>
        <row r="5092">
          <cell r="I5092" t="str">
            <v>sim</v>
          </cell>
          <cell r="V5092" t="str">
            <v>not</v>
          </cell>
          <cell r="W5092">
            <v>1</v>
          </cell>
          <cell r="X5092" t="str">
            <v>intens</v>
          </cell>
        </row>
        <row r="5093">
          <cell r="I5093" t="str">
            <v>sim</v>
          </cell>
          <cell r="V5093" t="str">
            <v>not</v>
          </cell>
          <cell r="W5093">
            <v>1</v>
          </cell>
          <cell r="X5093" t="str">
            <v>neg</v>
          </cell>
        </row>
        <row r="5094">
          <cell r="I5094" t="str">
            <v>sim</v>
          </cell>
          <cell r="V5094" t="str">
            <v>not neg pair</v>
          </cell>
          <cell r="W5094">
            <v>0</v>
          </cell>
          <cell r="X5094" t="str">
            <v>0</v>
          </cell>
        </row>
        <row r="5095">
          <cell r="I5095" t="str">
            <v>sim</v>
          </cell>
          <cell r="V5095" t="str">
            <v>not neg pair</v>
          </cell>
          <cell r="W5095">
            <v>0</v>
          </cell>
          <cell r="X5095" t="str">
            <v>0</v>
          </cell>
        </row>
        <row r="5096">
          <cell r="I5096" t="str">
            <v>sim</v>
          </cell>
          <cell r="V5096" t="str">
            <v>not</v>
          </cell>
          <cell r="W5096">
            <v>1</v>
          </cell>
          <cell r="X5096" t="str">
            <v>neg</v>
          </cell>
        </row>
        <row r="5097">
          <cell r="I5097" t="str">
            <v>sim</v>
          </cell>
          <cell r="V5097" t="str">
            <v>not</v>
          </cell>
          <cell r="W5097">
            <v>1</v>
          </cell>
          <cell r="X5097" t="str">
            <v>intens</v>
          </cell>
        </row>
        <row r="5098">
          <cell r="I5098" t="str">
            <v>sim</v>
          </cell>
          <cell r="V5098" t="str">
            <v>not neg pair</v>
          </cell>
          <cell r="W5098">
            <v>0</v>
          </cell>
          <cell r="X5098" t="str">
            <v>0</v>
          </cell>
        </row>
        <row r="5099">
          <cell r="I5099" t="str">
            <v>sim</v>
          </cell>
          <cell r="V5099" t="str">
            <v>not neg pair</v>
          </cell>
          <cell r="W5099">
            <v>0</v>
          </cell>
          <cell r="X5099" t="str">
            <v>0</v>
          </cell>
        </row>
        <row r="5100">
          <cell r="I5100" t="str">
            <v>sim</v>
          </cell>
          <cell r="V5100" t="str">
            <v>antonym</v>
          </cell>
          <cell r="W5100">
            <v>1</v>
          </cell>
          <cell r="X5100" t="str">
            <v>intens</v>
          </cell>
        </row>
        <row r="5101">
          <cell r="I5101" t="str">
            <v>sim</v>
          </cell>
          <cell r="V5101" t="str">
            <v>antonym</v>
          </cell>
          <cell r="W5101">
            <v>1</v>
          </cell>
          <cell r="X5101" t="str">
            <v>neg</v>
          </cell>
        </row>
        <row r="5102">
          <cell r="I5102" t="str">
            <v>sim</v>
          </cell>
          <cell r="V5102" t="str">
            <v>antonym</v>
          </cell>
          <cell r="W5102">
            <v>1</v>
          </cell>
          <cell r="X5102" t="str">
            <v>intens</v>
          </cell>
        </row>
        <row r="5103">
          <cell r="I5103" t="str">
            <v>sim</v>
          </cell>
          <cell r="V5103" t="str">
            <v>antonym</v>
          </cell>
          <cell r="W5103">
            <v>1</v>
          </cell>
          <cell r="X5103" t="str">
            <v>neg</v>
          </cell>
        </row>
        <row r="5104">
          <cell r="I5104" t="str">
            <v>met</v>
          </cell>
          <cell r="V5104" t="str">
            <v>0</v>
          </cell>
          <cell r="W5104">
            <v>0</v>
          </cell>
          <cell r="X5104" t="str">
            <v>0</v>
          </cell>
        </row>
        <row r="5105">
          <cell r="I5105" t="str">
            <v>met</v>
          </cell>
          <cell r="V5105" t="str">
            <v>0</v>
          </cell>
          <cell r="W5105">
            <v>0</v>
          </cell>
          <cell r="X5105" t="str">
            <v>0</v>
          </cell>
        </row>
        <row r="5106">
          <cell r="I5106" t="str">
            <v>sim</v>
          </cell>
          <cell r="V5106" t="str">
            <v>not neg pair</v>
          </cell>
          <cell r="W5106">
            <v>0</v>
          </cell>
          <cell r="X5106" t="str">
            <v>0</v>
          </cell>
        </row>
        <row r="5107">
          <cell r="I5107" t="str">
            <v>sim</v>
          </cell>
          <cell r="V5107" t="str">
            <v>not neg pair</v>
          </cell>
          <cell r="W5107">
            <v>0</v>
          </cell>
          <cell r="X5107" t="str">
            <v>0</v>
          </cell>
        </row>
        <row r="5108">
          <cell r="I5108" t="str">
            <v>sim</v>
          </cell>
          <cell r="V5108" t="str">
            <v>not neg pair</v>
          </cell>
          <cell r="W5108">
            <v>0</v>
          </cell>
          <cell r="X5108" t="str">
            <v>0</v>
          </cell>
        </row>
        <row r="5109">
          <cell r="I5109" t="str">
            <v>sim</v>
          </cell>
          <cell r="V5109" t="str">
            <v>not neg pair</v>
          </cell>
          <cell r="W5109">
            <v>0</v>
          </cell>
          <cell r="X5109" t="str">
            <v>0</v>
          </cell>
        </row>
        <row r="5110">
          <cell r="I5110" t="str">
            <v>sim</v>
          </cell>
          <cell r="V5110" t="str">
            <v>not neg pair</v>
          </cell>
          <cell r="W5110">
            <v>0</v>
          </cell>
          <cell r="X5110" t="str">
            <v>0</v>
          </cell>
        </row>
        <row r="5111">
          <cell r="I5111" t="str">
            <v>sim</v>
          </cell>
          <cell r="V5111" t="str">
            <v>not neg pair</v>
          </cell>
          <cell r="W5111">
            <v>0</v>
          </cell>
          <cell r="X5111" t="str">
            <v>0</v>
          </cell>
        </row>
        <row r="5112">
          <cell r="I5112" t="str">
            <v>sim</v>
          </cell>
          <cell r="V5112" t="str">
            <v>not neg pair</v>
          </cell>
          <cell r="W5112">
            <v>0</v>
          </cell>
          <cell r="X5112" t="str">
            <v>0</v>
          </cell>
        </row>
        <row r="5113">
          <cell r="I5113" t="str">
            <v>sim</v>
          </cell>
          <cell r="V5113" t="str">
            <v>not neg pair</v>
          </cell>
          <cell r="W5113">
            <v>0</v>
          </cell>
          <cell r="X5113" t="str">
            <v>0</v>
          </cell>
        </row>
        <row r="5114">
          <cell r="I5114" t="str">
            <v>sim</v>
          </cell>
          <cell r="V5114" t="str">
            <v>not neg pair</v>
          </cell>
          <cell r="W5114">
            <v>0</v>
          </cell>
          <cell r="X5114" t="str">
            <v>0</v>
          </cell>
        </row>
        <row r="5115">
          <cell r="I5115" t="str">
            <v>sim</v>
          </cell>
          <cell r="V5115" t="str">
            <v>not neg pair</v>
          </cell>
          <cell r="W5115">
            <v>0</v>
          </cell>
          <cell r="X5115" t="str">
            <v>0</v>
          </cell>
        </row>
        <row r="5116">
          <cell r="I5116" t="str">
            <v>met</v>
          </cell>
          <cell r="V5116" t="str">
            <v>0</v>
          </cell>
          <cell r="W5116">
            <v>0</v>
          </cell>
          <cell r="X5116" t="str">
            <v>0</v>
          </cell>
        </row>
        <row r="5117">
          <cell r="I5117" t="str">
            <v>met</v>
          </cell>
          <cell r="V5117" t="str">
            <v>0</v>
          </cell>
          <cell r="W5117">
            <v>0</v>
          </cell>
          <cell r="X5117" t="str">
            <v>0</v>
          </cell>
        </row>
        <row r="5118">
          <cell r="I5118" t="str">
            <v>met</v>
          </cell>
          <cell r="V5118" t="str">
            <v>0</v>
          </cell>
          <cell r="W5118">
            <v>0</v>
          </cell>
          <cell r="X5118" t="str">
            <v>0</v>
          </cell>
        </row>
        <row r="5119">
          <cell r="I5119" t="str">
            <v>met</v>
          </cell>
          <cell r="V5119" t="str">
            <v>0</v>
          </cell>
          <cell r="W5119">
            <v>0</v>
          </cell>
          <cell r="X5119" t="str">
            <v>0</v>
          </cell>
        </row>
        <row r="5120">
          <cell r="I5120" t="str">
            <v>met</v>
          </cell>
          <cell r="V5120" t="str">
            <v>0</v>
          </cell>
          <cell r="W5120">
            <v>0</v>
          </cell>
          <cell r="X5120" t="str">
            <v>0</v>
          </cell>
        </row>
        <row r="5121">
          <cell r="I5121" t="str">
            <v>met</v>
          </cell>
          <cell r="V5121" t="str">
            <v>0</v>
          </cell>
          <cell r="W5121">
            <v>0</v>
          </cell>
          <cell r="X5121" t="str">
            <v>0</v>
          </cell>
        </row>
        <row r="5122">
          <cell r="I5122" t="str">
            <v>sim</v>
          </cell>
          <cell r="V5122" t="str">
            <v>not neg pair</v>
          </cell>
          <cell r="W5122">
            <v>0</v>
          </cell>
          <cell r="X5122" t="str">
            <v>0</v>
          </cell>
        </row>
        <row r="5123">
          <cell r="I5123" t="str">
            <v>sim</v>
          </cell>
          <cell r="V5123" t="str">
            <v>not neg pair</v>
          </cell>
          <cell r="W5123">
            <v>0</v>
          </cell>
          <cell r="X5123" t="str">
            <v>0</v>
          </cell>
        </row>
        <row r="5124">
          <cell r="I5124" t="str">
            <v>sim</v>
          </cell>
          <cell r="V5124" t="str">
            <v>not</v>
          </cell>
          <cell r="W5124">
            <v>1</v>
          </cell>
          <cell r="X5124" t="str">
            <v>neg</v>
          </cell>
        </row>
        <row r="5125">
          <cell r="I5125" t="str">
            <v>sim</v>
          </cell>
          <cell r="V5125" t="str">
            <v>not</v>
          </cell>
          <cell r="W5125">
            <v>1</v>
          </cell>
          <cell r="X5125" t="str">
            <v>intens</v>
          </cell>
        </row>
        <row r="5126">
          <cell r="I5126" t="str">
            <v>sim</v>
          </cell>
          <cell r="V5126" t="str">
            <v>not</v>
          </cell>
          <cell r="W5126">
            <v>1</v>
          </cell>
          <cell r="X5126" t="str">
            <v>intens</v>
          </cell>
        </row>
        <row r="5127">
          <cell r="I5127" t="str">
            <v>sim</v>
          </cell>
          <cell r="V5127" t="str">
            <v>not</v>
          </cell>
          <cell r="W5127">
            <v>1</v>
          </cell>
          <cell r="X5127" t="str">
            <v>neg</v>
          </cell>
        </row>
        <row r="5128">
          <cell r="I5128" t="str">
            <v>sim</v>
          </cell>
          <cell r="V5128" t="str">
            <v>not neg pair</v>
          </cell>
          <cell r="W5128">
            <v>0</v>
          </cell>
          <cell r="X5128" t="str">
            <v>0</v>
          </cell>
        </row>
        <row r="5129">
          <cell r="I5129" t="str">
            <v>sim</v>
          </cell>
          <cell r="V5129" t="str">
            <v>not neg pair</v>
          </cell>
          <cell r="W5129">
            <v>0</v>
          </cell>
          <cell r="X5129" t="str">
            <v>0</v>
          </cell>
        </row>
        <row r="5130">
          <cell r="I5130" t="str">
            <v>sim</v>
          </cell>
          <cell r="V5130" t="str">
            <v>not neg pair</v>
          </cell>
          <cell r="W5130">
            <v>0</v>
          </cell>
          <cell r="X5130" t="str">
            <v>0</v>
          </cell>
        </row>
        <row r="5131">
          <cell r="I5131" t="str">
            <v>sim</v>
          </cell>
          <cell r="V5131" t="str">
            <v>not neg pair</v>
          </cell>
          <cell r="W5131">
            <v>0</v>
          </cell>
          <cell r="X5131" t="str">
            <v>0</v>
          </cell>
        </row>
        <row r="5132">
          <cell r="I5132" t="str">
            <v>met</v>
          </cell>
          <cell r="V5132" t="str">
            <v>0</v>
          </cell>
          <cell r="W5132">
            <v>0</v>
          </cell>
          <cell r="X5132" t="str">
            <v>0</v>
          </cell>
        </row>
        <row r="5133">
          <cell r="I5133" t="str">
            <v>met</v>
          </cell>
          <cell r="V5133" t="str">
            <v>0</v>
          </cell>
          <cell r="W5133">
            <v>0</v>
          </cell>
          <cell r="X5133" t="str">
            <v>0</v>
          </cell>
        </row>
        <row r="5134">
          <cell r="I5134" t="str">
            <v>sim</v>
          </cell>
          <cell r="V5134" t="str">
            <v>not neg pair</v>
          </cell>
          <cell r="W5134">
            <v>0</v>
          </cell>
          <cell r="X5134" t="str">
            <v>0</v>
          </cell>
        </row>
        <row r="5135">
          <cell r="I5135" t="str">
            <v>sim</v>
          </cell>
          <cell r="V5135" t="str">
            <v>not neg pair</v>
          </cell>
          <cell r="W5135">
            <v>0</v>
          </cell>
          <cell r="X5135" t="str">
            <v>0</v>
          </cell>
        </row>
        <row r="5136">
          <cell r="I5136" t="str">
            <v>met</v>
          </cell>
          <cell r="V5136" t="str">
            <v>0</v>
          </cell>
          <cell r="W5136">
            <v>0</v>
          </cell>
          <cell r="X5136" t="str">
            <v>0</v>
          </cell>
        </row>
        <row r="5137">
          <cell r="I5137" t="str">
            <v>met</v>
          </cell>
          <cell r="V5137" t="str">
            <v>0</v>
          </cell>
          <cell r="W5137">
            <v>0</v>
          </cell>
          <cell r="X5137" t="str">
            <v>0</v>
          </cell>
        </row>
        <row r="5138">
          <cell r="I5138" t="str">
            <v>sim</v>
          </cell>
          <cell r="V5138" t="str">
            <v>not neg pair</v>
          </cell>
          <cell r="W5138">
            <v>0</v>
          </cell>
          <cell r="X5138" t="str">
            <v>0</v>
          </cell>
        </row>
        <row r="5139">
          <cell r="I5139" t="str">
            <v>sim</v>
          </cell>
          <cell r="V5139" t="str">
            <v>not neg pair</v>
          </cell>
          <cell r="W5139">
            <v>0</v>
          </cell>
          <cell r="X5139" t="str">
            <v>0</v>
          </cell>
        </row>
        <row r="5140">
          <cell r="I5140" t="str">
            <v>sim</v>
          </cell>
          <cell r="V5140" t="str">
            <v>antonym</v>
          </cell>
          <cell r="W5140">
            <v>1</v>
          </cell>
          <cell r="X5140" t="str">
            <v>intens</v>
          </cell>
        </row>
        <row r="5141">
          <cell r="I5141" t="str">
            <v>sim</v>
          </cell>
          <cell r="V5141" t="str">
            <v>antonym</v>
          </cell>
          <cell r="W5141">
            <v>1</v>
          </cell>
          <cell r="X5141" t="str">
            <v>neg</v>
          </cell>
        </row>
        <row r="5142">
          <cell r="I5142" t="str">
            <v>sim</v>
          </cell>
          <cell r="V5142" t="str">
            <v>not neg pair</v>
          </cell>
          <cell r="W5142">
            <v>0</v>
          </cell>
          <cell r="X5142" t="str">
            <v>0</v>
          </cell>
        </row>
        <row r="5143">
          <cell r="I5143" t="str">
            <v>sim</v>
          </cell>
          <cell r="V5143" t="str">
            <v>not neg pair</v>
          </cell>
          <cell r="W5143">
            <v>0</v>
          </cell>
          <cell r="X5143" t="str">
            <v>0</v>
          </cell>
        </row>
        <row r="5144">
          <cell r="I5144" t="str">
            <v>sim</v>
          </cell>
          <cell r="V5144" t="str">
            <v>not</v>
          </cell>
          <cell r="W5144">
            <v>1</v>
          </cell>
          <cell r="X5144" t="str">
            <v>intens</v>
          </cell>
        </row>
        <row r="5145">
          <cell r="I5145" t="str">
            <v>sim</v>
          </cell>
          <cell r="V5145" t="str">
            <v>not</v>
          </cell>
          <cell r="W5145">
            <v>1</v>
          </cell>
          <cell r="X5145" t="str">
            <v>neg</v>
          </cell>
        </row>
        <row r="5146">
          <cell r="I5146" t="str">
            <v>sim</v>
          </cell>
          <cell r="V5146" t="str">
            <v>not neg pair</v>
          </cell>
          <cell r="W5146">
            <v>0</v>
          </cell>
          <cell r="X5146" t="str">
            <v>0</v>
          </cell>
        </row>
        <row r="5147">
          <cell r="I5147" t="str">
            <v>sim</v>
          </cell>
          <cell r="V5147" t="str">
            <v>not neg pair</v>
          </cell>
          <cell r="W5147">
            <v>0</v>
          </cell>
          <cell r="X5147" t="str">
            <v>0</v>
          </cell>
        </row>
        <row r="5148">
          <cell r="I5148" t="str">
            <v>sim</v>
          </cell>
          <cell r="V5148" t="str">
            <v>not neg pair</v>
          </cell>
          <cell r="W5148">
            <v>0</v>
          </cell>
          <cell r="X5148" t="str">
            <v>0</v>
          </cell>
        </row>
        <row r="5149">
          <cell r="I5149" t="str">
            <v>sim</v>
          </cell>
          <cell r="V5149" t="str">
            <v>not neg pair</v>
          </cell>
          <cell r="W5149">
            <v>0</v>
          </cell>
          <cell r="X5149" t="str">
            <v>0</v>
          </cell>
        </row>
        <row r="5150">
          <cell r="I5150" t="str">
            <v>sim</v>
          </cell>
          <cell r="V5150" t="str">
            <v>not neg pair</v>
          </cell>
          <cell r="W5150">
            <v>0</v>
          </cell>
          <cell r="X5150" t="str">
            <v>0</v>
          </cell>
        </row>
        <row r="5151">
          <cell r="I5151" t="str">
            <v>sim</v>
          </cell>
          <cell r="V5151" t="str">
            <v>not neg pair</v>
          </cell>
          <cell r="W5151">
            <v>0</v>
          </cell>
          <cell r="X5151" t="str">
            <v>0</v>
          </cell>
        </row>
        <row r="5152">
          <cell r="I5152" t="str">
            <v>sim</v>
          </cell>
          <cell r="V5152" t="str">
            <v>not neg pair</v>
          </cell>
          <cell r="W5152">
            <v>0</v>
          </cell>
          <cell r="X5152" t="str">
            <v>0</v>
          </cell>
        </row>
        <row r="5153">
          <cell r="I5153" t="str">
            <v>sim</v>
          </cell>
          <cell r="V5153" t="str">
            <v>not neg pair</v>
          </cell>
          <cell r="W5153">
            <v>0</v>
          </cell>
          <cell r="X5153" t="str">
            <v>0</v>
          </cell>
        </row>
        <row r="5154">
          <cell r="I5154" t="str">
            <v>met</v>
          </cell>
          <cell r="V5154" t="str">
            <v>0</v>
          </cell>
          <cell r="W5154">
            <v>0</v>
          </cell>
          <cell r="X5154" t="str">
            <v>0</v>
          </cell>
        </row>
        <row r="5155">
          <cell r="I5155" t="str">
            <v>met</v>
          </cell>
          <cell r="V5155" t="str">
            <v>0</v>
          </cell>
          <cell r="W5155">
            <v>0</v>
          </cell>
          <cell r="X5155" t="str">
            <v>0</v>
          </cell>
        </row>
        <row r="5156">
          <cell r="I5156" t="str">
            <v>sim</v>
          </cell>
          <cell r="V5156" t="str">
            <v>not neg pair</v>
          </cell>
          <cell r="W5156">
            <v>0</v>
          </cell>
          <cell r="X5156" t="str">
            <v>0</v>
          </cell>
        </row>
        <row r="5157">
          <cell r="I5157" t="str">
            <v>sim</v>
          </cell>
          <cell r="V5157" t="str">
            <v>not neg pair</v>
          </cell>
          <cell r="W5157">
            <v>0</v>
          </cell>
          <cell r="X5157" t="str">
            <v>0</v>
          </cell>
        </row>
        <row r="5158">
          <cell r="I5158" t="str">
            <v>sim</v>
          </cell>
          <cell r="V5158" t="str">
            <v>antonym</v>
          </cell>
          <cell r="W5158">
            <v>1</v>
          </cell>
          <cell r="X5158" t="str">
            <v>neg</v>
          </cell>
        </row>
        <row r="5159">
          <cell r="I5159" t="str">
            <v>sim</v>
          </cell>
          <cell r="V5159" t="str">
            <v>antonym</v>
          </cell>
          <cell r="W5159">
            <v>1</v>
          </cell>
          <cell r="X5159" t="str">
            <v>intens</v>
          </cell>
        </row>
        <row r="5160">
          <cell r="I5160" t="str">
            <v>sim</v>
          </cell>
          <cell r="V5160" t="str">
            <v>antonym</v>
          </cell>
          <cell r="W5160">
            <v>1</v>
          </cell>
          <cell r="X5160" t="str">
            <v>intens</v>
          </cell>
        </row>
        <row r="5161">
          <cell r="I5161" t="str">
            <v>sim</v>
          </cell>
          <cell r="V5161" t="str">
            <v>antonym</v>
          </cell>
          <cell r="W5161">
            <v>1</v>
          </cell>
          <cell r="X5161" t="str">
            <v>neg</v>
          </cell>
        </row>
        <row r="5162">
          <cell r="I5162" t="str">
            <v>sim</v>
          </cell>
          <cell r="V5162" t="str">
            <v>antonym</v>
          </cell>
          <cell r="W5162">
            <v>1</v>
          </cell>
          <cell r="X5162" t="str">
            <v>neg</v>
          </cell>
        </row>
        <row r="5163">
          <cell r="I5163" t="str">
            <v>sim</v>
          </cell>
          <cell r="V5163" t="str">
            <v>antonym</v>
          </cell>
          <cell r="W5163">
            <v>1</v>
          </cell>
          <cell r="X5163" t="str">
            <v>intens</v>
          </cell>
        </row>
        <row r="5164">
          <cell r="I5164" t="str">
            <v>sim</v>
          </cell>
          <cell r="V5164" t="str">
            <v>not neg pair</v>
          </cell>
          <cell r="W5164">
            <v>0</v>
          </cell>
          <cell r="X5164" t="str">
            <v>0</v>
          </cell>
        </row>
        <row r="5165">
          <cell r="I5165" t="str">
            <v>sim</v>
          </cell>
          <cell r="V5165" t="str">
            <v>not neg pair</v>
          </cell>
          <cell r="W5165">
            <v>0</v>
          </cell>
          <cell r="X5165" t="str">
            <v>0</v>
          </cell>
        </row>
        <row r="5166">
          <cell r="I5166" t="str">
            <v>sim</v>
          </cell>
          <cell r="V5166" t="str">
            <v>not</v>
          </cell>
          <cell r="W5166">
            <v>1</v>
          </cell>
          <cell r="X5166" t="str">
            <v>intens</v>
          </cell>
        </row>
        <row r="5167">
          <cell r="I5167" t="str">
            <v>sim</v>
          </cell>
          <cell r="V5167" t="str">
            <v>not</v>
          </cell>
          <cell r="W5167">
            <v>1</v>
          </cell>
          <cell r="X5167" t="str">
            <v>neg</v>
          </cell>
        </row>
        <row r="5168">
          <cell r="I5168" t="str">
            <v>sim</v>
          </cell>
          <cell r="V5168" t="str">
            <v>not</v>
          </cell>
          <cell r="W5168">
            <v>1</v>
          </cell>
          <cell r="X5168" t="str">
            <v>intens</v>
          </cell>
        </row>
        <row r="5169">
          <cell r="I5169" t="str">
            <v>sim</v>
          </cell>
          <cell r="V5169" t="str">
            <v>not</v>
          </cell>
          <cell r="W5169">
            <v>1</v>
          </cell>
          <cell r="X5169" t="str">
            <v>neg</v>
          </cell>
        </row>
        <row r="5170">
          <cell r="I5170" t="str">
            <v>sim</v>
          </cell>
          <cell r="V5170" t="str">
            <v>antonym</v>
          </cell>
          <cell r="W5170">
            <v>1</v>
          </cell>
          <cell r="X5170" t="str">
            <v>intens</v>
          </cell>
        </row>
        <row r="5171">
          <cell r="I5171" t="str">
            <v>sim</v>
          </cell>
          <cell r="V5171" t="str">
            <v>antonym</v>
          </cell>
          <cell r="W5171">
            <v>1</v>
          </cell>
          <cell r="X5171" t="str">
            <v>neg</v>
          </cell>
        </row>
        <row r="5172">
          <cell r="I5172" t="str">
            <v>sim</v>
          </cell>
          <cell r="V5172" t="str">
            <v>not</v>
          </cell>
          <cell r="W5172">
            <v>1</v>
          </cell>
          <cell r="X5172" t="str">
            <v>intens</v>
          </cell>
        </row>
        <row r="5173">
          <cell r="I5173" t="str">
            <v>sim</v>
          </cell>
          <cell r="V5173" t="str">
            <v>not</v>
          </cell>
          <cell r="W5173">
            <v>1</v>
          </cell>
          <cell r="X5173" t="str">
            <v>neg</v>
          </cell>
        </row>
        <row r="5174">
          <cell r="I5174" t="str">
            <v>met</v>
          </cell>
          <cell r="V5174" t="str">
            <v>0</v>
          </cell>
          <cell r="W5174">
            <v>0</v>
          </cell>
          <cell r="X5174" t="str">
            <v>0</v>
          </cell>
        </row>
        <row r="5175">
          <cell r="I5175" t="str">
            <v>met</v>
          </cell>
          <cell r="V5175" t="str">
            <v>0</v>
          </cell>
          <cell r="W5175">
            <v>0</v>
          </cell>
          <cell r="X5175" t="str">
            <v>0</v>
          </cell>
        </row>
        <row r="5176">
          <cell r="I5176" t="str">
            <v>met</v>
          </cell>
          <cell r="V5176" t="str">
            <v>0</v>
          </cell>
          <cell r="W5176">
            <v>0</v>
          </cell>
          <cell r="X5176" t="str">
            <v>0</v>
          </cell>
        </row>
        <row r="5177">
          <cell r="I5177" t="str">
            <v>met</v>
          </cell>
          <cell r="V5177" t="str">
            <v>0</v>
          </cell>
          <cell r="W5177">
            <v>0</v>
          </cell>
          <cell r="X5177" t="str">
            <v>0</v>
          </cell>
        </row>
        <row r="5178">
          <cell r="I5178" t="str">
            <v>met</v>
          </cell>
          <cell r="V5178" t="str">
            <v>0</v>
          </cell>
          <cell r="W5178">
            <v>0</v>
          </cell>
          <cell r="X5178" t="str">
            <v>0</v>
          </cell>
        </row>
        <row r="5179">
          <cell r="I5179" t="str">
            <v>met</v>
          </cell>
          <cell r="V5179" t="str">
            <v>0</v>
          </cell>
          <cell r="W5179">
            <v>0</v>
          </cell>
          <cell r="X5179" t="str">
            <v>0</v>
          </cell>
        </row>
        <row r="5180">
          <cell r="I5180" t="str">
            <v>met</v>
          </cell>
          <cell r="V5180" t="str">
            <v>0</v>
          </cell>
          <cell r="W5180">
            <v>0</v>
          </cell>
          <cell r="X5180" t="str">
            <v>0</v>
          </cell>
        </row>
        <row r="5181">
          <cell r="I5181" t="str">
            <v>met</v>
          </cell>
          <cell r="V5181" t="str">
            <v>0</v>
          </cell>
          <cell r="W5181">
            <v>0</v>
          </cell>
          <cell r="X5181" t="str">
            <v>0</v>
          </cell>
        </row>
        <row r="5182">
          <cell r="I5182" t="str">
            <v>met</v>
          </cell>
          <cell r="V5182" t="str">
            <v>0</v>
          </cell>
          <cell r="W5182">
            <v>0</v>
          </cell>
          <cell r="X5182" t="str">
            <v>0</v>
          </cell>
        </row>
        <row r="5183">
          <cell r="I5183" t="str">
            <v>met</v>
          </cell>
          <cell r="V5183" t="str">
            <v>0</v>
          </cell>
          <cell r="W5183">
            <v>0</v>
          </cell>
          <cell r="X5183" t="str">
            <v>0</v>
          </cell>
        </row>
        <row r="5184">
          <cell r="I5184" t="str">
            <v>met</v>
          </cell>
          <cell r="V5184" t="str">
            <v>0</v>
          </cell>
          <cell r="W5184">
            <v>0</v>
          </cell>
          <cell r="X5184" t="str">
            <v>0</v>
          </cell>
        </row>
        <row r="5185">
          <cell r="I5185" t="str">
            <v>met</v>
          </cell>
          <cell r="V5185" t="str">
            <v>0</v>
          </cell>
          <cell r="W5185">
            <v>0</v>
          </cell>
          <cell r="X5185" t="str">
            <v>0</v>
          </cell>
        </row>
        <row r="5186">
          <cell r="I5186" t="str">
            <v>sim</v>
          </cell>
          <cell r="V5186" t="str">
            <v>not neg pair</v>
          </cell>
          <cell r="W5186">
            <v>0</v>
          </cell>
          <cell r="X5186" t="str">
            <v>0</v>
          </cell>
        </row>
        <row r="5187">
          <cell r="I5187" t="str">
            <v>sim</v>
          </cell>
          <cell r="V5187" t="str">
            <v>not neg pair</v>
          </cell>
          <cell r="W5187">
            <v>0</v>
          </cell>
          <cell r="X5187" t="str">
            <v>0</v>
          </cell>
        </row>
        <row r="5188">
          <cell r="I5188" t="str">
            <v>sim</v>
          </cell>
          <cell r="V5188" t="str">
            <v>not neg pair</v>
          </cell>
          <cell r="W5188">
            <v>0</v>
          </cell>
          <cell r="X5188" t="str">
            <v>0</v>
          </cell>
        </row>
        <row r="5189">
          <cell r="I5189" t="str">
            <v>sim</v>
          </cell>
          <cell r="V5189" t="str">
            <v>not neg pair</v>
          </cell>
          <cell r="W5189">
            <v>0</v>
          </cell>
          <cell r="X5189" t="str">
            <v>0</v>
          </cell>
        </row>
        <row r="5190">
          <cell r="I5190" t="str">
            <v>sim</v>
          </cell>
          <cell r="V5190" t="str">
            <v>antonym</v>
          </cell>
          <cell r="W5190">
            <v>1</v>
          </cell>
          <cell r="X5190" t="str">
            <v>intens</v>
          </cell>
        </row>
        <row r="5191">
          <cell r="I5191" t="str">
            <v>sim</v>
          </cell>
          <cell r="V5191" t="str">
            <v>antonym</v>
          </cell>
          <cell r="W5191">
            <v>1</v>
          </cell>
          <cell r="X5191" t="str">
            <v>neg</v>
          </cell>
        </row>
        <row r="5192">
          <cell r="I5192" t="str">
            <v>met</v>
          </cell>
          <cell r="V5192" t="str">
            <v>0</v>
          </cell>
          <cell r="W5192">
            <v>0</v>
          </cell>
          <cell r="X5192" t="str">
            <v>0</v>
          </cell>
        </row>
        <row r="5193">
          <cell r="I5193" t="str">
            <v>met</v>
          </cell>
          <cell r="V5193" t="str">
            <v>0</v>
          </cell>
          <cell r="W5193">
            <v>0</v>
          </cell>
          <cell r="X5193" t="str">
            <v>0</v>
          </cell>
        </row>
        <row r="5194">
          <cell r="I5194" t="str">
            <v>met</v>
          </cell>
          <cell r="V5194" t="str">
            <v>0</v>
          </cell>
          <cell r="W5194">
            <v>0</v>
          </cell>
          <cell r="X5194" t="str">
            <v>0</v>
          </cell>
        </row>
        <row r="5195">
          <cell r="I5195" t="str">
            <v>met</v>
          </cell>
          <cell r="V5195" t="str">
            <v>0</v>
          </cell>
          <cell r="W5195">
            <v>0</v>
          </cell>
          <cell r="X5195" t="str">
            <v>0</v>
          </cell>
        </row>
        <row r="5196">
          <cell r="I5196" t="str">
            <v>met</v>
          </cell>
          <cell r="V5196" t="str">
            <v>0</v>
          </cell>
          <cell r="W5196">
            <v>0</v>
          </cell>
          <cell r="X5196" t="str">
            <v>0</v>
          </cell>
        </row>
        <row r="5197">
          <cell r="I5197" t="str">
            <v>met</v>
          </cell>
          <cell r="V5197" t="str">
            <v>0</v>
          </cell>
          <cell r="W5197">
            <v>0</v>
          </cell>
          <cell r="X5197" t="str">
            <v>0</v>
          </cell>
        </row>
        <row r="5198">
          <cell r="I5198" t="str">
            <v>sim</v>
          </cell>
          <cell r="V5198" t="str">
            <v>not neg pair</v>
          </cell>
          <cell r="W5198">
            <v>0</v>
          </cell>
          <cell r="X5198" t="str">
            <v>0</v>
          </cell>
        </row>
        <row r="5199">
          <cell r="I5199" t="str">
            <v>sim</v>
          </cell>
          <cell r="V5199" t="str">
            <v>not neg pair</v>
          </cell>
          <cell r="W5199">
            <v>0</v>
          </cell>
          <cell r="X5199" t="str">
            <v>0</v>
          </cell>
        </row>
        <row r="5200">
          <cell r="I5200" t="str">
            <v>sim</v>
          </cell>
          <cell r="V5200" t="str">
            <v>not neg pair</v>
          </cell>
          <cell r="W5200">
            <v>0</v>
          </cell>
          <cell r="X5200" t="str">
            <v>0</v>
          </cell>
        </row>
        <row r="5201">
          <cell r="I5201" t="str">
            <v>sim</v>
          </cell>
          <cell r="V5201" t="str">
            <v>not neg pair</v>
          </cell>
          <cell r="W5201">
            <v>0</v>
          </cell>
          <cell r="X5201" t="str">
            <v>0</v>
          </cell>
        </row>
        <row r="5202">
          <cell r="I5202" t="str">
            <v>met</v>
          </cell>
          <cell r="V5202" t="str">
            <v>0</v>
          </cell>
          <cell r="W5202">
            <v>0</v>
          </cell>
          <cell r="X5202" t="str">
            <v>0</v>
          </cell>
        </row>
        <row r="5203">
          <cell r="I5203" t="str">
            <v>met</v>
          </cell>
          <cell r="V5203" t="str">
            <v>0</v>
          </cell>
          <cell r="W5203">
            <v>0</v>
          </cell>
          <cell r="X5203" t="str">
            <v>0</v>
          </cell>
        </row>
        <row r="5204">
          <cell r="I5204" t="str">
            <v>sim</v>
          </cell>
          <cell r="V5204" t="str">
            <v>not neg pair</v>
          </cell>
          <cell r="W5204">
            <v>0</v>
          </cell>
          <cell r="X5204" t="str">
            <v>0</v>
          </cell>
        </row>
        <row r="5205">
          <cell r="I5205" t="str">
            <v>sim</v>
          </cell>
          <cell r="V5205" t="str">
            <v>not neg pair</v>
          </cell>
          <cell r="W5205">
            <v>0</v>
          </cell>
          <cell r="X5205" t="str">
            <v>0</v>
          </cell>
        </row>
        <row r="5206">
          <cell r="I5206" t="str">
            <v>sim</v>
          </cell>
          <cell r="V5206" t="str">
            <v>not neg pair</v>
          </cell>
          <cell r="W5206">
            <v>0</v>
          </cell>
          <cell r="X5206" t="str">
            <v>0</v>
          </cell>
        </row>
        <row r="5207">
          <cell r="I5207" t="str">
            <v>sim</v>
          </cell>
          <cell r="V5207" t="str">
            <v>not neg pair</v>
          </cell>
          <cell r="W5207">
            <v>0</v>
          </cell>
          <cell r="X5207" t="str">
            <v>0</v>
          </cell>
        </row>
        <row r="5208">
          <cell r="I5208" t="str">
            <v>sim</v>
          </cell>
          <cell r="V5208" t="str">
            <v>not neg pair</v>
          </cell>
          <cell r="W5208">
            <v>0</v>
          </cell>
          <cell r="X5208" t="str">
            <v>0</v>
          </cell>
        </row>
        <row r="5209">
          <cell r="I5209" t="str">
            <v>sim</v>
          </cell>
          <cell r="V5209" t="str">
            <v>not neg pair</v>
          </cell>
          <cell r="W5209">
            <v>0</v>
          </cell>
          <cell r="X5209" t="str">
            <v>0</v>
          </cell>
        </row>
        <row r="5210">
          <cell r="I5210" t="str">
            <v>sim</v>
          </cell>
          <cell r="V5210" t="str">
            <v>not neg pair</v>
          </cell>
          <cell r="W5210">
            <v>0</v>
          </cell>
          <cell r="X5210" t="str">
            <v>0</v>
          </cell>
        </row>
        <row r="5211">
          <cell r="I5211" t="str">
            <v>sim</v>
          </cell>
          <cell r="V5211" t="str">
            <v>not neg pair</v>
          </cell>
          <cell r="W5211">
            <v>0</v>
          </cell>
          <cell r="X5211" t="str">
            <v>0</v>
          </cell>
        </row>
        <row r="5212">
          <cell r="I5212" t="str">
            <v>sim</v>
          </cell>
          <cell r="V5212" t="str">
            <v>not</v>
          </cell>
          <cell r="W5212">
            <v>1</v>
          </cell>
          <cell r="X5212" t="str">
            <v>intens</v>
          </cell>
        </row>
        <row r="5213">
          <cell r="I5213" t="str">
            <v>sim</v>
          </cell>
          <cell r="V5213" t="str">
            <v>not</v>
          </cell>
          <cell r="W5213">
            <v>1</v>
          </cell>
          <cell r="X5213" t="str">
            <v>neg</v>
          </cell>
        </row>
        <row r="5214">
          <cell r="I5214" t="str">
            <v>sim</v>
          </cell>
          <cell r="V5214" t="str">
            <v>not neg pair</v>
          </cell>
          <cell r="W5214">
            <v>0</v>
          </cell>
          <cell r="X5214" t="str">
            <v>0</v>
          </cell>
        </row>
        <row r="5215">
          <cell r="I5215" t="str">
            <v>sim</v>
          </cell>
          <cell r="V5215" t="str">
            <v>not neg pair</v>
          </cell>
          <cell r="W5215">
            <v>0</v>
          </cell>
          <cell r="X5215" t="str">
            <v>0</v>
          </cell>
        </row>
        <row r="5216">
          <cell r="I5216" t="str">
            <v>sim</v>
          </cell>
          <cell r="V5216" t="str">
            <v>not neg pair</v>
          </cell>
          <cell r="W5216">
            <v>0</v>
          </cell>
          <cell r="X5216" t="str">
            <v>0</v>
          </cell>
        </row>
        <row r="5217">
          <cell r="I5217" t="str">
            <v>sim</v>
          </cell>
          <cell r="V5217" t="str">
            <v>not neg pair</v>
          </cell>
          <cell r="W5217">
            <v>0</v>
          </cell>
          <cell r="X5217" t="str">
            <v>0</v>
          </cell>
        </row>
        <row r="5218">
          <cell r="I5218" t="str">
            <v>sim</v>
          </cell>
          <cell r="V5218" t="str">
            <v>not neg pair</v>
          </cell>
          <cell r="W5218">
            <v>0</v>
          </cell>
          <cell r="X5218" t="str">
            <v>0</v>
          </cell>
        </row>
        <row r="5219">
          <cell r="I5219" t="str">
            <v>sim</v>
          </cell>
          <cell r="V5219" t="str">
            <v>not neg pair</v>
          </cell>
          <cell r="W5219">
            <v>0</v>
          </cell>
          <cell r="X5219" t="str">
            <v>0</v>
          </cell>
        </row>
        <row r="5220">
          <cell r="I5220" t="str">
            <v>met</v>
          </cell>
          <cell r="V5220" t="str">
            <v>0</v>
          </cell>
          <cell r="W5220">
            <v>0</v>
          </cell>
          <cell r="X5220" t="str">
            <v>0</v>
          </cell>
        </row>
        <row r="5221">
          <cell r="I5221" t="str">
            <v>met</v>
          </cell>
          <cell r="V5221" t="str">
            <v>0</v>
          </cell>
          <cell r="W5221">
            <v>0</v>
          </cell>
          <cell r="X5221" t="str">
            <v>0</v>
          </cell>
        </row>
        <row r="5222">
          <cell r="I5222" t="str">
            <v>met</v>
          </cell>
          <cell r="V5222" t="str">
            <v>0</v>
          </cell>
          <cell r="W5222">
            <v>0</v>
          </cell>
          <cell r="X5222" t="str">
            <v>0</v>
          </cell>
        </row>
        <row r="5223">
          <cell r="I5223" t="str">
            <v>met</v>
          </cell>
          <cell r="V5223" t="str">
            <v>0</v>
          </cell>
          <cell r="W5223">
            <v>0</v>
          </cell>
          <cell r="X5223" t="str">
            <v>0</v>
          </cell>
        </row>
        <row r="5224">
          <cell r="I5224" t="str">
            <v>sim</v>
          </cell>
          <cell r="V5224" t="str">
            <v>not neg pair</v>
          </cell>
          <cell r="W5224">
            <v>0</v>
          </cell>
          <cell r="X5224" t="str">
            <v>0</v>
          </cell>
        </row>
        <row r="5225">
          <cell r="I5225" t="str">
            <v>sim</v>
          </cell>
          <cell r="V5225" t="str">
            <v>not neg pair</v>
          </cell>
          <cell r="W5225">
            <v>0</v>
          </cell>
          <cell r="X5225" t="str">
            <v>0</v>
          </cell>
        </row>
        <row r="5226">
          <cell r="I5226" t="str">
            <v>sim</v>
          </cell>
          <cell r="V5226" t="str">
            <v>not</v>
          </cell>
          <cell r="W5226">
            <v>1</v>
          </cell>
          <cell r="X5226" t="str">
            <v>intens</v>
          </cell>
        </row>
        <row r="5227">
          <cell r="I5227" t="str">
            <v>sim</v>
          </cell>
          <cell r="V5227" t="str">
            <v>not</v>
          </cell>
          <cell r="W5227">
            <v>1</v>
          </cell>
          <cell r="X5227" t="str">
            <v>neg</v>
          </cell>
        </row>
        <row r="5228">
          <cell r="I5228" t="str">
            <v>sim</v>
          </cell>
          <cell r="V5228" t="str">
            <v>not</v>
          </cell>
          <cell r="W5228">
            <v>1</v>
          </cell>
          <cell r="X5228" t="str">
            <v>neg</v>
          </cell>
        </row>
        <row r="5229">
          <cell r="I5229" t="str">
            <v>sim</v>
          </cell>
          <cell r="V5229" t="str">
            <v>not</v>
          </cell>
          <cell r="W5229">
            <v>1</v>
          </cell>
          <cell r="X5229" t="str">
            <v>intens</v>
          </cell>
        </row>
        <row r="5230">
          <cell r="I5230" t="str">
            <v>sim</v>
          </cell>
          <cell r="V5230" t="str">
            <v>not neg pair</v>
          </cell>
          <cell r="W5230">
            <v>0</v>
          </cell>
          <cell r="X5230" t="str">
            <v>0</v>
          </cell>
        </row>
        <row r="5231">
          <cell r="I5231" t="str">
            <v>sim</v>
          </cell>
          <cell r="V5231" t="str">
            <v>not neg pair</v>
          </cell>
          <cell r="W5231">
            <v>0</v>
          </cell>
          <cell r="X5231" t="str">
            <v>0</v>
          </cell>
        </row>
        <row r="5232">
          <cell r="I5232" t="str">
            <v>met</v>
          </cell>
          <cell r="V5232" t="str">
            <v>0</v>
          </cell>
          <cell r="W5232">
            <v>0</v>
          </cell>
          <cell r="X5232" t="str">
            <v>0</v>
          </cell>
        </row>
        <row r="5233">
          <cell r="I5233" t="str">
            <v>met</v>
          </cell>
          <cell r="V5233" t="str">
            <v>0</v>
          </cell>
          <cell r="W5233">
            <v>0</v>
          </cell>
          <cell r="X5233" t="str">
            <v>0</v>
          </cell>
        </row>
        <row r="5234">
          <cell r="I5234" t="str">
            <v>met</v>
          </cell>
          <cell r="V5234" t="str">
            <v>0</v>
          </cell>
          <cell r="W5234">
            <v>0</v>
          </cell>
          <cell r="X5234" t="str">
            <v>0</v>
          </cell>
        </row>
        <row r="5235">
          <cell r="I5235" t="str">
            <v>met</v>
          </cell>
          <cell r="V5235" t="str">
            <v>0</v>
          </cell>
          <cell r="W5235">
            <v>0</v>
          </cell>
          <cell r="X5235" t="str">
            <v>0</v>
          </cell>
        </row>
        <row r="5236">
          <cell r="I5236" t="str">
            <v>met</v>
          </cell>
          <cell r="V5236" t="str">
            <v>0</v>
          </cell>
          <cell r="W5236">
            <v>0</v>
          </cell>
          <cell r="X5236" t="str">
            <v>0</v>
          </cell>
        </row>
        <row r="5237">
          <cell r="I5237" t="str">
            <v>met</v>
          </cell>
          <cell r="V5237" t="str">
            <v>0</v>
          </cell>
          <cell r="W5237">
            <v>0</v>
          </cell>
          <cell r="X5237" t="str">
            <v>0</v>
          </cell>
        </row>
        <row r="5238">
          <cell r="I5238" t="str">
            <v>sim</v>
          </cell>
          <cell r="V5238" t="str">
            <v>not neg pair</v>
          </cell>
          <cell r="W5238">
            <v>0</v>
          </cell>
          <cell r="X5238" t="str">
            <v>0</v>
          </cell>
        </row>
        <row r="5239">
          <cell r="I5239" t="str">
            <v>sim</v>
          </cell>
          <cell r="V5239" t="str">
            <v>not neg pair</v>
          </cell>
          <cell r="W5239">
            <v>0</v>
          </cell>
          <cell r="X5239" t="str">
            <v>0</v>
          </cell>
        </row>
        <row r="5240">
          <cell r="I5240" t="str">
            <v>sim</v>
          </cell>
          <cell r="V5240" t="str">
            <v>not neg pair</v>
          </cell>
          <cell r="W5240">
            <v>0</v>
          </cell>
          <cell r="X5240" t="str">
            <v>0</v>
          </cell>
        </row>
        <row r="5241">
          <cell r="I5241" t="str">
            <v>sim</v>
          </cell>
          <cell r="V5241" t="str">
            <v>not neg pair</v>
          </cell>
          <cell r="W5241">
            <v>0</v>
          </cell>
          <cell r="X5241" t="str">
            <v>0</v>
          </cell>
        </row>
        <row r="5242">
          <cell r="I5242" t="str">
            <v>sim</v>
          </cell>
          <cell r="V5242" t="str">
            <v>antonym</v>
          </cell>
          <cell r="W5242">
            <v>1</v>
          </cell>
          <cell r="X5242" t="str">
            <v>intens</v>
          </cell>
        </row>
        <row r="5243">
          <cell r="I5243" t="str">
            <v>sim</v>
          </cell>
          <cell r="V5243" t="str">
            <v>antonym</v>
          </cell>
          <cell r="W5243">
            <v>1</v>
          </cell>
          <cell r="X5243" t="str">
            <v>neg</v>
          </cell>
        </row>
        <row r="5244">
          <cell r="I5244" t="str">
            <v>sim</v>
          </cell>
          <cell r="V5244" t="str">
            <v>not neg pair</v>
          </cell>
          <cell r="W5244">
            <v>0</v>
          </cell>
          <cell r="X5244" t="str">
            <v>0</v>
          </cell>
        </row>
        <row r="5245">
          <cell r="I5245" t="str">
            <v>sim</v>
          </cell>
          <cell r="V5245" t="str">
            <v>not neg pair</v>
          </cell>
          <cell r="W5245">
            <v>0</v>
          </cell>
          <cell r="X5245" t="str">
            <v>0</v>
          </cell>
        </row>
        <row r="5246">
          <cell r="I5246" t="str">
            <v>sim</v>
          </cell>
          <cell r="V5246" t="str">
            <v>not neg pair</v>
          </cell>
          <cell r="W5246">
            <v>0</v>
          </cell>
          <cell r="X5246" t="str">
            <v>0</v>
          </cell>
        </row>
        <row r="5247">
          <cell r="I5247" t="str">
            <v>sim</v>
          </cell>
          <cell r="V5247" t="str">
            <v>not neg pair</v>
          </cell>
          <cell r="W5247">
            <v>0</v>
          </cell>
          <cell r="X5247" t="str">
            <v>0</v>
          </cell>
        </row>
        <row r="5248">
          <cell r="I5248" t="str">
            <v>met</v>
          </cell>
          <cell r="V5248" t="str">
            <v>0</v>
          </cell>
          <cell r="W5248">
            <v>0</v>
          </cell>
          <cell r="X5248" t="str">
            <v>0</v>
          </cell>
        </row>
        <row r="5249">
          <cell r="I5249" t="str">
            <v>met</v>
          </cell>
          <cell r="V5249" t="str">
            <v>0</v>
          </cell>
          <cell r="W5249">
            <v>0</v>
          </cell>
          <cell r="X5249" t="str">
            <v>0</v>
          </cell>
        </row>
        <row r="5250">
          <cell r="I5250" t="str">
            <v>sim</v>
          </cell>
          <cell r="V5250" t="str">
            <v>not neg pair</v>
          </cell>
          <cell r="W5250">
            <v>0</v>
          </cell>
          <cell r="X5250" t="str">
            <v>0</v>
          </cell>
        </row>
        <row r="5251">
          <cell r="I5251" t="str">
            <v>sim</v>
          </cell>
          <cell r="V5251" t="str">
            <v>not neg pair</v>
          </cell>
          <cell r="W5251">
            <v>0</v>
          </cell>
          <cell r="X5251" t="str">
            <v>0</v>
          </cell>
        </row>
        <row r="5252">
          <cell r="I5252" t="str">
            <v>sim</v>
          </cell>
          <cell r="V5252" t="str">
            <v>not</v>
          </cell>
          <cell r="W5252">
            <v>1</v>
          </cell>
          <cell r="X5252" t="str">
            <v>intens</v>
          </cell>
        </row>
        <row r="5253">
          <cell r="I5253" t="str">
            <v>sim</v>
          </cell>
          <cell r="V5253" t="str">
            <v>not</v>
          </cell>
          <cell r="W5253">
            <v>1</v>
          </cell>
          <cell r="X5253" t="str">
            <v>neg</v>
          </cell>
        </row>
        <row r="5254">
          <cell r="I5254" t="str">
            <v>sim</v>
          </cell>
          <cell r="V5254" t="str">
            <v>not</v>
          </cell>
          <cell r="W5254">
            <v>1</v>
          </cell>
          <cell r="X5254" t="str">
            <v>intens</v>
          </cell>
        </row>
        <row r="5255">
          <cell r="I5255" t="str">
            <v>sim</v>
          </cell>
          <cell r="V5255" t="str">
            <v>not</v>
          </cell>
          <cell r="W5255">
            <v>1</v>
          </cell>
          <cell r="X5255" t="str">
            <v>neg</v>
          </cell>
        </row>
        <row r="5256">
          <cell r="I5256" t="str">
            <v>sim</v>
          </cell>
          <cell r="V5256" t="str">
            <v>not neg pair</v>
          </cell>
          <cell r="W5256">
            <v>0</v>
          </cell>
          <cell r="X5256" t="str">
            <v>0</v>
          </cell>
        </row>
        <row r="5257">
          <cell r="I5257" t="str">
            <v>sim</v>
          </cell>
          <cell r="V5257" t="str">
            <v>not neg pair</v>
          </cell>
          <cell r="W5257">
            <v>0</v>
          </cell>
          <cell r="X5257" t="str">
            <v>0</v>
          </cell>
        </row>
        <row r="5258">
          <cell r="I5258" t="str">
            <v>sim</v>
          </cell>
          <cell r="V5258" t="str">
            <v>not neg pair</v>
          </cell>
          <cell r="W5258">
            <v>0</v>
          </cell>
          <cell r="X5258" t="str">
            <v>0</v>
          </cell>
        </row>
        <row r="5259">
          <cell r="I5259" t="str">
            <v>sim</v>
          </cell>
          <cell r="V5259" t="str">
            <v>not neg pair</v>
          </cell>
          <cell r="W5259">
            <v>0</v>
          </cell>
          <cell r="X5259" t="str">
            <v>0</v>
          </cell>
        </row>
        <row r="5260">
          <cell r="I5260" t="str">
            <v>sim</v>
          </cell>
          <cell r="V5260" t="str">
            <v>not neg pair</v>
          </cell>
          <cell r="W5260">
            <v>0</v>
          </cell>
          <cell r="X5260" t="str">
            <v>0</v>
          </cell>
        </row>
        <row r="5261">
          <cell r="I5261" t="str">
            <v>sim</v>
          </cell>
          <cell r="V5261" t="str">
            <v>not neg pair</v>
          </cell>
          <cell r="W5261">
            <v>0</v>
          </cell>
          <cell r="X5261" t="str">
            <v>0</v>
          </cell>
        </row>
        <row r="5262">
          <cell r="I5262" t="str">
            <v>met</v>
          </cell>
          <cell r="V5262" t="str">
            <v>0</v>
          </cell>
          <cell r="W5262">
            <v>0</v>
          </cell>
          <cell r="X5262" t="str">
            <v>0</v>
          </cell>
        </row>
        <row r="5263">
          <cell r="I5263" t="str">
            <v>met</v>
          </cell>
          <cell r="V5263" t="str">
            <v>0</v>
          </cell>
          <cell r="W5263">
            <v>0</v>
          </cell>
          <cell r="X5263" t="str">
            <v>0</v>
          </cell>
        </row>
        <row r="5264">
          <cell r="I5264" t="str">
            <v>met</v>
          </cell>
          <cell r="V5264" t="str">
            <v>0</v>
          </cell>
          <cell r="W5264">
            <v>0</v>
          </cell>
          <cell r="X5264" t="str">
            <v>0</v>
          </cell>
        </row>
        <row r="5265">
          <cell r="I5265" t="str">
            <v>met</v>
          </cell>
          <cell r="V5265" t="str">
            <v>0</v>
          </cell>
          <cell r="W5265">
            <v>0</v>
          </cell>
          <cell r="X5265" t="str">
            <v>0</v>
          </cell>
        </row>
        <row r="5266">
          <cell r="I5266" t="str">
            <v>met</v>
          </cell>
          <cell r="V5266" t="str">
            <v>0</v>
          </cell>
          <cell r="W5266">
            <v>0</v>
          </cell>
          <cell r="X5266" t="str">
            <v>0</v>
          </cell>
        </row>
        <row r="5267">
          <cell r="I5267" t="str">
            <v>met</v>
          </cell>
          <cell r="V5267" t="str">
            <v>0</v>
          </cell>
          <cell r="W5267">
            <v>0</v>
          </cell>
          <cell r="X5267" t="str">
            <v>0</v>
          </cell>
        </row>
        <row r="5268">
          <cell r="I5268" t="str">
            <v>sim</v>
          </cell>
          <cell r="V5268" t="str">
            <v>not</v>
          </cell>
          <cell r="W5268">
            <v>1</v>
          </cell>
          <cell r="X5268" t="str">
            <v>intens</v>
          </cell>
        </row>
        <row r="5269">
          <cell r="I5269" t="str">
            <v>sim</v>
          </cell>
          <cell r="V5269" t="str">
            <v>not</v>
          </cell>
          <cell r="W5269">
            <v>1</v>
          </cell>
          <cell r="X5269" t="str">
            <v>neg</v>
          </cell>
        </row>
        <row r="5270">
          <cell r="I5270" t="str">
            <v>sim</v>
          </cell>
          <cell r="V5270" t="str">
            <v>not neg pair</v>
          </cell>
          <cell r="W5270">
            <v>0</v>
          </cell>
          <cell r="X5270" t="str">
            <v>0</v>
          </cell>
        </row>
        <row r="5271">
          <cell r="I5271" t="str">
            <v>sim</v>
          </cell>
          <cell r="V5271" t="str">
            <v>not neg pair</v>
          </cell>
          <cell r="W5271">
            <v>0</v>
          </cell>
          <cell r="X5271" t="str">
            <v>0</v>
          </cell>
        </row>
        <row r="5272">
          <cell r="I5272" t="str">
            <v>sim</v>
          </cell>
          <cell r="V5272" t="str">
            <v>not neg pair</v>
          </cell>
          <cell r="W5272">
            <v>0</v>
          </cell>
          <cell r="X5272" t="str">
            <v>0</v>
          </cell>
        </row>
        <row r="5273">
          <cell r="I5273" t="str">
            <v>sim</v>
          </cell>
          <cell r="V5273" t="str">
            <v>not neg pair</v>
          </cell>
          <cell r="W5273">
            <v>0</v>
          </cell>
          <cell r="X5273" t="str">
            <v>0</v>
          </cell>
        </row>
        <row r="5274">
          <cell r="I5274" t="str">
            <v>sim</v>
          </cell>
          <cell r="V5274" t="str">
            <v>not neg pair</v>
          </cell>
          <cell r="W5274">
            <v>0</v>
          </cell>
          <cell r="X5274" t="str">
            <v>0</v>
          </cell>
        </row>
        <row r="5275">
          <cell r="I5275" t="str">
            <v>sim</v>
          </cell>
          <cell r="V5275" t="str">
            <v>not neg pair</v>
          </cell>
          <cell r="W5275">
            <v>0</v>
          </cell>
          <cell r="X5275" t="str">
            <v>0</v>
          </cell>
        </row>
        <row r="5276">
          <cell r="I5276" t="str">
            <v>sim</v>
          </cell>
          <cell r="V5276" t="str">
            <v>not neg pair</v>
          </cell>
          <cell r="W5276">
            <v>0</v>
          </cell>
          <cell r="X5276" t="str">
            <v>0</v>
          </cell>
        </row>
        <row r="5277">
          <cell r="I5277" t="str">
            <v>sim</v>
          </cell>
          <cell r="V5277" t="str">
            <v>not neg pair</v>
          </cell>
          <cell r="W5277">
            <v>0</v>
          </cell>
          <cell r="X5277" t="str">
            <v>0</v>
          </cell>
        </row>
        <row r="5278">
          <cell r="I5278" t="str">
            <v>sim</v>
          </cell>
          <cell r="V5278" t="str">
            <v>not</v>
          </cell>
          <cell r="W5278">
            <v>1</v>
          </cell>
          <cell r="X5278" t="str">
            <v>intens</v>
          </cell>
        </row>
        <row r="5279">
          <cell r="I5279" t="str">
            <v>sim</v>
          </cell>
          <cell r="V5279" t="str">
            <v>not</v>
          </cell>
          <cell r="W5279">
            <v>1</v>
          </cell>
          <cell r="X5279" t="str">
            <v>neg</v>
          </cell>
        </row>
        <row r="5280">
          <cell r="I5280" t="str">
            <v>sim</v>
          </cell>
          <cell r="V5280" t="str">
            <v>not</v>
          </cell>
          <cell r="W5280">
            <v>1</v>
          </cell>
          <cell r="X5280" t="str">
            <v>intens</v>
          </cell>
        </row>
        <row r="5281">
          <cell r="I5281" t="str">
            <v>sim</v>
          </cell>
          <cell r="V5281" t="str">
            <v>not</v>
          </cell>
          <cell r="W5281">
            <v>1</v>
          </cell>
          <cell r="X5281" t="str">
            <v>neg</v>
          </cell>
        </row>
        <row r="5282">
          <cell r="I5282" t="str">
            <v>sim</v>
          </cell>
          <cell r="V5282" t="str">
            <v>not</v>
          </cell>
          <cell r="W5282">
            <v>1</v>
          </cell>
          <cell r="X5282" t="str">
            <v>intens</v>
          </cell>
        </row>
        <row r="5283">
          <cell r="I5283" t="str">
            <v>sim</v>
          </cell>
          <cell r="V5283" t="str">
            <v>not</v>
          </cell>
          <cell r="W5283">
            <v>1</v>
          </cell>
          <cell r="X5283" t="str">
            <v>neg</v>
          </cell>
        </row>
        <row r="5284">
          <cell r="I5284" t="str">
            <v>sim</v>
          </cell>
          <cell r="V5284" t="str">
            <v>not neg pair</v>
          </cell>
          <cell r="W5284">
            <v>0</v>
          </cell>
          <cell r="X5284" t="str">
            <v>0</v>
          </cell>
        </row>
        <row r="5285">
          <cell r="I5285" t="str">
            <v>sim</v>
          </cell>
          <cell r="V5285" t="str">
            <v>not neg pair</v>
          </cell>
          <cell r="W5285">
            <v>0</v>
          </cell>
          <cell r="X5285" t="str">
            <v>0</v>
          </cell>
        </row>
        <row r="5286">
          <cell r="I5286" t="str">
            <v>sim</v>
          </cell>
          <cell r="V5286" t="str">
            <v>antonym</v>
          </cell>
          <cell r="W5286">
            <v>1</v>
          </cell>
          <cell r="X5286" t="str">
            <v>intens</v>
          </cell>
        </row>
        <row r="5287">
          <cell r="I5287" t="str">
            <v>sim</v>
          </cell>
          <cell r="V5287" t="str">
            <v>antonym</v>
          </cell>
          <cell r="W5287">
            <v>1</v>
          </cell>
          <cell r="X5287" t="str">
            <v>neg</v>
          </cell>
        </row>
        <row r="5288">
          <cell r="I5288" t="str">
            <v>sim</v>
          </cell>
          <cell r="V5288" t="str">
            <v>not neg pair</v>
          </cell>
          <cell r="W5288">
            <v>0</v>
          </cell>
          <cell r="X5288" t="str">
            <v>0</v>
          </cell>
        </row>
        <row r="5289">
          <cell r="I5289" t="str">
            <v>sim</v>
          </cell>
          <cell r="V5289" t="str">
            <v>not neg pair</v>
          </cell>
          <cell r="W5289">
            <v>0</v>
          </cell>
          <cell r="X5289" t="str">
            <v>0</v>
          </cell>
        </row>
        <row r="5290">
          <cell r="I5290" t="str">
            <v>sim</v>
          </cell>
          <cell r="V5290" t="str">
            <v>not</v>
          </cell>
          <cell r="W5290">
            <v>1</v>
          </cell>
          <cell r="X5290" t="str">
            <v>intens</v>
          </cell>
        </row>
        <row r="5291">
          <cell r="I5291" t="str">
            <v>sim</v>
          </cell>
          <cell r="V5291" t="str">
            <v>not</v>
          </cell>
          <cell r="W5291">
            <v>1</v>
          </cell>
          <cell r="X5291" t="str">
            <v>neg</v>
          </cell>
        </row>
        <row r="5292">
          <cell r="I5292" t="str">
            <v>sim</v>
          </cell>
          <cell r="V5292" t="str">
            <v>antonym</v>
          </cell>
          <cell r="W5292">
            <v>1</v>
          </cell>
          <cell r="X5292" t="str">
            <v>intens</v>
          </cell>
        </row>
        <row r="5293">
          <cell r="I5293" t="str">
            <v>sim</v>
          </cell>
          <cell r="V5293" t="str">
            <v>antonym</v>
          </cell>
          <cell r="W5293">
            <v>1</v>
          </cell>
          <cell r="X5293" t="str">
            <v>neg</v>
          </cell>
        </row>
        <row r="5294">
          <cell r="I5294" t="str">
            <v>sim</v>
          </cell>
          <cell r="V5294" t="str">
            <v>not neg pair</v>
          </cell>
          <cell r="W5294">
            <v>0</v>
          </cell>
          <cell r="X5294" t="str">
            <v>0</v>
          </cell>
        </row>
        <row r="5295">
          <cell r="I5295" t="str">
            <v>sim</v>
          </cell>
          <cell r="V5295" t="str">
            <v>not neg pair</v>
          </cell>
          <cell r="W5295">
            <v>0</v>
          </cell>
          <cell r="X5295" t="str">
            <v>0</v>
          </cell>
        </row>
        <row r="5296">
          <cell r="I5296" t="str">
            <v>sim</v>
          </cell>
          <cell r="V5296" t="str">
            <v>not neg pair</v>
          </cell>
          <cell r="W5296">
            <v>0</v>
          </cell>
          <cell r="X5296" t="str">
            <v>0</v>
          </cell>
        </row>
        <row r="5297">
          <cell r="I5297" t="str">
            <v>sim</v>
          </cell>
          <cell r="V5297" t="str">
            <v>not neg pair</v>
          </cell>
          <cell r="W5297">
            <v>0</v>
          </cell>
          <cell r="X5297" t="str">
            <v>0</v>
          </cell>
        </row>
        <row r="5298">
          <cell r="I5298" t="str">
            <v>sim</v>
          </cell>
          <cell r="V5298" t="str">
            <v>antonym</v>
          </cell>
          <cell r="W5298">
            <v>1</v>
          </cell>
          <cell r="X5298" t="str">
            <v>intens</v>
          </cell>
        </row>
        <row r="5299">
          <cell r="I5299" t="str">
            <v>sim</v>
          </cell>
          <cell r="V5299" t="str">
            <v>antonym</v>
          </cell>
          <cell r="W5299">
            <v>1</v>
          </cell>
          <cell r="X5299" t="str">
            <v>neg</v>
          </cell>
        </row>
        <row r="5300">
          <cell r="I5300" t="str">
            <v>sim</v>
          </cell>
          <cell r="V5300" t="str">
            <v>not</v>
          </cell>
          <cell r="W5300">
            <v>1</v>
          </cell>
          <cell r="X5300" t="str">
            <v>neg</v>
          </cell>
        </row>
        <row r="5301">
          <cell r="I5301" t="str">
            <v>sim</v>
          </cell>
          <cell r="V5301" t="str">
            <v>not</v>
          </cell>
          <cell r="W5301">
            <v>1</v>
          </cell>
          <cell r="X5301" t="str">
            <v>intens</v>
          </cell>
        </row>
        <row r="5302">
          <cell r="I5302" t="str">
            <v>sim</v>
          </cell>
          <cell r="V5302" t="str">
            <v>not</v>
          </cell>
          <cell r="W5302">
            <v>1</v>
          </cell>
          <cell r="X5302" t="str">
            <v>neg</v>
          </cell>
        </row>
        <row r="5303">
          <cell r="I5303" t="str">
            <v>sim</v>
          </cell>
          <cell r="V5303" t="str">
            <v>not</v>
          </cell>
          <cell r="W5303">
            <v>1</v>
          </cell>
          <cell r="X5303" t="str">
            <v>intens</v>
          </cell>
        </row>
        <row r="5304">
          <cell r="I5304" t="str">
            <v>sim</v>
          </cell>
          <cell r="V5304" t="str">
            <v>not</v>
          </cell>
          <cell r="W5304">
            <v>1</v>
          </cell>
          <cell r="X5304" t="str">
            <v>intens</v>
          </cell>
        </row>
        <row r="5305">
          <cell r="I5305" t="str">
            <v>sim</v>
          </cell>
          <cell r="V5305" t="str">
            <v>not</v>
          </cell>
          <cell r="W5305">
            <v>1</v>
          </cell>
          <cell r="X5305" t="str">
            <v>neg</v>
          </cell>
        </row>
        <row r="5306">
          <cell r="I5306" t="str">
            <v>sim</v>
          </cell>
          <cell r="V5306" t="str">
            <v>not</v>
          </cell>
          <cell r="W5306">
            <v>1</v>
          </cell>
          <cell r="X5306" t="str">
            <v>neg</v>
          </cell>
        </row>
        <row r="5307">
          <cell r="I5307" t="str">
            <v>sim</v>
          </cell>
          <cell r="V5307" t="str">
            <v>not</v>
          </cell>
          <cell r="W5307">
            <v>1</v>
          </cell>
          <cell r="X5307" t="str">
            <v>intens</v>
          </cell>
        </row>
        <row r="5308">
          <cell r="I5308" t="str">
            <v>met</v>
          </cell>
          <cell r="V5308" t="str">
            <v>0</v>
          </cell>
          <cell r="W5308">
            <v>0</v>
          </cell>
          <cell r="X5308" t="str">
            <v>0</v>
          </cell>
        </row>
        <row r="5309">
          <cell r="I5309" t="str">
            <v>met</v>
          </cell>
          <cell r="V5309" t="str">
            <v>0</v>
          </cell>
          <cell r="W5309">
            <v>0</v>
          </cell>
          <cell r="X5309" t="str">
            <v>0</v>
          </cell>
        </row>
        <row r="5310">
          <cell r="I5310" t="str">
            <v>sim</v>
          </cell>
          <cell r="V5310" t="str">
            <v>antonym</v>
          </cell>
          <cell r="W5310">
            <v>1</v>
          </cell>
          <cell r="X5310" t="str">
            <v>neg</v>
          </cell>
        </row>
        <row r="5311">
          <cell r="I5311" t="str">
            <v>sim</v>
          </cell>
          <cell r="V5311" t="str">
            <v>antonym</v>
          </cell>
          <cell r="W5311">
            <v>1</v>
          </cell>
          <cell r="X5311" t="str">
            <v>intens</v>
          </cell>
        </row>
        <row r="5312">
          <cell r="I5312" t="str">
            <v>sim</v>
          </cell>
          <cell r="V5312" t="str">
            <v>not</v>
          </cell>
          <cell r="W5312">
            <v>1</v>
          </cell>
          <cell r="X5312" t="str">
            <v>intens</v>
          </cell>
        </row>
        <row r="5313">
          <cell r="I5313" t="str">
            <v>sim</v>
          </cell>
          <cell r="V5313" t="str">
            <v>not</v>
          </cell>
          <cell r="W5313">
            <v>1</v>
          </cell>
          <cell r="X5313" t="str">
            <v>neg</v>
          </cell>
        </row>
        <row r="5314">
          <cell r="I5314" t="str">
            <v>sim</v>
          </cell>
          <cell r="V5314" t="str">
            <v>not</v>
          </cell>
          <cell r="W5314">
            <v>1</v>
          </cell>
          <cell r="X5314" t="str">
            <v>intens</v>
          </cell>
        </row>
        <row r="5315">
          <cell r="I5315" t="str">
            <v>sim</v>
          </cell>
          <cell r="V5315" t="str">
            <v>not</v>
          </cell>
          <cell r="W5315">
            <v>1</v>
          </cell>
          <cell r="X5315" t="str">
            <v>neg</v>
          </cell>
        </row>
        <row r="5316">
          <cell r="I5316" t="str">
            <v>sim</v>
          </cell>
          <cell r="V5316" t="str">
            <v>not</v>
          </cell>
          <cell r="W5316">
            <v>1</v>
          </cell>
          <cell r="X5316" t="str">
            <v>intens</v>
          </cell>
        </row>
        <row r="5317">
          <cell r="I5317" t="str">
            <v>sim</v>
          </cell>
          <cell r="V5317" t="str">
            <v>not</v>
          </cell>
          <cell r="W5317">
            <v>1</v>
          </cell>
          <cell r="X5317" t="str">
            <v>neg</v>
          </cell>
        </row>
        <row r="5318">
          <cell r="I5318" t="str">
            <v>sim</v>
          </cell>
          <cell r="V5318" t="str">
            <v>not neg pair</v>
          </cell>
          <cell r="W5318">
            <v>0</v>
          </cell>
          <cell r="X5318" t="str">
            <v>0</v>
          </cell>
        </row>
        <row r="5319">
          <cell r="I5319" t="str">
            <v>sim</v>
          </cell>
          <cell r="V5319" t="str">
            <v>not neg pair</v>
          </cell>
          <cell r="W5319">
            <v>0</v>
          </cell>
          <cell r="X5319" t="str">
            <v>0</v>
          </cell>
        </row>
        <row r="5320">
          <cell r="I5320" t="str">
            <v>sim</v>
          </cell>
          <cell r="V5320" t="str">
            <v>not</v>
          </cell>
          <cell r="W5320">
            <v>1</v>
          </cell>
          <cell r="X5320" t="str">
            <v>intens</v>
          </cell>
        </row>
        <row r="5321">
          <cell r="I5321" t="str">
            <v>sim</v>
          </cell>
          <cell r="V5321" t="str">
            <v>not</v>
          </cell>
          <cell r="W5321">
            <v>1</v>
          </cell>
          <cell r="X5321" t="str">
            <v>neg</v>
          </cell>
        </row>
        <row r="5322">
          <cell r="I5322" t="str">
            <v>sim</v>
          </cell>
          <cell r="V5322" t="str">
            <v>not neg pair</v>
          </cell>
          <cell r="W5322">
            <v>0</v>
          </cell>
          <cell r="X5322" t="str">
            <v>0</v>
          </cell>
        </row>
        <row r="5323">
          <cell r="I5323" t="str">
            <v>sim</v>
          </cell>
          <cell r="V5323" t="str">
            <v>not neg pair</v>
          </cell>
          <cell r="W5323">
            <v>0</v>
          </cell>
          <cell r="X5323" t="str">
            <v>0</v>
          </cell>
        </row>
        <row r="5324">
          <cell r="I5324" t="str">
            <v>sim</v>
          </cell>
          <cell r="V5324" t="str">
            <v>not neg pair</v>
          </cell>
          <cell r="W5324">
            <v>0</v>
          </cell>
          <cell r="X5324" t="str">
            <v>0</v>
          </cell>
        </row>
        <row r="5325">
          <cell r="I5325" t="str">
            <v>sim</v>
          </cell>
          <cell r="V5325" t="str">
            <v>not neg pair</v>
          </cell>
          <cell r="W5325">
            <v>0</v>
          </cell>
          <cell r="X5325" t="str">
            <v>0</v>
          </cell>
        </row>
        <row r="5326">
          <cell r="I5326" t="str">
            <v>sim</v>
          </cell>
          <cell r="V5326" t="str">
            <v>not neg pair</v>
          </cell>
          <cell r="W5326">
            <v>0</v>
          </cell>
          <cell r="X5326" t="str">
            <v>0</v>
          </cell>
        </row>
        <row r="5327">
          <cell r="I5327" t="str">
            <v>sim</v>
          </cell>
          <cell r="V5327" t="str">
            <v>not neg pair</v>
          </cell>
          <cell r="W5327">
            <v>0</v>
          </cell>
          <cell r="X5327" t="str">
            <v>0</v>
          </cell>
        </row>
        <row r="5328">
          <cell r="I5328" t="str">
            <v>sim</v>
          </cell>
          <cell r="V5328" t="str">
            <v>not</v>
          </cell>
          <cell r="W5328">
            <v>1</v>
          </cell>
          <cell r="X5328" t="str">
            <v>intens</v>
          </cell>
        </row>
        <row r="5329">
          <cell r="I5329" t="str">
            <v>sim</v>
          </cell>
          <cell r="V5329" t="str">
            <v>not</v>
          </cell>
          <cell r="W5329">
            <v>1</v>
          </cell>
          <cell r="X5329" t="str">
            <v>neg</v>
          </cell>
        </row>
        <row r="5330">
          <cell r="I5330" t="str">
            <v>met</v>
          </cell>
          <cell r="V5330" t="str">
            <v>0</v>
          </cell>
          <cell r="W5330">
            <v>0</v>
          </cell>
          <cell r="X5330" t="str">
            <v>0</v>
          </cell>
        </row>
        <row r="5331">
          <cell r="I5331" t="str">
            <v>met</v>
          </cell>
          <cell r="V5331" t="str">
            <v>0</v>
          </cell>
          <cell r="W5331">
            <v>0</v>
          </cell>
          <cell r="X5331" t="str">
            <v>0</v>
          </cell>
        </row>
        <row r="5332">
          <cell r="I5332" t="str">
            <v>met</v>
          </cell>
          <cell r="V5332" t="str">
            <v>0</v>
          </cell>
          <cell r="W5332">
            <v>0</v>
          </cell>
          <cell r="X5332" t="str">
            <v>0</v>
          </cell>
        </row>
        <row r="5333">
          <cell r="I5333" t="str">
            <v>met</v>
          </cell>
          <cell r="V5333" t="str">
            <v>0</v>
          </cell>
          <cell r="W5333">
            <v>0</v>
          </cell>
          <cell r="X5333" t="str">
            <v>0</v>
          </cell>
        </row>
        <row r="5334">
          <cell r="I5334" t="str">
            <v>sim</v>
          </cell>
          <cell r="V5334" t="str">
            <v>not neg pair</v>
          </cell>
          <cell r="W5334">
            <v>0</v>
          </cell>
          <cell r="X5334" t="str">
            <v>0</v>
          </cell>
        </row>
        <row r="5335">
          <cell r="I5335" t="str">
            <v>sim</v>
          </cell>
          <cell r="V5335" t="str">
            <v>not neg pair</v>
          </cell>
          <cell r="W5335">
            <v>0</v>
          </cell>
          <cell r="X5335" t="str">
            <v>0</v>
          </cell>
        </row>
        <row r="5336">
          <cell r="I5336" t="str">
            <v>sim</v>
          </cell>
          <cell r="V5336" t="str">
            <v>not neg pair</v>
          </cell>
          <cell r="W5336">
            <v>0</v>
          </cell>
          <cell r="X5336" t="str">
            <v>0</v>
          </cell>
        </row>
        <row r="5337">
          <cell r="I5337" t="str">
            <v>sim</v>
          </cell>
          <cell r="V5337" t="str">
            <v>not neg pair</v>
          </cell>
          <cell r="W5337">
            <v>0</v>
          </cell>
          <cell r="X5337" t="str">
            <v>0</v>
          </cell>
        </row>
        <row r="5338">
          <cell r="I5338" t="str">
            <v>sim</v>
          </cell>
          <cell r="V5338" t="str">
            <v>not neg pair</v>
          </cell>
          <cell r="W5338">
            <v>0</v>
          </cell>
          <cell r="X5338" t="str">
            <v>0</v>
          </cell>
        </row>
        <row r="5339">
          <cell r="I5339" t="str">
            <v>sim</v>
          </cell>
          <cell r="V5339" t="str">
            <v>not neg pair</v>
          </cell>
          <cell r="W5339">
            <v>0</v>
          </cell>
          <cell r="X5339" t="str">
            <v>0</v>
          </cell>
        </row>
        <row r="5340">
          <cell r="I5340" t="str">
            <v>met</v>
          </cell>
          <cell r="V5340" t="str">
            <v>0</v>
          </cell>
          <cell r="W5340">
            <v>0</v>
          </cell>
          <cell r="X5340" t="str">
            <v>0</v>
          </cell>
        </row>
        <row r="5341">
          <cell r="I5341" t="str">
            <v>met</v>
          </cell>
          <cell r="V5341" t="str">
            <v>0</v>
          </cell>
          <cell r="W5341">
            <v>0</v>
          </cell>
          <cell r="X5341" t="str">
            <v>0</v>
          </cell>
        </row>
        <row r="5342">
          <cell r="I5342" t="str">
            <v>met</v>
          </cell>
          <cell r="V5342" t="str">
            <v>0</v>
          </cell>
          <cell r="W5342">
            <v>0</v>
          </cell>
          <cell r="X5342" t="str">
            <v>0</v>
          </cell>
        </row>
        <row r="5343">
          <cell r="I5343" t="str">
            <v>met</v>
          </cell>
          <cell r="V5343" t="str">
            <v>0</v>
          </cell>
          <cell r="W5343">
            <v>0</v>
          </cell>
          <cell r="X5343" t="str">
            <v>0</v>
          </cell>
        </row>
        <row r="5344">
          <cell r="I5344" t="str">
            <v>met</v>
          </cell>
          <cell r="V5344" t="str">
            <v>0</v>
          </cell>
          <cell r="W5344">
            <v>0</v>
          </cell>
          <cell r="X5344" t="str">
            <v>0</v>
          </cell>
        </row>
        <row r="5345">
          <cell r="I5345" t="str">
            <v>met</v>
          </cell>
          <cell r="V5345" t="str">
            <v>0</v>
          </cell>
          <cell r="W5345">
            <v>0</v>
          </cell>
          <cell r="X5345" t="str">
            <v>0</v>
          </cell>
        </row>
        <row r="5346">
          <cell r="I5346" t="str">
            <v>sim</v>
          </cell>
          <cell r="V5346" t="str">
            <v>antonym</v>
          </cell>
          <cell r="W5346">
            <v>1</v>
          </cell>
          <cell r="X5346" t="str">
            <v>intens</v>
          </cell>
        </row>
        <row r="5347">
          <cell r="I5347" t="str">
            <v>sim</v>
          </cell>
          <cell r="V5347" t="str">
            <v>antonym</v>
          </cell>
          <cell r="W5347">
            <v>1</v>
          </cell>
          <cell r="X5347" t="str">
            <v>neg</v>
          </cell>
        </row>
        <row r="5348">
          <cell r="I5348" t="str">
            <v>sim</v>
          </cell>
          <cell r="V5348" t="str">
            <v>antonym</v>
          </cell>
          <cell r="W5348">
            <v>1</v>
          </cell>
          <cell r="X5348" t="str">
            <v>neg</v>
          </cell>
        </row>
        <row r="5349">
          <cell r="I5349" t="str">
            <v>sim</v>
          </cell>
          <cell r="V5349" t="str">
            <v>antonym</v>
          </cell>
          <cell r="W5349">
            <v>1</v>
          </cell>
          <cell r="X5349" t="str">
            <v>intens</v>
          </cell>
        </row>
        <row r="5350">
          <cell r="I5350" t="str">
            <v>sim</v>
          </cell>
          <cell r="V5350" t="str">
            <v>not neg pair</v>
          </cell>
          <cell r="W5350">
            <v>0</v>
          </cell>
          <cell r="X5350" t="str">
            <v>0</v>
          </cell>
        </row>
        <row r="5351">
          <cell r="I5351" t="str">
            <v>sim</v>
          </cell>
          <cell r="V5351" t="str">
            <v>not neg pair</v>
          </cell>
          <cell r="W5351">
            <v>0</v>
          </cell>
          <cell r="X5351" t="str">
            <v>0</v>
          </cell>
        </row>
        <row r="5352">
          <cell r="I5352" t="str">
            <v>sim</v>
          </cell>
          <cell r="V5352" t="str">
            <v>not neg pair</v>
          </cell>
          <cell r="W5352">
            <v>0</v>
          </cell>
          <cell r="X5352" t="str">
            <v>0</v>
          </cell>
        </row>
        <row r="5353">
          <cell r="I5353" t="str">
            <v>sim</v>
          </cell>
          <cell r="V5353" t="str">
            <v>not neg pair</v>
          </cell>
          <cell r="W5353">
            <v>0</v>
          </cell>
          <cell r="X5353" t="str">
            <v>0</v>
          </cell>
        </row>
        <row r="5354">
          <cell r="I5354" t="str">
            <v>met</v>
          </cell>
          <cell r="V5354" t="str">
            <v>0</v>
          </cell>
          <cell r="W5354">
            <v>0</v>
          </cell>
          <cell r="X5354" t="str">
            <v>0</v>
          </cell>
        </row>
        <row r="5355">
          <cell r="I5355" t="str">
            <v>met</v>
          </cell>
          <cell r="V5355" t="str">
            <v>0</v>
          </cell>
          <cell r="W5355">
            <v>0</v>
          </cell>
          <cell r="X5355" t="str">
            <v>0</v>
          </cell>
        </row>
        <row r="5356">
          <cell r="I5356" t="str">
            <v>sim</v>
          </cell>
          <cell r="V5356" t="str">
            <v>antonym</v>
          </cell>
          <cell r="W5356">
            <v>1</v>
          </cell>
          <cell r="X5356" t="str">
            <v>intens</v>
          </cell>
        </row>
        <row r="5357">
          <cell r="I5357" t="str">
            <v>sim</v>
          </cell>
          <cell r="V5357" t="str">
            <v>antonym</v>
          </cell>
          <cell r="W5357">
            <v>1</v>
          </cell>
          <cell r="X5357" t="str">
            <v>neg</v>
          </cell>
        </row>
        <row r="5358">
          <cell r="I5358" t="str">
            <v>sim</v>
          </cell>
          <cell r="V5358" t="str">
            <v>antonym</v>
          </cell>
          <cell r="W5358">
            <v>1</v>
          </cell>
          <cell r="X5358" t="str">
            <v>intens</v>
          </cell>
        </row>
        <row r="5359">
          <cell r="I5359" t="str">
            <v>sim</v>
          </cell>
          <cell r="V5359" t="str">
            <v>antonym</v>
          </cell>
          <cell r="W5359">
            <v>1</v>
          </cell>
          <cell r="X5359" t="str">
            <v>neg</v>
          </cell>
        </row>
        <row r="5360">
          <cell r="I5360" t="str">
            <v>sim</v>
          </cell>
          <cell r="V5360" t="str">
            <v>antonym</v>
          </cell>
          <cell r="W5360">
            <v>1</v>
          </cell>
          <cell r="X5360" t="str">
            <v>intens</v>
          </cell>
        </row>
        <row r="5361">
          <cell r="I5361" t="str">
            <v>sim</v>
          </cell>
          <cell r="V5361" t="str">
            <v>antonym</v>
          </cell>
          <cell r="W5361">
            <v>1</v>
          </cell>
          <cell r="X5361" t="str">
            <v>neg</v>
          </cell>
        </row>
        <row r="5362">
          <cell r="I5362" t="str">
            <v>sim</v>
          </cell>
          <cell r="V5362" t="str">
            <v>antonym</v>
          </cell>
          <cell r="W5362">
            <v>1</v>
          </cell>
          <cell r="X5362" t="str">
            <v>intens</v>
          </cell>
        </row>
        <row r="5363">
          <cell r="I5363" t="str">
            <v>sim</v>
          </cell>
          <cell r="V5363" t="str">
            <v>antonym</v>
          </cell>
          <cell r="W5363">
            <v>1</v>
          </cell>
          <cell r="X5363" t="str">
            <v>neg</v>
          </cell>
        </row>
        <row r="5364">
          <cell r="I5364" t="str">
            <v>sim</v>
          </cell>
          <cell r="V5364" t="str">
            <v>not</v>
          </cell>
          <cell r="W5364">
            <v>1</v>
          </cell>
          <cell r="X5364" t="str">
            <v>intens</v>
          </cell>
        </row>
        <row r="5365">
          <cell r="I5365" t="str">
            <v>sim</v>
          </cell>
          <cell r="V5365" t="str">
            <v>not</v>
          </cell>
          <cell r="W5365">
            <v>1</v>
          </cell>
          <cell r="X5365" t="str">
            <v>neg</v>
          </cell>
        </row>
        <row r="5366">
          <cell r="I5366" t="str">
            <v>sim</v>
          </cell>
          <cell r="V5366" t="str">
            <v>not</v>
          </cell>
          <cell r="W5366">
            <v>1</v>
          </cell>
          <cell r="X5366" t="str">
            <v>intens</v>
          </cell>
        </row>
        <row r="5367">
          <cell r="I5367" t="str">
            <v>sim</v>
          </cell>
          <cell r="V5367" t="str">
            <v>not</v>
          </cell>
          <cell r="W5367">
            <v>1</v>
          </cell>
          <cell r="X5367" t="str">
            <v>neg</v>
          </cell>
        </row>
        <row r="5368">
          <cell r="I5368" t="str">
            <v>sim</v>
          </cell>
          <cell r="V5368" t="str">
            <v>antonym</v>
          </cell>
          <cell r="W5368">
            <v>1</v>
          </cell>
          <cell r="X5368" t="str">
            <v>neg</v>
          </cell>
        </row>
        <row r="5369">
          <cell r="I5369" t="str">
            <v>sim</v>
          </cell>
          <cell r="V5369" t="str">
            <v>antonym</v>
          </cell>
          <cell r="W5369">
            <v>1</v>
          </cell>
          <cell r="X5369" t="str">
            <v>intens</v>
          </cell>
        </row>
        <row r="5370">
          <cell r="I5370" t="str">
            <v>sim</v>
          </cell>
          <cell r="V5370" t="str">
            <v>not neg pair</v>
          </cell>
          <cell r="W5370">
            <v>0</v>
          </cell>
          <cell r="X5370" t="str">
            <v>0</v>
          </cell>
        </row>
        <row r="5371">
          <cell r="I5371" t="str">
            <v>sim</v>
          </cell>
          <cell r="V5371" t="str">
            <v>not neg pair</v>
          </cell>
          <cell r="W5371">
            <v>0</v>
          </cell>
          <cell r="X5371" t="str">
            <v>0</v>
          </cell>
        </row>
        <row r="5372">
          <cell r="I5372" t="str">
            <v>sim</v>
          </cell>
          <cell r="V5372" t="str">
            <v>not</v>
          </cell>
          <cell r="W5372">
            <v>1</v>
          </cell>
          <cell r="X5372" t="str">
            <v>intens</v>
          </cell>
        </row>
        <row r="5373">
          <cell r="I5373" t="str">
            <v>sim</v>
          </cell>
          <cell r="V5373" t="str">
            <v>not</v>
          </cell>
          <cell r="W5373">
            <v>1</v>
          </cell>
          <cell r="X5373" t="str">
            <v>neg</v>
          </cell>
        </row>
        <row r="5374">
          <cell r="I5374" t="str">
            <v>sim</v>
          </cell>
          <cell r="V5374" t="str">
            <v>not neg pair</v>
          </cell>
          <cell r="W5374">
            <v>0</v>
          </cell>
          <cell r="X5374" t="str">
            <v>0</v>
          </cell>
        </row>
        <row r="5375">
          <cell r="I5375" t="str">
            <v>sim</v>
          </cell>
          <cell r="V5375" t="str">
            <v>not neg pair</v>
          </cell>
          <cell r="W5375">
            <v>0</v>
          </cell>
          <cell r="X5375" t="str">
            <v>0</v>
          </cell>
        </row>
        <row r="5376">
          <cell r="I5376" t="str">
            <v>sim</v>
          </cell>
          <cell r="V5376" t="str">
            <v>not neg pair</v>
          </cell>
          <cell r="W5376">
            <v>0</v>
          </cell>
          <cell r="X5376" t="str">
            <v>0</v>
          </cell>
        </row>
        <row r="5377">
          <cell r="I5377" t="str">
            <v>sim</v>
          </cell>
          <cell r="V5377" t="str">
            <v>not neg pair</v>
          </cell>
          <cell r="W5377">
            <v>0</v>
          </cell>
          <cell r="X5377" t="str">
            <v>0</v>
          </cell>
        </row>
        <row r="5378">
          <cell r="I5378" t="str">
            <v>sim</v>
          </cell>
          <cell r="V5378" t="str">
            <v>not neg pair</v>
          </cell>
          <cell r="W5378">
            <v>0</v>
          </cell>
          <cell r="X5378" t="str">
            <v>0</v>
          </cell>
        </row>
        <row r="5379">
          <cell r="I5379" t="str">
            <v>sim</v>
          </cell>
          <cell r="V5379" t="str">
            <v>not neg pair</v>
          </cell>
          <cell r="W5379">
            <v>0</v>
          </cell>
          <cell r="X5379" t="str">
            <v>0</v>
          </cell>
        </row>
        <row r="5380">
          <cell r="I5380" t="str">
            <v>sim</v>
          </cell>
          <cell r="V5380" t="str">
            <v>not neg pair</v>
          </cell>
          <cell r="W5380">
            <v>0</v>
          </cell>
          <cell r="X5380" t="str">
            <v>0</v>
          </cell>
        </row>
        <row r="5381">
          <cell r="I5381" t="str">
            <v>sim</v>
          </cell>
          <cell r="V5381" t="str">
            <v>not neg pair</v>
          </cell>
          <cell r="W5381">
            <v>0</v>
          </cell>
          <cell r="X5381" t="str">
            <v>0</v>
          </cell>
        </row>
        <row r="5382">
          <cell r="I5382" t="str">
            <v>sim</v>
          </cell>
          <cell r="V5382" t="str">
            <v>antonym</v>
          </cell>
          <cell r="W5382">
            <v>1</v>
          </cell>
          <cell r="X5382" t="str">
            <v>intens</v>
          </cell>
        </row>
        <row r="5383">
          <cell r="I5383" t="str">
            <v>sim</v>
          </cell>
          <cell r="V5383" t="str">
            <v>antonym</v>
          </cell>
          <cell r="W5383">
            <v>1</v>
          </cell>
          <cell r="X5383" t="str">
            <v>neg</v>
          </cell>
        </row>
        <row r="5384">
          <cell r="I5384" t="str">
            <v>sim</v>
          </cell>
          <cell r="V5384" t="str">
            <v>not neg pair</v>
          </cell>
          <cell r="W5384">
            <v>0</v>
          </cell>
          <cell r="X5384" t="str">
            <v>0</v>
          </cell>
        </row>
        <row r="5385">
          <cell r="I5385" t="str">
            <v>sim</v>
          </cell>
          <cell r="V5385" t="str">
            <v>not neg pair</v>
          </cell>
          <cell r="W5385">
            <v>0</v>
          </cell>
          <cell r="X5385" t="str">
            <v>0</v>
          </cell>
        </row>
        <row r="5386">
          <cell r="I5386" t="str">
            <v>sim</v>
          </cell>
          <cell r="V5386" t="str">
            <v>antonym</v>
          </cell>
          <cell r="W5386">
            <v>1</v>
          </cell>
          <cell r="X5386" t="str">
            <v>intens</v>
          </cell>
        </row>
        <row r="5387">
          <cell r="I5387" t="str">
            <v>sim</v>
          </cell>
          <cell r="V5387" t="str">
            <v>antonym</v>
          </cell>
          <cell r="W5387">
            <v>1</v>
          </cell>
          <cell r="X5387" t="str">
            <v>neg</v>
          </cell>
        </row>
        <row r="5388">
          <cell r="I5388" t="str">
            <v>sim</v>
          </cell>
          <cell r="V5388" t="str">
            <v>not neg pair</v>
          </cell>
          <cell r="W5388">
            <v>0</v>
          </cell>
          <cell r="X5388" t="str">
            <v>0</v>
          </cell>
        </row>
        <row r="5389">
          <cell r="I5389" t="str">
            <v>sim</v>
          </cell>
          <cell r="V5389" t="str">
            <v>not neg pair</v>
          </cell>
          <cell r="W5389">
            <v>0</v>
          </cell>
          <cell r="X5389" t="str">
            <v>0</v>
          </cell>
        </row>
        <row r="5390">
          <cell r="I5390" t="str">
            <v>sim</v>
          </cell>
          <cell r="V5390" t="str">
            <v>not neg pair</v>
          </cell>
          <cell r="W5390">
            <v>0</v>
          </cell>
          <cell r="X5390" t="str">
            <v>0</v>
          </cell>
        </row>
        <row r="5391">
          <cell r="I5391" t="str">
            <v>sim</v>
          </cell>
          <cell r="V5391" t="str">
            <v>not neg pair</v>
          </cell>
          <cell r="W5391">
            <v>0</v>
          </cell>
          <cell r="X5391" t="str">
            <v>0</v>
          </cell>
        </row>
        <row r="5392">
          <cell r="I5392" t="str">
            <v>sim</v>
          </cell>
          <cell r="V5392" t="str">
            <v>not</v>
          </cell>
          <cell r="W5392">
            <v>1</v>
          </cell>
          <cell r="X5392" t="str">
            <v>intens</v>
          </cell>
        </row>
        <row r="5393">
          <cell r="I5393" t="str">
            <v>sim</v>
          </cell>
          <cell r="V5393" t="str">
            <v>not</v>
          </cell>
          <cell r="W5393">
            <v>1</v>
          </cell>
          <cell r="X5393" t="str">
            <v>neg</v>
          </cell>
        </row>
        <row r="5394">
          <cell r="I5394" t="str">
            <v>met</v>
          </cell>
          <cell r="V5394" t="str">
            <v>0</v>
          </cell>
          <cell r="W5394">
            <v>0</v>
          </cell>
          <cell r="X5394" t="str">
            <v>0</v>
          </cell>
        </row>
        <row r="5395">
          <cell r="I5395" t="str">
            <v>met</v>
          </cell>
          <cell r="V5395" t="str">
            <v>0</v>
          </cell>
          <cell r="W5395">
            <v>0</v>
          </cell>
          <cell r="X5395" t="str">
            <v>0</v>
          </cell>
        </row>
        <row r="5396">
          <cell r="I5396" t="str">
            <v>sim</v>
          </cell>
          <cell r="V5396" t="str">
            <v>not neg pair</v>
          </cell>
          <cell r="W5396">
            <v>0</v>
          </cell>
          <cell r="X5396" t="str">
            <v>0</v>
          </cell>
        </row>
        <row r="5397">
          <cell r="I5397" t="str">
            <v>sim</v>
          </cell>
          <cell r="V5397" t="str">
            <v>not neg pair</v>
          </cell>
          <cell r="W5397">
            <v>0</v>
          </cell>
          <cell r="X5397" t="str">
            <v>0</v>
          </cell>
        </row>
        <row r="5398">
          <cell r="I5398" t="str">
            <v>met</v>
          </cell>
          <cell r="V5398" t="str">
            <v>0</v>
          </cell>
          <cell r="W5398">
            <v>0</v>
          </cell>
          <cell r="X5398" t="str">
            <v>0</v>
          </cell>
        </row>
        <row r="5399">
          <cell r="I5399" t="str">
            <v>met</v>
          </cell>
          <cell r="V5399" t="str">
            <v>0</v>
          </cell>
          <cell r="W5399">
            <v>0</v>
          </cell>
          <cell r="X5399" t="str">
            <v>0</v>
          </cell>
        </row>
        <row r="5400">
          <cell r="I5400" t="str">
            <v>sim</v>
          </cell>
          <cell r="V5400" t="str">
            <v>not</v>
          </cell>
          <cell r="W5400">
            <v>1</v>
          </cell>
          <cell r="X5400" t="str">
            <v>neg</v>
          </cell>
        </row>
        <row r="5401">
          <cell r="I5401" t="str">
            <v>sim</v>
          </cell>
          <cell r="V5401" t="str">
            <v>not</v>
          </cell>
          <cell r="W5401">
            <v>1</v>
          </cell>
          <cell r="X5401" t="str">
            <v>intens</v>
          </cell>
        </row>
        <row r="5402">
          <cell r="I5402" t="str">
            <v>sim</v>
          </cell>
          <cell r="V5402" t="str">
            <v>not neg pair</v>
          </cell>
          <cell r="W5402">
            <v>0</v>
          </cell>
          <cell r="X5402" t="str">
            <v>0</v>
          </cell>
        </row>
        <row r="5403">
          <cell r="I5403" t="str">
            <v>sim</v>
          </cell>
          <cell r="V5403" t="str">
            <v>not neg pair</v>
          </cell>
          <cell r="W5403">
            <v>0</v>
          </cell>
          <cell r="X5403" t="str">
            <v>0</v>
          </cell>
        </row>
        <row r="5404">
          <cell r="I5404" t="str">
            <v>sim</v>
          </cell>
          <cell r="V5404" t="str">
            <v>antonym</v>
          </cell>
          <cell r="W5404">
            <v>1</v>
          </cell>
          <cell r="X5404" t="str">
            <v>intens</v>
          </cell>
        </row>
        <row r="5405">
          <cell r="I5405" t="str">
            <v>sim</v>
          </cell>
          <cell r="V5405" t="str">
            <v>antonym</v>
          </cell>
          <cell r="W5405">
            <v>1</v>
          </cell>
          <cell r="X5405" t="str">
            <v>neg</v>
          </cell>
        </row>
        <row r="5406">
          <cell r="I5406" t="str">
            <v>sim</v>
          </cell>
          <cell r="V5406" t="str">
            <v>antonym</v>
          </cell>
          <cell r="W5406">
            <v>1</v>
          </cell>
          <cell r="X5406" t="str">
            <v>intens</v>
          </cell>
        </row>
        <row r="5407">
          <cell r="I5407" t="str">
            <v>sim</v>
          </cell>
          <cell r="V5407" t="str">
            <v>antonym</v>
          </cell>
          <cell r="W5407">
            <v>1</v>
          </cell>
          <cell r="X5407" t="str">
            <v>neg</v>
          </cell>
        </row>
        <row r="5408">
          <cell r="I5408" t="str">
            <v>sim</v>
          </cell>
          <cell r="V5408" t="str">
            <v>not</v>
          </cell>
          <cell r="W5408">
            <v>1</v>
          </cell>
          <cell r="X5408" t="str">
            <v>neg</v>
          </cell>
        </row>
        <row r="5409">
          <cell r="I5409" t="str">
            <v>sim</v>
          </cell>
          <cell r="V5409" t="str">
            <v>not</v>
          </cell>
          <cell r="W5409">
            <v>1</v>
          </cell>
          <cell r="X5409" t="str">
            <v>intens</v>
          </cell>
        </row>
        <row r="5410">
          <cell r="I5410" t="str">
            <v>sim</v>
          </cell>
          <cell r="V5410" t="str">
            <v>not neg pair</v>
          </cell>
          <cell r="W5410">
            <v>0</v>
          </cell>
          <cell r="X5410" t="str">
            <v>0</v>
          </cell>
        </row>
        <row r="5411">
          <cell r="I5411" t="str">
            <v>sim</v>
          </cell>
          <cell r="V5411" t="str">
            <v>not neg pair</v>
          </cell>
          <cell r="W5411">
            <v>0</v>
          </cell>
          <cell r="X5411" t="str">
            <v>0</v>
          </cell>
        </row>
        <row r="5412">
          <cell r="I5412" t="str">
            <v>met</v>
          </cell>
          <cell r="V5412" t="str">
            <v>0</v>
          </cell>
          <cell r="W5412">
            <v>0</v>
          </cell>
          <cell r="X5412" t="str">
            <v>0</v>
          </cell>
        </row>
        <row r="5413">
          <cell r="I5413" t="str">
            <v>met</v>
          </cell>
          <cell r="V5413" t="str">
            <v>0</v>
          </cell>
          <cell r="W5413">
            <v>0</v>
          </cell>
          <cell r="X5413" t="str">
            <v>0</v>
          </cell>
        </row>
        <row r="5414">
          <cell r="I5414" t="str">
            <v>sim</v>
          </cell>
          <cell r="V5414" t="str">
            <v>not</v>
          </cell>
          <cell r="W5414">
            <v>1</v>
          </cell>
          <cell r="X5414" t="str">
            <v>intens</v>
          </cell>
        </row>
        <row r="5415">
          <cell r="I5415" t="str">
            <v>sim</v>
          </cell>
          <cell r="V5415" t="str">
            <v>not</v>
          </cell>
          <cell r="W5415">
            <v>1</v>
          </cell>
          <cell r="X5415" t="str">
            <v>neg</v>
          </cell>
        </row>
        <row r="5416">
          <cell r="I5416" t="str">
            <v>met</v>
          </cell>
          <cell r="V5416" t="str">
            <v>0</v>
          </cell>
          <cell r="W5416">
            <v>0</v>
          </cell>
          <cell r="X5416" t="str">
            <v>0</v>
          </cell>
        </row>
        <row r="5417">
          <cell r="I5417" t="str">
            <v>met</v>
          </cell>
          <cell r="V5417" t="str">
            <v>0</v>
          </cell>
          <cell r="W5417">
            <v>0</v>
          </cell>
          <cell r="X5417" t="str">
            <v>0</v>
          </cell>
        </row>
        <row r="5418">
          <cell r="I5418" t="str">
            <v>sim</v>
          </cell>
          <cell r="V5418" t="str">
            <v>not</v>
          </cell>
          <cell r="W5418">
            <v>1</v>
          </cell>
          <cell r="X5418" t="str">
            <v>neg</v>
          </cell>
        </row>
        <row r="5419">
          <cell r="I5419" t="str">
            <v>sim</v>
          </cell>
          <cell r="V5419" t="str">
            <v>not</v>
          </cell>
          <cell r="W5419">
            <v>1</v>
          </cell>
          <cell r="X5419" t="str">
            <v>intens</v>
          </cell>
        </row>
        <row r="5420">
          <cell r="I5420" t="str">
            <v>sim</v>
          </cell>
          <cell r="V5420" t="str">
            <v>not</v>
          </cell>
          <cell r="W5420">
            <v>1</v>
          </cell>
          <cell r="X5420" t="str">
            <v>neg</v>
          </cell>
        </row>
        <row r="5421">
          <cell r="I5421" t="str">
            <v>sim</v>
          </cell>
          <cell r="V5421" t="str">
            <v>not</v>
          </cell>
          <cell r="W5421">
            <v>1</v>
          </cell>
          <cell r="X5421" t="str">
            <v>intens</v>
          </cell>
        </row>
        <row r="5422">
          <cell r="I5422" t="str">
            <v>sim</v>
          </cell>
          <cell r="V5422" t="str">
            <v>not</v>
          </cell>
          <cell r="W5422">
            <v>1</v>
          </cell>
          <cell r="X5422" t="str">
            <v>intens</v>
          </cell>
        </row>
        <row r="5423">
          <cell r="I5423" t="str">
            <v>sim</v>
          </cell>
          <cell r="V5423" t="str">
            <v>not</v>
          </cell>
          <cell r="W5423">
            <v>1</v>
          </cell>
          <cell r="X5423" t="str">
            <v>neg</v>
          </cell>
        </row>
        <row r="5424">
          <cell r="I5424" t="str">
            <v>met</v>
          </cell>
          <cell r="V5424" t="str">
            <v>0</v>
          </cell>
          <cell r="W5424">
            <v>0</v>
          </cell>
          <cell r="X5424" t="str">
            <v>0</v>
          </cell>
        </row>
        <row r="5425">
          <cell r="I5425" t="str">
            <v>met</v>
          </cell>
          <cell r="V5425" t="str">
            <v>0</v>
          </cell>
          <cell r="W5425">
            <v>0</v>
          </cell>
          <cell r="X5425" t="str">
            <v>0</v>
          </cell>
        </row>
        <row r="5426">
          <cell r="I5426" t="str">
            <v>met</v>
          </cell>
          <cell r="V5426" t="str">
            <v>0</v>
          </cell>
          <cell r="W5426">
            <v>0</v>
          </cell>
          <cell r="X5426" t="str">
            <v>0</v>
          </cell>
        </row>
        <row r="5427">
          <cell r="I5427" t="str">
            <v>met</v>
          </cell>
          <cell r="V5427" t="str">
            <v>0</v>
          </cell>
          <cell r="W5427">
            <v>0</v>
          </cell>
          <cell r="X5427" t="str">
            <v>0</v>
          </cell>
        </row>
        <row r="5428">
          <cell r="I5428" t="str">
            <v>met</v>
          </cell>
          <cell r="V5428" t="str">
            <v>0</v>
          </cell>
          <cell r="W5428">
            <v>0</v>
          </cell>
          <cell r="X5428" t="str">
            <v>0</v>
          </cell>
        </row>
        <row r="5429">
          <cell r="I5429" t="str">
            <v>met</v>
          </cell>
          <cell r="V5429" t="str">
            <v>0</v>
          </cell>
          <cell r="W5429">
            <v>0</v>
          </cell>
          <cell r="X5429" t="str">
            <v>0</v>
          </cell>
        </row>
        <row r="5430">
          <cell r="I5430" t="str">
            <v>sim</v>
          </cell>
          <cell r="V5430" t="str">
            <v>not</v>
          </cell>
          <cell r="W5430">
            <v>1</v>
          </cell>
          <cell r="X5430" t="str">
            <v>intens</v>
          </cell>
        </row>
        <row r="5431">
          <cell r="I5431" t="str">
            <v>sim</v>
          </cell>
          <cell r="V5431" t="str">
            <v>not</v>
          </cell>
          <cell r="W5431">
            <v>1</v>
          </cell>
          <cell r="X5431" t="str">
            <v>neg</v>
          </cell>
        </row>
        <row r="5432">
          <cell r="I5432" t="str">
            <v>sim</v>
          </cell>
          <cell r="V5432" t="str">
            <v>not</v>
          </cell>
          <cell r="W5432">
            <v>1</v>
          </cell>
          <cell r="X5432" t="str">
            <v>intens</v>
          </cell>
        </row>
        <row r="5433">
          <cell r="I5433" t="str">
            <v>sim</v>
          </cell>
          <cell r="V5433" t="str">
            <v>not</v>
          </cell>
          <cell r="W5433">
            <v>1</v>
          </cell>
          <cell r="X5433" t="str">
            <v>neg</v>
          </cell>
        </row>
        <row r="5434">
          <cell r="I5434" t="str">
            <v>sim</v>
          </cell>
          <cell r="V5434" t="str">
            <v>not neg pair</v>
          </cell>
          <cell r="W5434">
            <v>0</v>
          </cell>
          <cell r="X5434" t="str">
            <v>0</v>
          </cell>
        </row>
        <row r="5435">
          <cell r="I5435" t="str">
            <v>sim</v>
          </cell>
          <cell r="V5435" t="str">
            <v>not neg pair</v>
          </cell>
          <cell r="W5435">
            <v>0</v>
          </cell>
          <cell r="X5435" t="str">
            <v>0</v>
          </cell>
        </row>
        <row r="5436">
          <cell r="I5436" t="str">
            <v>sim</v>
          </cell>
          <cell r="V5436" t="str">
            <v>not</v>
          </cell>
          <cell r="W5436">
            <v>1</v>
          </cell>
          <cell r="X5436" t="str">
            <v>neg</v>
          </cell>
        </row>
        <row r="5437">
          <cell r="I5437" t="str">
            <v>sim</v>
          </cell>
          <cell r="V5437" t="str">
            <v>not</v>
          </cell>
          <cell r="W5437">
            <v>1</v>
          </cell>
          <cell r="X5437" t="str">
            <v>intens</v>
          </cell>
        </row>
        <row r="5438">
          <cell r="I5438" t="str">
            <v>sim</v>
          </cell>
          <cell r="V5438" t="str">
            <v>not</v>
          </cell>
          <cell r="W5438">
            <v>1</v>
          </cell>
          <cell r="X5438" t="str">
            <v>neg</v>
          </cell>
        </row>
        <row r="5439">
          <cell r="I5439" t="str">
            <v>sim</v>
          </cell>
          <cell r="V5439" t="str">
            <v>not</v>
          </cell>
          <cell r="W5439">
            <v>1</v>
          </cell>
          <cell r="X5439" t="str">
            <v>intens</v>
          </cell>
        </row>
        <row r="5440">
          <cell r="I5440" t="str">
            <v>sim</v>
          </cell>
          <cell r="V5440" t="str">
            <v>not</v>
          </cell>
          <cell r="W5440">
            <v>1</v>
          </cell>
          <cell r="X5440" t="str">
            <v>neg</v>
          </cell>
        </row>
        <row r="5441">
          <cell r="I5441" t="str">
            <v>sim</v>
          </cell>
          <cell r="V5441" t="str">
            <v>not</v>
          </cell>
          <cell r="W5441">
            <v>1</v>
          </cell>
          <cell r="X5441" t="str">
            <v>intens</v>
          </cell>
        </row>
        <row r="5442">
          <cell r="I5442" t="str">
            <v>sim</v>
          </cell>
          <cell r="V5442" t="str">
            <v>not neg pair</v>
          </cell>
          <cell r="W5442">
            <v>0</v>
          </cell>
          <cell r="X5442" t="str">
            <v>0</v>
          </cell>
        </row>
        <row r="5443">
          <cell r="I5443" t="str">
            <v>sim</v>
          </cell>
          <cell r="V5443" t="str">
            <v>not neg pair</v>
          </cell>
          <cell r="W5443">
            <v>0</v>
          </cell>
          <cell r="X5443" t="str">
            <v>0</v>
          </cell>
        </row>
        <row r="5444">
          <cell r="I5444" t="str">
            <v>sim</v>
          </cell>
          <cell r="V5444" t="str">
            <v>not neg pair</v>
          </cell>
          <cell r="W5444">
            <v>0</v>
          </cell>
          <cell r="X5444" t="str">
            <v>0</v>
          </cell>
        </row>
        <row r="5445">
          <cell r="I5445" t="str">
            <v>sim</v>
          </cell>
          <cell r="V5445" t="str">
            <v>not neg pair</v>
          </cell>
          <cell r="W5445">
            <v>0</v>
          </cell>
          <cell r="X5445" t="str">
            <v>0</v>
          </cell>
        </row>
        <row r="5446">
          <cell r="I5446" t="str">
            <v>met</v>
          </cell>
          <cell r="V5446" t="str">
            <v>0</v>
          </cell>
          <cell r="W5446">
            <v>0</v>
          </cell>
          <cell r="X5446" t="str">
            <v>0</v>
          </cell>
        </row>
        <row r="5447">
          <cell r="I5447" t="str">
            <v>sim</v>
          </cell>
          <cell r="V5447" t="str">
            <v>not neg pair</v>
          </cell>
          <cell r="W5447">
            <v>0</v>
          </cell>
          <cell r="X5447" t="str">
            <v>0</v>
          </cell>
        </row>
        <row r="5448">
          <cell r="I5448" t="str">
            <v>sim</v>
          </cell>
          <cell r="V5448" t="str">
            <v>not neg pair</v>
          </cell>
          <cell r="W5448">
            <v>0</v>
          </cell>
          <cell r="X5448" t="str">
            <v>0</v>
          </cell>
        </row>
        <row r="5449">
          <cell r="I5449" t="str">
            <v>sim</v>
          </cell>
          <cell r="V5449" t="str">
            <v>not neg pair</v>
          </cell>
          <cell r="W5449">
            <v>0</v>
          </cell>
          <cell r="X5449" t="str">
            <v>0</v>
          </cell>
        </row>
        <row r="5450">
          <cell r="I5450" t="str">
            <v>sim</v>
          </cell>
          <cell r="V5450" t="str">
            <v>not neg pair</v>
          </cell>
          <cell r="W5450">
            <v>0</v>
          </cell>
          <cell r="X5450" t="str">
            <v>0</v>
          </cell>
        </row>
        <row r="5451">
          <cell r="I5451" t="str">
            <v>sim</v>
          </cell>
          <cell r="V5451" t="str">
            <v>not neg pair</v>
          </cell>
          <cell r="W5451">
            <v>0</v>
          </cell>
          <cell r="X5451" t="str">
            <v>0</v>
          </cell>
        </row>
        <row r="5452">
          <cell r="I5452" t="str">
            <v>sim</v>
          </cell>
          <cell r="V5452" t="str">
            <v>antonym</v>
          </cell>
          <cell r="W5452">
            <v>1</v>
          </cell>
          <cell r="X5452" t="str">
            <v>intens</v>
          </cell>
        </row>
        <row r="5453">
          <cell r="I5453" t="str">
            <v>sim</v>
          </cell>
          <cell r="V5453" t="str">
            <v>antonym</v>
          </cell>
          <cell r="W5453">
            <v>1</v>
          </cell>
          <cell r="X5453" t="str">
            <v>neg</v>
          </cell>
        </row>
        <row r="5454">
          <cell r="I5454" t="str">
            <v>met</v>
          </cell>
          <cell r="V5454" t="str">
            <v>0</v>
          </cell>
          <cell r="W5454">
            <v>0</v>
          </cell>
          <cell r="X5454" t="str">
            <v>0</v>
          </cell>
        </row>
        <row r="5455">
          <cell r="I5455" t="str">
            <v>met</v>
          </cell>
          <cell r="V5455" t="str">
            <v>0</v>
          </cell>
          <cell r="W5455">
            <v>0</v>
          </cell>
          <cell r="X5455" t="str">
            <v>0</v>
          </cell>
        </row>
        <row r="5456">
          <cell r="I5456" t="str">
            <v>met</v>
          </cell>
          <cell r="V5456" t="str">
            <v>0</v>
          </cell>
          <cell r="W5456">
            <v>0</v>
          </cell>
          <cell r="X5456" t="str">
            <v>0</v>
          </cell>
        </row>
        <row r="5457">
          <cell r="I5457" t="str">
            <v>met</v>
          </cell>
          <cell r="V5457" t="str">
            <v>0</v>
          </cell>
          <cell r="W5457">
            <v>0</v>
          </cell>
          <cell r="X5457" t="str">
            <v>0</v>
          </cell>
        </row>
        <row r="5458">
          <cell r="I5458" t="str">
            <v>met</v>
          </cell>
          <cell r="V5458" t="str">
            <v>0</v>
          </cell>
          <cell r="W5458">
            <v>0</v>
          </cell>
          <cell r="X5458" t="str">
            <v>0</v>
          </cell>
        </row>
        <row r="5459">
          <cell r="I5459" t="str">
            <v>met</v>
          </cell>
          <cell r="V5459" t="str">
            <v>0</v>
          </cell>
          <cell r="W5459">
            <v>0</v>
          </cell>
          <cell r="X5459" t="str">
            <v>0</v>
          </cell>
        </row>
        <row r="5460">
          <cell r="I5460" t="str">
            <v>met</v>
          </cell>
          <cell r="V5460" t="str">
            <v>0</v>
          </cell>
          <cell r="W5460">
            <v>0</v>
          </cell>
          <cell r="X5460" t="str">
            <v>0</v>
          </cell>
        </row>
        <row r="5461">
          <cell r="I5461" t="str">
            <v>met</v>
          </cell>
          <cell r="V5461" t="str">
            <v>0</v>
          </cell>
          <cell r="W5461">
            <v>0</v>
          </cell>
          <cell r="X5461" t="str">
            <v>0</v>
          </cell>
        </row>
        <row r="5462">
          <cell r="I5462" t="str">
            <v>met</v>
          </cell>
          <cell r="V5462" t="str">
            <v>0</v>
          </cell>
          <cell r="W5462">
            <v>0</v>
          </cell>
          <cell r="X5462" t="str">
            <v>0</v>
          </cell>
        </row>
        <row r="5463">
          <cell r="I5463" t="str">
            <v>met</v>
          </cell>
          <cell r="V5463" t="str">
            <v>0</v>
          </cell>
          <cell r="W5463">
            <v>0</v>
          </cell>
          <cell r="X5463" t="str">
            <v>0</v>
          </cell>
        </row>
        <row r="5464">
          <cell r="I5464" t="str">
            <v>sim</v>
          </cell>
          <cell r="V5464" t="str">
            <v>not</v>
          </cell>
          <cell r="W5464">
            <v>1</v>
          </cell>
          <cell r="X5464" t="str">
            <v>intens</v>
          </cell>
        </row>
        <row r="5465">
          <cell r="I5465" t="str">
            <v>sim</v>
          </cell>
          <cell r="V5465" t="str">
            <v>not</v>
          </cell>
          <cell r="W5465">
            <v>1</v>
          </cell>
          <cell r="X5465" t="str">
            <v>neg</v>
          </cell>
        </row>
        <row r="5466">
          <cell r="I5466" t="str">
            <v>sim</v>
          </cell>
          <cell r="V5466" t="str">
            <v>0</v>
          </cell>
          <cell r="W5466">
            <v>0</v>
          </cell>
          <cell r="X5466" t="str">
            <v>0</v>
          </cell>
        </row>
        <row r="5467">
          <cell r="I5467" t="str">
            <v>met</v>
          </cell>
          <cell r="V5467" t="str">
            <v>0</v>
          </cell>
          <cell r="W5467">
            <v>0</v>
          </cell>
          <cell r="X5467" t="str">
            <v>0</v>
          </cell>
        </row>
        <row r="5468">
          <cell r="I5468" t="str">
            <v>sim</v>
          </cell>
          <cell r="V5468" t="str">
            <v>not neg pair</v>
          </cell>
          <cell r="W5468">
            <v>0</v>
          </cell>
          <cell r="X5468" t="str">
            <v>0</v>
          </cell>
        </row>
        <row r="5469">
          <cell r="I5469" t="str">
            <v>sim</v>
          </cell>
          <cell r="V5469" t="str">
            <v>not neg pair</v>
          </cell>
          <cell r="W5469">
            <v>0</v>
          </cell>
          <cell r="X5469" t="str">
            <v>0</v>
          </cell>
        </row>
        <row r="5470">
          <cell r="I5470" t="str">
            <v>sim</v>
          </cell>
          <cell r="V5470" t="str">
            <v>not neg pair</v>
          </cell>
          <cell r="W5470">
            <v>0</v>
          </cell>
          <cell r="X5470" t="str">
            <v>0</v>
          </cell>
        </row>
        <row r="5471">
          <cell r="I5471" t="str">
            <v>sim</v>
          </cell>
          <cell r="V5471" t="str">
            <v>not neg pair</v>
          </cell>
          <cell r="W5471">
            <v>0</v>
          </cell>
          <cell r="X5471" t="str">
            <v>0</v>
          </cell>
        </row>
        <row r="5472">
          <cell r="I5472" t="str">
            <v>sim</v>
          </cell>
          <cell r="V5472" t="str">
            <v>not neg pair</v>
          </cell>
          <cell r="W5472">
            <v>0</v>
          </cell>
          <cell r="X5472" t="str">
            <v>0</v>
          </cell>
        </row>
        <row r="5473">
          <cell r="I5473" t="str">
            <v>sim</v>
          </cell>
          <cell r="V5473" t="str">
            <v>not neg pair</v>
          </cell>
          <cell r="W5473">
            <v>0</v>
          </cell>
          <cell r="X5473" t="str">
            <v>0</v>
          </cell>
        </row>
        <row r="5474">
          <cell r="I5474" t="str">
            <v>sim</v>
          </cell>
          <cell r="V5474" t="str">
            <v>not neg pair</v>
          </cell>
          <cell r="W5474">
            <v>0</v>
          </cell>
          <cell r="X5474" t="str">
            <v>0</v>
          </cell>
        </row>
        <row r="5475">
          <cell r="I5475" t="str">
            <v>sim</v>
          </cell>
          <cell r="V5475" t="str">
            <v>not neg pair</v>
          </cell>
          <cell r="W5475">
            <v>0</v>
          </cell>
          <cell r="X5475" t="str">
            <v>0</v>
          </cell>
        </row>
        <row r="5476">
          <cell r="I5476" t="str">
            <v>sim</v>
          </cell>
          <cell r="V5476" t="str">
            <v>not</v>
          </cell>
          <cell r="W5476">
            <v>1</v>
          </cell>
          <cell r="X5476" t="str">
            <v>intens</v>
          </cell>
        </row>
        <row r="5477">
          <cell r="I5477" t="str">
            <v>sim</v>
          </cell>
          <cell r="V5477" t="str">
            <v>not</v>
          </cell>
          <cell r="W5477">
            <v>1</v>
          </cell>
          <cell r="X5477" t="str">
            <v>neg</v>
          </cell>
        </row>
        <row r="5478">
          <cell r="I5478" t="str">
            <v>sim</v>
          </cell>
          <cell r="V5478" t="str">
            <v>not</v>
          </cell>
          <cell r="W5478">
            <v>1</v>
          </cell>
          <cell r="X5478" t="str">
            <v>intens</v>
          </cell>
        </row>
        <row r="5479">
          <cell r="I5479" t="str">
            <v>sim</v>
          </cell>
          <cell r="V5479" t="str">
            <v>not</v>
          </cell>
          <cell r="W5479">
            <v>1</v>
          </cell>
          <cell r="X5479" t="str">
            <v>neg</v>
          </cell>
        </row>
        <row r="5480">
          <cell r="I5480" t="str">
            <v>sim</v>
          </cell>
          <cell r="V5480" t="str">
            <v>not neg pair</v>
          </cell>
          <cell r="W5480">
            <v>0</v>
          </cell>
          <cell r="X5480" t="str">
            <v>0</v>
          </cell>
        </row>
        <row r="5481">
          <cell r="I5481" t="str">
            <v>sim</v>
          </cell>
          <cell r="V5481" t="str">
            <v>not neg pair</v>
          </cell>
          <cell r="W5481">
            <v>0</v>
          </cell>
          <cell r="X5481" t="str">
            <v>0</v>
          </cell>
        </row>
        <row r="5482">
          <cell r="I5482" t="str">
            <v>met</v>
          </cell>
          <cell r="V5482" t="str">
            <v>0</v>
          </cell>
          <cell r="W5482">
            <v>0</v>
          </cell>
          <cell r="X5482" t="str">
            <v>0</v>
          </cell>
        </row>
        <row r="5483">
          <cell r="I5483" t="str">
            <v>met</v>
          </cell>
          <cell r="V5483" t="str">
            <v>0</v>
          </cell>
          <cell r="W5483">
            <v>0</v>
          </cell>
          <cell r="X5483" t="str">
            <v>0</v>
          </cell>
        </row>
        <row r="5484">
          <cell r="I5484" t="str">
            <v>sim</v>
          </cell>
          <cell r="V5484" t="str">
            <v>not neg pair</v>
          </cell>
          <cell r="W5484">
            <v>0</v>
          </cell>
          <cell r="X5484" t="str">
            <v>0</v>
          </cell>
        </row>
        <row r="5485">
          <cell r="I5485" t="str">
            <v>sim</v>
          </cell>
          <cell r="V5485" t="str">
            <v>not neg pair</v>
          </cell>
          <cell r="W5485">
            <v>0</v>
          </cell>
          <cell r="X5485" t="str">
            <v>0</v>
          </cell>
        </row>
        <row r="5486">
          <cell r="I5486" t="str">
            <v>met</v>
          </cell>
          <cell r="V5486" t="str">
            <v>0</v>
          </cell>
          <cell r="W5486">
            <v>0</v>
          </cell>
          <cell r="X5486" t="str">
            <v>0</v>
          </cell>
        </row>
        <row r="5487">
          <cell r="I5487" t="str">
            <v>met</v>
          </cell>
          <cell r="V5487" t="str">
            <v>0</v>
          </cell>
          <cell r="W5487">
            <v>0</v>
          </cell>
          <cell r="X5487" t="str">
            <v>0</v>
          </cell>
        </row>
        <row r="5488">
          <cell r="I5488" t="str">
            <v>met</v>
          </cell>
          <cell r="V5488" t="str">
            <v>0</v>
          </cell>
          <cell r="W5488">
            <v>0</v>
          </cell>
          <cell r="X5488" t="str">
            <v>0</v>
          </cell>
        </row>
        <row r="5489">
          <cell r="I5489" t="str">
            <v>met</v>
          </cell>
          <cell r="V5489" t="str">
            <v>0</v>
          </cell>
          <cell r="W5489">
            <v>0</v>
          </cell>
          <cell r="X5489" t="str">
            <v>0</v>
          </cell>
        </row>
        <row r="5490">
          <cell r="I5490" t="str">
            <v>sim</v>
          </cell>
          <cell r="V5490" t="str">
            <v>not neg pair</v>
          </cell>
          <cell r="W5490">
            <v>0</v>
          </cell>
          <cell r="X5490" t="str">
            <v>0</v>
          </cell>
        </row>
        <row r="5491">
          <cell r="I5491" t="str">
            <v>sim</v>
          </cell>
          <cell r="V5491" t="str">
            <v>not neg pair</v>
          </cell>
          <cell r="W5491">
            <v>0</v>
          </cell>
          <cell r="X5491" t="str">
            <v>0</v>
          </cell>
        </row>
        <row r="5492">
          <cell r="I5492" t="str">
            <v>sim</v>
          </cell>
          <cell r="V5492" t="str">
            <v>not neg pair</v>
          </cell>
          <cell r="W5492">
            <v>0</v>
          </cell>
          <cell r="X5492" t="str">
            <v>0</v>
          </cell>
        </row>
        <row r="5493">
          <cell r="I5493" t="str">
            <v>sim</v>
          </cell>
          <cell r="V5493" t="str">
            <v>not neg pair</v>
          </cell>
          <cell r="W5493">
            <v>0</v>
          </cell>
          <cell r="X5493" t="str">
            <v>0</v>
          </cell>
        </row>
        <row r="5494">
          <cell r="I5494" t="str">
            <v>met</v>
          </cell>
          <cell r="V5494" t="str">
            <v>0</v>
          </cell>
          <cell r="W5494">
            <v>0</v>
          </cell>
          <cell r="X5494" t="str">
            <v>0</v>
          </cell>
        </row>
        <row r="5495">
          <cell r="I5495" t="str">
            <v>met</v>
          </cell>
          <cell r="V5495" t="str">
            <v>0</v>
          </cell>
          <cell r="W5495">
            <v>0</v>
          </cell>
          <cell r="X5495" t="str">
            <v>0</v>
          </cell>
        </row>
        <row r="5496">
          <cell r="I5496" t="str">
            <v>sim</v>
          </cell>
          <cell r="V5496" t="str">
            <v>not</v>
          </cell>
          <cell r="W5496">
            <v>1</v>
          </cell>
          <cell r="X5496" t="str">
            <v>intens</v>
          </cell>
        </row>
        <row r="5497">
          <cell r="I5497" t="str">
            <v>sim</v>
          </cell>
          <cell r="V5497" t="str">
            <v>not</v>
          </cell>
          <cell r="W5497">
            <v>1</v>
          </cell>
          <cell r="X5497" t="str">
            <v>neg</v>
          </cell>
        </row>
        <row r="5498">
          <cell r="I5498" t="str">
            <v>sim</v>
          </cell>
          <cell r="V5498" t="str">
            <v>not neg pair</v>
          </cell>
          <cell r="W5498">
            <v>0</v>
          </cell>
          <cell r="X5498" t="str">
            <v>0</v>
          </cell>
        </row>
        <row r="5499">
          <cell r="I5499" t="str">
            <v>sim</v>
          </cell>
          <cell r="V5499" t="str">
            <v>not neg pair</v>
          </cell>
          <cell r="W5499">
            <v>0</v>
          </cell>
          <cell r="X5499" t="str">
            <v>0</v>
          </cell>
        </row>
        <row r="5500">
          <cell r="I5500" t="str">
            <v>sim</v>
          </cell>
          <cell r="V5500" t="str">
            <v>not neg pair</v>
          </cell>
          <cell r="W5500">
            <v>0</v>
          </cell>
          <cell r="X5500" t="str">
            <v>0</v>
          </cell>
        </row>
        <row r="5501">
          <cell r="I5501" t="str">
            <v>sim</v>
          </cell>
          <cell r="V5501" t="str">
            <v>not neg pair</v>
          </cell>
          <cell r="W5501">
            <v>0</v>
          </cell>
          <cell r="X5501" t="str">
            <v>0</v>
          </cell>
        </row>
        <row r="5502">
          <cell r="I5502" t="str">
            <v>sim</v>
          </cell>
          <cell r="V5502" t="str">
            <v>antonym</v>
          </cell>
          <cell r="W5502">
            <v>1</v>
          </cell>
          <cell r="X5502" t="str">
            <v>neg</v>
          </cell>
        </row>
        <row r="5503">
          <cell r="I5503" t="str">
            <v>sim</v>
          </cell>
          <cell r="V5503" t="str">
            <v>antonym</v>
          </cell>
          <cell r="W5503">
            <v>1</v>
          </cell>
          <cell r="X5503" t="str">
            <v>intens</v>
          </cell>
        </row>
        <row r="5504">
          <cell r="I5504" t="str">
            <v>sim</v>
          </cell>
          <cell r="V5504" t="str">
            <v>not neg pair</v>
          </cell>
          <cell r="W5504">
            <v>0</v>
          </cell>
          <cell r="X5504" t="str">
            <v>0</v>
          </cell>
        </row>
        <row r="5505">
          <cell r="I5505" t="str">
            <v>sim</v>
          </cell>
          <cell r="V5505" t="str">
            <v>not neg pair</v>
          </cell>
          <cell r="W5505">
            <v>0</v>
          </cell>
          <cell r="X5505" t="str">
            <v>0</v>
          </cell>
        </row>
        <row r="5506">
          <cell r="I5506" t="str">
            <v>sim</v>
          </cell>
          <cell r="V5506" t="str">
            <v>not</v>
          </cell>
          <cell r="W5506">
            <v>1</v>
          </cell>
          <cell r="X5506" t="str">
            <v>neg</v>
          </cell>
        </row>
        <row r="5507">
          <cell r="I5507" t="str">
            <v>sim</v>
          </cell>
          <cell r="V5507" t="str">
            <v>not</v>
          </cell>
          <cell r="W5507">
            <v>1</v>
          </cell>
          <cell r="X5507" t="str">
            <v>intens</v>
          </cell>
        </row>
        <row r="5508">
          <cell r="I5508" t="str">
            <v>sim</v>
          </cell>
          <cell r="V5508" t="str">
            <v>antonym</v>
          </cell>
          <cell r="W5508">
            <v>1</v>
          </cell>
          <cell r="X5508" t="str">
            <v>intens</v>
          </cell>
        </row>
        <row r="5509">
          <cell r="I5509" t="str">
            <v>sim</v>
          </cell>
          <cell r="V5509" t="str">
            <v>antonym</v>
          </cell>
          <cell r="W5509">
            <v>1</v>
          </cell>
          <cell r="X5509" t="str">
            <v>neg</v>
          </cell>
        </row>
        <row r="5510">
          <cell r="I5510" t="str">
            <v>sim</v>
          </cell>
          <cell r="V5510" t="str">
            <v>not neg pair</v>
          </cell>
          <cell r="W5510">
            <v>0</v>
          </cell>
          <cell r="X5510" t="str">
            <v>0</v>
          </cell>
        </row>
        <row r="5511">
          <cell r="I5511" t="str">
            <v>sim</v>
          </cell>
          <cell r="V5511" t="str">
            <v>not neg pair</v>
          </cell>
          <cell r="W5511">
            <v>0</v>
          </cell>
          <cell r="X5511" t="str">
            <v>0</v>
          </cell>
        </row>
        <row r="5512">
          <cell r="I5512" t="str">
            <v>met</v>
          </cell>
          <cell r="V5512" t="str">
            <v>0</v>
          </cell>
          <cell r="W5512">
            <v>0</v>
          </cell>
          <cell r="X5512" t="str">
            <v>0</v>
          </cell>
        </row>
        <row r="5513">
          <cell r="I5513" t="str">
            <v>met</v>
          </cell>
          <cell r="V5513" t="str">
            <v>0</v>
          </cell>
          <cell r="W5513">
            <v>0</v>
          </cell>
          <cell r="X5513" t="str">
            <v>0</v>
          </cell>
        </row>
        <row r="5514">
          <cell r="I5514" t="str">
            <v>sim</v>
          </cell>
          <cell r="V5514" t="str">
            <v>antonym</v>
          </cell>
          <cell r="W5514">
            <v>1</v>
          </cell>
          <cell r="X5514" t="str">
            <v>neg</v>
          </cell>
        </row>
        <row r="5515">
          <cell r="I5515" t="str">
            <v>sim</v>
          </cell>
          <cell r="V5515" t="str">
            <v>antonym</v>
          </cell>
          <cell r="W5515">
            <v>1</v>
          </cell>
          <cell r="X5515" t="str">
            <v>intens</v>
          </cell>
        </row>
        <row r="5516">
          <cell r="I5516" t="str">
            <v>sim</v>
          </cell>
          <cell r="V5516" t="str">
            <v>not</v>
          </cell>
          <cell r="W5516">
            <v>1</v>
          </cell>
          <cell r="X5516" t="str">
            <v>intens</v>
          </cell>
        </row>
        <row r="5517">
          <cell r="I5517" t="str">
            <v>sim</v>
          </cell>
          <cell r="V5517" t="str">
            <v>not</v>
          </cell>
          <cell r="W5517">
            <v>1</v>
          </cell>
          <cell r="X5517" t="str">
            <v>neg</v>
          </cell>
        </row>
        <row r="5518">
          <cell r="I5518" t="str">
            <v>sim</v>
          </cell>
          <cell r="V5518" t="str">
            <v>not neg pair</v>
          </cell>
          <cell r="W5518">
            <v>0</v>
          </cell>
          <cell r="X5518" t="str">
            <v>0</v>
          </cell>
        </row>
        <row r="5519">
          <cell r="I5519" t="str">
            <v>sim</v>
          </cell>
          <cell r="V5519" t="str">
            <v>not neg pair</v>
          </cell>
          <cell r="W5519">
            <v>0</v>
          </cell>
          <cell r="X5519" t="str">
            <v>0</v>
          </cell>
        </row>
        <row r="5520">
          <cell r="I5520" t="str">
            <v>sim</v>
          </cell>
          <cell r="V5520" t="str">
            <v>not</v>
          </cell>
          <cell r="W5520">
            <v>1</v>
          </cell>
          <cell r="X5520" t="str">
            <v>intens</v>
          </cell>
        </row>
        <row r="5521">
          <cell r="I5521" t="str">
            <v>sim</v>
          </cell>
          <cell r="V5521" t="str">
            <v>not</v>
          </cell>
          <cell r="W5521">
            <v>1</v>
          </cell>
          <cell r="X5521" t="str">
            <v>neg</v>
          </cell>
        </row>
        <row r="5522">
          <cell r="I5522" t="str">
            <v>sim</v>
          </cell>
          <cell r="V5522" t="str">
            <v>not neg pair</v>
          </cell>
          <cell r="W5522">
            <v>0</v>
          </cell>
          <cell r="X5522" t="str">
            <v>0</v>
          </cell>
        </row>
        <row r="5523">
          <cell r="I5523" t="str">
            <v>met</v>
          </cell>
          <cell r="V5523" t="str">
            <v>0</v>
          </cell>
          <cell r="W5523">
            <v>0</v>
          </cell>
          <cell r="X5523" t="str">
            <v>0</v>
          </cell>
        </row>
        <row r="5524">
          <cell r="I5524" t="str">
            <v>met</v>
          </cell>
          <cell r="V5524" t="str">
            <v>0</v>
          </cell>
          <cell r="W5524">
            <v>0</v>
          </cell>
          <cell r="X5524" t="str">
            <v>0</v>
          </cell>
        </row>
        <row r="5525">
          <cell r="I5525" t="str">
            <v>sim</v>
          </cell>
          <cell r="V5525" t="str">
            <v>not neg pair</v>
          </cell>
          <cell r="W5525">
            <v>0</v>
          </cell>
          <cell r="X5525" t="str">
            <v>0</v>
          </cell>
        </row>
        <row r="5526">
          <cell r="I5526" t="str">
            <v>met</v>
          </cell>
          <cell r="V5526" t="str">
            <v>0</v>
          </cell>
          <cell r="W5526">
            <v>0</v>
          </cell>
          <cell r="X5526" t="str">
            <v>0</v>
          </cell>
        </row>
        <row r="5527">
          <cell r="I5527" t="str">
            <v>met</v>
          </cell>
          <cell r="V5527" t="str">
            <v>0</v>
          </cell>
          <cell r="W5527">
            <v>0</v>
          </cell>
          <cell r="X5527" t="str">
            <v>0</v>
          </cell>
        </row>
        <row r="5528">
          <cell r="I5528" t="str">
            <v>met</v>
          </cell>
          <cell r="V5528" t="str">
            <v>0</v>
          </cell>
          <cell r="W5528">
            <v>0</v>
          </cell>
          <cell r="X5528" t="str">
            <v>0</v>
          </cell>
        </row>
        <row r="5529">
          <cell r="I5529" t="str">
            <v>met</v>
          </cell>
          <cell r="V5529" t="str">
            <v>0</v>
          </cell>
          <cell r="W5529">
            <v>0</v>
          </cell>
          <cell r="X5529" t="str">
            <v>0</v>
          </cell>
        </row>
        <row r="5530">
          <cell r="I5530" t="str">
            <v>sim</v>
          </cell>
          <cell r="V5530" t="str">
            <v>not</v>
          </cell>
          <cell r="W5530">
            <v>1</v>
          </cell>
          <cell r="X5530" t="str">
            <v>neg</v>
          </cell>
        </row>
        <row r="5531">
          <cell r="I5531" t="str">
            <v>sim</v>
          </cell>
          <cell r="V5531" t="str">
            <v>not</v>
          </cell>
          <cell r="W5531">
            <v>1</v>
          </cell>
          <cell r="X5531" t="str">
            <v>intens</v>
          </cell>
        </row>
        <row r="5532">
          <cell r="I5532" t="str">
            <v>sim</v>
          </cell>
          <cell r="V5532" t="str">
            <v>not neg pair</v>
          </cell>
          <cell r="W5532">
            <v>0</v>
          </cell>
          <cell r="X5532" t="str">
            <v>0</v>
          </cell>
        </row>
        <row r="5533">
          <cell r="I5533" t="str">
            <v>sim</v>
          </cell>
          <cell r="V5533" t="str">
            <v>not neg pair</v>
          </cell>
          <cell r="W5533">
            <v>0</v>
          </cell>
          <cell r="X5533" t="str">
            <v>0</v>
          </cell>
        </row>
        <row r="5534">
          <cell r="I5534" t="str">
            <v>met</v>
          </cell>
          <cell r="V5534" t="str">
            <v>0</v>
          </cell>
          <cell r="W5534">
            <v>0</v>
          </cell>
          <cell r="X5534" t="str">
            <v>0</v>
          </cell>
        </row>
        <row r="5535">
          <cell r="I5535" t="str">
            <v>met</v>
          </cell>
          <cell r="V5535" t="str">
            <v>0</v>
          </cell>
          <cell r="W5535">
            <v>0</v>
          </cell>
          <cell r="X5535" t="str">
            <v>0</v>
          </cell>
        </row>
        <row r="5536">
          <cell r="I5536" t="str">
            <v>met</v>
          </cell>
          <cell r="V5536" t="str">
            <v>0</v>
          </cell>
          <cell r="W5536">
            <v>0</v>
          </cell>
          <cell r="X5536" t="str">
            <v>0</v>
          </cell>
        </row>
        <row r="5537">
          <cell r="I5537" t="str">
            <v>met</v>
          </cell>
          <cell r="V5537" t="str">
            <v>0</v>
          </cell>
          <cell r="W5537">
            <v>0</v>
          </cell>
          <cell r="X5537" t="str">
            <v>0</v>
          </cell>
        </row>
        <row r="5538">
          <cell r="I5538" t="str">
            <v>sim</v>
          </cell>
          <cell r="V5538" t="str">
            <v>not neg pair</v>
          </cell>
          <cell r="W5538">
            <v>0</v>
          </cell>
          <cell r="X5538" t="str">
            <v>0</v>
          </cell>
        </row>
        <row r="5539">
          <cell r="I5539" t="str">
            <v>sim</v>
          </cell>
          <cell r="V5539" t="str">
            <v>not neg pair</v>
          </cell>
          <cell r="W5539">
            <v>0</v>
          </cell>
          <cell r="X5539" t="str">
            <v>0</v>
          </cell>
        </row>
        <row r="5540">
          <cell r="I5540" t="str">
            <v>met</v>
          </cell>
          <cell r="V5540" t="str">
            <v>0</v>
          </cell>
          <cell r="W5540">
            <v>0</v>
          </cell>
          <cell r="X5540" t="str">
            <v>0</v>
          </cell>
        </row>
        <row r="5541">
          <cell r="I5541" t="str">
            <v>met</v>
          </cell>
          <cell r="V5541" t="str">
            <v>0</v>
          </cell>
          <cell r="W5541">
            <v>0</v>
          </cell>
          <cell r="X5541" t="str">
            <v>0</v>
          </cell>
        </row>
        <row r="5542">
          <cell r="I5542" t="str">
            <v>sim</v>
          </cell>
          <cell r="V5542" t="str">
            <v>not neg pair</v>
          </cell>
          <cell r="W5542">
            <v>0</v>
          </cell>
          <cell r="X5542" t="str">
            <v>0</v>
          </cell>
        </row>
        <row r="5543">
          <cell r="I5543" t="str">
            <v>sim</v>
          </cell>
          <cell r="V5543" t="str">
            <v>not neg pair</v>
          </cell>
          <cell r="W5543">
            <v>0</v>
          </cell>
          <cell r="X5543" t="str">
            <v>0</v>
          </cell>
        </row>
        <row r="5544">
          <cell r="I5544" t="str">
            <v>sim</v>
          </cell>
          <cell r="V5544" t="str">
            <v>not</v>
          </cell>
          <cell r="W5544">
            <v>1</v>
          </cell>
          <cell r="X5544" t="str">
            <v>intens</v>
          </cell>
        </row>
        <row r="5545">
          <cell r="I5545" t="str">
            <v>sim</v>
          </cell>
          <cell r="V5545" t="str">
            <v>not</v>
          </cell>
          <cell r="W5545">
            <v>1</v>
          </cell>
          <cell r="X5545" t="str">
            <v>neg</v>
          </cell>
        </row>
        <row r="5546">
          <cell r="I5546" t="str">
            <v>sim</v>
          </cell>
          <cell r="V5546" t="str">
            <v>not neg pair</v>
          </cell>
          <cell r="W5546">
            <v>0</v>
          </cell>
          <cell r="X5546" t="str">
            <v>0</v>
          </cell>
        </row>
        <row r="5547">
          <cell r="I5547" t="str">
            <v>sim</v>
          </cell>
          <cell r="V5547" t="str">
            <v>not neg pair</v>
          </cell>
          <cell r="W5547">
            <v>0</v>
          </cell>
          <cell r="X5547" t="str">
            <v>0</v>
          </cell>
        </row>
        <row r="5548">
          <cell r="I5548" t="str">
            <v>sim</v>
          </cell>
          <cell r="V5548" t="str">
            <v>not neg pair</v>
          </cell>
          <cell r="W5548">
            <v>0</v>
          </cell>
          <cell r="X5548" t="str">
            <v>0</v>
          </cell>
        </row>
        <row r="5549">
          <cell r="I5549" t="str">
            <v>sim</v>
          </cell>
          <cell r="V5549" t="str">
            <v>not neg pair</v>
          </cell>
          <cell r="W5549">
            <v>0</v>
          </cell>
          <cell r="X5549" t="str">
            <v>0</v>
          </cell>
        </row>
        <row r="5550">
          <cell r="I5550" t="str">
            <v>sim</v>
          </cell>
          <cell r="V5550" t="str">
            <v>antonym</v>
          </cell>
          <cell r="W5550">
            <v>1</v>
          </cell>
          <cell r="X5550" t="str">
            <v>intens</v>
          </cell>
        </row>
        <row r="5551">
          <cell r="I5551" t="str">
            <v>sim</v>
          </cell>
          <cell r="V5551" t="str">
            <v>antonym</v>
          </cell>
          <cell r="W5551">
            <v>1</v>
          </cell>
          <cell r="X5551" t="str">
            <v>neg</v>
          </cell>
        </row>
        <row r="5552">
          <cell r="I5552" t="str">
            <v>sim</v>
          </cell>
          <cell r="V5552" t="str">
            <v>antonym</v>
          </cell>
          <cell r="W5552">
            <v>1</v>
          </cell>
          <cell r="X5552" t="str">
            <v>neg</v>
          </cell>
        </row>
        <row r="5553">
          <cell r="I5553" t="str">
            <v>sim</v>
          </cell>
          <cell r="V5553" t="str">
            <v>antonym</v>
          </cell>
          <cell r="W5553">
            <v>1</v>
          </cell>
          <cell r="X5553" t="str">
            <v>intens</v>
          </cell>
        </row>
        <row r="5554">
          <cell r="I5554" t="str">
            <v>sim</v>
          </cell>
          <cell r="V5554" t="str">
            <v>antonym</v>
          </cell>
          <cell r="W5554">
            <v>1</v>
          </cell>
          <cell r="X5554" t="str">
            <v>intens</v>
          </cell>
        </row>
        <row r="5555">
          <cell r="I5555" t="str">
            <v>sim</v>
          </cell>
          <cell r="V5555" t="str">
            <v>antonym</v>
          </cell>
          <cell r="W5555">
            <v>1</v>
          </cell>
          <cell r="X5555" t="str">
            <v>neg</v>
          </cell>
        </row>
        <row r="5556">
          <cell r="I5556" t="str">
            <v>sim</v>
          </cell>
          <cell r="V5556" t="str">
            <v>not neg pair</v>
          </cell>
          <cell r="W5556">
            <v>0</v>
          </cell>
          <cell r="X5556" t="str">
            <v>0</v>
          </cell>
        </row>
        <row r="5557">
          <cell r="I5557" t="str">
            <v>sim</v>
          </cell>
          <cell r="V5557" t="str">
            <v>not neg pair</v>
          </cell>
          <cell r="W5557">
            <v>0</v>
          </cell>
          <cell r="X5557" t="str">
            <v>0</v>
          </cell>
        </row>
        <row r="5558">
          <cell r="I5558" t="str">
            <v>sim</v>
          </cell>
          <cell r="V5558" t="str">
            <v>not</v>
          </cell>
          <cell r="W5558">
            <v>1</v>
          </cell>
          <cell r="X5558" t="str">
            <v>neg</v>
          </cell>
        </row>
        <row r="5559">
          <cell r="I5559" t="str">
            <v>sim</v>
          </cell>
          <cell r="V5559" t="str">
            <v>not</v>
          </cell>
          <cell r="W5559">
            <v>1</v>
          </cell>
          <cell r="X5559" t="str">
            <v>intens</v>
          </cell>
        </row>
        <row r="5560">
          <cell r="I5560" t="str">
            <v>met</v>
          </cell>
          <cell r="V5560" t="str">
            <v>0</v>
          </cell>
          <cell r="W5560">
            <v>0</v>
          </cell>
          <cell r="X5560" t="str">
            <v>0</v>
          </cell>
        </row>
        <row r="5561">
          <cell r="I5561" t="str">
            <v>met</v>
          </cell>
          <cell r="V5561" t="str">
            <v>0</v>
          </cell>
          <cell r="W5561">
            <v>0</v>
          </cell>
          <cell r="X5561" t="str">
            <v>0</v>
          </cell>
        </row>
        <row r="5562">
          <cell r="I5562" t="str">
            <v>sim</v>
          </cell>
          <cell r="V5562" t="str">
            <v>not neg pair</v>
          </cell>
          <cell r="W5562">
            <v>0</v>
          </cell>
          <cell r="X5562" t="str">
            <v>0</v>
          </cell>
        </row>
        <row r="5563">
          <cell r="I5563" t="str">
            <v>sim</v>
          </cell>
          <cell r="V5563" t="str">
            <v>not neg pair</v>
          </cell>
          <cell r="W5563">
            <v>0</v>
          </cell>
          <cell r="X5563" t="str">
            <v>0</v>
          </cell>
        </row>
        <row r="5564">
          <cell r="I5564" t="str">
            <v>sim</v>
          </cell>
          <cell r="V5564" t="str">
            <v>not neg pair</v>
          </cell>
          <cell r="W5564">
            <v>0</v>
          </cell>
          <cell r="X5564" t="str">
            <v>0</v>
          </cell>
        </row>
        <row r="5565">
          <cell r="I5565" t="str">
            <v>sim</v>
          </cell>
          <cell r="V5565" t="str">
            <v>not neg pair</v>
          </cell>
          <cell r="W5565">
            <v>0</v>
          </cell>
          <cell r="X5565" t="str">
            <v>0</v>
          </cell>
        </row>
        <row r="5566">
          <cell r="I5566" t="str">
            <v>sim</v>
          </cell>
          <cell r="V5566" t="str">
            <v>not neg pair</v>
          </cell>
          <cell r="W5566">
            <v>0</v>
          </cell>
          <cell r="X5566" t="str">
            <v>0</v>
          </cell>
        </row>
        <row r="5567">
          <cell r="I5567" t="str">
            <v>sim</v>
          </cell>
          <cell r="V5567" t="str">
            <v>not neg pair</v>
          </cell>
          <cell r="W5567">
            <v>0</v>
          </cell>
          <cell r="X5567" t="str">
            <v>0</v>
          </cell>
        </row>
        <row r="5568">
          <cell r="I5568" t="str">
            <v>sim</v>
          </cell>
          <cell r="V5568" t="str">
            <v>not neg pair</v>
          </cell>
          <cell r="W5568">
            <v>0</v>
          </cell>
          <cell r="X5568" t="str">
            <v>0</v>
          </cell>
        </row>
        <row r="5569">
          <cell r="I5569" t="str">
            <v>sim</v>
          </cell>
          <cell r="V5569" t="str">
            <v>not neg pair</v>
          </cell>
          <cell r="W5569">
            <v>0</v>
          </cell>
          <cell r="X5569" t="str">
            <v>0</v>
          </cell>
        </row>
        <row r="5570">
          <cell r="I5570" t="str">
            <v>sim</v>
          </cell>
          <cell r="V5570" t="str">
            <v>not neg pair</v>
          </cell>
          <cell r="W5570">
            <v>0</v>
          </cell>
          <cell r="X5570" t="str">
            <v>0</v>
          </cell>
        </row>
        <row r="5571">
          <cell r="I5571" t="str">
            <v>sim</v>
          </cell>
          <cell r="V5571" t="str">
            <v>not neg pair</v>
          </cell>
          <cell r="W5571">
            <v>0</v>
          </cell>
          <cell r="X5571" t="str">
            <v>0</v>
          </cell>
        </row>
        <row r="5572">
          <cell r="I5572" t="str">
            <v>sim</v>
          </cell>
          <cell r="V5572" t="str">
            <v>not neg pair</v>
          </cell>
          <cell r="W5572">
            <v>0</v>
          </cell>
          <cell r="X5572" t="str">
            <v>0</v>
          </cell>
        </row>
        <row r="5573">
          <cell r="I5573" t="str">
            <v>sim</v>
          </cell>
          <cell r="V5573" t="str">
            <v>not neg pair</v>
          </cell>
          <cell r="W5573">
            <v>0</v>
          </cell>
          <cell r="X5573" t="str">
            <v>0</v>
          </cell>
        </row>
        <row r="5574">
          <cell r="I5574" t="str">
            <v>sim</v>
          </cell>
          <cell r="V5574" t="str">
            <v>antonym</v>
          </cell>
          <cell r="W5574">
            <v>1</v>
          </cell>
          <cell r="X5574" t="str">
            <v>intens</v>
          </cell>
        </row>
        <row r="5575">
          <cell r="I5575" t="str">
            <v>sim</v>
          </cell>
          <cell r="V5575" t="str">
            <v>antonym</v>
          </cell>
          <cell r="W5575">
            <v>1</v>
          </cell>
          <cell r="X5575" t="str">
            <v>neg</v>
          </cell>
        </row>
        <row r="5576">
          <cell r="I5576" t="str">
            <v>sim</v>
          </cell>
          <cell r="V5576" t="str">
            <v>antonym</v>
          </cell>
          <cell r="W5576">
            <v>1</v>
          </cell>
          <cell r="X5576" t="str">
            <v>neg</v>
          </cell>
        </row>
        <row r="5577">
          <cell r="I5577" t="str">
            <v>sim</v>
          </cell>
          <cell r="V5577" t="str">
            <v>antonym</v>
          </cell>
          <cell r="W5577">
            <v>1</v>
          </cell>
          <cell r="X5577" t="str">
            <v>intens</v>
          </cell>
        </row>
        <row r="5578">
          <cell r="I5578" t="str">
            <v>sim</v>
          </cell>
          <cell r="V5578" t="str">
            <v>not neg pair</v>
          </cell>
          <cell r="W5578">
            <v>0</v>
          </cell>
          <cell r="X5578" t="str">
            <v>0</v>
          </cell>
        </row>
        <row r="5579">
          <cell r="I5579" t="str">
            <v>sim</v>
          </cell>
          <cell r="V5579" t="str">
            <v>not neg pair</v>
          </cell>
          <cell r="W5579">
            <v>0</v>
          </cell>
          <cell r="X5579" t="str">
            <v>0</v>
          </cell>
        </row>
        <row r="5580">
          <cell r="I5580" t="str">
            <v>sim</v>
          </cell>
          <cell r="V5580" t="str">
            <v>not neg pair</v>
          </cell>
          <cell r="W5580">
            <v>0</v>
          </cell>
          <cell r="X5580" t="str">
            <v>0</v>
          </cell>
        </row>
        <row r="5581">
          <cell r="I5581" t="str">
            <v>sim</v>
          </cell>
          <cell r="V5581" t="str">
            <v>not neg pair</v>
          </cell>
          <cell r="W5581">
            <v>0</v>
          </cell>
          <cell r="X5581" t="str">
            <v>0</v>
          </cell>
        </row>
        <row r="5582">
          <cell r="I5582" t="str">
            <v>sim</v>
          </cell>
          <cell r="V5582" t="str">
            <v>antonym</v>
          </cell>
          <cell r="W5582">
            <v>1</v>
          </cell>
          <cell r="X5582" t="str">
            <v>intens</v>
          </cell>
        </row>
        <row r="5583">
          <cell r="I5583" t="str">
            <v>sim</v>
          </cell>
          <cell r="V5583" t="str">
            <v>antonym</v>
          </cell>
          <cell r="W5583">
            <v>1</v>
          </cell>
          <cell r="X5583" t="str">
            <v>neg</v>
          </cell>
        </row>
        <row r="5584">
          <cell r="I5584" t="str">
            <v>sim</v>
          </cell>
          <cell r="V5584" t="str">
            <v>not</v>
          </cell>
          <cell r="W5584">
            <v>1</v>
          </cell>
          <cell r="X5584" t="str">
            <v>intens</v>
          </cell>
        </row>
        <row r="5585">
          <cell r="I5585" t="str">
            <v>sim</v>
          </cell>
          <cell r="V5585" t="str">
            <v>not</v>
          </cell>
          <cell r="W5585">
            <v>1</v>
          </cell>
          <cell r="X5585" t="str">
            <v>neg</v>
          </cell>
        </row>
        <row r="5586">
          <cell r="I5586" t="str">
            <v>met</v>
          </cell>
          <cell r="V5586" t="str">
            <v>0</v>
          </cell>
          <cell r="W5586">
            <v>0</v>
          </cell>
          <cell r="X5586" t="str">
            <v>0</v>
          </cell>
        </row>
        <row r="5587">
          <cell r="I5587" t="str">
            <v>met</v>
          </cell>
          <cell r="V5587" t="str">
            <v>0</v>
          </cell>
          <cell r="W5587">
            <v>0</v>
          </cell>
          <cell r="X5587" t="str">
            <v>0</v>
          </cell>
        </row>
        <row r="5588">
          <cell r="I5588" t="str">
            <v>sim</v>
          </cell>
          <cell r="V5588" t="str">
            <v>not neg pair</v>
          </cell>
          <cell r="W5588">
            <v>0</v>
          </cell>
          <cell r="X5588" t="str">
            <v>0</v>
          </cell>
        </row>
        <row r="5589">
          <cell r="I5589" t="str">
            <v>sim</v>
          </cell>
          <cell r="V5589" t="str">
            <v>not neg pair</v>
          </cell>
          <cell r="W5589">
            <v>0</v>
          </cell>
          <cell r="X5589" t="str">
            <v>0</v>
          </cell>
        </row>
        <row r="5590">
          <cell r="I5590" t="str">
            <v>sim</v>
          </cell>
          <cell r="V5590" t="str">
            <v>not neg pair</v>
          </cell>
          <cell r="W5590">
            <v>0</v>
          </cell>
          <cell r="X5590" t="str">
            <v>0</v>
          </cell>
        </row>
        <row r="5591">
          <cell r="I5591" t="str">
            <v>sim</v>
          </cell>
          <cell r="V5591" t="str">
            <v>not neg pair</v>
          </cell>
          <cell r="W5591">
            <v>0</v>
          </cell>
          <cell r="X5591" t="str">
            <v>0</v>
          </cell>
        </row>
        <row r="5592">
          <cell r="I5592" t="str">
            <v>sim</v>
          </cell>
          <cell r="V5592" t="str">
            <v>not</v>
          </cell>
          <cell r="W5592">
            <v>1</v>
          </cell>
          <cell r="X5592" t="str">
            <v>neg</v>
          </cell>
        </row>
        <row r="5593">
          <cell r="I5593" t="str">
            <v>sim</v>
          </cell>
          <cell r="V5593" t="str">
            <v>not</v>
          </cell>
          <cell r="W5593">
            <v>1</v>
          </cell>
          <cell r="X5593" t="str">
            <v>intens</v>
          </cell>
        </row>
        <row r="5594">
          <cell r="I5594" t="str">
            <v>sim</v>
          </cell>
          <cell r="V5594" t="str">
            <v>antonym</v>
          </cell>
          <cell r="W5594">
            <v>1</v>
          </cell>
          <cell r="X5594" t="str">
            <v>intens</v>
          </cell>
        </row>
        <row r="5595">
          <cell r="I5595" t="str">
            <v>sim</v>
          </cell>
          <cell r="V5595" t="str">
            <v>antonym</v>
          </cell>
          <cell r="W5595">
            <v>1</v>
          </cell>
          <cell r="X5595" t="str">
            <v>neg</v>
          </cell>
        </row>
        <row r="5596">
          <cell r="I5596" t="str">
            <v>sim</v>
          </cell>
          <cell r="V5596" t="str">
            <v>not</v>
          </cell>
          <cell r="W5596">
            <v>1</v>
          </cell>
          <cell r="X5596" t="str">
            <v>intens</v>
          </cell>
        </row>
        <row r="5597">
          <cell r="I5597" t="str">
            <v>sim</v>
          </cell>
          <cell r="V5597" t="str">
            <v>not</v>
          </cell>
          <cell r="W5597">
            <v>1</v>
          </cell>
          <cell r="X5597" t="str">
            <v>neg</v>
          </cell>
        </row>
        <row r="5598">
          <cell r="I5598" t="str">
            <v>sim</v>
          </cell>
          <cell r="V5598" t="str">
            <v>antonym</v>
          </cell>
          <cell r="W5598">
            <v>1</v>
          </cell>
          <cell r="X5598" t="str">
            <v>intens</v>
          </cell>
        </row>
        <row r="5599">
          <cell r="I5599" t="str">
            <v>sim</v>
          </cell>
          <cell r="V5599" t="str">
            <v>antonym</v>
          </cell>
          <cell r="W5599">
            <v>1</v>
          </cell>
          <cell r="X5599" t="str">
            <v>neg</v>
          </cell>
        </row>
        <row r="5600">
          <cell r="I5600" t="str">
            <v>sim</v>
          </cell>
          <cell r="V5600" t="str">
            <v>antonym</v>
          </cell>
          <cell r="W5600">
            <v>1</v>
          </cell>
          <cell r="X5600" t="str">
            <v>intens</v>
          </cell>
        </row>
        <row r="5601">
          <cell r="I5601" t="str">
            <v>sim</v>
          </cell>
          <cell r="V5601" t="str">
            <v>antonym</v>
          </cell>
          <cell r="W5601">
            <v>1</v>
          </cell>
          <cell r="X5601" t="str">
            <v>neg</v>
          </cell>
        </row>
        <row r="5602">
          <cell r="I5602" t="str">
            <v>sim</v>
          </cell>
          <cell r="V5602" t="str">
            <v>not neg pair</v>
          </cell>
          <cell r="W5602">
            <v>0</v>
          </cell>
          <cell r="X5602" t="str">
            <v>0</v>
          </cell>
        </row>
        <row r="5603">
          <cell r="I5603" t="str">
            <v>sim</v>
          </cell>
          <cell r="V5603" t="str">
            <v>not neg pair</v>
          </cell>
          <cell r="W5603">
            <v>0</v>
          </cell>
          <cell r="X5603" t="str">
            <v>0</v>
          </cell>
        </row>
        <row r="5604">
          <cell r="I5604" t="str">
            <v>sim</v>
          </cell>
          <cell r="V5604" t="str">
            <v>not neg pair</v>
          </cell>
          <cell r="W5604">
            <v>0</v>
          </cell>
          <cell r="X5604" t="str">
            <v>0</v>
          </cell>
        </row>
        <row r="5605">
          <cell r="I5605" t="str">
            <v>sim</v>
          </cell>
          <cell r="V5605" t="str">
            <v>not neg pair</v>
          </cell>
          <cell r="W5605">
            <v>0</v>
          </cell>
          <cell r="X5605" t="str">
            <v>0</v>
          </cell>
        </row>
        <row r="5606">
          <cell r="I5606" t="str">
            <v>sim</v>
          </cell>
          <cell r="V5606" t="str">
            <v>not neg pair</v>
          </cell>
          <cell r="W5606">
            <v>0</v>
          </cell>
          <cell r="X5606" t="str">
            <v>0</v>
          </cell>
        </row>
        <row r="5607">
          <cell r="I5607" t="str">
            <v>sim</v>
          </cell>
          <cell r="V5607" t="str">
            <v>not neg pair</v>
          </cell>
          <cell r="W5607">
            <v>0</v>
          </cell>
          <cell r="X5607" t="str">
            <v>0</v>
          </cell>
        </row>
        <row r="5608">
          <cell r="I5608" t="str">
            <v>sim</v>
          </cell>
          <cell r="V5608" t="str">
            <v>not</v>
          </cell>
          <cell r="W5608">
            <v>1</v>
          </cell>
          <cell r="X5608" t="str">
            <v>intens</v>
          </cell>
        </row>
        <row r="5609">
          <cell r="I5609" t="str">
            <v>sim</v>
          </cell>
          <cell r="V5609" t="str">
            <v>not</v>
          </cell>
          <cell r="W5609">
            <v>1</v>
          </cell>
          <cell r="X5609" t="str">
            <v>neg</v>
          </cell>
        </row>
        <row r="5610">
          <cell r="I5610" t="str">
            <v>sim</v>
          </cell>
          <cell r="V5610" t="str">
            <v>not neg pair</v>
          </cell>
          <cell r="W5610">
            <v>0</v>
          </cell>
          <cell r="X5610" t="str">
            <v>0</v>
          </cell>
        </row>
        <row r="5611">
          <cell r="I5611" t="str">
            <v>sim</v>
          </cell>
          <cell r="V5611" t="str">
            <v>not neg pair</v>
          </cell>
          <cell r="W5611">
            <v>0</v>
          </cell>
          <cell r="X5611" t="str">
            <v>0</v>
          </cell>
        </row>
        <row r="5612">
          <cell r="I5612" t="str">
            <v>sim</v>
          </cell>
          <cell r="V5612" t="str">
            <v>not</v>
          </cell>
          <cell r="W5612">
            <v>1</v>
          </cell>
          <cell r="X5612" t="str">
            <v>intens</v>
          </cell>
        </row>
        <row r="5613">
          <cell r="I5613" t="str">
            <v>sim</v>
          </cell>
          <cell r="V5613" t="str">
            <v>not</v>
          </cell>
          <cell r="W5613">
            <v>1</v>
          </cell>
          <cell r="X5613" t="str">
            <v>neg</v>
          </cell>
        </row>
        <row r="5614">
          <cell r="I5614" t="str">
            <v>sim</v>
          </cell>
          <cell r="V5614" t="str">
            <v>not neg pair</v>
          </cell>
          <cell r="W5614">
            <v>0</v>
          </cell>
          <cell r="X5614" t="str">
            <v>0</v>
          </cell>
        </row>
        <row r="5615">
          <cell r="I5615" t="str">
            <v>sim</v>
          </cell>
          <cell r="V5615" t="str">
            <v>not neg pair</v>
          </cell>
          <cell r="W5615">
            <v>0</v>
          </cell>
          <cell r="X5615" t="str">
            <v>0</v>
          </cell>
        </row>
        <row r="5616">
          <cell r="I5616" t="str">
            <v>sim</v>
          </cell>
          <cell r="V5616" t="str">
            <v>not neg pair</v>
          </cell>
          <cell r="W5616">
            <v>0</v>
          </cell>
          <cell r="X5616" t="str">
            <v>0</v>
          </cell>
        </row>
        <row r="5617">
          <cell r="I5617" t="str">
            <v>sim</v>
          </cell>
          <cell r="V5617" t="str">
            <v>not neg pair</v>
          </cell>
          <cell r="W5617">
            <v>0</v>
          </cell>
          <cell r="X5617" t="str">
            <v>0</v>
          </cell>
        </row>
        <row r="5618">
          <cell r="I5618" t="str">
            <v>met</v>
          </cell>
          <cell r="V5618" t="str">
            <v>0</v>
          </cell>
          <cell r="W5618">
            <v>0</v>
          </cell>
          <cell r="X5618" t="str">
            <v>0</v>
          </cell>
        </row>
        <row r="5619">
          <cell r="I5619" t="str">
            <v>sim</v>
          </cell>
          <cell r="V5619" t="str">
            <v>not neg pair</v>
          </cell>
          <cell r="W5619">
            <v>0</v>
          </cell>
          <cell r="X5619" t="str">
            <v>0</v>
          </cell>
        </row>
        <row r="5620">
          <cell r="I5620" t="str">
            <v>sim</v>
          </cell>
          <cell r="V5620" t="str">
            <v>not</v>
          </cell>
          <cell r="W5620">
            <v>1</v>
          </cell>
          <cell r="X5620" t="str">
            <v>intens</v>
          </cell>
        </row>
        <row r="5621">
          <cell r="I5621" t="str">
            <v>sim</v>
          </cell>
          <cell r="V5621" t="str">
            <v>not</v>
          </cell>
          <cell r="W5621">
            <v>1</v>
          </cell>
          <cell r="X5621" t="str">
            <v>neg</v>
          </cell>
        </row>
        <row r="5622">
          <cell r="I5622" t="str">
            <v>sim</v>
          </cell>
          <cell r="V5622" t="str">
            <v>not neg pair</v>
          </cell>
          <cell r="W5622">
            <v>0</v>
          </cell>
          <cell r="X5622" t="str">
            <v>0</v>
          </cell>
        </row>
        <row r="5623">
          <cell r="I5623" t="str">
            <v>sim</v>
          </cell>
          <cell r="V5623" t="str">
            <v>not neg pair</v>
          </cell>
          <cell r="W5623">
            <v>0</v>
          </cell>
          <cell r="X5623" t="str">
            <v>0</v>
          </cell>
        </row>
        <row r="5624">
          <cell r="I5624" t="str">
            <v>sim</v>
          </cell>
          <cell r="V5624" t="str">
            <v>antonym</v>
          </cell>
          <cell r="W5624">
            <v>1</v>
          </cell>
          <cell r="X5624" t="str">
            <v>intens</v>
          </cell>
        </row>
        <row r="5625">
          <cell r="I5625" t="str">
            <v>sim</v>
          </cell>
          <cell r="V5625" t="str">
            <v>antonym</v>
          </cell>
          <cell r="W5625">
            <v>1</v>
          </cell>
          <cell r="X5625" t="str">
            <v>neg</v>
          </cell>
        </row>
        <row r="5626">
          <cell r="I5626" t="str">
            <v>sim</v>
          </cell>
          <cell r="V5626" t="str">
            <v>not neg pair</v>
          </cell>
          <cell r="W5626">
            <v>0</v>
          </cell>
          <cell r="X5626" t="str">
            <v>0</v>
          </cell>
        </row>
        <row r="5627">
          <cell r="I5627" t="str">
            <v>sim</v>
          </cell>
          <cell r="V5627" t="str">
            <v>not neg pair</v>
          </cell>
          <cell r="W5627">
            <v>0</v>
          </cell>
          <cell r="X5627" t="str">
            <v>0</v>
          </cell>
        </row>
        <row r="5628">
          <cell r="I5628" t="str">
            <v>sim</v>
          </cell>
          <cell r="V5628" t="str">
            <v>not neg pair</v>
          </cell>
          <cell r="W5628">
            <v>0</v>
          </cell>
          <cell r="X5628" t="str">
            <v>0</v>
          </cell>
        </row>
        <row r="5629">
          <cell r="I5629" t="str">
            <v>sim</v>
          </cell>
          <cell r="V5629" t="str">
            <v>not neg pair</v>
          </cell>
          <cell r="W5629">
            <v>0</v>
          </cell>
          <cell r="X5629" t="str">
            <v>0</v>
          </cell>
        </row>
        <row r="5630">
          <cell r="I5630" t="str">
            <v>sim</v>
          </cell>
          <cell r="V5630" t="str">
            <v>not</v>
          </cell>
          <cell r="W5630">
            <v>1</v>
          </cell>
          <cell r="X5630" t="str">
            <v>intens</v>
          </cell>
        </row>
        <row r="5631">
          <cell r="I5631" t="str">
            <v>sim</v>
          </cell>
          <cell r="V5631" t="str">
            <v>not</v>
          </cell>
          <cell r="W5631">
            <v>1</v>
          </cell>
          <cell r="X5631" t="str">
            <v>neg</v>
          </cell>
        </row>
        <row r="5632">
          <cell r="I5632" t="str">
            <v>sim</v>
          </cell>
          <cell r="V5632" t="str">
            <v>not neg pair</v>
          </cell>
          <cell r="W5632">
            <v>0</v>
          </cell>
          <cell r="X5632" t="str">
            <v>0</v>
          </cell>
        </row>
        <row r="5633">
          <cell r="I5633" t="str">
            <v>sim</v>
          </cell>
          <cell r="V5633" t="str">
            <v>not neg pair</v>
          </cell>
          <cell r="W5633">
            <v>0</v>
          </cell>
          <cell r="X5633" t="str">
            <v>0</v>
          </cell>
        </row>
        <row r="5634">
          <cell r="I5634" t="str">
            <v>sim</v>
          </cell>
          <cell r="V5634" t="str">
            <v>not</v>
          </cell>
          <cell r="W5634">
            <v>1</v>
          </cell>
          <cell r="X5634" t="str">
            <v>intens</v>
          </cell>
        </row>
        <row r="5635">
          <cell r="I5635" t="str">
            <v>sim</v>
          </cell>
          <cell r="V5635" t="str">
            <v>not</v>
          </cell>
          <cell r="W5635">
            <v>1</v>
          </cell>
          <cell r="X5635" t="str">
            <v>neg</v>
          </cell>
        </row>
        <row r="5636">
          <cell r="I5636" t="str">
            <v>met</v>
          </cell>
          <cell r="V5636" t="str">
            <v>0</v>
          </cell>
          <cell r="W5636">
            <v>0</v>
          </cell>
          <cell r="X5636" t="str">
            <v>0</v>
          </cell>
        </row>
        <row r="5637">
          <cell r="I5637" t="str">
            <v>met</v>
          </cell>
          <cell r="V5637" t="str">
            <v>0</v>
          </cell>
          <cell r="W5637">
            <v>0</v>
          </cell>
          <cell r="X5637" t="str">
            <v>0</v>
          </cell>
        </row>
        <row r="5638">
          <cell r="I5638" t="str">
            <v>met</v>
          </cell>
          <cell r="V5638" t="str">
            <v>0</v>
          </cell>
          <cell r="W5638">
            <v>0</v>
          </cell>
          <cell r="X5638" t="str">
            <v>0</v>
          </cell>
        </row>
        <row r="5639">
          <cell r="I5639" t="str">
            <v>met</v>
          </cell>
          <cell r="V5639" t="str">
            <v>0</v>
          </cell>
          <cell r="W5639">
            <v>0</v>
          </cell>
          <cell r="X5639" t="str">
            <v>0</v>
          </cell>
        </row>
        <row r="5640">
          <cell r="I5640" t="str">
            <v>sim</v>
          </cell>
          <cell r="V5640" t="str">
            <v>not</v>
          </cell>
          <cell r="W5640">
            <v>1</v>
          </cell>
          <cell r="X5640" t="str">
            <v>intens</v>
          </cell>
        </row>
        <row r="5641">
          <cell r="I5641" t="str">
            <v>sim</v>
          </cell>
          <cell r="V5641" t="str">
            <v>not</v>
          </cell>
          <cell r="W5641">
            <v>1</v>
          </cell>
          <cell r="X5641" t="str">
            <v>neg</v>
          </cell>
        </row>
        <row r="5642">
          <cell r="I5642" t="str">
            <v>met</v>
          </cell>
          <cell r="V5642" t="str">
            <v>0</v>
          </cell>
          <cell r="W5642">
            <v>0</v>
          </cell>
          <cell r="X5642" t="str">
            <v>0</v>
          </cell>
        </row>
        <row r="5643">
          <cell r="I5643" t="str">
            <v>met</v>
          </cell>
          <cell r="V5643" t="str">
            <v>0</v>
          </cell>
          <cell r="W5643">
            <v>0</v>
          </cell>
          <cell r="X5643" t="str">
            <v>0</v>
          </cell>
        </row>
        <row r="5644">
          <cell r="I5644" t="str">
            <v>sim</v>
          </cell>
          <cell r="V5644" t="str">
            <v>not neg pair</v>
          </cell>
          <cell r="W5644">
            <v>0</v>
          </cell>
          <cell r="X5644" t="str">
            <v>0</v>
          </cell>
        </row>
        <row r="5645">
          <cell r="I5645" t="str">
            <v>sim</v>
          </cell>
          <cell r="V5645" t="str">
            <v>not neg pair</v>
          </cell>
          <cell r="W5645">
            <v>0</v>
          </cell>
          <cell r="X5645" t="str">
            <v>0</v>
          </cell>
        </row>
        <row r="5646">
          <cell r="I5646" t="str">
            <v>sim</v>
          </cell>
          <cell r="V5646" t="str">
            <v>not neg pair</v>
          </cell>
          <cell r="W5646">
            <v>0</v>
          </cell>
          <cell r="X5646" t="str">
            <v>0</v>
          </cell>
        </row>
        <row r="5647">
          <cell r="I5647" t="str">
            <v>sim</v>
          </cell>
          <cell r="V5647" t="str">
            <v>not neg pair</v>
          </cell>
          <cell r="W5647">
            <v>0</v>
          </cell>
          <cell r="X5647" t="str">
            <v>0</v>
          </cell>
        </row>
        <row r="5648">
          <cell r="I5648" t="str">
            <v>sim</v>
          </cell>
          <cell r="V5648" t="str">
            <v>not neg pair</v>
          </cell>
          <cell r="W5648">
            <v>0</v>
          </cell>
          <cell r="X5648" t="str">
            <v>0</v>
          </cell>
        </row>
        <row r="5649">
          <cell r="I5649" t="str">
            <v>sim</v>
          </cell>
          <cell r="V5649" t="str">
            <v>not neg pair</v>
          </cell>
          <cell r="W5649">
            <v>0</v>
          </cell>
          <cell r="X5649" t="str">
            <v>0</v>
          </cell>
        </row>
        <row r="5650">
          <cell r="I5650" t="str">
            <v>met</v>
          </cell>
          <cell r="V5650" t="str">
            <v>0</v>
          </cell>
          <cell r="W5650">
            <v>0</v>
          </cell>
          <cell r="X5650" t="str">
            <v>0</v>
          </cell>
        </row>
        <row r="5651">
          <cell r="I5651" t="str">
            <v>met</v>
          </cell>
          <cell r="V5651" t="str">
            <v>0</v>
          </cell>
          <cell r="W5651">
            <v>0</v>
          </cell>
          <cell r="X5651" t="str">
            <v>0</v>
          </cell>
        </row>
        <row r="5652">
          <cell r="I5652" t="str">
            <v>met</v>
          </cell>
          <cell r="V5652" t="str">
            <v>0</v>
          </cell>
          <cell r="W5652">
            <v>0</v>
          </cell>
          <cell r="X5652" t="str">
            <v>0</v>
          </cell>
        </row>
        <row r="5653">
          <cell r="I5653" t="str">
            <v>met</v>
          </cell>
          <cell r="V5653" t="str">
            <v>0</v>
          </cell>
          <cell r="W5653">
            <v>0</v>
          </cell>
          <cell r="X5653" t="str">
            <v>0</v>
          </cell>
        </row>
        <row r="5654">
          <cell r="I5654" t="str">
            <v>met</v>
          </cell>
          <cell r="V5654" t="str">
            <v>0</v>
          </cell>
          <cell r="W5654">
            <v>0</v>
          </cell>
          <cell r="X5654" t="str">
            <v>0</v>
          </cell>
        </row>
        <row r="5655">
          <cell r="I5655" t="str">
            <v>met</v>
          </cell>
          <cell r="V5655" t="str">
            <v>0</v>
          </cell>
          <cell r="W5655">
            <v>0</v>
          </cell>
          <cell r="X5655" t="str">
            <v>0</v>
          </cell>
        </row>
        <row r="5656">
          <cell r="I5656" t="str">
            <v>sim</v>
          </cell>
          <cell r="V5656" t="str">
            <v>not neg pair</v>
          </cell>
          <cell r="W5656">
            <v>0</v>
          </cell>
          <cell r="X5656" t="str">
            <v>0</v>
          </cell>
        </row>
        <row r="5657">
          <cell r="I5657" t="str">
            <v>sim</v>
          </cell>
          <cell r="V5657" t="str">
            <v>not neg pair</v>
          </cell>
          <cell r="W5657">
            <v>0</v>
          </cell>
          <cell r="X5657" t="str">
            <v>0</v>
          </cell>
        </row>
        <row r="5658">
          <cell r="I5658" t="str">
            <v>sim</v>
          </cell>
          <cell r="V5658" t="str">
            <v>not neg pair</v>
          </cell>
          <cell r="W5658">
            <v>0</v>
          </cell>
          <cell r="X5658" t="str">
            <v>0</v>
          </cell>
        </row>
        <row r="5659">
          <cell r="I5659" t="str">
            <v>sim</v>
          </cell>
          <cell r="V5659" t="str">
            <v>not neg pair</v>
          </cell>
          <cell r="W5659">
            <v>0</v>
          </cell>
          <cell r="X5659" t="str">
            <v>0</v>
          </cell>
        </row>
        <row r="5660">
          <cell r="I5660" t="str">
            <v>sim</v>
          </cell>
          <cell r="V5660" t="str">
            <v>not neg pair</v>
          </cell>
          <cell r="W5660">
            <v>0</v>
          </cell>
          <cell r="X5660" t="str">
            <v>0</v>
          </cell>
        </row>
        <row r="5661">
          <cell r="I5661" t="str">
            <v>sim</v>
          </cell>
          <cell r="V5661" t="str">
            <v>not neg pair</v>
          </cell>
          <cell r="W5661">
            <v>0</v>
          </cell>
          <cell r="X5661" t="str">
            <v>0</v>
          </cell>
        </row>
        <row r="5662">
          <cell r="I5662" t="str">
            <v>sim</v>
          </cell>
          <cell r="V5662" t="str">
            <v>not neg pair</v>
          </cell>
          <cell r="W5662">
            <v>0</v>
          </cell>
          <cell r="X5662" t="str">
            <v>0</v>
          </cell>
        </row>
        <row r="5663">
          <cell r="I5663" t="str">
            <v>sim</v>
          </cell>
          <cell r="V5663" t="str">
            <v>not neg pair</v>
          </cell>
          <cell r="W5663">
            <v>0</v>
          </cell>
          <cell r="X5663" t="str">
            <v>0</v>
          </cell>
        </row>
        <row r="5664">
          <cell r="I5664" t="str">
            <v>met</v>
          </cell>
          <cell r="V5664" t="str">
            <v>0</v>
          </cell>
          <cell r="W5664">
            <v>0</v>
          </cell>
          <cell r="X5664" t="str">
            <v>0</v>
          </cell>
        </row>
        <row r="5665">
          <cell r="I5665" t="str">
            <v>sim</v>
          </cell>
          <cell r="V5665" t="str">
            <v>not neg pair</v>
          </cell>
          <cell r="W5665">
            <v>0</v>
          </cell>
          <cell r="X5665" t="str">
            <v>0</v>
          </cell>
        </row>
        <row r="5666">
          <cell r="I5666" t="str">
            <v>met</v>
          </cell>
          <cell r="V5666" t="str">
            <v>0</v>
          </cell>
          <cell r="W5666">
            <v>0</v>
          </cell>
          <cell r="X5666" t="str">
            <v>0</v>
          </cell>
        </row>
        <row r="5667">
          <cell r="I5667" t="str">
            <v>met</v>
          </cell>
          <cell r="V5667" t="str">
            <v>0</v>
          </cell>
          <cell r="W5667">
            <v>0</v>
          </cell>
          <cell r="X5667" t="str">
            <v>0</v>
          </cell>
        </row>
        <row r="5668">
          <cell r="I5668" t="str">
            <v>sim</v>
          </cell>
          <cell r="V5668" t="str">
            <v>not</v>
          </cell>
          <cell r="W5668">
            <v>1</v>
          </cell>
          <cell r="X5668" t="str">
            <v>neg</v>
          </cell>
        </row>
        <row r="5669">
          <cell r="I5669" t="str">
            <v>sim</v>
          </cell>
          <cell r="V5669" t="str">
            <v>not</v>
          </cell>
          <cell r="W5669">
            <v>1</v>
          </cell>
          <cell r="X5669" t="str">
            <v>intens</v>
          </cell>
        </row>
        <row r="5670">
          <cell r="I5670" t="str">
            <v>sim</v>
          </cell>
          <cell r="V5670" t="str">
            <v>antonym</v>
          </cell>
          <cell r="W5670">
            <v>1</v>
          </cell>
          <cell r="X5670" t="str">
            <v>intens</v>
          </cell>
        </row>
        <row r="5671">
          <cell r="I5671" t="str">
            <v>sim</v>
          </cell>
          <cell r="V5671" t="str">
            <v>antonym</v>
          </cell>
          <cell r="W5671">
            <v>1</v>
          </cell>
          <cell r="X5671" t="str">
            <v>neg</v>
          </cell>
        </row>
        <row r="5672">
          <cell r="I5672" t="str">
            <v>sim</v>
          </cell>
          <cell r="V5672" t="str">
            <v>antonym</v>
          </cell>
          <cell r="W5672">
            <v>1</v>
          </cell>
          <cell r="X5672" t="str">
            <v>intens</v>
          </cell>
        </row>
        <row r="5673">
          <cell r="I5673" t="str">
            <v>sim</v>
          </cell>
          <cell r="V5673" t="str">
            <v>antonym</v>
          </cell>
          <cell r="W5673">
            <v>1</v>
          </cell>
          <cell r="X5673" t="str">
            <v>neg</v>
          </cell>
        </row>
        <row r="5674">
          <cell r="I5674" t="str">
            <v>met</v>
          </cell>
          <cell r="V5674" t="str">
            <v>0</v>
          </cell>
          <cell r="W5674">
            <v>0</v>
          </cell>
          <cell r="X5674" t="str">
            <v>0</v>
          </cell>
        </row>
        <row r="5675">
          <cell r="I5675" t="str">
            <v>met</v>
          </cell>
          <cell r="V5675" t="str">
            <v>0</v>
          </cell>
          <cell r="W5675">
            <v>0</v>
          </cell>
          <cell r="X5675" t="str">
            <v>0</v>
          </cell>
        </row>
        <row r="5676">
          <cell r="I5676" t="str">
            <v>sim</v>
          </cell>
          <cell r="V5676" t="str">
            <v>not neg pair</v>
          </cell>
          <cell r="W5676">
            <v>0</v>
          </cell>
          <cell r="X5676" t="str">
            <v>0</v>
          </cell>
        </row>
        <row r="5677">
          <cell r="I5677" t="str">
            <v>sim</v>
          </cell>
          <cell r="V5677" t="str">
            <v>not neg pair</v>
          </cell>
          <cell r="W5677">
            <v>0</v>
          </cell>
          <cell r="X5677" t="str">
            <v>0</v>
          </cell>
        </row>
        <row r="5678">
          <cell r="I5678" t="str">
            <v>sim</v>
          </cell>
          <cell r="V5678" t="str">
            <v>not neg pair</v>
          </cell>
          <cell r="W5678">
            <v>0</v>
          </cell>
          <cell r="X5678" t="str">
            <v>0</v>
          </cell>
        </row>
        <row r="5679">
          <cell r="I5679" t="str">
            <v>sim</v>
          </cell>
          <cell r="V5679" t="str">
            <v>not neg pair</v>
          </cell>
          <cell r="W5679">
            <v>0</v>
          </cell>
          <cell r="X5679" t="str">
            <v>0</v>
          </cell>
        </row>
        <row r="5680">
          <cell r="I5680" t="str">
            <v>met</v>
          </cell>
          <cell r="V5680" t="str">
            <v>0</v>
          </cell>
          <cell r="W5680">
            <v>0</v>
          </cell>
          <cell r="X5680" t="str">
            <v>0</v>
          </cell>
        </row>
        <row r="5681">
          <cell r="I5681" t="str">
            <v>met</v>
          </cell>
          <cell r="V5681" t="str">
            <v>0</v>
          </cell>
          <cell r="W5681">
            <v>0</v>
          </cell>
          <cell r="X5681" t="str">
            <v>0</v>
          </cell>
        </row>
        <row r="5682">
          <cell r="I5682" t="str">
            <v>sim</v>
          </cell>
          <cell r="V5682" t="str">
            <v>antonym</v>
          </cell>
          <cell r="W5682">
            <v>1</v>
          </cell>
          <cell r="X5682" t="str">
            <v>intens</v>
          </cell>
        </row>
        <row r="5683">
          <cell r="I5683" t="str">
            <v>sim</v>
          </cell>
          <cell r="V5683" t="str">
            <v>antonym</v>
          </cell>
          <cell r="W5683">
            <v>1</v>
          </cell>
          <cell r="X5683" t="str">
            <v>neg</v>
          </cell>
        </row>
        <row r="5684">
          <cell r="I5684" t="str">
            <v>sim</v>
          </cell>
          <cell r="V5684" t="str">
            <v>not neg pair</v>
          </cell>
          <cell r="W5684">
            <v>0</v>
          </cell>
          <cell r="X5684" t="str">
            <v>0</v>
          </cell>
        </row>
        <row r="5685">
          <cell r="I5685" t="str">
            <v>sim</v>
          </cell>
          <cell r="V5685" t="str">
            <v>not neg pair</v>
          </cell>
          <cell r="W5685">
            <v>0</v>
          </cell>
          <cell r="X5685" t="str">
            <v>0</v>
          </cell>
        </row>
        <row r="5686">
          <cell r="I5686" t="str">
            <v>sim</v>
          </cell>
          <cell r="V5686" t="str">
            <v>not neg pair</v>
          </cell>
          <cell r="W5686">
            <v>0</v>
          </cell>
          <cell r="X5686" t="str">
            <v>0</v>
          </cell>
        </row>
        <row r="5687">
          <cell r="I5687" t="str">
            <v>sim</v>
          </cell>
          <cell r="V5687" t="str">
            <v>not neg pair</v>
          </cell>
          <cell r="W5687">
            <v>0</v>
          </cell>
          <cell r="X5687" t="str">
            <v>0</v>
          </cell>
        </row>
        <row r="5688">
          <cell r="I5688" t="str">
            <v>sim</v>
          </cell>
          <cell r="V5688" t="str">
            <v>not neg pair</v>
          </cell>
          <cell r="W5688">
            <v>0</v>
          </cell>
          <cell r="X5688" t="str">
            <v>0</v>
          </cell>
        </row>
        <row r="5689">
          <cell r="I5689" t="str">
            <v>sim</v>
          </cell>
          <cell r="V5689" t="str">
            <v>not neg pair</v>
          </cell>
          <cell r="W5689">
            <v>0</v>
          </cell>
          <cell r="X5689" t="str">
            <v>0</v>
          </cell>
        </row>
        <row r="5690">
          <cell r="I5690" t="str">
            <v>sim</v>
          </cell>
          <cell r="V5690" t="str">
            <v>antonym</v>
          </cell>
          <cell r="W5690">
            <v>1</v>
          </cell>
          <cell r="X5690" t="str">
            <v>intens</v>
          </cell>
        </row>
        <row r="5691">
          <cell r="I5691" t="str">
            <v>sim</v>
          </cell>
          <cell r="V5691" t="str">
            <v>antonym</v>
          </cell>
          <cell r="W5691">
            <v>1</v>
          </cell>
          <cell r="X5691" t="str">
            <v>neg</v>
          </cell>
        </row>
        <row r="5692">
          <cell r="I5692" t="str">
            <v>met</v>
          </cell>
          <cell r="V5692" t="str">
            <v>0</v>
          </cell>
          <cell r="W5692">
            <v>0</v>
          </cell>
          <cell r="X5692" t="str">
            <v>0</v>
          </cell>
        </row>
        <row r="5693">
          <cell r="I5693" t="str">
            <v>met</v>
          </cell>
          <cell r="V5693" t="str">
            <v>0</v>
          </cell>
          <cell r="W5693">
            <v>0</v>
          </cell>
          <cell r="X5693" t="str">
            <v>0</v>
          </cell>
        </row>
        <row r="5694">
          <cell r="I5694" t="str">
            <v>sim</v>
          </cell>
          <cell r="V5694" t="str">
            <v>not neg pair</v>
          </cell>
          <cell r="W5694">
            <v>0</v>
          </cell>
          <cell r="X5694" t="str">
            <v>0</v>
          </cell>
        </row>
        <row r="5695">
          <cell r="I5695" t="str">
            <v>sim</v>
          </cell>
          <cell r="V5695" t="str">
            <v>not neg pair</v>
          </cell>
          <cell r="W5695">
            <v>0</v>
          </cell>
          <cell r="X5695" t="str">
            <v>0</v>
          </cell>
        </row>
        <row r="5696">
          <cell r="I5696" t="str">
            <v>met</v>
          </cell>
          <cell r="V5696" t="str">
            <v>0</v>
          </cell>
          <cell r="W5696">
            <v>0</v>
          </cell>
          <cell r="X5696" t="str">
            <v>0</v>
          </cell>
        </row>
        <row r="5697">
          <cell r="I5697" t="str">
            <v>met</v>
          </cell>
          <cell r="V5697" t="str">
            <v>0</v>
          </cell>
          <cell r="W5697">
            <v>0</v>
          </cell>
          <cell r="X5697" t="str">
            <v>0</v>
          </cell>
        </row>
        <row r="5698">
          <cell r="I5698" t="str">
            <v>sim</v>
          </cell>
          <cell r="V5698" t="str">
            <v>not neg pair</v>
          </cell>
          <cell r="W5698">
            <v>0</v>
          </cell>
          <cell r="X5698" t="str">
            <v>0</v>
          </cell>
        </row>
        <row r="5699">
          <cell r="I5699" t="str">
            <v>sim</v>
          </cell>
          <cell r="V5699" t="str">
            <v>not neg pair</v>
          </cell>
          <cell r="W5699">
            <v>0</v>
          </cell>
          <cell r="X5699" t="str">
            <v>0</v>
          </cell>
        </row>
        <row r="5700">
          <cell r="I5700" t="str">
            <v>sim</v>
          </cell>
          <cell r="V5700" t="str">
            <v>not neg pair</v>
          </cell>
          <cell r="W5700">
            <v>0</v>
          </cell>
          <cell r="X5700" t="str">
            <v>0</v>
          </cell>
        </row>
        <row r="5701">
          <cell r="I5701" t="str">
            <v>sim</v>
          </cell>
          <cell r="V5701" t="str">
            <v>not neg pair</v>
          </cell>
          <cell r="W5701">
            <v>0</v>
          </cell>
          <cell r="X5701" t="str">
            <v>0</v>
          </cell>
        </row>
        <row r="5702">
          <cell r="I5702" t="str">
            <v>sim</v>
          </cell>
          <cell r="V5702" t="str">
            <v>not</v>
          </cell>
          <cell r="W5702">
            <v>1</v>
          </cell>
          <cell r="X5702" t="str">
            <v>intens</v>
          </cell>
        </row>
        <row r="5703">
          <cell r="I5703" t="str">
            <v>sim</v>
          </cell>
          <cell r="V5703" t="str">
            <v>not</v>
          </cell>
          <cell r="W5703">
            <v>1</v>
          </cell>
          <cell r="X5703" t="str">
            <v>neg</v>
          </cell>
        </row>
        <row r="5704">
          <cell r="I5704" t="str">
            <v>sim</v>
          </cell>
          <cell r="V5704" t="str">
            <v>not neg pair</v>
          </cell>
          <cell r="W5704">
            <v>0</v>
          </cell>
          <cell r="X5704" t="str">
            <v>0</v>
          </cell>
        </row>
        <row r="5705">
          <cell r="I5705" t="str">
            <v>sim</v>
          </cell>
          <cell r="V5705" t="str">
            <v>not neg pair</v>
          </cell>
          <cell r="W5705">
            <v>0</v>
          </cell>
          <cell r="X5705" t="str">
            <v>0</v>
          </cell>
        </row>
        <row r="5706">
          <cell r="I5706" t="str">
            <v>sim</v>
          </cell>
          <cell r="V5706" t="str">
            <v>not</v>
          </cell>
          <cell r="W5706">
            <v>1</v>
          </cell>
          <cell r="X5706" t="str">
            <v>intens</v>
          </cell>
        </row>
        <row r="5707">
          <cell r="I5707" t="str">
            <v>sim</v>
          </cell>
          <cell r="V5707" t="str">
            <v>not</v>
          </cell>
          <cell r="W5707">
            <v>1</v>
          </cell>
          <cell r="X5707" t="str">
            <v>neg</v>
          </cell>
        </row>
        <row r="5708">
          <cell r="I5708" t="str">
            <v>sim</v>
          </cell>
          <cell r="V5708" t="str">
            <v>not neg pair</v>
          </cell>
          <cell r="W5708">
            <v>0</v>
          </cell>
          <cell r="X5708" t="str">
            <v>0</v>
          </cell>
        </row>
        <row r="5709">
          <cell r="I5709" t="str">
            <v>sim</v>
          </cell>
          <cell r="V5709" t="str">
            <v>not neg pair</v>
          </cell>
          <cell r="W5709">
            <v>0</v>
          </cell>
          <cell r="X5709" t="str">
            <v>0</v>
          </cell>
        </row>
        <row r="5710">
          <cell r="I5710" t="str">
            <v>sim</v>
          </cell>
          <cell r="V5710" t="str">
            <v>not</v>
          </cell>
          <cell r="W5710">
            <v>1</v>
          </cell>
          <cell r="X5710" t="str">
            <v>neg</v>
          </cell>
        </row>
        <row r="5711">
          <cell r="I5711" t="str">
            <v>sim</v>
          </cell>
          <cell r="V5711" t="str">
            <v>not</v>
          </cell>
          <cell r="W5711">
            <v>1</v>
          </cell>
          <cell r="X5711" t="str">
            <v>intens</v>
          </cell>
        </row>
        <row r="5712">
          <cell r="I5712" t="str">
            <v>sim</v>
          </cell>
          <cell r="V5712" t="str">
            <v>not neg pair</v>
          </cell>
          <cell r="W5712">
            <v>0</v>
          </cell>
          <cell r="X5712" t="str">
            <v>0</v>
          </cell>
        </row>
        <row r="5713">
          <cell r="I5713" t="str">
            <v>sim</v>
          </cell>
          <cell r="V5713" t="str">
            <v>not neg pair</v>
          </cell>
          <cell r="W5713">
            <v>0</v>
          </cell>
          <cell r="X5713" t="str">
            <v>0</v>
          </cell>
        </row>
        <row r="5714">
          <cell r="I5714" t="str">
            <v>sim</v>
          </cell>
          <cell r="V5714" t="str">
            <v>not</v>
          </cell>
          <cell r="W5714">
            <v>1</v>
          </cell>
          <cell r="X5714" t="str">
            <v>intens</v>
          </cell>
        </row>
        <row r="5715">
          <cell r="I5715" t="str">
            <v>sim</v>
          </cell>
          <cell r="V5715" t="str">
            <v>not</v>
          </cell>
          <cell r="W5715">
            <v>1</v>
          </cell>
          <cell r="X5715" t="str">
            <v>neg</v>
          </cell>
        </row>
        <row r="5716">
          <cell r="I5716" t="str">
            <v>sim</v>
          </cell>
          <cell r="V5716" t="str">
            <v>not neg pair</v>
          </cell>
          <cell r="W5716">
            <v>0</v>
          </cell>
          <cell r="X5716" t="str">
            <v>0</v>
          </cell>
        </row>
        <row r="5717">
          <cell r="I5717" t="str">
            <v>sim</v>
          </cell>
          <cell r="V5717" t="str">
            <v>not neg pair</v>
          </cell>
          <cell r="W5717">
            <v>0</v>
          </cell>
          <cell r="X5717" t="str">
            <v>0</v>
          </cell>
        </row>
        <row r="5718">
          <cell r="I5718" t="str">
            <v>sim</v>
          </cell>
          <cell r="V5718" t="str">
            <v>not</v>
          </cell>
          <cell r="W5718">
            <v>1</v>
          </cell>
          <cell r="X5718" t="str">
            <v>intens</v>
          </cell>
        </row>
        <row r="5719">
          <cell r="I5719" t="str">
            <v>sim</v>
          </cell>
          <cell r="V5719" t="str">
            <v>not</v>
          </cell>
          <cell r="W5719">
            <v>1</v>
          </cell>
          <cell r="X5719" t="str">
            <v>neg</v>
          </cell>
        </row>
        <row r="5720">
          <cell r="I5720" t="str">
            <v>sim</v>
          </cell>
          <cell r="V5720" t="str">
            <v>not</v>
          </cell>
          <cell r="W5720">
            <v>1</v>
          </cell>
          <cell r="X5720" t="str">
            <v>intens</v>
          </cell>
        </row>
        <row r="5721">
          <cell r="I5721" t="str">
            <v>sim</v>
          </cell>
          <cell r="V5721" t="str">
            <v>not</v>
          </cell>
          <cell r="W5721">
            <v>1</v>
          </cell>
          <cell r="X5721" t="str">
            <v>neg</v>
          </cell>
        </row>
        <row r="5722">
          <cell r="I5722" t="str">
            <v>sim</v>
          </cell>
          <cell r="V5722" t="str">
            <v>not</v>
          </cell>
          <cell r="W5722">
            <v>1</v>
          </cell>
          <cell r="X5722" t="str">
            <v>intens</v>
          </cell>
        </row>
        <row r="5723">
          <cell r="I5723" t="str">
            <v>sim</v>
          </cell>
          <cell r="V5723" t="str">
            <v>not</v>
          </cell>
          <cell r="W5723">
            <v>1</v>
          </cell>
          <cell r="X5723" t="str">
            <v>neg</v>
          </cell>
        </row>
        <row r="5724">
          <cell r="I5724" t="str">
            <v>sim</v>
          </cell>
          <cell r="V5724" t="str">
            <v>not neg pair</v>
          </cell>
          <cell r="W5724">
            <v>0</v>
          </cell>
          <cell r="X5724" t="str">
            <v>0</v>
          </cell>
        </row>
        <row r="5725">
          <cell r="I5725" t="str">
            <v>sim</v>
          </cell>
          <cell r="V5725" t="str">
            <v>not neg pair</v>
          </cell>
          <cell r="W5725">
            <v>0</v>
          </cell>
          <cell r="X5725" t="str">
            <v>0</v>
          </cell>
        </row>
        <row r="5726">
          <cell r="I5726" t="str">
            <v>sim</v>
          </cell>
          <cell r="V5726" t="str">
            <v>not</v>
          </cell>
          <cell r="W5726">
            <v>1</v>
          </cell>
          <cell r="X5726" t="str">
            <v>intens</v>
          </cell>
        </row>
        <row r="5727">
          <cell r="I5727" t="str">
            <v>sim</v>
          </cell>
          <cell r="V5727" t="str">
            <v>not</v>
          </cell>
          <cell r="W5727">
            <v>1</v>
          </cell>
          <cell r="X5727" t="str">
            <v>neg</v>
          </cell>
        </row>
        <row r="5728">
          <cell r="I5728" t="str">
            <v>sim</v>
          </cell>
          <cell r="V5728" t="str">
            <v>not</v>
          </cell>
          <cell r="W5728">
            <v>1</v>
          </cell>
          <cell r="X5728" t="str">
            <v>neg</v>
          </cell>
        </row>
        <row r="5729">
          <cell r="I5729" t="str">
            <v>sim</v>
          </cell>
          <cell r="V5729" t="str">
            <v>not</v>
          </cell>
          <cell r="W5729">
            <v>1</v>
          </cell>
          <cell r="X5729" t="str">
            <v>intens</v>
          </cell>
        </row>
        <row r="5730">
          <cell r="I5730" t="str">
            <v>met</v>
          </cell>
          <cell r="V5730" t="str">
            <v>0</v>
          </cell>
          <cell r="W5730">
            <v>0</v>
          </cell>
          <cell r="X5730" t="str">
            <v>0</v>
          </cell>
        </row>
        <row r="5731">
          <cell r="I5731" t="str">
            <v>met</v>
          </cell>
          <cell r="V5731" t="str">
            <v>0</v>
          </cell>
          <cell r="W5731">
            <v>0</v>
          </cell>
          <cell r="X5731" t="str">
            <v>0</v>
          </cell>
        </row>
        <row r="5732">
          <cell r="I5732" t="str">
            <v>met</v>
          </cell>
          <cell r="V5732" t="str">
            <v>0</v>
          </cell>
          <cell r="W5732">
            <v>0</v>
          </cell>
          <cell r="X5732" t="str">
            <v>0</v>
          </cell>
        </row>
        <row r="5733">
          <cell r="I5733" t="str">
            <v>met</v>
          </cell>
          <cell r="V5733" t="str">
            <v>0</v>
          </cell>
          <cell r="W5733">
            <v>0</v>
          </cell>
          <cell r="X5733" t="str">
            <v>0</v>
          </cell>
        </row>
        <row r="5734">
          <cell r="I5734" t="str">
            <v>sim</v>
          </cell>
          <cell r="V5734" t="str">
            <v>not neg pair</v>
          </cell>
          <cell r="W5734">
            <v>0</v>
          </cell>
          <cell r="X5734" t="str">
            <v>0</v>
          </cell>
        </row>
        <row r="5735">
          <cell r="I5735" t="str">
            <v>sim</v>
          </cell>
          <cell r="V5735" t="str">
            <v>not neg pair</v>
          </cell>
          <cell r="W5735">
            <v>0</v>
          </cell>
          <cell r="X5735" t="str">
            <v>0</v>
          </cell>
        </row>
        <row r="5736">
          <cell r="I5736" t="str">
            <v>sim</v>
          </cell>
          <cell r="V5736" t="str">
            <v>not neg pair</v>
          </cell>
          <cell r="W5736">
            <v>0</v>
          </cell>
          <cell r="X5736" t="str">
            <v>0</v>
          </cell>
        </row>
        <row r="5737">
          <cell r="I5737" t="str">
            <v>sim</v>
          </cell>
          <cell r="V5737" t="str">
            <v>not neg pair</v>
          </cell>
          <cell r="W5737">
            <v>0</v>
          </cell>
          <cell r="X5737" t="str">
            <v>0</v>
          </cell>
        </row>
        <row r="5738">
          <cell r="I5738" t="str">
            <v>sim</v>
          </cell>
          <cell r="V5738" t="str">
            <v>not neg pair</v>
          </cell>
          <cell r="W5738">
            <v>0</v>
          </cell>
          <cell r="X5738" t="str">
            <v>0</v>
          </cell>
        </row>
        <row r="5739">
          <cell r="I5739" t="str">
            <v>sim</v>
          </cell>
          <cell r="V5739" t="str">
            <v>not neg pair</v>
          </cell>
          <cell r="W5739">
            <v>0</v>
          </cell>
          <cell r="X5739" t="str">
            <v>0</v>
          </cell>
        </row>
        <row r="5740">
          <cell r="I5740" t="str">
            <v>met</v>
          </cell>
          <cell r="V5740" t="str">
            <v>0</v>
          </cell>
          <cell r="W5740">
            <v>0</v>
          </cell>
          <cell r="X5740" t="str">
            <v>0</v>
          </cell>
        </row>
        <row r="5741">
          <cell r="I5741" t="str">
            <v>met</v>
          </cell>
          <cell r="V5741" t="str">
            <v>0</v>
          </cell>
          <cell r="W5741">
            <v>0</v>
          </cell>
          <cell r="X5741" t="str">
            <v>0</v>
          </cell>
        </row>
        <row r="5742">
          <cell r="I5742" t="str">
            <v>met</v>
          </cell>
          <cell r="V5742" t="str">
            <v>0</v>
          </cell>
          <cell r="W5742">
            <v>0</v>
          </cell>
          <cell r="X5742" t="str">
            <v>0</v>
          </cell>
        </row>
        <row r="5743">
          <cell r="I5743" t="str">
            <v>met</v>
          </cell>
          <cell r="V5743" t="str">
            <v>0</v>
          </cell>
          <cell r="W5743">
            <v>0</v>
          </cell>
          <cell r="X5743" t="str">
            <v>0</v>
          </cell>
        </row>
        <row r="5744">
          <cell r="I5744" t="str">
            <v>sim</v>
          </cell>
          <cell r="V5744" t="str">
            <v>not neg pair</v>
          </cell>
          <cell r="W5744">
            <v>0</v>
          </cell>
          <cell r="X5744" t="str">
            <v>0</v>
          </cell>
        </row>
        <row r="5745">
          <cell r="I5745" t="str">
            <v>sim</v>
          </cell>
          <cell r="V5745" t="str">
            <v>not neg pair</v>
          </cell>
          <cell r="W5745">
            <v>0</v>
          </cell>
          <cell r="X5745" t="str">
            <v>0</v>
          </cell>
        </row>
        <row r="5746">
          <cell r="I5746" t="str">
            <v>sim</v>
          </cell>
          <cell r="V5746" t="str">
            <v>not</v>
          </cell>
          <cell r="W5746">
            <v>1</v>
          </cell>
          <cell r="X5746" t="str">
            <v>neg</v>
          </cell>
        </row>
        <row r="5747">
          <cell r="I5747" t="str">
            <v>sim</v>
          </cell>
          <cell r="V5747" t="str">
            <v>not</v>
          </cell>
          <cell r="W5747">
            <v>1</v>
          </cell>
          <cell r="X5747" t="str">
            <v>intens</v>
          </cell>
        </row>
        <row r="5748">
          <cell r="I5748" t="str">
            <v>sim</v>
          </cell>
          <cell r="V5748" t="str">
            <v>antonym</v>
          </cell>
          <cell r="W5748">
            <v>1</v>
          </cell>
          <cell r="X5748" t="str">
            <v>intens</v>
          </cell>
        </row>
        <row r="5749">
          <cell r="I5749" t="str">
            <v>sim</v>
          </cell>
          <cell r="V5749" t="str">
            <v>antonym</v>
          </cell>
          <cell r="W5749">
            <v>1</v>
          </cell>
          <cell r="X5749" t="str">
            <v>neg</v>
          </cell>
        </row>
        <row r="5750">
          <cell r="I5750" t="str">
            <v>sim</v>
          </cell>
          <cell r="V5750" t="str">
            <v>not neg pair</v>
          </cell>
          <cell r="W5750">
            <v>0</v>
          </cell>
          <cell r="X5750" t="str">
            <v>0</v>
          </cell>
        </row>
        <row r="5751">
          <cell r="I5751" t="str">
            <v>sim</v>
          </cell>
          <cell r="V5751" t="str">
            <v>not neg pair</v>
          </cell>
          <cell r="W5751">
            <v>0</v>
          </cell>
          <cell r="X5751" t="str">
            <v>0</v>
          </cell>
        </row>
        <row r="5752">
          <cell r="I5752" t="str">
            <v>sim</v>
          </cell>
          <cell r="V5752" t="str">
            <v>not</v>
          </cell>
          <cell r="W5752">
            <v>1</v>
          </cell>
          <cell r="X5752" t="str">
            <v>neg</v>
          </cell>
        </row>
        <row r="5753">
          <cell r="I5753" t="str">
            <v>sim</v>
          </cell>
          <cell r="V5753" t="str">
            <v>not</v>
          </cell>
          <cell r="W5753">
            <v>1</v>
          </cell>
          <cell r="X5753" t="str">
            <v>intens</v>
          </cell>
        </row>
        <row r="5754">
          <cell r="I5754" t="str">
            <v>sim</v>
          </cell>
          <cell r="V5754" t="str">
            <v>antonym</v>
          </cell>
          <cell r="W5754">
            <v>1</v>
          </cell>
          <cell r="X5754" t="str">
            <v>intens</v>
          </cell>
        </row>
        <row r="5755">
          <cell r="I5755" t="str">
            <v>sim</v>
          </cell>
          <cell r="V5755" t="str">
            <v>antonym</v>
          </cell>
          <cell r="W5755">
            <v>1</v>
          </cell>
          <cell r="X5755" t="str">
            <v>neg</v>
          </cell>
        </row>
        <row r="5756">
          <cell r="I5756" t="str">
            <v>sim</v>
          </cell>
          <cell r="V5756" t="str">
            <v>antonym</v>
          </cell>
          <cell r="W5756">
            <v>1</v>
          </cell>
          <cell r="X5756" t="str">
            <v>intens</v>
          </cell>
        </row>
        <row r="5757">
          <cell r="I5757" t="str">
            <v>sim</v>
          </cell>
          <cell r="V5757" t="str">
            <v>antonym</v>
          </cell>
          <cell r="W5757">
            <v>1</v>
          </cell>
          <cell r="X5757" t="str">
            <v>neg</v>
          </cell>
        </row>
        <row r="5758">
          <cell r="I5758" t="str">
            <v>sim</v>
          </cell>
          <cell r="V5758" t="str">
            <v>not neg pair</v>
          </cell>
          <cell r="W5758">
            <v>0</v>
          </cell>
          <cell r="X5758" t="str">
            <v>0</v>
          </cell>
        </row>
        <row r="5759">
          <cell r="I5759" t="str">
            <v>sim</v>
          </cell>
          <cell r="V5759" t="str">
            <v>not neg pair</v>
          </cell>
          <cell r="W5759">
            <v>0</v>
          </cell>
          <cell r="X5759" t="str">
            <v>0</v>
          </cell>
        </row>
        <row r="5760">
          <cell r="I5760" t="str">
            <v>sim</v>
          </cell>
          <cell r="V5760" t="str">
            <v>not</v>
          </cell>
          <cell r="W5760">
            <v>1</v>
          </cell>
          <cell r="X5760" t="str">
            <v>intens</v>
          </cell>
        </row>
        <row r="5761">
          <cell r="I5761" t="str">
            <v>sim</v>
          </cell>
          <cell r="V5761" t="str">
            <v>not</v>
          </cell>
          <cell r="W5761">
            <v>1</v>
          </cell>
          <cell r="X5761" t="str">
            <v>neg</v>
          </cell>
        </row>
        <row r="5762">
          <cell r="I5762" t="str">
            <v>sim</v>
          </cell>
          <cell r="V5762" t="str">
            <v>not</v>
          </cell>
          <cell r="W5762">
            <v>1</v>
          </cell>
          <cell r="X5762" t="str">
            <v>neg</v>
          </cell>
        </row>
        <row r="5763">
          <cell r="I5763" t="str">
            <v>sim</v>
          </cell>
          <cell r="V5763" t="str">
            <v>not</v>
          </cell>
          <cell r="W5763">
            <v>1</v>
          </cell>
          <cell r="X5763" t="str">
            <v>intens</v>
          </cell>
        </row>
        <row r="5764">
          <cell r="I5764" t="str">
            <v>met</v>
          </cell>
          <cell r="V5764" t="str">
            <v>0</v>
          </cell>
          <cell r="W5764">
            <v>0</v>
          </cell>
          <cell r="X5764" t="str">
            <v>0</v>
          </cell>
        </row>
        <row r="5765">
          <cell r="I5765" t="str">
            <v>met</v>
          </cell>
          <cell r="V5765" t="str">
            <v>0</v>
          </cell>
          <cell r="W5765">
            <v>0</v>
          </cell>
          <cell r="X5765" t="str">
            <v>0</v>
          </cell>
        </row>
        <row r="5766">
          <cell r="I5766" t="str">
            <v>met</v>
          </cell>
          <cell r="V5766" t="str">
            <v>0</v>
          </cell>
          <cell r="W5766">
            <v>0</v>
          </cell>
          <cell r="X5766" t="str">
            <v>0</v>
          </cell>
        </row>
        <row r="5767">
          <cell r="I5767" t="str">
            <v>met</v>
          </cell>
          <cell r="V5767" t="str">
            <v>0</v>
          </cell>
          <cell r="W5767">
            <v>0</v>
          </cell>
          <cell r="X5767" t="str">
            <v>0</v>
          </cell>
        </row>
        <row r="5768">
          <cell r="I5768" t="str">
            <v>met</v>
          </cell>
          <cell r="V5768" t="str">
            <v>0</v>
          </cell>
          <cell r="W5768">
            <v>0</v>
          </cell>
          <cell r="X5768" t="str">
            <v>0</v>
          </cell>
        </row>
        <row r="5769">
          <cell r="I5769" t="str">
            <v>met</v>
          </cell>
          <cell r="V5769" t="str">
            <v>0</v>
          </cell>
          <cell r="W5769">
            <v>0</v>
          </cell>
          <cell r="X5769" t="str">
            <v>0</v>
          </cell>
        </row>
        <row r="5770">
          <cell r="I5770" t="str">
            <v>met</v>
          </cell>
          <cell r="V5770" t="str">
            <v>0</v>
          </cell>
          <cell r="W5770">
            <v>0</v>
          </cell>
          <cell r="X5770" t="str">
            <v>0</v>
          </cell>
        </row>
        <row r="5771">
          <cell r="I5771" t="str">
            <v>met</v>
          </cell>
          <cell r="V5771" t="str">
            <v>0</v>
          </cell>
          <cell r="W5771">
            <v>0</v>
          </cell>
          <cell r="X5771" t="str">
            <v>0</v>
          </cell>
        </row>
        <row r="5772">
          <cell r="I5772" t="str">
            <v>sim</v>
          </cell>
          <cell r="V5772" t="str">
            <v>not</v>
          </cell>
          <cell r="W5772">
            <v>1</v>
          </cell>
          <cell r="X5772" t="str">
            <v>neg</v>
          </cell>
        </row>
        <row r="5773">
          <cell r="I5773" t="str">
            <v>sim</v>
          </cell>
          <cell r="V5773" t="str">
            <v>not</v>
          </cell>
          <cell r="W5773">
            <v>1</v>
          </cell>
          <cell r="X5773" t="str">
            <v>intens</v>
          </cell>
        </row>
        <row r="5774">
          <cell r="I5774" t="str">
            <v>sim</v>
          </cell>
          <cell r="V5774" t="str">
            <v>not neg pair</v>
          </cell>
          <cell r="W5774">
            <v>0</v>
          </cell>
          <cell r="X5774" t="str">
            <v>0</v>
          </cell>
        </row>
        <row r="5775">
          <cell r="I5775" t="str">
            <v>sim</v>
          </cell>
          <cell r="V5775" t="str">
            <v>not neg pair</v>
          </cell>
          <cell r="W5775">
            <v>0</v>
          </cell>
          <cell r="X5775" t="str">
            <v>0</v>
          </cell>
        </row>
        <row r="5776">
          <cell r="I5776" t="str">
            <v>sim</v>
          </cell>
          <cell r="V5776" t="str">
            <v>not</v>
          </cell>
          <cell r="W5776">
            <v>1</v>
          </cell>
          <cell r="X5776" t="str">
            <v>neg</v>
          </cell>
        </row>
        <row r="5777">
          <cell r="I5777" t="str">
            <v>sim</v>
          </cell>
          <cell r="V5777" t="str">
            <v>not</v>
          </cell>
          <cell r="W5777">
            <v>1</v>
          </cell>
          <cell r="X5777" t="str">
            <v>intens</v>
          </cell>
        </row>
        <row r="5778">
          <cell r="I5778" t="str">
            <v>met</v>
          </cell>
          <cell r="V5778" t="str">
            <v>0</v>
          </cell>
          <cell r="W5778">
            <v>0</v>
          </cell>
          <cell r="X5778" t="str">
            <v>0</v>
          </cell>
        </row>
        <row r="5779">
          <cell r="I5779" t="str">
            <v>met</v>
          </cell>
          <cell r="V5779" t="str">
            <v>0</v>
          </cell>
          <cell r="W5779">
            <v>0</v>
          </cell>
          <cell r="X5779" t="str">
            <v>0</v>
          </cell>
        </row>
        <row r="5780">
          <cell r="I5780" t="str">
            <v>met</v>
          </cell>
          <cell r="V5780" t="str">
            <v>0</v>
          </cell>
          <cell r="W5780">
            <v>0</v>
          </cell>
          <cell r="X5780" t="str">
            <v>0</v>
          </cell>
        </row>
        <row r="5781">
          <cell r="I5781" t="str">
            <v>sim</v>
          </cell>
          <cell r="V5781" t="str">
            <v>not neg pair</v>
          </cell>
          <cell r="W5781">
            <v>0</v>
          </cell>
          <cell r="X5781" t="str">
            <v>0</v>
          </cell>
        </row>
        <row r="5782">
          <cell r="I5782" t="str">
            <v>met</v>
          </cell>
          <cell r="V5782" t="str">
            <v>0</v>
          </cell>
          <cell r="W5782">
            <v>0</v>
          </cell>
          <cell r="X5782" t="str">
            <v>0</v>
          </cell>
        </row>
        <row r="5783">
          <cell r="I5783" t="str">
            <v>met</v>
          </cell>
          <cell r="V5783" t="str">
            <v>0</v>
          </cell>
          <cell r="W5783">
            <v>0</v>
          </cell>
          <cell r="X5783" t="str">
            <v>0</v>
          </cell>
        </row>
        <row r="5784">
          <cell r="I5784" t="str">
            <v>sim</v>
          </cell>
          <cell r="V5784" t="str">
            <v>not</v>
          </cell>
          <cell r="W5784">
            <v>1</v>
          </cell>
          <cell r="X5784" t="str">
            <v>intens</v>
          </cell>
        </row>
        <row r="5785">
          <cell r="I5785" t="str">
            <v>sim</v>
          </cell>
          <cell r="V5785" t="str">
            <v>not</v>
          </cell>
          <cell r="W5785">
            <v>1</v>
          </cell>
          <cell r="X5785" t="str">
            <v>neg</v>
          </cell>
        </row>
        <row r="5786">
          <cell r="I5786" t="str">
            <v>sim</v>
          </cell>
          <cell r="V5786" t="str">
            <v>not</v>
          </cell>
          <cell r="W5786">
            <v>1</v>
          </cell>
          <cell r="X5786" t="str">
            <v>intens</v>
          </cell>
        </row>
        <row r="5787">
          <cell r="I5787" t="str">
            <v>sim</v>
          </cell>
          <cell r="V5787" t="str">
            <v>not</v>
          </cell>
          <cell r="W5787">
            <v>1</v>
          </cell>
          <cell r="X5787" t="str">
            <v>neg</v>
          </cell>
        </row>
        <row r="5788">
          <cell r="I5788" t="str">
            <v>sim</v>
          </cell>
          <cell r="V5788" t="str">
            <v>not neg pair</v>
          </cell>
          <cell r="W5788">
            <v>0</v>
          </cell>
          <cell r="X5788" t="str">
            <v>0</v>
          </cell>
        </row>
        <row r="5789">
          <cell r="I5789" t="str">
            <v>sim</v>
          </cell>
          <cell r="V5789" t="str">
            <v>not neg pair</v>
          </cell>
          <cell r="W5789">
            <v>0</v>
          </cell>
          <cell r="X5789" t="str">
            <v>0</v>
          </cell>
        </row>
        <row r="5790">
          <cell r="I5790" t="str">
            <v>sim</v>
          </cell>
          <cell r="V5790" t="str">
            <v>not neg pair</v>
          </cell>
          <cell r="W5790">
            <v>0</v>
          </cell>
          <cell r="X5790" t="str">
            <v>0</v>
          </cell>
        </row>
        <row r="5791">
          <cell r="I5791" t="str">
            <v>sim</v>
          </cell>
          <cell r="V5791" t="str">
            <v>not neg pair</v>
          </cell>
          <cell r="W5791">
            <v>0</v>
          </cell>
          <cell r="X5791" t="str">
            <v>0</v>
          </cell>
        </row>
        <row r="5792">
          <cell r="I5792" t="str">
            <v>sim</v>
          </cell>
          <cell r="V5792" t="str">
            <v>not</v>
          </cell>
          <cell r="W5792">
            <v>1</v>
          </cell>
          <cell r="X5792" t="str">
            <v>intens</v>
          </cell>
        </row>
        <row r="5793">
          <cell r="I5793" t="str">
            <v>sim</v>
          </cell>
          <cell r="V5793" t="str">
            <v>not</v>
          </cell>
          <cell r="W5793">
            <v>1</v>
          </cell>
          <cell r="X5793" t="str">
            <v>neg</v>
          </cell>
        </row>
        <row r="5794">
          <cell r="I5794" t="str">
            <v>sim</v>
          </cell>
          <cell r="V5794" t="str">
            <v>not neg pair</v>
          </cell>
          <cell r="W5794">
            <v>0</v>
          </cell>
          <cell r="X5794" t="str">
            <v>0</v>
          </cell>
        </row>
        <row r="5795">
          <cell r="I5795" t="str">
            <v>sim</v>
          </cell>
          <cell r="V5795" t="str">
            <v>not neg pair</v>
          </cell>
          <cell r="W5795">
            <v>0</v>
          </cell>
          <cell r="X5795" t="str">
            <v>0</v>
          </cell>
        </row>
        <row r="5796">
          <cell r="I5796" t="str">
            <v>sim</v>
          </cell>
          <cell r="V5796" t="str">
            <v>antonym</v>
          </cell>
          <cell r="W5796">
            <v>1</v>
          </cell>
          <cell r="X5796" t="str">
            <v>intens</v>
          </cell>
        </row>
        <row r="5797">
          <cell r="I5797" t="str">
            <v>sim</v>
          </cell>
          <cell r="V5797" t="str">
            <v>antonym</v>
          </cell>
          <cell r="W5797">
            <v>1</v>
          </cell>
          <cell r="X5797" t="str">
            <v>neg</v>
          </cell>
        </row>
        <row r="5798">
          <cell r="I5798" t="str">
            <v>sim</v>
          </cell>
          <cell r="V5798" t="str">
            <v>not</v>
          </cell>
          <cell r="W5798">
            <v>1</v>
          </cell>
          <cell r="X5798" t="str">
            <v>neg</v>
          </cell>
        </row>
        <row r="5799">
          <cell r="I5799" t="str">
            <v>sim</v>
          </cell>
          <cell r="V5799" t="str">
            <v>not</v>
          </cell>
          <cell r="W5799">
            <v>1</v>
          </cell>
          <cell r="X5799" t="str">
            <v>intens</v>
          </cell>
        </row>
        <row r="5800">
          <cell r="I5800" t="str">
            <v>sim</v>
          </cell>
          <cell r="V5800" t="str">
            <v>antonym</v>
          </cell>
          <cell r="W5800">
            <v>1</v>
          </cell>
          <cell r="X5800" t="str">
            <v>neg</v>
          </cell>
        </row>
        <row r="5801">
          <cell r="I5801" t="str">
            <v>sim</v>
          </cell>
          <cell r="V5801" t="str">
            <v>antonym</v>
          </cell>
          <cell r="W5801">
            <v>1</v>
          </cell>
          <cell r="X5801" t="str">
            <v>intens</v>
          </cell>
        </row>
        <row r="5802">
          <cell r="I5802" t="str">
            <v>sim</v>
          </cell>
          <cell r="V5802" t="str">
            <v>not neg pair</v>
          </cell>
          <cell r="W5802">
            <v>0</v>
          </cell>
          <cell r="X5802" t="str">
            <v>0</v>
          </cell>
        </row>
        <row r="5803">
          <cell r="I5803" t="str">
            <v>sim</v>
          </cell>
          <cell r="V5803" t="str">
            <v>not neg pair</v>
          </cell>
          <cell r="W5803">
            <v>0</v>
          </cell>
          <cell r="X5803" t="str">
            <v>0</v>
          </cell>
        </row>
        <row r="5804">
          <cell r="I5804" t="str">
            <v>sim</v>
          </cell>
          <cell r="V5804" t="str">
            <v>not</v>
          </cell>
          <cell r="W5804">
            <v>1</v>
          </cell>
          <cell r="X5804" t="str">
            <v>intens</v>
          </cell>
        </row>
        <row r="5805">
          <cell r="I5805" t="str">
            <v>sim</v>
          </cell>
          <cell r="V5805" t="str">
            <v>not</v>
          </cell>
          <cell r="W5805">
            <v>1</v>
          </cell>
          <cell r="X5805" t="str">
            <v>neg</v>
          </cell>
        </row>
        <row r="5806">
          <cell r="I5806" t="str">
            <v>sim</v>
          </cell>
          <cell r="V5806" t="str">
            <v>not</v>
          </cell>
          <cell r="W5806">
            <v>1</v>
          </cell>
          <cell r="X5806" t="str">
            <v>intens</v>
          </cell>
        </row>
        <row r="5807">
          <cell r="I5807" t="str">
            <v>sim</v>
          </cell>
          <cell r="V5807" t="str">
            <v>not</v>
          </cell>
          <cell r="W5807">
            <v>1</v>
          </cell>
          <cell r="X5807" t="str">
            <v>neg</v>
          </cell>
        </row>
        <row r="5808">
          <cell r="I5808" t="str">
            <v>sim</v>
          </cell>
          <cell r="V5808" t="str">
            <v>not</v>
          </cell>
          <cell r="W5808">
            <v>1</v>
          </cell>
          <cell r="X5808" t="str">
            <v>intens</v>
          </cell>
        </row>
        <row r="5809">
          <cell r="I5809" t="str">
            <v>sim</v>
          </cell>
          <cell r="V5809" t="str">
            <v>not</v>
          </cell>
          <cell r="W5809">
            <v>1</v>
          </cell>
          <cell r="X5809" t="str">
            <v>neg</v>
          </cell>
        </row>
        <row r="5810">
          <cell r="I5810" t="str">
            <v>sim</v>
          </cell>
          <cell r="V5810" t="str">
            <v>not</v>
          </cell>
          <cell r="W5810">
            <v>1</v>
          </cell>
          <cell r="X5810" t="str">
            <v>intens</v>
          </cell>
        </row>
        <row r="5811">
          <cell r="I5811" t="str">
            <v>sim</v>
          </cell>
          <cell r="V5811" t="str">
            <v>not</v>
          </cell>
          <cell r="W5811">
            <v>1</v>
          </cell>
          <cell r="X5811" t="str">
            <v>neg</v>
          </cell>
        </row>
        <row r="5812">
          <cell r="I5812" t="str">
            <v>sim</v>
          </cell>
          <cell r="V5812" t="str">
            <v>not</v>
          </cell>
          <cell r="W5812">
            <v>1</v>
          </cell>
          <cell r="X5812" t="str">
            <v>neg</v>
          </cell>
        </row>
        <row r="5813">
          <cell r="I5813" t="str">
            <v>sim</v>
          </cell>
          <cell r="V5813" t="str">
            <v>not</v>
          </cell>
          <cell r="W5813">
            <v>1</v>
          </cell>
          <cell r="X5813" t="str">
            <v>intens</v>
          </cell>
        </row>
        <row r="5814">
          <cell r="I5814" t="str">
            <v>sim</v>
          </cell>
          <cell r="V5814" t="str">
            <v>not</v>
          </cell>
          <cell r="W5814">
            <v>1</v>
          </cell>
          <cell r="X5814" t="str">
            <v>intens</v>
          </cell>
        </row>
        <row r="5815">
          <cell r="I5815" t="str">
            <v>sim</v>
          </cell>
          <cell r="V5815" t="str">
            <v>not</v>
          </cell>
          <cell r="W5815">
            <v>1</v>
          </cell>
          <cell r="X5815" t="str">
            <v>neg</v>
          </cell>
        </row>
        <row r="5816">
          <cell r="I5816" t="str">
            <v>sim</v>
          </cell>
          <cell r="V5816" t="str">
            <v>not neg pair</v>
          </cell>
          <cell r="W5816">
            <v>0</v>
          </cell>
          <cell r="X5816" t="str">
            <v>0</v>
          </cell>
        </row>
        <row r="5817">
          <cell r="I5817" t="str">
            <v>sim</v>
          </cell>
          <cell r="V5817" t="str">
            <v>not neg pair</v>
          </cell>
          <cell r="W5817">
            <v>0</v>
          </cell>
          <cell r="X5817" t="str">
            <v>0</v>
          </cell>
        </row>
        <row r="5818">
          <cell r="I5818" t="str">
            <v>sim</v>
          </cell>
          <cell r="V5818" t="str">
            <v>not neg pair</v>
          </cell>
          <cell r="W5818">
            <v>0</v>
          </cell>
          <cell r="X5818" t="str">
            <v>0</v>
          </cell>
        </row>
        <row r="5819">
          <cell r="I5819" t="str">
            <v>sim</v>
          </cell>
          <cell r="V5819" t="str">
            <v>not neg pair</v>
          </cell>
          <cell r="W5819">
            <v>0</v>
          </cell>
          <cell r="X5819" t="str">
            <v>0</v>
          </cell>
        </row>
        <row r="5820">
          <cell r="I5820" t="str">
            <v>sim</v>
          </cell>
          <cell r="V5820" t="str">
            <v>not neg pair</v>
          </cell>
          <cell r="W5820">
            <v>0</v>
          </cell>
          <cell r="X5820" t="str">
            <v>0</v>
          </cell>
        </row>
        <row r="5821">
          <cell r="I5821" t="str">
            <v>sim</v>
          </cell>
          <cell r="V5821" t="str">
            <v>not neg pair</v>
          </cell>
          <cell r="W5821">
            <v>0</v>
          </cell>
          <cell r="X5821" t="str">
            <v>0</v>
          </cell>
        </row>
        <row r="5822">
          <cell r="I5822" t="str">
            <v>sim</v>
          </cell>
          <cell r="V5822" t="str">
            <v>not neg pair</v>
          </cell>
          <cell r="W5822">
            <v>0</v>
          </cell>
          <cell r="X5822" t="str">
            <v>0</v>
          </cell>
        </row>
        <row r="5823">
          <cell r="I5823" t="str">
            <v>sim</v>
          </cell>
          <cell r="V5823" t="str">
            <v>not neg pair</v>
          </cell>
          <cell r="W5823">
            <v>0</v>
          </cell>
          <cell r="X5823" t="str">
            <v>0</v>
          </cell>
        </row>
        <row r="5824">
          <cell r="I5824" t="str">
            <v>sim</v>
          </cell>
          <cell r="V5824" t="str">
            <v>not neg pair</v>
          </cell>
          <cell r="W5824">
            <v>0</v>
          </cell>
          <cell r="X5824" t="str">
            <v>0</v>
          </cell>
        </row>
        <row r="5825">
          <cell r="I5825" t="str">
            <v>sim</v>
          </cell>
          <cell r="V5825" t="str">
            <v>not neg pair</v>
          </cell>
          <cell r="W5825">
            <v>0</v>
          </cell>
          <cell r="X5825" t="str">
            <v>0</v>
          </cell>
        </row>
        <row r="5826">
          <cell r="I5826" t="str">
            <v>sim</v>
          </cell>
          <cell r="V5826" t="str">
            <v>not neg pair</v>
          </cell>
          <cell r="W5826">
            <v>0</v>
          </cell>
          <cell r="X5826" t="str">
            <v>0</v>
          </cell>
        </row>
        <row r="5827">
          <cell r="I5827" t="str">
            <v>sim</v>
          </cell>
          <cell r="V5827" t="str">
            <v>not neg pair</v>
          </cell>
          <cell r="W5827">
            <v>0</v>
          </cell>
          <cell r="X5827" t="str">
            <v>0</v>
          </cell>
        </row>
        <row r="5828">
          <cell r="I5828" t="str">
            <v>sim</v>
          </cell>
          <cell r="V5828" t="str">
            <v>not</v>
          </cell>
          <cell r="W5828">
            <v>1</v>
          </cell>
          <cell r="X5828" t="str">
            <v>intens</v>
          </cell>
        </row>
        <row r="5829">
          <cell r="I5829" t="str">
            <v>sim</v>
          </cell>
          <cell r="V5829" t="str">
            <v>not</v>
          </cell>
          <cell r="W5829">
            <v>1</v>
          </cell>
          <cell r="X5829" t="str">
            <v>neg</v>
          </cell>
        </row>
        <row r="5830">
          <cell r="I5830" t="str">
            <v>sim</v>
          </cell>
          <cell r="V5830" t="str">
            <v>not</v>
          </cell>
          <cell r="W5830">
            <v>1</v>
          </cell>
          <cell r="X5830" t="str">
            <v>intens</v>
          </cell>
        </row>
        <row r="5831">
          <cell r="I5831" t="str">
            <v>sim</v>
          </cell>
          <cell r="V5831" t="str">
            <v>not</v>
          </cell>
          <cell r="W5831">
            <v>1</v>
          </cell>
          <cell r="X5831" t="str">
            <v>neg</v>
          </cell>
        </row>
        <row r="5832">
          <cell r="I5832" t="str">
            <v>sim</v>
          </cell>
          <cell r="V5832" t="str">
            <v>not</v>
          </cell>
          <cell r="W5832">
            <v>1</v>
          </cell>
          <cell r="X5832" t="str">
            <v>intens</v>
          </cell>
        </row>
        <row r="5833">
          <cell r="I5833" t="str">
            <v>sim</v>
          </cell>
          <cell r="V5833" t="str">
            <v>not</v>
          </cell>
          <cell r="W5833">
            <v>1</v>
          </cell>
          <cell r="X5833" t="str">
            <v>neg</v>
          </cell>
        </row>
        <row r="5834">
          <cell r="I5834" t="str">
            <v>sim</v>
          </cell>
          <cell r="V5834" t="str">
            <v>not neg pair</v>
          </cell>
          <cell r="W5834">
            <v>0</v>
          </cell>
          <cell r="X5834" t="str">
            <v>0</v>
          </cell>
        </row>
        <row r="5835">
          <cell r="I5835" t="str">
            <v>sim</v>
          </cell>
          <cell r="V5835" t="str">
            <v>not neg pair</v>
          </cell>
          <cell r="W5835">
            <v>0</v>
          </cell>
          <cell r="X5835" t="str">
            <v>0</v>
          </cell>
        </row>
        <row r="5836">
          <cell r="I5836" t="str">
            <v>sim</v>
          </cell>
          <cell r="V5836" t="str">
            <v>antonym</v>
          </cell>
          <cell r="W5836">
            <v>1</v>
          </cell>
          <cell r="X5836" t="str">
            <v>intens</v>
          </cell>
        </row>
        <row r="5837">
          <cell r="I5837" t="str">
            <v>sim</v>
          </cell>
          <cell r="V5837" t="str">
            <v>antonym</v>
          </cell>
          <cell r="W5837">
            <v>1</v>
          </cell>
          <cell r="X5837" t="str">
            <v>neg</v>
          </cell>
        </row>
        <row r="5838">
          <cell r="I5838" t="str">
            <v>sim</v>
          </cell>
          <cell r="V5838" t="str">
            <v>antonym</v>
          </cell>
          <cell r="W5838">
            <v>1</v>
          </cell>
          <cell r="X5838" t="str">
            <v>neg</v>
          </cell>
        </row>
        <row r="5839">
          <cell r="I5839" t="str">
            <v>sim</v>
          </cell>
          <cell r="V5839" t="str">
            <v>antonym</v>
          </cell>
          <cell r="W5839">
            <v>1</v>
          </cell>
          <cell r="X5839" t="str">
            <v>intens</v>
          </cell>
        </row>
        <row r="5840">
          <cell r="I5840" t="str">
            <v>sim</v>
          </cell>
          <cell r="V5840" t="str">
            <v>antonym</v>
          </cell>
          <cell r="W5840">
            <v>1</v>
          </cell>
          <cell r="X5840" t="str">
            <v>neg</v>
          </cell>
        </row>
        <row r="5841">
          <cell r="I5841" t="str">
            <v>sim</v>
          </cell>
          <cell r="V5841" t="str">
            <v>antonym</v>
          </cell>
          <cell r="W5841">
            <v>1</v>
          </cell>
          <cell r="X5841" t="str">
            <v>intens</v>
          </cell>
        </row>
        <row r="5842">
          <cell r="I5842" t="str">
            <v>sim</v>
          </cell>
          <cell r="V5842" t="str">
            <v>not</v>
          </cell>
          <cell r="W5842">
            <v>1</v>
          </cell>
          <cell r="X5842" t="str">
            <v>neg</v>
          </cell>
        </row>
        <row r="5843">
          <cell r="I5843" t="str">
            <v>sim</v>
          </cell>
          <cell r="V5843" t="str">
            <v>not</v>
          </cell>
          <cell r="W5843">
            <v>1</v>
          </cell>
          <cell r="X5843" t="str">
            <v>intens</v>
          </cell>
        </row>
        <row r="5844">
          <cell r="I5844" t="str">
            <v>sim</v>
          </cell>
          <cell r="V5844" t="str">
            <v>not</v>
          </cell>
          <cell r="W5844">
            <v>1</v>
          </cell>
          <cell r="X5844" t="str">
            <v>intens</v>
          </cell>
        </row>
        <row r="5845">
          <cell r="I5845" t="str">
            <v>sim</v>
          </cell>
          <cell r="V5845" t="str">
            <v>not</v>
          </cell>
          <cell r="W5845">
            <v>1</v>
          </cell>
          <cell r="X5845" t="str">
            <v>neg</v>
          </cell>
        </row>
        <row r="5846">
          <cell r="I5846" t="str">
            <v>sim</v>
          </cell>
          <cell r="V5846" t="str">
            <v>antonym</v>
          </cell>
          <cell r="W5846">
            <v>1</v>
          </cell>
          <cell r="X5846" t="str">
            <v>neg</v>
          </cell>
        </row>
        <row r="5847">
          <cell r="I5847" t="str">
            <v>sim</v>
          </cell>
          <cell r="V5847" t="str">
            <v>antonym</v>
          </cell>
          <cell r="W5847">
            <v>1</v>
          </cell>
          <cell r="X5847" t="str">
            <v>intens</v>
          </cell>
        </row>
        <row r="5848">
          <cell r="I5848" t="str">
            <v>sim</v>
          </cell>
          <cell r="V5848" t="str">
            <v>not</v>
          </cell>
          <cell r="W5848">
            <v>1</v>
          </cell>
          <cell r="X5848" t="str">
            <v>neg</v>
          </cell>
        </row>
        <row r="5849">
          <cell r="I5849" t="str">
            <v>sim</v>
          </cell>
          <cell r="V5849" t="str">
            <v>not</v>
          </cell>
          <cell r="W5849">
            <v>1</v>
          </cell>
          <cell r="X5849" t="str">
            <v>intens</v>
          </cell>
        </row>
        <row r="5850">
          <cell r="I5850" t="str">
            <v>sim</v>
          </cell>
          <cell r="V5850" t="str">
            <v>not neg pair</v>
          </cell>
          <cell r="W5850">
            <v>0</v>
          </cell>
          <cell r="X5850" t="str">
            <v>0</v>
          </cell>
        </row>
        <row r="5851">
          <cell r="I5851" t="str">
            <v>sim</v>
          </cell>
          <cell r="V5851" t="str">
            <v>not neg pair</v>
          </cell>
          <cell r="W5851">
            <v>0</v>
          </cell>
          <cell r="X5851" t="str">
            <v>0</v>
          </cell>
        </row>
        <row r="5852">
          <cell r="I5852" t="str">
            <v>met</v>
          </cell>
          <cell r="V5852" t="str">
            <v>0</v>
          </cell>
          <cell r="W5852">
            <v>0</v>
          </cell>
          <cell r="X5852" t="str">
            <v>0</v>
          </cell>
        </row>
        <row r="5853">
          <cell r="I5853" t="str">
            <v>met</v>
          </cell>
          <cell r="V5853" t="str">
            <v>0</v>
          </cell>
          <cell r="W5853">
            <v>0</v>
          </cell>
          <cell r="X5853" t="str">
            <v>0</v>
          </cell>
        </row>
        <row r="5854">
          <cell r="I5854" t="str">
            <v>met</v>
          </cell>
          <cell r="V5854" t="str">
            <v>0</v>
          </cell>
          <cell r="W5854">
            <v>0</v>
          </cell>
          <cell r="X5854" t="str">
            <v>0</v>
          </cell>
        </row>
        <row r="5855">
          <cell r="I5855" t="str">
            <v>met</v>
          </cell>
          <cell r="V5855" t="str">
            <v>0</v>
          </cell>
          <cell r="W5855">
            <v>0</v>
          </cell>
          <cell r="X5855" t="str">
            <v>0</v>
          </cell>
        </row>
        <row r="5856">
          <cell r="I5856" t="str">
            <v>sim</v>
          </cell>
          <cell r="V5856" t="str">
            <v>not neg pair</v>
          </cell>
          <cell r="W5856">
            <v>0</v>
          </cell>
          <cell r="X5856" t="str">
            <v>0</v>
          </cell>
        </row>
        <row r="5857">
          <cell r="I5857" t="str">
            <v>sim</v>
          </cell>
          <cell r="V5857" t="str">
            <v>not neg pair</v>
          </cell>
          <cell r="W5857">
            <v>0</v>
          </cell>
          <cell r="X5857" t="str">
            <v>0</v>
          </cell>
        </row>
        <row r="5858">
          <cell r="I5858" t="str">
            <v>sim</v>
          </cell>
          <cell r="V5858" t="str">
            <v>not neg pair</v>
          </cell>
          <cell r="W5858">
            <v>0</v>
          </cell>
          <cell r="X5858" t="str">
            <v>0</v>
          </cell>
        </row>
        <row r="5859">
          <cell r="I5859" t="str">
            <v>sim</v>
          </cell>
          <cell r="V5859" t="str">
            <v>not neg pair</v>
          </cell>
          <cell r="W5859">
            <v>0</v>
          </cell>
          <cell r="X5859" t="str">
            <v>0</v>
          </cell>
        </row>
        <row r="5860">
          <cell r="I5860" t="str">
            <v>sim</v>
          </cell>
          <cell r="V5860" t="str">
            <v>not neg pair</v>
          </cell>
          <cell r="W5860">
            <v>0</v>
          </cell>
          <cell r="X5860" t="str">
            <v>0</v>
          </cell>
        </row>
        <row r="5861">
          <cell r="I5861" t="str">
            <v>sim</v>
          </cell>
          <cell r="V5861" t="str">
            <v>not neg pair</v>
          </cell>
          <cell r="W5861">
            <v>0</v>
          </cell>
          <cell r="X5861" t="str">
            <v>0</v>
          </cell>
        </row>
        <row r="5862">
          <cell r="I5862" t="str">
            <v>sim</v>
          </cell>
          <cell r="V5862" t="str">
            <v>not neg pair</v>
          </cell>
          <cell r="W5862">
            <v>0</v>
          </cell>
          <cell r="X5862" t="str">
            <v>0</v>
          </cell>
        </row>
        <row r="5863">
          <cell r="I5863" t="str">
            <v>sim</v>
          </cell>
          <cell r="V5863" t="str">
            <v>not neg pair</v>
          </cell>
          <cell r="W5863">
            <v>0</v>
          </cell>
          <cell r="X5863" t="str">
            <v>0</v>
          </cell>
        </row>
        <row r="5864">
          <cell r="I5864" t="str">
            <v>sim</v>
          </cell>
          <cell r="V5864" t="str">
            <v>not neg pair</v>
          </cell>
          <cell r="W5864">
            <v>0</v>
          </cell>
          <cell r="X5864" t="str">
            <v>0</v>
          </cell>
        </row>
        <row r="5865">
          <cell r="I5865" t="str">
            <v>sim</v>
          </cell>
          <cell r="V5865" t="str">
            <v>not neg pair</v>
          </cell>
          <cell r="W5865">
            <v>0</v>
          </cell>
          <cell r="X5865" t="str">
            <v>0</v>
          </cell>
        </row>
        <row r="5866">
          <cell r="I5866" t="str">
            <v>sim</v>
          </cell>
          <cell r="V5866" t="str">
            <v>not</v>
          </cell>
          <cell r="W5866">
            <v>1</v>
          </cell>
          <cell r="X5866" t="str">
            <v>neg</v>
          </cell>
        </row>
        <row r="5867">
          <cell r="I5867" t="str">
            <v>sim</v>
          </cell>
          <cell r="V5867" t="str">
            <v>not</v>
          </cell>
          <cell r="W5867">
            <v>1</v>
          </cell>
          <cell r="X5867" t="str">
            <v>intens</v>
          </cell>
        </row>
        <row r="5868">
          <cell r="I5868" t="str">
            <v>sim</v>
          </cell>
          <cell r="V5868" t="str">
            <v>not neg pair</v>
          </cell>
          <cell r="W5868">
            <v>0</v>
          </cell>
          <cell r="X5868" t="str">
            <v>0</v>
          </cell>
        </row>
        <row r="5869">
          <cell r="I5869" t="str">
            <v>sim</v>
          </cell>
          <cell r="V5869" t="str">
            <v>not neg pair</v>
          </cell>
          <cell r="W5869">
            <v>0</v>
          </cell>
          <cell r="X5869" t="str">
            <v>0</v>
          </cell>
        </row>
        <row r="5870">
          <cell r="I5870" t="str">
            <v>sim</v>
          </cell>
          <cell r="V5870" t="str">
            <v>antonym</v>
          </cell>
          <cell r="W5870">
            <v>1</v>
          </cell>
          <cell r="X5870" t="str">
            <v>intens</v>
          </cell>
        </row>
        <row r="5871">
          <cell r="I5871" t="str">
            <v>sim</v>
          </cell>
          <cell r="V5871" t="str">
            <v>antonym</v>
          </cell>
          <cell r="W5871">
            <v>1</v>
          </cell>
          <cell r="X5871" t="str">
            <v>neg</v>
          </cell>
        </row>
        <row r="5872">
          <cell r="I5872" t="str">
            <v>sim</v>
          </cell>
          <cell r="V5872" t="str">
            <v>not</v>
          </cell>
          <cell r="W5872">
            <v>1</v>
          </cell>
          <cell r="X5872" t="str">
            <v>neg</v>
          </cell>
        </row>
        <row r="5873">
          <cell r="I5873" t="str">
            <v>sim</v>
          </cell>
          <cell r="V5873" t="str">
            <v>not</v>
          </cell>
          <cell r="W5873">
            <v>1</v>
          </cell>
          <cell r="X5873" t="str">
            <v>intens</v>
          </cell>
        </row>
        <row r="5874">
          <cell r="I5874" t="str">
            <v>sim</v>
          </cell>
          <cell r="V5874" t="str">
            <v>not</v>
          </cell>
          <cell r="W5874">
            <v>1</v>
          </cell>
          <cell r="X5874" t="str">
            <v>intens</v>
          </cell>
        </row>
        <row r="5875">
          <cell r="I5875" t="str">
            <v>sim</v>
          </cell>
          <cell r="V5875" t="str">
            <v>not</v>
          </cell>
          <cell r="W5875">
            <v>1</v>
          </cell>
          <cell r="X5875" t="str">
            <v>neg</v>
          </cell>
        </row>
        <row r="5876">
          <cell r="I5876" t="str">
            <v>sim</v>
          </cell>
          <cell r="V5876" t="str">
            <v>not</v>
          </cell>
          <cell r="W5876">
            <v>1</v>
          </cell>
          <cell r="X5876" t="str">
            <v>intens</v>
          </cell>
        </row>
        <row r="5877">
          <cell r="I5877" t="str">
            <v>sim</v>
          </cell>
          <cell r="V5877" t="str">
            <v>not</v>
          </cell>
          <cell r="W5877">
            <v>1</v>
          </cell>
          <cell r="X5877" t="str">
            <v>neg</v>
          </cell>
        </row>
        <row r="5878">
          <cell r="I5878" t="str">
            <v>sim</v>
          </cell>
          <cell r="V5878" t="str">
            <v>not neg pair</v>
          </cell>
          <cell r="W5878">
            <v>0</v>
          </cell>
          <cell r="X5878" t="str">
            <v>0</v>
          </cell>
        </row>
        <row r="5879">
          <cell r="I5879" t="str">
            <v>sim</v>
          </cell>
          <cell r="V5879" t="str">
            <v>not neg pair</v>
          </cell>
          <cell r="W5879">
            <v>0</v>
          </cell>
          <cell r="X5879" t="str">
            <v>0</v>
          </cell>
        </row>
        <row r="5880">
          <cell r="I5880" t="str">
            <v>sim</v>
          </cell>
          <cell r="V5880" t="str">
            <v>not</v>
          </cell>
          <cell r="W5880">
            <v>1</v>
          </cell>
          <cell r="X5880" t="str">
            <v>intens</v>
          </cell>
        </row>
        <row r="5881">
          <cell r="I5881" t="str">
            <v>sim</v>
          </cell>
          <cell r="V5881" t="str">
            <v>not</v>
          </cell>
          <cell r="W5881">
            <v>1</v>
          </cell>
          <cell r="X5881" t="str">
            <v>neg</v>
          </cell>
        </row>
        <row r="5882">
          <cell r="I5882" t="str">
            <v>sim</v>
          </cell>
          <cell r="V5882" t="str">
            <v>antonym</v>
          </cell>
          <cell r="W5882">
            <v>1</v>
          </cell>
          <cell r="X5882" t="str">
            <v>neg</v>
          </cell>
        </row>
        <row r="5883">
          <cell r="I5883" t="str">
            <v>sim</v>
          </cell>
          <cell r="V5883" t="str">
            <v>antonym</v>
          </cell>
          <cell r="W5883">
            <v>1</v>
          </cell>
          <cell r="X5883" t="str">
            <v>intens</v>
          </cell>
        </row>
        <row r="5884">
          <cell r="I5884" t="str">
            <v>sim</v>
          </cell>
          <cell r="V5884" t="str">
            <v>not neg pair</v>
          </cell>
          <cell r="W5884">
            <v>0</v>
          </cell>
          <cell r="X5884" t="str">
            <v>0</v>
          </cell>
        </row>
        <row r="5885">
          <cell r="I5885" t="str">
            <v>sim</v>
          </cell>
          <cell r="V5885" t="str">
            <v>not neg pair</v>
          </cell>
          <cell r="W5885">
            <v>0</v>
          </cell>
          <cell r="X5885" t="str">
            <v>0</v>
          </cell>
        </row>
        <row r="5886">
          <cell r="I5886" t="str">
            <v>sim</v>
          </cell>
          <cell r="V5886" t="str">
            <v>not neg pair</v>
          </cell>
          <cell r="W5886">
            <v>0</v>
          </cell>
          <cell r="X5886" t="str">
            <v>0</v>
          </cell>
        </row>
        <row r="5887">
          <cell r="I5887" t="str">
            <v>sim</v>
          </cell>
          <cell r="V5887" t="str">
            <v>not neg pair</v>
          </cell>
          <cell r="W5887">
            <v>0</v>
          </cell>
          <cell r="X5887" t="str">
            <v>0</v>
          </cell>
        </row>
        <row r="5888">
          <cell r="I5888" t="str">
            <v>met</v>
          </cell>
          <cell r="V5888" t="str">
            <v>0</v>
          </cell>
          <cell r="W5888">
            <v>0</v>
          </cell>
          <cell r="X5888" t="str">
            <v>0</v>
          </cell>
        </row>
        <row r="5889">
          <cell r="I5889" t="str">
            <v>met</v>
          </cell>
          <cell r="V5889" t="str">
            <v>0</v>
          </cell>
          <cell r="W5889">
            <v>0</v>
          </cell>
          <cell r="X5889" t="str">
            <v>0</v>
          </cell>
        </row>
        <row r="5890">
          <cell r="I5890" t="str">
            <v>sim</v>
          </cell>
          <cell r="V5890" t="str">
            <v>not neg pair</v>
          </cell>
          <cell r="W5890">
            <v>0</v>
          </cell>
          <cell r="X5890" t="str">
            <v>0</v>
          </cell>
        </row>
        <row r="5891">
          <cell r="I5891" t="str">
            <v>sim</v>
          </cell>
          <cell r="V5891" t="str">
            <v>not neg pair</v>
          </cell>
          <cell r="W5891">
            <v>0</v>
          </cell>
          <cell r="X5891" t="str">
            <v>0</v>
          </cell>
        </row>
        <row r="5892">
          <cell r="I5892" t="str">
            <v>met</v>
          </cell>
          <cell r="V5892" t="str">
            <v>0</v>
          </cell>
          <cell r="W5892">
            <v>0</v>
          </cell>
          <cell r="X5892" t="str">
            <v>0</v>
          </cell>
        </row>
        <row r="5893">
          <cell r="I5893" t="str">
            <v>met</v>
          </cell>
          <cell r="V5893" t="str">
            <v>0</v>
          </cell>
          <cell r="W5893">
            <v>0</v>
          </cell>
          <cell r="X5893" t="str">
            <v>0</v>
          </cell>
        </row>
        <row r="5894">
          <cell r="I5894" t="str">
            <v>met</v>
          </cell>
          <cell r="V5894" t="str">
            <v>0</v>
          </cell>
          <cell r="W5894">
            <v>0</v>
          </cell>
          <cell r="X5894" t="str">
            <v>0</v>
          </cell>
        </row>
        <row r="5895">
          <cell r="I5895" t="str">
            <v>met</v>
          </cell>
          <cell r="V5895" t="str">
            <v>0</v>
          </cell>
          <cell r="W5895">
            <v>0</v>
          </cell>
          <cell r="X5895" t="str">
            <v>0</v>
          </cell>
        </row>
        <row r="5896">
          <cell r="I5896" t="str">
            <v>met</v>
          </cell>
          <cell r="V5896" t="str">
            <v>0</v>
          </cell>
          <cell r="W5896">
            <v>0</v>
          </cell>
          <cell r="X5896" t="str">
            <v>0</v>
          </cell>
        </row>
        <row r="5897">
          <cell r="I5897" t="str">
            <v>met</v>
          </cell>
          <cell r="V5897" t="str">
            <v>0</v>
          </cell>
          <cell r="W5897">
            <v>0</v>
          </cell>
          <cell r="X5897" t="str">
            <v>0</v>
          </cell>
        </row>
        <row r="5898">
          <cell r="I5898" t="str">
            <v>sim</v>
          </cell>
          <cell r="V5898" t="str">
            <v>not</v>
          </cell>
          <cell r="W5898">
            <v>1</v>
          </cell>
          <cell r="X5898" t="str">
            <v>intens</v>
          </cell>
        </row>
        <row r="5899">
          <cell r="I5899" t="str">
            <v>sim</v>
          </cell>
          <cell r="V5899" t="str">
            <v>not</v>
          </cell>
          <cell r="W5899">
            <v>1</v>
          </cell>
          <cell r="X5899" t="str">
            <v>neg</v>
          </cell>
        </row>
        <row r="5900">
          <cell r="I5900" t="str">
            <v>sim</v>
          </cell>
          <cell r="V5900" t="str">
            <v>not neg pair</v>
          </cell>
          <cell r="W5900">
            <v>0</v>
          </cell>
          <cell r="X5900" t="str">
            <v>0</v>
          </cell>
        </row>
        <row r="5901">
          <cell r="I5901" t="str">
            <v>sim</v>
          </cell>
          <cell r="V5901" t="str">
            <v>not neg pair</v>
          </cell>
          <cell r="W5901">
            <v>0</v>
          </cell>
          <cell r="X5901" t="str">
            <v>0</v>
          </cell>
        </row>
        <row r="5902">
          <cell r="I5902" t="str">
            <v>sim</v>
          </cell>
          <cell r="V5902" t="str">
            <v>not neg pair</v>
          </cell>
          <cell r="W5902">
            <v>0</v>
          </cell>
          <cell r="X5902" t="str">
            <v>0</v>
          </cell>
        </row>
        <row r="5903">
          <cell r="I5903" t="str">
            <v>sim</v>
          </cell>
          <cell r="V5903" t="str">
            <v>not neg pair</v>
          </cell>
          <cell r="W5903">
            <v>0</v>
          </cell>
          <cell r="X5903" t="str">
            <v>0</v>
          </cell>
        </row>
        <row r="5904">
          <cell r="I5904" t="str">
            <v>sim</v>
          </cell>
          <cell r="V5904" t="str">
            <v>not neg pair</v>
          </cell>
          <cell r="W5904">
            <v>0</v>
          </cell>
          <cell r="X5904" t="str">
            <v>0</v>
          </cell>
        </row>
        <row r="5905">
          <cell r="I5905" t="str">
            <v>sim</v>
          </cell>
          <cell r="V5905" t="str">
            <v>not neg pair</v>
          </cell>
          <cell r="W5905">
            <v>0</v>
          </cell>
          <cell r="X5905" t="str">
            <v>0</v>
          </cell>
        </row>
        <row r="5906">
          <cell r="I5906" t="str">
            <v>sim</v>
          </cell>
          <cell r="V5906" t="str">
            <v>not neg pair</v>
          </cell>
          <cell r="W5906">
            <v>0</v>
          </cell>
          <cell r="X5906" t="str">
            <v>0</v>
          </cell>
        </row>
        <row r="5907">
          <cell r="I5907" t="str">
            <v>sim</v>
          </cell>
          <cell r="V5907" t="str">
            <v>not neg pair</v>
          </cell>
          <cell r="W5907">
            <v>0</v>
          </cell>
          <cell r="X5907" t="str">
            <v>0</v>
          </cell>
        </row>
        <row r="5908">
          <cell r="I5908" t="str">
            <v>sim</v>
          </cell>
          <cell r="V5908" t="str">
            <v>antonym</v>
          </cell>
          <cell r="W5908">
            <v>1</v>
          </cell>
          <cell r="X5908" t="str">
            <v>neg</v>
          </cell>
        </row>
        <row r="5909">
          <cell r="I5909" t="str">
            <v>sim</v>
          </cell>
          <cell r="V5909" t="str">
            <v>antonym</v>
          </cell>
          <cell r="W5909">
            <v>1</v>
          </cell>
          <cell r="X5909" t="str">
            <v>intens</v>
          </cell>
        </row>
        <row r="5910">
          <cell r="I5910" t="str">
            <v>sim</v>
          </cell>
          <cell r="V5910" t="str">
            <v>not neg pair</v>
          </cell>
          <cell r="W5910">
            <v>0</v>
          </cell>
          <cell r="X5910" t="str">
            <v>0</v>
          </cell>
        </row>
        <row r="5911">
          <cell r="I5911" t="str">
            <v>sim</v>
          </cell>
          <cell r="V5911" t="str">
            <v>not neg pair</v>
          </cell>
          <cell r="W5911">
            <v>0</v>
          </cell>
          <cell r="X5911" t="str">
            <v>0</v>
          </cell>
        </row>
        <row r="5912">
          <cell r="I5912" t="str">
            <v>sim</v>
          </cell>
          <cell r="V5912" t="str">
            <v>antonym</v>
          </cell>
          <cell r="W5912">
            <v>1</v>
          </cell>
          <cell r="X5912" t="str">
            <v>intens</v>
          </cell>
        </row>
        <row r="5913">
          <cell r="I5913" t="str">
            <v>sim</v>
          </cell>
          <cell r="V5913" t="str">
            <v>antonym</v>
          </cell>
          <cell r="W5913">
            <v>1</v>
          </cell>
          <cell r="X5913" t="str">
            <v>neg</v>
          </cell>
        </row>
        <row r="5914">
          <cell r="I5914" t="str">
            <v>sim</v>
          </cell>
          <cell r="V5914" t="str">
            <v>not neg pair</v>
          </cell>
          <cell r="W5914">
            <v>0</v>
          </cell>
          <cell r="X5914" t="str">
            <v>0</v>
          </cell>
        </row>
        <row r="5915">
          <cell r="I5915" t="str">
            <v>sim</v>
          </cell>
          <cell r="V5915" t="str">
            <v>not neg pair</v>
          </cell>
          <cell r="W5915">
            <v>0</v>
          </cell>
          <cell r="X5915" t="str">
            <v>0</v>
          </cell>
        </row>
        <row r="5916">
          <cell r="I5916" t="str">
            <v>sim</v>
          </cell>
          <cell r="V5916" t="str">
            <v>not neg pair</v>
          </cell>
          <cell r="W5916">
            <v>0</v>
          </cell>
          <cell r="X5916" t="str">
            <v>0</v>
          </cell>
        </row>
        <row r="5917">
          <cell r="I5917" t="str">
            <v>sim</v>
          </cell>
          <cell r="V5917" t="str">
            <v>not neg pair</v>
          </cell>
          <cell r="W5917">
            <v>0</v>
          </cell>
          <cell r="X5917" t="str">
            <v>0</v>
          </cell>
        </row>
        <row r="5918">
          <cell r="I5918" t="str">
            <v>sim</v>
          </cell>
          <cell r="V5918" t="str">
            <v>not</v>
          </cell>
          <cell r="W5918">
            <v>1</v>
          </cell>
          <cell r="X5918" t="str">
            <v>neg</v>
          </cell>
        </row>
        <row r="5919">
          <cell r="I5919" t="str">
            <v>sim</v>
          </cell>
          <cell r="V5919" t="str">
            <v>not</v>
          </cell>
          <cell r="W5919">
            <v>1</v>
          </cell>
          <cell r="X5919" t="str">
            <v>intens</v>
          </cell>
        </row>
        <row r="5920">
          <cell r="I5920" t="str">
            <v>sim</v>
          </cell>
          <cell r="V5920" t="str">
            <v>not</v>
          </cell>
          <cell r="W5920">
            <v>1</v>
          </cell>
          <cell r="X5920" t="str">
            <v>intens</v>
          </cell>
        </row>
        <row r="5921">
          <cell r="I5921" t="str">
            <v>sim</v>
          </cell>
          <cell r="V5921" t="str">
            <v>not</v>
          </cell>
          <cell r="W5921">
            <v>1</v>
          </cell>
          <cell r="X5921" t="str">
            <v>neg</v>
          </cell>
        </row>
        <row r="5922">
          <cell r="I5922" t="str">
            <v>sim</v>
          </cell>
          <cell r="V5922" t="str">
            <v>not</v>
          </cell>
          <cell r="W5922">
            <v>1</v>
          </cell>
          <cell r="X5922" t="str">
            <v>intens</v>
          </cell>
        </row>
        <row r="5923">
          <cell r="I5923" t="str">
            <v>sim</v>
          </cell>
          <cell r="V5923" t="str">
            <v>not</v>
          </cell>
          <cell r="W5923">
            <v>1</v>
          </cell>
          <cell r="X5923" t="str">
            <v>neg</v>
          </cell>
        </row>
        <row r="5924">
          <cell r="I5924" t="str">
            <v>sim</v>
          </cell>
          <cell r="V5924" t="str">
            <v>not neg pair</v>
          </cell>
          <cell r="W5924">
            <v>0</v>
          </cell>
          <cell r="X5924" t="str">
            <v>0</v>
          </cell>
        </row>
        <row r="5925">
          <cell r="I5925" t="str">
            <v>sim</v>
          </cell>
          <cell r="V5925" t="str">
            <v>not neg pair</v>
          </cell>
          <cell r="W5925">
            <v>0</v>
          </cell>
          <cell r="X5925" t="str">
            <v>0</v>
          </cell>
        </row>
        <row r="5926">
          <cell r="I5926" t="str">
            <v>sim</v>
          </cell>
          <cell r="V5926" t="str">
            <v>not neg pair</v>
          </cell>
          <cell r="W5926">
            <v>0</v>
          </cell>
          <cell r="X5926" t="str">
            <v>0</v>
          </cell>
        </row>
        <row r="5927">
          <cell r="I5927" t="str">
            <v>sim</v>
          </cell>
          <cell r="V5927" t="str">
            <v>not neg pair</v>
          </cell>
          <cell r="W5927">
            <v>0</v>
          </cell>
          <cell r="X5927" t="str">
            <v>0</v>
          </cell>
        </row>
        <row r="5928">
          <cell r="I5928" t="str">
            <v>sim</v>
          </cell>
          <cell r="V5928" t="str">
            <v>not neg pair</v>
          </cell>
          <cell r="W5928">
            <v>0</v>
          </cell>
          <cell r="X5928" t="str">
            <v>0</v>
          </cell>
        </row>
        <row r="5929">
          <cell r="I5929" t="str">
            <v>sim</v>
          </cell>
          <cell r="V5929" t="str">
            <v>not neg pair</v>
          </cell>
          <cell r="W5929">
            <v>0</v>
          </cell>
          <cell r="X5929" t="str">
            <v>0</v>
          </cell>
        </row>
        <row r="5930">
          <cell r="I5930" t="str">
            <v>sim</v>
          </cell>
          <cell r="V5930" t="str">
            <v>not neg pair</v>
          </cell>
          <cell r="W5930">
            <v>0</v>
          </cell>
          <cell r="X5930" t="str">
            <v>0</v>
          </cell>
        </row>
        <row r="5931">
          <cell r="I5931" t="str">
            <v>sim</v>
          </cell>
          <cell r="V5931" t="str">
            <v>not neg pair</v>
          </cell>
          <cell r="W5931">
            <v>0</v>
          </cell>
          <cell r="X5931" t="str">
            <v>0</v>
          </cell>
        </row>
        <row r="5932">
          <cell r="I5932" t="str">
            <v>sim</v>
          </cell>
          <cell r="V5932" t="str">
            <v>not neg pair</v>
          </cell>
          <cell r="W5932">
            <v>0</v>
          </cell>
          <cell r="X5932" t="str">
            <v>0</v>
          </cell>
        </row>
        <row r="5933">
          <cell r="I5933" t="str">
            <v>sim</v>
          </cell>
          <cell r="V5933" t="str">
            <v>not neg pair</v>
          </cell>
          <cell r="W5933">
            <v>0</v>
          </cell>
          <cell r="X5933" t="str">
            <v>0</v>
          </cell>
        </row>
        <row r="5934">
          <cell r="I5934" t="str">
            <v>sim</v>
          </cell>
          <cell r="V5934" t="str">
            <v>antonym</v>
          </cell>
          <cell r="W5934">
            <v>1</v>
          </cell>
          <cell r="X5934" t="str">
            <v>neg</v>
          </cell>
        </row>
        <row r="5935">
          <cell r="I5935" t="str">
            <v>sim</v>
          </cell>
          <cell r="V5935" t="str">
            <v>antonym</v>
          </cell>
          <cell r="W5935">
            <v>1</v>
          </cell>
          <cell r="X5935" t="str">
            <v>intens</v>
          </cell>
        </row>
        <row r="5936">
          <cell r="I5936" t="str">
            <v>sim</v>
          </cell>
          <cell r="V5936" t="str">
            <v>not</v>
          </cell>
          <cell r="W5936">
            <v>1</v>
          </cell>
          <cell r="X5936" t="str">
            <v>intens</v>
          </cell>
        </row>
        <row r="5937">
          <cell r="I5937" t="str">
            <v>sim</v>
          </cell>
          <cell r="V5937" t="str">
            <v>not</v>
          </cell>
          <cell r="W5937">
            <v>1</v>
          </cell>
          <cell r="X5937" t="str">
            <v>neg</v>
          </cell>
        </row>
        <row r="5938">
          <cell r="I5938" t="str">
            <v>sim</v>
          </cell>
          <cell r="V5938" t="str">
            <v>not</v>
          </cell>
          <cell r="W5938">
            <v>1</v>
          </cell>
          <cell r="X5938" t="str">
            <v>intens</v>
          </cell>
        </row>
        <row r="5939">
          <cell r="I5939" t="str">
            <v>sim</v>
          </cell>
          <cell r="V5939" t="str">
            <v>not</v>
          </cell>
          <cell r="W5939">
            <v>1</v>
          </cell>
          <cell r="X5939" t="str">
            <v>neg</v>
          </cell>
        </row>
        <row r="5940">
          <cell r="I5940" t="str">
            <v>met</v>
          </cell>
          <cell r="V5940" t="str">
            <v>0</v>
          </cell>
          <cell r="W5940">
            <v>0</v>
          </cell>
          <cell r="X5940" t="str">
            <v>0</v>
          </cell>
        </row>
        <row r="5941">
          <cell r="I5941" t="str">
            <v>sim</v>
          </cell>
          <cell r="V5941" t="str">
            <v>not neg pair</v>
          </cell>
          <cell r="W5941">
            <v>0</v>
          </cell>
          <cell r="X5941" t="str">
            <v>0</v>
          </cell>
        </row>
        <row r="5942">
          <cell r="I5942" t="str">
            <v>sim</v>
          </cell>
          <cell r="V5942" t="str">
            <v>not</v>
          </cell>
          <cell r="W5942">
            <v>1</v>
          </cell>
          <cell r="X5942" t="str">
            <v>neg</v>
          </cell>
        </row>
        <row r="5943">
          <cell r="I5943" t="str">
            <v>sim</v>
          </cell>
          <cell r="V5943" t="str">
            <v>not</v>
          </cell>
          <cell r="W5943">
            <v>1</v>
          </cell>
          <cell r="X5943" t="str">
            <v>intens</v>
          </cell>
        </row>
        <row r="5944">
          <cell r="I5944" t="str">
            <v>sim</v>
          </cell>
          <cell r="V5944" t="str">
            <v>not neg pair</v>
          </cell>
          <cell r="W5944">
            <v>0</v>
          </cell>
          <cell r="X5944" t="str">
            <v>0</v>
          </cell>
        </row>
        <row r="5945">
          <cell r="I5945" t="str">
            <v>sim</v>
          </cell>
          <cell r="V5945" t="str">
            <v>not neg pair</v>
          </cell>
          <cell r="W5945">
            <v>0</v>
          </cell>
          <cell r="X5945" t="str">
            <v>0</v>
          </cell>
        </row>
        <row r="5946">
          <cell r="I5946" t="str">
            <v>sim</v>
          </cell>
          <cell r="V5946" t="str">
            <v>not</v>
          </cell>
          <cell r="W5946">
            <v>1</v>
          </cell>
          <cell r="X5946" t="str">
            <v>neg</v>
          </cell>
        </row>
        <row r="5947">
          <cell r="I5947" t="str">
            <v>sim</v>
          </cell>
          <cell r="V5947" t="str">
            <v>not</v>
          </cell>
          <cell r="W5947">
            <v>1</v>
          </cell>
          <cell r="X5947" t="str">
            <v>intens</v>
          </cell>
        </row>
        <row r="5948">
          <cell r="I5948" t="str">
            <v>sim</v>
          </cell>
          <cell r="V5948" t="str">
            <v>antonym</v>
          </cell>
          <cell r="W5948">
            <v>1</v>
          </cell>
          <cell r="X5948" t="str">
            <v>intens</v>
          </cell>
        </row>
        <row r="5949">
          <cell r="I5949" t="str">
            <v>sim</v>
          </cell>
          <cell r="V5949" t="str">
            <v>antonym</v>
          </cell>
          <cell r="W5949">
            <v>1</v>
          </cell>
          <cell r="X5949" t="str">
            <v>neg</v>
          </cell>
        </row>
        <row r="5950">
          <cell r="I5950" t="str">
            <v>sim</v>
          </cell>
          <cell r="V5950" t="str">
            <v>not</v>
          </cell>
          <cell r="W5950">
            <v>1</v>
          </cell>
          <cell r="X5950" t="str">
            <v>intens</v>
          </cell>
        </row>
        <row r="5951">
          <cell r="I5951" t="str">
            <v>sim</v>
          </cell>
          <cell r="V5951" t="str">
            <v>not</v>
          </cell>
          <cell r="W5951">
            <v>1</v>
          </cell>
          <cell r="X5951" t="str">
            <v>neg</v>
          </cell>
        </row>
        <row r="5952">
          <cell r="I5952" t="str">
            <v>sim</v>
          </cell>
          <cell r="V5952" t="str">
            <v>not neg pair</v>
          </cell>
          <cell r="W5952">
            <v>0</v>
          </cell>
          <cell r="X5952" t="str">
            <v>0</v>
          </cell>
        </row>
        <row r="5953">
          <cell r="I5953" t="str">
            <v>sim</v>
          </cell>
          <cell r="V5953" t="str">
            <v>not neg pair</v>
          </cell>
          <cell r="W5953">
            <v>0</v>
          </cell>
          <cell r="X5953" t="str">
            <v>0</v>
          </cell>
        </row>
        <row r="5954">
          <cell r="I5954" t="str">
            <v>sim</v>
          </cell>
          <cell r="V5954" t="str">
            <v>antonym</v>
          </cell>
          <cell r="W5954">
            <v>1</v>
          </cell>
          <cell r="X5954" t="str">
            <v>intens</v>
          </cell>
        </row>
        <row r="5955">
          <cell r="I5955" t="str">
            <v>sim</v>
          </cell>
          <cell r="V5955" t="str">
            <v>antonym</v>
          </cell>
          <cell r="W5955">
            <v>1</v>
          </cell>
          <cell r="X5955" t="str">
            <v>neg</v>
          </cell>
        </row>
        <row r="5956">
          <cell r="I5956" t="str">
            <v>sim</v>
          </cell>
          <cell r="V5956" t="str">
            <v>not</v>
          </cell>
          <cell r="W5956">
            <v>1</v>
          </cell>
          <cell r="X5956" t="str">
            <v>neg</v>
          </cell>
        </row>
        <row r="5957">
          <cell r="I5957" t="str">
            <v>sim</v>
          </cell>
          <cell r="V5957" t="str">
            <v>not</v>
          </cell>
          <cell r="W5957">
            <v>1</v>
          </cell>
          <cell r="X5957" t="str">
            <v>intens</v>
          </cell>
        </row>
        <row r="5958">
          <cell r="I5958" t="str">
            <v>sim</v>
          </cell>
          <cell r="V5958" t="str">
            <v>not neg pair</v>
          </cell>
          <cell r="W5958">
            <v>0</v>
          </cell>
          <cell r="X5958" t="str">
            <v>0</v>
          </cell>
        </row>
        <row r="5959">
          <cell r="I5959" t="str">
            <v>sim</v>
          </cell>
          <cell r="V5959" t="str">
            <v>not neg pair</v>
          </cell>
          <cell r="W5959">
            <v>0</v>
          </cell>
          <cell r="X5959" t="str">
            <v>0</v>
          </cell>
        </row>
        <row r="5960">
          <cell r="I5960" t="str">
            <v>sim</v>
          </cell>
          <cell r="V5960" t="str">
            <v>antonym</v>
          </cell>
          <cell r="W5960">
            <v>1</v>
          </cell>
          <cell r="X5960" t="str">
            <v>intens</v>
          </cell>
        </row>
        <row r="5961">
          <cell r="I5961" t="str">
            <v>sim</v>
          </cell>
          <cell r="V5961" t="str">
            <v>antonym</v>
          </cell>
          <cell r="W5961">
            <v>1</v>
          </cell>
          <cell r="X5961" t="str">
            <v>neg</v>
          </cell>
        </row>
        <row r="5962">
          <cell r="I5962" t="str">
            <v>sim</v>
          </cell>
          <cell r="V5962" t="str">
            <v>not</v>
          </cell>
          <cell r="W5962">
            <v>1</v>
          </cell>
          <cell r="X5962" t="str">
            <v>intens</v>
          </cell>
        </row>
        <row r="5963">
          <cell r="I5963" t="str">
            <v>sim</v>
          </cell>
          <cell r="V5963" t="str">
            <v>not</v>
          </cell>
          <cell r="W5963">
            <v>1</v>
          </cell>
          <cell r="X5963" t="str">
            <v>neg</v>
          </cell>
        </row>
        <row r="5964">
          <cell r="I5964" t="str">
            <v>sim</v>
          </cell>
          <cell r="V5964" t="str">
            <v>not neg pair</v>
          </cell>
          <cell r="W5964">
            <v>0</v>
          </cell>
          <cell r="X5964" t="str">
            <v>0</v>
          </cell>
        </row>
        <row r="5965">
          <cell r="I5965" t="str">
            <v>sim</v>
          </cell>
          <cell r="V5965" t="str">
            <v>not neg pair</v>
          </cell>
          <cell r="W5965">
            <v>0</v>
          </cell>
          <cell r="X5965" t="str">
            <v>0</v>
          </cell>
        </row>
        <row r="5966">
          <cell r="I5966" t="str">
            <v>sim</v>
          </cell>
          <cell r="V5966" t="str">
            <v>not neg pair</v>
          </cell>
          <cell r="W5966">
            <v>0</v>
          </cell>
          <cell r="X5966" t="str">
            <v>0</v>
          </cell>
        </row>
        <row r="5967">
          <cell r="I5967" t="str">
            <v>sim</v>
          </cell>
          <cell r="V5967" t="str">
            <v>not neg pair</v>
          </cell>
          <cell r="W5967">
            <v>0</v>
          </cell>
          <cell r="X5967" t="str">
            <v>0</v>
          </cell>
        </row>
        <row r="5968">
          <cell r="I5968" t="str">
            <v>met</v>
          </cell>
          <cell r="V5968" t="str">
            <v>0</v>
          </cell>
          <cell r="W5968">
            <v>0</v>
          </cell>
          <cell r="X5968" t="str">
            <v>0</v>
          </cell>
        </row>
        <row r="5969">
          <cell r="I5969" t="str">
            <v>sim</v>
          </cell>
          <cell r="V5969" t="str">
            <v>not neg pair</v>
          </cell>
          <cell r="W5969">
            <v>0</v>
          </cell>
          <cell r="X5969" t="str">
            <v>0</v>
          </cell>
        </row>
        <row r="5970">
          <cell r="I5970" t="str">
            <v>sim</v>
          </cell>
          <cell r="V5970" t="str">
            <v>antonym</v>
          </cell>
          <cell r="W5970">
            <v>1</v>
          </cell>
          <cell r="X5970" t="str">
            <v>intens</v>
          </cell>
        </row>
        <row r="5971">
          <cell r="I5971" t="str">
            <v>sim</v>
          </cell>
          <cell r="V5971" t="str">
            <v>antonym</v>
          </cell>
          <cell r="W5971">
            <v>1</v>
          </cell>
          <cell r="X5971" t="str">
            <v>neg</v>
          </cell>
        </row>
        <row r="5972">
          <cell r="I5972" t="str">
            <v>met</v>
          </cell>
          <cell r="V5972" t="str">
            <v>0</v>
          </cell>
          <cell r="W5972">
            <v>0</v>
          </cell>
          <cell r="X5972" t="str">
            <v>0</v>
          </cell>
        </row>
        <row r="5973">
          <cell r="I5973" t="str">
            <v>met</v>
          </cell>
          <cell r="V5973" t="str">
            <v>0</v>
          </cell>
          <cell r="W5973">
            <v>0</v>
          </cell>
          <cell r="X5973" t="str">
            <v>0</v>
          </cell>
        </row>
        <row r="5974">
          <cell r="I5974" t="str">
            <v>sim</v>
          </cell>
          <cell r="V5974" t="str">
            <v>not neg pair</v>
          </cell>
          <cell r="W5974">
            <v>0</v>
          </cell>
          <cell r="X5974" t="str">
            <v>0</v>
          </cell>
        </row>
        <row r="5975">
          <cell r="I5975" t="str">
            <v>sim</v>
          </cell>
          <cell r="V5975" t="str">
            <v>not neg pair</v>
          </cell>
          <cell r="W5975">
            <v>0</v>
          </cell>
          <cell r="X5975" t="str">
            <v>0</v>
          </cell>
        </row>
        <row r="5976">
          <cell r="I5976" t="str">
            <v>sim</v>
          </cell>
          <cell r="V5976" t="str">
            <v>not neg pair</v>
          </cell>
          <cell r="W5976">
            <v>0</v>
          </cell>
          <cell r="X5976" t="str">
            <v>0</v>
          </cell>
        </row>
        <row r="5977">
          <cell r="I5977" t="str">
            <v>sim</v>
          </cell>
          <cell r="V5977" t="str">
            <v>not neg pair</v>
          </cell>
          <cell r="W5977">
            <v>0</v>
          </cell>
          <cell r="X5977" t="str">
            <v>0</v>
          </cell>
        </row>
        <row r="5978">
          <cell r="I5978" t="str">
            <v>sim</v>
          </cell>
          <cell r="V5978" t="str">
            <v>not neg pair</v>
          </cell>
          <cell r="W5978">
            <v>0</v>
          </cell>
          <cell r="X5978" t="str">
            <v>0</v>
          </cell>
        </row>
        <row r="5979">
          <cell r="I5979" t="str">
            <v>sim</v>
          </cell>
          <cell r="V5979" t="str">
            <v>not neg pair</v>
          </cell>
          <cell r="W5979">
            <v>0</v>
          </cell>
          <cell r="X5979" t="str">
            <v>0</v>
          </cell>
        </row>
        <row r="5980">
          <cell r="I5980" t="str">
            <v>sim</v>
          </cell>
          <cell r="V5980" t="str">
            <v>antonym</v>
          </cell>
          <cell r="W5980">
            <v>1</v>
          </cell>
          <cell r="X5980" t="str">
            <v>intens</v>
          </cell>
        </row>
        <row r="5981">
          <cell r="I5981" t="str">
            <v>sim</v>
          </cell>
          <cell r="V5981" t="str">
            <v>antonym</v>
          </cell>
          <cell r="W5981">
            <v>1</v>
          </cell>
          <cell r="X5981" t="str">
            <v>neg</v>
          </cell>
        </row>
        <row r="5982">
          <cell r="I5982" t="str">
            <v>sim</v>
          </cell>
          <cell r="V5982" t="str">
            <v>not neg pair</v>
          </cell>
          <cell r="W5982">
            <v>0</v>
          </cell>
          <cell r="X5982" t="str">
            <v>0</v>
          </cell>
        </row>
        <row r="5983">
          <cell r="I5983" t="str">
            <v>sim</v>
          </cell>
          <cell r="V5983" t="str">
            <v>not neg pair</v>
          </cell>
          <cell r="W5983">
            <v>0</v>
          </cell>
          <cell r="X5983" t="str">
            <v>0</v>
          </cell>
        </row>
        <row r="5984">
          <cell r="I5984" t="str">
            <v>sim</v>
          </cell>
          <cell r="V5984" t="str">
            <v>antonym</v>
          </cell>
          <cell r="W5984">
            <v>1</v>
          </cell>
          <cell r="X5984" t="str">
            <v>intens</v>
          </cell>
        </row>
        <row r="5985">
          <cell r="I5985" t="str">
            <v>sim</v>
          </cell>
          <cell r="V5985" t="str">
            <v>antonym</v>
          </cell>
          <cell r="W5985">
            <v>1</v>
          </cell>
          <cell r="X5985" t="str">
            <v>neg</v>
          </cell>
        </row>
        <row r="5986">
          <cell r="I5986" t="str">
            <v>sim</v>
          </cell>
          <cell r="V5986" t="str">
            <v>not</v>
          </cell>
          <cell r="W5986">
            <v>1</v>
          </cell>
          <cell r="X5986" t="str">
            <v>intens</v>
          </cell>
        </row>
        <row r="5987">
          <cell r="I5987" t="str">
            <v>sim</v>
          </cell>
          <cell r="V5987" t="str">
            <v>not</v>
          </cell>
          <cell r="W5987">
            <v>1</v>
          </cell>
          <cell r="X5987" t="str">
            <v>neg</v>
          </cell>
        </row>
        <row r="5988">
          <cell r="I5988" t="str">
            <v>sim</v>
          </cell>
          <cell r="V5988" t="str">
            <v>not neg pair</v>
          </cell>
          <cell r="W5988">
            <v>0</v>
          </cell>
          <cell r="X5988" t="str">
            <v>0</v>
          </cell>
        </row>
        <row r="5989">
          <cell r="I5989" t="str">
            <v>sim</v>
          </cell>
          <cell r="V5989" t="str">
            <v>not neg pair</v>
          </cell>
          <cell r="W5989">
            <v>0</v>
          </cell>
          <cell r="X5989" t="str">
            <v>0</v>
          </cell>
        </row>
        <row r="5990">
          <cell r="I5990" t="str">
            <v>sim</v>
          </cell>
          <cell r="V5990" t="str">
            <v>not neg pair</v>
          </cell>
          <cell r="W5990">
            <v>0</v>
          </cell>
          <cell r="X5990" t="str">
            <v>0</v>
          </cell>
        </row>
        <row r="5991">
          <cell r="I5991" t="str">
            <v>sim</v>
          </cell>
          <cell r="V5991" t="str">
            <v>not neg pair</v>
          </cell>
          <cell r="W5991">
            <v>0</v>
          </cell>
          <cell r="X5991" t="str">
            <v>0</v>
          </cell>
        </row>
        <row r="5992">
          <cell r="I5992" t="str">
            <v>sim</v>
          </cell>
          <cell r="V5992" t="str">
            <v>not neg pair</v>
          </cell>
          <cell r="W5992">
            <v>0</v>
          </cell>
          <cell r="X5992" t="str">
            <v>0</v>
          </cell>
        </row>
        <row r="5993">
          <cell r="I5993" t="str">
            <v>sim</v>
          </cell>
          <cell r="V5993" t="str">
            <v>not neg pair</v>
          </cell>
          <cell r="W5993">
            <v>0</v>
          </cell>
          <cell r="X5993" t="str">
            <v>0</v>
          </cell>
        </row>
        <row r="5994">
          <cell r="I5994" t="str">
            <v>sim</v>
          </cell>
          <cell r="V5994" t="str">
            <v>not neg pair</v>
          </cell>
          <cell r="W5994">
            <v>0</v>
          </cell>
          <cell r="X5994" t="str">
            <v>0</v>
          </cell>
        </row>
        <row r="5995">
          <cell r="I5995" t="str">
            <v>sim</v>
          </cell>
          <cell r="V5995" t="str">
            <v>not neg pair</v>
          </cell>
          <cell r="W5995">
            <v>0</v>
          </cell>
          <cell r="X5995" t="str">
            <v>0</v>
          </cell>
        </row>
        <row r="5996">
          <cell r="I5996" t="str">
            <v>sim</v>
          </cell>
          <cell r="V5996" t="str">
            <v>antonym</v>
          </cell>
          <cell r="W5996">
            <v>1</v>
          </cell>
          <cell r="X5996" t="str">
            <v>intens</v>
          </cell>
        </row>
        <row r="5997">
          <cell r="I5997" t="str">
            <v>sim</v>
          </cell>
          <cell r="V5997" t="str">
            <v>antonym</v>
          </cell>
          <cell r="W5997">
            <v>1</v>
          </cell>
          <cell r="X5997" t="str">
            <v>neg</v>
          </cell>
        </row>
        <row r="5998">
          <cell r="I5998" t="str">
            <v>sim</v>
          </cell>
          <cell r="V5998" t="str">
            <v>antonym</v>
          </cell>
          <cell r="W5998">
            <v>1</v>
          </cell>
          <cell r="X5998" t="str">
            <v>intens</v>
          </cell>
        </row>
        <row r="5999">
          <cell r="I5999" t="str">
            <v>sim</v>
          </cell>
          <cell r="V5999" t="str">
            <v>antonym</v>
          </cell>
          <cell r="W5999">
            <v>1</v>
          </cell>
          <cell r="X5999" t="str">
            <v>neg</v>
          </cell>
        </row>
        <row r="6000">
          <cell r="I6000" t="str">
            <v>sim</v>
          </cell>
          <cell r="V6000" t="str">
            <v>not neg pair</v>
          </cell>
          <cell r="W6000">
            <v>0</v>
          </cell>
          <cell r="X6000" t="str">
            <v>0</v>
          </cell>
        </row>
        <row r="6001">
          <cell r="I6001" t="str">
            <v>sim</v>
          </cell>
          <cell r="V6001" t="str">
            <v>not neg pair</v>
          </cell>
          <cell r="W6001">
            <v>0</v>
          </cell>
          <cell r="X6001" t="str">
            <v>0</v>
          </cell>
        </row>
        <row r="6002">
          <cell r="I6002" t="str">
            <v>sim</v>
          </cell>
          <cell r="V6002" t="str">
            <v>not neg pair</v>
          </cell>
          <cell r="W6002">
            <v>0</v>
          </cell>
          <cell r="X6002" t="str">
            <v>0</v>
          </cell>
        </row>
        <row r="6003">
          <cell r="I6003" t="str">
            <v>sim</v>
          </cell>
          <cell r="V6003" t="str">
            <v>not neg pair</v>
          </cell>
          <cell r="W6003">
            <v>0</v>
          </cell>
          <cell r="X6003" t="str">
            <v>0</v>
          </cell>
        </row>
        <row r="6004">
          <cell r="I6004" t="str">
            <v>sim</v>
          </cell>
          <cell r="V6004" t="str">
            <v>antonym</v>
          </cell>
          <cell r="W6004">
            <v>1</v>
          </cell>
          <cell r="X6004" t="str">
            <v>intens</v>
          </cell>
        </row>
        <row r="6005">
          <cell r="I6005" t="str">
            <v>sim</v>
          </cell>
          <cell r="V6005" t="str">
            <v>antonym</v>
          </cell>
          <cell r="W6005">
            <v>1</v>
          </cell>
          <cell r="X6005" t="str">
            <v>neg</v>
          </cell>
        </row>
        <row r="6006">
          <cell r="I6006" t="str">
            <v>sim</v>
          </cell>
          <cell r="V6006" t="str">
            <v>not neg pair</v>
          </cell>
          <cell r="W6006">
            <v>0</v>
          </cell>
          <cell r="X6006" t="str">
            <v>0</v>
          </cell>
        </row>
        <row r="6007">
          <cell r="I6007" t="str">
            <v>sim</v>
          </cell>
          <cell r="V6007" t="str">
            <v>not neg pair</v>
          </cell>
          <cell r="W6007">
            <v>0</v>
          </cell>
          <cell r="X6007" t="str">
            <v>0</v>
          </cell>
        </row>
        <row r="6008">
          <cell r="I6008" t="str">
            <v>met</v>
          </cell>
          <cell r="V6008" t="str">
            <v>0</v>
          </cell>
          <cell r="W6008">
            <v>0</v>
          </cell>
          <cell r="X6008" t="str">
            <v>0</v>
          </cell>
        </row>
        <row r="6009">
          <cell r="I6009" t="str">
            <v>met</v>
          </cell>
          <cell r="V6009" t="str">
            <v>0</v>
          </cell>
          <cell r="W6009">
            <v>0</v>
          </cell>
          <cell r="X6009" t="str">
            <v>0</v>
          </cell>
        </row>
        <row r="6010">
          <cell r="I6010" t="str">
            <v>met</v>
          </cell>
          <cell r="V6010" t="str">
            <v>0</v>
          </cell>
          <cell r="W6010">
            <v>0</v>
          </cell>
          <cell r="X6010" t="str">
            <v>0</v>
          </cell>
        </row>
        <row r="6011">
          <cell r="I6011" t="str">
            <v>met</v>
          </cell>
          <cell r="V6011" t="str">
            <v>0</v>
          </cell>
          <cell r="W6011">
            <v>0</v>
          </cell>
          <cell r="X6011" t="str">
            <v>0</v>
          </cell>
        </row>
        <row r="6012">
          <cell r="I6012" t="str">
            <v>sim</v>
          </cell>
          <cell r="V6012" t="str">
            <v>not neg pair</v>
          </cell>
          <cell r="W6012">
            <v>0</v>
          </cell>
          <cell r="X6012" t="str">
            <v>0</v>
          </cell>
        </row>
        <row r="6013">
          <cell r="I6013" t="str">
            <v>sim</v>
          </cell>
          <cell r="V6013" t="str">
            <v>not neg pair</v>
          </cell>
          <cell r="W6013">
            <v>0</v>
          </cell>
          <cell r="X6013" t="str">
            <v>0</v>
          </cell>
        </row>
        <row r="6014">
          <cell r="I6014" t="str">
            <v>sim</v>
          </cell>
          <cell r="V6014" t="str">
            <v>not</v>
          </cell>
          <cell r="W6014">
            <v>1</v>
          </cell>
          <cell r="X6014" t="str">
            <v>neg</v>
          </cell>
        </row>
        <row r="6015">
          <cell r="I6015" t="str">
            <v>sim</v>
          </cell>
          <cell r="V6015" t="str">
            <v>not</v>
          </cell>
          <cell r="W6015">
            <v>1</v>
          </cell>
          <cell r="X6015" t="str">
            <v>intens</v>
          </cell>
        </row>
        <row r="6016">
          <cell r="I6016" t="str">
            <v>sim</v>
          </cell>
          <cell r="V6016" t="str">
            <v>not</v>
          </cell>
          <cell r="W6016">
            <v>1</v>
          </cell>
          <cell r="X6016" t="str">
            <v>neg</v>
          </cell>
        </row>
        <row r="6017">
          <cell r="I6017" t="str">
            <v>sim</v>
          </cell>
          <cell r="V6017" t="str">
            <v>not</v>
          </cell>
          <cell r="W6017">
            <v>1</v>
          </cell>
          <cell r="X6017" t="str">
            <v>intens</v>
          </cell>
        </row>
        <row r="6018">
          <cell r="I6018" t="str">
            <v>sim</v>
          </cell>
          <cell r="V6018" t="str">
            <v>not neg pair</v>
          </cell>
          <cell r="W6018">
            <v>0</v>
          </cell>
          <cell r="X6018" t="str">
            <v>0</v>
          </cell>
        </row>
        <row r="6019">
          <cell r="I6019" t="str">
            <v>sim</v>
          </cell>
          <cell r="V6019" t="str">
            <v>not neg pair</v>
          </cell>
          <cell r="W6019">
            <v>0</v>
          </cell>
          <cell r="X6019" t="str">
            <v>0</v>
          </cell>
        </row>
        <row r="6020">
          <cell r="I6020" t="str">
            <v>sim</v>
          </cell>
          <cell r="V6020" t="str">
            <v>not</v>
          </cell>
          <cell r="W6020">
            <v>1</v>
          </cell>
          <cell r="X6020" t="str">
            <v>intens</v>
          </cell>
        </row>
        <row r="6021">
          <cell r="I6021" t="str">
            <v>sim</v>
          </cell>
          <cell r="V6021" t="str">
            <v>not</v>
          </cell>
          <cell r="W6021">
            <v>1</v>
          </cell>
          <cell r="X6021" t="str">
            <v>neg</v>
          </cell>
        </row>
        <row r="6022">
          <cell r="I6022" t="str">
            <v>met</v>
          </cell>
          <cell r="V6022" t="str">
            <v>0</v>
          </cell>
          <cell r="W6022">
            <v>0</v>
          </cell>
          <cell r="X6022" t="str">
            <v>0</v>
          </cell>
        </row>
        <row r="6023">
          <cell r="I6023" t="str">
            <v>met</v>
          </cell>
          <cell r="V6023" t="str">
            <v>0</v>
          </cell>
          <cell r="W6023">
            <v>0</v>
          </cell>
          <cell r="X6023" t="str">
            <v>0</v>
          </cell>
        </row>
        <row r="6024">
          <cell r="I6024" t="str">
            <v>sim</v>
          </cell>
          <cell r="V6024" t="str">
            <v>not neg pair</v>
          </cell>
          <cell r="W6024">
            <v>0</v>
          </cell>
          <cell r="X6024" t="str">
            <v>0</v>
          </cell>
        </row>
        <row r="6025">
          <cell r="I6025" t="str">
            <v>sim</v>
          </cell>
          <cell r="V6025" t="str">
            <v>not neg pair</v>
          </cell>
          <cell r="W6025">
            <v>0</v>
          </cell>
          <cell r="X6025" t="str">
            <v>0</v>
          </cell>
        </row>
        <row r="6026">
          <cell r="I6026" t="str">
            <v>met</v>
          </cell>
          <cell r="V6026" t="str">
            <v>0</v>
          </cell>
          <cell r="W6026">
            <v>0</v>
          </cell>
          <cell r="X6026" t="str">
            <v>0</v>
          </cell>
        </row>
        <row r="6027">
          <cell r="I6027" t="str">
            <v>met</v>
          </cell>
          <cell r="V6027" t="str">
            <v>0</v>
          </cell>
          <cell r="W6027">
            <v>0</v>
          </cell>
          <cell r="X6027" t="str">
            <v>0</v>
          </cell>
        </row>
        <row r="6028">
          <cell r="I6028" t="str">
            <v>met</v>
          </cell>
          <cell r="V6028" t="str">
            <v>0</v>
          </cell>
          <cell r="W6028">
            <v>0</v>
          </cell>
          <cell r="X6028" t="str">
            <v>0</v>
          </cell>
        </row>
        <row r="6029">
          <cell r="I6029" t="str">
            <v>met</v>
          </cell>
          <cell r="V6029" t="str">
            <v>0</v>
          </cell>
          <cell r="W6029">
            <v>0</v>
          </cell>
          <cell r="X6029" t="str">
            <v>0</v>
          </cell>
        </row>
        <row r="6030">
          <cell r="I6030" t="str">
            <v>sim</v>
          </cell>
          <cell r="V6030" t="str">
            <v>antonym</v>
          </cell>
          <cell r="W6030">
            <v>1</v>
          </cell>
          <cell r="X6030" t="str">
            <v>neg</v>
          </cell>
        </row>
        <row r="6031">
          <cell r="I6031" t="str">
            <v>sim</v>
          </cell>
          <cell r="V6031" t="str">
            <v>antonym</v>
          </cell>
          <cell r="W6031">
            <v>1</v>
          </cell>
          <cell r="X6031" t="str">
            <v>intens</v>
          </cell>
        </row>
        <row r="6032">
          <cell r="I6032" t="str">
            <v>sim</v>
          </cell>
          <cell r="V6032" t="str">
            <v>antonym</v>
          </cell>
          <cell r="W6032">
            <v>1</v>
          </cell>
          <cell r="X6032" t="str">
            <v>intens</v>
          </cell>
        </row>
        <row r="6033">
          <cell r="I6033" t="str">
            <v>sim</v>
          </cell>
          <cell r="V6033" t="str">
            <v>antonym</v>
          </cell>
          <cell r="W6033">
            <v>1</v>
          </cell>
          <cell r="X6033" t="str">
            <v>neg</v>
          </cell>
        </row>
        <row r="6034">
          <cell r="I6034" t="str">
            <v>sim</v>
          </cell>
          <cell r="V6034" t="str">
            <v>not neg pair</v>
          </cell>
          <cell r="W6034">
            <v>0</v>
          </cell>
          <cell r="X6034" t="str">
            <v>0</v>
          </cell>
        </row>
        <row r="6035">
          <cell r="I6035" t="str">
            <v>sim</v>
          </cell>
          <cell r="V6035" t="str">
            <v>not neg pair</v>
          </cell>
          <cell r="W6035">
            <v>0</v>
          </cell>
          <cell r="X6035" t="str">
            <v>0</v>
          </cell>
        </row>
        <row r="6036">
          <cell r="I6036" t="str">
            <v>met</v>
          </cell>
          <cell r="V6036" t="str">
            <v>0</v>
          </cell>
          <cell r="W6036">
            <v>0</v>
          </cell>
          <cell r="X6036" t="str">
            <v>0</v>
          </cell>
        </row>
        <row r="6037">
          <cell r="I6037" t="str">
            <v>met</v>
          </cell>
          <cell r="V6037" t="str">
            <v>0</v>
          </cell>
          <cell r="W6037">
            <v>0</v>
          </cell>
          <cell r="X6037" t="str">
            <v>0</v>
          </cell>
        </row>
        <row r="6038">
          <cell r="I6038" t="str">
            <v>met</v>
          </cell>
          <cell r="V6038" t="str">
            <v>0</v>
          </cell>
          <cell r="W6038">
            <v>0</v>
          </cell>
          <cell r="X6038" t="str">
            <v>0</v>
          </cell>
        </row>
        <row r="6039">
          <cell r="I6039" t="str">
            <v>met</v>
          </cell>
          <cell r="V6039" t="str">
            <v>0</v>
          </cell>
          <cell r="W6039">
            <v>0</v>
          </cell>
          <cell r="X6039" t="str">
            <v>0</v>
          </cell>
        </row>
        <row r="6040">
          <cell r="I6040" t="str">
            <v>sim</v>
          </cell>
          <cell r="V6040" t="str">
            <v>not neg pair</v>
          </cell>
          <cell r="W6040">
            <v>0</v>
          </cell>
          <cell r="X6040" t="str">
            <v>0</v>
          </cell>
        </row>
        <row r="6041">
          <cell r="I6041" t="str">
            <v>sim</v>
          </cell>
          <cell r="V6041" t="str">
            <v>not neg pair</v>
          </cell>
          <cell r="W6041">
            <v>0</v>
          </cell>
          <cell r="X6041" t="str">
            <v>0</v>
          </cell>
        </row>
        <row r="6042">
          <cell r="I6042" t="str">
            <v>sim</v>
          </cell>
          <cell r="V6042" t="str">
            <v>not neg pair</v>
          </cell>
          <cell r="W6042">
            <v>0</v>
          </cell>
          <cell r="X6042" t="str">
            <v>0</v>
          </cell>
        </row>
        <row r="6043">
          <cell r="I6043" t="str">
            <v>sim</v>
          </cell>
          <cell r="V6043" t="str">
            <v>not neg pair</v>
          </cell>
          <cell r="W6043">
            <v>0</v>
          </cell>
          <cell r="X6043" t="str">
            <v>0</v>
          </cell>
        </row>
        <row r="6044">
          <cell r="I6044" t="str">
            <v>sim</v>
          </cell>
          <cell r="V6044" t="str">
            <v>not neg pair</v>
          </cell>
          <cell r="W6044">
            <v>0</v>
          </cell>
          <cell r="X6044" t="str">
            <v>0</v>
          </cell>
        </row>
        <row r="6045">
          <cell r="I6045" t="str">
            <v>sim</v>
          </cell>
          <cell r="V6045" t="str">
            <v>not neg pair</v>
          </cell>
          <cell r="W6045">
            <v>0</v>
          </cell>
          <cell r="X6045" t="str">
            <v>0</v>
          </cell>
        </row>
        <row r="6046">
          <cell r="I6046" t="str">
            <v>sim</v>
          </cell>
          <cell r="V6046" t="str">
            <v>antonym</v>
          </cell>
          <cell r="W6046">
            <v>1</v>
          </cell>
          <cell r="X6046" t="str">
            <v>intens</v>
          </cell>
        </row>
        <row r="6047">
          <cell r="I6047" t="str">
            <v>sim</v>
          </cell>
          <cell r="V6047" t="str">
            <v>antonym</v>
          </cell>
          <cell r="W6047">
            <v>1</v>
          </cell>
          <cell r="X6047" t="str">
            <v>neg</v>
          </cell>
        </row>
        <row r="6048">
          <cell r="I6048" t="str">
            <v>sim</v>
          </cell>
          <cell r="V6048" t="str">
            <v>antonym</v>
          </cell>
          <cell r="W6048">
            <v>1</v>
          </cell>
          <cell r="X6048" t="str">
            <v>neg</v>
          </cell>
        </row>
        <row r="6049">
          <cell r="I6049" t="str">
            <v>sim</v>
          </cell>
          <cell r="V6049" t="str">
            <v>antonym</v>
          </cell>
          <cell r="W6049">
            <v>1</v>
          </cell>
          <cell r="X6049" t="str">
            <v>intens</v>
          </cell>
        </row>
        <row r="6050">
          <cell r="I6050" t="str">
            <v>sim</v>
          </cell>
          <cell r="V6050" t="str">
            <v>not</v>
          </cell>
          <cell r="W6050">
            <v>1</v>
          </cell>
          <cell r="X6050" t="str">
            <v>intens</v>
          </cell>
        </row>
        <row r="6051">
          <cell r="I6051" t="str">
            <v>sim</v>
          </cell>
          <cell r="V6051" t="str">
            <v>not</v>
          </cell>
          <cell r="W6051">
            <v>1</v>
          </cell>
          <cell r="X6051" t="str">
            <v>neg</v>
          </cell>
        </row>
        <row r="6052">
          <cell r="I6052" t="str">
            <v>sim</v>
          </cell>
          <cell r="V6052" t="str">
            <v>not neg pair</v>
          </cell>
          <cell r="W6052">
            <v>0</v>
          </cell>
          <cell r="X6052" t="str">
            <v>0</v>
          </cell>
        </row>
        <row r="6053">
          <cell r="I6053" t="str">
            <v>sim</v>
          </cell>
          <cell r="V6053" t="str">
            <v>not neg pair</v>
          </cell>
          <cell r="W6053">
            <v>0</v>
          </cell>
          <cell r="X6053" t="str">
            <v>0</v>
          </cell>
        </row>
        <row r="6054">
          <cell r="I6054" t="str">
            <v>sim</v>
          </cell>
          <cell r="V6054" t="str">
            <v>antonym</v>
          </cell>
          <cell r="W6054">
            <v>1</v>
          </cell>
          <cell r="X6054" t="str">
            <v>neg</v>
          </cell>
        </row>
        <row r="6055">
          <cell r="I6055" t="str">
            <v>sim</v>
          </cell>
          <cell r="V6055" t="str">
            <v>antonym</v>
          </cell>
          <cell r="W6055">
            <v>1</v>
          </cell>
          <cell r="X6055" t="str">
            <v>intens</v>
          </cell>
        </row>
        <row r="6056">
          <cell r="I6056" t="str">
            <v>met</v>
          </cell>
          <cell r="V6056" t="str">
            <v>0</v>
          </cell>
          <cell r="W6056">
            <v>0</v>
          </cell>
          <cell r="X6056" t="str">
            <v>0</v>
          </cell>
        </row>
        <row r="6057">
          <cell r="I6057" t="str">
            <v>met</v>
          </cell>
          <cell r="V6057" t="str">
            <v>0</v>
          </cell>
          <cell r="W6057">
            <v>0</v>
          </cell>
          <cell r="X6057" t="str">
            <v>0</v>
          </cell>
        </row>
        <row r="6058">
          <cell r="I6058" t="str">
            <v>met</v>
          </cell>
          <cell r="V6058" t="str">
            <v>0</v>
          </cell>
          <cell r="W6058">
            <v>0</v>
          </cell>
          <cell r="X6058" t="str">
            <v>0</v>
          </cell>
        </row>
        <row r="6059">
          <cell r="I6059" t="str">
            <v>met</v>
          </cell>
          <cell r="V6059" t="str">
            <v>0</v>
          </cell>
          <cell r="W6059">
            <v>0</v>
          </cell>
          <cell r="X6059" t="str">
            <v>0</v>
          </cell>
        </row>
        <row r="6060">
          <cell r="I6060" t="str">
            <v>met</v>
          </cell>
          <cell r="V6060" t="str">
            <v>0</v>
          </cell>
          <cell r="W6060">
            <v>0</v>
          </cell>
          <cell r="X6060" t="str">
            <v>0</v>
          </cell>
        </row>
        <row r="6061">
          <cell r="I6061" t="str">
            <v>met</v>
          </cell>
          <cell r="V6061" t="str">
            <v>0</v>
          </cell>
          <cell r="W6061">
            <v>0</v>
          </cell>
          <cell r="X6061" t="str">
            <v>0</v>
          </cell>
        </row>
        <row r="6062">
          <cell r="I6062" t="str">
            <v>met</v>
          </cell>
          <cell r="V6062" t="str">
            <v>0</v>
          </cell>
          <cell r="W6062">
            <v>0</v>
          </cell>
          <cell r="X6062" t="str">
            <v>0</v>
          </cell>
        </row>
        <row r="6063">
          <cell r="I6063" t="str">
            <v>met</v>
          </cell>
          <cell r="V6063" t="str">
            <v>0</v>
          </cell>
          <cell r="W6063">
            <v>0</v>
          </cell>
          <cell r="X6063" t="str">
            <v>0</v>
          </cell>
        </row>
        <row r="6064">
          <cell r="I6064" t="str">
            <v>met</v>
          </cell>
          <cell r="V6064" t="str">
            <v>0</v>
          </cell>
          <cell r="W6064">
            <v>0</v>
          </cell>
          <cell r="X6064" t="str">
            <v>0</v>
          </cell>
        </row>
        <row r="6065">
          <cell r="I6065" t="str">
            <v>met</v>
          </cell>
          <cell r="V6065" t="str">
            <v>0</v>
          </cell>
          <cell r="W6065">
            <v>0</v>
          </cell>
          <cell r="X6065" t="str">
            <v>0</v>
          </cell>
        </row>
        <row r="6066">
          <cell r="I6066" t="str">
            <v>met</v>
          </cell>
          <cell r="V6066" t="str">
            <v>0</v>
          </cell>
          <cell r="W6066">
            <v>0</v>
          </cell>
          <cell r="X6066" t="str">
            <v>0</v>
          </cell>
        </row>
        <row r="6067">
          <cell r="I6067" t="str">
            <v>met</v>
          </cell>
          <cell r="V6067" t="str">
            <v>0</v>
          </cell>
          <cell r="W6067">
            <v>0</v>
          </cell>
          <cell r="X6067" t="str">
            <v>0</v>
          </cell>
        </row>
        <row r="6068">
          <cell r="I6068" t="str">
            <v>met</v>
          </cell>
          <cell r="V6068" t="str">
            <v>0</v>
          </cell>
          <cell r="W6068">
            <v>0</v>
          </cell>
          <cell r="X6068" t="str">
            <v>0</v>
          </cell>
        </row>
        <row r="6069">
          <cell r="I6069" t="str">
            <v>met</v>
          </cell>
          <cell r="V6069" t="str">
            <v>0</v>
          </cell>
          <cell r="W6069">
            <v>0</v>
          </cell>
          <cell r="X6069" t="str">
            <v>0</v>
          </cell>
        </row>
        <row r="6070">
          <cell r="I6070" t="str">
            <v>met</v>
          </cell>
          <cell r="V6070" t="str">
            <v>0</v>
          </cell>
          <cell r="W6070">
            <v>0</v>
          </cell>
          <cell r="X6070" t="str">
            <v>0</v>
          </cell>
        </row>
        <row r="6071">
          <cell r="I6071" t="str">
            <v>met</v>
          </cell>
          <cell r="V6071" t="str">
            <v>0</v>
          </cell>
          <cell r="W6071">
            <v>0</v>
          </cell>
          <cell r="X6071" t="str">
            <v>0</v>
          </cell>
        </row>
        <row r="6072">
          <cell r="I6072" t="str">
            <v>sim</v>
          </cell>
          <cell r="V6072" t="str">
            <v>not neg pair</v>
          </cell>
          <cell r="W6072">
            <v>0</v>
          </cell>
          <cell r="X6072" t="str">
            <v>0</v>
          </cell>
        </row>
        <row r="6073">
          <cell r="I6073" t="str">
            <v>sim</v>
          </cell>
          <cell r="V6073" t="str">
            <v>not neg pair</v>
          </cell>
          <cell r="W6073">
            <v>0</v>
          </cell>
          <cell r="X6073" t="str">
            <v>0</v>
          </cell>
        </row>
        <row r="6074">
          <cell r="I6074" t="str">
            <v>sim</v>
          </cell>
          <cell r="V6074" t="str">
            <v>not neg pair</v>
          </cell>
          <cell r="W6074">
            <v>0</v>
          </cell>
          <cell r="X6074" t="str">
            <v>0</v>
          </cell>
        </row>
        <row r="6075">
          <cell r="I6075" t="str">
            <v>sim</v>
          </cell>
          <cell r="V6075" t="str">
            <v>not neg pair</v>
          </cell>
          <cell r="W6075">
            <v>0</v>
          </cell>
          <cell r="X6075" t="str">
            <v>0</v>
          </cell>
        </row>
        <row r="6076">
          <cell r="I6076" t="str">
            <v>sim</v>
          </cell>
          <cell r="V6076" t="str">
            <v>not</v>
          </cell>
          <cell r="W6076">
            <v>1</v>
          </cell>
          <cell r="X6076" t="str">
            <v>intens</v>
          </cell>
        </row>
        <row r="6077">
          <cell r="I6077" t="str">
            <v>sim</v>
          </cell>
          <cell r="V6077" t="str">
            <v>not</v>
          </cell>
          <cell r="W6077">
            <v>1</v>
          </cell>
          <cell r="X6077" t="str">
            <v>neg</v>
          </cell>
        </row>
        <row r="6078">
          <cell r="I6078" t="str">
            <v>sim</v>
          </cell>
          <cell r="V6078" t="str">
            <v>not</v>
          </cell>
          <cell r="W6078">
            <v>1</v>
          </cell>
          <cell r="X6078" t="str">
            <v>intens</v>
          </cell>
        </row>
        <row r="6079">
          <cell r="I6079" t="str">
            <v>sim</v>
          </cell>
          <cell r="V6079" t="str">
            <v>not</v>
          </cell>
          <cell r="W6079">
            <v>1</v>
          </cell>
          <cell r="X6079" t="str">
            <v>neg</v>
          </cell>
        </row>
        <row r="6080">
          <cell r="I6080" t="str">
            <v>sim</v>
          </cell>
          <cell r="V6080" t="str">
            <v>not</v>
          </cell>
          <cell r="W6080">
            <v>1</v>
          </cell>
          <cell r="X6080" t="str">
            <v>intens</v>
          </cell>
        </row>
        <row r="6081">
          <cell r="I6081" t="str">
            <v>sim</v>
          </cell>
          <cell r="V6081" t="str">
            <v>not</v>
          </cell>
          <cell r="W6081">
            <v>1</v>
          </cell>
          <cell r="X6081" t="str">
            <v>neg</v>
          </cell>
        </row>
        <row r="6082">
          <cell r="I6082" t="str">
            <v>sim</v>
          </cell>
          <cell r="V6082" t="str">
            <v>not neg pair</v>
          </cell>
          <cell r="W6082">
            <v>0</v>
          </cell>
          <cell r="X6082" t="str">
            <v>0</v>
          </cell>
        </row>
        <row r="6083">
          <cell r="I6083" t="str">
            <v>sim</v>
          </cell>
          <cell r="V6083" t="str">
            <v>not neg pair</v>
          </cell>
          <cell r="W6083">
            <v>0</v>
          </cell>
          <cell r="X6083" t="str">
            <v>0</v>
          </cell>
        </row>
        <row r="6084">
          <cell r="I6084" t="str">
            <v>sim</v>
          </cell>
          <cell r="V6084" t="str">
            <v>not</v>
          </cell>
          <cell r="W6084">
            <v>1</v>
          </cell>
          <cell r="X6084" t="str">
            <v>neg</v>
          </cell>
        </row>
        <row r="6085">
          <cell r="I6085" t="str">
            <v>sim</v>
          </cell>
          <cell r="V6085" t="str">
            <v>not</v>
          </cell>
          <cell r="W6085">
            <v>1</v>
          </cell>
          <cell r="X6085" t="str">
            <v>intens</v>
          </cell>
        </row>
        <row r="6086">
          <cell r="I6086" t="str">
            <v>met</v>
          </cell>
          <cell r="V6086" t="str">
            <v>0</v>
          </cell>
          <cell r="W6086">
            <v>0</v>
          </cell>
          <cell r="X6086" t="str">
            <v>0</v>
          </cell>
        </row>
        <row r="6087">
          <cell r="I6087" t="str">
            <v>met</v>
          </cell>
          <cell r="V6087" t="str">
            <v>0</v>
          </cell>
          <cell r="W6087">
            <v>0</v>
          </cell>
          <cell r="X6087" t="str">
            <v>0</v>
          </cell>
        </row>
        <row r="6088">
          <cell r="I6088" t="str">
            <v>met</v>
          </cell>
          <cell r="V6088" t="str">
            <v>0</v>
          </cell>
          <cell r="W6088">
            <v>0</v>
          </cell>
          <cell r="X6088" t="str">
            <v>0</v>
          </cell>
        </row>
        <row r="6089">
          <cell r="I6089" t="str">
            <v>met</v>
          </cell>
          <cell r="V6089" t="str">
            <v>0</v>
          </cell>
          <cell r="W6089">
            <v>0</v>
          </cell>
          <cell r="X6089" t="str">
            <v>0</v>
          </cell>
        </row>
        <row r="6090">
          <cell r="I6090" t="str">
            <v>sim</v>
          </cell>
          <cell r="V6090" t="str">
            <v>not neg pair</v>
          </cell>
          <cell r="W6090">
            <v>0</v>
          </cell>
          <cell r="X6090" t="str">
            <v>0</v>
          </cell>
        </row>
        <row r="6091">
          <cell r="I6091" t="str">
            <v>sim</v>
          </cell>
          <cell r="V6091" t="str">
            <v>not neg pair</v>
          </cell>
          <cell r="W6091">
            <v>0</v>
          </cell>
          <cell r="X6091" t="str">
            <v>0</v>
          </cell>
        </row>
        <row r="6092">
          <cell r="I6092" t="str">
            <v>sim</v>
          </cell>
          <cell r="V6092" t="str">
            <v>antonym</v>
          </cell>
          <cell r="W6092">
            <v>1</v>
          </cell>
          <cell r="X6092" t="str">
            <v>intens</v>
          </cell>
        </row>
        <row r="6093">
          <cell r="I6093" t="str">
            <v>sim</v>
          </cell>
          <cell r="V6093" t="str">
            <v>antonym</v>
          </cell>
          <cell r="W6093">
            <v>1</v>
          </cell>
          <cell r="X6093" t="str">
            <v>neg</v>
          </cell>
        </row>
        <row r="6094">
          <cell r="I6094" t="str">
            <v>sim</v>
          </cell>
          <cell r="V6094" t="str">
            <v>antonym</v>
          </cell>
          <cell r="W6094">
            <v>1</v>
          </cell>
          <cell r="X6094" t="str">
            <v>intens</v>
          </cell>
        </row>
        <row r="6095">
          <cell r="I6095" t="str">
            <v>sim</v>
          </cell>
          <cell r="V6095" t="str">
            <v>antonym</v>
          </cell>
          <cell r="W6095">
            <v>1</v>
          </cell>
          <cell r="X6095" t="str">
            <v>neg</v>
          </cell>
        </row>
        <row r="6096">
          <cell r="I6096" t="str">
            <v>sim</v>
          </cell>
          <cell r="V6096" t="str">
            <v>not neg pair</v>
          </cell>
          <cell r="W6096">
            <v>0</v>
          </cell>
          <cell r="X6096" t="str">
            <v>0</v>
          </cell>
        </row>
        <row r="6097">
          <cell r="I6097" t="str">
            <v>sim</v>
          </cell>
          <cell r="V6097" t="str">
            <v>not neg pair</v>
          </cell>
          <cell r="W6097">
            <v>0</v>
          </cell>
          <cell r="X6097" t="str">
            <v>0</v>
          </cell>
        </row>
        <row r="6098">
          <cell r="I6098" t="str">
            <v>met</v>
          </cell>
          <cell r="V6098" t="str">
            <v>0</v>
          </cell>
          <cell r="W6098">
            <v>0</v>
          </cell>
          <cell r="X6098" t="str">
            <v>0</v>
          </cell>
        </row>
        <row r="6099">
          <cell r="I6099" t="str">
            <v>met</v>
          </cell>
          <cell r="V6099" t="str">
            <v>0</v>
          </cell>
          <cell r="W6099">
            <v>0</v>
          </cell>
          <cell r="X6099" t="str">
            <v>0</v>
          </cell>
        </row>
        <row r="6100">
          <cell r="I6100" t="str">
            <v>sim</v>
          </cell>
          <cell r="V6100" t="str">
            <v>not neg pair</v>
          </cell>
          <cell r="W6100">
            <v>0</v>
          </cell>
          <cell r="X6100" t="str">
            <v>0</v>
          </cell>
        </row>
        <row r="6101">
          <cell r="I6101" t="str">
            <v>sim</v>
          </cell>
          <cell r="V6101" t="str">
            <v>not neg pair</v>
          </cell>
          <cell r="W6101">
            <v>0</v>
          </cell>
          <cell r="X6101" t="str">
            <v>0</v>
          </cell>
        </row>
        <row r="6102">
          <cell r="I6102" t="str">
            <v>sim</v>
          </cell>
          <cell r="V6102" t="str">
            <v>not neg pair</v>
          </cell>
          <cell r="W6102">
            <v>0</v>
          </cell>
          <cell r="X6102" t="str">
            <v>0</v>
          </cell>
        </row>
        <row r="6103">
          <cell r="I6103" t="str">
            <v>sim</v>
          </cell>
          <cell r="V6103" t="str">
            <v>not neg pair</v>
          </cell>
          <cell r="W6103">
            <v>0</v>
          </cell>
          <cell r="X6103" t="str">
            <v>0</v>
          </cell>
        </row>
        <row r="6104">
          <cell r="I6104" t="str">
            <v>sim</v>
          </cell>
          <cell r="V6104" t="str">
            <v>not</v>
          </cell>
          <cell r="W6104">
            <v>1</v>
          </cell>
          <cell r="X6104" t="str">
            <v>neg</v>
          </cell>
        </row>
        <row r="6105">
          <cell r="I6105" t="str">
            <v>sim</v>
          </cell>
          <cell r="V6105" t="str">
            <v>not</v>
          </cell>
          <cell r="W6105">
            <v>1</v>
          </cell>
          <cell r="X6105" t="str">
            <v>intens</v>
          </cell>
        </row>
        <row r="6106">
          <cell r="I6106" t="str">
            <v>sim</v>
          </cell>
          <cell r="V6106" t="str">
            <v>not neg pair</v>
          </cell>
          <cell r="W6106">
            <v>0</v>
          </cell>
          <cell r="X6106" t="str">
            <v>0</v>
          </cell>
        </row>
        <row r="6107">
          <cell r="I6107" t="str">
            <v>sim</v>
          </cell>
          <cell r="V6107" t="str">
            <v>not neg pair</v>
          </cell>
          <cell r="W6107">
            <v>0</v>
          </cell>
          <cell r="X6107" t="str">
            <v>0</v>
          </cell>
        </row>
        <row r="6108">
          <cell r="I6108" t="str">
            <v>met</v>
          </cell>
          <cell r="V6108" t="str">
            <v>0</v>
          </cell>
          <cell r="W6108">
            <v>0</v>
          </cell>
          <cell r="X6108" t="str">
            <v>0</v>
          </cell>
        </row>
        <row r="6109">
          <cell r="I6109" t="str">
            <v>met</v>
          </cell>
          <cell r="V6109" t="str">
            <v>0</v>
          </cell>
          <cell r="W6109">
            <v>0</v>
          </cell>
          <cell r="X6109" t="str">
            <v>0</v>
          </cell>
        </row>
        <row r="6110">
          <cell r="I6110" t="str">
            <v>met</v>
          </cell>
          <cell r="V6110" t="str">
            <v>0</v>
          </cell>
          <cell r="W6110">
            <v>0</v>
          </cell>
          <cell r="X6110" t="str">
            <v>0</v>
          </cell>
        </row>
        <row r="6111">
          <cell r="I6111" t="str">
            <v>met</v>
          </cell>
          <cell r="V6111" t="str">
            <v>0</v>
          </cell>
          <cell r="W6111">
            <v>0</v>
          </cell>
          <cell r="X6111" t="str">
            <v>0</v>
          </cell>
        </row>
        <row r="6112">
          <cell r="I6112" t="str">
            <v>met</v>
          </cell>
          <cell r="V6112" t="str">
            <v>0</v>
          </cell>
          <cell r="W6112">
            <v>0</v>
          </cell>
          <cell r="X6112" t="str">
            <v>0</v>
          </cell>
        </row>
        <row r="6113">
          <cell r="I6113" t="str">
            <v>met</v>
          </cell>
          <cell r="V6113" t="str">
            <v>0</v>
          </cell>
          <cell r="W6113">
            <v>0</v>
          </cell>
          <cell r="X6113" t="str">
            <v>0</v>
          </cell>
        </row>
        <row r="6114">
          <cell r="I6114" t="str">
            <v>sim</v>
          </cell>
          <cell r="V6114" t="str">
            <v>not neg pair</v>
          </cell>
          <cell r="W6114">
            <v>0</v>
          </cell>
          <cell r="X6114" t="str">
            <v>0</v>
          </cell>
        </row>
        <row r="6115">
          <cell r="I6115" t="str">
            <v>sim</v>
          </cell>
          <cell r="V6115" t="str">
            <v>not neg pair</v>
          </cell>
          <cell r="W6115">
            <v>0</v>
          </cell>
          <cell r="X6115" t="str">
            <v>0</v>
          </cell>
        </row>
        <row r="6116">
          <cell r="I6116" t="str">
            <v>met</v>
          </cell>
          <cell r="V6116" t="str">
            <v>0</v>
          </cell>
          <cell r="W6116">
            <v>0</v>
          </cell>
          <cell r="X6116" t="str">
            <v>0</v>
          </cell>
        </row>
        <row r="6117">
          <cell r="I6117" t="str">
            <v>met</v>
          </cell>
          <cell r="V6117" t="str">
            <v>0</v>
          </cell>
          <cell r="W6117">
            <v>0</v>
          </cell>
          <cell r="X6117" t="str">
            <v>0</v>
          </cell>
        </row>
        <row r="6118">
          <cell r="I6118" t="str">
            <v>sim</v>
          </cell>
          <cell r="V6118" t="str">
            <v>not neg pair</v>
          </cell>
          <cell r="W6118">
            <v>0</v>
          </cell>
          <cell r="X6118" t="str">
            <v>0</v>
          </cell>
        </row>
        <row r="6119">
          <cell r="I6119" t="str">
            <v>sim</v>
          </cell>
          <cell r="V6119" t="str">
            <v>not neg pair</v>
          </cell>
          <cell r="W6119">
            <v>0</v>
          </cell>
          <cell r="X6119" t="str">
            <v>0</v>
          </cell>
        </row>
        <row r="6120">
          <cell r="I6120" t="str">
            <v>sim</v>
          </cell>
          <cell r="V6120" t="str">
            <v>antonym</v>
          </cell>
          <cell r="W6120">
            <v>1</v>
          </cell>
          <cell r="X6120" t="str">
            <v>intens</v>
          </cell>
        </row>
        <row r="6121">
          <cell r="I6121" t="str">
            <v>sim</v>
          </cell>
          <cell r="V6121" t="str">
            <v>antonym</v>
          </cell>
          <cell r="W6121">
            <v>1</v>
          </cell>
          <cell r="X6121" t="str">
            <v>neg</v>
          </cell>
        </row>
        <row r="6122">
          <cell r="I6122" t="str">
            <v>sim</v>
          </cell>
          <cell r="V6122" t="str">
            <v>antonym</v>
          </cell>
          <cell r="W6122">
            <v>1</v>
          </cell>
          <cell r="X6122" t="str">
            <v>neg</v>
          </cell>
        </row>
        <row r="6123">
          <cell r="I6123" t="str">
            <v>sim</v>
          </cell>
          <cell r="V6123" t="str">
            <v>antonym</v>
          </cell>
          <cell r="W6123">
            <v>1</v>
          </cell>
          <cell r="X6123" t="str">
            <v>intens</v>
          </cell>
        </row>
        <row r="6124">
          <cell r="I6124" t="str">
            <v>sim</v>
          </cell>
          <cell r="V6124" t="str">
            <v>not neg pair</v>
          </cell>
          <cell r="W6124">
            <v>0</v>
          </cell>
          <cell r="X6124" t="str">
            <v>0</v>
          </cell>
        </row>
        <row r="6125">
          <cell r="I6125" t="str">
            <v>sim</v>
          </cell>
          <cell r="V6125" t="str">
            <v>not neg pair</v>
          </cell>
          <cell r="W6125">
            <v>0</v>
          </cell>
          <cell r="X6125" t="str">
            <v>0</v>
          </cell>
        </row>
        <row r="6126">
          <cell r="I6126" t="str">
            <v>sim</v>
          </cell>
          <cell r="V6126" t="str">
            <v>not neg pair</v>
          </cell>
          <cell r="W6126">
            <v>0</v>
          </cell>
          <cell r="X6126" t="str">
            <v>0</v>
          </cell>
        </row>
        <row r="6127">
          <cell r="I6127" t="str">
            <v>sim</v>
          </cell>
          <cell r="V6127" t="str">
            <v>not neg pair</v>
          </cell>
          <cell r="W6127">
            <v>0</v>
          </cell>
          <cell r="X6127" t="str">
            <v>0</v>
          </cell>
        </row>
        <row r="6128">
          <cell r="I6128" t="str">
            <v>sim</v>
          </cell>
          <cell r="V6128" t="str">
            <v>not neg pair</v>
          </cell>
          <cell r="W6128">
            <v>0</v>
          </cell>
          <cell r="X6128" t="str">
            <v>0</v>
          </cell>
        </row>
        <row r="6129">
          <cell r="I6129" t="str">
            <v>sim</v>
          </cell>
          <cell r="V6129" t="str">
            <v>not neg pair</v>
          </cell>
          <cell r="W6129">
            <v>0</v>
          </cell>
          <cell r="X6129" t="str">
            <v>0</v>
          </cell>
        </row>
        <row r="6130">
          <cell r="I6130" t="str">
            <v>sim</v>
          </cell>
          <cell r="V6130" t="str">
            <v>0</v>
          </cell>
          <cell r="W6130">
            <v>0</v>
          </cell>
          <cell r="X6130" t="str">
            <v>0</v>
          </cell>
        </row>
        <row r="6131">
          <cell r="I6131" t="str">
            <v>met</v>
          </cell>
          <cell r="V6131" t="str">
            <v>0</v>
          </cell>
          <cell r="W6131">
            <v>0</v>
          </cell>
          <cell r="X6131" t="str">
            <v>0</v>
          </cell>
        </row>
        <row r="6132">
          <cell r="I6132" t="str">
            <v>sim</v>
          </cell>
          <cell r="V6132" t="str">
            <v>not neg pair</v>
          </cell>
          <cell r="W6132">
            <v>0</v>
          </cell>
          <cell r="X6132" t="str">
            <v>0</v>
          </cell>
        </row>
        <row r="6133">
          <cell r="I6133" t="str">
            <v>sim</v>
          </cell>
          <cell r="V6133" t="str">
            <v>not neg pair</v>
          </cell>
          <cell r="W6133">
            <v>0</v>
          </cell>
          <cell r="X6133" t="str">
            <v>0</v>
          </cell>
        </row>
        <row r="6134">
          <cell r="I6134" t="str">
            <v>sim</v>
          </cell>
          <cell r="V6134" t="str">
            <v>not neg pair</v>
          </cell>
          <cell r="W6134">
            <v>0</v>
          </cell>
          <cell r="X6134" t="str">
            <v>0</v>
          </cell>
        </row>
        <row r="6135">
          <cell r="I6135" t="str">
            <v>sim</v>
          </cell>
          <cell r="V6135" t="str">
            <v>not neg pair</v>
          </cell>
          <cell r="W6135">
            <v>0</v>
          </cell>
          <cell r="X6135" t="str">
            <v>0</v>
          </cell>
        </row>
        <row r="6136">
          <cell r="I6136" t="str">
            <v>met</v>
          </cell>
          <cell r="V6136" t="str">
            <v>0</v>
          </cell>
          <cell r="W6136">
            <v>0</v>
          </cell>
          <cell r="X6136" t="str">
            <v>0</v>
          </cell>
        </row>
        <row r="6137">
          <cell r="I6137" t="str">
            <v>met</v>
          </cell>
          <cell r="V6137" t="str">
            <v>0</v>
          </cell>
          <cell r="W6137">
            <v>0</v>
          </cell>
          <cell r="X6137" t="str">
            <v>0</v>
          </cell>
        </row>
        <row r="6138">
          <cell r="I6138" t="str">
            <v>met</v>
          </cell>
          <cell r="V6138" t="str">
            <v>0</v>
          </cell>
          <cell r="W6138">
            <v>0</v>
          </cell>
          <cell r="X6138" t="str">
            <v>0</v>
          </cell>
        </row>
        <row r="6139">
          <cell r="I6139" t="str">
            <v>met</v>
          </cell>
          <cell r="V6139" t="str">
            <v>0</v>
          </cell>
          <cell r="W6139">
            <v>0</v>
          </cell>
          <cell r="X6139" t="str">
            <v>0</v>
          </cell>
        </row>
        <row r="6140">
          <cell r="I6140" t="str">
            <v>met</v>
          </cell>
          <cell r="V6140" t="str">
            <v>0</v>
          </cell>
          <cell r="W6140">
            <v>0</v>
          </cell>
          <cell r="X6140" t="str">
            <v>0</v>
          </cell>
        </row>
        <row r="6141">
          <cell r="I6141" t="str">
            <v>met</v>
          </cell>
          <cell r="V6141" t="str">
            <v>0</v>
          </cell>
          <cell r="W6141">
            <v>0</v>
          </cell>
          <cell r="X6141" t="str">
            <v>0</v>
          </cell>
        </row>
        <row r="6142">
          <cell r="I6142" t="str">
            <v>sim</v>
          </cell>
          <cell r="V6142" t="str">
            <v>not</v>
          </cell>
          <cell r="W6142">
            <v>1</v>
          </cell>
          <cell r="X6142" t="str">
            <v>intens</v>
          </cell>
        </row>
        <row r="6143">
          <cell r="I6143" t="str">
            <v>sim</v>
          </cell>
          <cell r="V6143" t="str">
            <v>not</v>
          </cell>
          <cell r="W6143">
            <v>1</v>
          </cell>
          <cell r="X6143" t="str">
            <v>neg</v>
          </cell>
        </row>
        <row r="6144">
          <cell r="I6144" t="str">
            <v>sim</v>
          </cell>
          <cell r="V6144" t="str">
            <v>not neg pair</v>
          </cell>
          <cell r="W6144">
            <v>0</v>
          </cell>
          <cell r="X6144" t="str">
            <v>0</v>
          </cell>
        </row>
        <row r="6145">
          <cell r="I6145" t="str">
            <v>sim</v>
          </cell>
          <cell r="V6145" t="str">
            <v>not neg pair</v>
          </cell>
          <cell r="W6145">
            <v>0</v>
          </cell>
          <cell r="X6145" t="str">
            <v>0</v>
          </cell>
        </row>
        <row r="6146">
          <cell r="I6146" t="str">
            <v>sim</v>
          </cell>
          <cell r="V6146" t="str">
            <v>not neg pair</v>
          </cell>
          <cell r="W6146">
            <v>0</v>
          </cell>
          <cell r="X6146" t="str">
            <v>0</v>
          </cell>
        </row>
        <row r="6147">
          <cell r="I6147" t="str">
            <v>sim</v>
          </cell>
          <cell r="V6147" t="str">
            <v>not neg pair</v>
          </cell>
          <cell r="W6147">
            <v>0</v>
          </cell>
          <cell r="X6147" t="str">
            <v>0</v>
          </cell>
        </row>
        <row r="6148">
          <cell r="I6148" t="str">
            <v>sim</v>
          </cell>
          <cell r="V6148" t="str">
            <v>not neg pair</v>
          </cell>
          <cell r="W6148">
            <v>0</v>
          </cell>
          <cell r="X6148" t="str">
            <v>0</v>
          </cell>
        </row>
        <row r="6149">
          <cell r="I6149" t="str">
            <v>sim</v>
          </cell>
          <cell r="V6149" t="str">
            <v>not neg pair</v>
          </cell>
          <cell r="W6149">
            <v>0</v>
          </cell>
          <cell r="X6149" t="str">
            <v>0</v>
          </cell>
        </row>
        <row r="6150">
          <cell r="I6150" t="str">
            <v>sim</v>
          </cell>
          <cell r="V6150" t="str">
            <v>antonym</v>
          </cell>
          <cell r="W6150">
            <v>1</v>
          </cell>
          <cell r="X6150" t="str">
            <v>neg</v>
          </cell>
        </row>
        <row r="6151">
          <cell r="I6151" t="str">
            <v>sim</v>
          </cell>
          <cell r="V6151" t="str">
            <v>antonym</v>
          </cell>
          <cell r="W6151">
            <v>1</v>
          </cell>
          <cell r="X6151" t="str">
            <v>intens</v>
          </cell>
        </row>
        <row r="6152">
          <cell r="I6152" t="str">
            <v>sim</v>
          </cell>
          <cell r="V6152" t="str">
            <v>not</v>
          </cell>
          <cell r="W6152">
            <v>1</v>
          </cell>
          <cell r="X6152" t="str">
            <v>neg</v>
          </cell>
        </row>
        <row r="6153">
          <cell r="I6153" t="str">
            <v>sim</v>
          </cell>
          <cell r="V6153" t="str">
            <v>not</v>
          </cell>
          <cell r="W6153">
            <v>1</v>
          </cell>
          <cell r="X6153" t="str">
            <v>intens</v>
          </cell>
        </row>
        <row r="6154">
          <cell r="I6154" t="str">
            <v>sim</v>
          </cell>
          <cell r="V6154" t="str">
            <v>not</v>
          </cell>
          <cell r="W6154">
            <v>1</v>
          </cell>
          <cell r="X6154" t="str">
            <v>neg</v>
          </cell>
        </row>
        <row r="6155">
          <cell r="I6155" t="str">
            <v>sim</v>
          </cell>
          <cell r="V6155" t="str">
            <v>not</v>
          </cell>
          <cell r="W6155">
            <v>1</v>
          </cell>
          <cell r="X6155" t="str">
            <v>intens</v>
          </cell>
        </row>
        <row r="6156">
          <cell r="I6156" t="str">
            <v>met</v>
          </cell>
          <cell r="V6156" t="str">
            <v>0</v>
          </cell>
          <cell r="W6156">
            <v>0</v>
          </cell>
          <cell r="X6156" t="str">
            <v>0</v>
          </cell>
        </row>
        <row r="6157">
          <cell r="I6157" t="str">
            <v>met</v>
          </cell>
          <cell r="V6157" t="str">
            <v>0</v>
          </cell>
          <cell r="W6157">
            <v>0</v>
          </cell>
          <cell r="X6157" t="str">
            <v>0</v>
          </cell>
        </row>
        <row r="6158">
          <cell r="I6158" t="str">
            <v>met</v>
          </cell>
          <cell r="V6158" t="str">
            <v>0</v>
          </cell>
          <cell r="W6158">
            <v>0</v>
          </cell>
          <cell r="X6158" t="str">
            <v>0</v>
          </cell>
        </row>
        <row r="6159">
          <cell r="I6159" t="str">
            <v>met</v>
          </cell>
          <cell r="V6159" t="str">
            <v>0</v>
          </cell>
          <cell r="W6159">
            <v>0</v>
          </cell>
          <cell r="X6159" t="str">
            <v>0</v>
          </cell>
        </row>
        <row r="6160">
          <cell r="I6160" t="str">
            <v>met</v>
          </cell>
          <cell r="V6160" t="str">
            <v>0</v>
          </cell>
          <cell r="W6160">
            <v>0</v>
          </cell>
          <cell r="X6160" t="str">
            <v>0</v>
          </cell>
        </row>
        <row r="6161">
          <cell r="I6161" t="str">
            <v>met</v>
          </cell>
          <cell r="V6161" t="str">
            <v>0</v>
          </cell>
          <cell r="W6161">
            <v>0</v>
          </cell>
          <cell r="X6161" t="str">
            <v>0</v>
          </cell>
        </row>
        <row r="6162">
          <cell r="I6162" t="str">
            <v>met</v>
          </cell>
          <cell r="V6162" t="str">
            <v>0</v>
          </cell>
          <cell r="W6162">
            <v>0</v>
          </cell>
          <cell r="X6162" t="str">
            <v>0</v>
          </cell>
        </row>
        <row r="6163">
          <cell r="I6163" t="str">
            <v>met</v>
          </cell>
          <cell r="V6163" t="str">
            <v>0</v>
          </cell>
          <cell r="W6163">
            <v>0</v>
          </cell>
          <cell r="X6163" t="str">
            <v>0</v>
          </cell>
        </row>
        <row r="6164">
          <cell r="I6164" t="str">
            <v>sim</v>
          </cell>
          <cell r="V6164" t="str">
            <v>not neg pair</v>
          </cell>
          <cell r="W6164">
            <v>0</v>
          </cell>
          <cell r="X6164" t="str">
            <v>0</v>
          </cell>
        </row>
        <row r="6165">
          <cell r="I6165" t="str">
            <v>sim</v>
          </cell>
          <cell r="V6165" t="str">
            <v>not neg pair</v>
          </cell>
          <cell r="W6165">
            <v>0</v>
          </cell>
          <cell r="X6165" t="str">
            <v>0</v>
          </cell>
        </row>
        <row r="6166">
          <cell r="I6166" t="str">
            <v>sim</v>
          </cell>
          <cell r="V6166" t="str">
            <v>not neg pair</v>
          </cell>
          <cell r="W6166">
            <v>0</v>
          </cell>
          <cell r="X6166" t="str">
            <v>0</v>
          </cell>
        </row>
        <row r="6167">
          <cell r="I6167" t="str">
            <v>sim</v>
          </cell>
          <cell r="V6167" t="str">
            <v>not neg pair</v>
          </cell>
          <cell r="W6167">
            <v>0</v>
          </cell>
          <cell r="X6167" t="str">
            <v>0</v>
          </cell>
        </row>
        <row r="6168">
          <cell r="I6168" t="str">
            <v>sim</v>
          </cell>
          <cell r="V6168" t="str">
            <v>not neg pair</v>
          </cell>
          <cell r="W6168">
            <v>0</v>
          </cell>
          <cell r="X6168" t="str">
            <v>0</v>
          </cell>
        </row>
        <row r="6169">
          <cell r="I6169" t="str">
            <v>sim</v>
          </cell>
          <cell r="V6169" t="str">
            <v>not neg pair</v>
          </cell>
          <cell r="W6169">
            <v>0</v>
          </cell>
          <cell r="X6169" t="str">
            <v>0</v>
          </cell>
        </row>
        <row r="6170">
          <cell r="I6170" t="str">
            <v>sim</v>
          </cell>
          <cell r="V6170" t="str">
            <v>not</v>
          </cell>
          <cell r="W6170">
            <v>1</v>
          </cell>
          <cell r="X6170" t="str">
            <v>neg</v>
          </cell>
        </row>
        <row r="6171">
          <cell r="I6171" t="str">
            <v>sim</v>
          </cell>
          <cell r="V6171" t="str">
            <v>not</v>
          </cell>
          <cell r="W6171">
            <v>1</v>
          </cell>
          <cell r="X6171" t="str">
            <v>intens</v>
          </cell>
        </row>
        <row r="6172">
          <cell r="I6172" t="str">
            <v>met</v>
          </cell>
          <cell r="V6172" t="str">
            <v>0</v>
          </cell>
          <cell r="W6172">
            <v>0</v>
          </cell>
          <cell r="X6172" t="str">
            <v>0</v>
          </cell>
        </row>
        <row r="6173">
          <cell r="I6173" t="str">
            <v>met</v>
          </cell>
          <cell r="V6173" t="str">
            <v>0</v>
          </cell>
          <cell r="W6173">
            <v>0</v>
          </cell>
          <cell r="X6173" t="str">
            <v>0</v>
          </cell>
        </row>
        <row r="6174">
          <cell r="I6174" t="str">
            <v>sim</v>
          </cell>
          <cell r="V6174" t="str">
            <v>antonym</v>
          </cell>
          <cell r="W6174">
            <v>1</v>
          </cell>
          <cell r="X6174" t="str">
            <v>neg</v>
          </cell>
        </row>
        <row r="6175">
          <cell r="I6175" t="str">
            <v>sim</v>
          </cell>
          <cell r="V6175" t="str">
            <v>antonym</v>
          </cell>
          <cell r="W6175">
            <v>1</v>
          </cell>
          <cell r="X6175" t="str">
            <v>intens</v>
          </cell>
        </row>
        <row r="6176">
          <cell r="I6176" t="str">
            <v>sim</v>
          </cell>
          <cell r="V6176" t="str">
            <v>antonym</v>
          </cell>
          <cell r="W6176">
            <v>1</v>
          </cell>
          <cell r="X6176" t="str">
            <v>neg</v>
          </cell>
        </row>
        <row r="6177">
          <cell r="I6177" t="str">
            <v>sim</v>
          </cell>
          <cell r="V6177" t="str">
            <v>antonym</v>
          </cell>
          <cell r="W6177">
            <v>1</v>
          </cell>
          <cell r="X6177" t="str">
            <v>intens</v>
          </cell>
        </row>
        <row r="6178">
          <cell r="I6178" t="str">
            <v>sim</v>
          </cell>
          <cell r="V6178" t="str">
            <v>antonym</v>
          </cell>
          <cell r="W6178">
            <v>1</v>
          </cell>
          <cell r="X6178" t="str">
            <v>intens</v>
          </cell>
        </row>
        <row r="6179">
          <cell r="I6179" t="str">
            <v>sim</v>
          </cell>
          <cell r="V6179" t="str">
            <v>antonym</v>
          </cell>
          <cell r="W6179">
            <v>1</v>
          </cell>
          <cell r="X6179" t="str">
            <v>neg</v>
          </cell>
        </row>
        <row r="6180">
          <cell r="I6180" t="str">
            <v>sim</v>
          </cell>
          <cell r="V6180" t="str">
            <v>not neg pair</v>
          </cell>
          <cell r="W6180">
            <v>0</v>
          </cell>
          <cell r="X6180" t="str">
            <v>0</v>
          </cell>
        </row>
        <row r="6181">
          <cell r="I6181" t="str">
            <v>sim</v>
          </cell>
          <cell r="V6181" t="str">
            <v>not neg pair</v>
          </cell>
          <cell r="W6181">
            <v>0</v>
          </cell>
          <cell r="X6181" t="str">
            <v>0</v>
          </cell>
        </row>
        <row r="6182">
          <cell r="I6182" t="str">
            <v>sim</v>
          </cell>
          <cell r="V6182" t="str">
            <v>antonym</v>
          </cell>
          <cell r="W6182">
            <v>1</v>
          </cell>
          <cell r="X6182" t="str">
            <v>intens</v>
          </cell>
        </row>
        <row r="6183">
          <cell r="I6183" t="str">
            <v>sim</v>
          </cell>
          <cell r="V6183" t="str">
            <v>antonym</v>
          </cell>
          <cell r="W6183">
            <v>1</v>
          </cell>
          <cell r="X6183" t="str">
            <v>neg</v>
          </cell>
        </row>
        <row r="6184">
          <cell r="I6184" t="str">
            <v>sim</v>
          </cell>
          <cell r="V6184" t="str">
            <v>not neg pair</v>
          </cell>
          <cell r="W6184">
            <v>0</v>
          </cell>
          <cell r="X6184" t="str">
            <v>0</v>
          </cell>
        </row>
        <row r="6185">
          <cell r="I6185" t="str">
            <v>sim</v>
          </cell>
          <cell r="V6185" t="str">
            <v>not neg pair</v>
          </cell>
          <cell r="W6185">
            <v>0</v>
          </cell>
          <cell r="X6185" t="str">
            <v>0</v>
          </cell>
        </row>
        <row r="6186">
          <cell r="I6186" t="str">
            <v>met</v>
          </cell>
          <cell r="V6186" t="str">
            <v>0</v>
          </cell>
          <cell r="W6186">
            <v>0</v>
          </cell>
          <cell r="X6186" t="str">
            <v>0</v>
          </cell>
        </row>
        <row r="6187">
          <cell r="I6187" t="str">
            <v>met</v>
          </cell>
          <cell r="V6187" t="str">
            <v>0</v>
          </cell>
          <cell r="W6187">
            <v>0</v>
          </cell>
          <cell r="X6187" t="str">
            <v>0</v>
          </cell>
        </row>
        <row r="6188">
          <cell r="I6188" t="str">
            <v>met</v>
          </cell>
          <cell r="V6188" t="str">
            <v>0</v>
          </cell>
          <cell r="W6188">
            <v>0</v>
          </cell>
          <cell r="X6188" t="str">
            <v>0</v>
          </cell>
        </row>
        <row r="6189">
          <cell r="I6189" t="str">
            <v>met</v>
          </cell>
          <cell r="V6189" t="str">
            <v>0</v>
          </cell>
          <cell r="W6189">
            <v>0</v>
          </cell>
          <cell r="X6189" t="str">
            <v>0</v>
          </cell>
        </row>
        <row r="6190">
          <cell r="I6190" t="str">
            <v>met</v>
          </cell>
          <cell r="V6190" t="str">
            <v>0</v>
          </cell>
          <cell r="W6190">
            <v>0</v>
          </cell>
          <cell r="X6190" t="str">
            <v>0</v>
          </cell>
        </row>
        <row r="6191">
          <cell r="I6191" t="str">
            <v>met</v>
          </cell>
          <cell r="V6191" t="str">
            <v>0</v>
          </cell>
          <cell r="W6191">
            <v>0</v>
          </cell>
          <cell r="X6191" t="str">
            <v>0</v>
          </cell>
        </row>
        <row r="6192">
          <cell r="I6192" t="str">
            <v>met</v>
          </cell>
          <cell r="V6192" t="str">
            <v>0</v>
          </cell>
          <cell r="W6192">
            <v>0</v>
          </cell>
          <cell r="X6192" t="str">
            <v>0</v>
          </cell>
        </row>
        <row r="6193">
          <cell r="I6193" t="str">
            <v>met</v>
          </cell>
          <cell r="V6193" t="str">
            <v>0</v>
          </cell>
          <cell r="W6193">
            <v>0</v>
          </cell>
          <cell r="X6193" t="str">
            <v>0</v>
          </cell>
        </row>
        <row r="6194">
          <cell r="I6194" t="str">
            <v>sim</v>
          </cell>
          <cell r="V6194" t="str">
            <v>not neg pair</v>
          </cell>
          <cell r="W6194">
            <v>0</v>
          </cell>
          <cell r="X6194" t="str">
            <v>0</v>
          </cell>
        </row>
        <row r="6195">
          <cell r="I6195" t="str">
            <v>sim</v>
          </cell>
          <cell r="V6195" t="str">
            <v>not neg pair</v>
          </cell>
          <cell r="W6195">
            <v>0</v>
          </cell>
          <cell r="X6195" t="str">
            <v>0</v>
          </cell>
        </row>
        <row r="6196">
          <cell r="I6196" t="str">
            <v>sim</v>
          </cell>
          <cell r="V6196" t="str">
            <v>not</v>
          </cell>
          <cell r="W6196">
            <v>1</v>
          </cell>
          <cell r="X6196" t="str">
            <v>intens</v>
          </cell>
        </row>
        <row r="6197">
          <cell r="I6197" t="str">
            <v>sim</v>
          </cell>
          <cell r="V6197" t="str">
            <v>not</v>
          </cell>
          <cell r="W6197">
            <v>1</v>
          </cell>
          <cell r="X6197" t="str">
            <v>neg</v>
          </cell>
        </row>
        <row r="6198">
          <cell r="I6198" t="str">
            <v>sim</v>
          </cell>
          <cell r="V6198" t="str">
            <v>not neg pair</v>
          </cell>
          <cell r="W6198">
            <v>0</v>
          </cell>
          <cell r="X6198" t="str">
            <v>0</v>
          </cell>
        </row>
        <row r="6199">
          <cell r="I6199" t="str">
            <v>sim</v>
          </cell>
          <cell r="V6199" t="str">
            <v>not neg pair</v>
          </cell>
          <cell r="W6199">
            <v>0</v>
          </cell>
          <cell r="X6199" t="str">
            <v>0</v>
          </cell>
        </row>
        <row r="6200">
          <cell r="I6200" t="str">
            <v>sim</v>
          </cell>
          <cell r="V6200" t="str">
            <v>not neg pair</v>
          </cell>
          <cell r="W6200">
            <v>0</v>
          </cell>
          <cell r="X6200" t="str">
            <v>0</v>
          </cell>
        </row>
        <row r="6201">
          <cell r="I6201" t="str">
            <v>sim</v>
          </cell>
          <cell r="V6201" t="str">
            <v>not neg pair</v>
          </cell>
          <cell r="W6201">
            <v>0</v>
          </cell>
          <cell r="X6201" t="str">
            <v>0</v>
          </cell>
        </row>
        <row r="6202">
          <cell r="I6202" t="str">
            <v>met</v>
          </cell>
          <cell r="V6202" t="str">
            <v>0</v>
          </cell>
          <cell r="W6202">
            <v>0</v>
          </cell>
          <cell r="X6202" t="str">
            <v>0</v>
          </cell>
        </row>
        <row r="6203">
          <cell r="I6203" t="str">
            <v>met</v>
          </cell>
          <cell r="V6203" t="str">
            <v>0</v>
          </cell>
          <cell r="W6203">
            <v>0</v>
          </cell>
          <cell r="X6203" t="str">
            <v>0</v>
          </cell>
        </row>
        <row r="6204">
          <cell r="I6204" t="str">
            <v>sim</v>
          </cell>
          <cell r="V6204" t="str">
            <v>not neg pair</v>
          </cell>
          <cell r="W6204">
            <v>0</v>
          </cell>
          <cell r="X6204" t="str">
            <v>0</v>
          </cell>
        </row>
        <row r="6205">
          <cell r="I6205" t="str">
            <v>sim</v>
          </cell>
          <cell r="V6205" t="str">
            <v>not neg pair</v>
          </cell>
          <cell r="W6205">
            <v>0</v>
          </cell>
          <cell r="X6205" t="str">
            <v>0</v>
          </cell>
        </row>
        <row r="6206">
          <cell r="I6206" t="str">
            <v>sim</v>
          </cell>
          <cell r="V6206" t="str">
            <v>not neg pair</v>
          </cell>
          <cell r="W6206">
            <v>0</v>
          </cell>
          <cell r="X6206" t="str">
            <v>0</v>
          </cell>
        </row>
        <row r="6207">
          <cell r="I6207" t="str">
            <v>sim</v>
          </cell>
          <cell r="V6207" t="str">
            <v>not neg pair</v>
          </cell>
          <cell r="W6207">
            <v>0</v>
          </cell>
          <cell r="X6207" t="str">
            <v>0</v>
          </cell>
        </row>
        <row r="6208">
          <cell r="I6208" t="str">
            <v>sim</v>
          </cell>
          <cell r="V6208" t="str">
            <v>antonym</v>
          </cell>
          <cell r="W6208">
            <v>1</v>
          </cell>
          <cell r="X6208" t="str">
            <v>intens</v>
          </cell>
        </row>
        <row r="6209">
          <cell r="I6209" t="str">
            <v>sim</v>
          </cell>
          <cell r="V6209" t="str">
            <v>antonym</v>
          </cell>
          <cell r="W6209">
            <v>1</v>
          </cell>
          <cell r="X6209" t="str">
            <v>neg</v>
          </cell>
        </row>
        <row r="6210">
          <cell r="I6210" t="str">
            <v>sim</v>
          </cell>
          <cell r="V6210" t="str">
            <v>not neg pair</v>
          </cell>
          <cell r="W6210">
            <v>0</v>
          </cell>
          <cell r="X6210" t="str">
            <v>0</v>
          </cell>
        </row>
        <row r="6211">
          <cell r="I6211" t="str">
            <v>sim</v>
          </cell>
          <cell r="V6211" t="str">
            <v>not neg pair</v>
          </cell>
          <cell r="W6211">
            <v>0</v>
          </cell>
          <cell r="X6211" t="str">
            <v>0</v>
          </cell>
        </row>
        <row r="6212">
          <cell r="I6212" t="str">
            <v>sim</v>
          </cell>
          <cell r="V6212" t="str">
            <v>antonym</v>
          </cell>
          <cell r="W6212">
            <v>1</v>
          </cell>
          <cell r="X6212" t="str">
            <v>neg</v>
          </cell>
        </row>
        <row r="6213">
          <cell r="I6213" t="str">
            <v>sim</v>
          </cell>
          <cell r="V6213" t="str">
            <v>antonym</v>
          </cell>
          <cell r="W6213">
            <v>1</v>
          </cell>
          <cell r="X6213" t="str">
            <v>intens</v>
          </cell>
        </row>
        <row r="6214">
          <cell r="I6214" t="str">
            <v>sim</v>
          </cell>
          <cell r="V6214" t="str">
            <v>not</v>
          </cell>
          <cell r="W6214">
            <v>1</v>
          </cell>
          <cell r="X6214" t="str">
            <v>intens</v>
          </cell>
        </row>
        <row r="6215">
          <cell r="I6215" t="str">
            <v>sim</v>
          </cell>
          <cell r="V6215" t="str">
            <v>not</v>
          </cell>
          <cell r="W6215">
            <v>1</v>
          </cell>
          <cell r="X6215" t="str">
            <v>neg</v>
          </cell>
        </row>
        <row r="6216">
          <cell r="I6216" t="str">
            <v>sim</v>
          </cell>
          <cell r="V6216" t="str">
            <v>not</v>
          </cell>
          <cell r="W6216">
            <v>1</v>
          </cell>
          <cell r="X6216" t="str">
            <v>intens</v>
          </cell>
        </row>
        <row r="6217">
          <cell r="I6217" t="str">
            <v>sim</v>
          </cell>
          <cell r="V6217" t="str">
            <v>not</v>
          </cell>
          <cell r="W6217">
            <v>1</v>
          </cell>
          <cell r="X6217" t="str">
            <v>neg</v>
          </cell>
        </row>
        <row r="6218">
          <cell r="I6218" t="str">
            <v>sim</v>
          </cell>
          <cell r="V6218" t="str">
            <v>not</v>
          </cell>
          <cell r="W6218">
            <v>1</v>
          </cell>
          <cell r="X6218" t="str">
            <v>intens</v>
          </cell>
        </row>
        <row r="6219">
          <cell r="I6219" t="str">
            <v>sim</v>
          </cell>
          <cell r="V6219" t="str">
            <v>not</v>
          </cell>
          <cell r="W6219">
            <v>1</v>
          </cell>
          <cell r="X6219" t="str">
            <v>neg</v>
          </cell>
        </row>
        <row r="6220">
          <cell r="I6220" t="str">
            <v>sim</v>
          </cell>
          <cell r="V6220" t="str">
            <v>not</v>
          </cell>
          <cell r="W6220">
            <v>1</v>
          </cell>
          <cell r="X6220" t="str">
            <v>intens</v>
          </cell>
        </row>
        <row r="6221">
          <cell r="I6221" t="str">
            <v>sim</v>
          </cell>
          <cell r="V6221" t="str">
            <v>not</v>
          </cell>
          <cell r="W6221">
            <v>1</v>
          </cell>
          <cell r="X6221" t="str">
            <v>neg</v>
          </cell>
        </row>
        <row r="6222">
          <cell r="I6222" t="str">
            <v>sim</v>
          </cell>
          <cell r="V6222" t="str">
            <v>not neg pair</v>
          </cell>
          <cell r="W6222">
            <v>0</v>
          </cell>
          <cell r="X6222" t="str">
            <v>0</v>
          </cell>
        </row>
        <row r="6223">
          <cell r="I6223" t="str">
            <v>sim</v>
          </cell>
          <cell r="V6223" t="str">
            <v>not neg pair</v>
          </cell>
          <cell r="W6223">
            <v>0</v>
          </cell>
          <cell r="X6223" t="str">
            <v>0</v>
          </cell>
        </row>
        <row r="6224">
          <cell r="I6224" t="str">
            <v>sim</v>
          </cell>
          <cell r="V6224" t="str">
            <v>not neg pair</v>
          </cell>
          <cell r="W6224">
            <v>0</v>
          </cell>
          <cell r="X6224" t="str">
            <v>0</v>
          </cell>
        </row>
        <row r="6225">
          <cell r="I6225" t="str">
            <v>sim</v>
          </cell>
          <cell r="V6225" t="str">
            <v>not neg pair</v>
          </cell>
          <cell r="W6225">
            <v>0</v>
          </cell>
          <cell r="X6225" t="str">
            <v>0</v>
          </cell>
        </row>
        <row r="6226">
          <cell r="I6226" t="str">
            <v>met</v>
          </cell>
          <cell r="V6226" t="str">
            <v>0</v>
          </cell>
          <cell r="W6226">
            <v>0</v>
          </cell>
          <cell r="X6226" t="str">
            <v>0</v>
          </cell>
        </row>
        <row r="6227">
          <cell r="I6227" t="str">
            <v>met</v>
          </cell>
          <cell r="V6227" t="str">
            <v>0</v>
          </cell>
          <cell r="W6227">
            <v>0</v>
          </cell>
          <cell r="X6227" t="str">
            <v>0</v>
          </cell>
        </row>
        <row r="6228">
          <cell r="I6228" t="str">
            <v>sim</v>
          </cell>
          <cell r="V6228" t="str">
            <v>not neg pair</v>
          </cell>
          <cell r="W6228">
            <v>0</v>
          </cell>
          <cell r="X6228" t="str">
            <v>0</v>
          </cell>
        </row>
        <row r="6229">
          <cell r="I6229" t="str">
            <v>sim</v>
          </cell>
          <cell r="V6229" t="str">
            <v>not neg pair</v>
          </cell>
          <cell r="W6229">
            <v>0</v>
          </cell>
          <cell r="X6229" t="str">
            <v>0</v>
          </cell>
        </row>
        <row r="6230">
          <cell r="I6230" t="str">
            <v>sim</v>
          </cell>
          <cell r="V6230" t="str">
            <v>antonym</v>
          </cell>
          <cell r="W6230">
            <v>1</v>
          </cell>
          <cell r="X6230" t="str">
            <v>intens</v>
          </cell>
        </row>
        <row r="6231">
          <cell r="I6231" t="str">
            <v>sim</v>
          </cell>
          <cell r="V6231" t="str">
            <v>antonym</v>
          </cell>
          <cell r="W6231">
            <v>1</v>
          </cell>
          <cell r="X6231" t="str">
            <v>neg</v>
          </cell>
        </row>
        <row r="6232">
          <cell r="I6232" t="str">
            <v>sim</v>
          </cell>
          <cell r="V6232" t="str">
            <v>not</v>
          </cell>
          <cell r="W6232">
            <v>1</v>
          </cell>
          <cell r="X6232" t="str">
            <v>neg</v>
          </cell>
        </row>
        <row r="6233">
          <cell r="I6233" t="str">
            <v>sim</v>
          </cell>
          <cell r="V6233" t="str">
            <v>not</v>
          </cell>
          <cell r="W6233">
            <v>1</v>
          </cell>
          <cell r="X6233" t="str">
            <v>intens</v>
          </cell>
        </row>
        <row r="6234">
          <cell r="I6234" t="str">
            <v>sim</v>
          </cell>
          <cell r="V6234" t="str">
            <v>not neg pair</v>
          </cell>
          <cell r="W6234">
            <v>0</v>
          </cell>
          <cell r="X6234" t="str">
            <v>0</v>
          </cell>
        </row>
        <row r="6235">
          <cell r="I6235" t="str">
            <v>sim</v>
          </cell>
          <cell r="V6235" t="str">
            <v>not neg pair</v>
          </cell>
          <cell r="W6235">
            <v>0</v>
          </cell>
          <cell r="X6235" t="str">
            <v>0</v>
          </cell>
        </row>
        <row r="6236">
          <cell r="I6236" t="str">
            <v>sim</v>
          </cell>
          <cell r="V6236" t="str">
            <v>antonym</v>
          </cell>
          <cell r="W6236">
            <v>1</v>
          </cell>
          <cell r="X6236" t="str">
            <v>neg</v>
          </cell>
        </row>
        <row r="6237">
          <cell r="I6237" t="str">
            <v>sim</v>
          </cell>
          <cell r="V6237" t="str">
            <v>antonym</v>
          </cell>
          <cell r="W6237">
            <v>1</v>
          </cell>
          <cell r="X6237" t="str">
            <v>intens</v>
          </cell>
        </row>
        <row r="6238">
          <cell r="I6238" t="str">
            <v>sim</v>
          </cell>
          <cell r="V6238" t="str">
            <v>not neg pair</v>
          </cell>
          <cell r="W6238">
            <v>0</v>
          </cell>
          <cell r="X6238" t="str">
            <v>0</v>
          </cell>
        </row>
        <row r="6239">
          <cell r="I6239" t="str">
            <v>sim</v>
          </cell>
          <cell r="V6239" t="str">
            <v>not neg pair</v>
          </cell>
          <cell r="W6239">
            <v>0</v>
          </cell>
          <cell r="X6239" t="str">
            <v>0</v>
          </cell>
        </row>
        <row r="6240">
          <cell r="I6240" t="str">
            <v>sim</v>
          </cell>
          <cell r="V6240" t="str">
            <v>not</v>
          </cell>
          <cell r="W6240">
            <v>1</v>
          </cell>
          <cell r="X6240" t="str">
            <v>intens</v>
          </cell>
        </row>
        <row r="6241">
          <cell r="I6241" t="str">
            <v>sim</v>
          </cell>
          <cell r="V6241" t="str">
            <v>not</v>
          </cell>
          <cell r="W6241">
            <v>1</v>
          </cell>
          <cell r="X6241" t="str">
            <v>neg</v>
          </cell>
        </row>
        <row r="6242">
          <cell r="I6242" t="str">
            <v>sim</v>
          </cell>
          <cell r="V6242" t="str">
            <v>not neg pair</v>
          </cell>
          <cell r="W6242">
            <v>0</v>
          </cell>
          <cell r="X6242" t="str">
            <v>0</v>
          </cell>
        </row>
        <row r="6243">
          <cell r="I6243" t="str">
            <v>sim</v>
          </cell>
          <cell r="V6243" t="str">
            <v>not neg pair</v>
          </cell>
          <cell r="W6243">
            <v>0</v>
          </cell>
          <cell r="X6243" t="str">
            <v>0</v>
          </cell>
        </row>
        <row r="6244">
          <cell r="I6244" t="str">
            <v>sim</v>
          </cell>
          <cell r="V6244" t="str">
            <v>not neg pair</v>
          </cell>
          <cell r="W6244">
            <v>0</v>
          </cell>
          <cell r="X6244" t="str">
            <v>0</v>
          </cell>
        </row>
        <row r="6245">
          <cell r="I6245" t="str">
            <v>sim</v>
          </cell>
          <cell r="V6245" t="str">
            <v>not neg pair</v>
          </cell>
          <cell r="W6245">
            <v>0</v>
          </cell>
          <cell r="X6245" t="str">
            <v>0</v>
          </cell>
        </row>
        <row r="6246">
          <cell r="I6246" t="str">
            <v>sim</v>
          </cell>
          <cell r="V6246" t="str">
            <v>not neg pair</v>
          </cell>
          <cell r="W6246">
            <v>0</v>
          </cell>
          <cell r="X6246" t="str">
            <v>0</v>
          </cell>
        </row>
        <row r="6247">
          <cell r="I6247" t="str">
            <v>sim</v>
          </cell>
          <cell r="V6247" t="str">
            <v>not neg pair</v>
          </cell>
          <cell r="W6247">
            <v>0</v>
          </cell>
          <cell r="X6247" t="str">
            <v>0</v>
          </cell>
        </row>
        <row r="6248">
          <cell r="I6248" t="str">
            <v>sim</v>
          </cell>
          <cell r="V6248" t="str">
            <v>not neg pair</v>
          </cell>
          <cell r="W6248">
            <v>0</v>
          </cell>
          <cell r="X6248" t="str">
            <v>0</v>
          </cell>
        </row>
        <row r="6249">
          <cell r="I6249" t="str">
            <v>sim</v>
          </cell>
          <cell r="V6249" t="str">
            <v>not neg pair</v>
          </cell>
          <cell r="W6249">
            <v>0</v>
          </cell>
          <cell r="X6249" t="str">
            <v>0</v>
          </cell>
        </row>
        <row r="6250">
          <cell r="I6250" t="str">
            <v>sim</v>
          </cell>
          <cell r="V6250" t="str">
            <v>not neg pair</v>
          </cell>
          <cell r="W6250">
            <v>0</v>
          </cell>
          <cell r="X6250" t="str">
            <v>0</v>
          </cell>
        </row>
        <row r="6251">
          <cell r="I6251" t="str">
            <v>sim</v>
          </cell>
          <cell r="V6251" t="str">
            <v>not neg pair</v>
          </cell>
          <cell r="W6251">
            <v>0</v>
          </cell>
          <cell r="X6251" t="str">
            <v>0</v>
          </cell>
        </row>
        <row r="6252">
          <cell r="I6252" t="str">
            <v>sim</v>
          </cell>
          <cell r="V6252" t="str">
            <v>not neg pair</v>
          </cell>
          <cell r="W6252">
            <v>0</v>
          </cell>
          <cell r="X6252" t="str">
            <v>0</v>
          </cell>
        </row>
        <row r="6253">
          <cell r="I6253" t="str">
            <v>sim</v>
          </cell>
          <cell r="V6253" t="str">
            <v>not neg pair</v>
          </cell>
          <cell r="W6253">
            <v>0</v>
          </cell>
          <cell r="X6253" t="str">
            <v>0</v>
          </cell>
        </row>
        <row r="6254">
          <cell r="I6254" t="str">
            <v>met</v>
          </cell>
          <cell r="V6254" t="str">
            <v>0</v>
          </cell>
          <cell r="W6254">
            <v>0</v>
          </cell>
          <cell r="X6254" t="str">
            <v>0</v>
          </cell>
        </row>
        <row r="6255">
          <cell r="I6255" t="str">
            <v>met</v>
          </cell>
          <cell r="V6255" t="str">
            <v>0</v>
          </cell>
          <cell r="W6255">
            <v>0</v>
          </cell>
          <cell r="X6255" t="str">
            <v>0</v>
          </cell>
        </row>
        <row r="6256">
          <cell r="I6256" t="str">
            <v>met</v>
          </cell>
          <cell r="V6256" t="str">
            <v>0</v>
          </cell>
          <cell r="W6256">
            <v>0</v>
          </cell>
          <cell r="X6256" t="str">
            <v>0</v>
          </cell>
        </row>
        <row r="6257">
          <cell r="I6257" t="str">
            <v>met</v>
          </cell>
          <cell r="V6257" t="str">
            <v>0</v>
          </cell>
          <cell r="W6257">
            <v>0</v>
          </cell>
          <cell r="X6257" t="str">
            <v>0</v>
          </cell>
        </row>
        <row r="6258">
          <cell r="I6258" t="str">
            <v>met</v>
          </cell>
          <cell r="V6258" t="str">
            <v>0</v>
          </cell>
          <cell r="W6258">
            <v>0</v>
          </cell>
          <cell r="X6258" t="str">
            <v>0</v>
          </cell>
        </row>
        <row r="6259">
          <cell r="I6259" t="str">
            <v>met</v>
          </cell>
          <cell r="V6259" t="str">
            <v>0</v>
          </cell>
          <cell r="W6259">
            <v>0</v>
          </cell>
          <cell r="X6259" t="str">
            <v>0</v>
          </cell>
        </row>
        <row r="6260">
          <cell r="I6260" t="str">
            <v>met</v>
          </cell>
          <cell r="V6260" t="str">
            <v>0</v>
          </cell>
          <cell r="W6260">
            <v>0</v>
          </cell>
          <cell r="X6260" t="str">
            <v>0</v>
          </cell>
        </row>
        <row r="6261">
          <cell r="I6261" t="str">
            <v>met</v>
          </cell>
          <cell r="V6261" t="str">
            <v>0</v>
          </cell>
          <cell r="W6261">
            <v>0</v>
          </cell>
          <cell r="X6261" t="str">
            <v>0</v>
          </cell>
        </row>
        <row r="6262">
          <cell r="I6262" t="str">
            <v>met</v>
          </cell>
          <cell r="V6262" t="str">
            <v>0</v>
          </cell>
          <cell r="W6262">
            <v>0</v>
          </cell>
          <cell r="X6262" t="str">
            <v>0</v>
          </cell>
        </row>
        <row r="6263">
          <cell r="I6263" t="str">
            <v>met</v>
          </cell>
          <cell r="V6263" t="str">
            <v>0</v>
          </cell>
          <cell r="W6263">
            <v>0</v>
          </cell>
          <cell r="X6263" t="str">
            <v>0</v>
          </cell>
        </row>
        <row r="6264">
          <cell r="I6264" t="str">
            <v>met</v>
          </cell>
          <cell r="V6264" t="str">
            <v>0</v>
          </cell>
          <cell r="W6264">
            <v>0</v>
          </cell>
          <cell r="X6264" t="str">
            <v>0</v>
          </cell>
        </row>
        <row r="6265">
          <cell r="I6265" t="str">
            <v>met</v>
          </cell>
          <cell r="V6265" t="str">
            <v>0</v>
          </cell>
          <cell r="W6265">
            <v>0</v>
          </cell>
          <cell r="X6265" t="str">
            <v>0</v>
          </cell>
        </row>
        <row r="6266">
          <cell r="I6266" t="str">
            <v>sim</v>
          </cell>
          <cell r="V6266" t="str">
            <v>not neg pair</v>
          </cell>
          <cell r="W6266">
            <v>0</v>
          </cell>
          <cell r="X6266" t="str">
            <v>0</v>
          </cell>
        </row>
        <row r="6267">
          <cell r="I6267" t="str">
            <v>sim</v>
          </cell>
          <cell r="V6267" t="str">
            <v>not neg pair</v>
          </cell>
          <cell r="W6267">
            <v>0</v>
          </cell>
          <cell r="X6267" t="str">
            <v>0</v>
          </cell>
        </row>
        <row r="6268">
          <cell r="I6268" t="str">
            <v>sim</v>
          </cell>
          <cell r="V6268" t="str">
            <v>not neg pair</v>
          </cell>
          <cell r="W6268">
            <v>0</v>
          </cell>
          <cell r="X6268" t="str">
            <v>0</v>
          </cell>
        </row>
        <row r="6269">
          <cell r="I6269" t="str">
            <v>sim</v>
          </cell>
          <cell r="V6269" t="str">
            <v>not neg pair</v>
          </cell>
          <cell r="W6269">
            <v>0</v>
          </cell>
          <cell r="X6269" t="str">
            <v>0</v>
          </cell>
        </row>
        <row r="6270">
          <cell r="I6270" t="str">
            <v>met</v>
          </cell>
          <cell r="V6270" t="str">
            <v>0</v>
          </cell>
          <cell r="W6270">
            <v>0</v>
          </cell>
          <cell r="X6270" t="str">
            <v>0</v>
          </cell>
        </row>
        <row r="6271">
          <cell r="I6271" t="str">
            <v>met</v>
          </cell>
          <cell r="V6271" t="str">
            <v>0</v>
          </cell>
          <cell r="W6271">
            <v>0</v>
          </cell>
          <cell r="X6271" t="str">
            <v>0</v>
          </cell>
        </row>
        <row r="6272">
          <cell r="I6272" t="str">
            <v>met</v>
          </cell>
          <cell r="V6272" t="str">
            <v>0</v>
          </cell>
          <cell r="W6272">
            <v>0</v>
          </cell>
          <cell r="X6272" t="str">
            <v>0</v>
          </cell>
        </row>
        <row r="6273">
          <cell r="I6273" t="str">
            <v>met</v>
          </cell>
          <cell r="V6273" t="str">
            <v>0</v>
          </cell>
          <cell r="W6273">
            <v>0</v>
          </cell>
          <cell r="X6273" t="str">
            <v>0</v>
          </cell>
        </row>
        <row r="6274">
          <cell r="I6274" t="str">
            <v>sim</v>
          </cell>
          <cell r="V6274" t="str">
            <v>not</v>
          </cell>
          <cell r="W6274">
            <v>1</v>
          </cell>
          <cell r="X6274" t="str">
            <v>intens</v>
          </cell>
        </row>
        <row r="6275">
          <cell r="I6275" t="str">
            <v>sim</v>
          </cell>
          <cell r="V6275" t="str">
            <v>not</v>
          </cell>
          <cell r="W6275">
            <v>1</v>
          </cell>
          <cell r="X6275" t="str">
            <v>neg</v>
          </cell>
        </row>
        <row r="6276">
          <cell r="I6276" t="str">
            <v>sim</v>
          </cell>
          <cell r="V6276" t="str">
            <v>not neg pair</v>
          </cell>
          <cell r="W6276">
            <v>0</v>
          </cell>
          <cell r="X6276" t="str">
            <v>0</v>
          </cell>
        </row>
        <row r="6277">
          <cell r="I6277" t="str">
            <v>sim</v>
          </cell>
          <cell r="V6277" t="str">
            <v>not neg pair</v>
          </cell>
          <cell r="W6277">
            <v>0</v>
          </cell>
          <cell r="X6277" t="str">
            <v>0</v>
          </cell>
        </row>
        <row r="6278">
          <cell r="I6278" t="str">
            <v>met</v>
          </cell>
          <cell r="V6278" t="str">
            <v>0</v>
          </cell>
          <cell r="W6278">
            <v>0</v>
          </cell>
          <cell r="X6278" t="str">
            <v>0</v>
          </cell>
        </row>
        <row r="6279">
          <cell r="I6279" t="str">
            <v>met</v>
          </cell>
          <cell r="V6279" t="str">
            <v>0</v>
          </cell>
          <cell r="W6279">
            <v>0</v>
          </cell>
          <cell r="X6279" t="str">
            <v>0</v>
          </cell>
        </row>
        <row r="6280">
          <cell r="I6280" t="str">
            <v>met</v>
          </cell>
          <cell r="V6280" t="str">
            <v>0</v>
          </cell>
          <cell r="W6280">
            <v>0</v>
          </cell>
          <cell r="X6280" t="str">
            <v>0</v>
          </cell>
        </row>
        <row r="6281">
          <cell r="I6281" t="str">
            <v>met</v>
          </cell>
          <cell r="V6281" t="str">
            <v>0</v>
          </cell>
          <cell r="W6281">
            <v>0</v>
          </cell>
          <cell r="X6281" t="str">
            <v>0</v>
          </cell>
        </row>
        <row r="6282">
          <cell r="I6282" t="str">
            <v>sim</v>
          </cell>
          <cell r="V6282" t="str">
            <v>not</v>
          </cell>
          <cell r="W6282">
            <v>1</v>
          </cell>
          <cell r="X6282" t="str">
            <v>neg</v>
          </cell>
        </row>
        <row r="6283">
          <cell r="I6283" t="str">
            <v>sim</v>
          </cell>
          <cell r="V6283" t="str">
            <v>not</v>
          </cell>
          <cell r="W6283">
            <v>1</v>
          </cell>
          <cell r="X6283" t="str">
            <v>intens</v>
          </cell>
        </row>
        <row r="6284">
          <cell r="I6284" t="str">
            <v>sim</v>
          </cell>
          <cell r="V6284" t="str">
            <v>not</v>
          </cell>
          <cell r="W6284">
            <v>1</v>
          </cell>
          <cell r="X6284" t="str">
            <v>neg</v>
          </cell>
        </row>
        <row r="6285">
          <cell r="I6285" t="str">
            <v>sim</v>
          </cell>
          <cell r="V6285" t="str">
            <v>not</v>
          </cell>
          <cell r="W6285">
            <v>1</v>
          </cell>
          <cell r="X6285" t="str">
            <v>intens</v>
          </cell>
        </row>
        <row r="6286">
          <cell r="I6286" t="str">
            <v>met</v>
          </cell>
          <cell r="V6286" t="str">
            <v>0</v>
          </cell>
          <cell r="W6286">
            <v>0</v>
          </cell>
          <cell r="X6286" t="str">
            <v>0</v>
          </cell>
        </row>
        <row r="6287">
          <cell r="I6287" t="str">
            <v>met</v>
          </cell>
          <cell r="V6287" t="str">
            <v>0</v>
          </cell>
          <cell r="W6287">
            <v>0</v>
          </cell>
          <cell r="X6287" t="str">
            <v>0</v>
          </cell>
        </row>
        <row r="6288">
          <cell r="I6288" t="str">
            <v>sim</v>
          </cell>
          <cell r="V6288" t="str">
            <v>not neg pair</v>
          </cell>
          <cell r="W6288">
            <v>0</v>
          </cell>
          <cell r="X6288" t="str">
            <v>0</v>
          </cell>
        </row>
        <row r="6289">
          <cell r="I6289" t="str">
            <v>sim</v>
          </cell>
          <cell r="V6289" t="str">
            <v>not neg pair</v>
          </cell>
          <cell r="W6289">
            <v>0</v>
          </cell>
          <cell r="X6289" t="str">
            <v>0</v>
          </cell>
        </row>
        <row r="6290">
          <cell r="I6290" t="str">
            <v>sim</v>
          </cell>
          <cell r="V6290" t="str">
            <v>not neg pair</v>
          </cell>
          <cell r="W6290">
            <v>0</v>
          </cell>
          <cell r="X6290" t="str">
            <v>0</v>
          </cell>
        </row>
        <row r="6291">
          <cell r="I6291" t="str">
            <v>sim</v>
          </cell>
          <cell r="V6291" t="str">
            <v>not neg pair</v>
          </cell>
          <cell r="W6291">
            <v>0</v>
          </cell>
          <cell r="X6291" t="str">
            <v>0</v>
          </cell>
        </row>
        <row r="6292">
          <cell r="I6292" t="str">
            <v>sim</v>
          </cell>
          <cell r="V6292" t="str">
            <v>not neg pair</v>
          </cell>
          <cell r="W6292">
            <v>0</v>
          </cell>
          <cell r="X6292" t="str">
            <v>0</v>
          </cell>
        </row>
        <row r="6293">
          <cell r="I6293" t="str">
            <v>sim</v>
          </cell>
          <cell r="V6293" t="str">
            <v>not neg pair</v>
          </cell>
          <cell r="W6293">
            <v>0</v>
          </cell>
          <cell r="X6293" t="str">
            <v>0</v>
          </cell>
        </row>
        <row r="6294">
          <cell r="I6294" t="str">
            <v>sim</v>
          </cell>
          <cell r="V6294" t="str">
            <v>not neg pair</v>
          </cell>
          <cell r="W6294">
            <v>0</v>
          </cell>
          <cell r="X6294" t="str">
            <v>0</v>
          </cell>
        </row>
        <row r="6295">
          <cell r="I6295" t="str">
            <v>sim</v>
          </cell>
          <cell r="V6295" t="str">
            <v>not neg pair</v>
          </cell>
          <cell r="W6295">
            <v>0</v>
          </cell>
          <cell r="X6295" t="str">
            <v>0</v>
          </cell>
        </row>
        <row r="6296">
          <cell r="I6296" t="str">
            <v>sim</v>
          </cell>
          <cell r="V6296" t="str">
            <v>antonym</v>
          </cell>
          <cell r="W6296">
            <v>1</v>
          </cell>
          <cell r="X6296" t="str">
            <v>intens</v>
          </cell>
        </row>
        <row r="6297">
          <cell r="I6297" t="str">
            <v>sim</v>
          </cell>
          <cell r="V6297" t="str">
            <v>antonym</v>
          </cell>
          <cell r="W6297">
            <v>1</v>
          </cell>
          <cell r="X6297" t="str">
            <v>neg</v>
          </cell>
        </row>
        <row r="6298">
          <cell r="I6298" t="str">
            <v>sim</v>
          </cell>
          <cell r="V6298" t="str">
            <v>not neg pair</v>
          </cell>
          <cell r="W6298">
            <v>0</v>
          </cell>
          <cell r="X6298" t="str">
            <v>0</v>
          </cell>
        </row>
        <row r="6299">
          <cell r="I6299" t="str">
            <v>sim</v>
          </cell>
          <cell r="V6299" t="str">
            <v>not neg pair</v>
          </cell>
          <cell r="W6299">
            <v>0</v>
          </cell>
          <cell r="X6299" t="str">
            <v>0</v>
          </cell>
        </row>
        <row r="6300">
          <cell r="I6300" t="str">
            <v>sim</v>
          </cell>
          <cell r="V6300" t="str">
            <v>not neg pair</v>
          </cell>
          <cell r="W6300">
            <v>0</v>
          </cell>
          <cell r="X6300" t="str">
            <v>0</v>
          </cell>
        </row>
        <row r="6301">
          <cell r="I6301" t="str">
            <v>sim</v>
          </cell>
          <cell r="V6301" t="str">
            <v>not neg pair</v>
          </cell>
          <cell r="W6301">
            <v>0</v>
          </cell>
          <cell r="X6301" t="str">
            <v>0</v>
          </cell>
        </row>
        <row r="6302">
          <cell r="I6302" t="str">
            <v>sim</v>
          </cell>
          <cell r="V6302" t="str">
            <v>not neg pair</v>
          </cell>
          <cell r="W6302">
            <v>0</v>
          </cell>
          <cell r="X6302" t="str">
            <v>0</v>
          </cell>
        </row>
        <row r="6303">
          <cell r="I6303" t="str">
            <v>sim</v>
          </cell>
          <cell r="V6303" t="str">
            <v>not neg pair</v>
          </cell>
          <cell r="W6303">
            <v>0</v>
          </cell>
          <cell r="X6303" t="str">
            <v>0</v>
          </cell>
        </row>
        <row r="6304">
          <cell r="I6304" t="str">
            <v>sim</v>
          </cell>
          <cell r="V6304" t="str">
            <v>antonym</v>
          </cell>
          <cell r="W6304">
            <v>1</v>
          </cell>
          <cell r="X6304" t="str">
            <v>intens</v>
          </cell>
        </row>
        <row r="6305">
          <cell r="I6305" t="str">
            <v>sim</v>
          </cell>
          <cell r="V6305" t="str">
            <v>antonym</v>
          </cell>
          <cell r="W6305">
            <v>1</v>
          </cell>
          <cell r="X6305" t="str">
            <v>neg</v>
          </cell>
        </row>
        <row r="6306">
          <cell r="I6306" t="str">
            <v>sim</v>
          </cell>
          <cell r="V6306" t="str">
            <v>not neg pair</v>
          </cell>
          <cell r="W6306">
            <v>0</v>
          </cell>
          <cell r="X6306" t="str">
            <v>0</v>
          </cell>
        </row>
        <row r="6307">
          <cell r="I6307" t="str">
            <v>sim</v>
          </cell>
          <cell r="V6307" t="str">
            <v>not neg pair</v>
          </cell>
          <cell r="W6307">
            <v>0</v>
          </cell>
          <cell r="X6307" t="str">
            <v>0</v>
          </cell>
        </row>
        <row r="6308">
          <cell r="I6308" t="str">
            <v>met</v>
          </cell>
          <cell r="V6308" t="str">
            <v>0</v>
          </cell>
          <cell r="W6308">
            <v>0</v>
          </cell>
          <cell r="X6308" t="str">
            <v>0</v>
          </cell>
        </row>
        <row r="6309">
          <cell r="I6309" t="str">
            <v>met</v>
          </cell>
          <cell r="V6309" t="str">
            <v>0</v>
          </cell>
          <cell r="W6309">
            <v>0</v>
          </cell>
          <cell r="X6309" t="str">
            <v>0</v>
          </cell>
        </row>
        <row r="6310">
          <cell r="I6310" t="str">
            <v>sim</v>
          </cell>
          <cell r="V6310" t="str">
            <v>not</v>
          </cell>
          <cell r="W6310">
            <v>1</v>
          </cell>
          <cell r="X6310" t="str">
            <v>neg</v>
          </cell>
        </row>
        <row r="6311">
          <cell r="I6311" t="str">
            <v>sim</v>
          </cell>
          <cell r="V6311" t="str">
            <v>not</v>
          </cell>
          <cell r="W6311">
            <v>1</v>
          </cell>
          <cell r="X6311" t="str">
            <v>intens</v>
          </cell>
        </row>
        <row r="6312">
          <cell r="I6312" t="str">
            <v>sim</v>
          </cell>
          <cell r="V6312" t="str">
            <v>not neg pair</v>
          </cell>
          <cell r="W6312">
            <v>0</v>
          </cell>
          <cell r="X6312" t="str">
            <v>0</v>
          </cell>
        </row>
        <row r="6313">
          <cell r="I6313" t="str">
            <v>sim</v>
          </cell>
          <cell r="V6313" t="str">
            <v>not neg pair</v>
          </cell>
          <cell r="W6313">
            <v>0</v>
          </cell>
          <cell r="X6313" t="str">
            <v>0</v>
          </cell>
        </row>
        <row r="6314">
          <cell r="I6314" t="str">
            <v>sim</v>
          </cell>
          <cell r="V6314" t="str">
            <v>not neg pair</v>
          </cell>
          <cell r="W6314">
            <v>0</v>
          </cell>
          <cell r="X6314" t="str">
            <v>0</v>
          </cell>
        </row>
        <row r="6315">
          <cell r="I6315" t="str">
            <v>sim</v>
          </cell>
          <cell r="V6315" t="str">
            <v>not neg pair</v>
          </cell>
          <cell r="W6315">
            <v>0</v>
          </cell>
          <cell r="X6315" t="str">
            <v>0</v>
          </cell>
        </row>
        <row r="6316">
          <cell r="I6316" t="str">
            <v>sim</v>
          </cell>
          <cell r="V6316" t="str">
            <v>not neg pair</v>
          </cell>
          <cell r="W6316">
            <v>0</v>
          </cell>
          <cell r="X6316" t="str">
            <v>0</v>
          </cell>
        </row>
        <row r="6317">
          <cell r="I6317" t="str">
            <v>sim</v>
          </cell>
          <cell r="V6317" t="str">
            <v>not neg pair</v>
          </cell>
          <cell r="W6317">
            <v>0</v>
          </cell>
          <cell r="X6317" t="str">
            <v>0</v>
          </cell>
        </row>
        <row r="6318">
          <cell r="I6318" t="str">
            <v>sim</v>
          </cell>
          <cell r="V6318" t="str">
            <v>not neg pair</v>
          </cell>
          <cell r="W6318">
            <v>0</v>
          </cell>
          <cell r="X6318" t="str">
            <v>0</v>
          </cell>
        </row>
        <row r="6319">
          <cell r="I6319" t="str">
            <v>sim</v>
          </cell>
          <cell r="V6319" t="str">
            <v>not neg pair</v>
          </cell>
          <cell r="W6319">
            <v>0</v>
          </cell>
          <cell r="X6319" t="str">
            <v>0</v>
          </cell>
        </row>
        <row r="6320">
          <cell r="I6320" t="str">
            <v>sim</v>
          </cell>
          <cell r="V6320" t="str">
            <v>not</v>
          </cell>
          <cell r="W6320">
            <v>1</v>
          </cell>
          <cell r="X6320" t="str">
            <v>intens</v>
          </cell>
        </row>
        <row r="6321">
          <cell r="I6321" t="str">
            <v>sim</v>
          </cell>
          <cell r="V6321" t="str">
            <v>not</v>
          </cell>
          <cell r="W6321">
            <v>1</v>
          </cell>
          <cell r="X6321" t="str">
            <v>neg</v>
          </cell>
        </row>
        <row r="6322">
          <cell r="I6322" t="str">
            <v>sim</v>
          </cell>
          <cell r="V6322" t="str">
            <v>antonym</v>
          </cell>
          <cell r="W6322">
            <v>1</v>
          </cell>
          <cell r="X6322" t="str">
            <v>intens</v>
          </cell>
        </row>
        <row r="6323">
          <cell r="I6323" t="str">
            <v>sim</v>
          </cell>
          <cell r="V6323" t="str">
            <v>antonym</v>
          </cell>
          <cell r="W6323">
            <v>1</v>
          </cell>
          <cell r="X6323" t="str">
            <v>neg</v>
          </cell>
        </row>
        <row r="6324">
          <cell r="I6324" t="str">
            <v>sim</v>
          </cell>
          <cell r="V6324" t="str">
            <v>not neg pair</v>
          </cell>
          <cell r="W6324">
            <v>0</v>
          </cell>
          <cell r="X6324" t="str">
            <v>0</v>
          </cell>
        </row>
        <row r="6325">
          <cell r="I6325" t="str">
            <v>sim</v>
          </cell>
          <cell r="V6325" t="str">
            <v>not neg pair</v>
          </cell>
          <cell r="W6325">
            <v>0</v>
          </cell>
          <cell r="X6325" t="str">
            <v>0</v>
          </cell>
        </row>
        <row r="6326">
          <cell r="I6326" t="str">
            <v>sim</v>
          </cell>
          <cell r="V6326" t="str">
            <v>not neg pair</v>
          </cell>
          <cell r="W6326">
            <v>0</v>
          </cell>
          <cell r="X6326" t="str">
            <v>0</v>
          </cell>
        </row>
        <row r="6327">
          <cell r="I6327" t="str">
            <v>sim</v>
          </cell>
          <cell r="V6327" t="str">
            <v>not neg pair</v>
          </cell>
          <cell r="W6327">
            <v>0</v>
          </cell>
          <cell r="X6327" t="str">
            <v>0</v>
          </cell>
        </row>
        <row r="6328">
          <cell r="I6328" t="str">
            <v>sim</v>
          </cell>
          <cell r="V6328" t="str">
            <v>not neg pair</v>
          </cell>
          <cell r="W6328">
            <v>0</v>
          </cell>
          <cell r="X6328" t="str">
            <v>0</v>
          </cell>
        </row>
        <row r="6329">
          <cell r="I6329" t="str">
            <v>sim</v>
          </cell>
          <cell r="V6329" t="str">
            <v>not neg pair</v>
          </cell>
          <cell r="W6329">
            <v>0</v>
          </cell>
          <cell r="X6329" t="str">
            <v>0</v>
          </cell>
        </row>
        <row r="6330">
          <cell r="I6330" t="str">
            <v>sim</v>
          </cell>
          <cell r="V6330" t="str">
            <v>not</v>
          </cell>
          <cell r="W6330">
            <v>1</v>
          </cell>
          <cell r="X6330" t="str">
            <v>neg</v>
          </cell>
        </row>
        <row r="6331">
          <cell r="I6331" t="str">
            <v>sim</v>
          </cell>
          <cell r="V6331" t="str">
            <v>not</v>
          </cell>
          <cell r="W6331">
            <v>1</v>
          </cell>
          <cell r="X6331" t="str">
            <v>intens</v>
          </cell>
        </row>
        <row r="6332">
          <cell r="I6332" t="str">
            <v>sim</v>
          </cell>
          <cell r="V6332" t="str">
            <v>not neg pair</v>
          </cell>
          <cell r="W6332">
            <v>0</v>
          </cell>
          <cell r="X6332" t="str">
            <v>0</v>
          </cell>
        </row>
        <row r="6333">
          <cell r="I6333" t="str">
            <v>sim</v>
          </cell>
          <cell r="V6333" t="str">
            <v>not neg pair</v>
          </cell>
          <cell r="W6333">
            <v>0</v>
          </cell>
          <cell r="X6333" t="str">
            <v>0</v>
          </cell>
        </row>
        <row r="6334">
          <cell r="I6334" t="str">
            <v>sim</v>
          </cell>
          <cell r="V6334" t="str">
            <v>not neg pair</v>
          </cell>
          <cell r="W6334">
            <v>0</v>
          </cell>
          <cell r="X6334" t="str">
            <v>0</v>
          </cell>
        </row>
        <row r="6335">
          <cell r="I6335" t="str">
            <v>sim</v>
          </cell>
          <cell r="V6335" t="str">
            <v>not neg pair</v>
          </cell>
          <cell r="W6335">
            <v>0</v>
          </cell>
          <cell r="X6335" t="str">
            <v>0</v>
          </cell>
        </row>
        <row r="6336">
          <cell r="I6336" t="str">
            <v>met</v>
          </cell>
          <cell r="V6336" t="str">
            <v>0</v>
          </cell>
          <cell r="W6336">
            <v>0</v>
          </cell>
          <cell r="X6336" t="str">
            <v>0</v>
          </cell>
        </row>
        <row r="6337">
          <cell r="I6337" t="str">
            <v>met</v>
          </cell>
          <cell r="V6337" t="str">
            <v>0</v>
          </cell>
          <cell r="W6337">
            <v>0</v>
          </cell>
          <cell r="X6337" t="str">
            <v>0</v>
          </cell>
        </row>
        <row r="6338">
          <cell r="I6338" t="str">
            <v>sim</v>
          </cell>
          <cell r="V6338" t="str">
            <v>not neg pair</v>
          </cell>
          <cell r="W6338">
            <v>0</v>
          </cell>
          <cell r="X6338" t="str">
            <v>0</v>
          </cell>
        </row>
        <row r="6339">
          <cell r="I6339" t="str">
            <v>sim</v>
          </cell>
          <cell r="V6339" t="str">
            <v>not neg pair</v>
          </cell>
          <cell r="W6339">
            <v>0</v>
          </cell>
          <cell r="X6339" t="str">
            <v>0</v>
          </cell>
        </row>
        <row r="6340">
          <cell r="I6340" t="str">
            <v>met</v>
          </cell>
          <cell r="V6340" t="str">
            <v>0</v>
          </cell>
          <cell r="W6340">
            <v>0</v>
          </cell>
          <cell r="X6340" t="str">
            <v>0</v>
          </cell>
        </row>
        <row r="6341">
          <cell r="I6341" t="str">
            <v>sim</v>
          </cell>
          <cell r="V6341" t="str">
            <v>not neg pair</v>
          </cell>
          <cell r="W6341">
            <v>0</v>
          </cell>
          <cell r="X6341" t="str">
            <v>0</v>
          </cell>
        </row>
        <row r="6342">
          <cell r="I6342" t="str">
            <v>met</v>
          </cell>
          <cell r="V6342" t="str">
            <v>0</v>
          </cell>
          <cell r="W6342">
            <v>0</v>
          </cell>
          <cell r="X6342" t="str">
            <v>0</v>
          </cell>
        </row>
        <row r="6343">
          <cell r="I6343" t="str">
            <v>met</v>
          </cell>
          <cell r="V6343" t="str">
            <v>0</v>
          </cell>
          <cell r="W6343">
            <v>0</v>
          </cell>
          <cell r="X6343" t="str">
            <v>0</v>
          </cell>
        </row>
        <row r="6344">
          <cell r="I6344" t="str">
            <v>met</v>
          </cell>
          <cell r="V6344" t="str">
            <v>0</v>
          </cell>
          <cell r="W6344">
            <v>0</v>
          </cell>
          <cell r="X6344" t="str">
            <v>0</v>
          </cell>
        </row>
        <row r="6345">
          <cell r="I6345" t="str">
            <v>met</v>
          </cell>
          <cell r="V6345" t="str">
            <v>0</v>
          </cell>
          <cell r="W6345">
            <v>0</v>
          </cell>
          <cell r="X6345" t="str">
            <v>0</v>
          </cell>
        </row>
        <row r="6346">
          <cell r="I6346" t="str">
            <v>met</v>
          </cell>
          <cell r="V6346" t="str">
            <v>0</v>
          </cell>
          <cell r="W6346">
            <v>0</v>
          </cell>
          <cell r="X6346" t="str">
            <v>0</v>
          </cell>
        </row>
        <row r="6347">
          <cell r="I6347" t="str">
            <v>met</v>
          </cell>
          <cell r="V6347" t="str">
            <v>0</v>
          </cell>
          <cell r="W6347">
            <v>0</v>
          </cell>
          <cell r="X6347" t="str">
            <v>0</v>
          </cell>
        </row>
        <row r="6348">
          <cell r="I6348" t="str">
            <v>sim</v>
          </cell>
          <cell r="V6348" t="str">
            <v>antonym</v>
          </cell>
          <cell r="W6348">
            <v>1</v>
          </cell>
          <cell r="X6348" t="str">
            <v>intens</v>
          </cell>
        </row>
        <row r="6349">
          <cell r="I6349" t="str">
            <v>sim</v>
          </cell>
          <cell r="V6349" t="str">
            <v>antonym</v>
          </cell>
          <cell r="W6349">
            <v>1</v>
          </cell>
          <cell r="X6349" t="str">
            <v>neg</v>
          </cell>
        </row>
        <row r="6350">
          <cell r="I6350" t="str">
            <v>sim</v>
          </cell>
          <cell r="V6350" t="str">
            <v>not</v>
          </cell>
          <cell r="W6350">
            <v>1</v>
          </cell>
          <cell r="X6350" t="str">
            <v>intens</v>
          </cell>
        </row>
        <row r="6351">
          <cell r="I6351" t="str">
            <v>sim</v>
          </cell>
          <cell r="V6351" t="str">
            <v>not</v>
          </cell>
          <cell r="W6351">
            <v>1</v>
          </cell>
          <cell r="X6351" t="str">
            <v>neg</v>
          </cell>
        </row>
        <row r="6352">
          <cell r="I6352" t="str">
            <v>met</v>
          </cell>
          <cell r="V6352" t="str">
            <v>0</v>
          </cell>
          <cell r="W6352">
            <v>0</v>
          </cell>
          <cell r="X6352" t="str">
            <v>0</v>
          </cell>
        </row>
        <row r="6353">
          <cell r="I6353" t="str">
            <v>met</v>
          </cell>
          <cell r="V6353" t="str">
            <v>0</v>
          </cell>
          <cell r="W6353">
            <v>0</v>
          </cell>
          <cell r="X6353" t="str">
            <v>0</v>
          </cell>
        </row>
        <row r="6354">
          <cell r="I6354" t="str">
            <v>met</v>
          </cell>
          <cell r="V6354" t="str">
            <v>0</v>
          </cell>
          <cell r="W6354">
            <v>0</v>
          </cell>
          <cell r="X6354" t="str">
            <v>0</v>
          </cell>
        </row>
        <row r="6355">
          <cell r="I6355" t="str">
            <v>met</v>
          </cell>
          <cell r="V6355" t="str">
            <v>0</v>
          </cell>
          <cell r="W6355">
            <v>0</v>
          </cell>
          <cell r="X6355" t="str">
            <v>0</v>
          </cell>
        </row>
        <row r="6356">
          <cell r="I6356" t="str">
            <v>met</v>
          </cell>
          <cell r="V6356" t="str">
            <v>0</v>
          </cell>
          <cell r="W6356">
            <v>0</v>
          </cell>
          <cell r="X6356" t="str">
            <v>0</v>
          </cell>
        </row>
        <row r="6357">
          <cell r="I6357" t="str">
            <v>met</v>
          </cell>
          <cell r="V6357" t="str">
            <v>0</v>
          </cell>
          <cell r="W6357">
            <v>0</v>
          </cell>
          <cell r="X6357" t="str">
            <v>0</v>
          </cell>
        </row>
        <row r="6358">
          <cell r="I6358" t="str">
            <v>sim</v>
          </cell>
          <cell r="V6358" t="str">
            <v>antonym</v>
          </cell>
          <cell r="W6358">
            <v>1</v>
          </cell>
          <cell r="X6358" t="str">
            <v>neg</v>
          </cell>
        </row>
        <row r="6359">
          <cell r="I6359" t="str">
            <v>sim</v>
          </cell>
          <cell r="V6359" t="str">
            <v>antonym</v>
          </cell>
          <cell r="W6359">
            <v>1</v>
          </cell>
          <cell r="X6359" t="str">
            <v>intens</v>
          </cell>
        </row>
        <row r="6360">
          <cell r="I6360" t="str">
            <v>sim</v>
          </cell>
          <cell r="V6360" t="str">
            <v>not neg pair</v>
          </cell>
          <cell r="W6360">
            <v>0</v>
          </cell>
          <cell r="X6360" t="str">
            <v>0</v>
          </cell>
        </row>
        <row r="6361">
          <cell r="I6361" t="str">
            <v>sim</v>
          </cell>
          <cell r="V6361" t="str">
            <v>not neg pair</v>
          </cell>
          <cell r="W6361">
            <v>0</v>
          </cell>
          <cell r="X6361" t="str">
            <v>0</v>
          </cell>
        </row>
        <row r="6362">
          <cell r="I6362" t="str">
            <v>sim</v>
          </cell>
          <cell r="V6362" t="str">
            <v>not</v>
          </cell>
          <cell r="W6362">
            <v>1</v>
          </cell>
          <cell r="X6362" t="str">
            <v>intens</v>
          </cell>
        </row>
        <row r="6363">
          <cell r="I6363" t="str">
            <v>sim</v>
          </cell>
          <cell r="V6363" t="str">
            <v>not</v>
          </cell>
          <cell r="W6363">
            <v>1</v>
          </cell>
          <cell r="X6363" t="str">
            <v>neg</v>
          </cell>
        </row>
        <row r="6364">
          <cell r="I6364" t="str">
            <v>met</v>
          </cell>
          <cell r="V6364" t="str">
            <v>0</v>
          </cell>
          <cell r="W6364">
            <v>0</v>
          </cell>
          <cell r="X6364" t="str">
            <v>0</v>
          </cell>
        </row>
        <row r="6365">
          <cell r="I6365" t="str">
            <v>met</v>
          </cell>
          <cell r="V6365" t="str">
            <v>0</v>
          </cell>
          <cell r="W6365">
            <v>0</v>
          </cell>
          <cell r="X6365" t="str">
            <v>0</v>
          </cell>
        </row>
        <row r="6366">
          <cell r="I6366" t="str">
            <v>sim</v>
          </cell>
          <cell r="V6366" t="str">
            <v>not neg pair</v>
          </cell>
          <cell r="W6366">
            <v>0</v>
          </cell>
          <cell r="X6366" t="str">
            <v>0</v>
          </cell>
        </row>
        <row r="6367">
          <cell r="I6367" t="str">
            <v>sim</v>
          </cell>
          <cell r="V6367" t="str">
            <v>not neg pair</v>
          </cell>
          <cell r="W6367">
            <v>0</v>
          </cell>
          <cell r="X6367" t="str">
            <v>0</v>
          </cell>
        </row>
        <row r="6368">
          <cell r="I6368" t="str">
            <v>met</v>
          </cell>
          <cell r="V6368" t="str">
            <v>0</v>
          </cell>
          <cell r="W6368">
            <v>0</v>
          </cell>
          <cell r="X6368" t="str">
            <v>0</v>
          </cell>
        </row>
        <row r="6369">
          <cell r="I6369" t="str">
            <v>met</v>
          </cell>
          <cell r="V6369" t="str">
            <v>0</v>
          </cell>
          <cell r="W6369">
            <v>0</v>
          </cell>
          <cell r="X6369" t="str">
            <v>0</v>
          </cell>
        </row>
        <row r="6370">
          <cell r="I6370" t="str">
            <v>sim</v>
          </cell>
          <cell r="V6370" t="str">
            <v>not neg pair</v>
          </cell>
          <cell r="W6370">
            <v>0</v>
          </cell>
          <cell r="X6370" t="str">
            <v>0</v>
          </cell>
        </row>
        <row r="6371">
          <cell r="I6371" t="str">
            <v>sim</v>
          </cell>
          <cell r="V6371" t="str">
            <v>not neg pair</v>
          </cell>
          <cell r="W6371">
            <v>0</v>
          </cell>
          <cell r="X6371" t="str">
            <v>0</v>
          </cell>
        </row>
        <row r="6372">
          <cell r="I6372" t="str">
            <v>sim</v>
          </cell>
          <cell r="V6372" t="str">
            <v>not neg pair</v>
          </cell>
          <cell r="W6372">
            <v>0</v>
          </cell>
          <cell r="X6372" t="str">
            <v>0</v>
          </cell>
        </row>
        <row r="6373">
          <cell r="I6373" t="str">
            <v>sim</v>
          </cell>
          <cell r="V6373" t="str">
            <v>not neg pair</v>
          </cell>
          <cell r="W6373">
            <v>0</v>
          </cell>
          <cell r="X6373" t="str">
            <v>0</v>
          </cell>
        </row>
        <row r="6374">
          <cell r="I6374" t="str">
            <v>sim</v>
          </cell>
          <cell r="V6374" t="str">
            <v>not neg pair</v>
          </cell>
          <cell r="W6374">
            <v>0</v>
          </cell>
          <cell r="X6374" t="str">
            <v>0</v>
          </cell>
        </row>
        <row r="6375">
          <cell r="I6375" t="str">
            <v>sim</v>
          </cell>
          <cell r="V6375" t="str">
            <v>not neg pair</v>
          </cell>
          <cell r="W6375">
            <v>0</v>
          </cell>
          <cell r="X6375" t="str">
            <v>0</v>
          </cell>
        </row>
        <row r="6376">
          <cell r="I6376" t="str">
            <v>sim</v>
          </cell>
          <cell r="V6376" t="str">
            <v>not</v>
          </cell>
          <cell r="W6376">
            <v>1</v>
          </cell>
          <cell r="X6376" t="str">
            <v>intens</v>
          </cell>
        </row>
        <row r="6377">
          <cell r="I6377" t="str">
            <v>sim</v>
          </cell>
          <cell r="V6377" t="str">
            <v>not</v>
          </cell>
          <cell r="W6377">
            <v>1</v>
          </cell>
          <cell r="X6377" t="str">
            <v>neg</v>
          </cell>
        </row>
        <row r="6378">
          <cell r="I6378" t="str">
            <v>sim</v>
          </cell>
          <cell r="V6378" t="str">
            <v>not</v>
          </cell>
          <cell r="W6378">
            <v>1</v>
          </cell>
          <cell r="X6378" t="str">
            <v>intens</v>
          </cell>
        </row>
        <row r="6379">
          <cell r="I6379" t="str">
            <v>sim</v>
          </cell>
          <cell r="V6379" t="str">
            <v>not</v>
          </cell>
          <cell r="W6379">
            <v>1</v>
          </cell>
          <cell r="X6379" t="str">
            <v>neg</v>
          </cell>
        </row>
        <row r="6380">
          <cell r="I6380" t="str">
            <v>sim</v>
          </cell>
          <cell r="V6380" t="str">
            <v>not neg pair</v>
          </cell>
          <cell r="W6380">
            <v>0</v>
          </cell>
          <cell r="X6380" t="str">
            <v>0</v>
          </cell>
        </row>
        <row r="6381">
          <cell r="I6381" t="str">
            <v>sim</v>
          </cell>
          <cell r="V6381" t="str">
            <v>not neg pair</v>
          </cell>
          <cell r="W6381">
            <v>0</v>
          </cell>
          <cell r="X6381" t="str">
            <v>0</v>
          </cell>
        </row>
        <row r="6382">
          <cell r="I6382" t="str">
            <v>sim</v>
          </cell>
          <cell r="V6382" t="str">
            <v>not neg pair</v>
          </cell>
          <cell r="W6382">
            <v>0</v>
          </cell>
          <cell r="X6382" t="str">
            <v>0</v>
          </cell>
        </row>
        <row r="6383">
          <cell r="I6383" t="str">
            <v>sim</v>
          </cell>
          <cell r="V6383" t="str">
            <v>not neg pair</v>
          </cell>
          <cell r="W6383">
            <v>0</v>
          </cell>
          <cell r="X6383" t="str">
            <v>0</v>
          </cell>
        </row>
        <row r="6384">
          <cell r="I6384" t="str">
            <v>sim</v>
          </cell>
          <cell r="V6384" t="str">
            <v>antonym</v>
          </cell>
          <cell r="W6384">
            <v>1</v>
          </cell>
          <cell r="X6384" t="str">
            <v>intens</v>
          </cell>
        </row>
        <row r="6385">
          <cell r="I6385" t="str">
            <v>sim</v>
          </cell>
          <cell r="V6385" t="str">
            <v>antonym</v>
          </cell>
          <cell r="W6385">
            <v>1</v>
          </cell>
          <cell r="X6385" t="str">
            <v>neg</v>
          </cell>
        </row>
        <row r="6386">
          <cell r="I6386" t="str">
            <v>sim</v>
          </cell>
          <cell r="V6386" t="str">
            <v>not neg pair</v>
          </cell>
          <cell r="W6386">
            <v>0</v>
          </cell>
          <cell r="X6386" t="str">
            <v>0</v>
          </cell>
        </row>
        <row r="6387">
          <cell r="I6387" t="str">
            <v>sim</v>
          </cell>
          <cell r="V6387" t="str">
            <v>not neg pair</v>
          </cell>
          <cell r="W6387">
            <v>0</v>
          </cell>
          <cell r="X6387" t="str">
            <v>0</v>
          </cell>
        </row>
        <row r="6388">
          <cell r="I6388" t="str">
            <v>sim</v>
          </cell>
          <cell r="V6388" t="str">
            <v>not</v>
          </cell>
          <cell r="W6388">
            <v>1</v>
          </cell>
          <cell r="X6388" t="str">
            <v>neg</v>
          </cell>
        </row>
        <row r="6389">
          <cell r="I6389" t="str">
            <v>sim</v>
          </cell>
          <cell r="V6389" t="str">
            <v>not</v>
          </cell>
          <cell r="W6389">
            <v>1</v>
          </cell>
          <cell r="X6389" t="str">
            <v>intens</v>
          </cell>
        </row>
        <row r="6390">
          <cell r="I6390" t="str">
            <v>sim</v>
          </cell>
          <cell r="V6390" t="str">
            <v>not neg pair</v>
          </cell>
          <cell r="W6390">
            <v>0</v>
          </cell>
          <cell r="X6390" t="str">
            <v>0</v>
          </cell>
        </row>
        <row r="6391">
          <cell r="I6391" t="str">
            <v>sim</v>
          </cell>
          <cell r="V6391" t="str">
            <v>not neg pair</v>
          </cell>
          <cell r="W6391">
            <v>0</v>
          </cell>
          <cell r="X6391" t="str">
            <v>0</v>
          </cell>
        </row>
        <row r="6392">
          <cell r="I6392" t="str">
            <v>sim</v>
          </cell>
          <cell r="V6392" t="str">
            <v>not neg pair</v>
          </cell>
          <cell r="W6392">
            <v>0</v>
          </cell>
          <cell r="X6392" t="str">
            <v>0</v>
          </cell>
        </row>
        <row r="6393">
          <cell r="I6393" t="str">
            <v>sim</v>
          </cell>
          <cell r="V6393" t="str">
            <v>not neg pair</v>
          </cell>
          <cell r="W6393">
            <v>0</v>
          </cell>
          <cell r="X6393" t="str">
            <v>0</v>
          </cell>
        </row>
        <row r="6394">
          <cell r="I6394" t="str">
            <v>sim</v>
          </cell>
          <cell r="V6394" t="str">
            <v>not neg pair</v>
          </cell>
          <cell r="W6394">
            <v>0</v>
          </cell>
          <cell r="X6394" t="str">
            <v>0</v>
          </cell>
        </row>
        <row r="6395">
          <cell r="I6395" t="str">
            <v>sim</v>
          </cell>
          <cell r="V6395" t="str">
            <v>not neg pair</v>
          </cell>
          <cell r="W6395">
            <v>0</v>
          </cell>
          <cell r="X6395" t="str">
            <v>0</v>
          </cell>
        </row>
        <row r="6396">
          <cell r="I6396" t="str">
            <v>sim</v>
          </cell>
          <cell r="V6396" t="str">
            <v>not</v>
          </cell>
          <cell r="W6396">
            <v>1</v>
          </cell>
          <cell r="X6396" t="str">
            <v>neg</v>
          </cell>
        </row>
        <row r="6397">
          <cell r="I6397" t="str">
            <v>sim</v>
          </cell>
          <cell r="V6397" t="str">
            <v>not</v>
          </cell>
          <cell r="W6397">
            <v>1</v>
          </cell>
          <cell r="X6397" t="str">
            <v>intens</v>
          </cell>
        </row>
        <row r="6398">
          <cell r="I6398" t="str">
            <v>met</v>
          </cell>
          <cell r="V6398" t="str">
            <v>0</v>
          </cell>
          <cell r="W6398">
            <v>0</v>
          </cell>
          <cell r="X6398" t="str">
            <v>0</v>
          </cell>
        </row>
        <row r="6399">
          <cell r="I6399" t="str">
            <v>met</v>
          </cell>
          <cell r="V6399" t="str">
            <v>0</v>
          </cell>
          <cell r="W6399">
            <v>0</v>
          </cell>
          <cell r="X6399" t="str">
            <v>0</v>
          </cell>
        </row>
        <row r="6400">
          <cell r="I6400" t="str">
            <v>sim</v>
          </cell>
          <cell r="V6400" t="str">
            <v>not neg pair</v>
          </cell>
          <cell r="W6400">
            <v>0</v>
          </cell>
          <cell r="X6400" t="str">
            <v>0</v>
          </cell>
        </row>
        <row r="6401">
          <cell r="I6401" t="str">
            <v>sim</v>
          </cell>
          <cell r="V6401" t="str">
            <v>not neg pair</v>
          </cell>
          <cell r="W6401">
            <v>0</v>
          </cell>
          <cell r="X6401" t="str">
            <v>0</v>
          </cell>
        </row>
        <row r="6402">
          <cell r="I6402" t="str">
            <v>sim</v>
          </cell>
          <cell r="V6402" t="str">
            <v>not neg pair</v>
          </cell>
          <cell r="W6402">
            <v>0</v>
          </cell>
          <cell r="X6402" t="str">
            <v>0</v>
          </cell>
        </row>
        <row r="6403">
          <cell r="I6403" t="str">
            <v>sim</v>
          </cell>
          <cell r="V6403" t="str">
            <v>not neg pair</v>
          </cell>
          <cell r="W6403">
            <v>0</v>
          </cell>
          <cell r="X6403" t="str">
            <v>0</v>
          </cell>
        </row>
        <row r="6404">
          <cell r="I6404" t="str">
            <v>sim</v>
          </cell>
          <cell r="V6404" t="str">
            <v>not</v>
          </cell>
          <cell r="W6404">
            <v>1</v>
          </cell>
          <cell r="X6404" t="str">
            <v>intens</v>
          </cell>
        </row>
        <row r="6405">
          <cell r="I6405" t="str">
            <v>sim</v>
          </cell>
          <cell r="V6405" t="str">
            <v>not</v>
          </cell>
          <cell r="W6405">
            <v>1</v>
          </cell>
          <cell r="X6405" t="str">
            <v>neg</v>
          </cell>
        </row>
        <row r="6406">
          <cell r="I6406" t="str">
            <v>sim</v>
          </cell>
          <cell r="V6406" t="str">
            <v>antonym</v>
          </cell>
          <cell r="W6406">
            <v>1</v>
          </cell>
          <cell r="X6406" t="str">
            <v>intens</v>
          </cell>
        </row>
        <row r="6407">
          <cell r="I6407" t="str">
            <v>sim</v>
          </cell>
          <cell r="V6407" t="str">
            <v>antonym</v>
          </cell>
          <cell r="W6407">
            <v>1</v>
          </cell>
          <cell r="X6407" t="str">
            <v>neg</v>
          </cell>
        </row>
        <row r="6408">
          <cell r="I6408" t="str">
            <v>sim</v>
          </cell>
          <cell r="V6408" t="str">
            <v>not neg pair</v>
          </cell>
          <cell r="W6408">
            <v>0</v>
          </cell>
          <cell r="X6408" t="str">
            <v>0</v>
          </cell>
        </row>
        <row r="6409">
          <cell r="I6409" t="str">
            <v>sim</v>
          </cell>
          <cell r="V6409" t="str">
            <v>not neg pair</v>
          </cell>
          <cell r="W6409">
            <v>0</v>
          </cell>
          <cell r="X6409" t="str">
            <v>0</v>
          </cell>
        </row>
        <row r="6410">
          <cell r="I6410" t="str">
            <v>sim</v>
          </cell>
          <cell r="V6410" t="str">
            <v>not neg pair</v>
          </cell>
          <cell r="W6410">
            <v>0</v>
          </cell>
          <cell r="X6410" t="str">
            <v>0</v>
          </cell>
        </row>
        <row r="6411">
          <cell r="I6411" t="str">
            <v>sim</v>
          </cell>
          <cell r="V6411" t="str">
            <v>not neg pair</v>
          </cell>
          <cell r="W6411">
            <v>0</v>
          </cell>
          <cell r="X6411" t="str">
            <v>0</v>
          </cell>
        </row>
        <row r="6412">
          <cell r="I6412" t="str">
            <v>sim</v>
          </cell>
          <cell r="V6412" t="str">
            <v>antonym</v>
          </cell>
          <cell r="W6412">
            <v>1</v>
          </cell>
          <cell r="X6412" t="str">
            <v>neg</v>
          </cell>
        </row>
        <row r="6413">
          <cell r="I6413" t="str">
            <v>sim</v>
          </cell>
          <cell r="V6413" t="str">
            <v>antonym</v>
          </cell>
          <cell r="W6413">
            <v>1</v>
          </cell>
          <cell r="X6413" t="str">
            <v>intens</v>
          </cell>
        </row>
        <row r="6414">
          <cell r="I6414" t="str">
            <v>sim</v>
          </cell>
          <cell r="V6414" t="str">
            <v>not neg pair</v>
          </cell>
          <cell r="W6414">
            <v>0</v>
          </cell>
          <cell r="X6414" t="str">
            <v>0</v>
          </cell>
        </row>
        <row r="6415">
          <cell r="I6415" t="str">
            <v>sim</v>
          </cell>
          <cell r="V6415" t="str">
            <v>not neg pair</v>
          </cell>
          <cell r="W6415">
            <v>0</v>
          </cell>
          <cell r="X6415" t="str">
            <v>0</v>
          </cell>
        </row>
        <row r="6416">
          <cell r="I6416" t="str">
            <v>sim</v>
          </cell>
          <cell r="V6416" t="str">
            <v>antonym</v>
          </cell>
          <cell r="W6416">
            <v>1</v>
          </cell>
          <cell r="X6416" t="str">
            <v>intens</v>
          </cell>
        </row>
        <row r="6417">
          <cell r="I6417" t="str">
            <v>sim</v>
          </cell>
          <cell r="V6417" t="str">
            <v>antonym</v>
          </cell>
          <cell r="W6417">
            <v>1</v>
          </cell>
          <cell r="X6417" t="str">
            <v>neg</v>
          </cell>
        </row>
        <row r="6418">
          <cell r="I6418" t="str">
            <v>sim</v>
          </cell>
          <cell r="V6418" t="str">
            <v>not neg pair</v>
          </cell>
          <cell r="W6418">
            <v>0</v>
          </cell>
          <cell r="X6418" t="str">
            <v>0</v>
          </cell>
        </row>
        <row r="6419">
          <cell r="I6419" t="str">
            <v>sim</v>
          </cell>
          <cell r="V6419" t="str">
            <v>not neg pair</v>
          </cell>
          <cell r="W6419">
            <v>0</v>
          </cell>
          <cell r="X6419" t="str">
            <v>0</v>
          </cell>
        </row>
        <row r="6420">
          <cell r="I6420" t="str">
            <v>sim</v>
          </cell>
          <cell r="V6420" t="str">
            <v>not neg pair</v>
          </cell>
          <cell r="W6420">
            <v>0</v>
          </cell>
          <cell r="X6420" t="str">
            <v>0</v>
          </cell>
        </row>
        <row r="6421">
          <cell r="I6421" t="str">
            <v>sim</v>
          </cell>
          <cell r="V6421" t="str">
            <v>not neg pair</v>
          </cell>
          <cell r="W6421">
            <v>0</v>
          </cell>
          <cell r="X6421" t="str">
            <v>0</v>
          </cell>
        </row>
        <row r="6422">
          <cell r="I6422" t="str">
            <v>sim</v>
          </cell>
          <cell r="V6422" t="str">
            <v>antonym</v>
          </cell>
          <cell r="W6422">
            <v>1</v>
          </cell>
          <cell r="X6422" t="str">
            <v>intens</v>
          </cell>
        </row>
        <row r="6423">
          <cell r="I6423" t="str">
            <v>sim</v>
          </cell>
          <cell r="V6423" t="str">
            <v>antonym</v>
          </cell>
          <cell r="W6423">
            <v>1</v>
          </cell>
          <cell r="X6423" t="str">
            <v>neg</v>
          </cell>
        </row>
        <row r="6424">
          <cell r="I6424" t="str">
            <v>sim</v>
          </cell>
          <cell r="V6424" t="str">
            <v>not neg pair</v>
          </cell>
          <cell r="W6424">
            <v>0</v>
          </cell>
          <cell r="X6424" t="str">
            <v>0</v>
          </cell>
        </row>
        <row r="6425">
          <cell r="I6425" t="str">
            <v>sim</v>
          </cell>
          <cell r="V6425" t="str">
            <v>not neg pair</v>
          </cell>
          <cell r="W6425">
            <v>0</v>
          </cell>
          <cell r="X6425" t="str">
            <v>0</v>
          </cell>
        </row>
        <row r="6426">
          <cell r="I6426" t="str">
            <v>sim</v>
          </cell>
          <cell r="V6426" t="str">
            <v>not neg pair</v>
          </cell>
          <cell r="W6426">
            <v>0</v>
          </cell>
          <cell r="X6426" t="str">
            <v>0</v>
          </cell>
        </row>
        <row r="6427">
          <cell r="I6427" t="str">
            <v>sim</v>
          </cell>
          <cell r="V6427" t="str">
            <v>not neg pair</v>
          </cell>
          <cell r="W6427">
            <v>0</v>
          </cell>
          <cell r="X6427" t="str">
            <v>0</v>
          </cell>
        </row>
        <row r="6428">
          <cell r="I6428" t="str">
            <v>sim</v>
          </cell>
          <cell r="V6428" t="str">
            <v>not neg pair</v>
          </cell>
          <cell r="W6428">
            <v>0</v>
          </cell>
          <cell r="X6428" t="str">
            <v>0</v>
          </cell>
        </row>
        <row r="6429">
          <cell r="I6429" t="str">
            <v>sim</v>
          </cell>
          <cell r="V6429" t="str">
            <v>not neg pair</v>
          </cell>
          <cell r="W6429">
            <v>0</v>
          </cell>
          <cell r="X6429" t="str">
            <v>0</v>
          </cell>
        </row>
        <row r="6430">
          <cell r="I6430" t="str">
            <v>sim</v>
          </cell>
          <cell r="V6430" t="str">
            <v>antonym</v>
          </cell>
          <cell r="W6430">
            <v>1</v>
          </cell>
          <cell r="X6430" t="str">
            <v>intens</v>
          </cell>
        </row>
        <row r="6431">
          <cell r="I6431" t="str">
            <v>sim</v>
          </cell>
          <cell r="V6431" t="str">
            <v>antonym</v>
          </cell>
          <cell r="W6431">
            <v>1</v>
          </cell>
          <cell r="X6431" t="str">
            <v>neg</v>
          </cell>
        </row>
        <row r="6432">
          <cell r="I6432" t="str">
            <v>sim</v>
          </cell>
          <cell r="V6432" t="str">
            <v>not neg pair</v>
          </cell>
          <cell r="W6432">
            <v>0</v>
          </cell>
          <cell r="X6432" t="str">
            <v>0</v>
          </cell>
        </row>
        <row r="6433">
          <cell r="I6433" t="str">
            <v>sim</v>
          </cell>
          <cell r="V6433" t="str">
            <v>not neg pair</v>
          </cell>
          <cell r="W6433">
            <v>0</v>
          </cell>
          <cell r="X6433" t="str">
            <v>0</v>
          </cell>
        </row>
        <row r="6434">
          <cell r="I6434" t="str">
            <v>sim</v>
          </cell>
          <cell r="V6434" t="str">
            <v>not neg pair</v>
          </cell>
          <cell r="W6434">
            <v>0</v>
          </cell>
          <cell r="X6434" t="str">
            <v>0</v>
          </cell>
        </row>
        <row r="6435">
          <cell r="I6435" t="str">
            <v>sim</v>
          </cell>
          <cell r="V6435" t="str">
            <v>not neg pair</v>
          </cell>
          <cell r="W6435">
            <v>0</v>
          </cell>
          <cell r="X6435" t="str">
            <v>0</v>
          </cell>
        </row>
        <row r="6436">
          <cell r="I6436" t="str">
            <v>sim</v>
          </cell>
          <cell r="V6436" t="str">
            <v>not</v>
          </cell>
          <cell r="W6436">
            <v>1</v>
          </cell>
          <cell r="X6436" t="str">
            <v>intens</v>
          </cell>
        </row>
        <row r="6437">
          <cell r="I6437" t="str">
            <v>sim</v>
          </cell>
          <cell r="V6437" t="str">
            <v>not</v>
          </cell>
          <cell r="W6437">
            <v>1</v>
          </cell>
          <cell r="X6437" t="str">
            <v>neg</v>
          </cell>
        </row>
        <row r="6438">
          <cell r="I6438" t="str">
            <v>sim</v>
          </cell>
          <cell r="V6438" t="str">
            <v>not neg pair</v>
          </cell>
          <cell r="W6438">
            <v>0</v>
          </cell>
          <cell r="X6438" t="str">
            <v>0</v>
          </cell>
        </row>
        <row r="6439">
          <cell r="I6439" t="str">
            <v>sim</v>
          </cell>
          <cell r="V6439" t="str">
            <v>not neg pair</v>
          </cell>
          <cell r="W6439">
            <v>0</v>
          </cell>
          <cell r="X6439" t="str">
            <v>0</v>
          </cell>
        </row>
        <row r="6440">
          <cell r="I6440" t="str">
            <v>met</v>
          </cell>
          <cell r="V6440" t="str">
            <v>0</v>
          </cell>
          <cell r="W6440">
            <v>0</v>
          </cell>
          <cell r="X6440" t="str">
            <v>0</v>
          </cell>
        </row>
        <row r="6441">
          <cell r="I6441" t="str">
            <v>met</v>
          </cell>
          <cell r="V6441" t="str">
            <v>0</v>
          </cell>
          <cell r="W6441">
            <v>0</v>
          </cell>
          <cell r="X6441" t="str">
            <v>0</v>
          </cell>
        </row>
        <row r="6442">
          <cell r="I6442" t="str">
            <v>sim</v>
          </cell>
          <cell r="V6442" t="str">
            <v>not neg pair</v>
          </cell>
          <cell r="W6442">
            <v>0</v>
          </cell>
          <cell r="X6442" t="str">
            <v>0</v>
          </cell>
        </row>
        <row r="6443">
          <cell r="I6443" t="str">
            <v>sim</v>
          </cell>
          <cell r="V6443" t="str">
            <v>not neg pair</v>
          </cell>
          <cell r="W6443">
            <v>0</v>
          </cell>
          <cell r="X6443" t="str">
            <v>0</v>
          </cell>
        </row>
        <row r="6444">
          <cell r="I6444" t="str">
            <v>sim</v>
          </cell>
          <cell r="V6444" t="str">
            <v>not neg pair</v>
          </cell>
          <cell r="W6444">
            <v>0</v>
          </cell>
          <cell r="X6444" t="str">
            <v>0</v>
          </cell>
        </row>
        <row r="6445">
          <cell r="I6445" t="str">
            <v>sim</v>
          </cell>
          <cell r="V6445" t="str">
            <v>not neg pair</v>
          </cell>
          <cell r="W6445">
            <v>0</v>
          </cell>
          <cell r="X6445" t="str">
            <v>0</v>
          </cell>
        </row>
        <row r="6446">
          <cell r="I6446" t="str">
            <v>sim</v>
          </cell>
          <cell r="V6446" t="str">
            <v>not neg pair</v>
          </cell>
          <cell r="W6446">
            <v>0</v>
          </cell>
          <cell r="X6446" t="str">
            <v>0</v>
          </cell>
        </row>
        <row r="6447">
          <cell r="I6447" t="str">
            <v>sim</v>
          </cell>
          <cell r="V6447" t="str">
            <v>not neg pair</v>
          </cell>
          <cell r="W6447">
            <v>0</v>
          </cell>
          <cell r="X6447" t="str">
            <v>0</v>
          </cell>
        </row>
        <row r="6448">
          <cell r="I6448" t="str">
            <v>sim</v>
          </cell>
          <cell r="V6448" t="str">
            <v>antonym</v>
          </cell>
          <cell r="W6448">
            <v>1</v>
          </cell>
          <cell r="X6448" t="str">
            <v>intens</v>
          </cell>
        </row>
        <row r="6449">
          <cell r="I6449" t="str">
            <v>sim</v>
          </cell>
          <cell r="V6449" t="str">
            <v>antonym</v>
          </cell>
          <cell r="W6449">
            <v>1</v>
          </cell>
          <cell r="X6449" t="str">
            <v>neg</v>
          </cell>
        </row>
        <row r="6450">
          <cell r="I6450" t="str">
            <v>sim</v>
          </cell>
          <cell r="V6450" t="str">
            <v>not neg pair</v>
          </cell>
          <cell r="W6450">
            <v>0</v>
          </cell>
          <cell r="X6450" t="str">
            <v>0</v>
          </cell>
        </row>
        <row r="6451">
          <cell r="I6451" t="str">
            <v>sim</v>
          </cell>
          <cell r="V6451" t="str">
            <v>not neg pair</v>
          </cell>
          <cell r="W6451">
            <v>0</v>
          </cell>
          <cell r="X6451" t="str">
            <v>0</v>
          </cell>
        </row>
        <row r="6452">
          <cell r="I6452" t="str">
            <v>sim</v>
          </cell>
          <cell r="V6452" t="str">
            <v>antonym</v>
          </cell>
          <cell r="W6452">
            <v>1</v>
          </cell>
          <cell r="X6452" t="str">
            <v>intens</v>
          </cell>
        </row>
        <row r="6453">
          <cell r="I6453" t="str">
            <v>sim</v>
          </cell>
          <cell r="V6453" t="str">
            <v>antonym</v>
          </cell>
          <cell r="W6453">
            <v>1</v>
          </cell>
          <cell r="X6453" t="str">
            <v>neg</v>
          </cell>
        </row>
        <row r="6454">
          <cell r="I6454" t="str">
            <v>sim</v>
          </cell>
          <cell r="V6454" t="str">
            <v>not</v>
          </cell>
          <cell r="W6454">
            <v>1</v>
          </cell>
          <cell r="X6454" t="str">
            <v>intens</v>
          </cell>
        </row>
        <row r="6455">
          <cell r="I6455" t="str">
            <v>sim</v>
          </cell>
          <cell r="V6455" t="str">
            <v>not</v>
          </cell>
          <cell r="W6455">
            <v>1</v>
          </cell>
          <cell r="X6455" t="str">
            <v>neg</v>
          </cell>
        </row>
        <row r="6456">
          <cell r="I6456" t="str">
            <v>sim</v>
          </cell>
          <cell r="V6456" t="str">
            <v>not neg pair</v>
          </cell>
          <cell r="W6456">
            <v>0</v>
          </cell>
          <cell r="X6456" t="str">
            <v>0</v>
          </cell>
        </row>
        <row r="6457">
          <cell r="I6457" t="str">
            <v>sim</v>
          </cell>
          <cell r="V6457" t="str">
            <v>not neg pair</v>
          </cell>
          <cell r="W6457">
            <v>0</v>
          </cell>
          <cell r="X6457" t="str">
            <v>0</v>
          </cell>
        </row>
        <row r="6458">
          <cell r="I6458" t="str">
            <v>sim</v>
          </cell>
          <cell r="V6458" t="str">
            <v>not neg pair</v>
          </cell>
          <cell r="W6458">
            <v>0</v>
          </cell>
          <cell r="X6458" t="str">
            <v>0</v>
          </cell>
        </row>
        <row r="6459">
          <cell r="I6459" t="str">
            <v>sim</v>
          </cell>
          <cell r="V6459" t="str">
            <v>not neg pair</v>
          </cell>
          <cell r="W6459">
            <v>0</v>
          </cell>
          <cell r="X6459" t="str">
            <v>0</v>
          </cell>
        </row>
        <row r="6460">
          <cell r="I6460" t="str">
            <v>sim</v>
          </cell>
          <cell r="V6460" t="str">
            <v>not neg pair</v>
          </cell>
          <cell r="W6460">
            <v>0</v>
          </cell>
          <cell r="X6460" t="str">
            <v>0</v>
          </cell>
        </row>
        <row r="6461">
          <cell r="I6461" t="str">
            <v>sim</v>
          </cell>
          <cell r="V6461" t="str">
            <v>not neg pair</v>
          </cell>
          <cell r="W6461">
            <v>0</v>
          </cell>
          <cell r="X6461" t="str">
            <v>0</v>
          </cell>
        </row>
        <row r="6462">
          <cell r="I6462" t="str">
            <v>sim</v>
          </cell>
          <cell r="V6462" t="str">
            <v>antonym</v>
          </cell>
          <cell r="W6462">
            <v>1</v>
          </cell>
          <cell r="X6462" t="str">
            <v>neg</v>
          </cell>
        </row>
        <row r="6463">
          <cell r="I6463" t="str">
            <v>sim</v>
          </cell>
          <cell r="V6463" t="str">
            <v>antonym</v>
          </cell>
          <cell r="W6463">
            <v>1</v>
          </cell>
          <cell r="X6463" t="str">
            <v>intens</v>
          </cell>
        </row>
        <row r="6464">
          <cell r="I6464" t="str">
            <v>sim</v>
          </cell>
          <cell r="V6464" t="str">
            <v>antonym</v>
          </cell>
          <cell r="W6464">
            <v>1</v>
          </cell>
          <cell r="X6464" t="str">
            <v>intens</v>
          </cell>
        </row>
        <row r="6465">
          <cell r="I6465" t="str">
            <v>sim</v>
          </cell>
          <cell r="V6465" t="str">
            <v>antonym</v>
          </cell>
          <cell r="W6465">
            <v>1</v>
          </cell>
          <cell r="X6465" t="str">
            <v>neg</v>
          </cell>
        </row>
        <row r="6466">
          <cell r="I6466" t="str">
            <v>sim</v>
          </cell>
          <cell r="V6466" t="str">
            <v>not</v>
          </cell>
          <cell r="W6466">
            <v>1</v>
          </cell>
          <cell r="X6466" t="str">
            <v>intens</v>
          </cell>
        </row>
        <row r="6467">
          <cell r="I6467" t="str">
            <v>sim</v>
          </cell>
          <cell r="V6467" t="str">
            <v>not</v>
          </cell>
          <cell r="W6467">
            <v>1</v>
          </cell>
          <cell r="X6467" t="str">
            <v>neg</v>
          </cell>
        </row>
        <row r="6468">
          <cell r="I6468" t="str">
            <v>sim</v>
          </cell>
          <cell r="V6468" t="str">
            <v>antonym</v>
          </cell>
          <cell r="W6468">
            <v>1</v>
          </cell>
          <cell r="X6468" t="str">
            <v>neg</v>
          </cell>
        </row>
        <row r="6469">
          <cell r="I6469" t="str">
            <v>sim</v>
          </cell>
          <cell r="V6469" t="str">
            <v>antonym</v>
          </cell>
          <cell r="W6469">
            <v>1</v>
          </cell>
          <cell r="X6469" t="str">
            <v>intens</v>
          </cell>
        </row>
        <row r="6470">
          <cell r="I6470" t="str">
            <v>sim</v>
          </cell>
          <cell r="V6470" t="str">
            <v>not</v>
          </cell>
          <cell r="W6470">
            <v>1</v>
          </cell>
          <cell r="X6470" t="str">
            <v>intens</v>
          </cell>
        </row>
        <row r="6471">
          <cell r="I6471" t="str">
            <v>sim</v>
          </cell>
          <cell r="V6471" t="str">
            <v>not</v>
          </cell>
          <cell r="W6471">
            <v>1</v>
          </cell>
          <cell r="X6471" t="str">
            <v>neg</v>
          </cell>
        </row>
        <row r="6472">
          <cell r="I6472" t="str">
            <v>sim</v>
          </cell>
          <cell r="V6472" t="str">
            <v>not neg pair</v>
          </cell>
          <cell r="W6472">
            <v>0</v>
          </cell>
          <cell r="X6472" t="str">
            <v>0</v>
          </cell>
        </row>
        <row r="6473">
          <cell r="I6473" t="str">
            <v>sim</v>
          </cell>
          <cell r="V6473" t="str">
            <v>not neg pair</v>
          </cell>
          <cell r="W6473">
            <v>0</v>
          </cell>
          <cell r="X6473" t="str">
            <v>0</v>
          </cell>
        </row>
        <row r="6474">
          <cell r="I6474" t="str">
            <v>sim</v>
          </cell>
          <cell r="V6474" t="str">
            <v>not neg pair</v>
          </cell>
          <cell r="W6474">
            <v>0</v>
          </cell>
          <cell r="X6474" t="str">
            <v>0</v>
          </cell>
        </row>
        <row r="6475">
          <cell r="I6475" t="str">
            <v>sim</v>
          </cell>
          <cell r="V6475" t="str">
            <v>not neg pair</v>
          </cell>
          <cell r="W6475">
            <v>0</v>
          </cell>
          <cell r="X6475" t="str">
            <v>0</v>
          </cell>
        </row>
        <row r="6476">
          <cell r="I6476" t="str">
            <v>sim</v>
          </cell>
          <cell r="V6476" t="str">
            <v>not</v>
          </cell>
          <cell r="W6476">
            <v>1</v>
          </cell>
          <cell r="X6476" t="str">
            <v>neg</v>
          </cell>
        </row>
        <row r="6477">
          <cell r="I6477" t="str">
            <v>sim</v>
          </cell>
          <cell r="V6477" t="str">
            <v>not</v>
          </cell>
          <cell r="W6477">
            <v>1</v>
          </cell>
          <cell r="X6477" t="str">
            <v>intens</v>
          </cell>
        </row>
        <row r="6478">
          <cell r="I6478" t="str">
            <v>met</v>
          </cell>
          <cell r="V6478" t="str">
            <v>0</v>
          </cell>
          <cell r="W6478">
            <v>0</v>
          </cell>
          <cell r="X6478" t="str">
            <v>0</v>
          </cell>
        </row>
        <row r="6479">
          <cell r="I6479" t="str">
            <v>met</v>
          </cell>
          <cell r="V6479" t="str">
            <v>0</v>
          </cell>
          <cell r="W6479">
            <v>0</v>
          </cell>
          <cell r="X6479" t="str">
            <v>0</v>
          </cell>
        </row>
        <row r="6480">
          <cell r="I6480" t="str">
            <v>met</v>
          </cell>
          <cell r="V6480" t="str">
            <v>0</v>
          </cell>
          <cell r="W6480">
            <v>0</v>
          </cell>
          <cell r="X6480" t="str">
            <v>0</v>
          </cell>
        </row>
        <row r="6481">
          <cell r="I6481" t="str">
            <v>met</v>
          </cell>
          <cell r="V6481" t="str">
            <v>0</v>
          </cell>
          <cell r="W6481">
            <v>0</v>
          </cell>
          <cell r="X6481" t="str">
            <v>0</v>
          </cell>
        </row>
        <row r="6482">
          <cell r="I6482" t="str">
            <v>sim</v>
          </cell>
          <cell r="V6482" t="str">
            <v>antonym</v>
          </cell>
          <cell r="W6482">
            <v>1</v>
          </cell>
          <cell r="X6482" t="str">
            <v>intens</v>
          </cell>
        </row>
        <row r="6483">
          <cell r="I6483" t="str">
            <v>sim</v>
          </cell>
          <cell r="V6483" t="str">
            <v>antonym</v>
          </cell>
          <cell r="W6483">
            <v>1</v>
          </cell>
          <cell r="X6483" t="str">
            <v>neg</v>
          </cell>
        </row>
        <row r="6484">
          <cell r="I6484" t="str">
            <v>sim</v>
          </cell>
          <cell r="V6484" t="str">
            <v>not neg pair</v>
          </cell>
          <cell r="W6484">
            <v>0</v>
          </cell>
          <cell r="X6484" t="str">
            <v>0</v>
          </cell>
        </row>
        <row r="6485">
          <cell r="I6485" t="str">
            <v>sim</v>
          </cell>
          <cell r="V6485" t="str">
            <v>not neg pair</v>
          </cell>
          <cell r="W6485">
            <v>0</v>
          </cell>
          <cell r="X6485" t="str">
            <v>0</v>
          </cell>
        </row>
        <row r="6486">
          <cell r="I6486" t="str">
            <v>sim</v>
          </cell>
          <cell r="V6486" t="str">
            <v>not</v>
          </cell>
          <cell r="W6486">
            <v>1</v>
          </cell>
          <cell r="X6486" t="str">
            <v>neg</v>
          </cell>
        </row>
        <row r="6487">
          <cell r="I6487" t="str">
            <v>sim</v>
          </cell>
          <cell r="V6487" t="str">
            <v>not</v>
          </cell>
          <cell r="W6487">
            <v>1</v>
          </cell>
          <cell r="X6487" t="str">
            <v>intens</v>
          </cell>
        </row>
        <row r="6488">
          <cell r="I6488" t="str">
            <v>sim</v>
          </cell>
          <cell r="V6488" t="str">
            <v>not</v>
          </cell>
          <cell r="W6488">
            <v>1</v>
          </cell>
          <cell r="X6488" t="str">
            <v>neg</v>
          </cell>
        </row>
        <row r="6489">
          <cell r="I6489" t="str">
            <v>sim</v>
          </cell>
          <cell r="V6489" t="str">
            <v>not</v>
          </cell>
          <cell r="W6489">
            <v>1</v>
          </cell>
          <cell r="X6489" t="str">
            <v>intens</v>
          </cell>
        </row>
        <row r="6490">
          <cell r="I6490" t="str">
            <v>sim</v>
          </cell>
          <cell r="V6490" t="str">
            <v>not</v>
          </cell>
          <cell r="W6490">
            <v>1</v>
          </cell>
          <cell r="X6490" t="str">
            <v>intens</v>
          </cell>
        </row>
        <row r="6491">
          <cell r="I6491" t="str">
            <v>sim</v>
          </cell>
          <cell r="V6491" t="str">
            <v>not</v>
          </cell>
          <cell r="W6491">
            <v>1</v>
          </cell>
          <cell r="X6491" t="str">
            <v>neg</v>
          </cell>
        </row>
        <row r="6492">
          <cell r="I6492" t="str">
            <v>sim</v>
          </cell>
          <cell r="V6492" t="str">
            <v>not</v>
          </cell>
          <cell r="W6492">
            <v>1</v>
          </cell>
          <cell r="X6492" t="str">
            <v>intens</v>
          </cell>
        </row>
        <row r="6493">
          <cell r="I6493" t="str">
            <v>sim</v>
          </cell>
          <cell r="V6493" t="str">
            <v>not</v>
          </cell>
          <cell r="W6493">
            <v>1</v>
          </cell>
          <cell r="X6493" t="str">
            <v>neg</v>
          </cell>
        </row>
        <row r="6494">
          <cell r="I6494" t="str">
            <v>sim</v>
          </cell>
          <cell r="V6494" t="str">
            <v>not</v>
          </cell>
          <cell r="W6494">
            <v>1</v>
          </cell>
          <cell r="X6494" t="str">
            <v>intens</v>
          </cell>
        </row>
        <row r="6495">
          <cell r="I6495" t="str">
            <v>sim</v>
          </cell>
          <cell r="V6495" t="str">
            <v>not</v>
          </cell>
          <cell r="W6495">
            <v>1</v>
          </cell>
          <cell r="X6495" t="str">
            <v>neg</v>
          </cell>
        </row>
        <row r="6496">
          <cell r="I6496" t="str">
            <v>sim</v>
          </cell>
          <cell r="V6496" t="str">
            <v>not</v>
          </cell>
          <cell r="W6496">
            <v>1</v>
          </cell>
          <cell r="X6496" t="str">
            <v>neg</v>
          </cell>
        </row>
        <row r="6497">
          <cell r="I6497" t="str">
            <v>sim</v>
          </cell>
          <cell r="V6497" t="str">
            <v>not</v>
          </cell>
          <cell r="W6497">
            <v>1</v>
          </cell>
          <cell r="X6497" t="str">
            <v>intens</v>
          </cell>
        </row>
        <row r="6498">
          <cell r="I6498" t="str">
            <v>sim</v>
          </cell>
          <cell r="V6498" t="str">
            <v>not neg pair</v>
          </cell>
          <cell r="W6498">
            <v>0</v>
          </cell>
          <cell r="X6498" t="str">
            <v>0</v>
          </cell>
        </row>
        <row r="6499">
          <cell r="I6499" t="str">
            <v>sim</v>
          </cell>
          <cell r="V6499" t="str">
            <v>not neg pair</v>
          </cell>
          <cell r="W6499">
            <v>0</v>
          </cell>
          <cell r="X6499" t="str">
            <v>0</v>
          </cell>
        </row>
        <row r="6500">
          <cell r="I6500" t="str">
            <v>sim</v>
          </cell>
          <cell r="V6500" t="str">
            <v>not neg pair</v>
          </cell>
          <cell r="W6500">
            <v>0</v>
          </cell>
          <cell r="X6500" t="str">
            <v>0</v>
          </cell>
        </row>
        <row r="6501">
          <cell r="I6501" t="str">
            <v>sim</v>
          </cell>
          <cell r="V6501" t="str">
            <v>not neg pair</v>
          </cell>
          <cell r="W6501">
            <v>0</v>
          </cell>
          <cell r="X6501" t="str">
            <v>0</v>
          </cell>
        </row>
        <row r="6502">
          <cell r="I6502" t="str">
            <v>sim</v>
          </cell>
          <cell r="V6502" t="str">
            <v>not neg pair</v>
          </cell>
          <cell r="W6502">
            <v>0</v>
          </cell>
          <cell r="X6502" t="str">
            <v>0</v>
          </cell>
        </row>
        <row r="6503">
          <cell r="I6503" t="str">
            <v>sim</v>
          </cell>
          <cell r="V6503" t="str">
            <v>not neg pair</v>
          </cell>
          <cell r="W6503">
            <v>0</v>
          </cell>
          <cell r="X6503" t="str">
            <v>0</v>
          </cell>
        </row>
        <row r="6504">
          <cell r="I6504" t="str">
            <v>sim</v>
          </cell>
          <cell r="V6504" t="str">
            <v>not neg pair</v>
          </cell>
          <cell r="W6504">
            <v>0</v>
          </cell>
          <cell r="X6504" t="str">
            <v>0</v>
          </cell>
        </row>
        <row r="6505">
          <cell r="I6505" t="str">
            <v>sim</v>
          </cell>
          <cell r="V6505" t="str">
            <v>not neg pair</v>
          </cell>
          <cell r="W6505">
            <v>0</v>
          </cell>
          <cell r="X6505" t="str">
            <v>0</v>
          </cell>
        </row>
        <row r="6506">
          <cell r="I6506" t="str">
            <v>sim</v>
          </cell>
          <cell r="V6506" t="str">
            <v>not neg pair</v>
          </cell>
          <cell r="W6506">
            <v>0</v>
          </cell>
          <cell r="X6506" t="str">
            <v>0</v>
          </cell>
        </row>
        <row r="6507">
          <cell r="I6507" t="str">
            <v>sim</v>
          </cell>
          <cell r="V6507" t="str">
            <v>not neg pair</v>
          </cell>
          <cell r="W6507">
            <v>0</v>
          </cell>
          <cell r="X6507" t="str">
            <v>0</v>
          </cell>
        </row>
        <row r="6508">
          <cell r="I6508" t="str">
            <v>sim</v>
          </cell>
          <cell r="V6508" t="str">
            <v>not neg pair</v>
          </cell>
          <cell r="W6508">
            <v>0</v>
          </cell>
          <cell r="X6508" t="str">
            <v>0</v>
          </cell>
        </row>
        <row r="6509">
          <cell r="I6509" t="str">
            <v>sim</v>
          </cell>
          <cell r="V6509" t="str">
            <v>not neg pair</v>
          </cell>
          <cell r="W6509">
            <v>0</v>
          </cell>
          <cell r="X6509" t="str">
            <v>0</v>
          </cell>
        </row>
        <row r="6510">
          <cell r="I6510" t="str">
            <v>sim</v>
          </cell>
          <cell r="V6510" t="str">
            <v>not</v>
          </cell>
          <cell r="W6510">
            <v>1</v>
          </cell>
          <cell r="X6510" t="str">
            <v>neg</v>
          </cell>
        </row>
        <row r="6511">
          <cell r="I6511" t="str">
            <v>sim</v>
          </cell>
          <cell r="V6511" t="str">
            <v>not</v>
          </cell>
          <cell r="W6511">
            <v>1</v>
          </cell>
          <cell r="X6511" t="str">
            <v>intens</v>
          </cell>
        </row>
        <row r="6512">
          <cell r="I6512" t="str">
            <v>sim</v>
          </cell>
          <cell r="V6512" t="str">
            <v>antonym</v>
          </cell>
          <cell r="W6512">
            <v>1</v>
          </cell>
          <cell r="X6512" t="str">
            <v>intens</v>
          </cell>
        </row>
        <row r="6513">
          <cell r="I6513" t="str">
            <v>sim</v>
          </cell>
          <cell r="V6513" t="str">
            <v>antonym</v>
          </cell>
          <cell r="W6513">
            <v>1</v>
          </cell>
          <cell r="X6513" t="str">
            <v>neg</v>
          </cell>
        </row>
        <row r="6514">
          <cell r="I6514" t="str">
            <v>sim</v>
          </cell>
          <cell r="V6514" t="str">
            <v>not neg pair</v>
          </cell>
          <cell r="W6514">
            <v>0</v>
          </cell>
          <cell r="X6514" t="str">
            <v>0</v>
          </cell>
        </row>
        <row r="6515">
          <cell r="I6515" t="str">
            <v>sim</v>
          </cell>
          <cell r="V6515" t="str">
            <v>not neg pair</v>
          </cell>
          <cell r="W6515">
            <v>0</v>
          </cell>
          <cell r="X6515" t="str">
            <v>0</v>
          </cell>
        </row>
        <row r="6516">
          <cell r="I6516" t="str">
            <v>sim</v>
          </cell>
          <cell r="V6516" t="str">
            <v>antonym</v>
          </cell>
          <cell r="W6516">
            <v>1</v>
          </cell>
          <cell r="X6516" t="str">
            <v>intens</v>
          </cell>
        </row>
        <row r="6517">
          <cell r="I6517" t="str">
            <v>sim</v>
          </cell>
          <cell r="V6517" t="str">
            <v>antonym</v>
          </cell>
          <cell r="W6517">
            <v>1</v>
          </cell>
          <cell r="X6517" t="str">
            <v>neg</v>
          </cell>
        </row>
        <row r="6518">
          <cell r="I6518" t="str">
            <v>sim</v>
          </cell>
          <cell r="V6518" t="str">
            <v>not neg pair</v>
          </cell>
          <cell r="W6518">
            <v>0</v>
          </cell>
          <cell r="X6518" t="str">
            <v>0</v>
          </cell>
        </row>
        <row r="6519">
          <cell r="I6519" t="str">
            <v>sim</v>
          </cell>
          <cell r="V6519" t="str">
            <v>not neg pair</v>
          </cell>
          <cell r="W6519">
            <v>0</v>
          </cell>
          <cell r="X6519" t="str">
            <v>0</v>
          </cell>
        </row>
        <row r="6520">
          <cell r="I6520" t="str">
            <v>sim</v>
          </cell>
          <cell r="V6520" t="str">
            <v>not neg pair</v>
          </cell>
          <cell r="W6520">
            <v>0</v>
          </cell>
          <cell r="X6520" t="str">
            <v>0</v>
          </cell>
        </row>
        <row r="6521">
          <cell r="I6521" t="str">
            <v>sim</v>
          </cell>
          <cell r="V6521" t="str">
            <v>not neg pair</v>
          </cell>
          <cell r="W6521">
            <v>0</v>
          </cell>
          <cell r="X6521" t="str">
            <v>0</v>
          </cell>
        </row>
        <row r="6522">
          <cell r="I6522" t="str">
            <v>sim</v>
          </cell>
          <cell r="V6522" t="str">
            <v>not neg pair</v>
          </cell>
          <cell r="W6522">
            <v>0</v>
          </cell>
          <cell r="X6522" t="str">
            <v>0</v>
          </cell>
        </row>
        <row r="6523">
          <cell r="I6523" t="str">
            <v>sim</v>
          </cell>
          <cell r="V6523" t="str">
            <v>not neg pair</v>
          </cell>
          <cell r="W6523">
            <v>0</v>
          </cell>
          <cell r="X6523" t="str">
            <v>0</v>
          </cell>
        </row>
        <row r="6524">
          <cell r="I6524" t="str">
            <v>sim</v>
          </cell>
          <cell r="V6524" t="str">
            <v>not neg pair</v>
          </cell>
          <cell r="W6524">
            <v>0</v>
          </cell>
          <cell r="X6524" t="str">
            <v>0</v>
          </cell>
        </row>
        <row r="6525">
          <cell r="I6525" t="str">
            <v>sim</v>
          </cell>
          <cell r="V6525" t="str">
            <v>not neg pair</v>
          </cell>
          <cell r="W6525">
            <v>0</v>
          </cell>
          <cell r="X6525" t="str">
            <v>0</v>
          </cell>
        </row>
        <row r="6526">
          <cell r="I6526" t="str">
            <v>sim</v>
          </cell>
          <cell r="V6526" t="str">
            <v>not neg pair</v>
          </cell>
          <cell r="W6526">
            <v>0</v>
          </cell>
          <cell r="X6526" t="str">
            <v>0</v>
          </cell>
        </row>
        <row r="6527">
          <cell r="I6527" t="str">
            <v>sim</v>
          </cell>
          <cell r="V6527" t="str">
            <v>not neg pair</v>
          </cell>
          <cell r="W6527">
            <v>0</v>
          </cell>
          <cell r="X6527" t="str">
            <v>0</v>
          </cell>
        </row>
        <row r="6528">
          <cell r="I6528" t="str">
            <v>sim</v>
          </cell>
          <cell r="V6528" t="str">
            <v>not</v>
          </cell>
          <cell r="W6528">
            <v>1</v>
          </cell>
          <cell r="X6528" t="str">
            <v>intens</v>
          </cell>
        </row>
        <row r="6529">
          <cell r="I6529" t="str">
            <v>sim</v>
          </cell>
          <cell r="V6529" t="str">
            <v>not</v>
          </cell>
          <cell r="W6529">
            <v>1</v>
          </cell>
          <cell r="X6529" t="str">
            <v>neg</v>
          </cell>
        </row>
        <row r="6530">
          <cell r="I6530" t="str">
            <v>sim</v>
          </cell>
          <cell r="V6530" t="str">
            <v>not</v>
          </cell>
          <cell r="W6530">
            <v>1</v>
          </cell>
          <cell r="X6530" t="str">
            <v>intens</v>
          </cell>
        </row>
        <row r="6531">
          <cell r="I6531" t="str">
            <v>sim</v>
          </cell>
          <cell r="V6531" t="str">
            <v>not</v>
          </cell>
          <cell r="W6531">
            <v>1</v>
          </cell>
          <cell r="X6531" t="str">
            <v>neg</v>
          </cell>
        </row>
        <row r="6532">
          <cell r="I6532" t="str">
            <v>sim</v>
          </cell>
          <cell r="V6532" t="str">
            <v>not neg pair</v>
          </cell>
          <cell r="W6532">
            <v>0</v>
          </cell>
          <cell r="X6532" t="str">
            <v>0</v>
          </cell>
        </row>
        <row r="6533">
          <cell r="I6533" t="str">
            <v>sim</v>
          </cell>
          <cell r="V6533" t="str">
            <v>not neg pair</v>
          </cell>
          <cell r="W6533">
            <v>0</v>
          </cell>
          <cell r="X6533" t="str">
            <v>0</v>
          </cell>
        </row>
        <row r="6534">
          <cell r="I6534" t="str">
            <v>met</v>
          </cell>
          <cell r="V6534" t="str">
            <v>0</v>
          </cell>
          <cell r="W6534">
            <v>0</v>
          </cell>
          <cell r="X6534" t="str">
            <v>0</v>
          </cell>
        </row>
        <row r="6535">
          <cell r="I6535" t="str">
            <v>met</v>
          </cell>
          <cell r="V6535" t="str">
            <v>0</v>
          </cell>
          <cell r="W6535">
            <v>0</v>
          </cell>
          <cell r="X6535" t="str">
            <v>0</v>
          </cell>
        </row>
        <row r="6536">
          <cell r="I6536" t="str">
            <v>sim</v>
          </cell>
          <cell r="V6536" t="str">
            <v>antonym</v>
          </cell>
          <cell r="W6536">
            <v>1</v>
          </cell>
          <cell r="X6536" t="str">
            <v>intens</v>
          </cell>
        </row>
        <row r="6537">
          <cell r="I6537" t="str">
            <v>sim</v>
          </cell>
          <cell r="V6537" t="str">
            <v>antonym</v>
          </cell>
          <cell r="W6537">
            <v>1</v>
          </cell>
          <cell r="X6537" t="str">
            <v>neg</v>
          </cell>
        </row>
        <row r="6538">
          <cell r="I6538" t="str">
            <v>sim</v>
          </cell>
          <cell r="V6538" t="str">
            <v>not</v>
          </cell>
          <cell r="W6538">
            <v>1</v>
          </cell>
          <cell r="X6538" t="str">
            <v>intens</v>
          </cell>
        </row>
        <row r="6539">
          <cell r="I6539" t="str">
            <v>sim</v>
          </cell>
          <cell r="V6539" t="str">
            <v>not</v>
          </cell>
          <cell r="W6539">
            <v>1</v>
          </cell>
          <cell r="X6539" t="str">
            <v>neg</v>
          </cell>
        </row>
        <row r="6540">
          <cell r="I6540" t="str">
            <v>sim</v>
          </cell>
          <cell r="V6540" t="str">
            <v>not</v>
          </cell>
          <cell r="W6540">
            <v>1</v>
          </cell>
          <cell r="X6540" t="str">
            <v>neg</v>
          </cell>
        </row>
        <row r="6541">
          <cell r="I6541" t="str">
            <v>sim</v>
          </cell>
          <cell r="V6541" t="str">
            <v>not</v>
          </cell>
          <cell r="W6541">
            <v>1</v>
          </cell>
          <cell r="X6541" t="str">
            <v>intens</v>
          </cell>
        </row>
        <row r="6542">
          <cell r="I6542" t="str">
            <v>sim</v>
          </cell>
          <cell r="V6542" t="str">
            <v>not neg pair</v>
          </cell>
          <cell r="W6542">
            <v>0</v>
          </cell>
          <cell r="X6542" t="str">
            <v>0</v>
          </cell>
        </row>
        <row r="6543">
          <cell r="I6543" t="str">
            <v>sim</v>
          </cell>
          <cell r="V6543" t="str">
            <v>not neg pair</v>
          </cell>
          <cell r="W6543">
            <v>0</v>
          </cell>
          <cell r="X6543" t="str">
            <v>0</v>
          </cell>
        </row>
        <row r="6544">
          <cell r="I6544" t="str">
            <v>sim</v>
          </cell>
          <cell r="V6544" t="str">
            <v>not neg pair</v>
          </cell>
          <cell r="W6544">
            <v>0</v>
          </cell>
          <cell r="X6544" t="str">
            <v>0</v>
          </cell>
        </row>
        <row r="6545">
          <cell r="I6545" t="str">
            <v>sim</v>
          </cell>
          <cell r="V6545" t="str">
            <v>not neg pair</v>
          </cell>
          <cell r="W6545">
            <v>0</v>
          </cell>
          <cell r="X6545" t="str">
            <v>0</v>
          </cell>
        </row>
        <row r="6546">
          <cell r="I6546" t="str">
            <v>sim</v>
          </cell>
          <cell r="V6546" t="str">
            <v>antonym</v>
          </cell>
          <cell r="W6546">
            <v>1</v>
          </cell>
          <cell r="X6546" t="str">
            <v>intens</v>
          </cell>
        </row>
        <row r="6547">
          <cell r="I6547" t="str">
            <v>sim</v>
          </cell>
          <cell r="V6547" t="str">
            <v>antonym</v>
          </cell>
          <cell r="W6547">
            <v>1</v>
          </cell>
          <cell r="X6547" t="str">
            <v>neg</v>
          </cell>
        </row>
        <row r="6548">
          <cell r="I6548" t="str">
            <v>sim</v>
          </cell>
          <cell r="V6548" t="str">
            <v>antonym</v>
          </cell>
          <cell r="W6548">
            <v>1</v>
          </cell>
          <cell r="X6548" t="str">
            <v>intens</v>
          </cell>
        </row>
        <row r="6549">
          <cell r="I6549" t="str">
            <v>sim</v>
          </cell>
          <cell r="V6549" t="str">
            <v>antonym</v>
          </cell>
          <cell r="W6549">
            <v>1</v>
          </cell>
          <cell r="X6549" t="str">
            <v>neg</v>
          </cell>
        </row>
        <row r="6550">
          <cell r="I6550" t="str">
            <v>sim</v>
          </cell>
          <cell r="V6550" t="str">
            <v>antonym</v>
          </cell>
          <cell r="W6550">
            <v>1</v>
          </cell>
          <cell r="X6550" t="str">
            <v>intens</v>
          </cell>
        </row>
        <row r="6551">
          <cell r="I6551" t="str">
            <v>sim</v>
          </cell>
          <cell r="V6551" t="str">
            <v>antonym</v>
          </cell>
          <cell r="W6551">
            <v>1</v>
          </cell>
          <cell r="X6551" t="str">
            <v>neg</v>
          </cell>
        </row>
        <row r="6552">
          <cell r="I6552" t="str">
            <v>sim</v>
          </cell>
          <cell r="V6552" t="str">
            <v>not neg pair</v>
          </cell>
          <cell r="W6552">
            <v>0</v>
          </cell>
          <cell r="X6552" t="str">
            <v>0</v>
          </cell>
        </row>
        <row r="6553">
          <cell r="I6553" t="str">
            <v>sim</v>
          </cell>
          <cell r="V6553" t="str">
            <v>not neg pair</v>
          </cell>
          <cell r="W6553">
            <v>0</v>
          </cell>
          <cell r="X6553" t="str">
            <v>0</v>
          </cell>
        </row>
        <row r="6554">
          <cell r="I6554" t="str">
            <v>sim</v>
          </cell>
          <cell r="V6554" t="str">
            <v>antonym</v>
          </cell>
          <cell r="W6554">
            <v>1</v>
          </cell>
          <cell r="X6554" t="str">
            <v>intens</v>
          </cell>
        </row>
        <row r="6555">
          <cell r="I6555" t="str">
            <v>sim</v>
          </cell>
          <cell r="V6555" t="str">
            <v>antonym</v>
          </cell>
          <cell r="W6555">
            <v>1</v>
          </cell>
          <cell r="X6555" t="str">
            <v>neg</v>
          </cell>
        </row>
        <row r="6556">
          <cell r="I6556" t="str">
            <v>sim</v>
          </cell>
          <cell r="V6556" t="str">
            <v>not</v>
          </cell>
          <cell r="W6556">
            <v>1</v>
          </cell>
          <cell r="X6556" t="str">
            <v>neg</v>
          </cell>
        </row>
        <row r="6557">
          <cell r="I6557" t="str">
            <v>sim</v>
          </cell>
          <cell r="V6557" t="str">
            <v>not</v>
          </cell>
          <cell r="W6557">
            <v>1</v>
          </cell>
          <cell r="X6557" t="str">
            <v>intens</v>
          </cell>
        </row>
        <row r="6558">
          <cell r="I6558" t="str">
            <v>sim</v>
          </cell>
          <cell r="V6558" t="str">
            <v>not</v>
          </cell>
          <cell r="W6558">
            <v>1</v>
          </cell>
          <cell r="X6558" t="str">
            <v>neg</v>
          </cell>
        </row>
        <row r="6559">
          <cell r="I6559" t="str">
            <v>sim</v>
          </cell>
          <cell r="V6559" t="str">
            <v>not</v>
          </cell>
          <cell r="W6559">
            <v>1</v>
          </cell>
          <cell r="X6559" t="str">
            <v>intens</v>
          </cell>
        </row>
        <row r="6560">
          <cell r="I6560" t="str">
            <v>met</v>
          </cell>
          <cell r="V6560" t="str">
            <v>0</v>
          </cell>
          <cell r="W6560">
            <v>0</v>
          </cell>
          <cell r="X6560" t="str">
            <v>0</v>
          </cell>
        </row>
        <row r="6561">
          <cell r="I6561" t="str">
            <v>met</v>
          </cell>
          <cell r="V6561" t="str">
            <v>0</v>
          </cell>
          <cell r="W6561">
            <v>0</v>
          </cell>
          <cell r="X6561" t="str">
            <v>0</v>
          </cell>
        </row>
        <row r="6562">
          <cell r="I6562" t="str">
            <v>met</v>
          </cell>
          <cell r="V6562" t="str">
            <v>0</v>
          </cell>
          <cell r="W6562">
            <v>0</v>
          </cell>
          <cell r="X6562" t="str">
            <v>0</v>
          </cell>
        </row>
        <row r="6563">
          <cell r="I6563" t="str">
            <v>met</v>
          </cell>
          <cell r="V6563" t="str">
            <v>0</v>
          </cell>
          <cell r="W6563">
            <v>0</v>
          </cell>
          <cell r="X6563" t="str">
            <v>0</v>
          </cell>
        </row>
        <row r="6564">
          <cell r="I6564" t="str">
            <v>sim</v>
          </cell>
          <cell r="V6564" t="str">
            <v>not</v>
          </cell>
          <cell r="W6564">
            <v>1</v>
          </cell>
          <cell r="X6564" t="str">
            <v>intens</v>
          </cell>
        </row>
        <row r="6565">
          <cell r="I6565" t="str">
            <v>sim</v>
          </cell>
          <cell r="V6565" t="str">
            <v>not</v>
          </cell>
          <cell r="W6565">
            <v>1</v>
          </cell>
          <cell r="X6565" t="str">
            <v>neg</v>
          </cell>
        </row>
        <row r="6566">
          <cell r="I6566" t="str">
            <v>sim</v>
          </cell>
          <cell r="V6566" t="str">
            <v>not</v>
          </cell>
          <cell r="W6566">
            <v>1</v>
          </cell>
          <cell r="X6566" t="str">
            <v>intens</v>
          </cell>
        </row>
        <row r="6567">
          <cell r="I6567" t="str">
            <v>sim</v>
          </cell>
          <cell r="V6567" t="str">
            <v>not</v>
          </cell>
          <cell r="W6567">
            <v>1</v>
          </cell>
          <cell r="X6567" t="str">
            <v>neg</v>
          </cell>
        </row>
        <row r="6568">
          <cell r="I6568" t="str">
            <v>sim</v>
          </cell>
          <cell r="V6568" t="str">
            <v>not neg pair</v>
          </cell>
          <cell r="W6568">
            <v>0</v>
          </cell>
          <cell r="X6568" t="str">
            <v>0</v>
          </cell>
        </row>
        <row r="6569">
          <cell r="I6569" t="str">
            <v>sim</v>
          </cell>
          <cell r="V6569" t="str">
            <v>not neg pair</v>
          </cell>
          <cell r="W6569">
            <v>0</v>
          </cell>
          <cell r="X6569" t="str">
            <v>0</v>
          </cell>
        </row>
        <row r="6570">
          <cell r="I6570" t="str">
            <v>sim</v>
          </cell>
          <cell r="V6570" t="str">
            <v>not neg pair</v>
          </cell>
          <cell r="W6570">
            <v>0</v>
          </cell>
          <cell r="X6570" t="str">
            <v>0</v>
          </cell>
        </row>
        <row r="6571">
          <cell r="I6571" t="str">
            <v>sim</v>
          </cell>
          <cell r="V6571" t="str">
            <v>not neg pair</v>
          </cell>
          <cell r="W6571">
            <v>0</v>
          </cell>
          <cell r="X6571" t="str">
            <v>0</v>
          </cell>
        </row>
        <row r="6572">
          <cell r="I6572" t="str">
            <v>sim</v>
          </cell>
          <cell r="V6572" t="str">
            <v>not</v>
          </cell>
          <cell r="W6572">
            <v>1</v>
          </cell>
          <cell r="X6572" t="str">
            <v>neg</v>
          </cell>
        </row>
        <row r="6573">
          <cell r="I6573" t="str">
            <v>sim</v>
          </cell>
          <cell r="V6573" t="str">
            <v>not</v>
          </cell>
          <cell r="W6573">
            <v>1</v>
          </cell>
          <cell r="X6573" t="str">
            <v>intens</v>
          </cell>
        </row>
        <row r="6574">
          <cell r="I6574" t="str">
            <v>sim</v>
          </cell>
          <cell r="V6574" t="str">
            <v>not neg pair</v>
          </cell>
          <cell r="W6574">
            <v>0</v>
          </cell>
          <cell r="X6574" t="str">
            <v>0</v>
          </cell>
        </row>
        <row r="6575">
          <cell r="I6575" t="str">
            <v>sim</v>
          </cell>
          <cell r="V6575" t="str">
            <v>not neg pair</v>
          </cell>
          <cell r="W6575">
            <v>0</v>
          </cell>
          <cell r="X6575" t="str">
            <v>0</v>
          </cell>
        </row>
        <row r="6576">
          <cell r="I6576" t="str">
            <v>sim</v>
          </cell>
          <cell r="V6576" t="str">
            <v>not neg pair</v>
          </cell>
          <cell r="W6576">
            <v>0</v>
          </cell>
          <cell r="X6576" t="str">
            <v>0</v>
          </cell>
        </row>
        <row r="6577">
          <cell r="I6577" t="str">
            <v>sim</v>
          </cell>
          <cell r="V6577" t="str">
            <v>not neg pair</v>
          </cell>
          <cell r="W6577">
            <v>0</v>
          </cell>
          <cell r="X6577" t="str">
            <v>0</v>
          </cell>
        </row>
        <row r="6578">
          <cell r="I6578" t="str">
            <v>sim</v>
          </cell>
          <cell r="V6578" t="str">
            <v>not</v>
          </cell>
          <cell r="W6578">
            <v>1</v>
          </cell>
          <cell r="X6578" t="str">
            <v>intens</v>
          </cell>
        </row>
        <row r="6579">
          <cell r="I6579" t="str">
            <v>sim</v>
          </cell>
          <cell r="V6579" t="str">
            <v>not</v>
          </cell>
          <cell r="W6579">
            <v>1</v>
          </cell>
          <cell r="X6579" t="str">
            <v>neg</v>
          </cell>
        </row>
        <row r="6580">
          <cell r="I6580" t="str">
            <v>sim</v>
          </cell>
          <cell r="V6580" t="str">
            <v>not</v>
          </cell>
          <cell r="W6580">
            <v>1</v>
          </cell>
          <cell r="X6580" t="str">
            <v>intens</v>
          </cell>
        </row>
        <row r="6581">
          <cell r="I6581" t="str">
            <v>sim</v>
          </cell>
          <cell r="V6581" t="str">
            <v>not</v>
          </cell>
          <cell r="W6581">
            <v>1</v>
          </cell>
          <cell r="X6581" t="str">
            <v>neg</v>
          </cell>
        </row>
        <row r="6582">
          <cell r="I6582" t="str">
            <v>met</v>
          </cell>
          <cell r="V6582" t="str">
            <v>0</v>
          </cell>
          <cell r="W6582">
            <v>0</v>
          </cell>
          <cell r="X6582" t="str">
            <v>0</v>
          </cell>
        </row>
        <row r="6583">
          <cell r="I6583" t="str">
            <v>met</v>
          </cell>
          <cell r="V6583" t="str">
            <v>0</v>
          </cell>
          <cell r="W6583">
            <v>0</v>
          </cell>
          <cell r="X6583" t="str">
            <v>0</v>
          </cell>
        </row>
        <row r="6584">
          <cell r="I6584" t="str">
            <v>sim</v>
          </cell>
          <cell r="V6584" t="str">
            <v>antonym</v>
          </cell>
          <cell r="W6584">
            <v>1</v>
          </cell>
          <cell r="X6584" t="str">
            <v>intens</v>
          </cell>
        </row>
        <row r="6585">
          <cell r="I6585" t="str">
            <v>sim</v>
          </cell>
          <cell r="V6585" t="str">
            <v>antonym</v>
          </cell>
          <cell r="W6585">
            <v>1</v>
          </cell>
          <cell r="X6585" t="str">
            <v>neg</v>
          </cell>
        </row>
        <row r="6586">
          <cell r="I6586" t="str">
            <v>sim</v>
          </cell>
          <cell r="V6586" t="str">
            <v>antonym</v>
          </cell>
          <cell r="W6586">
            <v>1</v>
          </cell>
          <cell r="X6586" t="str">
            <v>intens</v>
          </cell>
        </row>
        <row r="6587">
          <cell r="I6587" t="str">
            <v>sim</v>
          </cell>
          <cell r="V6587" t="str">
            <v>antonym</v>
          </cell>
          <cell r="W6587">
            <v>1</v>
          </cell>
          <cell r="X6587" t="str">
            <v>neg</v>
          </cell>
        </row>
        <row r="6588">
          <cell r="I6588" t="str">
            <v>met</v>
          </cell>
          <cell r="V6588" t="str">
            <v>0</v>
          </cell>
          <cell r="W6588">
            <v>0</v>
          </cell>
          <cell r="X6588" t="str">
            <v>0</v>
          </cell>
        </row>
        <row r="6589">
          <cell r="I6589" t="str">
            <v>met</v>
          </cell>
          <cell r="V6589" t="str">
            <v>0</v>
          </cell>
          <cell r="W6589">
            <v>0</v>
          </cell>
          <cell r="X6589" t="str">
            <v>0</v>
          </cell>
        </row>
        <row r="6590">
          <cell r="I6590" t="str">
            <v>sim</v>
          </cell>
          <cell r="V6590" t="str">
            <v>not neg pair</v>
          </cell>
          <cell r="W6590">
            <v>0</v>
          </cell>
          <cell r="X6590" t="str">
            <v>0</v>
          </cell>
        </row>
        <row r="6591">
          <cell r="I6591" t="str">
            <v>sim</v>
          </cell>
          <cell r="V6591" t="str">
            <v>not neg pair</v>
          </cell>
          <cell r="W6591">
            <v>0</v>
          </cell>
          <cell r="X6591" t="str">
            <v>0</v>
          </cell>
        </row>
        <row r="6592">
          <cell r="I6592" t="str">
            <v>sim</v>
          </cell>
          <cell r="V6592" t="str">
            <v>not neg pair</v>
          </cell>
          <cell r="W6592">
            <v>0</v>
          </cell>
          <cell r="X6592" t="str">
            <v>0</v>
          </cell>
        </row>
        <row r="6593">
          <cell r="I6593" t="str">
            <v>sim</v>
          </cell>
          <cell r="V6593" t="str">
            <v>not neg pair</v>
          </cell>
          <cell r="W6593">
            <v>0</v>
          </cell>
          <cell r="X6593" t="str">
            <v>0</v>
          </cell>
        </row>
        <row r="6594">
          <cell r="I6594" t="str">
            <v>sim</v>
          </cell>
          <cell r="V6594" t="str">
            <v>not neg pair</v>
          </cell>
          <cell r="W6594">
            <v>0</v>
          </cell>
          <cell r="X6594" t="str">
            <v>0</v>
          </cell>
        </row>
        <row r="6595">
          <cell r="I6595" t="str">
            <v>met</v>
          </cell>
          <cell r="V6595" t="str">
            <v>0</v>
          </cell>
          <cell r="W6595">
            <v>0</v>
          </cell>
          <cell r="X6595" t="str">
            <v>0</v>
          </cell>
        </row>
        <row r="6596">
          <cell r="I6596" t="str">
            <v>sim</v>
          </cell>
          <cell r="V6596" t="str">
            <v>not neg pair</v>
          </cell>
          <cell r="W6596">
            <v>0</v>
          </cell>
          <cell r="X6596" t="str">
            <v>0</v>
          </cell>
        </row>
        <row r="6597">
          <cell r="I6597" t="str">
            <v>sim</v>
          </cell>
          <cell r="V6597" t="str">
            <v>not neg pair</v>
          </cell>
          <cell r="W6597">
            <v>0</v>
          </cell>
          <cell r="X6597" t="str">
            <v>0</v>
          </cell>
        </row>
        <row r="6598">
          <cell r="I6598" t="str">
            <v>sim</v>
          </cell>
          <cell r="V6598" t="str">
            <v>not neg pair</v>
          </cell>
          <cell r="W6598">
            <v>0</v>
          </cell>
          <cell r="X6598" t="str">
            <v>0</v>
          </cell>
        </row>
        <row r="6599">
          <cell r="I6599" t="str">
            <v>sim</v>
          </cell>
          <cell r="V6599" t="str">
            <v>not neg pair</v>
          </cell>
          <cell r="W6599">
            <v>0</v>
          </cell>
          <cell r="X6599" t="str">
            <v>0</v>
          </cell>
        </row>
        <row r="6600">
          <cell r="I6600" t="str">
            <v>sim</v>
          </cell>
          <cell r="V6600" t="str">
            <v>not</v>
          </cell>
          <cell r="W6600">
            <v>1</v>
          </cell>
          <cell r="X6600" t="str">
            <v>neg</v>
          </cell>
        </row>
        <row r="6601">
          <cell r="I6601" t="str">
            <v>sim</v>
          </cell>
          <cell r="V6601" t="str">
            <v>not</v>
          </cell>
          <cell r="W6601">
            <v>1</v>
          </cell>
          <cell r="X6601" t="str">
            <v>intens</v>
          </cell>
        </row>
        <row r="6602">
          <cell r="I6602" t="str">
            <v>sim</v>
          </cell>
          <cell r="V6602" t="str">
            <v>not neg pair</v>
          </cell>
          <cell r="W6602">
            <v>0</v>
          </cell>
          <cell r="X6602" t="str">
            <v>0</v>
          </cell>
        </row>
        <row r="6603">
          <cell r="I6603" t="str">
            <v>sim</v>
          </cell>
          <cell r="V6603" t="str">
            <v>not neg pair</v>
          </cell>
          <cell r="W6603">
            <v>0</v>
          </cell>
          <cell r="X6603" t="str">
            <v>0</v>
          </cell>
        </row>
        <row r="6604">
          <cell r="I6604" t="str">
            <v>sim</v>
          </cell>
          <cell r="V6604" t="str">
            <v>not neg pair</v>
          </cell>
          <cell r="W6604">
            <v>0</v>
          </cell>
          <cell r="X6604" t="str">
            <v>0</v>
          </cell>
        </row>
        <row r="6605">
          <cell r="I6605" t="str">
            <v>sim</v>
          </cell>
          <cell r="V6605" t="str">
            <v>not neg pair</v>
          </cell>
          <cell r="W6605">
            <v>0</v>
          </cell>
          <cell r="X6605" t="str">
            <v>0</v>
          </cell>
        </row>
        <row r="6606">
          <cell r="I6606" t="str">
            <v>sim</v>
          </cell>
          <cell r="V6606" t="str">
            <v>not neg pair</v>
          </cell>
          <cell r="W6606">
            <v>0</v>
          </cell>
          <cell r="X6606" t="str">
            <v>0</v>
          </cell>
        </row>
        <row r="6607">
          <cell r="I6607" t="str">
            <v>sim</v>
          </cell>
          <cell r="V6607" t="str">
            <v>not neg pair</v>
          </cell>
          <cell r="W6607">
            <v>0</v>
          </cell>
          <cell r="X6607" t="str">
            <v>0</v>
          </cell>
        </row>
        <row r="6608">
          <cell r="I6608" t="str">
            <v>sim</v>
          </cell>
          <cell r="V6608" t="str">
            <v>not neg pair</v>
          </cell>
          <cell r="W6608">
            <v>0</v>
          </cell>
          <cell r="X6608" t="str">
            <v>0</v>
          </cell>
        </row>
        <row r="6609">
          <cell r="I6609" t="str">
            <v>sim</v>
          </cell>
          <cell r="V6609" t="str">
            <v>not neg pair</v>
          </cell>
          <cell r="W6609">
            <v>0</v>
          </cell>
          <cell r="X6609" t="str">
            <v>0</v>
          </cell>
        </row>
        <row r="6610">
          <cell r="I6610" t="str">
            <v>sim</v>
          </cell>
          <cell r="V6610" t="str">
            <v>not neg pair</v>
          </cell>
          <cell r="W6610">
            <v>0</v>
          </cell>
          <cell r="X6610" t="str">
            <v>0</v>
          </cell>
        </row>
        <row r="6611">
          <cell r="I6611" t="str">
            <v>sim</v>
          </cell>
          <cell r="V6611" t="str">
            <v>not neg pair</v>
          </cell>
          <cell r="W6611">
            <v>0</v>
          </cell>
          <cell r="X6611" t="str">
            <v>0</v>
          </cell>
        </row>
        <row r="6612">
          <cell r="I6612" t="str">
            <v>sim</v>
          </cell>
          <cell r="V6612" t="str">
            <v>not</v>
          </cell>
          <cell r="W6612">
            <v>1</v>
          </cell>
          <cell r="X6612" t="str">
            <v>neg</v>
          </cell>
        </row>
        <row r="6613">
          <cell r="I6613" t="str">
            <v>sim</v>
          </cell>
          <cell r="V6613" t="str">
            <v>not</v>
          </cell>
          <cell r="W6613">
            <v>1</v>
          </cell>
          <cell r="X6613" t="str">
            <v>intens</v>
          </cell>
        </row>
        <row r="6614">
          <cell r="I6614" t="str">
            <v>sim</v>
          </cell>
          <cell r="V6614" t="str">
            <v>not neg pair</v>
          </cell>
          <cell r="W6614">
            <v>0</v>
          </cell>
          <cell r="X6614" t="str">
            <v>0</v>
          </cell>
        </row>
        <row r="6615">
          <cell r="I6615" t="str">
            <v>sim</v>
          </cell>
          <cell r="V6615" t="str">
            <v>not neg pair</v>
          </cell>
          <cell r="W6615">
            <v>0</v>
          </cell>
          <cell r="X6615" t="str">
            <v>0</v>
          </cell>
        </row>
        <row r="6616">
          <cell r="I6616" t="str">
            <v>sim</v>
          </cell>
          <cell r="V6616" t="str">
            <v>not</v>
          </cell>
          <cell r="W6616">
            <v>1</v>
          </cell>
          <cell r="X6616" t="str">
            <v>neg</v>
          </cell>
        </row>
        <row r="6617">
          <cell r="I6617" t="str">
            <v>sim</v>
          </cell>
          <cell r="V6617" t="str">
            <v>not</v>
          </cell>
          <cell r="W6617">
            <v>1</v>
          </cell>
          <cell r="X6617" t="str">
            <v>intens</v>
          </cell>
        </row>
        <row r="6618">
          <cell r="I6618" t="str">
            <v>sim</v>
          </cell>
          <cell r="V6618" t="str">
            <v>not</v>
          </cell>
          <cell r="W6618">
            <v>1</v>
          </cell>
          <cell r="X6618" t="str">
            <v>intens</v>
          </cell>
        </row>
        <row r="6619">
          <cell r="I6619" t="str">
            <v>sim</v>
          </cell>
          <cell r="V6619" t="str">
            <v>not</v>
          </cell>
          <cell r="W6619">
            <v>1</v>
          </cell>
          <cell r="X6619" t="str">
            <v>neg</v>
          </cell>
        </row>
        <row r="6620">
          <cell r="I6620" t="str">
            <v>sim</v>
          </cell>
          <cell r="V6620" t="str">
            <v>not</v>
          </cell>
          <cell r="W6620">
            <v>1</v>
          </cell>
          <cell r="X6620" t="str">
            <v>intens</v>
          </cell>
        </row>
        <row r="6621">
          <cell r="I6621" t="str">
            <v>sim</v>
          </cell>
          <cell r="V6621" t="str">
            <v>not</v>
          </cell>
          <cell r="W6621">
            <v>1</v>
          </cell>
          <cell r="X6621" t="str">
            <v>neg</v>
          </cell>
        </row>
        <row r="6622">
          <cell r="I6622" t="str">
            <v>sim</v>
          </cell>
          <cell r="V6622" t="str">
            <v>antonym</v>
          </cell>
          <cell r="W6622">
            <v>1</v>
          </cell>
          <cell r="X6622" t="str">
            <v>intens</v>
          </cell>
        </row>
        <row r="6623">
          <cell r="I6623" t="str">
            <v>sim</v>
          </cell>
          <cell r="V6623" t="str">
            <v>antonym</v>
          </cell>
          <cell r="W6623">
            <v>1</v>
          </cell>
          <cell r="X6623" t="str">
            <v>neg</v>
          </cell>
        </row>
        <row r="6624">
          <cell r="I6624" t="str">
            <v>sim</v>
          </cell>
          <cell r="V6624" t="str">
            <v>antonym</v>
          </cell>
          <cell r="W6624">
            <v>1</v>
          </cell>
          <cell r="X6624" t="str">
            <v>intens</v>
          </cell>
        </row>
        <row r="6625">
          <cell r="I6625" t="str">
            <v>sim</v>
          </cell>
          <cell r="V6625" t="str">
            <v>antonym</v>
          </cell>
          <cell r="W6625">
            <v>1</v>
          </cell>
          <cell r="X6625" t="str">
            <v>neg</v>
          </cell>
        </row>
        <row r="6626">
          <cell r="I6626" t="str">
            <v>sim</v>
          </cell>
          <cell r="V6626" t="str">
            <v>not neg pair</v>
          </cell>
          <cell r="W6626">
            <v>0</v>
          </cell>
          <cell r="X6626" t="str">
            <v>0</v>
          </cell>
        </row>
        <row r="6627">
          <cell r="I6627" t="str">
            <v>sim</v>
          </cell>
          <cell r="V6627" t="str">
            <v>not neg pair</v>
          </cell>
          <cell r="W6627">
            <v>0</v>
          </cell>
          <cell r="X6627" t="str">
            <v>0</v>
          </cell>
        </row>
        <row r="6628">
          <cell r="I6628" t="str">
            <v>sim</v>
          </cell>
          <cell r="V6628" t="str">
            <v>not</v>
          </cell>
          <cell r="W6628">
            <v>1</v>
          </cell>
          <cell r="X6628" t="str">
            <v>intens</v>
          </cell>
        </row>
        <row r="6629">
          <cell r="I6629" t="str">
            <v>sim</v>
          </cell>
          <cell r="V6629" t="str">
            <v>not</v>
          </cell>
          <cell r="W6629">
            <v>1</v>
          </cell>
          <cell r="X6629" t="str">
            <v>neg</v>
          </cell>
        </row>
        <row r="6630">
          <cell r="I6630" t="str">
            <v>sim</v>
          </cell>
          <cell r="V6630" t="str">
            <v>not neg pair</v>
          </cell>
          <cell r="W6630">
            <v>0</v>
          </cell>
          <cell r="X6630" t="str">
            <v>0</v>
          </cell>
        </row>
        <row r="6631">
          <cell r="I6631" t="str">
            <v>sim</v>
          </cell>
          <cell r="V6631" t="str">
            <v>not neg pair</v>
          </cell>
          <cell r="W6631">
            <v>0</v>
          </cell>
          <cell r="X6631" t="str">
            <v>0</v>
          </cell>
        </row>
        <row r="6632">
          <cell r="I6632" t="str">
            <v>sim</v>
          </cell>
          <cell r="V6632" t="str">
            <v>not neg pair</v>
          </cell>
          <cell r="W6632">
            <v>0</v>
          </cell>
          <cell r="X6632" t="str">
            <v>0</v>
          </cell>
        </row>
        <row r="6633">
          <cell r="I6633" t="str">
            <v>sim</v>
          </cell>
          <cell r="V6633" t="str">
            <v>not neg pair</v>
          </cell>
          <cell r="W6633">
            <v>0</v>
          </cell>
          <cell r="X6633" t="str">
            <v>0</v>
          </cell>
        </row>
        <row r="6634">
          <cell r="I6634" t="str">
            <v>met</v>
          </cell>
          <cell r="V6634" t="str">
            <v>0</v>
          </cell>
          <cell r="W6634">
            <v>0</v>
          </cell>
          <cell r="X6634" t="str">
            <v>0</v>
          </cell>
        </row>
        <row r="6635">
          <cell r="I6635" t="str">
            <v>met</v>
          </cell>
          <cell r="V6635" t="str">
            <v>0</v>
          </cell>
          <cell r="W6635">
            <v>0</v>
          </cell>
          <cell r="X6635" t="str">
            <v>0</v>
          </cell>
        </row>
        <row r="6636">
          <cell r="I6636" t="str">
            <v>sim</v>
          </cell>
          <cell r="V6636" t="str">
            <v>not neg pair</v>
          </cell>
          <cell r="W6636">
            <v>0</v>
          </cell>
          <cell r="X6636" t="str">
            <v>0</v>
          </cell>
        </row>
        <row r="6637">
          <cell r="I6637" t="str">
            <v>sim</v>
          </cell>
          <cell r="V6637" t="str">
            <v>not neg pair</v>
          </cell>
          <cell r="W6637">
            <v>0</v>
          </cell>
          <cell r="X6637" t="str">
            <v>0</v>
          </cell>
        </row>
        <row r="6638">
          <cell r="I6638" t="str">
            <v>sim</v>
          </cell>
          <cell r="V6638" t="str">
            <v>not neg pair</v>
          </cell>
          <cell r="W6638">
            <v>0</v>
          </cell>
          <cell r="X6638" t="str">
            <v>0</v>
          </cell>
        </row>
        <row r="6639">
          <cell r="I6639" t="str">
            <v>sim</v>
          </cell>
          <cell r="V6639" t="str">
            <v>not neg pair</v>
          </cell>
          <cell r="W6639">
            <v>0</v>
          </cell>
          <cell r="X6639" t="str">
            <v>0</v>
          </cell>
        </row>
        <row r="6640">
          <cell r="I6640" t="str">
            <v>sim</v>
          </cell>
          <cell r="V6640" t="str">
            <v>not neg pair</v>
          </cell>
          <cell r="W6640">
            <v>0</v>
          </cell>
          <cell r="X6640" t="str">
            <v>0</v>
          </cell>
        </row>
        <row r="6641">
          <cell r="I6641" t="str">
            <v>sim</v>
          </cell>
          <cell r="V6641" t="str">
            <v>not neg pair</v>
          </cell>
          <cell r="W6641">
            <v>0</v>
          </cell>
          <cell r="X6641" t="str">
            <v>0</v>
          </cell>
        </row>
        <row r="6642">
          <cell r="I6642" t="str">
            <v>sim</v>
          </cell>
          <cell r="V6642" t="str">
            <v>not neg pair</v>
          </cell>
          <cell r="W6642">
            <v>0</v>
          </cell>
          <cell r="X6642" t="str">
            <v>0</v>
          </cell>
        </row>
        <row r="6643">
          <cell r="I6643" t="str">
            <v>sim</v>
          </cell>
          <cell r="V6643" t="str">
            <v>not neg pair</v>
          </cell>
          <cell r="W6643">
            <v>0</v>
          </cell>
          <cell r="X6643" t="str">
            <v>0</v>
          </cell>
        </row>
        <row r="6644">
          <cell r="I6644" t="str">
            <v>sim</v>
          </cell>
          <cell r="V6644" t="str">
            <v>not neg pair</v>
          </cell>
          <cell r="W6644">
            <v>0</v>
          </cell>
          <cell r="X6644" t="str">
            <v>0</v>
          </cell>
        </row>
        <row r="6645">
          <cell r="I6645" t="str">
            <v>sim</v>
          </cell>
          <cell r="V6645" t="str">
            <v>not neg pair</v>
          </cell>
          <cell r="W6645">
            <v>0</v>
          </cell>
          <cell r="X6645" t="str">
            <v>0</v>
          </cell>
        </row>
        <row r="6646">
          <cell r="I6646" t="str">
            <v>sim</v>
          </cell>
          <cell r="V6646" t="str">
            <v>not neg pair</v>
          </cell>
          <cell r="W6646">
            <v>0</v>
          </cell>
          <cell r="X6646" t="str">
            <v>0</v>
          </cell>
        </row>
        <row r="6647">
          <cell r="I6647" t="str">
            <v>sim</v>
          </cell>
          <cell r="V6647" t="str">
            <v>not neg pair</v>
          </cell>
          <cell r="W6647">
            <v>0</v>
          </cell>
          <cell r="X6647" t="str">
            <v>0</v>
          </cell>
        </row>
        <row r="6648">
          <cell r="I6648" t="str">
            <v>sim</v>
          </cell>
          <cell r="V6648" t="str">
            <v>not neg pair</v>
          </cell>
          <cell r="W6648">
            <v>0</v>
          </cell>
          <cell r="X6648" t="str">
            <v>0</v>
          </cell>
        </row>
        <row r="6649">
          <cell r="I6649" t="str">
            <v>sim</v>
          </cell>
          <cell r="V6649" t="str">
            <v>not neg pair</v>
          </cell>
          <cell r="W6649">
            <v>0</v>
          </cell>
          <cell r="X6649" t="str">
            <v>0</v>
          </cell>
        </row>
        <row r="6650">
          <cell r="I6650" t="str">
            <v>sim</v>
          </cell>
          <cell r="V6650" t="str">
            <v>not neg pair</v>
          </cell>
          <cell r="W6650">
            <v>0</v>
          </cell>
          <cell r="X6650" t="str">
            <v>0</v>
          </cell>
        </row>
        <row r="6651">
          <cell r="I6651" t="str">
            <v>sim</v>
          </cell>
          <cell r="V6651" t="str">
            <v>not neg pair</v>
          </cell>
          <cell r="W6651">
            <v>0</v>
          </cell>
          <cell r="X6651" t="str">
            <v>0</v>
          </cell>
        </row>
        <row r="6652">
          <cell r="I6652" t="str">
            <v>sim</v>
          </cell>
          <cell r="V6652" t="str">
            <v>not neg pair</v>
          </cell>
          <cell r="W6652">
            <v>0</v>
          </cell>
          <cell r="X6652" t="str">
            <v>0</v>
          </cell>
        </row>
        <row r="6653">
          <cell r="I6653" t="str">
            <v>sim</v>
          </cell>
          <cell r="V6653" t="str">
            <v>not neg pair</v>
          </cell>
          <cell r="W6653">
            <v>0</v>
          </cell>
          <cell r="X6653" t="str">
            <v>0</v>
          </cell>
        </row>
        <row r="6654">
          <cell r="I6654" t="str">
            <v>sim</v>
          </cell>
          <cell r="V6654" t="str">
            <v>not neg pair</v>
          </cell>
          <cell r="W6654">
            <v>0</v>
          </cell>
          <cell r="X6654" t="str">
            <v>0</v>
          </cell>
        </row>
        <row r="6655">
          <cell r="I6655" t="str">
            <v>sim</v>
          </cell>
          <cell r="V6655" t="str">
            <v>not neg pair</v>
          </cell>
          <cell r="W6655">
            <v>0</v>
          </cell>
          <cell r="X6655" t="str">
            <v>0</v>
          </cell>
        </row>
        <row r="6656">
          <cell r="I6656" t="str">
            <v>sim</v>
          </cell>
          <cell r="V6656" t="str">
            <v>not neg pair</v>
          </cell>
          <cell r="W6656">
            <v>0</v>
          </cell>
          <cell r="X6656" t="str">
            <v>0</v>
          </cell>
        </row>
        <row r="6657">
          <cell r="I6657" t="str">
            <v>sim</v>
          </cell>
          <cell r="V6657" t="str">
            <v>not neg pair</v>
          </cell>
          <cell r="W6657">
            <v>0</v>
          </cell>
          <cell r="X6657" t="str">
            <v>0</v>
          </cell>
        </row>
        <row r="6658">
          <cell r="I6658" t="str">
            <v>sim</v>
          </cell>
          <cell r="V6658" t="str">
            <v>not neg pair</v>
          </cell>
          <cell r="W6658">
            <v>0</v>
          </cell>
          <cell r="X6658" t="str">
            <v>0</v>
          </cell>
        </row>
        <row r="6659">
          <cell r="I6659" t="str">
            <v>sim</v>
          </cell>
          <cell r="V6659" t="str">
            <v>not neg pair</v>
          </cell>
          <cell r="W6659">
            <v>0</v>
          </cell>
          <cell r="X6659" t="str">
            <v>0</v>
          </cell>
        </row>
        <row r="6660">
          <cell r="I6660" t="str">
            <v>sim</v>
          </cell>
          <cell r="V6660" t="str">
            <v>not neg pair</v>
          </cell>
          <cell r="W6660">
            <v>0</v>
          </cell>
          <cell r="X6660" t="str">
            <v>0</v>
          </cell>
        </row>
        <row r="6661">
          <cell r="I6661" t="str">
            <v>sim</v>
          </cell>
          <cell r="V6661" t="str">
            <v>not neg pair</v>
          </cell>
          <cell r="W6661">
            <v>0</v>
          </cell>
          <cell r="X6661" t="str">
            <v>0</v>
          </cell>
        </row>
        <row r="6662">
          <cell r="I6662" t="str">
            <v>sim</v>
          </cell>
          <cell r="V6662" t="str">
            <v>not neg pair</v>
          </cell>
          <cell r="W6662">
            <v>0</v>
          </cell>
          <cell r="X6662" t="str">
            <v>0</v>
          </cell>
        </row>
        <row r="6663">
          <cell r="I6663" t="str">
            <v>sim</v>
          </cell>
          <cell r="V6663" t="str">
            <v>not neg pair</v>
          </cell>
          <cell r="W6663">
            <v>0</v>
          </cell>
          <cell r="X6663" t="str">
            <v>0</v>
          </cell>
        </row>
        <row r="6664">
          <cell r="I6664" t="str">
            <v>sim</v>
          </cell>
          <cell r="V6664" t="str">
            <v>not</v>
          </cell>
          <cell r="W6664">
            <v>1</v>
          </cell>
          <cell r="X6664" t="str">
            <v>intens</v>
          </cell>
        </row>
        <row r="6665">
          <cell r="I6665" t="str">
            <v>sim</v>
          </cell>
          <cell r="V6665" t="str">
            <v>not</v>
          </cell>
          <cell r="W6665">
            <v>1</v>
          </cell>
          <cell r="X6665" t="str">
            <v>neg</v>
          </cell>
        </row>
        <row r="6666">
          <cell r="I6666" t="str">
            <v>sim</v>
          </cell>
          <cell r="V6666" t="str">
            <v>not</v>
          </cell>
          <cell r="W6666">
            <v>1</v>
          </cell>
          <cell r="X6666" t="str">
            <v>intens</v>
          </cell>
        </row>
        <row r="6667">
          <cell r="I6667" t="str">
            <v>sim</v>
          </cell>
          <cell r="V6667" t="str">
            <v>not</v>
          </cell>
          <cell r="W6667">
            <v>1</v>
          </cell>
          <cell r="X6667" t="str">
            <v>neg</v>
          </cell>
        </row>
        <row r="6668">
          <cell r="I6668" t="str">
            <v>sim</v>
          </cell>
          <cell r="V6668" t="str">
            <v>not neg pair</v>
          </cell>
          <cell r="W6668">
            <v>0</v>
          </cell>
          <cell r="X6668" t="str">
            <v>0</v>
          </cell>
        </row>
        <row r="6669">
          <cell r="I6669" t="str">
            <v>sim</v>
          </cell>
          <cell r="V6669" t="str">
            <v>not neg pair</v>
          </cell>
          <cell r="W6669">
            <v>0</v>
          </cell>
          <cell r="X6669" t="str">
            <v>0</v>
          </cell>
        </row>
        <row r="6670">
          <cell r="I6670" t="str">
            <v>met</v>
          </cell>
          <cell r="V6670" t="str">
            <v>0</v>
          </cell>
          <cell r="W6670">
            <v>0</v>
          </cell>
          <cell r="X6670" t="str">
            <v>0</v>
          </cell>
        </row>
        <row r="6671">
          <cell r="I6671" t="str">
            <v>met</v>
          </cell>
          <cell r="V6671" t="str">
            <v>0</v>
          </cell>
          <cell r="W6671">
            <v>0</v>
          </cell>
          <cell r="X6671" t="str">
            <v>0</v>
          </cell>
        </row>
        <row r="6672">
          <cell r="I6672" t="str">
            <v>met</v>
          </cell>
          <cell r="V6672" t="str">
            <v>0</v>
          </cell>
          <cell r="W6672">
            <v>0</v>
          </cell>
          <cell r="X6672" t="str">
            <v>0</v>
          </cell>
        </row>
        <row r="6673">
          <cell r="I6673" t="str">
            <v>met</v>
          </cell>
          <cell r="V6673" t="str">
            <v>0</v>
          </cell>
          <cell r="W6673">
            <v>0</v>
          </cell>
          <cell r="X6673" t="str">
            <v>0</v>
          </cell>
        </row>
        <row r="6674">
          <cell r="I6674" t="str">
            <v>met</v>
          </cell>
          <cell r="V6674" t="str">
            <v>0</v>
          </cell>
          <cell r="W6674">
            <v>0</v>
          </cell>
          <cell r="X6674" t="str">
            <v>0</v>
          </cell>
        </row>
        <row r="6675">
          <cell r="I6675" t="str">
            <v>met</v>
          </cell>
          <cell r="V6675" t="str">
            <v>0</v>
          </cell>
          <cell r="W6675">
            <v>0</v>
          </cell>
          <cell r="X6675" t="str">
            <v>0</v>
          </cell>
        </row>
        <row r="6676">
          <cell r="I6676" t="str">
            <v>sim</v>
          </cell>
          <cell r="V6676" t="str">
            <v>antonym</v>
          </cell>
          <cell r="W6676">
            <v>1</v>
          </cell>
          <cell r="X6676" t="str">
            <v>intens</v>
          </cell>
        </row>
        <row r="6677">
          <cell r="I6677" t="str">
            <v>sim</v>
          </cell>
          <cell r="V6677" t="str">
            <v>antonym</v>
          </cell>
          <cell r="W6677">
            <v>1</v>
          </cell>
          <cell r="X6677" t="str">
            <v>neg</v>
          </cell>
        </row>
        <row r="6678">
          <cell r="I6678" t="str">
            <v>met</v>
          </cell>
          <cell r="V6678" t="str">
            <v>0</v>
          </cell>
          <cell r="W6678">
            <v>0</v>
          </cell>
          <cell r="X6678" t="str">
            <v>0</v>
          </cell>
        </row>
        <row r="6679">
          <cell r="I6679" t="str">
            <v>met</v>
          </cell>
          <cell r="V6679" t="str">
            <v>0</v>
          </cell>
          <cell r="W6679">
            <v>0</v>
          </cell>
          <cell r="X6679" t="str">
            <v>0</v>
          </cell>
        </row>
        <row r="6680">
          <cell r="I6680" t="str">
            <v>sim</v>
          </cell>
          <cell r="V6680" t="str">
            <v>not neg pair</v>
          </cell>
          <cell r="W6680">
            <v>0</v>
          </cell>
          <cell r="X6680" t="str">
            <v>0</v>
          </cell>
        </row>
        <row r="6681">
          <cell r="I6681" t="str">
            <v>sim</v>
          </cell>
          <cell r="V6681" t="str">
            <v>not neg pair</v>
          </cell>
          <cell r="W6681">
            <v>0</v>
          </cell>
          <cell r="X6681" t="str">
            <v>0</v>
          </cell>
        </row>
        <row r="6682">
          <cell r="I6682" t="str">
            <v>sim</v>
          </cell>
          <cell r="V6682" t="str">
            <v>not neg pair</v>
          </cell>
          <cell r="W6682">
            <v>0</v>
          </cell>
          <cell r="X6682" t="str">
            <v>0</v>
          </cell>
        </row>
        <row r="6683">
          <cell r="I6683" t="str">
            <v>sim</v>
          </cell>
          <cell r="V6683" t="str">
            <v>not neg pair</v>
          </cell>
          <cell r="W6683">
            <v>0</v>
          </cell>
          <cell r="X6683" t="str">
            <v>0</v>
          </cell>
        </row>
        <row r="6684">
          <cell r="I6684" t="str">
            <v>sim</v>
          </cell>
          <cell r="V6684" t="str">
            <v>not neg pair</v>
          </cell>
          <cell r="W6684">
            <v>0</v>
          </cell>
          <cell r="X6684" t="str">
            <v>0</v>
          </cell>
        </row>
        <row r="6685">
          <cell r="I6685" t="str">
            <v>sim</v>
          </cell>
          <cell r="V6685" t="str">
            <v>not neg pair</v>
          </cell>
          <cell r="W6685">
            <v>0</v>
          </cell>
          <cell r="X6685" t="str">
            <v>0</v>
          </cell>
        </row>
        <row r="6686">
          <cell r="I6686" t="str">
            <v>sim</v>
          </cell>
          <cell r="V6686" t="str">
            <v>not neg pair</v>
          </cell>
          <cell r="W6686">
            <v>0</v>
          </cell>
          <cell r="X6686" t="str">
            <v>0</v>
          </cell>
        </row>
        <row r="6687">
          <cell r="I6687" t="str">
            <v>sim</v>
          </cell>
          <cell r="V6687" t="str">
            <v>not neg pair</v>
          </cell>
          <cell r="W6687">
            <v>0</v>
          </cell>
          <cell r="X6687" t="str">
            <v>0</v>
          </cell>
        </row>
        <row r="6688">
          <cell r="I6688" t="str">
            <v>sim</v>
          </cell>
          <cell r="V6688" t="str">
            <v>antonym</v>
          </cell>
          <cell r="W6688">
            <v>1</v>
          </cell>
          <cell r="X6688" t="str">
            <v>intens</v>
          </cell>
        </row>
        <row r="6689">
          <cell r="I6689" t="str">
            <v>sim</v>
          </cell>
          <cell r="V6689" t="str">
            <v>antonym</v>
          </cell>
          <cell r="W6689">
            <v>1</v>
          </cell>
          <cell r="X6689" t="str">
            <v>neg</v>
          </cell>
        </row>
        <row r="6690">
          <cell r="I6690" t="str">
            <v>sim</v>
          </cell>
          <cell r="V6690" t="str">
            <v>not neg pair</v>
          </cell>
          <cell r="W6690">
            <v>0</v>
          </cell>
          <cell r="X6690" t="str">
            <v>0</v>
          </cell>
        </row>
        <row r="6691">
          <cell r="I6691" t="str">
            <v>sim</v>
          </cell>
          <cell r="V6691" t="str">
            <v>not neg pair</v>
          </cell>
          <cell r="W6691">
            <v>0</v>
          </cell>
          <cell r="X6691" t="str">
            <v>0</v>
          </cell>
        </row>
        <row r="6692">
          <cell r="I6692" t="str">
            <v>sim</v>
          </cell>
          <cell r="V6692" t="str">
            <v>antonym</v>
          </cell>
          <cell r="W6692">
            <v>1</v>
          </cell>
          <cell r="X6692" t="str">
            <v>intens</v>
          </cell>
        </row>
        <row r="6693">
          <cell r="I6693" t="str">
            <v>sim</v>
          </cell>
          <cell r="V6693" t="str">
            <v>antonym</v>
          </cell>
          <cell r="W6693">
            <v>1</v>
          </cell>
          <cell r="X6693" t="str">
            <v>neg</v>
          </cell>
        </row>
        <row r="6694">
          <cell r="I6694" t="str">
            <v>met</v>
          </cell>
          <cell r="V6694" t="str">
            <v>0</v>
          </cell>
          <cell r="W6694">
            <v>0</v>
          </cell>
          <cell r="X6694" t="str">
            <v>0</v>
          </cell>
        </row>
        <row r="6695">
          <cell r="I6695" t="str">
            <v>met</v>
          </cell>
          <cell r="V6695" t="str">
            <v>0</v>
          </cell>
          <cell r="W6695">
            <v>0</v>
          </cell>
          <cell r="X6695" t="str">
            <v>0</v>
          </cell>
        </row>
        <row r="6696">
          <cell r="I6696" t="str">
            <v>sim</v>
          </cell>
          <cell r="V6696" t="str">
            <v>not neg pair</v>
          </cell>
          <cell r="W6696">
            <v>0</v>
          </cell>
          <cell r="X6696" t="str">
            <v>0</v>
          </cell>
        </row>
        <row r="6697">
          <cell r="I6697" t="str">
            <v>sim</v>
          </cell>
          <cell r="V6697" t="str">
            <v>not neg pair</v>
          </cell>
          <cell r="W6697">
            <v>0</v>
          </cell>
          <cell r="X6697" t="str">
            <v>0</v>
          </cell>
        </row>
        <row r="6698">
          <cell r="I6698" t="str">
            <v>sim</v>
          </cell>
          <cell r="V6698" t="str">
            <v>not</v>
          </cell>
          <cell r="W6698">
            <v>1</v>
          </cell>
          <cell r="X6698" t="str">
            <v>neg</v>
          </cell>
        </row>
        <row r="6699">
          <cell r="I6699" t="str">
            <v>sim</v>
          </cell>
          <cell r="V6699" t="str">
            <v>not</v>
          </cell>
          <cell r="W6699">
            <v>1</v>
          </cell>
          <cell r="X6699" t="str">
            <v>intens</v>
          </cell>
        </row>
        <row r="6700">
          <cell r="I6700" t="str">
            <v>sim</v>
          </cell>
          <cell r="V6700" t="str">
            <v>not neg pair</v>
          </cell>
          <cell r="W6700">
            <v>0</v>
          </cell>
          <cell r="X6700" t="str">
            <v>0</v>
          </cell>
        </row>
        <row r="6701">
          <cell r="I6701" t="str">
            <v>sim</v>
          </cell>
          <cell r="V6701" t="str">
            <v>not neg pair</v>
          </cell>
          <cell r="W6701">
            <v>0</v>
          </cell>
          <cell r="X6701" t="str">
            <v>0</v>
          </cell>
        </row>
        <row r="6702">
          <cell r="I6702" t="str">
            <v>sim</v>
          </cell>
          <cell r="V6702" t="str">
            <v>not</v>
          </cell>
          <cell r="W6702">
            <v>1</v>
          </cell>
          <cell r="X6702" t="str">
            <v>intens</v>
          </cell>
        </row>
        <row r="6703">
          <cell r="I6703" t="str">
            <v>sim</v>
          </cell>
          <cell r="V6703" t="str">
            <v>not</v>
          </cell>
          <cell r="W6703">
            <v>1</v>
          </cell>
          <cell r="X6703" t="str">
            <v>neg</v>
          </cell>
        </row>
        <row r="6704">
          <cell r="I6704" t="str">
            <v>met</v>
          </cell>
          <cell r="V6704" t="str">
            <v>0</v>
          </cell>
          <cell r="W6704">
            <v>0</v>
          </cell>
          <cell r="X6704" t="str">
            <v>0</v>
          </cell>
        </row>
        <row r="6705">
          <cell r="I6705" t="str">
            <v>met</v>
          </cell>
          <cell r="V6705" t="str">
            <v>0</v>
          </cell>
          <cell r="W6705">
            <v>0</v>
          </cell>
          <cell r="X6705" t="str">
            <v>0</v>
          </cell>
        </row>
        <row r="6706">
          <cell r="I6706" t="str">
            <v>met</v>
          </cell>
          <cell r="V6706" t="str">
            <v>0</v>
          </cell>
          <cell r="W6706">
            <v>0</v>
          </cell>
          <cell r="X6706" t="str">
            <v>0</v>
          </cell>
        </row>
        <row r="6707">
          <cell r="I6707" t="str">
            <v>met</v>
          </cell>
          <cell r="V6707" t="str">
            <v>0</v>
          </cell>
          <cell r="W6707">
            <v>0</v>
          </cell>
          <cell r="X6707" t="str">
            <v>0</v>
          </cell>
        </row>
        <row r="6708">
          <cell r="I6708" t="str">
            <v>met</v>
          </cell>
          <cell r="V6708" t="str">
            <v>0</v>
          </cell>
          <cell r="W6708">
            <v>0</v>
          </cell>
          <cell r="X6708" t="str">
            <v>0</v>
          </cell>
        </row>
        <row r="6709">
          <cell r="I6709" t="str">
            <v>met</v>
          </cell>
          <cell r="V6709" t="str">
            <v>0</v>
          </cell>
          <cell r="W6709">
            <v>0</v>
          </cell>
          <cell r="X6709" t="str">
            <v>0</v>
          </cell>
        </row>
        <row r="6710">
          <cell r="I6710" t="str">
            <v>sim</v>
          </cell>
          <cell r="V6710" t="str">
            <v>not</v>
          </cell>
          <cell r="W6710">
            <v>1</v>
          </cell>
          <cell r="X6710" t="str">
            <v>intens</v>
          </cell>
        </row>
        <row r="6711">
          <cell r="I6711" t="str">
            <v>sim</v>
          </cell>
          <cell r="V6711" t="str">
            <v>not</v>
          </cell>
          <cell r="W6711">
            <v>1</v>
          </cell>
          <cell r="X6711" t="str">
            <v>neg</v>
          </cell>
        </row>
        <row r="6712">
          <cell r="I6712" t="str">
            <v>sim</v>
          </cell>
          <cell r="V6712" t="str">
            <v>not neg pair</v>
          </cell>
          <cell r="W6712">
            <v>0</v>
          </cell>
          <cell r="X6712" t="str">
            <v>0</v>
          </cell>
        </row>
        <row r="6713">
          <cell r="I6713" t="str">
            <v>sim</v>
          </cell>
          <cell r="V6713" t="str">
            <v>not neg pair</v>
          </cell>
          <cell r="W6713">
            <v>0</v>
          </cell>
          <cell r="X6713" t="str">
            <v>0</v>
          </cell>
        </row>
        <row r="6714">
          <cell r="I6714" t="str">
            <v>sim</v>
          </cell>
          <cell r="V6714" t="str">
            <v>not neg pair</v>
          </cell>
          <cell r="W6714">
            <v>0</v>
          </cell>
          <cell r="X6714" t="str">
            <v>0</v>
          </cell>
        </row>
        <row r="6715">
          <cell r="I6715" t="str">
            <v>sim</v>
          </cell>
          <cell r="V6715" t="str">
            <v>not neg pair</v>
          </cell>
          <cell r="W6715">
            <v>0</v>
          </cell>
          <cell r="X6715" t="str">
            <v>0</v>
          </cell>
        </row>
        <row r="6716">
          <cell r="I6716" t="str">
            <v>sim</v>
          </cell>
          <cell r="V6716" t="str">
            <v>antonym</v>
          </cell>
          <cell r="W6716">
            <v>1</v>
          </cell>
          <cell r="X6716" t="str">
            <v>neg</v>
          </cell>
        </row>
        <row r="6717">
          <cell r="I6717" t="str">
            <v>sim</v>
          </cell>
          <cell r="V6717" t="str">
            <v>antonym</v>
          </cell>
          <cell r="W6717">
            <v>1</v>
          </cell>
          <cell r="X6717" t="str">
            <v>intens</v>
          </cell>
        </row>
        <row r="6718">
          <cell r="I6718" t="str">
            <v>met</v>
          </cell>
          <cell r="V6718" t="str">
            <v>0</v>
          </cell>
          <cell r="W6718">
            <v>0</v>
          </cell>
          <cell r="X6718" t="str">
            <v>0</v>
          </cell>
        </row>
        <row r="6719">
          <cell r="I6719" t="str">
            <v>met</v>
          </cell>
          <cell r="V6719" t="str">
            <v>0</v>
          </cell>
          <cell r="W6719">
            <v>0</v>
          </cell>
          <cell r="X6719" t="str">
            <v>0</v>
          </cell>
        </row>
        <row r="6720">
          <cell r="I6720" t="str">
            <v>sim</v>
          </cell>
          <cell r="V6720" t="str">
            <v>not neg pair</v>
          </cell>
          <cell r="W6720">
            <v>0</v>
          </cell>
          <cell r="X6720" t="str">
            <v>0</v>
          </cell>
        </row>
        <row r="6721">
          <cell r="I6721" t="str">
            <v>sim</v>
          </cell>
          <cell r="V6721" t="str">
            <v>not neg pair</v>
          </cell>
          <cell r="W6721">
            <v>0</v>
          </cell>
          <cell r="X6721" t="str">
            <v>0</v>
          </cell>
        </row>
        <row r="6722">
          <cell r="I6722" t="str">
            <v>met</v>
          </cell>
          <cell r="V6722" t="str">
            <v>0</v>
          </cell>
          <cell r="W6722">
            <v>0</v>
          </cell>
          <cell r="X6722" t="str">
            <v>0</v>
          </cell>
        </row>
        <row r="6723">
          <cell r="I6723" t="str">
            <v>met</v>
          </cell>
          <cell r="V6723" t="str">
            <v>0</v>
          </cell>
          <cell r="W6723">
            <v>0</v>
          </cell>
          <cell r="X6723" t="str">
            <v>0</v>
          </cell>
        </row>
        <row r="6724">
          <cell r="I6724" t="str">
            <v>met</v>
          </cell>
          <cell r="V6724" t="str">
            <v>0</v>
          </cell>
          <cell r="W6724">
            <v>0</v>
          </cell>
          <cell r="X6724" t="str">
            <v>0</v>
          </cell>
        </row>
        <row r="6725">
          <cell r="I6725" t="str">
            <v>met</v>
          </cell>
          <cell r="V6725" t="str">
            <v>0</v>
          </cell>
          <cell r="W6725">
            <v>0</v>
          </cell>
          <cell r="X6725" t="str">
            <v>0</v>
          </cell>
        </row>
        <row r="6726">
          <cell r="I6726" t="str">
            <v>sim</v>
          </cell>
          <cell r="V6726" t="str">
            <v>not neg pair</v>
          </cell>
          <cell r="W6726">
            <v>0</v>
          </cell>
          <cell r="X6726" t="str">
            <v>0</v>
          </cell>
        </row>
        <row r="6727">
          <cell r="I6727" t="str">
            <v>sim</v>
          </cell>
          <cell r="V6727" t="str">
            <v>not neg pair</v>
          </cell>
          <cell r="W6727">
            <v>0</v>
          </cell>
          <cell r="X6727" t="str">
            <v>0</v>
          </cell>
        </row>
        <row r="6728">
          <cell r="I6728" t="str">
            <v>met</v>
          </cell>
          <cell r="V6728" t="str">
            <v>0</v>
          </cell>
          <cell r="W6728">
            <v>0</v>
          </cell>
          <cell r="X6728" t="str">
            <v>0</v>
          </cell>
        </row>
        <row r="6729">
          <cell r="I6729" t="str">
            <v>met</v>
          </cell>
          <cell r="V6729" t="str">
            <v>0</v>
          </cell>
          <cell r="W6729">
            <v>0</v>
          </cell>
          <cell r="X6729" t="str">
            <v>0</v>
          </cell>
        </row>
        <row r="6730">
          <cell r="I6730" t="str">
            <v>sim</v>
          </cell>
          <cell r="V6730" t="str">
            <v>antonym</v>
          </cell>
          <cell r="W6730">
            <v>1</v>
          </cell>
          <cell r="X6730" t="str">
            <v>neg</v>
          </cell>
        </row>
        <row r="6731">
          <cell r="I6731" t="str">
            <v>sim</v>
          </cell>
          <cell r="V6731" t="str">
            <v>antonym</v>
          </cell>
          <cell r="W6731">
            <v>1</v>
          </cell>
          <cell r="X6731" t="str">
            <v>intens</v>
          </cell>
        </row>
        <row r="6732">
          <cell r="I6732" t="str">
            <v>sim</v>
          </cell>
          <cell r="V6732" t="str">
            <v>antonym</v>
          </cell>
          <cell r="W6732">
            <v>1</v>
          </cell>
          <cell r="X6732" t="str">
            <v>intens</v>
          </cell>
        </row>
        <row r="6733">
          <cell r="I6733" t="str">
            <v>sim</v>
          </cell>
          <cell r="V6733" t="str">
            <v>antonym</v>
          </cell>
          <cell r="W6733">
            <v>1</v>
          </cell>
          <cell r="X6733" t="str">
            <v>neg</v>
          </cell>
        </row>
        <row r="6734">
          <cell r="I6734" t="str">
            <v>sim</v>
          </cell>
          <cell r="V6734" t="str">
            <v>antonym</v>
          </cell>
          <cell r="W6734">
            <v>1</v>
          </cell>
          <cell r="X6734" t="str">
            <v>intens</v>
          </cell>
        </row>
        <row r="6735">
          <cell r="I6735" t="str">
            <v>sim</v>
          </cell>
          <cell r="V6735" t="str">
            <v>antonym</v>
          </cell>
          <cell r="W6735">
            <v>1</v>
          </cell>
          <cell r="X6735" t="str">
            <v>neg</v>
          </cell>
        </row>
        <row r="6736">
          <cell r="I6736" t="str">
            <v>sim</v>
          </cell>
          <cell r="V6736" t="str">
            <v>not neg pair</v>
          </cell>
          <cell r="W6736">
            <v>0</v>
          </cell>
          <cell r="X6736" t="str">
            <v>0</v>
          </cell>
        </row>
        <row r="6737">
          <cell r="I6737" t="str">
            <v>sim</v>
          </cell>
          <cell r="V6737" t="str">
            <v>not neg pair</v>
          </cell>
          <cell r="W6737">
            <v>0</v>
          </cell>
          <cell r="X6737" t="str">
            <v>0</v>
          </cell>
        </row>
        <row r="6738">
          <cell r="I6738" t="str">
            <v>sim</v>
          </cell>
          <cell r="V6738" t="str">
            <v>not</v>
          </cell>
          <cell r="W6738">
            <v>1</v>
          </cell>
          <cell r="X6738" t="str">
            <v>intens</v>
          </cell>
        </row>
        <row r="6739">
          <cell r="I6739" t="str">
            <v>sim</v>
          </cell>
          <cell r="V6739" t="str">
            <v>not</v>
          </cell>
          <cell r="W6739">
            <v>1</v>
          </cell>
          <cell r="X6739" t="str">
            <v>neg</v>
          </cell>
        </row>
        <row r="6740">
          <cell r="I6740" t="str">
            <v>sim</v>
          </cell>
          <cell r="V6740" t="str">
            <v>antonym</v>
          </cell>
          <cell r="W6740">
            <v>1</v>
          </cell>
          <cell r="X6740" t="str">
            <v>intens</v>
          </cell>
        </row>
        <row r="6741">
          <cell r="I6741" t="str">
            <v>sim</v>
          </cell>
          <cell r="V6741" t="str">
            <v>antonym</v>
          </cell>
          <cell r="W6741">
            <v>1</v>
          </cell>
          <cell r="X6741" t="str">
            <v>neg</v>
          </cell>
        </row>
        <row r="6742">
          <cell r="I6742" t="str">
            <v>sim</v>
          </cell>
          <cell r="V6742" t="str">
            <v>not neg pair</v>
          </cell>
          <cell r="W6742">
            <v>0</v>
          </cell>
          <cell r="X6742" t="str">
            <v>0</v>
          </cell>
        </row>
        <row r="6743">
          <cell r="I6743" t="str">
            <v>sim</v>
          </cell>
          <cell r="V6743" t="str">
            <v>not neg pair</v>
          </cell>
          <cell r="W6743">
            <v>0</v>
          </cell>
          <cell r="X6743" t="str">
            <v>0</v>
          </cell>
        </row>
        <row r="6744">
          <cell r="I6744" t="str">
            <v>met</v>
          </cell>
          <cell r="V6744" t="str">
            <v>0</v>
          </cell>
          <cell r="W6744">
            <v>0</v>
          </cell>
          <cell r="X6744" t="str">
            <v>0</v>
          </cell>
        </row>
        <row r="6745">
          <cell r="I6745" t="str">
            <v>met</v>
          </cell>
          <cell r="V6745" t="str">
            <v>0</v>
          </cell>
          <cell r="W6745">
            <v>0</v>
          </cell>
          <cell r="X6745" t="str">
            <v>0</v>
          </cell>
        </row>
        <row r="6746">
          <cell r="I6746" t="str">
            <v>sim</v>
          </cell>
          <cell r="V6746" t="str">
            <v>not neg pair</v>
          </cell>
          <cell r="W6746">
            <v>0</v>
          </cell>
          <cell r="X6746" t="str">
            <v>0</v>
          </cell>
        </row>
        <row r="6747">
          <cell r="I6747" t="str">
            <v>sim</v>
          </cell>
          <cell r="V6747" t="str">
            <v>not neg pair</v>
          </cell>
          <cell r="W6747">
            <v>0</v>
          </cell>
          <cell r="X6747" t="str">
            <v>0</v>
          </cell>
        </row>
        <row r="6748">
          <cell r="I6748" t="str">
            <v>met</v>
          </cell>
          <cell r="V6748" t="str">
            <v>0</v>
          </cell>
          <cell r="W6748">
            <v>0</v>
          </cell>
          <cell r="X6748" t="str">
            <v>0</v>
          </cell>
        </row>
        <row r="6749">
          <cell r="I6749" t="str">
            <v>met</v>
          </cell>
          <cell r="V6749" t="str">
            <v>0</v>
          </cell>
          <cell r="W6749">
            <v>0</v>
          </cell>
          <cell r="X6749" t="str">
            <v>0</v>
          </cell>
        </row>
        <row r="6750">
          <cell r="I6750" t="str">
            <v>sim</v>
          </cell>
          <cell r="V6750" t="str">
            <v>not</v>
          </cell>
          <cell r="W6750">
            <v>1</v>
          </cell>
          <cell r="X6750" t="str">
            <v>intens</v>
          </cell>
        </row>
        <row r="6751">
          <cell r="I6751" t="str">
            <v>sim</v>
          </cell>
          <cell r="V6751" t="str">
            <v>not</v>
          </cell>
          <cell r="W6751">
            <v>1</v>
          </cell>
          <cell r="X6751" t="str">
            <v>neg</v>
          </cell>
        </row>
        <row r="6752">
          <cell r="I6752" t="str">
            <v>sim</v>
          </cell>
          <cell r="V6752" t="str">
            <v>not</v>
          </cell>
          <cell r="W6752">
            <v>1</v>
          </cell>
          <cell r="X6752" t="str">
            <v>intens</v>
          </cell>
        </row>
        <row r="6753">
          <cell r="I6753" t="str">
            <v>sim</v>
          </cell>
          <cell r="V6753" t="str">
            <v>not</v>
          </cell>
          <cell r="W6753">
            <v>1</v>
          </cell>
          <cell r="X6753" t="str">
            <v>neg</v>
          </cell>
        </row>
        <row r="6754">
          <cell r="I6754" t="str">
            <v>met</v>
          </cell>
          <cell r="V6754" t="str">
            <v>0</v>
          </cell>
          <cell r="W6754">
            <v>0</v>
          </cell>
          <cell r="X6754" t="str">
            <v>0</v>
          </cell>
        </row>
        <row r="6755">
          <cell r="I6755" t="str">
            <v>met</v>
          </cell>
          <cell r="V6755" t="str">
            <v>0</v>
          </cell>
          <cell r="W6755">
            <v>0</v>
          </cell>
          <cell r="X6755" t="str">
            <v>0</v>
          </cell>
        </row>
        <row r="6756">
          <cell r="I6756" t="str">
            <v>met</v>
          </cell>
          <cell r="V6756" t="str">
            <v>0</v>
          </cell>
          <cell r="W6756">
            <v>0</v>
          </cell>
          <cell r="X6756" t="str">
            <v>0</v>
          </cell>
        </row>
        <row r="6757">
          <cell r="I6757" t="str">
            <v>met</v>
          </cell>
          <cell r="V6757" t="str">
            <v>0</v>
          </cell>
          <cell r="W6757">
            <v>0</v>
          </cell>
          <cell r="X6757" t="str">
            <v>0</v>
          </cell>
        </row>
        <row r="6758">
          <cell r="I6758" t="str">
            <v>sim</v>
          </cell>
          <cell r="V6758" t="str">
            <v>not</v>
          </cell>
          <cell r="W6758">
            <v>1</v>
          </cell>
          <cell r="X6758" t="str">
            <v>neg</v>
          </cell>
        </row>
        <row r="6759">
          <cell r="I6759" t="str">
            <v>sim</v>
          </cell>
          <cell r="V6759" t="str">
            <v>not</v>
          </cell>
          <cell r="W6759">
            <v>1</v>
          </cell>
          <cell r="X6759" t="str">
            <v>intens</v>
          </cell>
        </row>
        <row r="6760">
          <cell r="I6760" t="str">
            <v>met</v>
          </cell>
          <cell r="V6760" t="str">
            <v>0</v>
          </cell>
          <cell r="W6760">
            <v>0</v>
          </cell>
          <cell r="X6760" t="str">
            <v>0</v>
          </cell>
        </row>
        <row r="6761">
          <cell r="I6761" t="str">
            <v>met</v>
          </cell>
          <cell r="V6761" t="str">
            <v>0</v>
          </cell>
          <cell r="W6761">
            <v>0</v>
          </cell>
          <cell r="X6761" t="str">
            <v>0</v>
          </cell>
        </row>
        <row r="6762">
          <cell r="I6762" t="str">
            <v>met</v>
          </cell>
          <cell r="V6762" t="str">
            <v>0</v>
          </cell>
          <cell r="W6762">
            <v>0</v>
          </cell>
          <cell r="X6762" t="str">
            <v>0</v>
          </cell>
        </row>
        <row r="6763">
          <cell r="I6763" t="str">
            <v>met</v>
          </cell>
          <cell r="V6763" t="str">
            <v>0</v>
          </cell>
          <cell r="W6763">
            <v>0</v>
          </cell>
          <cell r="X6763" t="str">
            <v>0</v>
          </cell>
        </row>
        <row r="6764">
          <cell r="I6764" t="str">
            <v>sim</v>
          </cell>
          <cell r="V6764" t="str">
            <v>not neg pair</v>
          </cell>
          <cell r="W6764">
            <v>0</v>
          </cell>
          <cell r="X6764" t="str">
            <v>0</v>
          </cell>
        </row>
        <row r="6765">
          <cell r="I6765" t="str">
            <v>sim</v>
          </cell>
          <cell r="V6765" t="str">
            <v>not neg pair</v>
          </cell>
          <cell r="W6765">
            <v>0</v>
          </cell>
          <cell r="X6765" t="str">
            <v>0</v>
          </cell>
        </row>
        <row r="6766">
          <cell r="I6766" t="str">
            <v>sim</v>
          </cell>
          <cell r="V6766" t="str">
            <v>not neg pair</v>
          </cell>
          <cell r="W6766">
            <v>0</v>
          </cell>
          <cell r="X6766" t="str">
            <v>0</v>
          </cell>
        </row>
        <row r="6767">
          <cell r="I6767" t="str">
            <v>sim</v>
          </cell>
          <cell r="V6767" t="str">
            <v>not neg pair</v>
          </cell>
          <cell r="W6767">
            <v>0</v>
          </cell>
          <cell r="X6767" t="str">
            <v>0</v>
          </cell>
        </row>
        <row r="6768">
          <cell r="I6768" t="str">
            <v>sim</v>
          </cell>
          <cell r="V6768" t="str">
            <v>not neg pair</v>
          </cell>
          <cell r="W6768">
            <v>0</v>
          </cell>
          <cell r="X6768" t="str">
            <v>0</v>
          </cell>
        </row>
        <row r="6769">
          <cell r="I6769" t="str">
            <v>sim</v>
          </cell>
          <cell r="V6769" t="str">
            <v>not neg pair</v>
          </cell>
          <cell r="W6769">
            <v>0</v>
          </cell>
          <cell r="X6769" t="str">
            <v>0</v>
          </cell>
        </row>
        <row r="6770">
          <cell r="I6770" t="str">
            <v>met</v>
          </cell>
          <cell r="V6770" t="str">
            <v>0</v>
          </cell>
          <cell r="W6770">
            <v>0</v>
          </cell>
          <cell r="X6770" t="str">
            <v>0</v>
          </cell>
        </row>
        <row r="6771">
          <cell r="I6771" t="str">
            <v>met</v>
          </cell>
          <cell r="V6771" t="str">
            <v>0</v>
          </cell>
          <cell r="W6771">
            <v>0</v>
          </cell>
          <cell r="X6771" t="str">
            <v>0</v>
          </cell>
        </row>
        <row r="6772">
          <cell r="I6772" t="str">
            <v>sim</v>
          </cell>
          <cell r="V6772" t="str">
            <v>antonym</v>
          </cell>
          <cell r="W6772">
            <v>1</v>
          </cell>
          <cell r="X6772" t="str">
            <v>neg</v>
          </cell>
        </row>
        <row r="6773">
          <cell r="I6773" t="str">
            <v>sim</v>
          </cell>
          <cell r="V6773" t="str">
            <v>antonym</v>
          </cell>
          <cell r="W6773">
            <v>1</v>
          </cell>
          <cell r="X6773" t="str">
            <v>intens</v>
          </cell>
        </row>
        <row r="6774">
          <cell r="I6774" t="str">
            <v>sim</v>
          </cell>
          <cell r="V6774" t="str">
            <v>not neg pair</v>
          </cell>
          <cell r="W6774">
            <v>0</v>
          </cell>
          <cell r="X6774" t="str">
            <v>0</v>
          </cell>
        </row>
        <row r="6775">
          <cell r="I6775" t="str">
            <v>sim</v>
          </cell>
          <cell r="V6775" t="str">
            <v>not neg pair</v>
          </cell>
          <cell r="W6775">
            <v>0</v>
          </cell>
          <cell r="X6775" t="str">
            <v>0</v>
          </cell>
        </row>
        <row r="6776">
          <cell r="I6776" t="str">
            <v>sim</v>
          </cell>
          <cell r="V6776" t="str">
            <v>not</v>
          </cell>
          <cell r="W6776">
            <v>1</v>
          </cell>
          <cell r="X6776" t="str">
            <v>intens</v>
          </cell>
        </row>
        <row r="6777">
          <cell r="I6777" t="str">
            <v>sim</v>
          </cell>
          <cell r="V6777" t="str">
            <v>not</v>
          </cell>
          <cell r="W6777">
            <v>1</v>
          </cell>
          <cell r="X6777" t="str">
            <v>neg</v>
          </cell>
        </row>
        <row r="6778">
          <cell r="I6778" t="str">
            <v>sim</v>
          </cell>
          <cell r="V6778" t="str">
            <v>not</v>
          </cell>
          <cell r="W6778">
            <v>1</v>
          </cell>
          <cell r="X6778" t="str">
            <v>intens</v>
          </cell>
        </row>
        <row r="6779">
          <cell r="I6779" t="str">
            <v>sim</v>
          </cell>
          <cell r="V6779" t="str">
            <v>not</v>
          </cell>
          <cell r="W6779">
            <v>1</v>
          </cell>
          <cell r="X6779" t="str">
            <v>neg</v>
          </cell>
        </row>
        <row r="6780">
          <cell r="I6780" t="str">
            <v>sim</v>
          </cell>
          <cell r="V6780" t="str">
            <v>antonym</v>
          </cell>
          <cell r="W6780">
            <v>1</v>
          </cell>
          <cell r="X6780" t="str">
            <v>intens</v>
          </cell>
        </row>
        <row r="6781">
          <cell r="I6781" t="str">
            <v>sim</v>
          </cell>
          <cell r="V6781" t="str">
            <v>antonym</v>
          </cell>
          <cell r="W6781">
            <v>1</v>
          </cell>
          <cell r="X6781" t="str">
            <v>neg</v>
          </cell>
        </row>
        <row r="6782">
          <cell r="I6782" t="str">
            <v>sim</v>
          </cell>
          <cell r="V6782" t="str">
            <v>not neg pair</v>
          </cell>
          <cell r="W6782">
            <v>0</v>
          </cell>
          <cell r="X6782" t="str">
            <v>0</v>
          </cell>
        </row>
        <row r="6783">
          <cell r="I6783" t="str">
            <v>sim</v>
          </cell>
          <cell r="V6783" t="str">
            <v>not neg pair</v>
          </cell>
          <cell r="W6783">
            <v>0</v>
          </cell>
          <cell r="X6783" t="str">
            <v>0</v>
          </cell>
        </row>
        <row r="6784">
          <cell r="I6784" t="str">
            <v>sim</v>
          </cell>
          <cell r="V6784" t="str">
            <v>not neg pair</v>
          </cell>
          <cell r="W6784">
            <v>0</v>
          </cell>
          <cell r="X6784" t="str">
            <v>0</v>
          </cell>
        </row>
        <row r="6785">
          <cell r="I6785" t="str">
            <v>sim</v>
          </cell>
          <cell r="V6785" t="str">
            <v>not neg pair</v>
          </cell>
          <cell r="W6785">
            <v>0</v>
          </cell>
          <cell r="X6785" t="str">
            <v>0</v>
          </cell>
        </row>
        <row r="6786">
          <cell r="I6786" t="str">
            <v>met</v>
          </cell>
          <cell r="V6786" t="str">
            <v>0</v>
          </cell>
          <cell r="W6786">
            <v>0</v>
          </cell>
          <cell r="X6786" t="str">
            <v>0</v>
          </cell>
        </row>
        <row r="6787">
          <cell r="I6787" t="str">
            <v>met</v>
          </cell>
          <cell r="V6787" t="str">
            <v>0</v>
          </cell>
          <cell r="W6787">
            <v>0</v>
          </cell>
          <cell r="X6787" t="str">
            <v>0</v>
          </cell>
        </row>
        <row r="6788">
          <cell r="I6788" t="str">
            <v>sim</v>
          </cell>
          <cell r="V6788" t="str">
            <v>antonym</v>
          </cell>
          <cell r="W6788">
            <v>1</v>
          </cell>
          <cell r="X6788" t="str">
            <v>intens</v>
          </cell>
        </row>
        <row r="6789">
          <cell r="I6789" t="str">
            <v>sim</v>
          </cell>
          <cell r="V6789" t="str">
            <v>antonym</v>
          </cell>
          <cell r="W6789">
            <v>1</v>
          </cell>
          <cell r="X6789" t="str">
            <v>neg</v>
          </cell>
        </row>
        <row r="6790">
          <cell r="I6790" t="str">
            <v>sim</v>
          </cell>
          <cell r="V6790" t="str">
            <v>antonym</v>
          </cell>
          <cell r="W6790">
            <v>1</v>
          </cell>
          <cell r="X6790" t="str">
            <v>intens</v>
          </cell>
        </row>
        <row r="6791">
          <cell r="I6791" t="str">
            <v>sim</v>
          </cell>
          <cell r="V6791" t="str">
            <v>antonym</v>
          </cell>
          <cell r="W6791">
            <v>1</v>
          </cell>
          <cell r="X6791" t="str">
            <v>neg</v>
          </cell>
        </row>
        <row r="6792">
          <cell r="I6792" t="str">
            <v>sim</v>
          </cell>
          <cell r="V6792" t="str">
            <v>not neg pair</v>
          </cell>
          <cell r="W6792">
            <v>0</v>
          </cell>
          <cell r="X6792" t="str">
            <v>0</v>
          </cell>
        </row>
        <row r="6793">
          <cell r="I6793" t="str">
            <v>sim</v>
          </cell>
          <cell r="V6793" t="str">
            <v>not neg pair</v>
          </cell>
          <cell r="W6793">
            <v>0</v>
          </cell>
          <cell r="X6793" t="str">
            <v>0</v>
          </cell>
        </row>
        <row r="6794">
          <cell r="I6794" t="str">
            <v>met</v>
          </cell>
          <cell r="V6794" t="str">
            <v>0</v>
          </cell>
          <cell r="W6794">
            <v>0</v>
          </cell>
          <cell r="X6794" t="str">
            <v>0</v>
          </cell>
        </row>
        <row r="6795">
          <cell r="I6795" t="str">
            <v>met</v>
          </cell>
          <cell r="V6795" t="str">
            <v>0</v>
          </cell>
          <cell r="W6795">
            <v>0</v>
          </cell>
          <cell r="X6795" t="str">
            <v>0</v>
          </cell>
        </row>
        <row r="6796">
          <cell r="I6796" t="str">
            <v>met</v>
          </cell>
          <cell r="V6796" t="str">
            <v>0</v>
          </cell>
          <cell r="W6796">
            <v>0</v>
          </cell>
          <cell r="X6796" t="str">
            <v>0</v>
          </cell>
        </row>
        <row r="6797">
          <cell r="I6797" t="str">
            <v>met</v>
          </cell>
          <cell r="V6797" t="str">
            <v>0</v>
          </cell>
          <cell r="W6797">
            <v>0</v>
          </cell>
          <cell r="X6797" t="str">
            <v>0</v>
          </cell>
        </row>
        <row r="6798">
          <cell r="I6798" t="str">
            <v>sim</v>
          </cell>
          <cell r="V6798" t="str">
            <v>not neg pair</v>
          </cell>
          <cell r="W6798">
            <v>0</v>
          </cell>
          <cell r="X6798" t="str">
            <v>0</v>
          </cell>
        </row>
        <row r="6799">
          <cell r="I6799" t="str">
            <v>sim</v>
          </cell>
          <cell r="V6799" t="str">
            <v>not neg pair</v>
          </cell>
          <cell r="W6799">
            <v>0</v>
          </cell>
          <cell r="X6799" t="str">
            <v>0</v>
          </cell>
        </row>
        <row r="6800">
          <cell r="I6800" t="str">
            <v>sim</v>
          </cell>
          <cell r="V6800" t="str">
            <v>not</v>
          </cell>
          <cell r="W6800">
            <v>1</v>
          </cell>
          <cell r="X6800" t="str">
            <v>intens</v>
          </cell>
        </row>
        <row r="6801">
          <cell r="I6801" t="str">
            <v>sim</v>
          </cell>
          <cell r="V6801" t="str">
            <v>not</v>
          </cell>
          <cell r="W6801">
            <v>1</v>
          </cell>
          <cell r="X6801" t="str">
            <v>neg</v>
          </cell>
        </row>
        <row r="6802">
          <cell r="I6802" t="str">
            <v>sim</v>
          </cell>
          <cell r="V6802" t="str">
            <v>not</v>
          </cell>
          <cell r="W6802">
            <v>1</v>
          </cell>
          <cell r="X6802" t="str">
            <v>neg</v>
          </cell>
        </row>
        <row r="6803">
          <cell r="I6803" t="str">
            <v>sim</v>
          </cell>
          <cell r="V6803" t="str">
            <v>not</v>
          </cell>
          <cell r="W6803">
            <v>1</v>
          </cell>
          <cell r="X6803" t="str">
            <v>intens</v>
          </cell>
        </row>
        <row r="6804">
          <cell r="I6804" t="str">
            <v>sim</v>
          </cell>
          <cell r="V6804" t="str">
            <v>not</v>
          </cell>
          <cell r="W6804">
            <v>1</v>
          </cell>
          <cell r="X6804" t="str">
            <v>neg</v>
          </cell>
        </row>
        <row r="6805">
          <cell r="I6805" t="str">
            <v>sim</v>
          </cell>
          <cell r="V6805" t="str">
            <v>not</v>
          </cell>
          <cell r="W6805">
            <v>1</v>
          </cell>
          <cell r="X6805" t="str">
            <v>intens</v>
          </cell>
        </row>
        <row r="6806">
          <cell r="I6806" t="str">
            <v>met</v>
          </cell>
          <cell r="V6806" t="str">
            <v>0</v>
          </cell>
          <cell r="W6806">
            <v>0</v>
          </cell>
          <cell r="X6806" t="str">
            <v>0</v>
          </cell>
        </row>
        <row r="6807">
          <cell r="I6807" t="str">
            <v>met</v>
          </cell>
          <cell r="V6807" t="str">
            <v>0</v>
          </cell>
          <cell r="W6807">
            <v>0</v>
          </cell>
          <cell r="X6807" t="str">
            <v>0</v>
          </cell>
        </row>
        <row r="6808">
          <cell r="I6808" t="str">
            <v>sim</v>
          </cell>
          <cell r="V6808" t="str">
            <v>not</v>
          </cell>
          <cell r="W6808">
            <v>1</v>
          </cell>
          <cell r="X6808" t="str">
            <v>neg</v>
          </cell>
        </row>
        <row r="6809">
          <cell r="I6809" t="str">
            <v>sim</v>
          </cell>
          <cell r="V6809" t="str">
            <v>not</v>
          </cell>
          <cell r="W6809">
            <v>1</v>
          </cell>
          <cell r="X6809" t="str">
            <v>intens</v>
          </cell>
        </row>
        <row r="6810">
          <cell r="I6810" t="str">
            <v>sim</v>
          </cell>
          <cell r="V6810" t="str">
            <v>antonym</v>
          </cell>
          <cell r="W6810">
            <v>1</v>
          </cell>
          <cell r="X6810" t="str">
            <v>neg</v>
          </cell>
        </row>
        <row r="6811">
          <cell r="I6811" t="str">
            <v>sim</v>
          </cell>
          <cell r="V6811" t="str">
            <v>antonym</v>
          </cell>
          <cell r="W6811">
            <v>1</v>
          </cell>
          <cell r="X6811" t="str">
            <v>intens</v>
          </cell>
        </row>
        <row r="6812">
          <cell r="I6812" t="str">
            <v>sim</v>
          </cell>
          <cell r="V6812" t="str">
            <v>not neg pair</v>
          </cell>
          <cell r="W6812">
            <v>0</v>
          </cell>
          <cell r="X6812" t="str">
            <v>0</v>
          </cell>
        </row>
        <row r="6813">
          <cell r="I6813" t="str">
            <v>sim</v>
          </cell>
          <cell r="V6813" t="str">
            <v>not neg pair</v>
          </cell>
          <cell r="W6813">
            <v>0</v>
          </cell>
          <cell r="X6813" t="str">
            <v>0</v>
          </cell>
        </row>
        <row r="6814">
          <cell r="I6814" t="str">
            <v>sim</v>
          </cell>
          <cell r="V6814" t="str">
            <v>not neg pair</v>
          </cell>
          <cell r="W6814">
            <v>0</v>
          </cell>
          <cell r="X6814" t="str">
            <v>0</v>
          </cell>
        </row>
        <row r="6815">
          <cell r="I6815" t="str">
            <v>sim</v>
          </cell>
          <cell r="V6815" t="str">
            <v>not neg pair</v>
          </cell>
          <cell r="W6815">
            <v>0</v>
          </cell>
          <cell r="X6815" t="str">
            <v>0</v>
          </cell>
        </row>
        <row r="6816">
          <cell r="I6816" t="str">
            <v>sim</v>
          </cell>
          <cell r="V6816" t="str">
            <v>not neg pair</v>
          </cell>
          <cell r="W6816">
            <v>0</v>
          </cell>
          <cell r="X6816" t="str">
            <v>0</v>
          </cell>
        </row>
        <row r="6817">
          <cell r="I6817" t="str">
            <v>sim</v>
          </cell>
          <cell r="V6817" t="str">
            <v>not neg pair</v>
          </cell>
          <cell r="W6817">
            <v>0</v>
          </cell>
          <cell r="X6817" t="str">
            <v>0</v>
          </cell>
        </row>
        <row r="6818">
          <cell r="I6818" t="str">
            <v>sim</v>
          </cell>
          <cell r="V6818" t="str">
            <v>not neg pair</v>
          </cell>
          <cell r="W6818">
            <v>0</v>
          </cell>
          <cell r="X6818" t="str">
            <v>0</v>
          </cell>
        </row>
        <row r="6819">
          <cell r="I6819" t="str">
            <v>sim</v>
          </cell>
          <cell r="V6819" t="str">
            <v>not neg pair</v>
          </cell>
          <cell r="W6819">
            <v>0</v>
          </cell>
          <cell r="X6819" t="str">
            <v>0</v>
          </cell>
        </row>
        <row r="6820">
          <cell r="I6820" t="str">
            <v>sim</v>
          </cell>
          <cell r="V6820" t="str">
            <v>not</v>
          </cell>
          <cell r="W6820">
            <v>1</v>
          </cell>
          <cell r="X6820" t="str">
            <v>intens</v>
          </cell>
        </row>
        <row r="6821">
          <cell r="I6821" t="str">
            <v>sim</v>
          </cell>
          <cell r="V6821" t="str">
            <v>not</v>
          </cell>
          <cell r="W6821">
            <v>1</v>
          </cell>
          <cell r="X6821" t="str">
            <v>neg</v>
          </cell>
        </row>
        <row r="6822">
          <cell r="I6822" t="str">
            <v>sim</v>
          </cell>
          <cell r="V6822" t="str">
            <v>not neg pair</v>
          </cell>
          <cell r="W6822">
            <v>0</v>
          </cell>
          <cell r="X6822" t="str">
            <v>0</v>
          </cell>
        </row>
        <row r="6823">
          <cell r="I6823" t="str">
            <v>sim</v>
          </cell>
          <cell r="V6823" t="str">
            <v>not neg pair</v>
          </cell>
          <cell r="W6823">
            <v>0</v>
          </cell>
          <cell r="X6823" t="str">
            <v>0</v>
          </cell>
        </row>
        <row r="6824">
          <cell r="I6824" t="str">
            <v>sim</v>
          </cell>
          <cell r="V6824" t="str">
            <v>not neg pair</v>
          </cell>
          <cell r="W6824">
            <v>0</v>
          </cell>
          <cell r="X6824" t="str">
            <v>0</v>
          </cell>
        </row>
        <row r="6825">
          <cell r="I6825" t="str">
            <v>sim</v>
          </cell>
          <cell r="V6825" t="str">
            <v>not neg pair</v>
          </cell>
          <cell r="W6825">
            <v>0</v>
          </cell>
          <cell r="X6825" t="str">
            <v>0</v>
          </cell>
        </row>
        <row r="6826">
          <cell r="I6826" t="str">
            <v>sim</v>
          </cell>
          <cell r="V6826" t="str">
            <v>not neg pair</v>
          </cell>
          <cell r="W6826">
            <v>0</v>
          </cell>
          <cell r="X6826" t="str">
            <v>0</v>
          </cell>
        </row>
        <row r="6827">
          <cell r="I6827" t="str">
            <v>sim</v>
          </cell>
          <cell r="V6827" t="str">
            <v>not neg pair</v>
          </cell>
          <cell r="W6827">
            <v>0</v>
          </cell>
          <cell r="X6827" t="str">
            <v>0</v>
          </cell>
        </row>
        <row r="6828">
          <cell r="I6828" t="str">
            <v>sim</v>
          </cell>
          <cell r="V6828" t="str">
            <v>not neg pair</v>
          </cell>
          <cell r="W6828">
            <v>0</v>
          </cell>
          <cell r="X6828" t="str">
            <v>0</v>
          </cell>
        </row>
        <row r="6829">
          <cell r="I6829" t="str">
            <v>sim</v>
          </cell>
          <cell r="V6829" t="str">
            <v>not neg pair</v>
          </cell>
          <cell r="W6829">
            <v>0</v>
          </cell>
          <cell r="X6829" t="str">
            <v>0</v>
          </cell>
        </row>
        <row r="6830">
          <cell r="I6830" t="str">
            <v>sim</v>
          </cell>
          <cell r="V6830" t="str">
            <v>not neg pair</v>
          </cell>
          <cell r="W6830">
            <v>0</v>
          </cell>
          <cell r="X6830" t="str">
            <v>0</v>
          </cell>
        </row>
        <row r="6831">
          <cell r="I6831" t="str">
            <v>sim</v>
          </cell>
          <cell r="V6831" t="str">
            <v>not neg pair</v>
          </cell>
          <cell r="W6831">
            <v>0</v>
          </cell>
          <cell r="X6831" t="str">
            <v>0</v>
          </cell>
        </row>
        <row r="6832">
          <cell r="I6832" t="str">
            <v>sim</v>
          </cell>
          <cell r="V6832" t="str">
            <v>not neg pair</v>
          </cell>
          <cell r="W6832">
            <v>0</v>
          </cell>
          <cell r="X6832" t="str">
            <v>0</v>
          </cell>
        </row>
        <row r="6833">
          <cell r="I6833" t="str">
            <v>sim</v>
          </cell>
          <cell r="V6833" t="str">
            <v>not neg pair</v>
          </cell>
          <cell r="W6833">
            <v>0</v>
          </cell>
          <cell r="X6833" t="str">
            <v>0</v>
          </cell>
        </row>
        <row r="6834">
          <cell r="I6834" t="str">
            <v>sim</v>
          </cell>
          <cell r="V6834" t="str">
            <v>not neg pair</v>
          </cell>
          <cell r="W6834">
            <v>0</v>
          </cell>
          <cell r="X6834" t="str">
            <v>0</v>
          </cell>
        </row>
        <row r="6835">
          <cell r="I6835" t="str">
            <v>sim</v>
          </cell>
          <cell r="V6835" t="str">
            <v>not neg pair</v>
          </cell>
          <cell r="W6835">
            <v>0</v>
          </cell>
          <cell r="X6835" t="str">
            <v>0</v>
          </cell>
        </row>
        <row r="6836">
          <cell r="I6836" t="str">
            <v>sim</v>
          </cell>
          <cell r="V6836" t="str">
            <v>not neg pair</v>
          </cell>
          <cell r="W6836">
            <v>0</v>
          </cell>
          <cell r="X6836" t="str">
            <v>0</v>
          </cell>
        </row>
        <row r="6837">
          <cell r="I6837" t="str">
            <v>sim</v>
          </cell>
          <cell r="V6837" t="str">
            <v>not neg pair</v>
          </cell>
          <cell r="W6837">
            <v>0</v>
          </cell>
          <cell r="X6837" t="str">
            <v>0</v>
          </cell>
        </row>
        <row r="6838">
          <cell r="I6838" t="str">
            <v>met</v>
          </cell>
          <cell r="V6838" t="str">
            <v>0</v>
          </cell>
          <cell r="W6838">
            <v>0</v>
          </cell>
          <cell r="X6838" t="str">
            <v>0</v>
          </cell>
        </row>
        <row r="6839">
          <cell r="I6839" t="str">
            <v>met</v>
          </cell>
          <cell r="V6839" t="str">
            <v>0</v>
          </cell>
          <cell r="W6839">
            <v>0</v>
          </cell>
          <cell r="X6839" t="str">
            <v>0</v>
          </cell>
        </row>
        <row r="6840">
          <cell r="I6840" t="str">
            <v>met</v>
          </cell>
          <cell r="V6840" t="str">
            <v>0</v>
          </cell>
          <cell r="W6840">
            <v>0</v>
          </cell>
          <cell r="X6840" t="str">
            <v>0</v>
          </cell>
        </row>
        <row r="6841">
          <cell r="I6841" t="str">
            <v>met</v>
          </cell>
          <cell r="V6841" t="str">
            <v>0</v>
          </cell>
          <cell r="W6841">
            <v>0</v>
          </cell>
          <cell r="X6841" t="str">
            <v>0</v>
          </cell>
        </row>
        <row r="6842">
          <cell r="I6842" t="str">
            <v>sim</v>
          </cell>
          <cell r="V6842" t="str">
            <v>not neg pair</v>
          </cell>
          <cell r="W6842">
            <v>0</v>
          </cell>
          <cell r="X6842" t="str">
            <v>0</v>
          </cell>
        </row>
        <row r="6843">
          <cell r="I6843" t="str">
            <v>met</v>
          </cell>
          <cell r="V6843" t="str">
            <v>0</v>
          </cell>
          <cell r="W6843">
            <v>0</v>
          </cell>
          <cell r="X6843" t="str">
            <v>0</v>
          </cell>
        </row>
        <row r="6844">
          <cell r="I6844" t="str">
            <v>sim</v>
          </cell>
          <cell r="V6844" t="str">
            <v>not neg pair</v>
          </cell>
          <cell r="W6844">
            <v>0</v>
          </cell>
          <cell r="X6844" t="str">
            <v>0</v>
          </cell>
        </row>
        <row r="6845">
          <cell r="I6845" t="str">
            <v>sim</v>
          </cell>
          <cell r="V6845" t="str">
            <v>not neg pair</v>
          </cell>
          <cell r="W6845">
            <v>0</v>
          </cell>
          <cell r="X6845" t="str">
            <v>0</v>
          </cell>
        </row>
        <row r="6846">
          <cell r="I6846" t="str">
            <v>sim</v>
          </cell>
          <cell r="V6846" t="str">
            <v>antonym</v>
          </cell>
          <cell r="W6846">
            <v>1</v>
          </cell>
          <cell r="X6846" t="str">
            <v>intens</v>
          </cell>
        </row>
        <row r="6847">
          <cell r="I6847" t="str">
            <v>sim</v>
          </cell>
          <cell r="V6847" t="str">
            <v>antonym</v>
          </cell>
          <cell r="W6847">
            <v>1</v>
          </cell>
          <cell r="X6847" t="str">
            <v>neg</v>
          </cell>
        </row>
        <row r="6848">
          <cell r="I6848" t="str">
            <v>sim</v>
          </cell>
          <cell r="V6848" t="str">
            <v>not neg pair</v>
          </cell>
          <cell r="W6848">
            <v>0</v>
          </cell>
          <cell r="X6848" t="str">
            <v>0</v>
          </cell>
        </row>
        <row r="6849">
          <cell r="I6849" t="str">
            <v>sim</v>
          </cell>
          <cell r="V6849" t="str">
            <v>not neg pair</v>
          </cell>
          <cell r="W6849">
            <v>0</v>
          </cell>
          <cell r="X6849" t="str">
            <v>0</v>
          </cell>
        </row>
        <row r="6850">
          <cell r="I6850" t="str">
            <v>sim</v>
          </cell>
          <cell r="V6850" t="str">
            <v>antonym</v>
          </cell>
          <cell r="W6850">
            <v>1</v>
          </cell>
          <cell r="X6850" t="str">
            <v>neg</v>
          </cell>
        </row>
        <row r="6851">
          <cell r="I6851" t="str">
            <v>sim</v>
          </cell>
          <cell r="V6851" t="str">
            <v>antonym</v>
          </cell>
          <cell r="W6851">
            <v>1</v>
          </cell>
          <cell r="X6851" t="str">
            <v>intens</v>
          </cell>
        </row>
        <row r="6852">
          <cell r="I6852" t="str">
            <v>sim</v>
          </cell>
          <cell r="V6852" t="str">
            <v>antonym</v>
          </cell>
          <cell r="W6852">
            <v>1</v>
          </cell>
          <cell r="X6852" t="str">
            <v>neg</v>
          </cell>
        </row>
        <row r="6853">
          <cell r="I6853" t="str">
            <v>sim</v>
          </cell>
          <cell r="V6853" t="str">
            <v>antonym</v>
          </cell>
          <cell r="W6853">
            <v>1</v>
          </cell>
          <cell r="X6853" t="str">
            <v>intens</v>
          </cell>
        </row>
        <row r="6854">
          <cell r="I6854" t="str">
            <v>sim</v>
          </cell>
          <cell r="V6854" t="str">
            <v>not</v>
          </cell>
          <cell r="W6854">
            <v>1</v>
          </cell>
          <cell r="X6854" t="str">
            <v>neg</v>
          </cell>
        </row>
        <row r="6855">
          <cell r="I6855" t="str">
            <v>sim</v>
          </cell>
          <cell r="V6855" t="str">
            <v>not</v>
          </cell>
          <cell r="W6855">
            <v>1</v>
          </cell>
          <cell r="X6855" t="str">
            <v>intens</v>
          </cell>
        </row>
        <row r="6856">
          <cell r="I6856" t="str">
            <v>sim</v>
          </cell>
          <cell r="V6856" t="str">
            <v>not neg pair</v>
          </cell>
          <cell r="W6856">
            <v>0</v>
          </cell>
          <cell r="X6856" t="str">
            <v>0</v>
          </cell>
        </row>
        <row r="6857">
          <cell r="I6857" t="str">
            <v>sim</v>
          </cell>
          <cell r="V6857" t="str">
            <v>not neg pair</v>
          </cell>
          <cell r="W6857">
            <v>0</v>
          </cell>
          <cell r="X6857" t="str">
            <v>0</v>
          </cell>
        </row>
        <row r="6858">
          <cell r="I6858" t="str">
            <v>sim</v>
          </cell>
          <cell r="V6858" t="str">
            <v>not neg pair</v>
          </cell>
          <cell r="W6858">
            <v>0</v>
          </cell>
          <cell r="X6858" t="str">
            <v>0</v>
          </cell>
        </row>
        <row r="6859">
          <cell r="I6859" t="str">
            <v>sim</v>
          </cell>
          <cell r="V6859" t="str">
            <v>not neg pair</v>
          </cell>
          <cell r="W6859">
            <v>0</v>
          </cell>
          <cell r="X6859" t="str">
            <v>0</v>
          </cell>
        </row>
        <row r="6860">
          <cell r="I6860" t="str">
            <v>met</v>
          </cell>
          <cell r="V6860" t="str">
            <v>0</v>
          </cell>
          <cell r="W6860">
            <v>0</v>
          </cell>
          <cell r="X6860" t="str">
            <v>0</v>
          </cell>
        </row>
        <row r="6861">
          <cell r="I6861" t="str">
            <v>met</v>
          </cell>
          <cell r="V6861" t="str">
            <v>0</v>
          </cell>
          <cell r="W6861">
            <v>0</v>
          </cell>
          <cell r="X6861" t="str">
            <v>0</v>
          </cell>
        </row>
        <row r="6862">
          <cell r="I6862" t="str">
            <v>sim</v>
          </cell>
          <cell r="V6862" t="str">
            <v>antonym</v>
          </cell>
          <cell r="W6862">
            <v>1</v>
          </cell>
          <cell r="X6862" t="str">
            <v>intens</v>
          </cell>
        </row>
        <row r="6863">
          <cell r="I6863" t="str">
            <v>sim</v>
          </cell>
          <cell r="V6863" t="str">
            <v>antonym</v>
          </cell>
          <cell r="W6863">
            <v>1</v>
          </cell>
          <cell r="X6863" t="str">
            <v>neg</v>
          </cell>
        </row>
        <row r="6864">
          <cell r="I6864" t="str">
            <v>sim</v>
          </cell>
          <cell r="V6864" t="str">
            <v>not neg pair</v>
          </cell>
          <cell r="W6864">
            <v>0</v>
          </cell>
          <cell r="X6864" t="str">
            <v>0</v>
          </cell>
        </row>
        <row r="6865">
          <cell r="I6865" t="str">
            <v>sim</v>
          </cell>
          <cell r="V6865" t="str">
            <v>not neg pair</v>
          </cell>
          <cell r="W6865">
            <v>0</v>
          </cell>
          <cell r="X6865" t="str">
            <v>0</v>
          </cell>
        </row>
        <row r="6866">
          <cell r="I6866" t="str">
            <v>sim</v>
          </cell>
          <cell r="V6866" t="str">
            <v>antonym</v>
          </cell>
          <cell r="W6866">
            <v>1</v>
          </cell>
          <cell r="X6866" t="str">
            <v>intens</v>
          </cell>
        </row>
        <row r="6867">
          <cell r="I6867" t="str">
            <v>sim</v>
          </cell>
          <cell r="V6867" t="str">
            <v>antonym</v>
          </cell>
          <cell r="W6867">
            <v>1</v>
          </cell>
          <cell r="X6867" t="str">
            <v>neg</v>
          </cell>
        </row>
        <row r="6868">
          <cell r="I6868" t="str">
            <v>sim</v>
          </cell>
          <cell r="V6868" t="str">
            <v>antonym</v>
          </cell>
          <cell r="W6868">
            <v>1</v>
          </cell>
          <cell r="X6868" t="str">
            <v>intens</v>
          </cell>
        </row>
        <row r="6869">
          <cell r="I6869" t="str">
            <v>sim</v>
          </cell>
          <cell r="V6869" t="str">
            <v>antonym</v>
          </cell>
          <cell r="W6869">
            <v>1</v>
          </cell>
          <cell r="X6869" t="str">
            <v>neg</v>
          </cell>
        </row>
        <row r="6870">
          <cell r="I6870" t="str">
            <v>sim</v>
          </cell>
          <cell r="V6870" t="str">
            <v>not neg pair</v>
          </cell>
          <cell r="W6870">
            <v>0</v>
          </cell>
          <cell r="X6870" t="str">
            <v>0</v>
          </cell>
        </row>
        <row r="6871">
          <cell r="I6871" t="str">
            <v>sim</v>
          </cell>
          <cell r="V6871" t="str">
            <v>not neg pair</v>
          </cell>
          <cell r="W6871">
            <v>0</v>
          </cell>
          <cell r="X6871" t="str">
            <v>0</v>
          </cell>
        </row>
        <row r="6872">
          <cell r="I6872" t="str">
            <v>sim</v>
          </cell>
          <cell r="V6872" t="str">
            <v>not neg pair</v>
          </cell>
          <cell r="W6872">
            <v>0</v>
          </cell>
          <cell r="X6872" t="str">
            <v>0</v>
          </cell>
        </row>
        <row r="6873">
          <cell r="I6873" t="str">
            <v>sim</v>
          </cell>
          <cell r="V6873" t="str">
            <v>not neg pair</v>
          </cell>
          <cell r="W6873">
            <v>0</v>
          </cell>
          <cell r="X6873" t="str">
            <v>0</v>
          </cell>
        </row>
        <row r="6874">
          <cell r="I6874" t="str">
            <v>sim</v>
          </cell>
          <cell r="V6874" t="str">
            <v>not neg pair</v>
          </cell>
          <cell r="W6874">
            <v>0</v>
          </cell>
          <cell r="X6874" t="str">
            <v>0</v>
          </cell>
        </row>
        <row r="6875">
          <cell r="I6875" t="str">
            <v>sim</v>
          </cell>
          <cell r="V6875" t="str">
            <v>not neg pair</v>
          </cell>
          <cell r="W6875">
            <v>0</v>
          </cell>
          <cell r="X6875" t="str">
            <v>0</v>
          </cell>
        </row>
        <row r="6876">
          <cell r="I6876" t="str">
            <v>sim</v>
          </cell>
          <cell r="V6876" t="str">
            <v>not neg pair</v>
          </cell>
          <cell r="W6876">
            <v>0</v>
          </cell>
          <cell r="X6876" t="str">
            <v>0</v>
          </cell>
        </row>
        <row r="6877">
          <cell r="I6877" t="str">
            <v>sim</v>
          </cell>
          <cell r="V6877" t="str">
            <v>not neg pair</v>
          </cell>
          <cell r="W6877">
            <v>0</v>
          </cell>
          <cell r="X6877" t="str">
            <v>0</v>
          </cell>
        </row>
        <row r="6878">
          <cell r="I6878" t="str">
            <v>sim</v>
          </cell>
          <cell r="V6878" t="str">
            <v>not</v>
          </cell>
          <cell r="W6878">
            <v>1</v>
          </cell>
          <cell r="X6878" t="str">
            <v>intens</v>
          </cell>
        </row>
        <row r="6879">
          <cell r="I6879" t="str">
            <v>sim</v>
          </cell>
          <cell r="V6879" t="str">
            <v>not</v>
          </cell>
          <cell r="W6879">
            <v>1</v>
          </cell>
          <cell r="X6879" t="str">
            <v>neg</v>
          </cell>
        </row>
        <row r="6880">
          <cell r="I6880" t="str">
            <v>sim</v>
          </cell>
          <cell r="V6880" t="str">
            <v>antonym</v>
          </cell>
          <cell r="W6880">
            <v>1</v>
          </cell>
          <cell r="X6880" t="str">
            <v>intens</v>
          </cell>
        </row>
        <row r="6881">
          <cell r="I6881" t="str">
            <v>sim</v>
          </cell>
          <cell r="V6881" t="str">
            <v>antonym</v>
          </cell>
          <cell r="W6881">
            <v>1</v>
          </cell>
          <cell r="X6881" t="str">
            <v>neg</v>
          </cell>
        </row>
        <row r="6882">
          <cell r="I6882" t="str">
            <v>sim</v>
          </cell>
          <cell r="V6882" t="str">
            <v>not neg pair</v>
          </cell>
          <cell r="W6882">
            <v>0</v>
          </cell>
          <cell r="X6882" t="str">
            <v>0</v>
          </cell>
        </row>
        <row r="6883">
          <cell r="I6883" t="str">
            <v>sim</v>
          </cell>
          <cell r="V6883" t="str">
            <v>not neg pair</v>
          </cell>
          <cell r="W6883">
            <v>0</v>
          </cell>
          <cell r="X6883" t="str">
            <v>0</v>
          </cell>
        </row>
        <row r="6884">
          <cell r="I6884" t="str">
            <v>met</v>
          </cell>
          <cell r="V6884" t="str">
            <v>0</v>
          </cell>
          <cell r="W6884">
            <v>0</v>
          </cell>
          <cell r="X6884" t="str">
            <v>0</v>
          </cell>
        </row>
        <row r="6885">
          <cell r="I6885" t="str">
            <v>met</v>
          </cell>
          <cell r="V6885" t="str">
            <v>0</v>
          </cell>
          <cell r="W6885">
            <v>0</v>
          </cell>
          <cell r="X6885" t="str">
            <v>0</v>
          </cell>
        </row>
        <row r="6886">
          <cell r="I6886" t="str">
            <v>met</v>
          </cell>
          <cell r="V6886" t="str">
            <v>0</v>
          </cell>
          <cell r="W6886">
            <v>0</v>
          </cell>
          <cell r="X6886" t="str">
            <v>0</v>
          </cell>
        </row>
        <row r="6887">
          <cell r="I6887" t="str">
            <v>met</v>
          </cell>
          <cell r="V6887" t="str">
            <v>0</v>
          </cell>
          <cell r="W6887">
            <v>0</v>
          </cell>
          <cell r="X6887" t="str">
            <v>0</v>
          </cell>
        </row>
        <row r="6888">
          <cell r="I6888" t="str">
            <v>met</v>
          </cell>
          <cell r="V6888" t="str">
            <v>0</v>
          </cell>
          <cell r="W6888">
            <v>0</v>
          </cell>
          <cell r="X6888" t="str">
            <v>0</v>
          </cell>
        </row>
        <row r="6889">
          <cell r="I6889" t="str">
            <v>sim</v>
          </cell>
          <cell r="V6889" t="str">
            <v>not neg pair</v>
          </cell>
          <cell r="W6889">
            <v>0</v>
          </cell>
          <cell r="X6889" t="str">
            <v>0</v>
          </cell>
        </row>
        <row r="6890">
          <cell r="I6890" t="str">
            <v>sim</v>
          </cell>
          <cell r="V6890" t="str">
            <v>not</v>
          </cell>
          <cell r="W6890">
            <v>1</v>
          </cell>
          <cell r="X6890" t="str">
            <v>neg</v>
          </cell>
        </row>
        <row r="6891">
          <cell r="I6891" t="str">
            <v>sim</v>
          </cell>
          <cell r="V6891" t="str">
            <v>not</v>
          </cell>
          <cell r="W6891">
            <v>1</v>
          </cell>
          <cell r="X6891" t="str">
            <v>intens</v>
          </cell>
        </row>
        <row r="6892">
          <cell r="I6892" t="str">
            <v>sim</v>
          </cell>
          <cell r="V6892" t="str">
            <v>not neg pair</v>
          </cell>
          <cell r="W6892">
            <v>0</v>
          </cell>
          <cell r="X6892" t="str">
            <v>0</v>
          </cell>
        </row>
        <row r="6893">
          <cell r="I6893" t="str">
            <v>sim</v>
          </cell>
          <cell r="V6893" t="str">
            <v>not neg pair</v>
          </cell>
          <cell r="W6893">
            <v>0</v>
          </cell>
          <cell r="X6893" t="str">
            <v>0</v>
          </cell>
        </row>
        <row r="6894">
          <cell r="I6894" t="str">
            <v>sim</v>
          </cell>
          <cell r="V6894" t="str">
            <v>not neg pair</v>
          </cell>
          <cell r="W6894">
            <v>0</v>
          </cell>
          <cell r="X6894" t="str">
            <v>0</v>
          </cell>
        </row>
        <row r="6895">
          <cell r="I6895" t="str">
            <v>sim</v>
          </cell>
          <cell r="V6895" t="str">
            <v>not neg pair</v>
          </cell>
          <cell r="W6895">
            <v>0</v>
          </cell>
          <cell r="X6895" t="str">
            <v>0</v>
          </cell>
        </row>
        <row r="6896">
          <cell r="I6896" t="str">
            <v>sim</v>
          </cell>
          <cell r="V6896" t="str">
            <v>not neg pair</v>
          </cell>
          <cell r="W6896">
            <v>0</v>
          </cell>
          <cell r="X6896" t="str">
            <v>0</v>
          </cell>
        </row>
        <row r="6897">
          <cell r="I6897" t="str">
            <v>sim</v>
          </cell>
          <cell r="V6897" t="str">
            <v>not neg pair</v>
          </cell>
          <cell r="W6897">
            <v>0</v>
          </cell>
          <cell r="X6897" t="str">
            <v>0</v>
          </cell>
        </row>
        <row r="6898">
          <cell r="I6898" t="str">
            <v>sim</v>
          </cell>
          <cell r="V6898" t="str">
            <v>not neg pair</v>
          </cell>
          <cell r="W6898">
            <v>0</v>
          </cell>
          <cell r="X6898" t="str">
            <v>0</v>
          </cell>
        </row>
        <row r="6899">
          <cell r="I6899" t="str">
            <v>sim</v>
          </cell>
          <cell r="V6899" t="str">
            <v>not neg pair</v>
          </cell>
          <cell r="W6899">
            <v>0</v>
          </cell>
          <cell r="X6899" t="str">
            <v>0</v>
          </cell>
        </row>
        <row r="6900">
          <cell r="I6900" t="str">
            <v>sim</v>
          </cell>
          <cell r="V6900" t="str">
            <v>not neg pair</v>
          </cell>
          <cell r="W6900">
            <v>0</v>
          </cell>
          <cell r="X6900" t="str">
            <v>0</v>
          </cell>
        </row>
        <row r="6901">
          <cell r="I6901" t="str">
            <v>sim</v>
          </cell>
          <cell r="V6901" t="str">
            <v>not neg pair</v>
          </cell>
          <cell r="W6901">
            <v>0</v>
          </cell>
          <cell r="X6901" t="str">
            <v>0</v>
          </cell>
        </row>
        <row r="6902">
          <cell r="I6902" t="str">
            <v>sim</v>
          </cell>
          <cell r="V6902" t="str">
            <v>not neg pair</v>
          </cell>
          <cell r="W6902">
            <v>0</v>
          </cell>
          <cell r="X6902" t="str">
            <v>0</v>
          </cell>
        </row>
        <row r="6903">
          <cell r="I6903" t="str">
            <v>sim</v>
          </cell>
          <cell r="V6903" t="str">
            <v>not neg pair</v>
          </cell>
          <cell r="W6903">
            <v>0</v>
          </cell>
          <cell r="X6903" t="str">
            <v>0</v>
          </cell>
        </row>
        <row r="6904">
          <cell r="I6904" t="str">
            <v>met</v>
          </cell>
          <cell r="V6904" t="str">
            <v>0</v>
          </cell>
          <cell r="W6904">
            <v>0</v>
          </cell>
          <cell r="X6904" t="str">
            <v>0</v>
          </cell>
        </row>
        <row r="6905">
          <cell r="I6905" t="str">
            <v>met</v>
          </cell>
          <cell r="V6905" t="str">
            <v>0</v>
          </cell>
          <cell r="W6905">
            <v>0</v>
          </cell>
          <cell r="X6905" t="str">
            <v>0</v>
          </cell>
        </row>
        <row r="6906">
          <cell r="I6906" t="str">
            <v>met</v>
          </cell>
          <cell r="V6906" t="str">
            <v>0</v>
          </cell>
          <cell r="W6906">
            <v>0</v>
          </cell>
          <cell r="X6906" t="str">
            <v>0</v>
          </cell>
        </row>
        <row r="6907">
          <cell r="I6907" t="str">
            <v>met</v>
          </cell>
          <cell r="V6907" t="str">
            <v>0</v>
          </cell>
          <cell r="W6907">
            <v>0</v>
          </cell>
          <cell r="X6907" t="str">
            <v>0</v>
          </cell>
        </row>
        <row r="6908">
          <cell r="I6908" t="str">
            <v>sim</v>
          </cell>
          <cell r="V6908" t="str">
            <v>not</v>
          </cell>
          <cell r="W6908">
            <v>1</v>
          </cell>
          <cell r="X6908" t="str">
            <v>neg</v>
          </cell>
        </row>
        <row r="6909">
          <cell r="I6909" t="str">
            <v>sim</v>
          </cell>
          <cell r="V6909" t="str">
            <v>not</v>
          </cell>
          <cell r="W6909">
            <v>1</v>
          </cell>
          <cell r="X6909" t="str">
            <v>intens</v>
          </cell>
        </row>
        <row r="6910">
          <cell r="I6910" t="str">
            <v>sim</v>
          </cell>
          <cell r="V6910" t="str">
            <v>not neg pair</v>
          </cell>
          <cell r="W6910">
            <v>0</v>
          </cell>
          <cell r="X6910" t="str">
            <v>0</v>
          </cell>
        </row>
        <row r="6911">
          <cell r="I6911" t="str">
            <v>sim</v>
          </cell>
          <cell r="V6911" t="str">
            <v>not neg pair</v>
          </cell>
          <cell r="W6911">
            <v>0</v>
          </cell>
          <cell r="X6911" t="str">
            <v>0</v>
          </cell>
        </row>
        <row r="6912">
          <cell r="I6912" t="str">
            <v>sim</v>
          </cell>
          <cell r="V6912" t="str">
            <v>not neg pair</v>
          </cell>
          <cell r="W6912">
            <v>0</v>
          </cell>
          <cell r="X6912" t="str">
            <v>0</v>
          </cell>
        </row>
        <row r="6913">
          <cell r="I6913" t="str">
            <v>sim</v>
          </cell>
          <cell r="V6913" t="str">
            <v>not neg pair</v>
          </cell>
          <cell r="W6913">
            <v>0</v>
          </cell>
          <cell r="X6913" t="str">
            <v>0</v>
          </cell>
        </row>
        <row r="6914">
          <cell r="I6914" t="str">
            <v>sim</v>
          </cell>
          <cell r="V6914" t="str">
            <v>antonym</v>
          </cell>
          <cell r="W6914">
            <v>1</v>
          </cell>
          <cell r="X6914" t="str">
            <v>intens</v>
          </cell>
        </row>
        <row r="6915">
          <cell r="I6915" t="str">
            <v>sim</v>
          </cell>
          <cell r="V6915" t="str">
            <v>antonym</v>
          </cell>
          <cell r="W6915">
            <v>1</v>
          </cell>
          <cell r="X6915" t="str">
            <v>neg</v>
          </cell>
        </row>
        <row r="6916">
          <cell r="I6916" t="str">
            <v>sim</v>
          </cell>
          <cell r="V6916" t="str">
            <v>not neg pair</v>
          </cell>
          <cell r="W6916">
            <v>0</v>
          </cell>
          <cell r="X6916" t="str">
            <v>0</v>
          </cell>
        </row>
        <row r="6917">
          <cell r="I6917" t="str">
            <v>sim</v>
          </cell>
          <cell r="V6917" t="str">
            <v>not neg pair</v>
          </cell>
          <cell r="W6917">
            <v>0</v>
          </cell>
          <cell r="X6917" t="str">
            <v>0</v>
          </cell>
        </row>
        <row r="6918">
          <cell r="I6918" t="str">
            <v>sim</v>
          </cell>
          <cell r="V6918" t="str">
            <v>not</v>
          </cell>
          <cell r="W6918">
            <v>1</v>
          </cell>
          <cell r="X6918" t="str">
            <v>intens</v>
          </cell>
        </row>
        <row r="6919">
          <cell r="I6919" t="str">
            <v>sim</v>
          </cell>
          <cell r="V6919" t="str">
            <v>not</v>
          </cell>
          <cell r="W6919">
            <v>1</v>
          </cell>
          <cell r="X6919" t="str">
            <v>neg</v>
          </cell>
        </row>
        <row r="6920">
          <cell r="I6920" t="str">
            <v>met</v>
          </cell>
          <cell r="V6920" t="str">
            <v>0</v>
          </cell>
          <cell r="W6920">
            <v>0</v>
          </cell>
          <cell r="X6920" t="str">
            <v>0</v>
          </cell>
        </row>
        <row r="6921">
          <cell r="I6921" t="str">
            <v>met</v>
          </cell>
          <cell r="V6921" t="str">
            <v>0</v>
          </cell>
          <cell r="W6921">
            <v>0</v>
          </cell>
          <cell r="X6921" t="str">
            <v>0</v>
          </cell>
        </row>
        <row r="6922">
          <cell r="I6922" t="str">
            <v>met</v>
          </cell>
          <cell r="V6922" t="str">
            <v>0</v>
          </cell>
          <cell r="W6922">
            <v>0</v>
          </cell>
          <cell r="X6922" t="str">
            <v>0</v>
          </cell>
        </row>
        <row r="6923">
          <cell r="I6923" t="str">
            <v>met</v>
          </cell>
          <cell r="V6923" t="str">
            <v>0</v>
          </cell>
          <cell r="W6923">
            <v>0</v>
          </cell>
          <cell r="X6923" t="str">
            <v>0</v>
          </cell>
        </row>
        <row r="6924">
          <cell r="I6924" t="str">
            <v>met</v>
          </cell>
          <cell r="V6924" t="str">
            <v>0</v>
          </cell>
          <cell r="W6924">
            <v>0</v>
          </cell>
          <cell r="X6924" t="str">
            <v>0</v>
          </cell>
        </row>
        <row r="6925">
          <cell r="I6925" t="str">
            <v>met</v>
          </cell>
          <cell r="V6925" t="str">
            <v>0</v>
          </cell>
          <cell r="W6925">
            <v>0</v>
          </cell>
          <cell r="X6925" t="str">
            <v>0</v>
          </cell>
        </row>
        <row r="6926">
          <cell r="I6926" t="str">
            <v>sim</v>
          </cell>
          <cell r="V6926" t="str">
            <v>not neg pair</v>
          </cell>
          <cell r="W6926">
            <v>0</v>
          </cell>
          <cell r="X6926" t="str">
            <v>0</v>
          </cell>
        </row>
        <row r="6927">
          <cell r="I6927" t="str">
            <v>sim</v>
          </cell>
          <cell r="V6927" t="str">
            <v>not neg pair</v>
          </cell>
          <cell r="W6927">
            <v>0</v>
          </cell>
          <cell r="X6927" t="str">
            <v>0</v>
          </cell>
        </row>
        <row r="6928">
          <cell r="I6928" t="str">
            <v>sim</v>
          </cell>
          <cell r="V6928" t="str">
            <v>antonym</v>
          </cell>
          <cell r="W6928">
            <v>1</v>
          </cell>
          <cell r="X6928" t="str">
            <v>intens</v>
          </cell>
        </row>
        <row r="6929">
          <cell r="I6929" t="str">
            <v>sim</v>
          </cell>
          <cell r="V6929" t="str">
            <v>antonym</v>
          </cell>
          <cell r="W6929">
            <v>1</v>
          </cell>
          <cell r="X6929" t="str">
            <v>neg</v>
          </cell>
        </row>
        <row r="6930">
          <cell r="I6930" t="str">
            <v>met</v>
          </cell>
          <cell r="V6930" t="str">
            <v>0</v>
          </cell>
          <cell r="W6930">
            <v>0</v>
          </cell>
          <cell r="X6930" t="str">
            <v>0</v>
          </cell>
        </row>
        <row r="6931">
          <cell r="I6931" t="str">
            <v>met</v>
          </cell>
          <cell r="V6931" t="str">
            <v>0</v>
          </cell>
          <cell r="W6931">
            <v>0</v>
          </cell>
          <cell r="X6931" t="str">
            <v>0</v>
          </cell>
        </row>
        <row r="6932">
          <cell r="I6932" t="str">
            <v>met</v>
          </cell>
          <cell r="V6932" t="str">
            <v>0</v>
          </cell>
          <cell r="W6932">
            <v>0</v>
          </cell>
          <cell r="X6932" t="str">
            <v>0</v>
          </cell>
        </row>
        <row r="6933">
          <cell r="I6933" t="str">
            <v>sim</v>
          </cell>
          <cell r="V6933" t="str">
            <v>not neg pair</v>
          </cell>
          <cell r="W6933">
            <v>0</v>
          </cell>
          <cell r="X6933" t="str">
            <v>0</v>
          </cell>
        </row>
        <row r="6934">
          <cell r="I6934" t="str">
            <v>met</v>
          </cell>
          <cell r="V6934" t="str">
            <v>0</v>
          </cell>
          <cell r="W6934">
            <v>0</v>
          </cell>
          <cell r="X6934" t="str">
            <v>0</v>
          </cell>
        </row>
        <row r="6935">
          <cell r="I6935" t="str">
            <v>met</v>
          </cell>
          <cell r="V6935" t="str">
            <v>0</v>
          </cell>
          <cell r="W6935">
            <v>0</v>
          </cell>
          <cell r="X6935" t="str">
            <v>0</v>
          </cell>
        </row>
        <row r="6936">
          <cell r="I6936" t="str">
            <v>met</v>
          </cell>
          <cell r="V6936" t="str">
            <v>0</v>
          </cell>
          <cell r="W6936">
            <v>0</v>
          </cell>
          <cell r="X6936" t="str">
            <v>0</v>
          </cell>
        </row>
        <row r="6937">
          <cell r="I6937" t="str">
            <v>met</v>
          </cell>
          <cell r="V6937" t="str">
            <v>0</v>
          </cell>
          <cell r="W6937">
            <v>0</v>
          </cell>
          <cell r="X6937" t="str">
            <v>0</v>
          </cell>
        </row>
        <row r="6938">
          <cell r="I6938" t="str">
            <v>sim</v>
          </cell>
          <cell r="V6938" t="str">
            <v>not neg pair</v>
          </cell>
          <cell r="W6938">
            <v>0</v>
          </cell>
          <cell r="X6938" t="str">
            <v>0</v>
          </cell>
        </row>
        <row r="6939">
          <cell r="I6939" t="str">
            <v>sim</v>
          </cell>
          <cell r="V6939" t="str">
            <v>not neg pair</v>
          </cell>
          <cell r="W6939">
            <v>0</v>
          </cell>
          <cell r="X6939" t="str">
            <v>0</v>
          </cell>
        </row>
        <row r="6940">
          <cell r="I6940" t="str">
            <v>met</v>
          </cell>
          <cell r="V6940" t="str">
            <v>0</v>
          </cell>
          <cell r="W6940">
            <v>0</v>
          </cell>
          <cell r="X6940" t="str">
            <v>0</v>
          </cell>
        </row>
        <row r="6941">
          <cell r="I6941" t="str">
            <v>met</v>
          </cell>
          <cell r="V6941" t="str">
            <v>0</v>
          </cell>
          <cell r="W6941">
            <v>0</v>
          </cell>
          <cell r="X6941" t="str">
            <v>0</v>
          </cell>
        </row>
        <row r="6942">
          <cell r="I6942" t="str">
            <v>met</v>
          </cell>
          <cell r="V6942" t="str">
            <v>0</v>
          </cell>
          <cell r="W6942">
            <v>0</v>
          </cell>
          <cell r="X6942" t="str">
            <v>0</v>
          </cell>
        </row>
        <row r="6943">
          <cell r="I6943" t="str">
            <v>met</v>
          </cell>
          <cell r="V6943" t="str">
            <v>0</v>
          </cell>
          <cell r="W6943">
            <v>0</v>
          </cell>
          <cell r="X6943" t="str">
            <v>0</v>
          </cell>
        </row>
        <row r="6944">
          <cell r="I6944" t="str">
            <v>sim</v>
          </cell>
          <cell r="V6944" t="str">
            <v>not</v>
          </cell>
          <cell r="W6944">
            <v>1</v>
          </cell>
          <cell r="X6944" t="str">
            <v>intens</v>
          </cell>
        </row>
        <row r="6945">
          <cell r="I6945" t="str">
            <v>sim</v>
          </cell>
          <cell r="V6945" t="str">
            <v>not</v>
          </cell>
          <cell r="W6945">
            <v>1</v>
          </cell>
          <cell r="X6945" t="str">
            <v>neg</v>
          </cell>
        </row>
        <row r="6946">
          <cell r="I6946" t="str">
            <v>sim</v>
          </cell>
          <cell r="V6946" t="str">
            <v>not</v>
          </cell>
          <cell r="W6946">
            <v>1</v>
          </cell>
          <cell r="X6946" t="str">
            <v>neg</v>
          </cell>
        </row>
        <row r="6947">
          <cell r="I6947" t="str">
            <v>sim</v>
          </cell>
          <cell r="V6947" t="str">
            <v>not</v>
          </cell>
          <cell r="W6947">
            <v>1</v>
          </cell>
          <cell r="X6947" t="str">
            <v>intens</v>
          </cell>
        </row>
        <row r="6948">
          <cell r="I6948" t="str">
            <v>sim</v>
          </cell>
          <cell r="V6948" t="str">
            <v>not neg pair</v>
          </cell>
          <cell r="W6948">
            <v>0</v>
          </cell>
          <cell r="X6948" t="str">
            <v>0</v>
          </cell>
        </row>
        <row r="6949">
          <cell r="I6949" t="str">
            <v>sim</v>
          </cell>
          <cell r="V6949" t="str">
            <v>not neg pair</v>
          </cell>
          <cell r="W6949">
            <v>0</v>
          </cell>
          <cell r="X6949" t="str">
            <v>0</v>
          </cell>
        </row>
        <row r="6950">
          <cell r="I6950" t="str">
            <v>sim</v>
          </cell>
          <cell r="V6950" t="str">
            <v>antonym</v>
          </cell>
          <cell r="W6950">
            <v>1</v>
          </cell>
          <cell r="X6950" t="str">
            <v>intens</v>
          </cell>
        </row>
        <row r="6951">
          <cell r="I6951" t="str">
            <v>sim</v>
          </cell>
          <cell r="V6951" t="str">
            <v>antonym</v>
          </cell>
          <cell r="W6951">
            <v>1</v>
          </cell>
          <cell r="X6951" t="str">
            <v>neg</v>
          </cell>
        </row>
        <row r="6952">
          <cell r="I6952" t="str">
            <v>met</v>
          </cell>
          <cell r="V6952" t="str">
            <v>0</v>
          </cell>
          <cell r="W6952">
            <v>0</v>
          </cell>
          <cell r="X6952" t="str">
            <v>0</v>
          </cell>
        </row>
        <row r="6953">
          <cell r="I6953" t="str">
            <v>met</v>
          </cell>
          <cell r="V6953" t="str">
            <v>0</v>
          </cell>
          <cell r="W6953">
            <v>0</v>
          </cell>
          <cell r="X6953" t="str">
            <v>0</v>
          </cell>
        </row>
        <row r="6954">
          <cell r="I6954" t="str">
            <v>sim</v>
          </cell>
          <cell r="V6954" t="str">
            <v>antonym</v>
          </cell>
          <cell r="W6954">
            <v>1</v>
          </cell>
          <cell r="X6954" t="str">
            <v>intens</v>
          </cell>
        </row>
        <row r="6955">
          <cell r="I6955" t="str">
            <v>sim</v>
          </cell>
          <cell r="V6955" t="str">
            <v>antonym</v>
          </cell>
          <cell r="W6955">
            <v>1</v>
          </cell>
          <cell r="X6955" t="str">
            <v>neg</v>
          </cell>
        </row>
        <row r="6956">
          <cell r="I6956" t="str">
            <v>sim</v>
          </cell>
          <cell r="V6956" t="str">
            <v>not</v>
          </cell>
          <cell r="W6956">
            <v>1</v>
          </cell>
          <cell r="X6956" t="str">
            <v>intens</v>
          </cell>
        </row>
        <row r="6957">
          <cell r="I6957" t="str">
            <v>sim</v>
          </cell>
          <cell r="V6957" t="str">
            <v>not</v>
          </cell>
          <cell r="W6957">
            <v>1</v>
          </cell>
          <cell r="X6957" t="str">
            <v>neg</v>
          </cell>
        </row>
        <row r="6958">
          <cell r="I6958" t="str">
            <v>sim</v>
          </cell>
          <cell r="V6958" t="str">
            <v>not neg pair</v>
          </cell>
          <cell r="W6958">
            <v>0</v>
          </cell>
          <cell r="X6958" t="str">
            <v>0</v>
          </cell>
        </row>
        <row r="6959">
          <cell r="I6959" t="str">
            <v>sim</v>
          </cell>
          <cell r="V6959" t="str">
            <v>not neg pair</v>
          </cell>
          <cell r="W6959">
            <v>0</v>
          </cell>
          <cell r="X6959" t="str">
            <v>0</v>
          </cell>
        </row>
        <row r="6960">
          <cell r="I6960" t="str">
            <v>sim</v>
          </cell>
          <cell r="V6960" t="str">
            <v>not neg pair</v>
          </cell>
          <cell r="W6960">
            <v>0</v>
          </cell>
          <cell r="X6960" t="str">
            <v>0</v>
          </cell>
        </row>
        <row r="6961">
          <cell r="I6961" t="str">
            <v>sim</v>
          </cell>
          <cell r="V6961" t="str">
            <v>not neg pair</v>
          </cell>
          <cell r="W6961">
            <v>0</v>
          </cell>
          <cell r="X6961" t="str">
            <v>0</v>
          </cell>
        </row>
        <row r="6962">
          <cell r="I6962" t="str">
            <v>sim</v>
          </cell>
          <cell r="V6962" t="str">
            <v>not neg pair</v>
          </cell>
          <cell r="W6962">
            <v>0</v>
          </cell>
          <cell r="X6962" t="str">
            <v>0</v>
          </cell>
        </row>
        <row r="6963">
          <cell r="I6963" t="str">
            <v>sim</v>
          </cell>
          <cell r="V6963" t="str">
            <v>not neg pair</v>
          </cell>
          <cell r="W6963">
            <v>0</v>
          </cell>
          <cell r="X6963" t="str">
            <v>0</v>
          </cell>
        </row>
        <row r="6964">
          <cell r="I6964" t="str">
            <v>sim</v>
          </cell>
          <cell r="V6964" t="str">
            <v>not</v>
          </cell>
          <cell r="W6964">
            <v>1</v>
          </cell>
          <cell r="X6964" t="str">
            <v>neg</v>
          </cell>
        </row>
        <row r="6965">
          <cell r="I6965" t="str">
            <v>sim</v>
          </cell>
          <cell r="V6965" t="str">
            <v>not</v>
          </cell>
          <cell r="W6965">
            <v>1</v>
          </cell>
          <cell r="X6965" t="str">
            <v>intens</v>
          </cell>
        </row>
        <row r="6966">
          <cell r="I6966" t="str">
            <v>met</v>
          </cell>
          <cell r="V6966" t="str">
            <v>0</v>
          </cell>
          <cell r="W6966">
            <v>0</v>
          </cell>
          <cell r="X6966" t="str">
            <v>0</v>
          </cell>
        </row>
        <row r="6967">
          <cell r="I6967" t="str">
            <v>met</v>
          </cell>
          <cell r="V6967" t="str">
            <v>0</v>
          </cell>
          <cell r="W6967">
            <v>0</v>
          </cell>
          <cell r="X6967" t="str">
            <v>0</v>
          </cell>
        </row>
        <row r="6968">
          <cell r="I6968" t="str">
            <v>sim</v>
          </cell>
          <cell r="V6968" t="str">
            <v>not neg pair</v>
          </cell>
          <cell r="W6968">
            <v>0</v>
          </cell>
          <cell r="X6968" t="str">
            <v>0</v>
          </cell>
        </row>
        <row r="6969">
          <cell r="I6969" t="str">
            <v>sim</v>
          </cell>
          <cell r="V6969" t="str">
            <v>not neg pair</v>
          </cell>
          <cell r="W6969">
            <v>0</v>
          </cell>
          <cell r="X6969" t="str">
            <v>0</v>
          </cell>
        </row>
        <row r="6970">
          <cell r="I6970" t="str">
            <v>met</v>
          </cell>
          <cell r="V6970" t="str">
            <v>0</v>
          </cell>
          <cell r="W6970">
            <v>0</v>
          </cell>
          <cell r="X6970" t="str">
            <v>0</v>
          </cell>
        </row>
        <row r="6971">
          <cell r="I6971" t="str">
            <v>met</v>
          </cell>
          <cell r="V6971" t="str">
            <v>0</v>
          </cell>
          <cell r="W6971">
            <v>0</v>
          </cell>
          <cell r="X6971" t="str">
            <v>0</v>
          </cell>
        </row>
        <row r="6972">
          <cell r="I6972" t="str">
            <v>met</v>
          </cell>
          <cell r="V6972" t="str">
            <v>0</v>
          </cell>
          <cell r="W6972">
            <v>0</v>
          </cell>
          <cell r="X6972" t="str">
            <v>0</v>
          </cell>
        </row>
        <row r="6973">
          <cell r="I6973" t="str">
            <v>met</v>
          </cell>
          <cell r="V6973" t="str">
            <v>0</v>
          </cell>
          <cell r="W6973">
            <v>0</v>
          </cell>
          <cell r="X6973" t="str">
            <v>0</v>
          </cell>
        </row>
        <row r="6974">
          <cell r="I6974" t="str">
            <v>met</v>
          </cell>
          <cell r="V6974" t="str">
            <v>0</v>
          </cell>
          <cell r="W6974">
            <v>0</v>
          </cell>
          <cell r="X6974" t="str">
            <v>0</v>
          </cell>
        </row>
        <row r="6975">
          <cell r="I6975" t="str">
            <v>met</v>
          </cell>
          <cell r="V6975" t="str">
            <v>0</v>
          </cell>
          <cell r="W6975">
            <v>0</v>
          </cell>
          <cell r="X6975" t="str">
            <v>0</v>
          </cell>
        </row>
        <row r="6976">
          <cell r="I6976" t="str">
            <v>met</v>
          </cell>
          <cell r="V6976" t="str">
            <v>0</v>
          </cell>
          <cell r="W6976">
            <v>0</v>
          </cell>
          <cell r="X6976" t="str">
            <v>0</v>
          </cell>
        </row>
        <row r="6977">
          <cell r="I6977" t="str">
            <v>met</v>
          </cell>
          <cell r="V6977" t="str">
            <v>0</v>
          </cell>
          <cell r="W6977">
            <v>0</v>
          </cell>
          <cell r="X6977" t="str">
            <v>0</v>
          </cell>
        </row>
        <row r="6978">
          <cell r="I6978" t="str">
            <v>met</v>
          </cell>
          <cell r="V6978" t="str">
            <v>0</v>
          </cell>
          <cell r="W6978">
            <v>0</v>
          </cell>
          <cell r="X6978" t="str">
            <v>0</v>
          </cell>
        </row>
        <row r="6979">
          <cell r="I6979" t="str">
            <v>met</v>
          </cell>
          <cell r="V6979" t="str">
            <v>0</v>
          </cell>
          <cell r="W6979">
            <v>0</v>
          </cell>
          <cell r="X6979" t="str">
            <v>0</v>
          </cell>
        </row>
        <row r="6980">
          <cell r="I6980" t="str">
            <v>sim</v>
          </cell>
          <cell r="V6980" t="str">
            <v>not neg pair</v>
          </cell>
          <cell r="W6980">
            <v>0</v>
          </cell>
          <cell r="X6980" t="str">
            <v>0</v>
          </cell>
        </row>
        <row r="6981">
          <cell r="I6981" t="str">
            <v>sim</v>
          </cell>
          <cell r="V6981" t="str">
            <v>not neg pair</v>
          </cell>
          <cell r="W6981">
            <v>0</v>
          </cell>
          <cell r="X6981" t="str">
            <v>0</v>
          </cell>
        </row>
        <row r="6982">
          <cell r="I6982" t="str">
            <v>sim</v>
          </cell>
          <cell r="V6982" t="str">
            <v>antonym</v>
          </cell>
          <cell r="W6982">
            <v>1</v>
          </cell>
          <cell r="X6982" t="str">
            <v>intens</v>
          </cell>
        </row>
        <row r="6983">
          <cell r="I6983" t="str">
            <v>sim</v>
          </cell>
          <cell r="V6983" t="str">
            <v>antonym</v>
          </cell>
          <cell r="W6983">
            <v>1</v>
          </cell>
          <cell r="X6983" t="str">
            <v>neg</v>
          </cell>
        </row>
        <row r="6984">
          <cell r="I6984" t="str">
            <v>met</v>
          </cell>
          <cell r="V6984" t="str">
            <v>0</v>
          </cell>
          <cell r="W6984">
            <v>0</v>
          </cell>
          <cell r="X6984" t="str">
            <v>0</v>
          </cell>
        </row>
        <row r="6985">
          <cell r="I6985" t="str">
            <v>met</v>
          </cell>
          <cell r="V6985" t="str">
            <v>0</v>
          </cell>
          <cell r="W6985">
            <v>0</v>
          </cell>
          <cell r="X6985" t="str">
            <v>0</v>
          </cell>
        </row>
        <row r="6986">
          <cell r="I6986" t="str">
            <v>met</v>
          </cell>
          <cell r="V6986" t="str">
            <v>0</v>
          </cell>
          <cell r="W6986">
            <v>0</v>
          </cell>
          <cell r="X6986" t="str">
            <v>0</v>
          </cell>
        </row>
        <row r="6987">
          <cell r="I6987" t="str">
            <v>met</v>
          </cell>
          <cell r="V6987" t="str">
            <v>0</v>
          </cell>
          <cell r="W6987">
            <v>0</v>
          </cell>
          <cell r="X6987" t="str">
            <v>0</v>
          </cell>
        </row>
        <row r="6988">
          <cell r="I6988" t="str">
            <v>met</v>
          </cell>
          <cell r="V6988" t="str">
            <v>0</v>
          </cell>
          <cell r="W6988">
            <v>0</v>
          </cell>
          <cell r="X6988" t="str">
            <v>0</v>
          </cell>
        </row>
        <row r="6989">
          <cell r="I6989" t="str">
            <v>met</v>
          </cell>
          <cell r="V6989" t="str">
            <v>0</v>
          </cell>
          <cell r="W6989">
            <v>0</v>
          </cell>
          <cell r="X6989" t="str">
            <v>0</v>
          </cell>
        </row>
        <row r="6990">
          <cell r="I6990" t="str">
            <v>sim</v>
          </cell>
          <cell r="V6990" t="str">
            <v>not neg pair</v>
          </cell>
          <cell r="W6990">
            <v>0</v>
          </cell>
          <cell r="X6990" t="str">
            <v>0</v>
          </cell>
        </row>
        <row r="6991">
          <cell r="I6991" t="str">
            <v>sim</v>
          </cell>
          <cell r="V6991" t="str">
            <v>not neg pair</v>
          </cell>
          <cell r="W6991">
            <v>0</v>
          </cell>
          <cell r="X6991" t="str">
            <v>0</v>
          </cell>
        </row>
        <row r="6992">
          <cell r="I6992" t="str">
            <v>sim</v>
          </cell>
          <cell r="V6992" t="str">
            <v>not neg pair</v>
          </cell>
          <cell r="W6992">
            <v>0</v>
          </cell>
          <cell r="X6992" t="str">
            <v>0</v>
          </cell>
        </row>
        <row r="6993">
          <cell r="I6993" t="str">
            <v>sim</v>
          </cell>
          <cell r="V6993" t="str">
            <v>not neg pair</v>
          </cell>
          <cell r="W6993">
            <v>0</v>
          </cell>
          <cell r="X6993" t="str">
            <v>0</v>
          </cell>
        </row>
        <row r="6994">
          <cell r="I6994" t="str">
            <v>sim</v>
          </cell>
          <cell r="V6994" t="str">
            <v>not</v>
          </cell>
          <cell r="W6994">
            <v>1</v>
          </cell>
          <cell r="X6994" t="str">
            <v>neg</v>
          </cell>
        </row>
        <row r="6995">
          <cell r="I6995" t="str">
            <v>sim</v>
          </cell>
          <cell r="V6995" t="str">
            <v>not</v>
          </cell>
          <cell r="W6995">
            <v>1</v>
          </cell>
          <cell r="X6995" t="str">
            <v>intens</v>
          </cell>
        </row>
        <row r="6996">
          <cell r="I6996" t="str">
            <v>sim</v>
          </cell>
          <cell r="V6996" t="str">
            <v>not</v>
          </cell>
          <cell r="W6996">
            <v>1</v>
          </cell>
          <cell r="X6996" t="str">
            <v>neg</v>
          </cell>
        </row>
        <row r="6997">
          <cell r="I6997" t="str">
            <v>sim</v>
          </cell>
          <cell r="V6997" t="str">
            <v>not</v>
          </cell>
          <cell r="W6997">
            <v>1</v>
          </cell>
          <cell r="X6997" t="str">
            <v>intens</v>
          </cell>
        </row>
        <row r="6998">
          <cell r="I6998" t="str">
            <v>sim</v>
          </cell>
          <cell r="V6998" t="str">
            <v>antonym</v>
          </cell>
          <cell r="W6998">
            <v>1</v>
          </cell>
          <cell r="X6998" t="str">
            <v>neg</v>
          </cell>
        </row>
        <row r="6999">
          <cell r="I6999" t="str">
            <v>sim</v>
          </cell>
          <cell r="V6999" t="str">
            <v>antonym</v>
          </cell>
          <cell r="W6999">
            <v>1</v>
          </cell>
          <cell r="X6999" t="str">
            <v>intens</v>
          </cell>
        </row>
        <row r="7000">
          <cell r="I7000" t="str">
            <v>sim</v>
          </cell>
          <cell r="V7000" t="str">
            <v>not</v>
          </cell>
          <cell r="W7000">
            <v>1</v>
          </cell>
          <cell r="X7000" t="str">
            <v>neg</v>
          </cell>
        </row>
        <row r="7001">
          <cell r="I7001" t="str">
            <v>sim</v>
          </cell>
          <cell r="V7001" t="str">
            <v>not</v>
          </cell>
          <cell r="W7001">
            <v>1</v>
          </cell>
          <cell r="X7001" t="str">
            <v>intens</v>
          </cell>
        </row>
        <row r="7002">
          <cell r="I7002" t="str">
            <v>sim</v>
          </cell>
          <cell r="V7002" t="str">
            <v>not neg pair</v>
          </cell>
          <cell r="W7002">
            <v>0</v>
          </cell>
          <cell r="X7002" t="str">
            <v>0</v>
          </cell>
        </row>
        <row r="7003">
          <cell r="I7003" t="str">
            <v>sim</v>
          </cell>
          <cell r="V7003" t="str">
            <v>not neg pair</v>
          </cell>
          <cell r="W7003">
            <v>0</v>
          </cell>
          <cell r="X7003" t="str">
            <v>0</v>
          </cell>
        </row>
        <row r="7004">
          <cell r="I7004" t="str">
            <v>sim</v>
          </cell>
          <cell r="V7004" t="str">
            <v>not</v>
          </cell>
          <cell r="W7004">
            <v>1</v>
          </cell>
          <cell r="X7004" t="str">
            <v>intens</v>
          </cell>
        </row>
        <row r="7005">
          <cell r="I7005" t="str">
            <v>sim</v>
          </cell>
          <cell r="V7005" t="str">
            <v>not</v>
          </cell>
          <cell r="W7005">
            <v>1</v>
          </cell>
          <cell r="X7005" t="str">
            <v>neg</v>
          </cell>
        </row>
        <row r="7006">
          <cell r="I7006" t="str">
            <v>sim</v>
          </cell>
          <cell r="V7006" t="str">
            <v>not</v>
          </cell>
          <cell r="W7006">
            <v>1</v>
          </cell>
          <cell r="X7006" t="str">
            <v>intens</v>
          </cell>
        </row>
        <row r="7007">
          <cell r="I7007" t="str">
            <v>sim</v>
          </cell>
          <cell r="V7007" t="str">
            <v>not</v>
          </cell>
          <cell r="W7007">
            <v>1</v>
          </cell>
          <cell r="X7007" t="str">
            <v>neg</v>
          </cell>
        </row>
        <row r="7008">
          <cell r="I7008" t="str">
            <v>sim</v>
          </cell>
          <cell r="V7008" t="str">
            <v>not</v>
          </cell>
          <cell r="W7008">
            <v>1</v>
          </cell>
          <cell r="X7008" t="str">
            <v>intens</v>
          </cell>
        </row>
        <row r="7009">
          <cell r="I7009" t="str">
            <v>sim</v>
          </cell>
          <cell r="V7009" t="str">
            <v>not</v>
          </cell>
          <cell r="W7009">
            <v>1</v>
          </cell>
          <cell r="X7009" t="str">
            <v>neg</v>
          </cell>
        </row>
        <row r="7010">
          <cell r="I7010" t="str">
            <v>sim</v>
          </cell>
          <cell r="V7010" t="str">
            <v>not neg pair</v>
          </cell>
          <cell r="W7010">
            <v>0</v>
          </cell>
          <cell r="X7010" t="str">
            <v>0</v>
          </cell>
        </row>
        <row r="7011">
          <cell r="I7011" t="str">
            <v>sim</v>
          </cell>
          <cell r="V7011" t="str">
            <v>not neg pair</v>
          </cell>
          <cell r="W7011">
            <v>0</v>
          </cell>
          <cell r="X7011" t="str">
            <v>0</v>
          </cell>
        </row>
        <row r="7012">
          <cell r="I7012" t="str">
            <v>sim</v>
          </cell>
          <cell r="V7012" t="str">
            <v>not</v>
          </cell>
          <cell r="W7012">
            <v>1</v>
          </cell>
          <cell r="X7012" t="str">
            <v>neg</v>
          </cell>
        </row>
        <row r="7013">
          <cell r="I7013" t="str">
            <v>sim</v>
          </cell>
          <cell r="V7013" t="str">
            <v>not</v>
          </cell>
          <cell r="W7013">
            <v>1</v>
          </cell>
          <cell r="X7013" t="str">
            <v>intens</v>
          </cell>
        </row>
        <row r="7014">
          <cell r="I7014" t="str">
            <v>sim</v>
          </cell>
          <cell r="V7014" t="str">
            <v>not</v>
          </cell>
          <cell r="W7014">
            <v>1</v>
          </cell>
          <cell r="X7014" t="str">
            <v>neg</v>
          </cell>
        </row>
        <row r="7015">
          <cell r="I7015" t="str">
            <v>sim</v>
          </cell>
          <cell r="V7015" t="str">
            <v>not</v>
          </cell>
          <cell r="W7015">
            <v>1</v>
          </cell>
          <cell r="X7015" t="str">
            <v>intens</v>
          </cell>
        </row>
        <row r="7016">
          <cell r="I7016" t="str">
            <v>sim</v>
          </cell>
          <cell r="V7016" t="str">
            <v>not</v>
          </cell>
          <cell r="W7016">
            <v>1</v>
          </cell>
          <cell r="X7016" t="str">
            <v>neg</v>
          </cell>
        </row>
        <row r="7017">
          <cell r="I7017" t="str">
            <v>sim</v>
          </cell>
          <cell r="V7017" t="str">
            <v>not</v>
          </cell>
          <cell r="W7017">
            <v>1</v>
          </cell>
          <cell r="X7017" t="str">
            <v>intens</v>
          </cell>
        </row>
        <row r="7018">
          <cell r="I7018" t="str">
            <v>sim</v>
          </cell>
          <cell r="V7018" t="str">
            <v>not</v>
          </cell>
          <cell r="W7018">
            <v>1</v>
          </cell>
          <cell r="X7018" t="str">
            <v>intens</v>
          </cell>
        </row>
        <row r="7019">
          <cell r="I7019" t="str">
            <v>sim</v>
          </cell>
          <cell r="V7019" t="str">
            <v>not</v>
          </cell>
          <cell r="W7019">
            <v>1</v>
          </cell>
          <cell r="X7019" t="str">
            <v>neg</v>
          </cell>
        </row>
        <row r="7020">
          <cell r="I7020" t="str">
            <v>sim</v>
          </cell>
          <cell r="V7020" t="str">
            <v>not neg pair</v>
          </cell>
          <cell r="W7020">
            <v>0</v>
          </cell>
          <cell r="X7020" t="str">
            <v>0</v>
          </cell>
        </row>
        <row r="7021">
          <cell r="I7021" t="str">
            <v>sim</v>
          </cell>
          <cell r="V7021" t="str">
            <v>not neg pair</v>
          </cell>
          <cell r="W7021">
            <v>0</v>
          </cell>
          <cell r="X7021" t="str">
            <v>0</v>
          </cell>
        </row>
        <row r="7022">
          <cell r="I7022" t="str">
            <v>sim</v>
          </cell>
          <cell r="V7022" t="str">
            <v>not neg pair</v>
          </cell>
          <cell r="W7022">
            <v>0</v>
          </cell>
          <cell r="X7022" t="str">
            <v>0</v>
          </cell>
        </row>
        <row r="7023">
          <cell r="I7023" t="str">
            <v>sim</v>
          </cell>
          <cell r="V7023" t="str">
            <v>not neg pair</v>
          </cell>
          <cell r="W7023">
            <v>0</v>
          </cell>
          <cell r="X7023" t="str">
            <v>0</v>
          </cell>
        </row>
        <row r="7024">
          <cell r="I7024" t="str">
            <v>sim</v>
          </cell>
          <cell r="V7024" t="str">
            <v>not neg pair</v>
          </cell>
          <cell r="W7024">
            <v>0</v>
          </cell>
          <cell r="X7024" t="str">
            <v>0</v>
          </cell>
        </row>
        <row r="7025">
          <cell r="I7025" t="str">
            <v>sim</v>
          </cell>
          <cell r="V7025" t="str">
            <v>not neg pair</v>
          </cell>
          <cell r="W7025">
            <v>0</v>
          </cell>
          <cell r="X7025" t="str">
            <v>0</v>
          </cell>
        </row>
        <row r="7026">
          <cell r="I7026" t="str">
            <v>met</v>
          </cell>
          <cell r="V7026" t="str">
            <v>0</v>
          </cell>
          <cell r="W7026">
            <v>0</v>
          </cell>
          <cell r="X7026" t="str">
            <v>0</v>
          </cell>
        </row>
        <row r="7027">
          <cell r="I7027" t="str">
            <v>met</v>
          </cell>
          <cell r="V7027" t="str">
            <v>0</v>
          </cell>
          <cell r="W7027">
            <v>0</v>
          </cell>
          <cell r="X7027" t="str">
            <v>0</v>
          </cell>
        </row>
        <row r="7028">
          <cell r="I7028" t="str">
            <v>met</v>
          </cell>
          <cell r="V7028" t="str">
            <v>0</v>
          </cell>
          <cell r="W7028">
            <v>0</v>
          </cell>
          <cell r="X7028" t="str">
            <v>0</v>
          </cell>
        </row>
        <row r="7029">
          <cell r="I7029" t="str">
            <v>met</v>
          </cell>
          <cell r="V7029" t="str">
            <v>0</v>
          </cell>
          <cell r="W7029">
            <v>0</v>
          </cell>
          <cell r="X7029" t="str">
            <v>0</v>
          </cell>
        </row>
        <row r="7030">
          <cell r="I7030" t="str">
            <v>sim</v>
          </cell>
          <cell r="V7030" t="str">
            <v>not</v>
          </cell>
          <cell r="W7030">
            <v>1</v>
          </cell>
          <cell r="X7030" t="str">
            <v>neg</v>
          </cell>
        </row>
        <row r="7031">
          <cell r="I7031" t="str">
            <v>sim</v>
          </cell>
          <cell r="V7031" t="str">
            <v>not</v>
          </cell>
          <cell r="W7031">
            <v>1</v>
          </cell>
          <cell r="X7031" t="str">
            <v>intens</v>
          </cell>
        </row>
        <row r="7032">
          <cell r="I7032" t="str">
            <v>sim</v>
          </cell>
          <cell r="V7032" t="str">
            <v>not neg pair</v>
          </cell>
          <cell r="W7032">
            <v>0</v>
          </cell>
          <cell r="X7032" t="str">
            <v>0</v>
          </cell>
        </row>
        <row r="7033">
          <cell r="I7033" t="str">
            <v>sim</v>
          </cell>
          <cell r="V7033" t="str">
            <v>not neg pair</v>
          </cell>
          <cell r="W7033">
            <v>0</v>
          </cell>
          <cell r="X7033" t="str">
            <v>0</v>
          </cell>
        </row>
        <row r="7034">
          <cell r="I7034" t="str">
            <v>sim</v>
          </cell>
          <cell r="V7034" t="str">
            <v>antonym</v>
          </cell>
          <cell r="W7034">
            <v>1</v>
          </cell>
          <cell r="X7034" t="str">
            <v>intens</v>
          </cell>
        </row>
        <row r="7035">
          <cell r="I7035" t="str">
            <v>sim</v>
          </cell>
          <cell r="V7035" t="str">
            <v>antonym</v>
          </cell>
          <cell r="W7035">
            <v>1</v>
          </cell>
          <cell r="X7035" t="str">
            <v>neg</v>
          </cell>
        </row>
        <row r="7036">
          <cell r="I7036" t="str">
            <v>met</v>
          </cell>
          <cell r="V7036" t="str">
            <v>0</v>
          </cell>
          <cell r="W7036">
            <v>0</v>
          </cell>
          <cell r="X7036" t="str">
            <v>0</v>
          </cell>
        </row>
        <row r="7037">
          <cell r="I7037" t="str">
            <v>met</v>
          </cell>
          <cell r="V7037" t="str">
            <v>0</v>
          </cell>
          <cell r="W7037">
            <v>0</v>
          </cell>
          <cell r="X7037" t="str">
            <v>0</v>
          </cell>
        </row>
        <row r="7038">
          <cell r="I7038" t="str">
            <v>met</v>
          </cell>
          <cell r="V7038" t="str">
            <v>0</v>
          </cell>
          <cell r="W7038">
            <v>0</v>
          </cell>
          <cell r="X7038" t="str">
            <v>0</v>
          </cell>
        </row>
        <row r="7039">
          <cell r="I7039" t="str">
            <v>met</v>
          </cell>
          <cell r="V7039" t="str">
            <v>0</v>
          </cell>
          <cell r="W7039">
            <v>0</v>
          </cell>
          <cell r="X7039" t="str">
            <v>0</v>
          </cell>
        </row>
        <row r="7040">
          <cell r="I7040" t="str">
            <v>met</v>
          </cell>
          <cell r="V7040" t="str">
            <v>0</v>
          </cell>
          <cell r="W7040">
            <v>0</v>
          </cell>
          <cell r="X7040" t="str">
            <v>0</v>
          </cell>
        </row>
        <row r="7041">
          <cell r="I7041" t="str">
            <v>met</v>
          </cell>
          <cell r="V7041" t="str">
            <v>0</v>
          </cell>
          <cell r="W7041">
            <v>0</v>
          </cell>
          <cell r="X7041" t="str">
            <v>0</v>
          </cell>
        </row>
        <row r="7042">
          <cell r="I7042" t="str">
            <v>sim</v>
          </cell>
          <cell r="V7042" t="str">
            <v>not neg pair</v>
          </cell>
          <cell r="W7042">
            <v>0</v>
          </cell>
          <cell r="X7042" t="str">
            <v>0</v>
          </cell>
        </row>
        <row r="7043">
          <cell r="I7043" t="str">
            <v>sim</v>
          </cell>
          <cell r="V7043" t="str">
            <v>not neg pair</v>
          </cell>
          <cell r="W7043">
            <v>0</v>
          </cell>
          <cell r="X7043" t="str">
            <v>0</v>
          </cell>
        </row>
        <row r="7044">
          <cell r="I7044" t="str">
            <v>sim</v>
          </cell>
          <cell r="V7044" t="str">
            <v>not</v>
          </cell>
          <cell r="W7044">
            <v>1</v>
          </cell>
          <cell r="X7044" t="str">
            <v>intens</v>
          </cell>
        </row>
        <row r="7045">
          <cell r="I7045" t="str">
            <v>sim</v>
          </cell>
          <cell r="V7045" t="str">
            <v>not</v>
          </cell>
          <cell r="W7045">
            <v>1</v>
          </cell>
          <cell r="X7045" t="str">
            <v>neg</v>
          </cell>
        </row>
        <row r="7046">
          <cell r="I7046" t="str">
            <v>met</v>
          </cell>
          <cell r="V7046" t="str">
            <v>0</v>
          </cell>
          <cell r="W7046">
            <v>0</v>
          </cell>
          <cell r="X7046" t="str">
            <v>0</v>
          </cell>
        </row>
        <row r="7047">
          <cell r="I7047" t="str">
            <v>met</v>
          </cell>
          <cell r="V7047" t="str">
            <v>0</v>
          </cell>
          <cell r="W7047">
            <v>0</v>
          </cell>
          <cell r="X7047" t="str">
            <v>0</v>
          </cell>
        </row>
        <row r="7048">
          <cell r="I7048" t="str">
            <v>met</v>
          </cell>
          <cell r="V7048" t="str">
            <v>0</v>
          </cell>
          <cell r="W7048">
            <v>0</v>
          </cell>
          <cell r="X7048" t="str">
            <v>0</v>
          </cell>
        </row>
        <row r="7049">
          <cell r="I7049" t="str">
            <v>met</v>
          </cell>
          <cell r="V7049" t="str">
            <v>0</v>
          </cell>
          <cell r="W7049">
            <v>0</v>
          </cell>
          <cell r="X7049" t="str">
            <v>0</v>
          </cell>
        </row>
        <row r="7050">
          <cell r="I7050" t="str">
            <v>met</v>
          </cell>
          <cell r="V7050" t="str">
            <v>0</v>
          </cell>
          <cell r="W7050">
            <v>0</v>
          </cell>
          <cell r="X7050" t="str">
            <v>0</v>
          </cell>
        </row>
        <row r="7051">
          <cell r="I7051" t="str">
            <v>met</v>
          </cell>
          <cell r="V7051" t="str">
            <v>0</v>
          </cell>
          <cell r="W7051">
            <v>0</v>
          </cell>
          <cell r="X7051" t="str">
            <v>0</v>
          </cell>
        </row>
        <row r="7052">
          <cell r="I7052" t="str">
            <v>sim</v>
          </cell>
          <cell r="V7052" t="str">
            <v>not neg pair</v>
          </cell>
          <cell r="W7052">
            <v>0</v>
          </cell>
          <cell r="X7052" t="str">
            <v>0</v>
          </cell>
        </row>
        <row r="7053">
          <cell r="I7053" t="str">
            <v>sim</v>
          </cell>
          <cell r="V7053" t="str">
            <v>not neg pair</v>
          </cell>
          <cell r="W7053">
            <v>0</v>
          </cell>
          <cell r="X7053" t="str">
            <v>0</v>
          </cell>
        </row>
        <row r="7054">
          <cell r="I7054" t="str">
            <v>sim</v>
          </cell>
          <cell r="V7054" t="str">
            <v>not neg pair</v>
          </cell>
          <cell r="W7054">
            <v>0</v>
          </cell>
          <cell r="X7054" t="str">
            <v>0</v>
          </cell>
        </row>
        <row r="7055">
          <cell r="I7055" t="str">
            <v>sim</v>
          </cell>
          <cell r="V7055" t="str">
            <v>not neg pair</v>
          </cell>
          <cell r="W7055">
            <v>0</v>
          </cell>
          <cell r="X7055" t="str">
            <v>0</v>
          </cell>
        </row>
        <row r="7056">
          <cell r="I7056" t="str">
            <v>sim</v>
          </cell>
          <cell r="V7056" t="str">
            <v>not neg pair</v>
          </cell>
          <cell r="W7056">
            <v>0</v>
          </cell>
          <cell r="X7056" t="str">
            <v>0</v>
          </cell>
        </row>
        <row r="7057">
          <cell r="I7057" t="str">
            <v>sim</v>
          </cell>
          <cell r="V7057" t="str">
            <v>not neg pair</v>
          </cell>
          <cell r="W7057">
            <v>0</v>
          </cell>
          <cell r="X7057" t="str">
            <v>0</v>
          </cell>
        </row>
        <row r="7058">
          <cell r="I7058" t="str">
            <v>met</v>
          </cell>
          <cell r="V7058" t="str">
            <v>0</v>
          </cell>
          <cell r="W7058">
            <v>0</v>
          </cell>
          <cell r="X7058" t="str">
            <v>0</v>
          </cell>
        </row>
        <row r="7059">
          <cell r="I7059" t="str">
            <v>met</v>
          </cell>
          <cell r="V7059" t="str">
            <v>0</v>
          </cell>
          <cell r="W7059">
            <v>0</v>
          </cell>
          <cell r="X7059" t="str">
            <v>0</v>
          </cell>
        </row>
        <row r="7060">
          <cell r="I7060" t="str">
            <v>met</v>
          </cell>
          <cell r="V7060" t="str">
            <v>0</v>
          </cell>
          <cell r="W7060">
            <v>0</v>
          </cell>
          <cell r="X7060" t="str">
            <v>0</v>
          </cell>
        </row>
        <row r="7061">
          <cell r="I7061" t="str">
            <v>met</v>
          </cell>
          <cell r="V7061" t="str">
            <v>0</v>
          </cell>
          <cell r="W7061">
            <v>0</v>
          </cell>
          <cell r="X7061" t="str">
            <v>0</v>
          </cell>
        </row>
        <row r="7062">
          <cell r="I7062" t="str">
            <v>sim</v>
          </cell>
          <cell r="V7062" t="str">
            <v>not</v>
          </cell>
          <cell r="W7062">
            <v>1</v>
          </cell>
          <cell r="X7062" t="str">
            <v>intens</v>
          </cell>
        </row>
        <row r="7063">
          <cell r="I7063" t="str">
            <v>sim</v>
          </cell>
          <cell r="V7063" t="str">
            <v>not</v>
          </cell>
          <cell r="W7063">
            <v>1</v>
          </cell>
          <cell r="X7063" t="str">
            <v>neg</v>
          </cell>
        </row>
        <row r="7064">
          <cell r="I7064" t="str">
            <v>sim</v>
          </cell>
          <cell r="V7064" t="str">
            <v>not neg pair</v>
          </cell>
          <cell r="W7064">
            <v>0</v>
          </cell>
          <cell r="X7064" t="str">
            <v>0</v>
          </cell>
        </row>
        <row r="7065">
          <cell r="I7065" t="str">
            <v>sim</v>
          </cell>
          <cell r="V7065" t="str">
            <v>not neg pair</v>
          </cell>
          <cell r="W7065">
            <v>0</v>
          </cell>
          <cell r="X7065" t="str">
            <v>0</v>
          </cell>
        </row>
        <row r="7066">
          <cell r="I7066" t="str">
            <v>sim</v>
          </cell>
          <cell r="V7066" t="str">
            <v>antonym</v>
          </cell>
          <cell r="W7066">
            <v>1</v>
          </cell>
          <cell r="X7066" t="str">
            <v>intens</v>
          </cell>
        </row>
        <row r="7067">
          <cell r="I7067" t="str">
            <v>sim</v>
          </cell>
          <cell r="V7067" t="str">
            <v>antonym</v>
          </cell>
          <cell r="W7067">
            <v>1</v>
          </cell>
          <cell r="X7067" t="str">
            <v>neg</v>
          </cell>
        </row>
        <row r="7068">
          <cell r="I7068" t="str">
            <v>sim</v>
          </cell>
          <cell r="V7068" t="str">
            <v>not neg pair</v>
          </cell>
          <cell r="W7068">
            <v>0</v>
          </cell>
          <cell r="X7068" t="str">
            <v>0</v>
          </cell>
        </row>
        <row r="7069">
          <cell r="I7069" t="str">
            <v>sim</v>
          </cell>
          <cell r="V7069" t="str">
            <v>not neg pair</v>
          </cell>
          <cell r="W7069">
            <v>0</v>
          </cell>
          <cell r="X7069" t="str">
            <v>0</v>
          </cell>
        </row>
        <row r="7070">
          <cell r="I7070" t="str">
            <v>sim</v>
          </cell>
          <cell r="V7070" t="str">
            <v>not</v>
          </cell>
          <cell r="W7070">
            <v>1</v>
          </cell>
          <cell r="X7070" t="str">
            <v>intens</v>
          </cell>
        </row>
        <row r="7071">
          <cell r="I7071" t="str">
            <v>sim</v>
          </cell>
          <cell r="V7071" t="str">
            <v>not</v>
          </cell>
          <cell r="W7071">
            <v>1</v>
          </cell>
          <cell r="X7071" t="str">
            <v>neg</v>
          </cell>
        </row>
        <row r="7072">
          <cell r="I7072" t="str">
            <v>sim</v>
          </cell>
          <cell r="V7072" t="str">
            <v>not neg pair</v>
          </cell>
          <cell r="W7072">
            <v>0</v>
          </cell>
          <cell r="X7072" t="str">
            <v>0</v>
          </cell>
        </row>
        <row r="7073">
          <cell r="I7073" t="str">
            <v>sim</v>
          </cell>
          <cell r="V7073" t="str">
            <v>not neg pair</v>
          </cell>
          <cell r="W7073">
            <v>0</v>
          </cell>
          <cell r="X7073" t="str">
            <v>0</v>
          </cell>
        </row>
        <row r="7074">
          <cell r="I7074" t="str">
            <v>sim</v>
          </cell>
          <cell r="V7074" t="str">
            <v>not neg pair</v>
          </cell>
          <cell r="W7074">
            <v>0</v>
          </cell>
          <cell r="X7074" t="str">
            <v>0</v>
          </cell>
        </row>
        <row r="7075">
          <cell r="I7075" t="str">
            <v>sim</v>
          </cell>
          <cell r="V7075" t="str">
            <v>not neg pair</v>
          </cell>
          <cell r="W7075">
            <v>0</v>
          </cell>
          <cell r="X7075" t="str">
            <v>0</v>
          </cell>
        </row>
        <row r="7076">
          <cell r="I7076" t="str">
            <v>met</v>
          </cell>
          <cell r="V7076" t="str">
            <v>0</v>
          </cell>
          <cell r="W7076">
            <v>0</v>
          </cell>
          <cell r="X7076" t="str">
            <v>0</v>
          </cell>
        </row>
        <row r="7077">
          <cell r="I7077" t="str">
            <v>met</v>
          </cell>
          <cell r="V7077" t="str">
            <v>0</v>
          </cell>
          <cell r="W7077">
            <v>0</v>
          </cell>
          <cell r="X7077" t="str">
            <v>0</v>
          </cell>
        </row>
        <row r="7078">
          <cell r="I7078" t="str">
            <v>met</v>
          </cell>
          <cell r="V7078" t="str">
            <v>0</v>
          </cell>
          <cell r="W7078">
            <v>0</v>
          </cell>
          <cell r="X7078" t="str">
            <v>0</v>
          </cell>
        </row>
        <row r="7079">
          <cell r="I7079" t="str">
            <v>met</v>
          </cell>
          <cell r="V7079" t="str">
            <v>0</v>
          </cell>
          <cell r="W7079">
            <v>0</v>
          </cell>
          <cell r="X7079" t="str">
            <v>0</v>
          </cell>
        </row>
        <row r="7080">
          <cell r="I7080" t="str">
            <v>met</v>
          </cell>
          <cell r="V7080" t="str">
            <v>0</v>
          </cell>
          <cell r="W7080">
            <v>0</v>
          </cell>
          <cell r="X7080" t="str">
            <v>0</v>
          </cell>
        </row>
        <row r="7081">
          <cell r="I7081" t="str">
            <v>sim</v>
          </cell>
          <cell r="V7081" t="str">
            <v>not neg pair</v>
          </cell>
          <cell r="W7081">
            <v>0</v>
          </cell>
          <cell r="X7081" t="str">
            <v>0</v>
          </cell>
        </row>
        <row r="7082">
          <cell r="I7082" t="str">
            <v>met</v>
          </cell>
          <cell r="V7082" t="str">
            <v>0</v>
          </cell>
          <cell r="W7082">
            <v>0</v>
          </cell>
          <cell r="X7082" t="str">
            <v>0</v>
          </cell>
        </row>
        <row r="7083">
          <cell r="I7083" t="str">
            <v>sim</v>
          </cell>
          <cell r="V7083" t="str">
            <v>not neg pair</v>
          </cell>
          <cell r="W7083">
            <v>0</v>
          </cell>
          <cell r="X7083" t="str">
            <v>0</v>
          </cell>
        </row>
        <row r="7084">
          <cell r="I7084" t="str">
            <v>sim</v>
          </cell>
          <cell r="V7084" t="str">
            <v>not neg pair</v>
          </cell>
          <cell r="W7084">
            <v>0</v>
          </cell>
          <cell r="X7084" t="str">
            <v>0</v>
          </cell>
        </row>
        <row r="7085">
          <cell r="I7085" t="str">
            <v>sim</v>
          </cell>
          <cell r="V7085" t="str">
            <v>not neg pair</v>
          </cell>
          <cell r="W7085">
            <v>0</v>
          </cell>
          <cell r="X7085" t="str">
            <v>0</v>
          </cell>
        </row>
        <row r="7086">
          <cell r="I7086" t="str">
            <v>sim</v>
          </cell>
          <cell r="V7086" t="str">
            <v>not neg pair</v>
          </cell>
          <cell r="W7086">
            <v>0</v>
          </cell>
          <cell r="X7086" t="str">
            <v>0</v>
          </cell>
        </row>
        <row r="7087">
          <cell r="I7087" t="str">
            <v>sim</v>
          </cell>
          <cell r="V7087" t="str">
            <v>not neg pair</v>
          </cell>
          <cell r="W7087">
            <v>0</v>
          </cell>
          <cell r="X7087" t="str">
            <v>0</v>
          </cell>
        </row>
        <row r="7088">
          <cell r="I7088" t="str">
            <v>sim</v>
          </cell>
          <cell r="V7088" t="str">
            <v>not neg pair</v>
          </cell>
          <cell r="W7088">
            <v>0</v>
          </cell>
          <cell r="X7088" t="str">
            <v>0</v>
          </cell>
        </row>
        <row r="7089">
          <cell r="I7089" t="str">
            <v>sim</v>
          </cell>
          <cell r="V7089" t="str">
            <v>not neg pair</v>
          </cell>
          <cell r="W7089">
            <v>0</v>
          </cell>
          <cell r="X7089" t="str">
            <v>0</v>
          </cell>
        </row>
        <row r="7090">
          <cell r="I7090" t="str">
            <v>sim</v>
          </cell>
          <cell r="V7090" t="str">
            <v>not</v>
          </cell>
          <cell r="W7090">
            <v>1</v>
          </cell>
          <cell r="X7090" t="str">
            <v>intens</v>
          </cell>
        </row>
        <row r="7091">
          <cell r="I7091" t="str">
            <v>sim</v>
          </cell>
          <cell r="V7091" t="str">
            <v>not</v>
          </cell>
          <cell r="W7091">
            <v>1</v>
          </cell>
          <cell r="X7091" t="str">
            <v>neg</v>
          </cell>
        </row>
        <row r="7092">
          <cell r="I7092" t="str">
            <v>sim</v>
          </cell>
          <cell r="V7092" t="str">
            <v>antonym</v>
          </cell>
          <cell r="W7092">
            <v>1</v>
          </cell>
          <cell r="X7092" t="str">
            <v>intens</v>
          </cell>
        </row>
        <row r="7093">
          <cell r="I7093" t="str">
            <v>sim</v>
          </cell>
          <cell r="V7093" t="str">
            <v>antonym</v>
          </cell>
          <cell r="W7093">
            <v>1</v>
          </cell>
          <cell r="X7093" t="str">
            <v>neg</v>
          </cell>
        </row>
        <row r="7094">
          <cell r="I7094" t="str">
            <v>sim</v>
          </cell>
          <cell r="V7094" t="str">
            <v>not neg pair</v>
          </cell>
          <cell r="W7094">
            <v>0</v>
          </cell>
          <cell r="X7094" t="str">
            <v>0</v>
          </cell>
        </row>
        <row r="7095">
          <cell r="I7095" t="str">
            <v>sim</v>
          </cell>
          <cell r="V7095" t="str">
            <v>not neg pair</v>
          </cell>
          <cell r="W7095">
            <v>0</v>
          </cell>
          <cell r="X7095" t="str">
            <v>0</v>
          </cell>
        </row>
        <row r="7096">
          <cell r="I7096" t="str">
            <v>sim</v>
          </cell>
          <cell r="V7096" t="str">
            <v>not neg pair</v>
          </cell>
          <cell r="W7096">
            <v>0</v>
          </cell>
          <cell r="X7096" t="str">
            <v>0</v>
          </cell>
        </row>
        <row r="7097">
          <cell r="I7097" t="str">
            <v>sim</v>
          </cell>
          <cell r="V7097" t="str">
            <v>not neg pair</v>
          </cell>
          <cell r="W7097">
            <v>0</v>
          </cell>
          <cell r="X7097" t="str">
            <v>0</v>
          </cell>
        </row>
        <row r="7098">
          <cell r="I7098" t="str">
            <v>sim</v>
          </cell>
          <cell r="V7098" t="str">
            <v>not neg pair</v>
          </cell>
          <cell r="W7098">
            <v>0</v>
          </cell>
          <cell r="X7098" t="str">
            <v>0</v>
          </cell>
        </row>
        <row r="7099">
          <cell r="I7099" t="str">
            <v>sim</v>
          </cell>
          <cell r="V7099" t="str">
            <v>not neg pair</v>
          </cell>
          <cell r="W7099">
            <v>0</v>
          </cell>
          <cell r="X7099" t="str">
            <v>0</v>
          </cell>
        </row>
        <row r="7100">
          <cell r="I7100" t="str">
            <v>met</v>
          </cell>
          <cell r="V7100" t="str">
            <v>0</v>
          </cell>
          <cell r="W7100">
            <v>0</v>
          </cell>
          <cell r="X7100" t="str">
            <v>0</v>
          </cell>
        </row>
        <row r="7101">
          <cell r="I7101" t="str">
            <v>met</v>
          </cell>
          <cell r="V7101" t="str">
            <v>0</v>
          </cell>
          <cell r="W7101">
            <v>0</v>
          </cell>
          <cell r="X7101" t="str">
            <v>0</v>
          </cell>
        </row>
        <row r="7102">
          <cell r="I7102" t="str">
            <v>met</v>
          </cell>
          <cell r="V7102" t="str">
            <v>0</v>
          </cell>
          <cell r="W7102">
            <v>0</v>
          </cell>
          <cell r="X7102" t="str">
            <v>0</v>
          </cell>
        </row>
        <row r="7103">
          <cell r="I7103" t="str">
            <v>met</v>
          </cell>
          <cell r="V7103" t="str">
            <v>0</v>
          </cell>
          <cell r="W7103">
            <v>0</v>
          </cell>
          <cell r="X7103" t="str">
            <v>0</v>
          </cell>
        </row>
        <row r="7104">
          <cell r="I7104" t="str">
            <v>met</v>
          </cell>
          <cell r="V7104" t="str">
            <v>0</v>
          </cell>
          <cell r="W7104">
            <v>0</v>
          </cell>
          <cell r="X7104" t="str">
            <v>0</v>
          </cell>
        </row>
        <row r="7105">
          <cell r="I7105" t="str">
            <v>met</v>
          </cell>
          <cell r="V7105" t="str">
            <v>0</v>
          </cell>
          <cell r="W7105">
            <v>0</v>
          </cell>
          <cell r="X7105" t="str">
            <v>0</v>
          </cell>
        </row>
        <row r="7106">
          <cell r="I7106" t="str">
            <v>met</v>
          </cell>
          <cell r="V7106" t="str">
            <v>0</v>
          </cell>
          <cell r="W7106">
            <v>0</v>
          </cell>
          <cell r="X7106" t="str">
            <v>0</v>
          </cell>
        </row>
        <row r="7107">
          <cell r="I7107" t="str">
            <v>met</v>
          </cell>
          <cell r="V7107" t="str">
            <v>0</v>
          </cell>
          <cell r="W7107">
            <v>0</v>
          </cell>
          <cell r="X7107" t="str">
            <v>0</v>
          </cell>
        </row>
        <row r="7108">
          <cell r="I7108" t="str">
            <v>sim</v>
          </cell>
          <cell r="V7108" t="str">
            <v>not neg pair</v>
          </cell>
          <cell r="W7108">
            <v>0</v>
          </cell>
          <cell r="X7108" t="str">
            <v>0</v>
          </cell>
        </row>
        <row r="7109">
          <cell r="I7109" t="str">
            <v>sim</v>
          </cell>
          <cell r="V7109" t="str">
            <v>not neg pair</v>
          </cell>
          <cell r="W7109">
            <v>0</v>
          </cell>
          <cell r="X7109" t="str">
            <v>0</v>
          </cell>
        </row>
        <row r="7110">
          <cell r="I7110" t="str">
            <v>sim</v>
          </cell>
          <cell r="V7110" t="str">
            <v>antonym</v>
          </cell>
          <cell r="W7110">
            <v>1</v>
          </cell>
          <cell r="X7110" t="str">
            <v>intens</v>
          </cell>
        </row>
        <row r="7111">
          <cell r="I7111" t="str">
            <v>sim</v>
          </cell>
          <cell r="V7111" t="str">
            <v>antonym</v>
          </cell>
          <cell r="W7111">
            <v>1</v>
          </cell>
          <cell r="X7111" t="str">
            <v>neg</v>
          </cell>
        </row>
        <row r="7112">
          <cell r="I7112" t="str">
            <v>sim</v>
          </cell>
          <cell r="V7112" t="str">
            <v>antonym</v>
          </cell>
          <cell r="W7112">
            <v>1</v>
          </cell>
          <cell r="X7112" t="str">
            <v>intens</v>
          </cell>
        </row>
        <row r="7113">
          <cell r="I7113" t="str">
            <v>sim</v>
          </cell>
          <cell r="V7113" t="str">
            <v>antonym</v>
          </cell>
          <cell r="W7113">
            <v>1</v>
          </cell>
          <cell r="X7113" t="str">
            <v>neg</v>
          </cell>
        </row>
        <row r="7114">
          <cell r="I7114" t="str">
            <v>sim</v>
          </cell>
          <cell r="V7114" t="str">
            <v>antonym</v>
          </cell>
          <cell r="W7114">
            <v>1</v>
          </cell>
          <cell r="X7114" t="str">
            <v>intens</v>
          </cell>
        </row>
        <row r="7115">
          <cell r="I7115" t="str">
            <v>sim</v>
          </cell>
          <cell r="V7115" t="str">
            <v>antonym</v>
          </cell>
          <cell r="W7115">
            <v>1</v>
          </cell>
          <cell r="X7115" t="str">
            <v>neg</v>
          </cell>
        </row>
        <row r="7116">
          <cell r="I7116" t="str">
            <v>met</v>
          </cell>
          <cell r="V7116" t="str">
            <v>0</v>
          </cell>
          <cell r="W7116">
            <v>0</v>
          </cell>
          <cell r="X7116" t="str">
            <v>0</v>
          </cell>
        </row>
        <row r="7117">
          <cell r="I7117" t="str">
            <v>met</v>
          </cell>
          <cell r="V7117" t="str">
            <v>0</v>
          </cell>
          <cell r="W7117">
            <v>0</v>
          </cell>
          <cell r="X7117" t="str">
            <v>0</v>
          </cell>
        </row>
        <row r="7118">
          <cell r="I7118" t="str">
            <v>met</v>
          </cell>
          <cell r="V7118" t="str">
            <v>0</v>
          </cell>
          <cell r="W7118">
            <v>0</v>
          </cell>
          <cell r="X7118" t="str">
            <v>0</v>
          </cell>
        </row>
        <row r="7119">
          <cell r="I7119" t="str">
            <v>met</v>
          </cell>
          <cell r="V7119" t="str">
            <v>0</v>
          </cell>
          <cell r="W7119">
            <v>0</v>
          </cell>
          <cell r="X7119" t="str">
            <v>0</v>
          </cell>
        </row>
        <row r="7120">
          <cell r="I7120" t="str">
            <v>met</v>
          </cell>
          <cell r="V7120" t="str">
            <v>0</v>
          </cell>
          <cell r="W7120">
            <v>0</v>
          </cell>
          <cell r="X7120" t="str">
            <v>0</v>
          </cell>
        </row>
        <row r="7121">
          <cell r="I7121" t="str">
            <v>met</v>
          </cell>
          <cell r="V7121" t="str">
            <v>0</v>
          </cell>
          <cell r="W7121">
            <v>0</v>
          </cell>
          <cell r="X7121" t="str">
            <v>0</v>
          </cell>
        </row>
        <row r="7122">
          <cell r="I7122" t="str">
            <v>sim</v>
          </cell>
          <cell r="V7122" t="str">
            <v>antonym</v>
          </cell>
          <cell r="W7122">
            <v>1</v>
          </cell>
          <cell r="X7122" t="str">
            <v>intens</v>
          </cell>
        </row>
        <row r="7123">
          <cell r="I7123" t="str">
            <v>sim</v>
          </cell>
          <cell r="V7123" t="str">
            <v>antonym</v>
          </cell>
          <cell r="W7123">
            <v>1</v>
          </cell>
          <cell r="X7123" t="str">
            <v>neg</v>
          </cell>
        </row>
        <row r="7124">
          <cell r="I7124" t="str">
            <v>sim</v>
          </cell>
          <cell r="V7124" t="str">
            <v>not</v>
          </cell>
          <cell r="W7124">
            <v>1</v>
          </cell>
          <cell r="X7124" t="str">
            <v>intens</v>
          </cell>
        </row>
        <row r="7125">
          <cell r="I7125" t="str">
            <v>sim</v>
          </cell>
          <cell r="V7125" t="str">
            <v>not</v>
          </cell>
          <cell r="W7125">
            <v>1</v>
          </cell>
          <cell r="X7125" t="str">
            <v>neg</v>
          </cell>
        </row>
        <row r="7126">
          <cell r="I7126" t="str">
            <v>sim</v>
          </cell>
          <cell r="V7126" t="str">
            <v>not neg pair</v>
          </cell>
          <cell r="W7126">
            <v>0</v>
          </cell>
          <cell r="X7126" t="str">
            <v>0</v>
          </cell>
        </row>
        <row r="7127">
          <cell r="I7127" t="str">
            <v>sim</v>
          </cell>
          <cell r="V7127" t="str">
            <v>not neg pair</v>
          </cell>
          <cell r="W7127">
            <v>0</v>
          </cell>
          <cell r="X7127" t="str">
            <v>0</v>
          </cell>
        </row>
        <row r="7128">
          <cell r="I7128" t="str">
            <v>sim</v>
          </cell>
          <cell r="V7128" t="str">
            <v>not neg pair</v>
          </cell>
          <cell r="W7128">
            <v>0</v>
          </cell>
          <cell r="X7128" t="str">
            <v>0</v>
          </cell>
        </row>
        <row r="7129">
          <cell r="I7129" t="str">
            <v>sim</v>
          </cell>
          <cell r="V7129" t="str">
            <v>not neg pair</v>
          </cell>
          <cell r="W7129">
            <v>0</v>
          </cell>
          <cell r="X7129" t="str">
            <v>0</v>
          </cell>
        </row>
        <row r="7130">
          <cell r="I7130" t="str">
            <v>sim</v>
          </cell>
          <cell r="V7130" t="str">
            <v>not neg pair</v>
          </cell>
          <cell r="W7130">
            <v>0</v>
          </cell>
          <cell r="X7130" t="str">
            <v>0</v>
          </cell>
        </row>
        <row r="7131">
          <cell r="I7131" t="str">
            <v>sim</v>
          </cell>
          <cell r="V7131" t="str">
            <v>not neg pair</v>
          </cell>
          <cell r="W7131">
            <v>0</v>
          </cell>
          <cell r="X7131" t="str">
            <v>0</v>
          </cell>
        </row>
        <row r="7132">
          <cell r="I7132" t="str">
            <v>sim</v>
          </cell>
          <cell r="V7132" t="str">
            <v>not neg pair</v>
          </cell>
          <cell r="W7132">
            <v>0</v>
          </cell>
          <cell r="X7132" t="str">
            <v>0</v>
          </cell>
        </row>
        <row r="7133">
          <cell r="I7133" t="str">
            <v>sim</v>
          </cell>
          <cell r="V7133" t="str">
            <v>not neg pair</v>
          </cell>
          <cell r="W7133">
            <v>0</v>
          </cell>
          <cell r="X7133" t="str">
            <v>0</v>
          </cell>
        </row>
        <row r="7134">
          <cell r="I7134" t="str">
            <v>met</v>
          </cell>
          <cell r="V7134" t="str">
            <v>0</v>
          </cell>
          <cell r="W7134">
            <v>0</v>
          </cell>
          <cell r="X7134" t="str">
            <v>0</v>
          </cell>
        </row>
        <row r="7135">
          <cell r="I7135" t="str">
            <v>met</v>
          </cell>
          <cell r="V7135" t="str">
            <v>0</v>
          </cell>
          <cell r="W7135">
            <v>0</v>
          </cell>
          <cell r="X7135" t="str">
            <v>0</v>
          </cell>
        </row>
        <row r="7136">
          <cell r="I7136" t="str">
            <v>met</v>
          </cell>
          <cell r="V7136" t="str">
            <v>0</v>
          </cell>
          <cell r="W7136">
            <v>0</v>
          </cell>
          <cell r="X7136" t="str">
            <v>0</v>
          </cell>
        </row>
        <row r="7137">
          <cell r="I7137" t="str">
            <v>met</v>
          </cell>
          <cell r="V7137" t="str">
            <v>0</v>
          </cell>
          <cell r="W7137">
            <v>0</v>
          </cell>
          <cell r="X7137" t="str">
            <v>0</v>
          </cell>
        </row>
        <row r="7138">
          <cell r="I7138" t="str">
            <v>sim</v>
          </cell>
          <cell r="V7138" t="str">
            <v>not neg pair</v>
          </cell>
          <cell r="W7138">
            <v>0</v>
          </cell>
          <cell r="X7138" t="str">
            <v>0</v>
          </cell>
        </row>
        <row r="7139">
          <cell r="I7139" t="str">
            <v>sim</v>
          </cell>
          <cell r="V7139" t="str">
            <v>not neg pair</v>
          </cell>
          <cell r="W7139">
            <v>0</v>
          </cell>
          <cell r="X7139" t="str">
            <v>0</v>
          </cell>
        </row>
        <row r="7140">
          <cell r="I7140" t="str">
            <v>sim</v>
          </cell>
          <cell r="V7140" t="str">
            <v>not neg pair</v>
          </cell>
          <cell r="W7140">
            <v>0</v>
          </cell>
          <cell r="X7140" t="str">
            <v>0</v>
          </cell>
        </row>
        <row r="7141">
          <cell r="I7141" t="str">
            <v>sim</v>
          </cell>
          <cell r="V7141" t="str">
            <v>not neg pair</v>
          </cell>
          <cell r="W7141">
            <v>0</v>
          </cell>
          <cell r="X7141" t="str">
            <v>0</v>
          </cell>
        </row>
        <row r="7142">
          <cell r="I7142" t="str">
            <v>sim</v>
          </cell>
          <cell r="V7142" t="str">
            <v>not</v>
          </cell>
          <cell r="W7142">
            <v>1</v>
          </cell>
          <cell r="X7142" t="str">
            <v>neg</v>
          </cell>
        </row>
        <row r="7143">
          <cell r="I7143" t="str">
            <v>sim</v>
          </cell>
          <cell r="V7143" t="str">
            <v>not</v>
          </cell>
          <cell r="W7143">
            <v>1</v>
          </cell>
          <cell r="X7143" t="str">
            <v>intens</v>
          </cell>
        </row>
        <row r="7144">
          <cell r="I7144" t="str">
            <v>sim</v>
          </cell>
          <cell r="V7144" t="str">
            <v>not neg pair</v>
          </cell>
          <cell r="W7144">
            <v>0</v>
          </cell>
          <cell r="X7144" t="str">
            <v>0</v>
          </cell>
        </row>
        <row r="7145">
          <cell r="I7145" t="str">
            <v>sim</v>
          </cell>
          <cell r="V7145" t="str">
            <v>not neg pair</v>
          </cell>
          <cell r="W7145">
            <v>0</v>
          </cell>
          <cell r="X7145" t="str">
            <v>0</v>
          </cell>
        </row>
        <row r="7146">
          <cell r="I7146" t="str">
            <v>sim</v>
          </cell>
          <cell r="V7146" t="str">
            <v>not</v>
          </cell>
          <cell r="W7146">
            <v>1</v>
          </cell>
          <cell r="X7146" t="str">
            <v>intens</v>
          </cell>
        </row>
        <row r="7147">
          <cell r="I7147" t="str">
            <v>sim</v>
          </cell>
          <cell r="V7147" t="str">
            <v>not</v>
          </cell>
          <cell r="W7147">
            <v>1</v>
          </cell>
          <cell r="X7147" t="str">
            <v>neg</v>
          </cell>
        </row>
        <row r="7148">
          <cell r="I7148" t="str">
            <v>sim</v>
          </cell>
          <cell r="V7148" t="str">
            <v>not</v>
          </cell>
          <cell r="W7148">
            <v>1</v>
          </cell>
          <cell r="X7148" t="str">
            <v>neg</v>
          </cell>
        </row>
        <row r="7149">
          <cell r="I7149" t="str">
            <v>sim</v>
          </cell>
          <cell r="V7149" t="str">
            <v>not</v>
          </cell>
          <cell r="W7149">
            <v>1</v>
          </cell>
          <cell r="X7149" t="str">
            <v>intens</v>
          </cell>
        </row>
        <row r="7150">
          <cell r="I7150" t="str">
            <v>sim</v>
          </cell>
          <cell r="V7150" t="str">
            <v>not neg pair</v>
          </cell>
          <cell r="W7150">
            <v>0</v>
          </cell>
          <cell r="X7150" t="str">
            <v>0</v>
          </cell>
        </row>
        <row r="7151">
          <cell r="I7151" t="str">
            <v>sim</v>
          </cell>
          <cell r="V7151" t="str">
            <v>not neg pair</v>
          </cell>
          <cell r="W7151">
            <v>0</v>
          </cell>
          <cell r="X7151" t="str">
            <v>0</v>
          </cell>
        </row>
        <row r="7152">
          <cell r="I7152" t="str">
            <v>sim</v>
          </cell>
          <cell r="V7152" t="str">
            <v>not neg pair</v>
          </cell>
          <cell r="W7152">
            <v>0</v>
          </cell>
          <cell r="X7152" t="str">
            <v>0</v>
          </cell>
        </row>
        <row r="7153">
          <cell r="I7153" t="str">
            <v>sim</v>
          </cell>
          <cell r="V7153" t="str">
            <v>not neg pair</v>
          </cell>
          <cell r="W7153">
            <v>0</v>
          </cell>
          <cell r="X7153" t="str">
            <v>0</v>
          </cell>
        </row>
        <row r="7154">
          <cell r="I7154" t="str">
            <v>sim</v>
          </cell>
          <cell r="V7154" t="str">
            <v>not</v>
          </cell>
          <cell r="W7154">
            <v>1</v>
          </cell>
          <cell r="X7154" t="str">
            <v>intens</v>
          </cell>
        </row>
        <row r="7155">
          <cell r="I7155" t="str">
            <v>sim</v>
          </cell>
          <cell r="V7155" t="str">
            <v>not</v>
          </cell>
          <cell r="W7155">
            <v>1</v>
          </cell>
          <cell r="X7155" t="str">
            <v>neg</v>
          </cell>
        </row>
        <row r="7156">
          <cell r="I7156" t="str">
            <v>sim</v>
          </cell>
          <cell r="V7156" t="str">
            <v>not neg pair</v>
          </cell>
          <cell r="W7156">
            <v>0</v>
          </cell>
          <cell r="X7156" t="str">
            <v>0</v>
          </cell>
        </row>
        <row r="7157">
          <cell r="I7157" t="str">
            <v>sim</v>
          </cell>
          <cell r="V7157" t="str">
            <v>not neg pair</v>
          </cell>
          <cell r="W7157">
            <v>0</v>
          </cell>
          <cell r="X7157" t="str">
            <v>0</v>
          </cell>
        </row>
        <row r="7158">
          <cell r="I7158" t="str">
            <v>sim</v>
          </cell>
          <cell r="V7158" t="str">
            <v>not neg pair</v>
          </cell>
          <cell r="W7158">
            <v>0</v>
          </cell>
          <cell r="X7158" t="str">
            <v>0</v>
          </cell>
        </row>
        <row r="7159">
          <cell r="I7159" t="str">
            <v>sim</v>
          </cell>
          <cell r="V7159" t="str">
            <v>not neg pair</v>
          </cell>
          <cell r="W7159">
            <v>0</v>
          </cell>
          <cell r="X7159" t="str">
            <v>0</v>
          </cell>
        </row>
        <row r="7160">
          <cell r="I7160" t="str">
            <v>sim</v>
          </cell>
          <cell r="V7160" t="str">
            <v>not neg pair</v>
          </cell>
          <cell r="W7160">
            <v>0</v>
          </cell>
          <cell r="X7160" t="str">
            <v>0</v>
          </cell>
        </row>
        <row r="7161">
          <cell r="I7161" t="str">
            <v>sim</v>
          </cell>
          <cell r="V7161" t="str">
            <v>not neg pair</v>
          </cell>
          <cell r="W7161">
            <v>0</v>
          </cell>
          <cell r="X7161" t="str">
            <v>0</v>
          </cell>
        </row>
        <row r="7162">
          <cell r="I7162" t="str">
            <v>sim</v>
          </cell>
          <cell r="V7162" t="str">
            <v>not neg pair</v>
          </cell>
          <cell r="W7162">
            <v>0</v>
          </cell>
          <cell r="X7162" t="str">
            <v>0</v>
          </cell>
        </row>
        <row r="7163">
          <cell r="I7163" t="str">
            <v>sim</v>
          </cell>
          <cell r="V7163" t="str">
            <v>not neg pair</v>
          </cell>
          <cell r="W7163">
            <v>0</v>
          </cell>
          <cell r="X7163" t="str">
            <v>0</v>
          </cell>
        </row>
        <row r="7164">
          <cell r="I7164" t="str">
            <v>sim</v>
          </cell>
          <cell r="V7164" t="str">
            <v>not neg pair</v>
          </cell>
          <cell r="W7164">
            <v>0</v>
          </cell>
          <cell r="X7164" t="str">
            <v>0</v>
          </cell>
        </row>
        <row r="7165">
          <cell r="I7165" t="str">
            <v>sim</v>
          </cell>
          <cell r="V7165" t="str">
            <v>not neg pair</v>
          </cell>
          <cell r="W7165">
            <v>0</v>
          </cell>
          <cell r="X7165" t="str">
            <v>0</v>
          </cell>
        </row>
        <row r="7166">
          <cell r="I7166" t="str">
            <v>sim</v>
          </cell>
          <cell r="V7166" t="str">
            <v>not neg pair</v>
          </cell>
          <cell r="W7166">
            <v>0</v>
          </cell>
          <cell r="X7166" t="str">
            <v>0</v>
          </cell>
        </row>
        <row r="7167">
          <cell r="I7167" t="str">
            <v>sim</v>
          </cell>
          <cell r="V7167" t="str">
            <v>not neg pair</v>
          </cell>
          <cell r="W7167">
            <v>0</v>
          </cell>
          <cell r="X7167" t="str">
            <v>0</v>
          </cell>
        </row>
        <row r="7168">
          <cell r="I7168" t="str">
            <v>met</v>
          </cell>
          <cell r="V7168" t="str">
            <v>0</v>
          </cell>
          <cell r="W7168">
            <v>0</v>
          </cell>
          <cell r="X7168" t="str">
            <v>0</v>
          </cell>
        </row>
        <row r="7169">
          <cell r="I7169" t="str">
            <v>met</v>
          </cell>
          <cell r="V7169" t="str">
            <v>0</v>
          </cell>
          <cell r="W7169">
            <v>0</v>
          </cell>
          <cell r="X7169" t="str">
            <v>0</v>
          </cell>
        </row>
        <row r="7170">
          <cell r="I7170" t="str">
            <v>met</v>
          </cell>
          <cell r="V7170" t="str">
            <v>0</v>
          </cell>
          <cell r="W7170">
            <v>0</v>
          </cell>
          <cell r="X7170" t="str">
            <v>0</v>
          </cell>
        </row>
        <row r="7171">
          <cell r="I7171" t="str">
            <v>met</v>
          </cell>
          <cell r="V7171" t="str">
            <v>0</v>
          </cell>
          <cell r="W7171">
            <v>0</v>
          </cell>
          <cell r="X7171" t="str">
            <v>0</v>
          </cell>
        </row>
        <row r="7172">
          <cell r="I7172" t="str">
            <v>met</v>
          </cell>
          <cell r="V7172" t="str">
            <v>0</v>
          </cell>
          <cell r="W7172">
            <v>0</v>
          </cell>
          <cell r="X7172" t="str">
            <v>0</v>
          </cell>
        </row>
        <row r="7173">
          <cell r="I7173" t="str">
            <v>met</v>
          </cell>
          <cell r="V7173" t="str">
            <v>0</v>
          </cell>
          <cell r="W7173">
            <v>0</v>
          </cell>
          <cell r="X7173" t="str">
            <v>0</v>
          </cell>
        </row>
        <row r="7174">
          <cell r="I7174" t="str">
            <v>met</v>
          </cell>
          <cell r="V7174" t="str">
            <v>0</v>
          </cell>
          <cell r="W7174">
            <v>0</v>
          </cell>
          <cell r="X7174" t="str">
            <v>0</v>
          </cell>
        </row>
        <row r="7175">
          <cell r="I7175" t="str">
            <v>met</v>
          </cell>
          <cell r="V7175" t="str">
            <v>0</v>
          </cell>
          <cell r="W7175">
            <v>0</v>
          </cell>
          <cell r="X7175" t="str">
            <v>0</v>
          </cell>
        </row>
        <row r="7176">
          <cell r="I7176" t="str">
            <v>sim</v>
          </cell>
          <cell r="V7176" t="str">
            <v>not neg pair</v>
          </cell>
          <cell r="W7176">
            <v>0</v>
          </cell>
          <cell r="X7176" t="str">
            <v>0</v>
          </cell>
        </row>
        <row r="7177">
          <cell r="I7177" t="str">
            <v>sim</v>
          </cell>
          <cell r="V7177" t="str">
            <v>not neg pair</v>
          </cell>
          <cell r="W7177">
            <v>0</v>
          </cell>
          <cell r="X7177" t="str">
            <v>0</v>
          </cell>
        </row>
        <row r="7178">
          <cell r="I7178" t="str">
            <v>sim</v>
          </cell>
          <cell r="V7178" t="str">
            <v>antonym</v>
          </cell>
          <cell r="W7178">
            <v>1</v>
          </cell>
          <cell r="X7178" t="str">
            <v>intens</v>
          </cell>
        </row>
        <row r="7179">
          <cell r="I7179" t="str">
            <v>sim</v>
          </cell>
          <cell r="V7179" t="str">
            <v>antonym</v>
          </cell>
          <cell r="W7179">
            <v>1</v>
          </cell>
          <cell r="X7179" t="str">
            <v>neg</v>
          </cell>
        </row>
        <row r="7180">
          <cell r="I7180" t="str">
            <v>met</v>
          </cell>
          <cell r="V7180" t="str">
            <v>0</v>
          </cell>
          <cell r="W7180">
            <v>0</v>
          </cell>
          <cell r="X7180" t="str">
            <v>0</v>
          </cell>
        </row>
        <row r="7181">
          <cell r="I7181" t="str">
            <v>met</v>
          </cell>
          <cell r="V7181" t="str">
            <v>0</v>
          </cell>
          <cell r="W7181">
            <v>0</v>
          </cell>
          <cell r="X7181" t="str">
            <v>0</v>
          </cell>
        </row>
        <row r="7182">
          <cell r="I7182" t="str">
            <v>met</v>
          </cell>
          <cell r="V7182" t="str">
            <v>0</v>
          </cell>
          <cell r="W7182">
            <v>0</v>
          </cell>
          <cell r="X7182" t="str">
            <v>0</v>
          </cell>
        </row>
        <row r="7183">
          <cell r="I7183" t="str">
            <v>met</v>
          </cell>
          <cell r="V7183" t="str">
            <v>0</v>
          </cell>
          <cell r="W7183">
            <v>0</v>
          </cell>
          <cell r="X7183" t="str">
            <v>0</v>
          </cell>
        </row>
        <row r="7184">
          <cell r="I7184" t="str">
            <v>met</v>
          </cell>
          <cell r="V7184" t="str">
            <v>0</v>
          </cell>
          <cell r="W7184">
            <v>0</v>
          </cell>
          <cell r="X7184" t="str">
            <v>0</v>
          </cell>
        </row>
        <row r="7185">
          <cell r="I7185" t="str">
            <v>met</v>
          </cell>
          <cell r="V7185" t="str">
            <v>0</v>
          </cell>
          <cell r="W7185">
            <v>0</v>
          </cell>
          <cell r="X7185" t="str">
            <v>0</v>
          </cell>
        </row>
        <row r="7186">
          <cell r="I7186" t="str">
            <v>sim</v>
          </cell>
          <cell r="V7186" t="str">
            <v>not neg pair</v>
          </cell>
          <cell r="W7186">
            <v>0</v>
          </cell>
          <cell r="X7186" t="str">
            <v>0</v>
          </cell>
        </row>
        <row r="7187">
          <cell r="I7187" t="str">
            <v>sim</v>
          </cell>
          <cell r="V7187" t="str">
            <v>not neg pair</v>
          </cell>
          <cell r="W7187">
            <v>0</v>
          </cell>
          <cell r="X7187" t="str">
            <v>0</v>
          </cell>
        </row>
        <row r="7188">
          <cell r="I7188" t="str">
            <v>sim</v>
          </cell>
          <cell r="V7188" t="str">
            <v>not neg pair</v>
          </cell>
          <cell r="W7188">
            <v>0</v>
          </cell>
          <cell r="X7188" t="str">
            <v>0</v>
          </cell>
        </row>
        <row r="7189">
          <cell r="I7189" t="str">
            <v>sim</v>
          </cell>
          <cell r="V7189" t="str">
            <v>not neg pair</v>
          </cell>
          <cell r="W7189">
            <v>0</v>
          </cell>
          <cell r="X7189" t="str">
            <v>0</v>
          </cell>
        </row>
        <row r="7190">
          <cell r="I7190" t="str">
            <v>sim</v>
          </cell>
          <cell r="V7190" t="str">
            <v>not</v>
          </cell>
          <cell r="W7190">
            <v>1</v>
          </cell>
          <cell r="X7190" t="str">
            <v>intens</v>
          </cell>
        </row>
        <row r="7191">
          <cell r="I7191" t="str">
            <v>sim</v>
          </cell>
          <cell r="V7191" t="str">
            <v>not</v>
          </cell>
          <cell r="W7191">
            <v>1</v>
          </cell>
          <cell r="X7191" t="str">
            <v>neg</v>
          </cell>
        </row>
        <row r="7192">
          <cell r="I7192" t="str">
            <v>sim</v>
          </cell>
          <cell r="V7192" t="str">
            <v>not</v>
          </cell>
          <cell r="W7192">
            <v>1</v>
          </cell>
          <cell r="X7192" t="str">
            <v>intens</v>
          </cell>
        </row>
        <row r="7193">
          <cell r="I7193" t="str">
            <v>sim</v>
          </cell>
          <cell r="V7193" t="str">
            <v>not</v>
          </cell>
          <cell r="W7193">
            <v>1</v>
          </cell>
          <cell r="X7193" t="str">
            <v>neg</v>
          </cell>
        </row>
        <row r="7194">
          <cell r="I7194" t="str">
            <v>sim</v>
          </cell>
          <cell r="V7194" t="str">
            <v>not neg pair</v>
          </cell>
          <cell r="W7194">
            <v>0</v>
          </cell>
          <cell r="X7194" t="str">
            <v>0</v>
          </cell>
        </row>
        <row r="7195">
          <cell r="I7195" t="str">
            <v>sim</v>
          </cell>
          <cell r="V7195" t="str">
            <v>not neg pair</v>
          </cell>
          <cell r="W7195">
            <v>0</v>
          </cell>
          <cell r="X7195" t="str">
            <v>0</v>
          </cell>
        </row>
        <row r="7196">
          <cell r="I7196" t="str">
            <v>sim</v>
          </cell>
          <cell r="V7196" t="str">
            <v>not</v>
          </cell>
          <cell r="W7196">
            <v>1</v>
          </cell>
          <cell r="X7196" t="str">
            <v>intens</v>
          </cell>
        </row>
        <row r="7197">
          <cell r="I7197" t="str">
            <v>sim</v>
          </cell>
          <cell r="V7197" t="str">
            <v>not</v>
          </cell>
          <cell r="W7197">
            <v>1</v>
          </cell>
          <cell r="X7197" t="str">
            <v>neg</v>
          </cell>
        </row>
        <row r="7198">
          <cell r="I7198" t="str">
            <v>sim</v>
          </cell>
          <cell r="V7198" t="str">
            <v>not neg pair</v>
          </cell>
          <cell r="W7198">
            <v>0</v>
          </cell>
          <cell r="X7198" t="str">
            <v>0</v>
          </cell>
        </row>
        <row r="7199">
          <cell r="I7199" t="str">
            <v>sim</v>
          </cell>
          <cell r="V7199" t="str">
            <v>not neg pair</v>
          </cell>
          <cell r="W7199">
            <v>0</v>
          </cell>
          <cell r="X7199" t="str">
            <v>0</v>
          </cell>
        </row>
        <row r="7200">
          <cell r="I7200" t="str">
            <v>met</v>
          </cell>
          <cell r="V7200" t="str">
            <v>0</v>
          </cell>
          <cell r="W7200">
            <v>0</v>
          </cell>
          <cell r="X7200" t="str">
            <v>0</v>
          </cell>
        </row>
        <row r="7201">
          <cell r="I7201" t="str">
            <v>met</v>
          </cell>
          <cell r="V7201" t="str">
            <v>0</v>
          </cell>
          <cell r="W7201">
            <v>0</v>
          </cell>
          <cell r="X7201" t="str">
            <v>0</v>
          </cell>
        </row>
        <row r="7202">
          <cell r="I7202" t="str">
            <v>met</v>
          </cell>
          <cell r="V7202" t="str">
            <v>0</v>
          </cell>
          <cell r="W7202">
            <v>0</v>
          </cell>
          <cell r="X7202" t="str">
            <v>0</v>
          </cell>
        </row>
        <row r="7203">
          <cell r="I7203" t="str">
            <v>met</v>
          </cell>
          <cell r="V7203" t="str">
            <v>0</v>
          </cell>
          <cell r="W7203">
            <v>0</v>
          </cell>
          <cell r="X7203" t="str">
            <v>0</v>
          </cell>
        </row>
        <row r="7204">
          <cell r="I7204" t="str">
            <v>met</v>
          </cell>
          <cell r="V7204" t="str">
            <v>0</v>
          </cell>
          <cell r="W7204">
            <v>0</v>
          </cell>
          <cell r="X7204" t="str">
            <v>0</v>
          </cell>
        </row>
        <row r="7205">
          <cell r="I7205" t="str">
            <v>met</v>
          </cell>
          <cell r="V7205" t="str">
            <v>0</v>
          </cell>
          <cell r="W7205">
            <v>0</v>
          </cell>
          <cell r="X7205" t="str">
            <v>0</v>
          </cell>
        </row>
        <row r="7206">
          <cell r="I7206" t="str">
            <v>met</v>
          </cell>
          <cell r="V7206" t="str">
            <v>0</v>
          </cell>
          <cell r="W7206">
            <v>0</v>
          </cell>
          <cell r="X7206" t="str">
            <v>0</v>
          </cell>
        </row>
        <row r="7207">
          <cell r="I7207" t="str">
            <v>met</v>
          </cell>
          <cell r="V7207" t="str">
            <v>0</v>
          </cell>
          <cell r="W7207">
            <v>0</v>
          </cell>
          <cell r="X7207" t="str">
            <v>0</v>
          </cell>
        </row>
        <row r="7208">
          <cell r="I7208" t="str">
            <v>met</v>
          </cell>
          <cell r="V7208" t="str">
            <v>0</v>
          </cell>
          <cell r="W7208">
            <v>0</v>
          </cell>
          <cell r="X7208" t="str">
            <v>0</v>
          </cell>
        </row>
        <row r="7209">
          <cell r="I7209" t="str">
            <v>met</v>
          </cell>
          <cell r="V7209" t="str">
            <v>0</v>
          </cell>
          <cell r="W7209">
            <v>0</v>
          </cell>
          <cell r="X7209" t="str">
            <v>0</v>
          </cell>
        </row>
        <row r="7210">
          <cell r="I7210" t="str">
            <v>sim</v>
          </cell>
          <cell r="V7210" t="str">
            <v>not</v>
          </cell>
          <cell r="W7210">
            <v>1</v>
          </cell>
          <cell r="X7210" t="str">
            <v>neg</v>
          </cell>
        </row>
        <row r="7211">
          <cell r="I7211" t="str">
            <v>sim</v>
          </cell>
          <cell r="V7211" t="str">
            <v>not</v>
          </cell>
          <cell r="W7211">
            <v>1</v>
          </cell>
          <cell r="X7211" t="str">
            <v>intens</v>
          </cell>
        </row>
        <row r="7212">
          <cell r="I7212" t="str">
            <v>sim</v>
          </cell>
          <cell r="V7212" t="str">
            <v>not neg pair</v>
          </cell>
          <cell r="W7212">
            <v>0</v>
          </cell>
          <cell r="X7212" t="str">
            <v>0</v>
          </cell>
        </row>
        <row r="7213">
          <cell r="I7213" t="str">
            <v>sim</v>
          </cell>
          <cell r="V7213" t="str">
            <v>not neg pair</v>
          </cell>
          <cell r="W7213">
            <v>0</v>
          </cell>
          <cell r="X7213" t="str">
            <v>0</v>
          </cell>
        </row>
        <row r="7214">
          <cell r="I7214" t="str">
            <v>sim</v>
          </cell>
          <cell r="V7214" t="str">
            <v>not neg pair</v>
          </cell>
          <cell r="W7214">
            <v>0</v>
          </cell>
          <cell r="X7214" t="str">
            <v>0</v>
          </cell>
        </row>
        <row r="7215">
          <cell r="I7215" t="str">
            <v>sim</v>
          </cell>
          <cell r="V7215" t="str">
            <v>not neg pair</v>
          </cell>
          <cell r="W7215">
            <v>0</v>
          </cell>
          <cell r="X7215" t="str">
            <v>0</v>
          </cell>
        </row>
        <row r="7216">
          <cell r="I7216" t="str">
            <v>sim</v>
          </cell>
          <cell r="V7216" t="str">
            <v>not neg pair</v>
          </cell>
          <cell r="W7216">
            <v>0</v>
          </cell>
          <cell r="X7216" t="str">
            <v>0</v>
          </cell>
        </row>
        <row r="7217">
          <cell r="I7217" t="str">
            <v>sim</v>
          </cell>
          <cell r="V7217" t="str">
            <v>not neg pair</v>
          </cell>
          <cell r="W7217">
            <v>0</v>
          </cell>
          <cell r="X7217" t="str">
            <v>0</v>
          </cell>
        </row>
        <row r="7218">
          <cell r="I7218" t="str">
            <v>met</v>
          </cell>
          <cell r="V7218" t="str">
            <v>0</v>
          </cell>
          <cell r="W7218">
            <v>0</v>
          </cell>
          <cell r="X7218" t="str">
            <v>0</v>
          </cell>
        </row>
        <row r="7219">
          <cell r="I7219" t="str">
            <v>met</v>
          </cell>
          <cell r="V7219" t="str">
            <v>0</v>
          </cell>
          <cell r="W7219">
            <v>0</v>
          </cell>
          <cell r="X7219" t="str">
            <v>0</v>
          </cell>
        </row>
        <row r="7220">
          <cell r="I7220" t="str">
            <v>met</v>
          </cell>
          <cell r="V7220" t="str">
            <v>0</v>
          </cell>
          <cell r="W7220">
            <v>0</v>
          </cell>
          <cell r="X7220" t="str">
            <v>0</v>
          </cell>
        </row>
        <row r="7221">
          <cell r="I7221" t="str">
            <v>met</v>
          </cell>
          <cell r="V7221" t="str">
            <v>0</v>
          </cell>
          <cell r="W7221">
            <v>0</v>
          </cell>
          <cell r="X7221" t="str">
            <v>0</v>
          </cell>
        </row>
        <row r="7222">
          <cell r="I7222" t="str">
            <v>met</v>
          </cell>
          <cell r="V7222" t="str">
            <v>0</v>
          </cell>
          <cell r="W7222">
            <v>0</v>
          </cell>
          <cell r="X7222" t="str">
            <v>0</v>
          </cell>
        </row>
        <row r="7223">
          <cell r="I7223" t="str">
            <v>met</v>
          </cell>
          <cell r="V7223" t="str">
            <v>0</v>
          </cell>
          <cell r="W7223">
            <v>0</v>
          </cell>
          <cell r="X7223" t="str">
            <v>0</v>
          </cell>
        </row>
        <row r="7224">
          <cell r="I7224" t="str">
            <v>sim</v>
          </cell>
          <cell r="V7224" t="str">
            <v>not neg pair</v>
          </cell>
          <cell r="W7224">
            <v>0</v>
          </cell>
          <cell r="X7224" t="str">
            <v>0</v>
          </cell>
        </row>
        <row r="7225">
          <cell r="I7225" t="str">
            <v>sim</v>
          </cell>
          <cell r="V7225" t="str">
            <v>not neg pair</v>
          </cell>
          <cell r="W7225">
            <v>0</v>
          </cell>
          <cell r="X7225" t="str">
            <v>0</v>
          </cell>
        </row>
        <row r="7226">
          <cell r="I7226" t="str">
            <v>sim</v>
          </cell>
          <cell r="V7226" t="str">
            <v>not neg pair</v>
          </cell>
          <cell r="W7226">
            <v>0</v>
          </cell>
          <cell r="X7226" t="str">
            <v>0</v>
          </cell>
        </row>
        <row r="7227">
          <cell r="I7227" t="str">
            <v>sim</v>
          </cell>
          <cell r="V7227" t="str">
            <v>not neg pair</v>
          </cell>
          <cell r="W7227">
            <v>0</v>
          </cell>
          <cell r="X7227" t="str">
            <v>0</v>
          </cell>
        </row>
        <row r="7228">
          <cell r="I7228" t="str">
            <v>sim</v>
          </cell>
          <cell r="V7228" t="str">
            <v>not neg pair</v>
          </cell>
          <cell r="W7228">
            <v>0</v>
          </cell>
          <cell r="X7228" t="str">
            <v>0</v>
          </cell>
        </row>
        <row r="7229">
          <cell r="I7229" t="str">
            <v>sim</v>
          </cell>
          <cell r="V7229" t="str">
            <v>not neg pair</v>
          </cell>
          <cell r="W7229">
            <v>0</v>
          </cell>
          <cell r="X7229" t="str">
            <v>0</v>
          </cell>
        </row>
        <row r="7230">
          <cell r="I7230" t="str">
            <v>sim</v>
          </cell>
          <cell r="V7230" t="str">
            <v>not neg pair</v>
          </cell>
          <cell r="W7230">
            <v>0</v>
          </cell>
          <cell r="X7230" t="str">
            <v>0</v>
          </cell>
        </row>
        <row r="7231">
          <cell r="I7231" t="str">
            <v>sim</v>
          </cell>
          <cell r="V7231" t="str">
            <v>not neg pair</v>
          </cell>
          <cell r="W7231">
            <v>0</v>
          </cell>
          <cell r="X7231" t="str">
            <v>0</v>
          </cell>
        </row>
        <row r="7232">
          <cell r="I7232" t="str">
            <v>sim</v>
          </cell>
          <cell r="V7232" t="str">
            <v>not neg pair</v>
          </cell>
          <cell r="W7232">
            <v>0</v>
          </cell>
          <cell r="X7232" t="str">
            <v>0</v>
          </cell>
        </row>
        <row r="7233">
          <cell r="I7233" t="str">
            <v>sim</v>
          </cell>
          <cell r="V7233" t="str">
            <v>not neg pair</v>
          </cell>
          <cell r="W7233">
            <v>0</v>
          </cell>
          <cell r="X7233" t="str">
            <v>0</v>
          </cell>
        </row>
        <row r="7234">
          <cell r="I7234" t="str">
            <v>sim</v>
          </cell>
          <cell r="V7234" t="str">
            <v>not</v>
          </cell>
          <cell r="W7234">
            <v>1</v>
          </cell>
          <cell r="X7234" t="str">
            <v>intens</v>
          </cell>
        </row>
        <row r="7235">
          <cell r="I7235" t="str">
            <v>sim</v>
          </cell>
          <cell r="V7235" t="str">
            <v>not</v>
          </cell>
          <cell r="W7235">
            <v>1</v>
          </cell>
          <cell r="X7235" t="str">
            <v>neg</v>
          </cell>
        </row>
        <row r="7236">
          <cell r="I7236" t="str">
            <v>sim</v>
          </cell>
          <cell r="V7236" t="str">
            <v>not neg pair</v>
          </cell>
          <cell r="W7236">
            <v>0</v>
          </cell>
          <cell r="X7236" t="str">
            <v>0</v>
          </cell>
        </row>
        <row r="7237">
          <cell r="I7237" t="str">
            <v>sim</v>
          </cell>
          <cell r="V7237" t="str">
            <v>not neg pair</v>
          </cell>
          <cell r="W7237">
            <v>0</v>
          </cell>
          <cell r="X7237" t="str">
            <v>0</v>
          </cell>
        </row>
        <row r="7238">
          <cell r="I7238" t="str">
            <v>met</v>
          </cell>
          <cell r="V7238" t="str">
            <v>0</v>
          </cell>
          <cell r="W7238">
            <v>0</v>
          </cell>
          <cell r="X7238" t="str">
            <v>0</v>
          </cell>
        </row>
        <row r="7239">
          <cell r="I7239" t="str">
            <v>met</v>
          </cell>
          <cell r="V7239" t="str">
            <v>0</v>
          </cell>
          <cell r="W7239">
            <v>0</v>
          </cell>
          <cell r="X7239" t="str">
            <v>0</v>
          </cell>
        </row>
        <row r="7240">
          <cell r="I7240" t="str">
            <v>met</v>
          </cell>
          <cell r="V7240" t="str">
            <v>0</v>
          </cell>
          <cell r="W7240">
            <v>0</v>
          </cell>
          <cell r="X7240" t="str">
            <v>0</v>
          </cell>
        </row>
        <row r="7241">
          <cell r="I7241" t="str">
            <v>met</v>
          </cell>
          <cell r="V7241" t="str">
            <v>0</v>
          </cell>
          <cell r="W7241">
            <v>0</v>
          </cell>
          <cell r="X7241" t="str">
            <v>0</v>
          </cell>
        </row>
        <row r="7242">
          <cell r="I7242" t="str">
            <v>met</v>
          </cell>
          <cell r="V7242" t="str">
            <v>0</v>
          </cell>
          <cell r="W7242">
            <v>0</v>
          </cell>
          <cell r="X7242" t="str">
            <v>0</v>
          </cell>
        </row>
        <row r="7243">
          <cell r="I7243" t="str">
            <v>met</v>
          </cell>
          <cell r="V7243" t="str">
            <v>0</v>
          </cell>
          <cell r="W7243">
            <v>0</v>
          </cell>
          <cell r="X7243" t="str">
            <v>0</v>
          </cell>
        </row>
        <row r="7244">
          <cell r="I7244" t="str">
            <v>sim</v>
          </cell>
          <cell r="V7244" t="str">
            <v>not</v>
          </cell>
          <cell r="W7244">
            <v>1</v>
          </cell>
          <cell r="X7244" t="str">
            <v>neg</v>
          </cell>
        </row>
        <row r="7245">
          <cell r="I7245" t="str">
            <v>sim</v>
          </cell>
          <cell r="V7245" t="str">
            <v>not</v>
          </cell>
          <cell r="W7245">
            <v>1</v>
          </cell>
          <cell r="X7245" t="str">
            <v>intens</v>
          </cell>
        </row>
        <row r="7246">
          <cell r="I7246" t="str">
            <v>sim</v>
          </cell>
          <cell r="V7246" t="str">
            <v>not neg pair</v>
          </cell>
          <cell r="W7246">
            <v>0</v>
          </cell>
          <cell r="X7246" t="str">
            <v>0</v>
          </cell>
        </row>
        <row r="7247">
          <cell r="I7247" t="str">
            <v>sim</v>
          </cell>
          <cell r="V7247" t="str">
            <v>not neg pair</v>
          </cell>
          <cell r="W7247">
            <v>0</v>
          </cell>
          <cell r="X7247" t="str">
            <v>0</v>
          </cell>
        </row>
        <row r="7248">
          <cell r="I7248" t="str">
            <v>met</v>
          </cell>
          <cell r="V7248" t="str">
            <v>0</v>
          </cell>
          <cell r="W7248">
            <v>0</v>
          </cell>
          <cell r="X7248" t="str">
            <v>0</v>
          </cell>
        </row>
        <row r="7249">
          <cell r="I7249" t="str">
            <v>met</v>
          </cell>
          <cell r="V7249" t="str">
            <v>0</v>
          </cell>
          <cell r="W7249">
            <v>0</v>
          </cell>
          <cell r="X7249" t="str">
            <v>0</v>
          </cell>
        </row>
        <row r="7250">
          <cell r="I7250" t="str">
            <v>met</v>
          </cell>
          <cell r="V7250" t="str">
            <v>0</v>
          </cell>
          <cell r="W7250">
            <v>0</v>
          </cell>
          <cell r="X7250" t="str">
            <v>0</v>
          </cell>
        </row>
        <row r="7251">
          <cell r="I7251" t="str">
            <v>met</v>
          </cell>
          <cell r="V7251" t="str">
            <v>0</v>
          </cell>
          <cell r="W7251">
            <v>0</v>
          </cell>
          <cell r="X7251" t="str">
            <v>0</v>
          </cell>
        </row>
        <row r="7252">
          <cell r="I7252" t="str">
            <v>sim</v>
          </cell>
          <cell r="V7252" t="str">
            <v>not</v>
          </cell>
          <cell r="W7252">
            <v>1</v>
          </cell>
          <cell r="X7252" t="str">
            <v>intens</v>
          </cell>
        </row>
        <row r="7253">
          <cell r="I7253" t="str">
            <v>sim</v>
          </cell>
          <cell r="V7253" t="str">
            <v>not</v>
          </cell>
          <cell r="W7253">
            <v>1</v>
          </cell>
          <cell r="X7253" t="str">
            <v>neg</v>
          </cell>
        </row>
        <row r="7254">
          <cell r="I7254" t="str">
            <v>sim</v>
          </cell>
          <cell r="V7254" t="str">
            <v>not</v>
          </cell>
          <cell r="W7254">
            <v>1</v>
          </cell>
          <cell r="X7254" t="str">
            <v>intens</v>
          </cell>
        </row>
        <row r="7255">
          <cell r="I7255" t="str">
            <v>sim</v>
          </cell>
          <cell r="V7255" t="str">
            <v>not</v>
          </cell>
          <cell r="W7255">
            <v>1</v>
          </cell>
          <cell r="X7255" t="str">
            <v>neg</v>
          </cell>
        </row>
        <row r="7256">
          <cell r="I7256" t="str">
            <v>met</v>
          </cell>
          <cell r="V7256" t="str">
            <v>0</v>
          </cell>
          <cell r="W7256">
            <v>0</v>
          </cell>
          <cell r="X7256" t="str">
            <v>0</v>
          </cell>
        </row>
        <row r="7257">
          <cell r="I7257" t="str">
            <v>met</v>
          </cell>
          <cell r="V7257" t="str">
            <v>0</v>
          </cell>
          <cell r="W7257">
            <v>0</v>
          </cell>
          <cell r="X7257" t="str">
            <v>0</v>
          </cell>
        </row>
        <row r="7258">
          <cell r="I7258" t="str">
            <v>met</v>
          </cell>
          <cell r="V7258" t="str">
            <v>0</v>
          </cell>
          <cell r="W7258">
            <v>0</v>
          </cell>
          <cell r="X7258" t="str">
            <v>0</v>
          </cell>
        </row>
        <row r="7259">
          <cell r="I7259" t="str">
            <v>met</v>
          </cell>
          <cell r="V7259" t="str">
            <v>0</v>
          </cell>
          <cell r="W7259">
            <v>0</v>
          </cell>
          <cell r="X7259" t="str">
            <v>0</v>
          </cell>
        </row>
        <row r="7260">
          <cell r="I7260" t="str">
            <v>met</v>
          </cell>
          <cell r="V7260" t="str">
            <v>0</v>
          </cell>
          <cell r="W7260">
            <v>0</v>
          </cell>
          <cell r="X7260" t="str">
            <v>0</v>
          </cell>
        </row>
        <row r="7261">
          <cell r="I7261" t="str">
            <v>met</v>
          </cell>
          <cell r="V7261" t="str">
            <v>0</v>
          </cell>
          <cell r="W7261">
            <v>0</v>
          </cell>
          <cell r="X7261" t="str">
            <v>0</v>
          </cell>
        </row>
        <row r="7262">
          <cell r="I7262" t="str">
            <v>met</v>
          </cell>
          <cell r="V7262" t="str">
            <v>0</v>
          </cell>
          <cell r="W7262">
            <v>0</v>
          </cell>
          <cell r="X7262" t="str">
            <v>0</v>
          </cell>
        </row>
        <row r="7263">
          <cell r="I7263" t="str">
            <v>met</v>
          </cell>
          <cell r="V7263" t="str">
            <v>0</v>
          </cell>
          <cell r="W7263">
            <v>0</v>
          </cell>
          <cell r="X7263" t="str">
            <v>0</v>
          </cell>
        </row>
        <row r="7264">
          <cell r="I7264" t="str">
            <v>met</v>
          </cell>
          <cell r="V7264" t="str">
            <v>0</v>
          </cell>
          <cell r="W7264">
            <v>0</v>
          </cell>
          <cell r="X7264" t="str">
            <v>0</v>
          </cell>
        </row>
        <row r="7265">
          <cell r="I7265" t="str">
            <v>met</v>
          </cell>
          <cell r="V7265" t="str">
            <v>0</v>
          </cell>
          <cell r="W7265">
            <v>0</v>
          </cell>
          <cell r="X7265" t="str">
            <v>0</v>
          </cell>
        </row>
        <row r="7266">
          <cell r="I7266" t="str">
            <v>met</v>
          </cell>
          <cell r="V7266" t="str">
            <v>0</v>
          </cell>
          <cell r="W7266">
            <v>0</v>
          </cell>
          <cell r="X7266" t="str">
            <v>0</v>
          </cell>
        </row>
        <row r="7267">
          <cell r="I7267" t="str">
            <v>met</v>
          </cell>
          <cell r="V7267" t="str">
            <v>0</v>
          </cell>
          <cell r="W7267">
            <v>0</v>
          </cell>
          <cell r="X7267" t="str">
            <v>0</v>
          </cell>
        </row>
        <row r="7268">
          <cell r="I7268" t="str">
            <v>sim</v>
          </cell>
          <cell r="V7268" t="str">
            <v>not neg pair</v>
          </cell>
          <cell r="W7268">
            <v>0</v>
          </cell>
          <cell r="X7268" t="str">
            <v>0</v>
          </cell>
        </row>
        <row r="7269">
          <cell r="I7269" t="str">
            <v>sim</v>
          </cell>
          <cell r="V7269" t="str">
            <v>not neg pair</v>
          </cell>
          <cell r="W7269">
            <v>0</v>
          </cell>
          <cell r="X7269" t="str">
            <v>0</v>
          </cell>
        </row>
        <row r="7270">
          <cell r="I7270" t="str">
            <v>sim</v>
          </cell>
          <cell r="V7270" t="str">
            <v>not neg pair</v>
          </cell>
          <cell r="W7270">
            <v>0</v>
          </cell>
          <cell r="X7270" t="str">
            <v>0</v>
          </cell>
        </row>
        <row r="7271">
          <cell r="I7271" t="str">
            <v>sim</v>
          </cell>
          <cell r="V7271" t="str">
            <v>not neg pair</v>
          </cell>
          <cell r="W7271">
            <v>0</v>
          </cell>
          <cell r="X7271" t="str">
            <v>0</v>
          </cell>
        </row>
        <row r="7272">
          <cell r="I7272" t="str">
            <v>sim</v>
          </cell>
          <cell r="V7272" t="str">
            <v>not neg pair</v>
          </cell>
          <cell r="W7272">
            <v>0</v>
          </cell>
          <cell r="X7272" t="str">
            <v>0</v>
          </cell>
        </row>
        <row r="7273">
          <cell r="I7273" t="str">
            <v>met</v>
          </cell>
          <cell r="V7273" t="str">
            <v>0</v>
          </cell>
          <cell r="W7273">
            <v>0</v>
          </cell>
          <cell r="X7273" t="str">
            <v>0</v>
          </cell>
        </row>
        <row r="7274">
          <cell r="I7274" t="str">
            <v>sim</v>
          </cell>
          <cell r="V7274" t="str">
            <v>not</v>
          </cell>
          <cell r="W7274">
            <v>1</v>
          </cell>
          <cell r="X7274" t="str">
            <v>intens</v>
          </cell>
        </row>
        <row r="7275">
          <cell r="I7275" t="str">
            <v>sim</v>
          </cell>
          <cell r="V7275" t="str">
            <v>not</v>
          </cell>
          <cell r="W7275">
            <v>1</v>
          </cell>
          <cell r="X7275" t="str">
            <v>neg</v>
          </cell>
        </row>
        <row r="7276">
          <cell r="I7276" t="str">
            <v>sim</v>
          </cell>
          <cell r="V7276" t="str">
            <v>not</v>
          </cell>
          <cell r="W7276">
            <v>1</v>
          </cell>
          <cell r="X7276" t="str">
            <v>intens</v>
          </cell>
        </row>
        <row r="7277">
          <cell r="I7277" t="str">
            <v>sim</v>
          </cell>
          <cell r="V7277" t="str">
            <v>not</v>
          </cell>
          <cell r="W7277">
            <v>1</v>
          </cell>
          <cell r="X7277" t="str">
            <v>neg</v>
          </cell>
        </row>
        <row r="7278">
          <cell r="I7278" t="str">
            <v>sim</v>
          </cell>
          <cell r="V7278" t="str">
            <v>not neg pair</v>
          </cell>
          <cell r="W7278">
            <v>0</v>
          </cell>
          <cell r="X7278" t="str">
            <v>0</v>
          </cell>
        </row>
        <row r="7279">
          <cell r="I7279" t="str">
            <v>sim</v>
          </cell>
          <cell r="V7279" t="str">
            <v>not neg pair</v>
          </cell>
          <cell r="W7279">
            <v>0</v>
          </cell>
          <cell r="X7279" t="str">
            <v>0</v>
          </cell>
        </row>
        <row r="7280">
          <cell r="I7280" t="str">
            <v>sim</v>
          </cell>
          <cell r="V7280" t="str">
            <v>not</v>
          </cell>
          <cell r="W7280">
            <v>1</v>
          </cell>
          <cell r="X7280" t="str">
            <v>intens</v>
          </cell>
        </row>
        <row r="7281">
          <cell r="I7281" t="str">
            <v>sim</v>
          </cell>
          <cell r="V7281" t="str">
            <v>not</v>
          </cell>
          <cell r="W7281">
            <v>1</v>
          </cell>
          <cell r="X7281" t="str">
            <v>neg</v>
          </cell>
        </row>
        <row r="7282">
          <cell r="I7282" t="str">
            <v>sim</v>
          </cell>
          <cell r="V7282" t="str">
            <v>not</v>
          </cell>
          <cell r="W7282">
            <v>1</v>
          </cell>
          <cell r="X7282" t="str">
            <v>intens</v>
          </cell>
        </row>
        <row r="7283">
          <cell r="I7283" t="str">
            <v>sim</v>
          </cell>
          <cell r="V7283" t="str">
            <v>not</v>
          </cell>
          <cell r="W7283">
            <v>1</v>
          </cell>
          <cell r="X7283" t="str">
            <v>neg</v>
          </cell>
        </row>
        <row r="7284">
          <cell r="I7284" t="str">
            <v>sim</v>
          </cell>
          <cell r="V7284" t="str">
            <v>not</v>
          </cell>
          <cell r="W7284">
            <v>1</v>
          </cell>
          <cell r="X7284" t="str">
            <v>neg</v>
          </cell>
        </row>
        <row r="7285">
          <cell r="I7285" t="str">
            <v>sim</v>
          </cell>
          <cell r="V7285" t="str">
            <v>not</v>
          </cell>
          <cell r="W7285">
            <v>1</v>
          </cell>
          <cell r="X7285" t="str">
            <v>intens</v>
          </cell>
        </row>
        <row r="7286">
          <cell r="I7286" t="str">
            <v>sim</v>
          </cell>
          <cell r="V7286" t="str">
            <v>not neg pair</v>
          </cell>
          <cell r="W7286">
            <v>0</v>
          </cell>
          <cell r="X7286" t="str">
            <v>0</v>
          </cell>
        </row>
        <row r="7287">
          <cell r="I7287" t="str">
            <v>sim</v>
          </cell>
          <cell r="V7287" t="str">
            <v>not neg pair</v>
          </cell>
          <cell r="W7287">
            <v>0</v>
          </cell>
          <cell r="X7287" t="str">
            <v>0</v>
          </cell>
        </row>
        <row r="7288">
          <cell r="I7288" t="str">
            <v>sim</v>
          </cell>
          <cell r="V7288" t="str">
            <v>not</v>
          </cell>
          <cell r="W7288">
            <v>1</v>
          </cell>
          <cell r="X7288" t="str">
            <v>neg</v>
          </cell>
        </row>
        <row r="7289">
          <cell r="I7289" t="str">
            <v>sim</v>
          </cell>
          <cell r="V7289" t="str">
            <v>not</v>
          </cell>
          <cell r="W7289">
            <v>1</v>
          </cell>
          <cell r="X7289" t="str">
            <v>intens</v>
          </cell>
        </row>
        <row r="7290">
          <cell r="I7290" t="str">
            <v>met</v>
          </cell>
          <cell r="V7290" t="str">
            <v>0</v>
          </cell>
          <cell r="W7290">
            <v>0</v>
          </cell>
          <cell r="X7290" t="str">
            <v>0</v>
          </cell>
        </row>
        <row r="7291">
          <cell r="I7291" t="str">
            <v>met</v>
          </cell>
          <cell r="V7291" t="str">
            <v>0</v>
          </cell>
          <cell r="W7291">
            <v>0</v>
          </cell>
          <cell r="X7291" t="str">
            <v>0</v>
          </cell>
        </row>
        <row r="7292">
          <cell r="I7292" t="str">
            <v>sim</v>
          </cell>
          <cell r="V7292" t="str">
            <v>not neg pair</v>
          </cell>
          <cell r="W7292">
            <v>0</v>
          </cell>
          <cell r="X7292" t="str">
            <v>0</v>
          </cell>
        </row>
        <row r="7293">
          <cell r="I7293" t="str">
            <v>sim</v>
          </cell>
          <cell r="V7293" t="str">
            <v>not neg pair</v>
          </cell>
          <cell r="W7293">
            <v>0</v>
          </cell>
          <cell r="X7293" t="str">
            <v>0</v>
          </cell>
        </row>
        <row r="7294">
          <cell r="I7294" t="str">
            <v>sim</v>
          </cell>
          <cell r="V7294" t="str">
            <v>antonym</v>
          </cell>
          <cell r="W7294">
            <v>1</v>
          </cell>
          <cell r="X7294" t="str">
            <v>intens</v>
          </cell>
        </row>
        <row r="7295">
          <cell r="I7295" t="str">
            <v>sim</v>
          </cell>
          <cell r="V7295" t="str">
            <v>antonym</v>
          </cell>
          <cell r="W7295">
            <v>1</v>
          </cell>
          <cell r="X7295" t="str">
            <v>neg</v>
          </cell>
        </row>
        <row r="7296">
          <cell r="I7296" t="str">
            <v>sim</v>
          </cell>
          <cell r="V7296" t="str">
            <v>not neg pair</v>
          </cell>
          <cell r="W7296">
            <v>0</v>
          </cell>
          <cell r="X7296" t="str">
            <v>0</v>
          </cell>
        </row>
        <row r="7297">
          <cell r="I7297" t="str">
            <v>sim</v>
          </cell>
          <cell r="V7297" t="str">
            <v>not neg pair</v>
          </cell>
          <cell r="W7297">
            <v>0</v>
          </cell>
          <cell r="X7297" t="str">
            <v>0</v>
          </cell>
        </row>
        <row r="7298">
          <cell r="I7298" t="str">
            <v>sim</v>
          </cell>
          <cell r="V7298" t="str">
            <v>not</v>
          </cell>
          <cell r="W7298">
            <v>1</v>
          </cell>
          <cell r="X7298" t="str">
            <v>intens</v>
          </cell>
        </row>
        <row r="7299">
          <cell r="I7299" t="str">
            <v>sim</v>
          </cell>
          <cell r="V7299" t="str">
            <v>not</v>
          </cell>
          <cell r="W7299">
            <v>1</v>
          </cell>
          <cell r="X7299" t="str">
            <v>neg</v>
          </cell>
        </row>
        <row r="7300">
          <cell r="I7300" t="str">
            <v>sim</v>
          </cell>
          <cell r="V7300" t="str">
            <v>not neg pair</v>
          </cell>
          <cell r="W7300">
            <v>0</v>
          </cell>
          <cell r="X7300" t="str">
            <v>0</v>
          </cell>
        </row>
        <row r="7301">
          <cell r="I7301" t="str">
            <v>sim</v>
          </cell>
          <cell r="V7301" t="str">
            <v>not neg pair</v>
          </cell>
          <cell r="W7301">
            <v>0</v>
          </cell>
          <cell r="X7301" t="str">
            <v>0</v>
          </cell>
        </row>
        <row r="7302">
          <cell r="I7302" t="str">
            <v>sim</v>
          </cell>
          <cell r="V7302" t="str">
            <v>not</v>
          </cell>
          <cell r="W7302">
            <v>1</v>
          </cell>
          <cell r="X7302" t="str">
            <v>neg</v>
          </cell>
        </row>
        <row r="7303">
          <cell r="I7303" t="str">
            <v>sim</v>
          </cell>
          <cell r="V7303" t="str">
            <v>not</v>
          </cell>
          <cell r="W7303">
            <v>1</v>
          </cell>
          <cell r="X7303" t="str">
            <v>intens</v>
          </cell>
        </row>
        <row r="7304">
          <cell r="I7304" t="str">
            <v>sim</v>
          </cell>
          <cell r="V7304" t="str">
            <v>not</v>
          </cell>
          <cell r="W7304">
            <v>1</v>
          </cell>
          <cell r="X7304" t="str">
            <v>neg</v>
          </cell>
        </row>
        <row r="7305">
          <cell r="I7305" t="str">
            <v>sim</v>
          </cell>
          <cell r="V7305" t="str">
            <v>not</v>
          </cell>
          <cell r="W7305">
            <v>1</v>
          </cell>
          <cell r="X7305" t="str">
            <v>intens</v>
          </cell>
        </row>
        <row r="7306">
          <cell r="I7306" t="str">
            <v>sim</v>
          </cell>
          <cell r="V7306" t="str">
            <v>not</v>
          </cell>
          <cell r="W7306">
            <v>1</v>
          </cell>
          <cell r="X7306" t="str">
            <v>neg</v>
          </cell>
        </row>
        <row r="7307">
          <cell r="I7307" t="str">
            <v>sim</v>
          </cell>
          <cell r="V7307" t="str">
            <v>not</v>
          </cell>
          <cell r="W7307">
            <v>1</v>
          </cell>
          <cell r="X7307" t="str">
            <v>intens</v>
          </cell>
        </row>
        <row r="7308">
          <cell r="I7308" t="str">
            <v>sim</v>
          </cell>
          <cell r="V7308" t="str">
            <v>not neg pair</v>
          </cell>
          <cell r="W7308">
            <v>0</v>
          </cell>
          <cell r="X7308" t="str">
            <v>0</v>
          </cell>
        </row>
        <row r="7309">
          <cell r="I7309" t="str">
            <v>sim</v>
          </cell>
          <cell r="V7309" t="str">
            <v>not neg pair</v>
          </cell>
          <cell r="W7309">
            <v>0</v>
          </cell>
          <cell r="X7309" t="str">
            <v>0</v>
          </cell>
        </row>
        <row r="7310">
          <cell r="I7310" t="str">
            <v>sim</v>
          </cell>
          <cell r="V7310" t="str">
            <v>not neg pair</v>
          </cell>
          <cell r="W7310">
            <v>0</v>
          </cell>
          <cell r="X7310" t="str">
            <v>0</v>
          </cell>
        </row>
        <row r="7311">
          <cell r="I7311" t="str">
            <v>sim</v>
          </cell>
          <cell r="V7311" t="str">
            <v>not neg pair</v>
          </cell>
          <cell r="W7311">
            <v>0</v>
          </cell>
          <cell r="X7311" t="str">
            <v>0</v>
          </cell>
        </row>
        <row r="7312">
          <cell r="I7312" t="str">
            <v>met</v>
          </cell>
          <cell r="V7312" t="str">
            <v>0</v>
          </cell>
          <cell r="W7312">
            <v>0</v>
          </cell>
          <cell r="X7312" t="str">
            <v>0</v>
          </cell>
        </row>
        <row r="7313">
          <cell r="I7313" t="str">
            <v>met</v>
          </cell>
          <cell r="V7313" t="str">
            <v>0</v>
          </cell>
          <cell r="W7313">
            <v>0</v>
          </cell>
          <cell r="X7313" t="str">
            <v>0</v>
          </cell>
        </row>
        <row r="7314">
          <cell r="I7314" t="str">
            <v>sim</v>
          </cell>
          <cell r="V7314" t="str">
            <v>not neg pair</v>
          </cell>
          <cell r="W7314">
            <v>0</v>
          </cell>
          <cell r="X7314" t="str">
            <v>0</v>
          </cell>
        </row>
        <row r="7315">
          <cell r="I7315" t="str">
            <v>sim</v>
          </cell>
          <cell r="V7315" t="str">
            <v>not neg pair</v>
          </cell>
          <cell r="W7315">
            <v>0</v>
          </cell>
          <cell r="X7315" t="str">
            <v>0</v>
          </cell>
        </row>
        <row r="7316">
          <cell r="I7316" t="str">
            <v>sim</v>
          </cell>
          <cell r="V7316" t="str">
            <v>not neg pair</v>
          </cell>
          <cell r="W7316">
            <v>0</v>
          </cell>
          <cell r="X7316" t="str">
            <v>0</v>
          </cell>
        </row>
        <row r="7317">
          <cell r="I7317" t="str">
            <v>sim</v>
          </cell>
          <cell r="V7317" t="str">
            <v>not neg pair</v>
          </cell>
          <cell r="W7317">
            <v>0</v>
          </cell>
          <cell r="X7317" t="str">
            <v>0</v>
          </cell>
        </row>
        <row r="7318">
          <cell r="I7318" t="str">
            <v>sim</v>
          </cell>
          <cell r="V7318" t="str">
            <v>not neg pair</v>
          </cell>
          <cell r="W7318">
            <v>0</v>
          </cell>
          <cell r="X7318" t="str">
            <v>0</v>
          </cell>
        </row>
        <row r="7319">
          <cell r="I7319" t="str">
            <v>sim</v>
          </cell>
          <cell r="V7319" t="str">
            <v>not neg pair</v>
          </cell>
          <cell r="W7319">
            <v>0</v>
          </cell>
          <cell r="X7319" t="str">
            <v>0</v>
          </cell>
        </row>
        <row r="7320">
          <cell r="I7320" t="str">
            <v>sim</v>
          </cell>
          <cell r="V7320" t="str">
            <v>not neg pair</v>
          </cell>
          <cell r="W7320">
            <v>0</v>
          </cell>
          <cell r="X7320" t="str">
            <v>0</v>
          </cell>
        </row>
        <row r="7321">
          <cell r="I7321" t="str">
            <v>sim</v>
          </cell>
          <cell r="V7321" t="str">
            <v>not neg pair</v>
          </cell>
          <cell r="W7321">
            <v>0</v>
          </cell>
          <cell r="X7321" t="str">
            <v>0</v>
          </cell>
        </row>
        <row r="7322">
          <cell r="I7322" t="str">
            <v>sim</v>
          </cell>
          <cell r="V7322" t="str">
            <v>not neg pair</v>
          </cell>
          <cell r="W7322">
            <v>0</v>
          </cell>
          <cell r="X7322" t="str">
            <v>0</v>
          </cell>
        </row>
        <row r="7323">
          <cell r="I7323" t="str">
            <v>sim</v>
          </cell>
          <cell r="V7323" t="str">
            <v>not neg pair</v>
          </cell>
          <cell r="W7323">
            <v>0</v>
          </cell>
          <cell r="X7323" t="str">
            <v>0</v>
          </cell>
        </row>
        <row r="7324">
          <cell r="I7324" t="str">
            <v>sim</v>
          </cell>
          <cell r="V7324" t="str">
            <v>antonym</v>
          </cell>
          <cell r="W7324">
            <v>1</v>
          </cell>
          <cell r="X7324" t="str">
            <v>intens</v>
          </cell>
        </row>
        <row r="7325">
          <cell r="I7325" t="str">
            <v>sim</v>
          </cell>
          <cell r="V7325" t="str">
            <v>antonym</v>
          </cell>
          <cell r="W7325">
            <v>1</v>
          </cell>
          <cell r="X7325" t="str">
            <v>neg</v>
          </cell>
        </row>
        <row r="7326">
          <cell r="I7326" t="str">
            <v>sim</v>
          </cell>
          <cell r="V7326" t="str">
            <v>not neg pair</v>
          </cell>
          <cell r="W7326">
            <v>0</v>
          </cell>
          <cell r="X7326" t="str">
            <v>0</v>
          </cell>
        </row>
        <row r="7327">
          <cell r="I7327" t="str">
            <v>sim</v>
          </cell>
          <cell r="V7327" t="str">
            <v>not neg pair</v>
          </cell>
          <cell r="W7327">
            <v>0</v>
          </cell>
          <cell r="X7327" t="str">
            <v>0</v>
          </cell>
        </row>
        <row r="7328">
          <cell r="I7328" t="str">
            <v>sim</v>
          </cell>
          <cell r="V7328" t="str">
            <v>not neg pair</v>
          </cell>
          <cell r="W7328">
            <v>0</v>
          </cell>
          <cell r="X7328" t="str">
            <v>0</v>
          </cell>
        </row>
        <row r="7329">
          <cell r="I7329" t="str">
            <v>sim</v>
          </cell>
          <cell r="V7329" t="str">
            <v>not neg pair</v>
          </cell>
          <cell r="W7329">
            <v>0</v>
          </cell>
          <cell r="X7329" t="str">
            <v>0</v>
          </cell>
        </row>
        <row r="7330">
          <cell r="I7330" t="str">
            <v>sim</v>
          </cell>
          <cell r="V7330" t="str">
            <v>not neg pair</v>
          </cell>
          <cell r="W7330">
            <v>0</v>
          </cell>
          <cell r="X7330" t="str">
            <v>0</v>
          </cell>
        </row>
        <row r="7331">
          <cell r="I7331" t="str">
            <v>sim</v>
          </cell>
          <cell r="V7331" t="str">
            <v>not neg pair</v>
          </cell>
          <cell r="W7331">
            <v>0</v>
          </cell>
          <cell r="X7331" t="str">
            <v>0</v>
          </cell>
        </row>
        <row r="7332">
          <cell r="I7332" t="str">
            <v>sim</v>
          </cell>
          <cell r="V7332" t="str">
            <v>not</v>
          </cell>
          <cell r="W7332">
            <v>1</v>
          </cell>
          <cell r="X7332" t="str">
            <v>neg</v>
          </cell>
        </row>
        <row r="7333">
          <cell r="I7333" t="str">
            <v>sim</v>
          </cell>
          <cell r="V7333" t="str">
            <v>not</v>
          </cell>
          <cell r="W7333">
            <v>1</v>
          </cell>
          <cell r="X7333" t="str">
            <v>intens</v>
          </cell>
        </row>
        <row r="7334">
          <cell r="I7334" t="str">
            <v>sim</v>
          </cell>
          <cell r="V7334" t="str">
            <v>not</v>
          </cell>
          <cell r="W7334">
            <v>1</v>
          </cell>
          <cell r="X7334" t="str">
            <v>neg</v>
          </cell>
        </row>
        <row r="7335">
          <cell r="I7335" t="str">
            <v>sim</v>
          </cell>
          <cell r="V7335" t="str">
            <v>not</v>
          </cell>
          <cell r="W7335">
            <v>1</v>
          </cell>
          <cell r="X7335" t="str">
            <v>intens</v>
          </cell>
        </row>
        <row r="7336">
          <cell r="I7336" t="str">
            <v>sim</v>
          </cell>
          <cell r="V7336" t="str">
            <v>not</v>
          </cell>
          <cell r="W7336">
            <v>1</v>
          </cell>
          <cell r="X7336" t="str">
            <v>intens</v>
          </cell>
        </row>
        <row r="7337">
          <cell r="I7337" t="str">
            <v>sim</v>
          </cell>
          <cell r="V7337" t="str">
            <v>not</v>
          </cell>
          <cell r="W7337">
            <v>1</v>
          </cell>
          <cell r="X7337" t="str">
            <v>neg</v>
          </cell>
        </row>
        <row r="7338">
          <cell r="I7338" t="str">
            <v>sim</v>
          </cell>
          <cell r="V7338" t="str">
            <v>not neg pair</v>
          </cell>
          <cell r="W7338">
            <v>0</v>
          </cell>
          <cell r="X7338" t="str">
            <v>0</v>
          </cell>
        </row>
        <row r="7339">
          <cell r="I7339" t="str">
            <v>sim</v>
          </cell>
          <cell r="V7339" t="str">
            <v>not neg pair</v>
          </cell>
          <cell r="W7339">
            <v>0</v>
          </cell>
          <cell r="X7339" t="str">
            <v>0</v>
          </cell>
        </row>
        <row r="7340">
          <cell r="I7340" t="str">
            <v>sim</v>
          </cell>
          <cell r="V7340" t="str">
            <v>not neg pair</v>
          </cell>
          <cell r="W7340">
            <v>0</v>
          </cell>
          <cell r="X7340" t="str">
            <v>0</v>
          </cell>
        </row>
        <row r="7341">
          <cell r="I7341" t="str">
            <v>sim</v>
          </cell>
          <cell r="V7341" t="str">
            <v>not neg pair</v>
          </cell>
          <cell r="W7341">
            <v>0</v>
          </cell>
          <cell r="X7341" t="str">
            <v>0</v>
          </cell>
        </row>
        <row r="7342">
          <cell r="I7342" t="str">
            <v>sim</v>
          </cell>
          <cell r="V7342" t="str">
            <v>antonym</v>
          </cell>
          <cell r="W7342">
            <v>1</v>
          </cell>
          <cell r="X7342" t="str">
            <v>neg</v>
          </cell>
        </row>
        <row r="7343">
          <cell r="I7343" t="str">
            <v>sim</v>
          </cell>
          <cell r="V7343" t="str">
            <v>antonym</v>
          </cell>
          <cell r="W7343">
            <v>1</v>
          </cell>
          <cell r="X7343" t="str">
            <v>intens</v>
          </cell>
        </row>
        <row r="7344">
          <cell r="I7344" t="str">
            <v>sim</v>
          </cell>
          <cell r="V7344" t="str">
            <v>not</v>
          </cell>
          <cell r="W7344">
            <v>1</v>
          </cell>
          <cell r="X7344" t="str">
            <v>intens</v>
          </cell>
        </row>
        <row r="7345">
          <cell r="I7345" t="str">
            <v>sim</v>
          </cell>
          <cell r="V7345" t="str">
            <v>not</v>
          </cell>
          <cell r="W7345">
            <v>1</v>
          </cell>
          <cell r="X7345" t="str">
            <v>neg</v>
          </cell>
        </row>
        <row r="7346">
          <cell r="I7346" t="str">
            <v>sim</v>
          </cell>
          <cell r="V7346" t="str">
            <v>not neg pair</v>
          </cell>
          <cell r="W7346">
            <v>0</v>
          </cell>
          <cell r="X7346" t="str">
            <v>0</v>
          </cell>
        </row>
        <row r="7347">
          <cell r="I7347" t="str">
            <v>sim</v>
          </cell>
          <cell r="V7347" t="str">
            <v>not neg pair</v>
          </cell>
          <cell r="W7347">
            <v>0</v>
          </cell>
          <cell r="X7347" t="str">
            <v>0</v>
          </cell>
        </row>
        <row r="7348">
          <cell r="I7348" t="str">
            <v>sim</v>
          </cell>
          <cell r="V7348" t="str">
            <v>not neg pair</v>
          </cell>
          <cell r="W7348">
            <v>0</v>
          </cell>
          <cell r="X7348" t="str">
            <v>0</v>
          </cell>
        </row>
        <row r="7349">
          <cell r="I7349" t="str">
            <v>sim</v>
          </cell>
          <cell r="V7349" t="str">
            <v>not neg pair</v>
          </cell>
          <cell r="W7349">
            <v>0</v>
          </cell>
          <cell r="X7349" t="str">
            <v>0</v>
          </cell>
        </row>
        <row r="7350">
          <cell r="I7350" t="str">
            <v>sim</v>
          </cell>
          <cell r="V7350" t="str">
            <v>not neg pair</v>
          </cell>
          <cell r="W7350">
            <v>0</v>
          </cell>
          <cell r="X7350" t="str">
            <v>0</v>
          </cell>
        </row>
        <row r="7351">
          <cell r="I7351" t="str">
            <v>sim</v>
          </cell>
          <cell r="V7351" t="str">
            <v>not neg pair</v>
          </cell>
          <cell r="W7351">
            <v>0</v>
          </cell>
          <cell r="X7351" t="str">
            <v>0</v>
          </cell>
        </row>
        <row r="7352">
          <cell r="I7352" t="str">
            <v>sim</v>
          </cell>
          <cell r="V7352" t="str">
            <v>not</v>
          </cell>
          <cell r="W7352">
            <v>1</v>
          </cell>
          <cell r="X7352" t="str">
            <v>intens</v>
          </cell>
        </row>
        <row r="7353">
          <cell r="I7353" t="str">
            <v>sim</v>
          </cell>
          <cell r="V7353" t="str">
            <v>not</v>
          </cell>
          <cell r="W7353">
            <v>1</v>
          </cell>
          <cell r="X7353" t="str">
            <v>neg</v>
          </cell>
        </row>
        <row r="7354">
          <cell r="I7354" t="str">
            <v>met</v>
          </cell>
          <cell r="V7354" t="str">
            <v>0</v>
          </cell>
          <cell r="W7354">
            <v>0</v>
          </cell>
          <cell r="X7354" t="str">
            <v>0</v>
          </cell>
        </row>
        <row r="7355">
          <cell r="I7355" t="str">
            <v>met</v>
          </cell>
          <cell r="V7355" t="str">
            <v>0</v>
          </cell>
          <cell r="W7355">
            <v>0</v>
          </cell>
          <cell r="X7355" t="str">
            <v>0</v>
          </cell>
        </row>
        <row r="7356">
          <cell r="I7356" t="str">
            <v>met</v>
          </cell>
          <cell r="V7356" t="str">
            <v>0</v>
          </cell>
          <cell r="W7356">
            <v>0</v>
          </cell>
          <cell r="X7356" t="str">
            <v>0</v>
          </cell>
        </row>
        <row r="7357">
          <cell r="I7357" t="str">
            <v>met</v>
          </cell>
          <cell r="V7357" t="str">
            <v>0</v>
          </cell>
          <cell r="W7357">
            <v>0</v>
          </cell>
          <cell r="X7357" t="str">
            <v>0</v>
          </cell>
        </row>
        <row r="7358">
          <cell r="I7358" t="str">
            <v>met</v>
          </cell>
          <cell r="V7358" t="str">
            <v>0</v>
          </cell>
          <cell r="W7358">
            <v>0</v>
          </cell>
          <cell r="X7358" t="str">
            <v>0</v>
          </cell>
        </row>
        <row r="7359">
          <cell r="I7359" t="str">
            <v>sim</v>
          </cell>
          <cell r="V7359" t="str">
            <v>not neg pair</v>
          </cell>
          <cell r="W7359">
            <v>0</v>
          </cell>
          <cell r="X7359" t="str">
            <v>0</v>
          </cell>
        </row>
        <row r="7360">
          <cell r="I7360" t="str">
            <v>sim</v>
          </cell>
          <cell r="V7360" t="str">
            <v>not neg pair</v>
          </cell>
          <cell r="W7360">
            <v>0</v>
          </cell>
          <cell r="X7360" t="str">
            <v>0</v>
          </cell>
        </row>
        <row r="7361">
          <cell r="I7361" t="str">
            <v>sim</v>
          </cell>
          <cell r="V7361" t="str">
            <v>not neg pair</v>
          </cell>
          <cell r="W7361">
            <v>0</v>
          </cell>
          <cell r="X7361" t="str">
            <v>0</v>
          </cell>
        </row>
        <row r="7362">
          <cell r="I7362" t="str">
            <v>sim</v>
          </cell>
          <cell r="V7362" t="str">
            <v>not</v>
          </cell>
          <cell r="W7362">
            <v>1</v>
          </cell>
          <cell r="X7362" t="str">
            <v>neg</v>
          </cell>
        </row>
        <row r="7363">
          <cell r="I7363" t="str">
            <v>sim</v>
          </cell>
          <cell r="V7363" t="str">
            <v>not</v>
          </cell>
          <cell r="W7363">
            <v>1</v>
          </cell>
          <cell r="X7363" t="str">
            <v>intens</v>
          </cell>
        </row>
        <row r="7364">
          <cell r="I7364" t="str">
            <v>met</v>
          </cell>
          <cell r="V7364" t="str">
            <v>0</v>
          </cell>
          <cell r="W7364">
            <v>0</v>
          </cell>
          <cell r="X7364" t="str">
            <v>0</v>
          </cell>
        </row>
        <row r="7365">
          <cell r="I7365" t="str">
            <v>met</v>
          </cell>
          <cell r="V7365" t="str">
            <v>0</v>
          </cell>
          <cell r="W7365">
            <v>0</v>
          </cell>
          <cell r="X7365" t="str">
            <v>0</v>
          </cell>
        </row>
        <row r="7366">
          <cell r="I7366" t="str">
            <v>met</v>
          </cell>
          <cell r="V7366" t="str">
            <v>0</v>
          </cell>
          <cell r="W7366">
            <v>0</v>
          </cell>
          <cell r="X7366" t="str">
            <v>0</v>
          </cell>
        </row>
        <row r="7367">
          <cell r="I7367" t="str">
            <v>met</v>
          </cell>
          <cell r="V7367" t="str">
            <v>0</v>
          </cell>
          <cell r="W7367">
            <v>0</v>
          </cell>
          <cell r="X7367" t="str">
            <v>0</v>
          </cell>
        </row>
        <row r="7368">
          <cell r="I7368" t="str">
            <v>sim</v>
          </cell>
          <cell r="V7368" t="str">
            <v>not neg pair</v>
          </cell>
          <cell r="W7368">
            <v>0</v>
          </cell>
          <cell r="X7368" t="str">
            <v>0</v>
          </cell>
        </row>
        <row r="7369">
          <cell r="I7369" t="str">
            <v>sim</v>
          </cell>
          <cell r="V7369" t="str">
            <v>not neg pair</v>
          </cell>
          <cell r="W7369">
            <v>0</v>
          </cell>
          <cell r="X7369" t="str">
            <v>0</v>
          </cell>
        </row>
        <row r="7370">
          <cell r="I7370" t="str">
            <v>met</v>
          </cell>
          <cell r="V7370" t="str">
            <v>0</v>
          </cell>
          <cell r="W7370">
            <v>0</v>
          </cell>
          <cell r="X7370" t="str">
            <v>0</v>
          </cell>
        </row>
        <row r="7371">
          <cell r="I7371" t="str">
            <v>met</v>
          </cell>
          <cell r="V7371" t="str">
            <v>0</v>
          </cell>
          <cell r="W7371">
            <v>0</v>
          </cell>
          <cell r="X7371" t="str">
            <v>0</v>
          </cell>
        </row>
        <row r="7372">
          <cell r="I7372" t="str">
            <v>met</v>
          </cell>
          <cell r="V7372" t="str">
            <v>0</v>
          </cell>
          <cell r="W7372">
            <v>0</v>
          </cell>
          <cell r="X7372" t="str">
            <v>0</v>
          </cell>
        </row>
        <row r="7373">
          <cell r="I7373" t="str">
            <v>met</v>
          </cell>
          <cell r="V7373" t="str">
            <v>0</v>
          </cell>
          <cell r="W7373">
            <v>0</v>
          </cell>
          <cell r="X7373" t="str">
            <v>0</v>
          </cell>
        </row>
        <row r="7374">
          <cell r="I7374" t="str">
            <v>met</v>
          </cell>
          <cell r="V7374" t="str">
            <v>0</v>
          </cell>
          <cell r="W7374">
            <v>0</v>
          </cell>
          <cell r="X7374" t="str">
            <v>0</v>
          </cell>
        </row>
        <row r="7375">
          <cell r="I7375" t="str">
            <v>met</v>
          </cell>
          <cell r="V7375" t="str">
            <v>0</v>
          </cell>
          <cell r="W7375">
            <v>0</v>
          </cell>
          <cell r="X7375" t="str">
            <v>0</v>
          </cell>
        </row>
        <row r="7376">
          <cell r="I7376" t="str">
            <v>sim</v>
          </cell>
          <cell r="V7376" t="str">
            <v>not neg pair</v>
          </cell>
          <cell r="W7376">
            <v>0</v>
          </cell>
          <cell r="X7376" t="str">
            <v>0</v>
          </cell>
        </row>
        <row r="7377">
          <cell r="I7377" t="str">
            <v>sim</v>
          </cell>
          <cell r="V7377" t="str">
            <v>not neg pair</v>
          </cell>
          <cell r="W7377">
            <v>0</v>
          </cell>
          <cell r="X7377" t="str">
            <v>0</v>
          </cell>
        </row>
        <row r="7378">
          <cell r="I7378" t="str">
            <v>sim</v>
          </cell>
          <cell r="V7378" t="str">
            <v>not neg pair</v>
          </cell>
          <cell r="W7378">
            <v>0</v>
          </cell>
          <cell r="X7378" t="str">
            <v>0</v>
          </cell>
        </row>
        <row r="7379">
          <cell r="I7379" t="str">
            <v>sim</v>
          </cell>
          <cell r="V7379" t="str">
            <v>not neg pair</v>
          </cell>
          <cell r="W7379">
            <v>0</v>
          </cell>
          <cell r="X7379" t="str">
            <v>0</v>
          </cell>
        </row>
        <row r="7380">
          <cell r="I7380" t="str">
            <v>sim</v>
          </cell>
          <cell r="V7380" t="str">
            <v>not neg pair</v>
          </cell>
          <cell r="W7380">
            <v>0</v>
          </cell>
          <cell r="X7380" t="str">
            <v>0</v>
          </cell>
        </row>
        <row r="7381">
          <cell r="I7381" t="str">
            <v>sim</v>
          </cell>
          <cell r="V7381" t="str">
            <v>not neg pair</v>
          </cell>
          <cell r="W7381">
            <v>0</v>
          </cell>
          <cell r="X7381" t="str">
            <v>0</v>
          </cell>
        </row>
        <row r="7382">
          <cell r="I7382" t="str">
            <v>sim</v>
          </cell>
          <cell r="V7382" t="str">
            <v>not</v>
          </cell>
          <cell r="W7382">
            <v>1</v>
          </cell>
          <cell r="X7382" t="str">
            <v>neg</v>
          </cell>
        </row>
        <row r="7383">
          <cell r="I7383" t="str">
            <v>sim</v>
          </cell>
          <cell r="V7383" t="str">
            <v>not</v>
          </cell>
          <cell r="W7383">
            <v>1</v>
          </cell>
          <cell r="X7383" t="str">
            <v>intens</v>
          </cell>
        </row>
        <row r="7384">
          <cell r="I7384" t="str">
            <v>sim</v>
          </cell>
          <cell r="V7384" t="str">
            <v>not neg pair</v>
          </cell>
          <cell r="W7384">
            <v>0</v>
          </cell>
          <cell r="X7384" t="str">
            <v>0</v>
          </cell>
        </row>
        <row r="7385">
          <cell r="I7385" t="str">
            <v>sim</v>
          </cell>
          <cell r="V7385" t="str">
            <v>not neg pair</v>
          </cell>
          <cell r="W7385">
            <v>0</v>
          </cell>
          <cell r="X7385" t="str">
            <v>0</v>
          </cell>
        </row>
        <row r="7386">
          <cell r="I7386" t="str">
            <v>sim</v>
          </cell>
          <cell r="V7386" t="str">
            <v>not neg pair</v>
          </cell>
          <cell r="W7386">
            <v>0</v>
          </cell>
          <cell r="X7386" t="str">
            <v>0</v>
          </cell>
        </row>
        <row r="7387">
          <cell r="I7387" t="str">
            <v>sim</v>
          </cell>
          <cell r="V7387" t="str">
            <v>not neg pair</v>
          </cell>
          <cell r="W7387">
            <v>0</v>
          </cell>
          <cell r="X7387" t="str">
            <v>0</v>
          </cell>
        </row>
        <row r="7388">
          <cell r="I7388" t="str">
            <v>sim</v>
          </cell>
          <cell r="V7388" t="str">
            <v>not neg pair</v>
          </cell>
          <cell r="W7388">
            <v>0</v>
          </cell>
          <cell r="X7388" t="str">
            <v>0</v>
          </cell>
        </row>
        <row r="7389">
          <cell r="I7389" t="str">
            <v>sim</v>
          </cell>
          <cell r="V7389" t="str">
            <v>not neg pair</v>
          </cell>
          <cell r="W7389">
            <v>0</v>
          </cell>
          <cell r="X7389" t="str">
            <v>0</v>
          </cell>
        </row>
        <row r="7390">
          <cell r="I7390" t="str">
            <v>sim</v>
          </cell>
          <cell r="V7390" t="str">
            <v>not neg pair</v>
          </cell>
          <cell r="W7390">
            <v>0</v>
          </cell>
          <cell r="X7390" t="str">
            <v>0</v>
          </cell>
        </row>
        <row r="7391">
          <cell r="I7391" t="str">
            <v>sim</v>
          </cell>
          <cell r="V7391" t="str">
            <v>not neg pair</v>
          </cell>
          <cell r="W7391">
            <v>0</v>
          </cell>
          <cell r="X7391" t="str">
            <v>0</v>
          </cell>
        </row>
        <row r="7392">
          <cell r="I7392" t="str">
            <v>met</v>
          </cell>
          <cell r="V7392" t="str">
            <v>0</v>
          </cell>
          <cell r="W7392">
            <v>0</v>
          </cell>
          <cell r="X7392" t="str">
            <v>0</v>
          </cell>
        </row>
        <row r="7393">
          <cell r="I7393" t="str">
            <v>met</v>
          </cell>
          <cell r="V7393" t="str">
            <v>0</v>
          </cell>
          <cell r="W7393">
            <v>0</v>
          </cell>
          <cell r="X7393" t="str">
            <v>0</v>
          </cell>
        </row>
        <row r="7394">
          <cell r="I7394" t="str">
            <v>sim</v>
          </cell>
          <cell r="V7394" t="str">
            <v>antonym</v>
          </cell>
          <cell r="W7394">
            <v>1</v>
          </cell>
          <cell r="X7394" t="str">
            <v>intens</v>
          </cell>
        </row>
        <row r="7395">
          <cell r="I7395" t="str">
            <v>sim</v>
          </cell>
          <cell r="V7395" t="str">
            <v>antonym</v>
          </cell>
          <cell r="W7395">
            <v>1</v>
          </cell>
          <cell r="X7395" t="str">
            <v>neg</v>
          </cell>
        </row>
        <row r="7396">
          <cell r="I7396" t="str">
            <v>sim</v>
          </cell>
          <cell r="V7396" t="str">
            <v>not</v>
          </cell>
          <cell r="W7396">
            <v>1</v>
          </cell>
          <cell r="X7396" t="str">
            <v>intens</v>
          </cell>
        </row>
        <row r="7397">
          <cell r="I7397" t="str">
            <v>sim</v>
          </cell>
          <cell r="V7397" t="str">
            <v>not</v>
          </cell>
          <cell r="W7397">
            <v>1</v>
          </cell>
          <cell r="X7397" t="str">
            <v>neg</v>
          </cell>
        </row>
        <row r="7398">
          <cell r="I7398" t="str">
            <v>sim</v>
          </cell>
          <cell r="V7398" t="str">
            <v>antonym</v>
          </cell>
          <cell r="W7398">
            <v>1</v>
          </cell>
          <cell r="X7398" t="str">
            <v>neg</v>
          </cell>
        </row>
        <row r="7399">
          <cell r="I7399" t="str">
            <v>sim</v>
          </cell>
          <cell r="V7399" t="str">
            <v>antonym</v>
          </cell>
          <cell r="W7399">
            <v>1</v>
          </cell>
          <cell r="X7399" t="str">
            <v>intens</v>
          </cell>
        </row>
        <row r="7400">
          <cell r="I7400" t="str">
            <v>sim</v>
          </cell>
          <cell r="V7400" t="str">
            <v>antonym</v>
          </cell>
          <cell r="W7400">
            <v>1</v>
          </cell>
          <cell r="X7400" t="str">
            <v>neg</v>
          </cell>
        </row>
        <row r="7401">
          <cell r="I7401" t="str">
            <v>sim</v>
          </cell>
          <cell r="V7401" t="str">
            <v>antonym</v>
          </cell>
          <cell r="W7401">
            <v>1</v>
          </cell>
          <cell r="X7401" t="str">
            <v>intens</v>
          </cell>
        </row>
        <row r="7402">
          <cell r="I7402" t="str">
            <v>met</v>
          </cell>
          <cell r="V7402" t="str">
            <v>0</v>
          </cell>
          <cell r="W7402">
            <v>0</v>
          </cell>
          <cell r="X7402" t="str">
            <v>0</v>
          </cell>
        </row>
        <row r="7403">
          <cell r="I7403" t="str">
            <v>met</v>
          </cell>
          <cell r="V7403" t="str">
            <v>0</v>
          </cell>
          <cell r="W7403">
            <v>0</v>
          </cell>
          <cell r="X7403" t="str">
            <v>0</v>
          </cell>
        </row>
        <row r="7404">
          <cell r="I7404" t="str">
            <v>met</v>
          </cell>
          <cell r="V7404" t="str">
            <v>0</v>
          </cell>
          <cell r="W7404">
            <v>0</v>
          </cell>
          <cell r="X7404" t="str">
            <v>0</v>
          </cell>
        </row>
        <row r="7405">
          <cell r="I7405" t="str">
            <v>sim</v>
          </cell>
          <cell r="V7405" t="str">
            <v>0</v>
          </cell>
          <cell r="W7405">
            <v>0</v>
          </cell>
          <cell r="X7405" t="str">
            <v>0</v>
          </cell>
        </row>
        <row r="7406">
          <cell r="I7406" t="str">
            <v>met</v>
          </cell>
          <cell r="V7406" t="str">
            <v>0</v>
          </cell>
          <cell r="W7406">
            <v>0</v>
          </cell>
          <cell r="X7406" t="str">
            <v>0</v>
          </cell>
        </row>
        <row r="7407">
          <cell r="I7407" t="str">
            <v>met</v>
          </cell>
          <cell r="V7407" t="str">
            <v>0</v>
          </cell>
          <cell r="W7407">
            <v>0</v>
          </cell>
          <cell r="X7407" t="str">
            <v>0</v>
          </cell>
        </row>
        <row r="7408">
          <cell r="I7408" t="str">
            <v>sim</v>
          </cell>
          <cell r="V7408" t="str">
            <v>not neg pair</v>
          </cell>
          <cell r="W7408">
            <v>0</v>
          </cell>
          <cell r="X7408" t="str">
            <v>0</v>
          </cell>
        </row>
        <row r="7409">
          <cell r="I7409" t="str">
            <v>sim</v>
          </cell>
          <cell r="V7409" t="str">
            <v>not neg pair</v>
          </cell>
          <cell r="W7409">
            <v>0</v>
          </cell>
          <cell r="X7409" t="str">
            <v>0</v>
          </cell>
        </row>
        <row r="7410">
          <cell r="I7410" t="str">
            <v>met</v>
          </cell>
          <cell r="V7410" t="str">
            <v>0</v>
          </cell>
          <cell r="W7410">
            <v>0</v>
          </cell>
          <cell r="X7410" t="str">
            <v>0</v>
          </cell>
        </row>
        <row r="7411">
          <cell r="I7411" t="str">
            <v>met</v>
          </cell>
          <cell r="V7411" t="str">
            <v>0</v>
          </cell>
          <cell r="W7411">
            <v>0</v>
          </cell>
          <cell r="X7411" t="str">
            <v>0</v>
          </cell>
        </row>
        <row r="7412">
          <cell r="I7412" t="str">
            <v>sim</v>
          </cell>
          <cell r="V7412" t="str">
            <v>not</v>
          </cell>
          <cell r="W7412">
            <v>1</v>
          </cell>
          <cell r="X7412" t="str">
            <v>neg</v>
          </cell>
        </row>
        <row r="7413">
          <cell r="I7413" t="str">
            <v>sim</v>
          </cell>
          <cell r="V7413" t="str">
            <v>not</v>
          </cell>
          <cell r="W7413">
            <v>1</v>
          </cell>
          <cell r="X7413" t="str">
            <v>intens</v>
          </cell>
        </row>
        <row r="7414">
          <cell r="I7414" t="str">
            <v>sim</v>
          </cell>
          <cell r="V7414" t="str">
            <v>antonym</v>
          </cell>
          <cell r="W7414">
            <v>1</v>
          </cell>
          <cell r="X7414" t="str">
            <v>intens</v>
          </cell>
        </row>
        <row r="7415">
          <cell r="I7415" t="str">
            <v>sim</v>
          </cell>
          <cell r="V7415" t="str">
            <v>antonym</v>
          </cell>
          <cell r="W7415">
            <v>1</v>
          </cell>
          <cell r="X7415" t="str">
            <v>neg</v>
          </cell>
        </row>
        <row r="7416">
          <cell r="I7416" t="str">
            <v>sim</v>
          </cell>
          <cell r="V7416" t="str">
            <v>not neg pair</v>
          </cell>
          <cell r="W7416">
            <v>0</v>
          </cell>
          <cell r="X7416" t="str">
            <v>0</v>
          </cell>
        </row>
        <row r="7417">
          <cell r="I7417" t="str">
            <v>sim</v>
          </cell>
          <cell r="V7417" t="str">
            <v>not neg pair</v>
          </cell>
          <cell r="W7417">
            <v>0</v>
          </cell>
          <cell r="X7417" t="str">
            <v>0</v>
          </cell>
        </row>
        <row r="7418">
          <cell r="I7418" t="str">
            <v>sim</v>
          </cell>
          <cell r="V7418" t="str">
            <v>not neg pair</v>
          </cell>
          <cell r="W7418">
            <v>0</v>
          </cell>
          <cell r="X7418" t="str">
            <v>0</v>
          </cell>
        </row>
        <row r="7419">
          <cell r="I7419" t="str">
            <v>sim</v>
          </cell>
          <cell r="V7419" t="str">
            <v>not neg pair</v>
          </cell>
          <cell r="W7419">
            <v>0</v>
          </cell>
          <cell r="X7419" t="str">
            <v>0</v>
          </cell>
        </row>
        <row r="7420">
          <cell r="I7420" t="str">
            <v>sim</v>
          </cell>
          <cell r="V7420" t="str">
            <v>not</v>
          </cell>
          <cell r="W7420">
            <v>1</v>
          </cell>
          <cell r="X7420" t="str">
            <v>neg</v>
          </cell>
        </row>
        <row r="7421">
          <cell r="I7421" t="str">
            <v>sim</v>
          </cell>
          <cell r="V7421" t="str">
            <v>not</v>
          </cell>
          <cell r="W7421">
            <v>1</v>
          </cell>
          <cell r="X7421" t="str">
            <v>intens</v>
          </cell>
        </row>
        <row r="7422">
          <cell r="I7422" t="str">
            <v>sim</v>
          </cell>
          <cell r="V7422" t="str">
            <v>not neg pair</v>
          </cell>
          <cell r="W7422">
            <v>0</v>
          </cell>
          <cell r="X7422" t="str">
            <v>0</v>
          </cell>
        </row>
        <row r="7423">
          <cell r="I7423" t="str">
            <v>sim</v>
          </cell>
          <cell r="V7423" t="str">
            <v>not neg pair</v>
          </cell>
          <cell r="W7423">
            <v>0</v>
          </cell>
          <cell r="X7423" t="str">
            <v>0</v>
          </cell>
        </row>
        <row r="7424">
          <cell r="I7424" t="str">
            <v>sim</v>
          </cell>
          <cell r="V7424" t="str">
            <v>not neg pair</v>
          </cell>
          <cell r="W7424">
            <v>0</v>
          </cell>
          <cell r="X7424" t="str">
            <v>0</v>
          </cell>
        </row>
        <row r="7425">
          <cell r="I7425" t="str">
            <v>sim</v>
          </cell>
          <cell r="V7425" t="str">
            <v>not neg pair</v>
          </cell>
          <cell r="W7425">
            <v>0</v>
          </cell>
          <cell r="X7425" t="str">
            <v>0</v>
          </cell>
        </row>
        <row r="7426">
          <cell r="I7426" t="str">
            <v>sim</v>
          </cell>
          <cell r="V7426" t="str">
            <v>not neg pair</v>
          </cell>
          <cell r="W7426">
            <v>0</v>
          </cell>
          <cell r="X7426" t="str">
            <v>0</v>
          </cell>
        </row>
        <row r="7427">
          <cell r="I7427" t="str">
            <v>sim</v>
          </cell>
          <cell r="V7427" t="str">
            <v>not neg pair</v>
          </cell>
          <cell r="W7427">
            <v>0</v>
          </cell>
          <cell r="X7427" t="str">
            <v>0</v>
          </cell>
        </row>
        <row r="7428">
          <cell r="I7428" t="str">
            <v>met</v>
          </cell>
          <cell r="V7428" t="str">
            <v>0</v>
          </cell>
          <cell r="W7428">
            <v>0</v>
          </cell>
          <cell r="X7428" t="str">
            <v>0</v>
          </cell>
        </row>
        <row r="7429">
          <cell r="I7429" t="str">
            <v>met</v>
          </cell>
          <cell r="V7429" t="str">
            <v>0</v>
          </cell>
          <cell r="W7429">
            <v>0</v>
          </cell>
          <cell r="X7429" t="str">
            <v>0</v>
          </cell>
        </row>
        <row r="7430">
          <cell r="I7430" t="str">
            <v>sim</v>
          </cell>
          <cell r="V7430" t="str">
            <v>antonym</v>
          </cell>
          <cell r="W7430">
            <v>1</v>
          </cell>
          <cell r="X7430" t="str">
            <v>intens</v>
          </cell>
        </row>
        <row r="7431">
          <cell r="I7431" t="str">
            <v>sim</v>
          </cell>
          <cell r="V7431" t="str">
            <v>antonym</v>
          </cell>
          <cell r="W7431">
            <v>1</v>
          </cell>
          <cell r="X7431" t="str">
            <v>neg</v>
          </cell>
        </row>
        <row r="7432">
          <cell r="I7432" t="str">
            <v>sim</v>
          </cell>
          <cell r="V7432" t="str">
            <v>not</v>
          </cell>
          <cell r="W7432">
            <v>1</v>
          </cell>
          <cell r="X7432" t="str">
            <v>neg</v>
          </cell>
        </row>
        <row r="7433">
          <cell r="I7433" t="str">
            <v>sim</v>
          </cell>
          <cell r="V7433" t="str">
            <v>not</v>
          </cell>
          <cell r="W7433">
            <v>1</v>
          </cell>
          <cell r="X7433" t="str">
            <v>intens</v>
          </cell>
        </row>
        <row r="7434">
          <cell r="I7434" t="str">
            <v>sim</v>
          </cell>
          <cell r="V7434" t="str">
            <v>not neg pair</v>
          </cell>
          <cell r="W7434">
            <v>0</v>
          </cell>
          <cell r="X7434" t="str">
            <v>0</v>
          </cell>
        </row>
        <row r="7435">
          <cell r="I7435" t="str">
            <v>sim</v>
          </cell>
          <cell r="V7435" t="str">
            <v>not neg pair</v>
          </cell>
          <cell r="W7435">
            <v>0</v>
          </cell>
          <cell r="X7435" t="str">
            <v>0</v>
          </cell>
        </row>
        <row r="7436">
          <cell r="I7436" t="str">
            <v>sim</v>
          </cell>
          <cell r="V7436" t="str">
            <v>not neg pair</v>
          </cell>
          <cell r="W7436">
            <v>0</v>
          </cell>
          <cell r="X7436" t="str">
            <v>0</v>
          </cell>
        </row>
        <row r="7437">
          <cell r="I7437" t="str">
            <v>sim</v>
          </cell>
          <cell r="V7437" t="str">
            <v>not neg pair</v>
          </cell>
          <cell r="W7437">
            <v>0</v>
          </cell>
          <cell r="X7437" t="str">
            <v>0</v>
          </cell>
        </row>
        <row r="7438">
          <cell r="I7438" t="str">
            <v>sim</v>
          </cell>
          <cell r="V7438" t="str">
            <v>not</v>
          </cell>
          <cell r="W7438">
            <v>1</v>
          </cell>
          <cell r="X7438" t="str">
            <v>neg</v>
          </cell>
        </row>
        <row r="7439">
          <cell r="I7439" t="str">
            <v>sim</v>
          </cell>
          <cell r="V7439" t="str">
            <v>not</v>
          </cell>
          <cell r="W7439">
            <v>1</v>
          </cell>
          <cell r="X7439" t="str">
            <v>intens</v>
          </cell>
        </row>
        <row r="7440">
          <cell r="I7440" t="str">
            <v>met</v>
          </cell>
          <cell r="V7440" t="str">
            <v>0</v>
          </cell>
          <cell r="W7440">
            <v>0</v>
          </cell>
          <cell r="X7440" t="str">
            <v>0</v>
          </cell>
        </row>
        <row r="7441">
          <cell r="I7441" t="str">
            <v>met</v>
          </cell>
          <cell r="V7441" t="str">
            <v>0</v>
          </cell>
          <cell r="W7441">
            <v>0</v>
          </cell>
          <cell r="X7441" t="str">
            <v>0</v>
          </cell>
        </row>
        <row r="7442">
          <cell r="I7442" t="str">
            <v>sim</v>
          </cell>
          <cell r="V7442" t="str">
            <v>not neg pair</v>
          </cell>
          <cell r="W7442">
            <v>0</v>
          </cell>
          <cell r="X7442" t="str">
            <v>0</v>
          </cell>
        </row>
        <row r="7443">
          <cell r="I7443" t="str">
            <v>sim</v>
          </cell>
          <cell r="V7443" t="str">
            <v>not neg pair</v>
          </cell>
          <cell r="W7443">
            <v>0</v>
          </cell>
          <cell r="X7443" t="str">
            <v>0</v>
          </cell>
        </row>
        <row r="7444">
          <cell r="I7444" t="str">
            <v>sim</v>
          </cell>
          <cell r="V7444" t="str">
            <v>not neg pair</v>
          </cell>
          <cell r="W7444">
            <v>0</v>
          </cell>
          <cell r="X7444" t="str">
            <v>0</v>
          </cell>
        </row>
        <row r="7445">
          <cell r="I7445" t="str">
            <v>sim</v>
          </cell>
          <cell r="V7445" t="str">
            <v>not neg pair</v>
          </cell>
          <cell r="W7445">
            <v>0</v>
          </cell>
          <cell r="X7445" t="str">
            <v>0</v>
          </cell>
        </row>
        <row r="7446">
          <cell r="I7446" t="str">
            <v>sim</v>
          </cell>
          <cell r="V7446" t="str">
            <v>not neg pair</v>
          </cell>
          <cell r="W7446">
            <v>0</v>
          </cell>
          <cell r="X7446" t="str">
            <v>0</v>
          </cell>
        </row>
        <row r="7447">
          <cell r="I7447" t="str">
            <v>sim</v>
          </cell>
          <cell r="V7447" t="str">
            <v>not neg pair</v>
          </cell>
          <cell r="W7447">
            <v>0</v>
          </cell>
          <cell r="X7447" t="str">
            <v>0</v>
          </cell>
        </row>
        <row r="7448">
          <cell r="I7448" t="str">
            <v>met</v>
          </cell>
          <cell r="V7448" t="str">
            <v>0</v>
          </cell>
          <cell r="W7448">
            <v>0</v>
          </cell>
          <cell r="X7448" t="str">
            <v>0</v>
          </cell>
        </row>
        <row r="7449">
          <cell r="I7449" t="str">
            <v>met</v>
          </cell>
          <cell r="V7449" t="str">
            <v>0</v>
          </cell>
          <cell r="W7449">
            <v>0</v>
          </cell>
          <cell r="X7449" t="str">
            <v>0</v>
          </cell>
        </row>
        <row r="7450">
          <cell r="I7450" t="str">
            <v>sim</v>
          </cell>
          <cell r="V7450" t="str">
            <v>not</v>
          </cell>
          <cell r="W7450">
            <v>1</v>
          </cell>
          <cell r="X7450" t="str">
            <v>intens</v>
          </cell>
        </row>
        <row r="7451">
          <cell r="I7451" t="str">
            <v>sim</v>
          </cell>
          <cell r="V7451" t="str">
            <v>not</v>
          </cell>
          <cell r="W7451">
            <v>1</v>
          </cell>
          <cell r="X7451" t="str">
            <v>neg</v>
          </cell>
        </row>
        <row r="7452">
          <cell r="I7452" t="str">
            <v>sim</v>
          </cell>
          <cell r="V7452" t="str">
            <v>not neg pair</v>
          </cell>
          <cell r="W7452">
            <v>0</v>
          </cell>
          <cell r="X7452" t="str">
            <v>0</v>
          </cell>
        </row>
        <row r="7453">
          <cell r="I7453" t="str">
            <v>sim</v>
          </cell>
          <cell r="V7453" t="str">
            <v>not neg pair</v>
          </cell>
          <cell r="W7453">
            <v>0</v>
          </cell>
          <cell r="X7453" t="str">
            <v>0</v>
          </cell>
        </row>
        <row r="7454">
          <cell r="I7454" t="str">
            <v>sim</v>
          </cell>
          <cell r="V7454" t="str">
            <v>not neg pair</v>
          </cell>
          <cell r="W7454">
            <v>0</v>
          </cell>
          <cell r="X7454" t="str">
            <v>0</v>
          </cell>
        </row>
        <row r="7455">
          <cell r="I7455" t="str">
            <v>sim</v>
          </cell>
          <cell r="V7455" t="str">
            <v>not neg pair</v>
          </cell>
          <cell r="W7455">
            <v>0</v>
          </cell>
          <cell r="X7455" t="str">
            <v>0</v>
          </cell>
        </row>
        <row r="7456">
          <cell r="I7456" t="str">
            <v>sim</v>
          </cell>
          <cell r="V7456" t="str">
            <v>not</v>
          </cell>
          <cell r="W7456">
            <v>1</v>
          </cell>
          <cell r="X7456" t="str">
            <v>intens</v>
          </cell>
        </row>
        <row r="7457">
          <cell r="I7457" t="str">
            <v>sim</v>
          </cell>
          <cell r="V7457" t="str">
            <v>not</v>
          </cell>
          <cell r="W7457">
            <v>1</v>
          </cell>
          <cell r="X7457" t="str">
            <v>neg</v>
          </cell>
        </row>
        <row r="7458">
          <cell r="I7458" t="str">
            <v>sim</v>
          </cell>
          <cell r="V7458" t="str">
            <v>not</v>
          </cell>
          <cell r="W7458">
            <v>1</v>
          </cell>
          <cell r="X7458" t="str">
            <v>intens</v>
          </cell>
        </row>
        <row r="7459">
          <cell r="I7459" t="str">
            <v>sim</v>
          </cell>
          <cell r="V7459" t="str">
            <v>not</v>
          </cell>
          <cell r="W7459">
            <v>1</v>
          </cell>
          <cell r="X7459" t="str">
            <v>neg</v>
          </cell>
        </row>
        <row r="7460">
          <cell r="I7460" t="str">
            <v>sim</v>
          </cell>
          <cell r="V7460" t="str">
            <v>not neg pair</v>
          </cell>
          <cell r="W7460">
            <v>0</v>
          </cell>
          <cell r="X7460" t="str">
            <v>0</v>
          </cell>
        </row>
        <row r="7461">
          <cell r="I7461" t="str">
            <v>sim</v>
          </cell>
          <cell r="V7461" t="str">
            <v>not neg pair</v>
          </cell>
          <cell r="W7461">
            <v>0</v>
          </cell>
          <cell r="X7461" t="str">
            <v>0</v>
          </cell>
        </row>
        <row r="7462">
          <cell r="I7462" t="str">
            <v>sim</v>
          </cell>
          <cell r="V7462" t="str">
            <v>not neg pair</v>
          </cell>
          <cell r="W7462">
            <v>0</v>
          </cell>
          <cell r="X7462" t="str">
            <v>0</v>
          </cell>
        </row>
        <row r="7463">
          <cell r="I7463" t="str">
            <v>sim</v>
          </cell>
          <cell r="V7463" t="str">
            <v>not neg pair</v>
          </cell>
          <cell r="W7463">
            <v>0</v>
          </cell>
          <cell r="X7463" t="str">
            <v>0</v>
          </cell>
        </row>
        <row r="7464">
          <cell r="I7464" t="str">
            <v>sim</v>
          </cell>
          <cell r="V7464" t="str">
            <v>antonym</v>
          </cell>
          <cell r="W7464">
            <v>1</v>
          </cell>
          <cell r="X7464" t="str">
            <v>intens</v>
          </cell>
        </row>
        <row r="7465">
          <cell r="I7465" t="str">
            <v>sim</v>
          </cell>
          <cell r="V7465" t="str">
            <v>antonym</v>
          </cell>
          <cell r="W7465">
            <v>1</v>
          </cell>
          <cell r="X7465" t="str">
            <v>neg</v>
          </cell>
        </row>
        <row r="7466">
          <cell r="I7466" t="str">
            <v>sim</v>
          </cell>
          <cell r="V7466" t="str">
            <v>not neg pair</v>
          </cell>
          <cell r="W7466">
            <v>0</v>
          </cell>
          <cell r="X7466" t="str">
            <v>0</v>
          </cell>
        </row>
        <row r="7467">
          <cell r="I7467" t="str">
            <v>sim</v>
          </cell>
          <cell r="V7467" t="str">
            <v>not neg pair</v>
          </cell>
          <cell r="W7467">
            <v>0</v>
          </cell>
          <cell r="X7467" t="str">
            <v>0</v>
          </cell>
        </row>
        <row r="7468">
          <cell r="I7468" t="str">
            <v>sim</v>
          </cell>
          <cell r="V7468" t="str">
            <v>antonym</v>
          </cell>
          <cell r="W7468">
            <v>1</v>
          </cell>
          <cell r="X7468" t="str">
            <v>intens</v>
          </cell>
        </row>
        <row r="7469">
          <cell r="I7469" t="str">
            <v>sim</v>
          </cell>
          <cell r="V7469" t="str">
            <v>antonym</v>
          </cell>
          <cell r="W7469">
            <v>1</v>
          </cell>
          <cell r="X7469" t="str">
            <v>neg</v>
          </cell>
        </row>
        <row r="7470">
          <cell r="I7470" t="str">
            <v>sim</v>
          </cell>
          <cell r="V7470" t="str">
            <v>antonym</v>
          </cell>
          <cell r="W7470">
            <v>1</v>
          </cell>
          <cell r="X7470" t="str">
            <v>intens</v>
          </cell>
        </row>
        <row r="7471">
          <cell r="I7471" t="str">
            <v>sim</v>
          </cell>
          <cell r="V7471" t="str">
            <v>antonym</v>
          </cell>
          <cell r="W7471">
            <v>1</v>
          </cell>
          <cell r="X7471" t="str">
            <v>neg</v>
          </cell>
        </row>
        <row r="7472">
          <cell r="I7472" t="str">
            <v>sim</v>
          </cell>
          <cell r="V7472" t="str">
            <v>not</v>
          </cell>
          <cell r="W7472">
            <v>1</v>
          </cell>
          <cell r="X7472" t="str">
            <v>neg</v>
          </cell>
        </row>
        <row r="7473">
          <cell r="I7473" t="str">
            <v>sim</v>
          </cell>
          <cell r="V7473" t="str">
            <v>not</v>
          </cell>
          <cell r="W7473">
            <v>1</v>
          </cell>
          <cell r="X7473" t="str">
            <v>intens</v>
          </cell>
        </row>
        <row r="7474">
          <cell r="I7474" t="str">
            <v>met</v>
          </cell>
          <cell r="V7474" t="str">
            <v>0</v>
          </cell>
          <cell r="W7474">
            <v>0</v>
          </cell>
          <cell r="X7474" t="str">
            <v>0</v>
          </cell>
        </row>
        <row r="7475">
          <cell r="I7475" t="str">
            <v>met</v>
          </cell>
          <cell r="V7475" t="str">
            <v>0</v>
          </cell>
          <cell r="W7475">
            <v>0</v>
          </cell>
          <cell r="X7475" t="str">
            <v>0</v>
          </cell>
        </row>
        <row r="7476">
          <cell r="I7476" t="str">
            <v>sim</v>
          </cell>
          <cell r="V7476" t="str">
            <v>not</v>
          </cell>
          <cell r="W7476">
            <v>1</v>
          </cell>
          <cell r="X7476" t="str">
            <v>neg</v>
          </cell>
        </row>
        <row r="7477">
          <cell r="I7477" t="str">
            <v>sim</v>
          </cell>
          <cell r="V7477" t="str">
            <v>not</v>
          </cell>
          <cell r="W7477">
            <v>1</v>
          </cell>
          <cell r="X7477" t="str">
            <v>intens</v>
          </cell>
        </row>
        <row r="7478">
          <cell r="I7478" t="str">
            <v>sim</v>
          </cell>
          <cell r="V7478" t="str">
            <v>antonym</v>
          </cell>
          <cell r="W7478">
            <v>1</v>
          </cell>
          <cell r="X7478" t="str">
            <v>intens</v>
          </cell>
        </row>
        <row r="7479">
          <cell r="I7479" t="str">
            <v>sim</v>
          </cell>
          <cell r="V7479" t="str">
            <v>antonym</v>
          </cell>
          <cell r="W7479">
            <v>1</v>
          </cell>
          <cell r="X7479" t="str">
            <v>neg</v>
          </cell>
        </row>
        <row r="7480">
          <cell r="I7480" t="str">
            <v>sim</v>
          </cell>
          <cell r="V7480" t="str">
            <v>not</v>
          </cell>
          <cell r="W7480">
            <v>1</v>
          </cell>
          <cell r="X7480" t="str">
            <v>intens</v>
          </cell>
        </row>
        <row r="7481">
          <cell r="I7481" t="str">
            <v>sim</v>
          </cell>
          <cell r="V7481" t="str">
            <v>not</v>
          </cell>
          <cell r="W7481">
            <v>1</v>
          </cell>
          <cell r="X7481" t="str">
            <v>neg</v>
          </cell>
        </row>
        <row r="7482">
          <cell r="I7482" t="str">
            <v>sim</v>
          </cell>
          <cell r="V7482" t="str">
            <v>antonym</v>
          </cell>
          <cell r="W7482">
            <v>1</v>
          </cell>
          <cell r="X7482" t="str">
            <v>intens</v>
          </cell>
        </row>
        <row r="7483">
          <cell r="I7483" t="str">
            <v>sim</v>
          </cell>
          <cell r="V7483" t="str">
            <v>antonym</v>
          </cell>
          <cell r="W7483">
            <v>1</v>
          </cell>
          <cell r="X7483" t="str">
            <v>neg</v>
          </cell>
        </row>
        <row r="7484">
          <cell r="I7484" t="str">
            <v>sim</v>
          </cell>
          <cell r="V7484" t="str">
            <v>not neg pair</v>
          </cell>
          <cell r="W7484">
            <v>0</v>
          </cell>
          <cell r="X7484" t="str">
            <v>0</v>
          </cell>
        </row>
        <row r="7485">
          <cell r="I7485" t="str">
            <v>sim</v>
          </cell>
          <cell r="V7485" t="str">
            <v>not neg pair</v>
          </cell>
          <cell r="W7485">
            <v>0</v>
          </cell>
          <cell r="X7485" t="str">
            <v>0</v>
          </cell>
        </row>
        <row r="7486">
          <cell r="I7486" t="str">
            <v>sim</v>
          </cell>
          <cell r="V7486" t="str">
            <v>not neg pair</v>
          </cell>
          <cell r="W7486">
            <v>0</v>
          </cell>
          <cell r="X7486" t="str">
            <v>0</v>
          </cell>
        </row>
        <row r="7487">
          <cell r="I7487" t="str">
            <v>sim</v>
          </cell>
          <cell r="V7487" t="str">
            <v>not neg pair</v>
          </cell>
          <cell r="W7487">
            <v>0</v>
          </cell>
          <cell r="X7487" t="str">
            <v>0</v>
          </cell>
        </row>
        <row r="7488">
          <cell r="I7488" t="str">
            <v>sim</v>
          </cell>
          <cell r="V7488" t="str">
            <v>antonym</v>
          </cell>
          <cell r="W7488">
            <v>1</v>
          </cell>
          <cell r="X7488" t="str">
            <v>intens</v>
          </cell>
        </row>
        <row r="7489">
          <cell r="I7489" t="str">
            <v>sim</v>
          </cell>
          <cell r="V7489" t="str">
            <v>antonym</v>
          </cell>
          <cell r="W7489">
            <v>1</v>
          </cell>
          <cell r="X7489" t="str">
            <v>neg</v>
          </cell>
        </row>
        <row r="7490">
          <cell r="I7490" t="str">
            <v>sim</v>
          </cell>
          <cell r="V7490" t="str">
            <v>not neg pair</v>
          </cell>
          <cell r="W7490">
            <v>0</v>
          </cell>
          <cell r="X7490" t="str">
            <v>0</v>
          </cell>
        </row>
        <row r="7491">
          <cell r="I7491" t="str">
            <v>sim</v>
          </cell>
          <cell r="V7491" t="str">
            <v>not neg pair</v>
          </cell>
          <cell r="W7491">
            <v>0</v>
          </cell>
          <cell r="X7491" t="str">
            <v>0</v>
          </cell>
        </row>
        <row r="7492">
          <cell r="I7492" t="str">
            <v>sim</v>
          </cell>
          <cell r="V7492" t="str">
            <v>antonym</v>
          </cell>
          <cell r="W7492">
            <v>1</v>
          </cell>
          <cell r="X7492" t="str">
            <v>neg</v>
          </cell>
        </row>
        <row r="7493">
          <cell r="I7493" t="str">
            <v>sim</v>
          </cell>
          <cell r="V7493" t="str">
            <v>antonym</v>
          </cell>
          <cell r="W7493">
            <v>1</v>
          </cell>
          <cell r="X7493" t="str">
            <v>intens</v>
          </cell>
        </row>
        <row r="7494">
          <cell r="I7494" t="str">
            <v>sim</v>
          </cell>
          <cell r="V7494" t="str">
            <v>not neg pair</v>
          </cell>
          <cell r="W7494">
            <v>0</v>
          </cell>
          <cell r="X7494" t="str">
            <v>0</v>
          </cell>
        </row>
        <row r="7495">
          <cell r="I7495" t="str">
            <v>sim</v>
          </cell>
          <cell r="V7495" t="str">
            <v>not neg pair</v>
          </cell>
          <cell r="W7495">
            <v>0</v>
          </cell>
          <cell r="X7495" t="str">
            <v>0</v>
          </cell>
        </row>
        <row r="7496">
          <cell r="I7496" t="str">
            <v>sim</v>
          </cell>
          <cell r="V7496" t="str">
            <v>not neg pair</v>
          </cell>
          <cell r="W7496">
            <v>0</v>
          </cell>
          <cell r="X7496" t="str">
            <v>0</v>
          </cell>
        </row>
        <row r="7497">
          <cell r="I7497" t="str">
            <v>sim</v>
          </cell>
          <cell r="V7497" t="str">
            <v>not neg pair</v>
          </cell>
          <cell r="W7497">
            <v>0</v>
          </cell>
          <cell r="X7497" t="str">
            <v>0</v>
          </cell>
        </row>
        <row r="7498">
          <cell r="I7498" t="str">
            <v>sim</v>
          </cell>
          <cell r="V7498" t="str">
            <v>antonym</v>
          </cell>
          <cell r="W7498">
            <v>1</v>
          </cell>
          <cell r="X7498" t="str">
            <v>intens</v>
          </cell>
        </row>
        <row r="7499">
          <cell r="I7499" t="str">
            <v>sim</v>
          </cell>
          <cell r="V7499" t="str">
            <v>antonym</v>
          </cell>
          <cell r="W7499">
            <v>1</v>
          </cell>
          <cell r="X7499" t="str">
            <v>neg</v>
          </cell>
        </row>
        <row r="7500">
          <cell r="I7500" t="str">
            <v>met</v>
          </cell>
          <cell r="V7500" t="str">
            <v>0</v>
          </cell>
          <cell r="W7500">
            <v>0</v>
          </cell>
          <cell r="X7500" t="str">
            <v>0</v>
          </cell>
        </row>
        <row r="7501">
          <cell r="I7501" t="str">
            <v>sim</v>
          </cell>
          <cell r="V7501" t="str">
            <v>not neg pair</v>
          </cell>
          <cell r="W7501">
            <v>0</v>
          </cell>
          <cell r="X7501" t="str">
            <v>0</v>
          </cell>
        </row>
        <row r="7502">
          <cell r="I7502" t="str">
            <v>sim</v>
          </cell>
          <cell r="V7502" t="str">
            <v>not</v>
          </cell>
          <cell r="W7502">
            <v>1</v>
          </cell>
          <cell r="X7502" t="str">
            <v>neg</v>
          </cell>
        </row>
        <row r="7503">
          <cell r="I7503" t="str">
            <v>sim</v>
          </cell>
          <cell r="V7503" t="str">
            <v>not</v>
          </cell>
          <cell r="W7503">
            <v>1</v>
          </cell>
          <cell r="X7503" t="str">
            <v>intens</v>
          </cell>
        </row>
        <row r="7504">
          <cell r="I7504" t="str">
            <v>sim</v>
          </cell>
          <cell r="V7504" t="str">
            <v>not neg pair</v>
          </cell>
          <cell r="W7504">
            <v>0</v>
          </cell>
          <cell r="X7504" t="str">
            <v>0</v>
          </cell>
        </row>
        <row r="7505">
          <cell r="I7505" t="str">
            <v>sim</v>
          </cell>
          <cell r="V7505" t="str">
            <v>not neg pair</v>
          </cell>
          <cell r="W7505">
            <v>0</v>
          </cell>
          <cell r="X7505" t="str">
            <v>0</v>
          </cell>
        </row>
        <row r="7506">
          <cell r="I7506" t="str">
            <v>sim</v>
          </cell>
          <cell r="V7506" t="str">
            <v>not neg pair</v>
          </cell>
          <cell r="W7506">
            <v>0</v>
          </cell>
          <cell r="X7506" t="str">
            <v>0</v>
          </cell>
        </row>
        <row r="7507">
          <cell r="I7507" t="str">
            <v>sim</v>
          </cell>
          <cell r="V7507" t="str">
            <v>not neg pair</v>
          </cell>
          <cell r="W7507">
            <v>0</v>
          </cell>
          <cell r="X7507" t="str">
            <v>0</v>
          </cell>
        </row>
        <row r="7508">
          <cell r="I7508" t="str">
            <v>sim</v>
          </cell>
          <cell r="V7508" t="str">
            <v>not neg pair</v>
          </cell>
          <cell r="W7508">
            <v>0</v>
          </cell>
          <cell r="X7508" t="str">
            <v>0</v>
          </cell>
        </row>
        <row r="7509">
          <cell r="I7509" t="str">
            <v>sim</v>
          </cell>
          <cell r="V7509" t="str">
            <v>not neg pair</v>
          </cell>
          <cell r="W7509">
            <v>0</v>
          </cell>
          <cell r="X7509" t="str">
            <v>0</v>
          </cell>
        </row>
        <row r="7510">
          <cell r="I7510" t="str">
            <v>sim</v>
          </cell>
          <cell r="V7510" t="str">
            <v>not neg pair</v>
          </cell>
          <cell r="W7510">
            <v>0</v>
          </cell>
          <cell r="X7510" t="str">
            <v>0</v>
          </cell>
        </row>
        <row r="7511">
          <cell r="I7511" t="str">
            <v>sim</v>
          </cell>
          <cell r="V7511" t="str">
            <v>not neg pair</v>
          </cell>
          <cell r="W7511">
            <v>0</v>
          </cell>
          <cell r="X7511" t="str">
            <v>0</v>
          </cell>
        </row>
        <row r="7512">
          <cell r="I7512" t="str">
            <v>sim</v>
          </cell>
          <cell r="V7512" t="str">
            <v>not neg pair</v>
          </cell>
          <cell r="W7512">
            <v>0</v>
          </cell>
          <cell r="X7512" t="str">
            <v>0</v>
          </cell>
        </row>
        <row r="7513">
          <cell r="I7513" t="str">
            <v>sim</v>
          </cell>
          <cell r="V7513" t="str">
            <v>not neg pair</v>
          </cell>
          <cell r="W7513">
            <v>0</v>
          </cell>
          <cell r="X7513" t="str">
            <v>0</v>
          </cell>
        </row>
        <row r="7514">
          <cell r="I7514" t="str">
            <v>sim</v>
          </cell>
          <cell r="V7514" t="str">
            <v>not</v>
          </cell>
          <cell r="W7514">
            <v>1</v>
          </cell>
          <cell r="X7514" t="str">
            <v>intens</v>
          </cell>
        </row>
        <row r="7515">
          <cell r="I7515" t="str">
            <v>sim</v>
          </cell>
          <cell r="V7515" t="str">
            <v>not</v>
          </cell>
          <cell r="W7515">
            <v>1</v>
          </cell>
          <cell r="X7515" t="str">
            <v>neg</v>
          </cell>
        </row>
        <row r="7516">
          <cell r="I7516" t="str">
            <v>sim</v>
          </cell>
          <cell r="V7516" t="str">
            <v>antonym</v>
          </cell>
          <cell r="W7516">
            <v>1</v>
          </cell>
          <cell r="X7516" t="str">
            <v>intens</v>
          </cell>
        </row>
        <row r="7517">
          <cell r="I7517" t="str">
            <v>sim</v>
          </cell>
          <cell r="V7517" t="str">
            <v>antonym</v>
          </cell>
          <cell r="W7517">
            <v>1</v>
          </cell>
          <cell r="X7517" t="str">
            <v>neg</v>
          </cell>
        </row>
        <row r="7518">
          <cell r="I7518" t="str">
            <v>met</v>
          </cell>
          <cell r="V7518" t="str">
            <v>0</v>
          </cell>
          <cell r="W7518">
            <v>0</v>
          </cell>
          <cell r="X7518" t="str">
            <v>0</v>
          </cell>
        </row>
        <row r="7519">
          <cell r="I7519" t="str">
            <v>met</v>
          </cell>
          <cell r="V7519" t="str">
            <v>0</v>
          </cell>
          <cell r="W7519">
            <v>0</v>
          </cell>
          <cell r="X7519" t="str">
            <v>0</v>
          </cell>
        </row>
        <row r="7520">
          <cell r="I7520" t="str">
            <v>sim</v>
          </cell>
          <cell r="V7520" t="str">
            <v>not</v>
          </cell>
          <cell r="W7520">
            <v>1</v>
          </cell>
          <cell r="X7520" t="str">
            <v>neg</v>
          </cell>
        </row>
        <row r="7521">
          <cell r="I7521" t="str">
            <v>sim</v>
          </cell>
          <cell r="V7521" t="str">
            <v>not</v>
          </cell>
          <cell r="W7521">
            <v>1</v>
          </cell>
          <cell r="X7521" t="str">
            <v>intens</v>
          </cell>
        </row>
        <row r="7522">
          <cell r="I7522" t="str">
            <v>met</v>
          </cell>
          <cell r="V7522" t="str">
            <v>0</v>
          </cell>
          <cell r="W7522">
            <v>0</v>
          </cell>
          <cell r="X7522" t="str">
            <v>0</v>
          </cell>
        </row>
        <row r="7523">
          <cell r="I7523" t="str">
            <v>met</v>
          </cell>
          <cell r="V7523" t="str">
            <v>0</v>
          </cell>
          <cell r="W7523">
            <v>0</v>
          </cell>
          <cell r="X7523" t="str">
            <v>0</v>
          </cell>
        </row>
        <row r="7524">
          <cell r="I7524" t="str">
            <v>sim</v>
          </cell>
          <cell r="V7524" t="str">
            <v>not neg pair</v>
          </cell>
          <cell r="W7524">
            <v>0</v>
          </cell>
          <cell r="X7524" t="str">
            <v>0</v>
          </cell>
        </row>
        <row r="7525">
          <cell r="I7525" t="str">
            <v>sim</v>
          </cell>
          <cell r="V7525" t="str">
            <v>not neg pair</v>
          </cell>
          <cell r="W7525">
            <v>0</v>
          </cell>
          <cell r="X7525" t="str">
            <v>0</v>
          </cell>
        </row>
        <row r="7526">
          <cell r="I7526" t="str">
            <v>sim</v>
          </cell>
          <cell r="V7526" t="str">
            <v>not</v>
          </cell>
          <cell r="W7526">
            <v>1</v>
          </cell>
          <cell r="X7526" t="str">
            <v>intens</v>
          </cell>
        </row>
        <row r="7527">
          <cell r="I7527" t="str">
            <v>sim</v>
          </cell>
          <cell r="V7527" t="str">
            <v>not</v>
          </cell>
          <cell r="W7527">
            <v>1</v>
          </cell>
          <cell r="X7527" t="str">
            <v>neg</v>
          </cell>
        </row>
        <row r="7528">
          <cell r="I7528" t="str">
            <v>sim</v>
          </cell>
          <cell r="V7528" t="str">
            <v>not neg pair</v>
          </cell>
          <cell r="W7528">
            <v>0</v>
          </cell>
          <cell r="X7528" t="str">
            <v>0</v>
          </cell>
        </row>
        <row r="7529">
          <cell r="I7529" t="str">
            <v>sim</v>
          </cell>
          <cell r="V7529" t="str">
            <v>not neg pair</v>
          </cell>
          <cell r="W7529">
            <v>0</v>
          </cell>
          <cell r="X7529" t="str">
            <v>0</v>
          </cell>
        </row>
        <row r="7530">
          <cell r="I7530" t="str">
            <v>sim</v>
          </cell>
          <cell r="V7530" t="str">
            <v>not</v>
          </cell>
          <cell r="W7530">
            <v>1</v>
          </cell>
          <cell r="X7530" t="str">
            <v>neg</v>
          </cell>
        </row>
        <row r="7531">
          <cell r="I7531" t="str">
            <v>sim</v>
          </cell>
          <cell r="V7531" t="str">
            <v>not</v>
          </cell>
          <cell r="W7531">
            <v>1</v>
          </cell>
          <cell r="X7531" t="str">
            <v>intens</v>
          </cell>
        </row>
        <row r="7532">
          <cell r="I7532" t="str">
            <v>sim</v>
          </cell>
          <cell r="V7532" t="str">
            <v>not neg pair</v>
          </cell>
          <cell r="W7532">
            <v>0</v>
          </cell>
          <cell r="X7532" t="str">
            <v>0</v>
          </cell>
        </row>
        <row r="7533">
          <cell r="I7533" t="str">
            <v>sim</v>
          </cell>
          <cell r="V7533" t="str">
            <v>not neg pair</v>
          </cell>
          <cell r="W7533">
            <v>0</v>
          </cell>
          <cell r="X7533" t="str">
            <v>0</v>
          </cell>
        </row>
        <row r="7534">
          <cell r="I7534" t="str">
            <v>sim</v>
          </cell>
          <cell r="V7534" t="str">
            <v>not neg pair</v>
          </cell>
          <cell r="W7534">
            <v>0</v>
          </cell>
          <cell r="X7534" t="str">
            <v>0</v>
          </cell>
        </row>
        <row r="7535">
          <cell r="I7535" t="str">
            <v>sim</v>
          </cell>
          <cell r="V7535" t="str">
            <v>not neg pair</v>
          </cell>
          <cell r="W7535">
            <v>0</v>
          </cell>
          <cell r="X7535" t="str">
            <v>0</v>
          </cell>
        </row>
        <row r="7536">
          <cell r="I7536" t="str">
            <v>sim</v>
          </cell>
          <cell r="V7536" t="str">
            <v>not neg pair</v>
          </cell>
          <cell r="W7536">
            <v>0</v>
          </cell>
          <cell r="X7536" t="str">
            <v>0</v>
          </cell>
        </row>
        <row r="7537">
          <cell r="I7537" t="str">
            <v>sim</v>
          </cell>
          <cell r="V7537" t="str">
            <v>not neg pair</v>
          </cell>
          <cell r="W7537">
            <v>0</v>
          </cell>
          <cell r="X7537" t="str">
            <v>0</v>
          </cell>
        </row>
        <row r="7538">
          <cell r="I7538" t="str">
            <v>sim</v>
          </cell>
          <cell r="V7538" t="str">
            <v>not</v>
          </cell>
          <cell r="W7538">
            <v>1</v>
          </cell>
          <cell r="X7538" t="str">
            <v>intens</v>
          </cell>
        </row>
        <row r="7539">
          <cell r="I7539" t="str">
            <v>sim</v>
          </cell>
          <cell r="V7539" t="str">
            <v>not</v>
          </cell>
          <cell r="W7539">
            <v>1</v>
          </cell>
          <cell r="X7539" t="str">
            <v>neg</v>
          </cell>
        </row>
        <row r="7540">
          <cell r="I7540" t="str">
            <v>sim</v>
          </cell>
          <cell r="V7540" t="str">
            <v>not neg pair</v>
          </cell>
          <cell r="W7540">
            <v>0</v>
          </cell>
          <cell r="X7540" t="str">
            <v>0</v>
          </cell>
        </row>
        <row r="7541">
          <cell r="I7541" t="str">
            <v>sim</v>
          </cell>
          <cell r="V7541" t="str">
            <v>not neg pair</v>
          </cell>
          <cell r="W7541">
            <v>0</v>
          </cell>
          <cell r="X7541" t="str">
            <v>0</v>
          </cell>
        </row>
        <row r="7542">
          <cell r="I7542" t="str">
            <v>sim</v>
          </cell>
          <cell r="V7542" t="str">
            <v>antonym</v>
          </cell>
          <cell r="W7542">
            <v>1</v>
          </cell>
          <cell r="X7542" t="str">
            <v>intens</v>
          </cell>
        </row>
        <row r="7543">
          <cell r="I7543" t="str">
            <v>sim</v>
          </cell>
          <cell r="V7543" t="str">
            <v>antonym</v>
          </cell>
          <cell r="W7543">
            <v>1</v>
          </cell>
          <cell r="X7543" t="str">
            <v>neg</v>
          </cell>
        </row>
        <row r="7544">
          <cell r="I7544" t="str">
            <v>sim</v>
          </cell>
          <cell r="V7544" t="str">
            <v>not</v>
          </cell>
          <cell r="W7544">
            <v>1</v>
          </cell>
          <cell r="X7544" t="str">
            <v>intens</v>
          </cell>
        </row>
        <row r="7545">
          <cell r="I7545" t="str">
            <v>sim</v>
          </cell>
          <cell r="V7545" t="str">
            <v>not</v>
          </cell>
          <cell r="W7545">
            <v>1</v>
          </cell>
          <cell r="X7545" t="str">
            <v>neg</v>
          </cell>
        </row>
        <row r="7546">
          <cell r="I7546" t="str">
            <v>sim</v>
          </cell>
          <cell r="V7546" t="str">
            <v>not neg pair</v>
          </cell>
          <cell r="W7546">
            <v>0</v>
          </cell>
          <cell r="X7546" t="str">
            <v>0</v>
          </cell>
        </row>
        <row r="7547">
          <cell r="I7547" t="str">
            <v>sim</v>
          </cell>
          <cell r="V7547" t="str">
            <v>not neg pair</v>
          </cell>
          <cell r="W7547">
            <v>0</v>
          </cell>
          <cell r="X7547" t="str">
            <v>0</v>
          </cell>
        </row>
        <row r="7548">
          <cell r="I7548" t="str">
            <v>met</v>
          </cell>
          <cell r="V7548" t="str">
            <v>0</v>
          </cell>
          <cell r="W7548">
            <v>0</v>
          </cell>
          <cell r="X7548" t="str">
            <v>0</v>
          </cell>
        </row>
        <row r="7549">
          <cell r="I7549" t="str">
            <v>met</v>
          </cell>
          <cell r="V7549" t="str">
            <v>0</v>
          </cell>
          <cell r="W7549">
            <v>0</v>
          </cell>
          <cell r="X7549" t="str">
            <v>0</v>
          </cell>
        </row>
        <row r="7550">
          <cell r="I7550" t="str">
            <v>sim</v>
          </cell>
          <cell r="V7550" t="str">
            <v>not neg pair</v>
          </cell>
          <cell r="W7550">
            <v>0</v>
          </cell>
          <cell r="X7550" t="str">
            <v>0</v>
          </cell>
        </row>
        <row r="7551">
          <cell r="I7551" t="str">
            <v>sim</v>
          </cell>
          <cell r="V7551" t="str">
            <v>not neg pair</v>
          </cell>
          <cell r="W7551">
            <v>0</v>
          </cell>
          <cell r="X7551" t="str">
            <v>0</v>
          </cell>
        </row>
        <row r="7552">
          <cell r="I7552" t="str">
            <v>met</v>
          </cell>
          <cell r="V7552" t="str">
            <v>0</v>
          </cell>
          <cell r="W7552">
            <v>0</v>
          </cell>
          <cell r="X7552" t="str">
            <v>0</v>
          </cell>
        </row>
        <row r="7553">
          <cell r="I7553" t="str">
            <v>met</v>
          </cell>
          <cell r="V7553" t="str">
            <v>0</v>
          </cell>
          <cell r="W7553">
            <v>0</v>
          </cell>
          <cell r="X7553" t="str">
            <v>0</v>
          </cell>
        </row>
        <row r="7554">
          <cell r="I7554" t="str">
            <v>sim</v>
          </cell>
          <cell r="V7554" t="str">
            <v>antonym</v>
          </cell>
          <cell r="W7554">
            <v>1</v>
          </cell>
          <cell r="X7554" t="str">
            <v>intens</v>
          </cell>
        </row>
        <row r="7555">
          <cell r="I7555" t="str">
            <v>sim</v>
          </cell>
          <cell r="V7555" t="str">
            <v>antonym</v>
          </cell>
          <cell r="W7555">
            <v>1</v>
          </cell>
          <cell r="X7555" t="str">
            <v>neg</v>
          </cell>
        </row>
        <row r="7556">
          <cell r="I7556" t="str">
            <v>met</v>
          </cell>
          <cell r="V7556" t="str">
            <v>0</v>
          </cell>
          <cell r="W7556">
            <v>0</v>
          </cell>
          <cell r="X7556" t="str">
            <v>0</v>
          </cell>
        </row>
        <row r="7557">
          <cell r="I7557" t="str">
            <v>met</v>
          </cell>
          <cell r="V7557" t="str">
            <v>0</v>
          </cell>
          <cell r="W7557">
            <v>0</v>
          </cell>
          <cell r="X7557" t="str">
            <v>0</v>
          </cell>
        </row>
        <row r="7558">
          <cell r="I7558" t="str">
            <v>met</v>
          </cell>
          <cell r="V7558" t="str">
            <v>0</v>
          </cell>
          <cell r="W7558">
            <v>0</v>
          </cell>
          <cell r="X7558" t="str">
            <v>0</v>
          </cell>
        </row>
        <row r="7559">
          <cell r="I7559" t="str">
            <v>met</v>
          </cell>
          <cell r="V7559" t="str">
            <v>0</v>
          </cell>
          <cell r="W7559">
            <v>0</v>
          </cell>
          <cell r="X7559" t="str">
            <v>0</v>
          </cell>
        </row>
        <row r="7560">
          <cell r="I7560" t="str">
            <v>sim</v>
          </cell>
          <cell r="V7560" t="str">
            <v>not neg pair</v>
          </cell>
          <cell r="W7560">
            <v>0</v>
          </cell>
          <cell r="X7560" t="str">
            <v>0</v>
          </cell>
        </row>
        <row r="7561">
          <cell r="I7561" t="str">
            <v>sim</v>
          </cell>
          <cell r="V7561" t="str">
            <v>not neg pair</v>
          </cell>
          <cell r="W7561">
            <v>0</v>
          </cell>
          <cell r="X7561" t="str">
            <v>0</v>
          </cell>
        </row>
        <row r="7562">
          <cell r="I7562" t="str">
            <v>sim</v>
          </cell>
          <cell r="V7562" t="str">
            <v>not</v>
          </cell>
          <cell r="W7562">
            <v>1</v>
          </cell>
          <cell r="X7562" t="str">
            <v>intens</v>
          </cell>
        </row>
        <row r="7563">
          <cell r="I7563" t="str">
            <v>sim</v>
          </cell>
          <cell r="V7563" t="str">
            <v>not</v>
          </cell>
          <cell r="W7563">
            <v>1</v>
          </cell>
          <cell r="X7563" t="str">
            <v>neg</v>
          </cell>
        </row>
        <row r="7564">
          <cell r="I7564" t="str">
            <v>sim</v>
          </cell>
          <cell r="V7564" t="str">
            <v>not</v>
          </cell>
          <cell r="W7564">
            <v>1</v>
          </cell>
          <cell r="X7564" t="str">
            <v>intens</v>
          </cell>
        </row>
        <row r="7565">
          <cell r="I7565" t="str">
            <v>sim</v>
          </cell>
          <cell r="V7565" t="str">
            <v>not</v>
          </cell>
          <cell r="W7565">
            <v>1</v>
          </cell>
          <cell r="X7565" t="str">
            <v>neg</v>
          </cell>
        </row>
        <row r="7566">
          <cell r="I7566" t="str">
            <v>met</v>
          </cell>
          <cell r="V7566" t="str">
            <v>0</v>
          </cell>
          <cell r="W7566">
            <v>0</v>
          </cell>
          <cell r="X7566" t="str">
            <v>0</v>
          </cell>
        </row>
        <row r="7567">
          <cell r="I7567" t="str">
            <v>met</v>
          </cell>
          <cell r="V7567" t="str">
            <v>0</v>
          </cell>
          <cell r="W7567">
            <v>0</v>
          </cell>
          <cell r="X7567" t="str">
            <v>0</v>
          </cell>
        </row>
        <row r="7568">
          <cell r="I7568" t="str">
            <v>sim</v>
          </cell>
          <cell r="V7568" t="str">
            <v>not neg pair</v>
          </cell>
          <cell r="W7568">
            <v>0</v>
          </cell>
          <cell r="X7568" t="str">
            <v>0</v>
          </cell>
        </row>
        <row r="7569">
          <cell r="I7569" t="str">
            <v>sim</v>
          </cell>
          <cell r="V7569" t="str">
            <v>not neg pair</v>
          </cell>
          <cell r="W7569">
            <v>0</v>
          </cell>
          <cell r="X7569" t="str">
            <v>0</v>
          </cell>
        </row>
        <row r="7570">
          <cell r="I7570" t="str">
            <v>sim</v>
          </cell>
          <cell r="V7570" t="str">
            <v>antonym</v>
          </cell>
          <cell r="W7570">
            <v>1</v>
          </cell>
          <cell r="X7570" t="str">
            <v>intens</v>
          </cell>
        </row>
        <row r="7571">
          <cell r="I7571" t="str">
            <v>sim</v>
          </cell>
          <cell r="V7571" t="str">
            <v>antonym</v>
          </cell>
          <cell r="W7571">
            <v>1</v>
          </cell>
          <cell r="X7571" t="str">
            <v>neg</v>
          </cell>
        </row>
        <row r="7572">
          <cell r="I7572" t="str">
            <v>sim</v>
          </cell>
          <cell r="V7572" t="str">
            <v>not</v>
          </cell>
          <cell r="W7572">
            <v>1</v>
          </cell>
          <cell r="X7572" t="str">
            <v>intens</v>
          </cell>
        </row>
        <row r="7573">
          <cell r="I7573" t="str">
            <v>sim</v>
          </cell>
          <cell r="V7573" t="str">
            <v>not</v>
          </cell>
          <cell r="W7573">
            <v>1</v>
          </cell>
          <cell r="X7573" t="str">
            <v>neg</v>
          </cell>
        </row>
        <row r="7574">
          <cell r="I7574" t="str">
            <v>sim</v>
          </cell>
          <cell r="V7574" t="str">
            <v>not</v>
          </cell>
          <cell r="W7574">
            <v>1</v>
          </cell>
          <cell r="X7574" t="str">
            <v>neg</v>
          </cell>
        </row>
        <row r="7575">
          <cell r="I7575" t="str">
            <v>sim</v>
          </cell>
          <cell r="V7575" t="str">
            <v>not</v>
          </cell>
          <cell r="W7575">
            <v>1</v>
          </cell>
          <cell r="X7575" t="str">
            <v>intens</v>
          </cell>
        </row>
        <row r="7576">
          <cell r="I7576" t="str">
            <v>met</v>
          </cell>
          <cell r="V7576" t="str">
            <v>0</v>
          </cell>
          <cell r="W7576">
            <v>0</v>
          </cell>
          <cell r="X7576" t="str">
            <v>0</v>
          </cell>
        </row>
        <row r="7577">
          <cell r="I7577" t="str">
            <v>met</v>
          </cell>
          <cell r="V7577" t="str">
            <v>0</v>
          </cell>
          <cell r="W7577">
            <v>0</v>
          </cell>
          <cell r="X7577" t="str">
            <v>0</v>
          </cell>
        </row>
        <row r="7578">
          <cell r="I7578" t="str">
            <v>sim</v>
          </cell>
          <cell r="V7578" t="str">
            <v>not neg pair</v>
          </cell>
          <cell r="W7578">
            <v>0</v>
          </cell>
          <cell r="X7578" t="str">
            <v>0</v>
          </cell>
        </row>
        <row r="7579">
          <cell r="I7579" t="str">
            <v>sim</v>
          </cell>
          <cell r="V7579" t="str">
            <v>not neg pair</v>
          </cell>
          <cell r="W7579">
            <v>0</v>
          </cell>
          <cell r="X7579" t="str">
            <v>0</v>
          </cell>
        </row>
        <row r="7580">
          <cell r="I7580" t="str">
            <v>sim</v>
          </cell>
          <cell r="V7580" t="str">
            <v>not</v>
          </cell>
          <cell r="W7580">
            <v>1</v>
          </cell>
          <cell r="X7580" t="str">
            <v>neg</v>
          </cell>
        </row>
        <row r="7581">
          <cell r="I7581" t="str">
            <v>sim</v>
          </cell>
          <cell r="V7581" t="str">
            <v>not</v>
          </cell>
          <cell r="W7581">
            <v>1</v>
          </cell>
          <cell r="X7581" t="str">
            <v>intens</v>
          </cell>
        </row>
        <row r="7582">
          <cell r="I7582" t="str">
            <v>sim</v>
          </cell>
          <cell r="V7582" t="str">
            <v>not neg pair</v>
          </cell>
          <cell r="W7582">
            <v>0</v>
          </cell>
          <cell r="X7582" t="str">
            <v>0</v>
          </cell>
        </row>
        <row r="7583">
          <cell r="I7583" t="str">
            <v>sim</v>
          </cell>
          <cell r="V7583" t="str">
            <v>not neg pair</v>
          </cell>
          <cell r="W7583">
            <v>0</v>
          </cell>
          <cell r="X7583" t="str">
            <v>0</v>
          </cell>
        </row>
        <row r="7584">
          <cell r="I7584" t="str">
            <v>sim</v>
          </cell>
          <cell r="V7584" t="str">
            <v>antonym</v>
          </cell>
          <cell r="W7584">
            <v>1</v>
          </cell>
          <cell r="X7584" t="str">
            <v>neg</v>
          </cell>
        </row>
        <row r="7585">
          <cell r="I7585" t="str">
            <v>sim</v>
          </cell>
          <cell r="V7585" t="str">
            <v>antonym</v>
          </cell>
          <cell r="W7585">
            <v>1</v>
          </cell>
          <cell r="X7585" t="str">
            <v>intens</v>
          </cell>
        </row>
        <row r="7586">
          <cell r="I7586" t="str">
            <v>sim</v>
          </cell>
          <cell r="V7586" t="str">
            <v>not neg pair</v>
          </cell>
          <cell r="W7586">
            <v>0</v>
          </cell>
          <cell r="X7586" t="str">
            <v>0</v>
          </cell>
        </row>
        <row r="7587">
          <cell r="I7587" t="str">
            <v>sim</v>
          </cell>
          <cell r="V7587" t="str">
            <v>not neg pair</v>
          </cell>
          <cell r="W7587">
            <v>0</v>
          </cell>
          <cell r="X7587" t="str">
            <v>0</v>
          </cell>
        </row>
        <row r="7588">
          <cell r="I7588" t="str">
            <v>met</v>
          </cell>
          <cell r="V7588" t="str">
            <v>0</v>
          </cell>
          <cell r="W7588">
            <v>0</v>
          </cell>
          <cell r="X7588" t="str">
            <v>0</v>
          </cell>
        </row>
        <row r="7589">
          <cell r="I7589" t="str">
            <v>met</v>
          </cell>
          <cell r="V7589" t="str">
            <v>0</v>
          </cell>
          <cell r="W7589">
            <v>0</v>
          </cell>
          <cell r="X7589" t="str">
            <v>0</v>
          </cell>
        </row>
        <row r="7590">
          <cell r="I7590" t="str">
            <v>sim</v>
          </cell>
          <cell r="V7590" t="str">
            <v>antonym</v>
          </cell>
          <cell r="W7590">
            <v>1</v>
          </cell>
          <cell r="X7590" t="str">
            <v>intens</v>
          </cell>
        </row>
        <row r="7591">
          <cell r="I7591" t="str">
            <v>sim</v>
          </cell>
          <cell r="V7591" t="str">
            <v>antonym</v>
          </cell>
          <cell r="W7591">
            <v>1</v>
          </cell>
          <cell r="X7591" t="str">
            <v>neg</v>
          </cell>
        </row>
        <row r="7592">
          <cell r="I7592" t="str">
            <v>met</v>
          </cell>
          <cell r="V7592" t="str">
            <v>0</v>
          </cell>
          <cell r="W7592">
            <v>0</v>
          </cell>
          <cell r="X7592" t="str">
            <v>0</v>
          </cell>
        </row>
        <row r="7593">
          <cell r="I7593" t="str">
            <v>met</v>
          </cell>
          <cell r="V7593" t="str">
            <v>0</v>
          </cell>
          <cell r="W7593">
            <v>0</v>
          </cell>
          <cell r="X7593" t="str">
            <v>0</v>
          </cell>
        </row>
        <row r="7594">
          <cell r="I7594" t="str">
            <v>sim</v>
          </cell>
          <cell r="V7594" t="str">
            <v>not</v>
          </cell>
          <cell r="W7594">
            <v>1</v>
          </cell>
          <cell r="X7594" t="str">
            <v>intens</v>
          </cell>
        </row>
        <row r="7595">
          <cell r="I7595" t="str">
            <v>sim</v>
          </cell>
          <cell r="V7595" t="str">
            <v>not</v>
          </cell>
          <cell r="W7595">
            <v>1</v>
          </cell>
          <cell r="X7595" t="str">
            <v>neg</v>
          </cell>
        </row>
        <row r="7596">
          <cell r="I7596" t="str">
            <v>sim</v>
          </cell>
          <cell r="V7596" t="str">
            <v>not neg pair</v>
          </cell>
          <cell r="W7596">
            <v>0</v>
          </cell>
          <cell r="X7596" t="str">
            <v>0</v>
          </cell>
        </row>
        <row r="7597">
          <cell r="I7597" t="str">
            <v>sim</v>
          </cell>
          <cell r="V7597" t="str">
            <v>not neg pair</v>
          </cell>
          <cell r="W7597">
            <v>0</v>
          </cell>
          <cell r="X7597" t="str">
            <v>0</v>
          </cell>
        </row>
        <row r="7598">
          <cell r="I7598" t="str">
            <v>met</v>
          </cell>
          <cell r="V7598" t="str">
            <v>0</v>
          </cell>
          <cell r="W7598">
            <v>0</v>
          </cell>
          <cell r="X7598" t="str">
            <v>0</v>
          </cell>
        </row>
        <row r="7599">
          <cell r="I7599" t="str">
            <v>sim</v>
          </cell>
          <cell r="V7599" t="str">
            <v>not neg pair</v>
          </cell>
          <cell r="W7599">
            <v>0</v>
          </cell>
          <cell r="X7599" t="str">
            <v>0</v>
          </cell>
        </row>
        <row r="7600">
          <cell r="I7600" t="str">
            <v>sim</v>
          </cell>
          <cell r="V7600" t="str">
            <v>not</v>
          </cell>
          <cell r="W7600">
            <v>1</v>
          </cell>
          <cell r="X7600" t="str">
            <v>intens</v>
          </cell>
        </row>
        <row r="7601">
          <cell r="I7601" t="str">
            <v>sim</v>
          </cell>
          <cell r="V7601" t="str">
            <v>not</v>
          </cell>
          <cell r="W7601">
            <v>1</v>
          </cell>
          <cell r="X7601" t="str">
            <v>neg</v>
          </cell>
        </row>
        <row r="7602">
          <cell r="I7602" t="str">
            <v>sim</v>
          </cell>
          <cell r="V7602" t="str">
            <v>not</v>
          </cell>
          <cell r="W7602">
            <v>1</v>
          </cell>
          <cell r="X7602" t="str">
            <v>neg</v>
          </cell>
        </row>
        <row r="7603">
          <cell r="I7603" t="str">
            <v>sim</v>
          </cell>
          <cell r="V7603" t="str">
            <v>not</v>
          </cell>
          <cell r="W7603">
            <v>1</v>
          </cell>
          <cell r="X7603" t="str">
            <v>intens</v>
          </cell>
        </row>
        <row r="7604">
          <cell r="I7604" t="str">
            <v>sim</v>
          </cell>
          <cell r="V7604" t="str">
            <v>not neg pair</v>
          </cell>
          <cell r="W7604">
            <v>0</v>
          </cell>
          <cell r="X7604" t="str">
            <v>0</v>
          </cell>
        </row>
        <row r="7605">
          <cell r="I7605" t="str">
            <v>sim</v>
          </cell>
          <cell r="V7605" t="str">
            <v>not neg pair</v>
          </cell>
          <cell r="W7605">
            <v>0</v>
          </cell>
          <cell r="X7605" t="str">
            <v>0</v>
          </cell>
        </row>
        <row r="7606">
          <cell r="I7606" t="str">
            <v>sim</v>
          </cell>
          <cell r="V7606" t="str">
            <v>antonym</v>
          </cell>
          <cell r="W7606">
            <v>1</v>
          </cell>
          <cell r="X7606" t="str">
            <v>intens</v>
          </cell>
        </row>
        <row r="7607">
          <cell r="I7607" t="str">
            <v>sim</v>
          </cell>
          <cell r="V7607" t="str">
            <v>antonym</v>
          </cell>
          <cell r="W7607">
            <v>1</v>
          </cell>
          <cell r="X7607" t="str">
            <v>neg</v>
          </cell>
        </row>
        <row r="7608">
          <cell r="I7608" t="str">
            <v>sim</v>
          </cell>
          <cell r="V7608" t="str">
            <v>not neg pair</v>
          </cell>
          <cell r="W7608">
            <v>0</v>
          </cell>
          <cell r="X7608" t="str">
            <v>0</v>
          </cell>
        </row>
        <row r="7609">
          <cell r="I7609" t="str">
            <v>sim</v>
          </cell>
          <cell r="V7609" t="str">
            <v>not neg pair</v>
          </cell>
          <cell r="W7609">
            <v>0</v>
          </cell>
          <cell r="X7609" t="str">
            <v>0</v>
          </cell>
        </row>
        <row r="7610">
          <cell r="I7610" t="str">
            <v>sim</v>
          </cell>
          <cell r="V7610" t="str">
            <v>not neg pair</v>
          </cell>
          <cell r="W7610">
            <v>0</v>
          </cell>
          <cell r="X7610" t="str">
            <v>0</v>
          </cell>
        </row>
        <row r="7611">
          <cell r="I7611" t="str">
            <v>sim</v>
          </cell>
          <cell r="V7611" t="str">
            <v>not neg pair</v>
          </cell>
          <cell r="W7611">
            <v>0</v>
          </cell>
          <cell r="X7611" t="str">
            <v>0</v>
          </cell>
        </row>
        <row r="7612">
          <cell r="I7612" t="str">
            <v>sim</v>
          </cell>
          <cell r="V7612" t="str">
            <v>not neg pair</v>
          </cell>
          <cell r="W7612">
            <v>0</v>
          </cell>
          <cell r="X7612" t="str">
            <v>0</v>
          </cell>
        </row>
        <row r="7613">
          <cell r="I7613" t="str">
            <v>sim</v>
          </cell>
          <cell r="V7613" t="str">
            <v>not neg pair</v>
          </cell>
          <cell r="W7613">
            <v>0</v>
          </cell>
          <cell r="X7613" t="str">
            <v>0</v>
          </cell>
        </row>
        <row r="7614">
          <cell r="I7614" t="str">
            <v>sim</v>
          </cell>
          <cell r="V7614" t="str">
            <v>not neg pair</v>
          </cell>
          <cell r="W7614">
            <v>0</v>
          </cell>
          <cell r="X7614" t="str">
            <v>0</v>
          </cell>
        </row>
        <row r="7615">
          <cell r="I7615" t="str">
            <v>sim</v>
          </cell>
          <cell r="V7615" t="str">
            <v>not neg pair</v>
          </cell>
          <cell r="W7615">
            <v>0</v>
          </cell>
          <cell r="X7615" t="str">
            <v>0</v>
          </cell>
        </row>
        <row r="7616">
          <cell r="I7616" t="str">
            <v>sim</v>
          </cell>
          <cell r="V7616" t="str">
            <v>not neg pair</v>
          </cell>
          <cell r="W7616">
            <v>0</v>
          </cell>
          <cell r="X7616" t="str">
            <v>0</v>
          </cell>
        </row>
        <row r="7617">
          <cell r="I7617" t="str">
            <v>sim</v>
          </cell>
          <cell r="V7617" t="str">
            <v>not neg pair</v>
          </cell>
          <cell r="W7617">
            <v>0</v>
          </cell>
          <cell r="X7617" t="str">
            <v>0</v>
          </cell>
        </row>
        <row r="7618">
          <cell r="I7618" t="str">
            <v>sim</v>
          </cell>
          <cell r="V7618" t="str">
            <v>antonym</v>
          </cell>
          <cell r="W7618">
            <v>1</v>
          </cell>
          <cell r="X7618" t="str">
            <v>intens</v>
          </cell>
        </row>
        <row r="7619">
          <cell r="I7619" t="str">
            <v>sim</v>
          </cell>
          <cell r="V7619" t="str">
            <v>antonym</v>
          </cell>
          <cell r="W7619">
            <v>1</v>
          </cell>
          <cell r="X7619" t="str">
            <v>neg</v>
          </cell>
        </row>
        <row r="7620">
          <cell r="I7620" t="str">
            <v>sim</v>
          </cell>
          <cell r="V7620" t="str">
            <v>not neg pair</v>
          </cell>
          <cell r="W7620">
            <v>0</v>
          </cell>
          <cell r="X7620" t="str">
            <v>0</v>
          </cell>
        </row>
        <row r="7621">
          <cell r="I7621" t="str">
            <v>sim</v>
          </cell>
          <cell r="V7621" t="str">
            <v>not neg pair</v>
          </cell>
          <cell r="W7621">
            <v>0</v>
          </cell>
          <cell r="X7621" t="str">
            <v>0</v>
          </cell>
        </row>
        <row r="7622">
          <cell r="I7622" t="str">
            <v>sim</v>
          </cell>
          <cell r="V7622" t="str">
            <v>not neg pair</v>
          </cell>
          <cell r="W7622">
            <v>0</v>
          </cell>
          <cell r="X7622" t="str">
            <v>0</v>
          </cell>
        </row>
        <row r="7623">
          <cell r="I7623" t="str">
            <v>sim</v>
          </cell>
          <cell r="V7623" t="str">
            <v>not neg pair</v>
          </cell>
          <cell r="W7623">
            <v>0</v>
          </cell>
          <cell r="X7623" t="str">
            <v>0</v>
          </cell>
        </row>
        <row r="7624">
          <cell r="I7624" t="str">
            <v>sim</v>
          </cell>
          <cell r="V7624" t="str">
            <v>not</v>
          </cell>
          <cell r="W7624">
            <v>1</v>
          </cell>
          <cell r="X7624" t="str">
            <v>intens</v>
          </cell>
        </row>
        <row r="7625">
          <cell r="I7625" t="str">
            <v>sim</v>
          </cell>
          <cell r="V7625" t="str">
            <v>not</v>
          </cell>
          <cell r="W7625">
            <v>1</v>
          </cell>
          <cell r="X7625" t="str">
            <v>neg</v>
          </cell>
        </row>
        <row r="7626">
          <cell r="I7626" t="str">
            <v>sim</v>
          </cell>
          <cell r="V7626" t="str">
            <v>antonym</v>
          </cell>
          <cell r="W7626">
            <v>1</v>
          </cell>
          <cell r="X7626" t="str">
            <v>intens</v>
          </cell>
        </row>
        <row r="7627">
          <cell r="I7627" t="str">
            <v>sim</v>
          </cell>
          <cell r="V7627" t="str">
            <v>antonym</v>
          </cell>
          <cell r="W7627">
            <v>1</v>
          </cell>
          <cell r="X7627" t="str">
            <v>neg</v>
          </cell>
        </row>
        <row r="7628">
          <cell r="I7628" t="str">
            <v>sim</v>
          </cell>
          <cell r="V7628" t="str">
            <v>not neg pair</v>
          </cell>
          <cell r="W7628">
            <v>0</v>
          </cell>
          <cell r="X7628" t="str">
            <v>0</v>
          </cell>
        </row>
        <row r="7629">
          <cell r="I7629" t="str">
            <v>sim</v>
          </cell>
          <cell r="V7629" t="str">
            <v>not neg pair</v>
          </cell>
          <cell r="W7629">
            <v>0</v>
          </cell>
          <cell r="X7629" t="str">
            <v>0</v>
          </cell>
        </row>
        <row r="7630">
          <cell r="I7630" t="str">
            <v>sim</v>
          </cell>
          <cell r="V7630" t="str">
            <v>not neg pair</v>
          </cell>
          <cell r="W7630">
            <v>0</v>
          </cell>
          <cell r="X7630" t="str">
            <v>0</v>
          </cell>
        </row>
        <row r="7631">
          <cell r="I7631" t="str">
            <v>sim</v>
          </cell>
          <cell r="V7631" t="str">
            <v>not neg pair</v>
          </cell>
          <cell r="W7631">
            <v>0</v>
          </cell>
          <cell r="X7631" t="str">
            <v>0</v>
          </cell>
        </row>
        <row r="7632">
          <cell r="I7632" t="str">
            <v>sim</v>
          </cell>
          <cell r="V7632" t="str">
            <v>not neg pair</v>
          </cell>
          <cell r="W7632">
            <v>0</v>
          </cell>
          <cell r="X7632" t="str">
            <v>0</v>
          </cell>
        </row>
        <row r="7633">
          <cell r="I7633" t="str">
            <v>sim</v>
          </cell>
          <cell r="V7633" t="str">
            <v>not neg pair</v>
          </cell>
          <cell r="W7633">
            <v>0</v>
          </cell>
          <cell r="X7633" t="str">
            <v>0</v>
          </cell>
        </row>
        <row r="7634">
          <cell r="I7634" t="str">
            <v>sim</v>
          </cell>
          <cell r="V7634" t="str">
            <v>antonym</v>
          </cell>
          <cell r="W7634">
            <v>1</v>
          </cell>
          <cell r="X7634" t="str">
            <v>intens</v>
          </cell>
        </row>
        <row r="7635">
          <cell r="I7635" t="str">
            <v>sim</v>
          </cell>
          <cell r="V7635" t="str">
            <v>antonym</v>
          </cell>
          <cell r="W7635">
            <v>1</v>
          </cell>
          <cell r="X7635" t="str">
            <v>neg</v>
          </cell>
        </row>
        <row r="7636">
          <cell r="I7636" t="str">
            <v>sim</v>
          </cell>
          <cell r="V7636" t="str">
            <v>antonym</v>
          </cell>
          <cell r="W7636">
            <v>1</v>
          </cell>
          <cell r="X7636" t="str">
            <v>intens</v>
          </cell>
        </row>
        <row r="7637">
          <cell r="I7637" t="str">
            <v>sim</v>
          </cell>
          <cell r="V7637" t="str">
            <v>antonym</v>
          </cell>
          <cell r="W7637">
            <v>1</v>
          </cell>
          <cell r="X7637" t="str">
            <v>neg</v>
          </cell>
        </row>
        <row r="7638">
          <cell r="I7638" t="str">
            <v>sim</v>
          </cell>
          <cell r="V7638" t="str">
            <v>not</v>
          </cell>
          <cell r="W7638">
            <v>1</v>
          </cell>
          <cell r="X7638" t="str">
            <v>intens</v>
          </cell>
        </row>
        <row r="7639">
          <cell r="I7639" t="str">
            <v>sim</v>
          </cell>
          <cell r="V7639" t="str">
            <v>not</v>
          </cell>
          <cell r="W7639">
            <v>1</v>
          </cell>
          <cell r="X7639" t="str">
            <v>neg</v>
          </cell>
        </row>
        <row r="7640">
          <cell r="I7640" t="str">
            <v>sim</v>
          </cell>
          <cell r="V7640" t="str">
            <v>antonym</v>
          </cell>
          <cell r="W7640">
            <v>1</v>
          </cell>
          <cell r="X7640" t="str">
            <v>neg</v>
          </cell>
        </row>
        <row r="7641">
          <cell r="I7641" t="str">
            <v>sim</v>
          </cell>
          <cell r="V7641" t="str">
            <v>antonym</v>
          </cell>
          <cell r="W7641">
            <v>1</v>
          </cell>
          <cell r="X7641" t="str">
            <v>intens</v>
          </cell>
        </row>
        <row r="7642">
          <cell r="I7642" t="str">
            <v>sim</v>
          </cell>
          <cell r="V7642" t="str">
            <v>not neg pair</v>
          </cell>
          <cell r="W7642">
            <v>0</v>
          </cell>
          <cell r="X7642" t="str">
            <v>0</v>
          </cell>
        </row>
        <row r="7643">
          <cell r="I7643" t="str">
            <v>sim</v>
          </cell>
          <cell r="V7643" t="str">
            <v>not neg pair</v>
          </cell>
          <cell r="W7643">
            <v>0</v>
          </cell>
          <cell r="X7643" t="str">
            <v>0</v>
          </cell>
        </row>
        <row r="7644">
          <cell r="I7644" t="str">
            <v>sim</v>
          </cell>
          <cell r="V7644" t="str">
            <v>not neg pair</v>
          </cell>
          <cell r="W7644">
            <v>0</v>
          </cell>
          <cell r="X7644" t="str">
            <v>0</v>
          </cell>
        </row>
        <row r="7645">
          <cell r="I7645" t="str">
            <v>sim</v>
          </cell>
          <cell r="V7645" t="str">
            <v>not neg pair</v>
          </cell>
          <cell r="W7645">
            <v>0</v>
          </cell>
          <cell r="X7645" t="str">
            <v>0</v>
          </cell>
        </row>
        <row r="7646">
          <cell r="I7646" t="str">
            <v>sim</v>
          </cell>
          <cell r="V7646" t="str">
            <v>not</v>
          </cell>
          <cell r="W7646">
            <v>1</v>
          </cell>
          <cell r="X7646" t="str">
            <v>intens</v>
          </cell>
        </row>
        <row r="7647">
          <cell r="I7647" t="str">
            <v>sim</v>
          </cell>
          <cell r="V7647" t="str">
            <v>not</v>
          </cell>
          <cell r="W7647">
            <v>1</v>
          </cell>
          <cell r="X7647" t="str">
            <v>neg</v>
          </cell>
        </row>
        <row r="7648">
          <cell r="I7648" t="str">
            <v>met</v>
          </cell>
          <cell r="V7648" t="str">
            <v>0</v>
          </cell>
          <cell r="W7648">
            <v>0</v>
          </cell>
          <cell r="X7648" t="str">
            <v>0</v>
          </cell>
        </row>
        <row r="7649">
          <cell r="I7649" t="str">
            <v>met</v>
          </cell>
          <cell r="V7649" t="str">
            <v>0</v>
          </cell>
          <cell r="W7649">
            <v>0</v>
          </cell>
          <cell r="X7649" t="str">
            <v>0</v>
          </cell>
        </row>
        <row r="7650">
          <cell r="I7650" t="str">
            <v>sim</v>
          </cell>
          <cell r="V7650" t="str">
            <v>not neg pair</v>
          </cell>
          <cell r="W7650">
            <v>0</v>
          </cell>
          <cell r="X7650" t="str">
            <v>0</v>
          </cell>
        </row>
        <row r="7651">
          <cell r="I7651" t="str">
            <v>sim</v>
          </cell>
          <cell r="V7651" t="str">
            <v>not neg pair</v>
          </cell>
          <cell r="W7651">
            <v>0</v>
          </cell>
          <cell r="X7651" t="str">
            <v>0</v>
          </cell>
        </row>
        <row r="7652">
          <cell r="I7652" t="str">
            <v>sim</v>
          </cell>
          <cell r="V7652" t="str">
            <v>not</v>
          </cell>
          <cell r="W7652">
            <v>1</v>
          </cell>
          <cell r="X7652" t="str">
            <v>neg</v>
          </cell>
        </row>
        <row r="7653">
          <cell r="I7653" t="str">
            <v>sim</v>
          </cell>
          <cell r="V7653" t="str">
            <v>not</v>
          </cell>
          <cell r="W7653">
            <v>1</v>
          </cell>
          <cell r="X7653" t="str">
            <v>intens</v>
          </cell>
        </row>
        <row r="7654">
          <cell r="I7654" t="str">
            <v>sim</v>
          </cell>
          <cell r="V7654" t="str">
            <v>not neg pair</v>
          </cell>
          <cell r="W7654">
            <v>0</v>
          </cell>
          <cell r="X7654" t="str">
            <v>0</v>
          </cell>
        </row>
        <row r="7655">
          <cell r="I7655" t="str">
            <v>sim</v>
          </cell>
          <cell r="V7655" t="str">
            <v>not neg pair</v>
          </cell>
          <cell r="W7655">
            <v>0</v>
          </cell>
          <cell r="X7655" t="str">
            <v>0</v>
          </cell>
        </row>
        <row r="7656">
          <cell r="I7656" t="str">
            <v>sim</v>
          </cell>
          <cell r="V7656" t="str">
            <v>not</v>
          </cell>
          <cell r="W7656">
            <v>1</v>
          </cell>
          <cell r="X7656" t="str">
            <v>neg</v>
          </cell>
        </row>
        <row r="7657">
          <cell r="I7657" t="str">
            <v>sim</v>
          </cell>
          <cell r="V7657" t="str">
            <v>not</v>
          </cell>
          <cell r="W7657">
            <v>1</v>
          </cell>
          <cell r="X7657" t="str">
            <v>intens</v>
          </cell>
        </row>
        <row r="7658">
          <cell r="I7658" t="str">
            <v>sim</v>
          </cell>
          <cell r="V7658" t="str">
            <v>antonym</v>
          </cell>
          <cell r="W7658">
            <v>1</v>
          </cell>
          <cell r="X7658" t="str">
            <v>intens</v>
          </cell>
        </row>
        <row r="7659">
          <cell r="I7659" t="str">
            <v>sim</v>
          </cell>
          <cell r="V7659" t="str">
            <v>antonym</v>
          </cell>
          <cell r="W7659">
            <v>1</v>
          </cell>
          <cell r="X7659" t="str">
            <v>neg</v>
          </cell>
        </row>
        <row r="7660">
          <cell r="I7660" t="str">
            <v>met</v>
          </cell>
          <cell r="V7660" t="str">
            <v>0</v>
          </cell>
          <cell r="W7660">
            <v>0</v>
          </cell>
          <cell r="X7660" t="str">
            <v>0</v>
          </cell>
        </row>
        <row r="7661">
          <cell r="I7661" t="str">
            <v>met</v>
          </cell>
          <cell r="V7661" t="str">
            <v>0</v>
          </cell>
          <cell r="W7661">
            <v>0</v>
          </cell>
          <cell r="X7661" t="str">
            <v>0</v>
          </cell>
        </row>
        <row r="7662">
          <cell r="I7662" t="str">
            <v>sim</v>
          </cell>
          <cell r="V7662" t="str">
            <v>not</v>
          </cell>
          <cell r="W7662">
            <v>1</v>
          </cell>
          <cell r="X7662" t="str">
            <v>neg</v>
          </cell>
        </row>
        <row r="7663">
          <cell r="I7663" t="str">
            <v>sim</v>
          </cell>
          <cell r="V7663" t="str">
            <v>not</v>
          </cell>
          <cell r="W7663">
            <v>1</v>
          </cell>
          <cell r="X7663" t="str">
            <v>intens</v>
          </cell>
        </row>
        <row r="7664">
          <cell r="I7664" t="str">
            <v>sim</v>
          </cell>
          <cell r="V7664" t="str">
            <v>antonym</v>
          </cell>
          <cell r="W7664">
            <v>1</v>
          </cell>
          <cell r="X7664" t="str">
            <v>intens</v>
          </cell>
        </row>
        <row r="7665">
          <cell r="I7665" t="str">
            <v>sim</v>
          </cell>
          <cell r="V7665" t="str">
            <v>antonym</v>
          </cell>
          <cell r="W7665">
            <v>1</v>
          </cell>
          <cell r="X7665" t="str">
            <v>neg</v>
          </cell>
        </row>
        <row r="7666">
          <cell r="I7666" t="str">
            <v>sim</v>
          </cell>
          <cell r="V7666" t="str">
            <v>antonym</v>
          </cell>
          <cell r="W7666">
            <v>1</v>
          </cell>
          <cell r="X7666" t="str">
            <v>intens</v>
          </cell>
        </row>
        <row r="7667">
          <cell r="I7667" t="str">
            <v>sim</v>
          </cell>
          <cell r="V7667" t="str">
            <v>antonym</v>
          </cell>
          <cell r="W7667">
            <v>1</v>
          </cell>
          <cell r="X7667" t="str">
            <v>neg</v>
          </cell>
        </row>
        <row r="7668">
          <cell r="I7668" t="str">
            <v>met</v>
          </cell>
          <cell r="V7668" t="str">
            <v>0</v>
          </cell>
          <cell r="W7668">
            <v>0</v>
          </cell>
          <cell r="X7668" t="str">
            <v>0</v>
          </cell>
        </row>
        <row r="7669">
          <cell r="I7669" t="str">
            <v>sim</v>
          </cell>
          <cell r="V7669" t="str">
            <v>not neg pair</v>
          </cell>
          <cell r="W7669">
            <v>0</v>
          </cell>
          <cell r="X7669" t="str">
            <v>0</v>
          </cell>
        </row>
        <row r="7670">
          <cell r="I7670" t="str">
            <v>sim</v>
          </cell>
          <cell r="V7670" t="str">
            <v>antonym</v>
          </cell>
          <cell r="W7670">
            <v>1</v>
          </cell>
          <cell r="X7670" t="str">
            <v>neg</v>
          </cell>
        </row>
        <row r="7671">
          <cell r="I7671" t="str">
            <v>sim</v>
          </cell>
          <cell r="V7671" t="str">
            <v>antonym</v>
          </cell>
          <cell r="W7671">
            <v>1</v>
          </cell>
          <cell r="X7671" t="str">
            <v>intens</v>
          </cell>
        </row>
        <row r="7672">
          <cell r="I7672" t="str">
            <v>met</v>
          </cell>
          <cell r="V7672" t="str">
            <v>0</v>
          </cell>
          <cell r="W7672">
            <v>0</v>
          </cell>
          <cell r="X7672" t="str">
            <v>0</v>
          </cell>
        </row>
        <row r="7673">
          <cell r="I7673" t="str">
            <v>met</v>
          </cell>
          <cell r="V7673" t="str">
            <v>0</v>
          </cell>
          <cell r="W7673">
            <v>0</v>
          </cell>
          <cell r="X7673" t="str">
            <v>0</v>
          </cell>
        </row>
        <row r="7674">
          <cell r="I7674" t="str">
            <v>met</v>
          </cell>
          <cell r="V7674" t="str">
            <v>0</v>
          </cell>
          <cell r="W7674">
            <v>0</v>
          </cell>
          <cell r="X7674" t="str">
            <v>0</v>
          </cell>
        </row>
        <row r="7675">
          <cell r="I7675" t="str">
            <v>met</v>
          </cell>
          <cell r="V7675" t="str">
            <v>0</v>
          </cell>
          <cell r="W7675">
            <v>0</v>
          </cell>
          <cell r="X7675" t="str">
            <v>0</v>
          </cell>
        </row>
        <row r="7676">
          <cell r="I7676" t="str">
            <v>sim</v>
          </cell>
          <cell r="V7676" t="str">
            <v>antonym</v>
          </cell>
          <cell r="W7676">
            <v>1</v>
          </cell>
          <cell r="X7676" t="str">
            <v>intens</v>
          </cell>
        </row>
        <row r="7677">
          <cell r="I7677" t="str">
            <v>sim</v>
          </cell>
          <cell r="V7677" t="str">
            <v>antonym</v>
          </cell>
          <cell r="W7677">
            <v>1</v>
          </cell>
          <cell r="X7677" t="str">
            <v>neg</v>
          </cell>
        </row>
        <row r="7678">
          <cell r="I7678" t="str">
            <v>sim</v>
          </cell>
          <cell r="V7678" t="str">
            <v>antonym</v>
          </cell>
          <cell r="W7678">
            <v>1</v>
          </cell>
          <cell r="X7678" t="str">
            <v>intens</v>
          </cell>
        </row>
        <row r="7679">
          <cell r="I7679" t="str">
            <v>sim</v>
          </cell>
          <cell r="V7679" t="str">
            <v>antonym</v>
          </cell>
          <cell r="W7679">
            <v>1</v>
          </cell>
          <cell r="X7679" t="str">
            <v>neg</v>
          </cell>
        </row>
        <row r="7680">
          <cell r="I7680" t="str">
            <v>sim</v>
          </cell>
          <cell r="V7680" t="str">
            <v>not neg pair</v>
          </cell>
          <cell r="W7680">
            <v>0</v>
          </cell>
          <cell r="X7680" t="str">
            <v>0</v>
          </cell>
        </row>
        <row r="7681">
          <cell r="I7681" t="str">
            <v>sim</v>
          </cell>
          <cell r="V7681" t="str">
            <v>not neg pair</v>
          </cell>
          <cell r="W7681">
            <v>0</v>
          </cell>
          <cell r="X7681" t="str">
            <v>0</v>
          </cell>
        </row>
        <row r="7682">
          <cell r="I7682" t="str">
            <v>sim</v>
          </cell>
          <cell r="V7682" t="str">
            <v>not neg pair</v>
          </cell>
          <cell r="W7682">
            <v>0</v>
          </cell>
          <cell r="X7682" t="str">
            <v>0</v>
          </cell>
        </row>
        <row r="7683">
          <cell r="I7683" t="str">
            <v>sim</v>
          </cell>
          <cell r="V7683" t="str">
            <v>not neg pair</v>
          </cell>
          <cell r="W7683">
            <v>0</v>
          </cell>
          <cell r="X7683" t="str">
            <v>0</v>
          </cell>
        </row>
        <row r="7684">
          <cell r="I7684" t="str">
            <v>met</v>
          </cell>
          <cell r="V7684" t="str">
            <v>0</v>
          </cell>
          <cell r="W7684">
            <v>0</v>
          </cell>
          <cell r="X7684" t="str">
            <v>0</v>
          </cell>
        </row>
        <row r="7685">
          <cell r="I7685" t="str">
            <v>met</v>
          </cell>
          <cell r="V7685" t="str">
            <v>0</v>
          </cell>
          <cell r="W7685">
            <v>0</v>
          </cell>
          <cell r="X7685" t="str">
            <v>0</v>
          </cell>
        </row>
        <row r="7686">
          <cell r="I7686" t="str">
            <v>sim</v>
          </cell>
          <cell r="V7686" t="str">
            <v>not</v>
          </cell>
          <cell r="W7686">
            <v>1</v>
          </cell>
          <cell r="X7686" t="str">
            <v>intens</v>
          </cell>
        </row>
        <row r="7687">
          <cell r="I7687" t="str">
            <v>sim</v>
          </cell>
          <cell r="V7687" t="str">
            <v>not</v>
          </cell>
          <cell r="W7687">
            <v>1</v>
          </cell>
          <cell r="X7687" t="str">
            <v>neg</v>
          </cell>
        </row>
        <row r="7688">
          <cell r="I7688" t="str">
            <v>sim</v>
          </cell>
          <cell r="V7688" t="str">
            <v>not neg pair</v>
          </cell>
          <cell r="W7688">
            <v>0</v>
          </cell>
          <cell r="X7688" t="str">
            <v>0</v>
          </cell>
        </row>
        <row r="7689">
          <cell r="I7689" t="str">
            <v>sim</v>
          </cell>
          <cell r="V7689" t="str">
            <v>not neg pair</v>
          </cell>
          <cell r="W7689">
            <v>0</v>
          </cell>
          <cell r="X7689" t="str">
            <v>0</v>
          </cell>
        </row>
        <row r="7690">
          <cell r="I7690" t="str">
            <v>sim</v>
          </cell>
          <cell r="V7690" t="str">
            <v>not</v>
          </cell>
          <cell r="W7690">
            <v>1</v>
          </cell>
          <cell r="X7690" t="str">
            <v>intens</v>
          </cell>
        </row>
        <row r="7691">
          <cell r="I7691" t="str">
            <v>sim</v>
          </cell>
          <cell r="V7691" t="str">
            <v>not</v>
          </cell>
          <cell r="W7691">
            <v>1</v>
          </cell>
          <cell r="X7691" t="str">
            <v>neg</v>
          </cell>
        </row>
        <row r="7692">
          <cell r="I7692" t="str">
            <v>met</v>
          </cell>
          <cell r="V7692" t="str">
            <v>0</v>
          </cell>
          <cell r="W7692">
            <v>0</v>
          </cell>
          <cell r="X7692" t="str">
            <v>0</v>
          </cell>
        </row>
        <row r="7693">
          <cell r="I7693" t="str">
            <v>met</v>
          </cell>
          <cell r="V7693" t="str">
            <v>0</v>
          </cell>
          <cell r="W7693">
            <v>0</v>
          </cell>
          <cell r="X7693" t="str">
            <v>0</v>
          </cell>
        </row>
        <row r="7694">
          <cell r="I7694" t="str">
            <v>sim</v>
          </cell>
          <cell r="V7694" t="str">
            <v>not</v>
          </cell>
          <cell r="W7694">
            <v>1</v>
          </cell>
          <cell r="X7694" t="str">
            <v>neg</v>
          </cell>
        </row>
        <row r="7695">
          <cell r="I7695" t="str">
            <v>sim</v>
          </cell>
          <cell r="V7695" t="str">
            <v>not</v>
          </cell>
          <cell r="W7695">
            <v>1</v>
          </cell>
          <cell r="X7695" t="str">
            <v>intens</v>
          </cell>
        </row>
        <row r="7696">
          <cell r="I7696" t="str">
            <v>sim</v>
          </cell>
          <cell r="V7696" t="str">
            <v>not neg pair</v>
          </cell>
          <cell r="W7696">
            <v>0</v>
          </cell>
          <cell r="X7696" t="str">
            <v>0</v>
          </cell>
        </row>
        <row r="7697">
          <cell r="I7697" t="str">
            <v>sim</v>
          </cell>
          <cell r="V7697" t="str">
            <v>not neg pair</v>
          </cell>
          <cell r="W7697">
            <v>0</v>
          </cell>
          <cell r="X7697" t="str">
            <v>0</v>
          </cell>
        </row>
        <row r="7698">
          <cell r="I7698" t="str">
            <v>sim</v>
          </cell>
          <cell r="V7698" t="str">
            <v>not</v>
          </cell>
          <cell r="W7698">
            <v>1</v>
          </cell>
          <cell r="X7698" t="str">
            <v>neg</v>
          </cell>
        </row>
        <row r="7699">
          <cell r="I7699" t="str">
            <v>sim</v>
          </cell>
          <cell r="V7699" t="str">
            <v>not</v>
          </cell>
          <cell r="W7699">
            <v>1</v>
          </cell>
          <cell r="X7699" t="str">
            <v>intens</v>
          </cell>
        </row>
        <row r="7700">
          <cell r="I7700" t="str">
            <v>sim</v>
          </cell>
          <cell r="V7700" t="str">
            <v>not</v>
          </cell>
          <cell r="W7700">
            <v>1</v>
          </cell>
          <cell r="X7700" t="str">
            <v>intens</v>
          </cell>
        </row>
        <row r="7701">
          <cell r="I7701" t="str">
            <v>sim</v>
          </cell>
          <cell r="V7701" t="str">
            <v>not</v>
          </cell>
          <cell r="W7701">
            <v>1</v>
          </cell>
          <cell r="X7701" t="str">
            <v>neg</v>
          </cell>
        </row>
        <row r="7702">
          <cell r="I7702" t="str">
            <v>sim</v>
          </cell>
          <cell r="V7702" t="str">
            <v>not</v>
          </cell>
          <cell r="W7702">
            <v>1</v>
          </cell>
          <cell r="X7702" t="str">
            <v>intens</v>
          </cell>
        </row>
        <row r="7703">
          <cell r="I7703" t="str">
            <v>sim</v>
          </cell>
          <cell r="V7703" t="str">
            <v>not</v>
          </cell>
          <cell r="W7703">
            <v>1</v>
          </cell>
          <cell r="X7703" t="str">
            <v>neg</v>
          </cell>
        </row>
        <row r="7704">
          <cell r="I7704" t="str">
            <v>sim</v>
          </cell>
          <cell r="V7704" t="str">
            <v>not neg pair</v>
          </cell>
          <cell r="W7704">
            <v>0</v>
          </cell>
          <cell r="X7704" t="str">
            <v>0</v>
          </cell>
        </row>
        <row r="7705">
          <cell r="I7705" t="str">
            <v>sim</v>
          </cell>
          <cell r="V7705" t="str">
            <v>not neg pair</v>
          </cell>
          <cell r="W7705">
            <v>0</v>
          </cell>
          <cell r="X7705" t="str">
            <v>0</v>
          </cell>
        </row>
        <row r="7706">
          <cell r="I7706" t="str">
            <v>met</v>
          </cell>
          <cell r="V7706" t="str">
            <v>0</v>
          </cell>
          <cell r="W7706">
            <v>0</v>
          </cell>
          <cell r="X7706" t="str">
            <v>0</v>
          </cell>
        </row>
        <row r="7707">
          <cell r="I7707" t="str">
            <v>met</v>
          </cell>
          <cell r="V7707" t="str">
            <v>0</v>
          </cell>
          <cell r="W7707">
            <v>0</v>
          </cell>
          <cell r="X7707" t="str">
            <v>0</v>
          </cell>
        </row>
        <row r="7708">
          <cell r="I7708" t="str">
            <v>sim</v>
          </cell>
          <cell r="V7708" t="str">
            <v>not</v>
          </cell>
          <cell r="W7708">
            <v>1</v>
          </cell>
          <cell r="X7708" t="str">
            <v>neg</v>
          </cell>
        </row>
        <row r="7709">
          <cell r="I7709" t="str">
            <v>sim</v>
          </cell>
          <cell r="V7709" t="str">
            <v>not</v>
          </cell>
          <cell r="W7709">
            <v>1</v>
          </cell>
          <cell r="X7709" t="str">
            <v>intens</v>
          </cell>
        </row>
        <row r="7710">
          <cell r="I7710" t="str">
            <v>sim</v>
          </cell>
          <cell r="V7710" t="str">
            <v>not neg pair</v>
          </cell>
          <cell r="W7710">
            <v>0</v>
          </cell>
          <cell r="X7710" t="str">
            <v>0</v>
          </cell>
        </row>
        <row r="7711">
          <cell r="I7711" t="str">
            <v>sim</v>
          </cell>
          <cell r="V7711" t="str">
            <v>not neg pair</v>
          </cell>
          <cell r="W7711">
            <v>0</v>
          </cell>
          <cell r="X7711" t="str">
            <v>0</v>
          </cell>
        </row>
        <row r="7712">
          <cell r="I7712" t="str">
            <v>sim</v>
          </cell>
          <cell r="V7712" t="str">
            <v>not</v>
          </cell>
          <cell r="W7712">
            <v>1</v>
          </cell>
          <cell r="X7712" t="str">
            <v>intens</v>
          </cell>
        </row>
        <row r="7713">
          <cell r="I7713" t="str">
            <v>sim</v>
          </cell>
          <cell r="V7713" t="str">
            <v>not</v>
          </cell>
          <cell r="W7713">
            <v>1</v>
          </cell>
          <cell r="X7713" t="str">
            <v>neg</v>
          </cell>
        </row>
        <row r="7714">
          <cell r="I7714" t="str">
            <v>sim</v>
          </cell>
          <cell r="V7714" t="str">
            <v>not</v>
          </cell>
          <cell r="W7714">
            <v>1</v>
          </cell>
          <cell r="X7714" t="str">
            <v>neg</v>
          </cell>
        </row>
        <row r="7715">
          <cell r="I7715" t="str">
            <v>sim</v>
          </cell>
          <cell r="V7715" t="str">
            <v>not</v>
          </cell>
          <cell r="W7715">
            <v>1</v>
          </cell>
          <cell r="X7715" t="str">
            <v>intens</v>
          </cell>
        </row>
        <row r="7716">
          <cell r="I7716" t="str">
            <v>sim</v>
          </cell>
          <cell r="V7716" t="str">
            <v>not</v>
          </cell>
          <cell r="W7716">
            <v>1</v>
          </cell>
          <cell r="X7716" t="str">
            <v>intens</v>
          </cell>
        </row>
        <row r="7717">
          <cell r="I7717" t="str">
            <v>sim</v>
          </cell>
          <cell r="V7717" t="str">
            <v>not</v>
          </cell>
          <cell r="W7717">
            <v>1</v>
          </cell>
          <cell r="X7717" t="str">
            <v>neg</v>
          </cell>
        </row>
        <row r="7718">
          <cell r="I7718" t="str">
            <v>sim</v>
          </cell>
          <cell r="V7718" t="str">
            <v>not neg pair</v>
          </cell>
          <cell r="W7718">
            <v>0</v>
          </cell>
          <cell r="X7718" t="str">
            <v>0</v>
          </cell>
        </row>
        <row r="7719">
          <cell r="I7719" t="str">
            <v>sim</v>
          </cell>
          <cell r="V7719" t="str">
            <v>not neg pair</v>
          </cell>
          <cell r="W7719">
            <v>0</v>
          </cell>
          <cell r="X7719" t="str">
            <v>0</v>
          </cell>
        </row>
        <row r="7720">
          <cell r="I7720" t="str">
            <v>sim</v>
          </cell>
          <cell r="V7720" t="str">
            <v>not neg pair</v>
          </cell>
          <cell r="W7720">
            <v>0</v>
          </cell>
          <cell r="X7720" t="str">
            <v>0</v>
          </cell>
        </row>
        <row r="7721">
          <cell r="I7721" t="str">
            <v>sim</v>
          </cell>
          <cell r="V7721" t="str">
            <v>not neg pair</v>
          </cell>
          <cell r="W7721">
            <v>0</v>
          </cell>
          <cell r="X7721" t="str">
            <v>0</v>
          </cell>
        </row>
        <row r="7722">
          <cell r="I7722" t="str">
            <v>sim</v>
          </cell>
          <cell r="V7722" t="str">
            <v>antonym</v>
          </cell>
          <cell r="W7722">
            <v>1</v>
          </cell>
          <cell r="X7722" t="str">
            <v>intens</v>
          </cell>
        </row>
        <row r="7723">
          <cell r="I7723" t="str">
            <v>sim</v>
          </cell>
          <cell r="V7723" t="str">
            <v>antonym</v>
          </cell>
          <cell r="W7723">
            <v>1</v>
          </cell>
          <cell r="X7723" t="str">
            <v>neg</v>
          </cell>
        </row>
        <row r="7724">
          <cell r="I7724" t="str">
            <v>sim</v>
          </cell>
          <cell r="V7724" t="str">
            <v>not</v>
          </cell>
          <cell r="W7724">
            <v>1</v>
          </cell>
          <cell r="X7724" t="str">
            <v>intens</v>
          </cell>
        </row>
        <row r="7725">
          <cell r="I7725" t="str">
            <v>sim</v>
          </cell>
          <cell r="V7725" t="str">
            <v>not</v>
          </cell>
          <cell r="W7725">
            <v>1</v>
          </cell>
          <cell r="X7725" t="str">
            <v>neg</v>
          </cell>
        </row>
        <row r="7726">
          <cell r="I7726" t="str">
            <v>sim</v>
          </cell>
          <cell r="V7726" t="str">
            <v>not neg pair</v>
          </cell>
          <cell r="W7726">
            <v>0</v>
          </cell>
          <cell r="X7726" t="str">
            <v>0</v>
          </cell>
        </row>
        <row r="7727">
          <cell r="I7727" t="str">
            <v>sim</v>
          </cell>
          <cell r="V7727" t="str">
            <v>not neg pair</v>
          </cell>
          <cell r="W7727">
            <v>0</v>
          </cell>
          <cell r="X7727" t="str">
            <v>0</v>
          </cell>
        </row>
        <row r="7728">
          <cell r="I7728" t="str">
            <v>sim</v>
          </cell>
          <cell r="V7728" t="str">
            <v>not neg pair</v>
          </cell>
          <cell r="W7728">
            <v>0</v>
          </cell>
          <cell r="X7728" t="str">
            <v>0</v>
          </cell>
        </row>
        <row r="7729">
          <cell r="I7729" t="str">
            <v>sim</v>
          </cell>
          <cell r="V7729" t="str">
            <v>not neg pair</v>
          </cell>
          <cell r="W7729">
            <v>0</v>
          </cell>
          <cell r="X7729" t="str">
            <v>0</v>
          </cell>
        </row>
        <row r="7730">
          <cell r="I7730" t="str">
            <v>sim</v>
          </cell>
          <cell r="V7730" t="str">
            <v>not</v>
          </cell>
          <cell r="W7730">
            <v>1</v>
          </cell>
          <cell r="X7730" t="str">
            <v>intens</v>
          </cell>
        </row>
        <row r="7731">
          <cell r="I7731" t="str">
            <v>sim</v>
          </cell>
          <cell r="V7731" t="str">
            <v>not</v>
          </cell>
          <cell r="W7731">
            <v>1</v>
          </cell>
          <cell r="X7731" t="str">
            <v>neg</v>
          </cell>
        </row>
        <row r="7732">
          <cell r="I7732" t="str">
            <v>sim</v>
          </cell>
          <cell r="V7732" t="str">
            <v>not neg pair</v>
          </cell>
          <cell r="W7732">
            <v>0</v>
          </cell>
          <cell r="X7732" t="str">
            <v>0</v>
          </cell>
        </row>
        <row r="7733">
          <cell r="I7733" t="str">
            <v>sim</v>
          </cell>
          <cell r="V7733" t="str">
            <v>not neg pair</v>
          </cell>
          <cell r="W7733">
            <v>0</v>
          </cell>
          <cell r="X7733" t="str">
            <v>0</v>
          </cell>
        </row>
        <row r="7734">
          <cell r="I7734" t="str">
            <v>sim</v>
          </cell>
          <cell r="V7734" t="str">
            <v>not neg pair</v>
          </cell>
          <cell r="W7734">
            <v>0</v>
          </cell>
          <cell r="X7734" t="str">
            <v>0</v>
          </cell>
        </row>
        <row r="7735">
          <cell r="I7735" t="str">
            <v>sim</v>
          </cell>
          <cell r="V7735" t="str">
            <v>not neg pair</v>
          </cell>
          <cell r="W7735">
            <v>0</v>
          </cell>
          <cell r="X7735" t="str">
            <v>0</v>
          </cell>
        </row>
        <row r="7736">
          <cell r="I7736" t="str">
            <v>sim</v>
          </cell>
          <cell r="V7736" t="str">
            <v>antonym</v>
          </cell>
          <cell r="W7736">
            <v>1</v>
          </cell>
          <cell r="X7736" t="str">
            <v>intens</v>
          </cell>
        </row>
        <row r="7737">
          <cell r="I7737" t="str">
            <v>sim</v>
          </cell>
          <cell r="V7737" t="str">
            <v>antonym</v>
          </cell>
          <cell r="W7737">
            <v>1</v>
          </cell>
          <cell r="X7737" t="str">
            <v>neg</v>
          </cell>
        </row>
        <row r="7738">
          <cell r="I7738" t="str">
            <v>sim</v>
          </cell>
          <cell r="V7738" t="str">
            <v>not neg pair</v>
          </cell>
          <cell r="W7738">
            <v>0</v>
          </cell>
          <cell r="X7738" t="str">
            <v>0</v>
          </cell>
        </row>
        <row r="7739">
          <cell r="I7739" t="str">
            <v>sim</v>
          </cell>
          <cell r="V7739" t="str">
            <v>not neg pair</v>
          </cell>
          <cell r="W7739">
            <v>0</v>
          </cell>
          <cell r="X7739" t="str">
            <v>0</v>
          </cell>
        </row>
        <row r="7740">
          <cell r="I7740" t="str">
            <v>met</v>
          </cell>
          <cell r="V7740" t="str">
            <v>0</v>
          </cell>
          <cell r="W7740">
            <v>0</v>
          </cell>
          <cell r="X7740" t="str">
            <v>0</v>
          </cell>
        </row>
        <row r="7741">
          <cell r="I7741" t="str">
            <v>met</v>
          </cell>
          <cell r="V7741" t="str">
            <v>0</v>
          </cell>
          <cell r="W7741">
            <v>0</v>
          </cell>
          <cell r="X7741" t="str">
            <v>0</v>
          </cell>
        </row>
        <row r="7742">
          <cell r="I7742" t="str">
            <v>sim</v>
          </cell>
          <cell r="V7742" t="str">
            <v>antonym</v>
          </cell>
          <cell r="W7742">
            <v>1</v>
          </cell>
          <cell r="X7742" t="str">
            <v>intens</v>
          </cell>
        </row>
        <row r="7743">
          <cell r="I7743" t="str">
            <v>sim</v>
          </cell>
          <cell r="V7743" t="str">
            <v>antonym</v>
          </cell>
          <cell r="W7743">
            <v>1</v>
          </cell>
          <cell r="X7743" t="str">
            <v>neg</v>
          </cell>
        </row>
        <row r="7744">
          <cell r="I7744" t="str">
            <v>met</v>
          </cell>
          <cell r="V7744" t="str">
            <v>0</v>
          </cell>
          <cell r="W7744">
            <v>0</v>
          </cell>
          <cell r="X7744" t="str">
            <v>0</v>
          </cell>
        </row>
        <row r="7745">
          <cell r="I7745" t="str">
            <v>met</v>
          </cell>
          <cell r="V7745" t="str">
            <v>0</v>
          </cell>
          <cell r="W7745">
            <v>0</v>
          </cell>
          <cell r="X7745" t="str">
            <v>0</v>
          </cell>
        </row>
        <row r="7746">
          <cell r="I7746" t="str">
            <v>sim</v>
          </cell>
          <cell r="V7746" t="str">
            <v>not neg pair</v>
          </cell>
          <cell r="W7746">
            <v>0</v>
          </cell>
          <cell r="X7746" t="str">
            <v>0</v>
          </cell>
        </row>
        <row r="7747">
          <cell r="I7747" t="str">
            <v>sim</v>
          </cell>
          <cell r="V7747" t="str">
            <v>not neg pair</v>
          </cell>
          <cell r="W7747">
            <v>0</v>
          </cell>
          <cell r="X7747" t="str">
            <v>0</v>
          </cell>
        </row>
        <row r="7748">
          <cell r="I7748" t="str">
            <v>sim</v>
          </cell>
          <cell r="V7748" t="str">
            <v>not neg pair</v>
          </cell>
          <cell r="W7748">
            <v>0</v>
          </cell>
          <cell r="X7748" t="str">
            <v>0</v>
          </cell>
        </row>
        <row r="7749">
          <cell r="I7749" t="str">
            <v>sim</v>
          </cell>
          <cell r="V7749" t="str">
            <v>not neg pair</v>
          </cell>
          <cell r="W7749">
            <v>0</v>
          </cell>
          <cell r="X7749" t="str">
            <v>0</v>
          </cell>
        </row>
        <row r="7750">
          <cell r="I7750" t="str">
            <v>met</v>
          </cell>
          <cell r="V7750" t="str">
            <v>0</v>
          </cell>
          <cell r="W7750">
            <v>0</v>
          </cell>
          <cell r="X7750" t="str">
            <v>0</v>
          </cell>
        </row>
        <row r="7751">
          <cell r="I7751" t="str">
            <v>met</v>
          </cell>
          <cell r="V7751" t="str">
            <v>0</v>
          </cell>
          <cell r="W7751">
            <v>0</v>
          </cell>
          <cell r="X7751" t="str">
            <v>0</v>
          </cell>
        </row>
        <row r="7752">
          <cell r="I7752" t="str">
            <v>sim</v>
          </cell>
          <cell r="V7752" t="str">
            <v>not</v>
          </cell>
          <cell r="W7752">
            <v>1</v>
          </cell>
          <cell r="X7752" t="str">
            <v>intens</v>
          </cell>
        </row>
        <row r="7753">
          <cell r="I7753" t="str">
            <v>sim</v>
          </cell>
          <cell r="V7753" t="str">
            <v>not</v>
          </cell>
          <cell r="W7753">
            <v>1</v>
          </cell>
          <cell r="X7753" t="str">
            <v>neg</v>
          </cell>
        </row>
        <row r="7754">
          <cell r="I7754" t="str">
            <v>sim</v>
          </cell>
          <cell r="V7754" t="str">
            <v>not</v>
          </cell>
          <cell r="W7754">
            <v>1</v>
          </cell>
          <cell r="X7754" t="str">
            <v>intens</v>
          </cell>
        </row>
        <row r="7755">
          <cell r="I7755" t="str">
            <v>sim</v>
          </cell>
          <cell r="V7755" t="str">
            <v>not</v>
          </cell>
          <cell r="W7755">
            <v>1</v>
          </cell>
          <cell r="X7755" t="str">
            <v>neg</v>
          </cell>
        </row>
        <row r="7756">
          <cell r="I7756" t="str">
            <v>met</v>
          </cell>
          <cell r="V7756" t="str">
            <v>0</v>
          </cell>
          <cell r="W7756">
            <v>0</v>
          </cell>
          <cell r="X7756" t="str">
            <v>0</v>
          </cell>
        </row>
        <row r="7757">
          <cell r="I7757" t="str">
            <v>met</v>
          </cell>
          <cell r="V7757" t="str">
            <v>0</v>
          </cell>
          <cell r="W7757">
            <v>0</v>
          </cell>
          <cell r="X7757" t="str">
            <v>0</v>
          </cell>
        </row>
        <row r="7758">
          <cell r="I7758" t="str">
            <v>sim</v>
          </cell>
          <cell r="V7758" t="str">
            <v>not neg pair</v>
          </cell>
          <cell r="W7758">
            <v>0</v>
          </cell>
          <cell r="X7758" t="str">
            <v>0</v>
          </cell>
        </row>
        <row r="7759">
          <cell r="I7759" t="str">
            <v>sim</v>
          </cell>
          <cell r="V7759" t="str">
            <v>not neg pair</v>
          </cell>
          <cell r="W7759">
            <v>0</v>
          </cell>
          <cell r="X7759" t="str">
            <v>0</v>
          </cell>
        </row>
        <row r="7760">
          <cell r="I7760" t="str">
            <v>sim</v>
          </cell>
          <cell r="V7760" t="str">
            <v>not</v>
          </cell>
          <cell r="W7760">
            <v>1</v>
          </cell>
          <cell r="X7760" t="str">
            <v>intens</v>
          </cell>
        </row>
        <row r="7761">
          <cell r="I7761" t="str">
            <v>sim</v>
          </cell>
          <cell r="V7761" t="str">
            <v>not</v>
          </cell>
          <cell r="W7761">
            <v>1</v>
          </cell>
          <cell r="X7761" t="str">
            <v>neg</v>
          </cell>
        </row>
        <row r="7762">
          <cell r="I7762" t="str">
            <v>met</v>
          </cell>
          <cell r="V7762" t="str">
            <v>0</v>
          </cell>
          <cell r="W7762">
            <v>0</v>
          </cell>
          <cell r="X7762" t="str">
            <v>0</v>
          </cell>
        </row>
        <row r="7763">
          <cell r="I7763" t="str">
            <v>met</v>
          </cell>
          <cell r="V7763" t="str">
            <v>0</v>
          </cell>
          <cell r="W7763">
            <v>0</v>
          </cell>
          <cell r="X7763" t="str">
            <v>0</v>
          </cell>
        </row>
        <row r="7764">
          <cell r="I7764" t="str">
            <v>sim</v>
          </cell>
          <cell r="V7764" t="str">
            <v>not</v>
          </cell>
          <cell r="W7764">
            <v>1</v>
          </cell>
          <cell r="X7764" t="str">
            <v>intens</v>
          </cell>
        </row>
        <row r="7765">
          <cell r="I7765" t="str">
            <v>sim</v>
          </cell>
          <cell r="V7765" t="str">
            <v>not</v>
          </cell>
          <cell r="W7765">
            <v>1</v>
          </cell>
          <cell r="X7765" t="str">
            <v>neg</v>
          </cell>
        </row>
        <row r="7766">
          <cell r="I7766" t="str">
            <v>met</v>
          </cell>
          <cell r="V7766" t="str">
            <v>0</v>
          </cell>
          <cell r="W7766">
            <v>0</v>
          </cell>
          <cell r="X7766" t="str">
            <v>0</v>
          </cell>
        </row>
        <row r="7767">
          <cell r="I7767" t="str">
            <v>met</v>
          </cell>
          <cell r="V7767" t="str">
            <v>0</v>
          </cell>
          <cell r="W7767">
            <v>0</v>
          </cell>
          <cell r="X7767" t="str">
            <v>0</v>
          </cell>
        </row>
        <row r="7768">
          <cell r="I7768" t="str">
            <v>sim</v>
          </cell>
          <cell r="V7768" t="str">
            <v>not neg pair</v>
          </cell>
          <cell r="W7768">
            <v>0</v>
          </cell>
          <cell r="X7768" t="str">
            <v>0</v>
          </cell>
        </row>
        <row r="7769">
          <cell r="I7769" t="str">
            <v>sim</v>
          </cell>
          <cell r="V7769" t="str">
            <v>not neg pair</v>
          </cell>
          <cell r="W7769">
            <v>0</v>
          </cell>
          <cell r="X7769" t="str">
            <v>0</v>
          </cell>
        </row>
        <row r="7770">
          <cell r="I7770" t="str">
            <v>sim</v>
          </cell>
          <cell r="V7770" t="str">
            <v>not neg pair</v>
          </cell>
          <cell r="W7770">
            <v>0</v>
          </cell>
          <cell r="X7770" t="str">
            <v>0</v>
          </cell>
        </row>
        <row r="7771">
          <cell r="I7771" t="str">
            <v>sim</v>
          </cell>
          <cell r="V7771" t="str">
            <v>not neg pair</v>
          </cell>
          <cell r="W7771">
            <v>0</v>
          </cell>
          <cell r="X7771" t="str">
            <v>0</v>
          </cell>
        </row>
        <row r="7772">
          <cell r="I7772" t="str">
            <v>met</v>
          </cell>
          <cell r="V7772" t="str">
            <v>0</v>
          </cell>
          <cell r="W7772">
            <v>0</v>
          </cell>
          <cell r="X7772" t="str">
            <v>0</v>
          </cell>
        </row>
        <row r="7773">
          <cell r="I7773" t="str">
            <v>met</v>
          </cell>
          <cell r="V7773" t="str">
            <v>0</v>
          </cell>
          <cell r="W7773">
            <v>0</v>
          </cell>
          <cell r="X7773" t="str">
            <v>0</v>
          </cell>
        </row>
        <row r="7774">
          <cell r="I7774" t="str">
            <v>sim</v>
          </cell>
          <cell r="V7774" t="str">
            <v>not neg pair</v>
          </cell>
          <cell r="W7774">
            <v>0</v>
          </cell>
          <cell r="X7774" t="str">
            <v>0</v>
          </cell>
        </row>
        <row r="7775">
          <cell r="I7775" t="str">
            <v>sim</v>
          </cell>
          <cell r="V7775" t="str">
            <v>not neg pair</v>
          </cell>
          <cell r="W7775">
            <v>0</v>
          </cell>
          <cell r="X7775" t="str">
            <v>0</v>
          </cell>
        </row>
        <row r="7776">
          <cell r="I7776" t="str">
            <v>met</v>
          </cell>
          <cell r="V7776" t="str">
            <v>0</v>
          </cell>
          <cell r="W7776">
            <v>0</v>
          </cell>
          <cell r="X7776" t="str">
            <v>0</v>
          </cell>
        </row>
        <row r="7777">
          <cell r="I7777" t="str">
            <v>met</v>
          </cell>
          <cell r="V7777" t="str">
            <v>0</v>
          </cell>
          <cell r="W7777">
            <v>0</v>
          </cell>
          <cell r="X7777" t="str">
            <v>0</v>
          </cell>
        </row>
        <row r="7778">
          <cell r="I7778" t="str">
            <v>sim</v>
          </cell>
          <cell r="V7778" t="str">
            <v>not</v>
          </cell>
          <cell r="W7778">
            <v>1</v>
          </cell>
          <cell r="X7778" t="str">
            <v>intens</v>
          </cell>
        </row>
        <row r="7779">
          <cell r="I7779" t="str">
            <v>sim</v>
          </cell>
          <cell r="V7779" t="str">
            <v>not</v>
          </cell>
          <cell r="W7779">
            <v>1</v>
          </cell>
          <cell r="X7779" t="str">
            <v>neg</v>
          </cell>
        </row>
        <row r="7780">
          <cell r="I7780" t="str">
            <v>sim</v>
          </cell>
          <cell r="V7780" t="str">
            <v>not neg pair</v>
          </cell>
          <cell r="W7780">
            <v>0</v>
          </cell>
          <cell r="X7780" t="str">
            <v>0</v>
          </cell>
        </row>
        <row r="7781">
          <cell r="I7781" t="str">
            <v>sim</v>
          </cell>
          <cell r="V7781" t="str">
            <v>not neg pair</v>
          </cell>
          <cell r="W7781">
            <v>0</v>
          </cell>
          <cell r="X7781" t="str">
            <v>0</v>
          </cell>
        </row>
        <row r="7782">
          <cell r="I7782" t="str">
            <v>sim</v>
          </cell>
          <cell r="V7782" t="str">
            <v>not neg pair</v>
          </cell>
          <cell r="W7782">
            <v>0</v>
          </cell>
          <cell r="X7782" t="str">
            <v>0</v>
          </cell>
        </row>
        <row r="7783">
          <cell r="I7783" t="str">
            <v>sim</v>
          </cell>
          <cell r="V7783" t="str">
            <v>not neg pair</v>
          </cell>
          <cell r="W7783">
            <v>0</v>
          </cell>
          <cell r="X7783" t="str">
            <v>0</v>
          </cell>
        </row>
        <row r="7784">
          <cell r="I7784" t="str">
            <v>met</v>
          </cell>
          <cell r="V7784" t="str">
            <v>0</v>
          </cell>
          <cell r="W7784">
            <v>0</v>
          </cell>
          <cell r="X7784" t="str">
            <v>0</v>
          </cell>
        </row>
        <row r="7785">
          <cell r="I7785" t="str">
            <v>met</v>
          </cell>
          <cell r="V7785" t="str">
            <v>0</v>
          </cell>
          <cell r="W7785">
            <v>0</v>
          </cell>
          <cell r="X7785" t="str">
            <v>0</v>
          </cell>
        </row>
        <row r="7786">
          <cell r="I7786" t="str">
            <v>sim</v>
          </cell>
          <cell r="V7786" t="str">
            <v>antonym</v>
          </cell>
          <cell r="W7786">
            <v>1</v>
          </cell>
          <cell r="X7786" t="str">
            <v>intens</v>
          </cell>
        </row>
        <row r="7787">
          <cell r="I7787" t="str">
            <v>sim</v>
          </cell>
          <cell r="V7787" t="str">
            <v>antonym</v>
          </cell>
          <cell r="W7787">
            <v>1</v>
          </cell>
          <cell r="X7787" t="str">
            <v>neg</v>
          </cell>
        </row>
        <row r="7788">
          <cell r="I7788" t="str">
            <v>sim</v>
          </cell>
          <cell r="V7788" t="str">
            <v>not neg pair</v>
          </cell>
          <cell r="W7788">
            <v>0</v>
          </cell>
          <cell r="X7788" t="str">
            <v>0</v>
          </cell>
        </row>
        <row r="7789">
          <cell r="I7789" t="str">
            <v>sim</v>
          </cell>
          <cell r="V7789" t="str">
            <v>not neg pair</v>
          </cell>
          <cell r="W7789">
            <v>0</v>
          </cell>
          <cell r="X7789" t="str">
            <v>0</v>
          </cell>
        </row>
        <row r="7790">
          <cell r="I7790" t="str">
            <v>sim</v>
          </cell>
          <cell r="V7790" t="str">
            <v>not neg pair</v>
          </cell>
          <cell r="W7790">
            <v>0</v>
          </cell>
          <cell r="X7790" t="str">
            <v>0</v>
          </cell>
        </row>
        <row r="7791">
          <cell r="I7791" t="str">
            <v>sim</v>
          </cell>
          <cell r="V7791" t="str">
            <v>not neg pair</v>
          </cell>
          <cell r="W7791">
            <v>0</v>
          </cell>
          <cell r="X7791" t="str">
            <v>0</v>
          </cell>
        </row>
        <row r="7792">
          <cell r="I7792" t="str">
            <v>met</v>
          </cell>
          <cell r="V7792" t="str">
            <v>0</v>
          </cell>
          <cell r="W7792">
            <v>0</v>
          </cell>
          <cell r="X7792" t="str">
            <v>0</v>
          </cell>
        </row>
        <row r="7793">
          <cell r="I7793" t="str">
            <v>met</v>
          </cell>
          <cell r="V7793" t="str">
            <v>0</v>
          </cell>
          <cell r="W7793">
            <v>0</v>
          </cell>
          <cell r="X7793" t="str">
            <v>0</v>
          </cell>
        </row>
        <row r="7794">
          <cell r="I7794" t="str">
            <v>met</v>
          </cell>
          <cell r="V7794" t="str">
            <v>0</v>
          </cell>
          <cell r="W7794">
            <v>0</v>
          </cell>
          <cell r="X7794" t="str">
            <v>0</v>
          </cell>
        </row>
        <row r="7795">
          <cell r="I7795" t="str">
            <v>met</v>
          </cell>
          <cell r="V7795" t="str">
            <v>0</v>
          </cell>
          <cell r="W7795">
            <v>0</v>
          </cell>
          <cell r="X7795" t="str">
            <v>0</v>
          </cell>
        </row>
        <row r="7796">
          <cell r="I7796" t="str">
            <v>sim</v>
          </cell>
          <cell r="V7796" t="str">
            <v>not</v>
          </cell>
          <cell r="W7796">
            <v>1</v>
          </cell>
          <cell r="X7796" t="str">
            <v>intens</v>
          </cell>
        </row>
        <row r="7797">
          <cell r="I7797" t="str">
            <v>sim</v>
          </cell>
          <cell r="V7797" t="str">
            <v>not</v>
          </cell>
          <cell r="W7797">
            <v>1</v>
          </cell>
          <cell r="X7797" t="str">
            <v>neg</v>
          </cell>
        </row>
        <row r="7798">
          <cell r="I7798" t="str">
            <v>sim</v>
          </cell>
          <cell r="V7798" t="str">
            <v>not neg pair</v>
          </cell>
          <cell r="W7798">
            <v>0</v>
          </cell>
          <cell r="X7798" t="str">
            <v>0</v>
          </cell>
        </row>
        <row r="7799">
          <cell r="I7799" t="str">
            <v>sim</v>
          </cell>
          <cell r="V7799" t="str">
            <v>not neg pair</v>
          </cell>
          <cell r="W7799">
            <v>0</v>
          </cell>
          <cell r="X7799" t="str">
            <v>0</v>
          </cell>
        </row>
        <row r="7800">
          <cell r="I7800" t="str">
            <v>met</v>
          </cell>
          <cell r="V7800" t="str">
            <v>0</v>
          </cell>
          <cell r="W7800">
            <v>0</v>
          </cell>
          <cell r="X7800" t="str">
            <v>0</v>
          </cell>
        </row>
        <row r="7801">
          <cell r="I7801" t="str">
            <v>met</v>
          </cell>
          <cell r="V7801" t="str">
            <v>0</v>
          </cell>
          <cell r="W7801">
            <v>0</v>
          </cell>
          <cell r="X7801" t="str">
            <v>0</v>
          </cell>
        </row>
        <row r="7802">
          <cell r="I7802" t="str">
            <v>sim</v>
          </cell>
          <cell r="V7802" t="str">
            <v>not neg pair</v>
          </cell>
          <cell r="W7802">
            <v>0</v>
          </cell>
          <cell r="X7802" t="str">
            <v>0</v>
          </cell>
        </row>
        <row r="7803">
          <cell r="I7803" t="str">
            <v>sim</v>
          </cell>
          <cell r="V7803" t="str">
            <v>not neg pair</v>
          </cell>
          <cell r="W7803">
            <v>0</v>
          </cell>
          <cell r="X7803" t="str">
            <v>0</v>
          </cell>
        </row>
        <row r="7804">
          <cell r="I7804" t="str">
            <v>sim</v>
          </cell>
          <cell r="V7804" t="str">
            <v>antonym</v>
          </cell>
          <cell r="W7804">
            <v>1</v>
          </cell>
          <cell r="X7804" t="str">
            <v>intens</v>
          </cell>
        </row>
        <row r="7805">
          <cell r="I7805" t="str">
            <v>sim</v>
          </cell>
          <cell r="V7805" t="str">
            <v>antonym</v>
          </cell>
          <cell r="W7805">
            <v>1</v>
          </cell>
          <cell r="X7805" t="str">
            <v>neg</v>
          </cell>
        </row>
        <row r="7806">
          <cell r="I7806" t="str">
            <v>sim</v>
          </cell>
          <cell r="V7806" t="str">
            <v>not neg pair</v>
          </cell>
          <cell r="W7806">
            <v>0</v>
          </cell>
          <cell r="X7806" t="str">
            <v>0</v>
          </cell>
        </row>
        <row r="7807">
          <cell r="I7807" t="str">
            <v>sim</v>
          </cell>
          <cell r="V7807" t="str">
            <v>not neg pair</v>
          </cell>
          <cell r="W7807">
            <v>0</v>
          </cell>
          <cell r="X7807" t="str">
            <v>0</v>
          </cell>
        </row>
        <row r="7808">
          <cell r="I7808" t="str">
            <v>met</v>
          </cell>
          <cell r="V7808" t="str">
            <v>0</v>
          </cell>
          <cell r="W7808">
            <v>0</v>
          </cell>
          <cell r="X7808" t="str">
            <v>0</v>
          </cell>
        </row>
        <row r="7809">
          <cell r="I7809" t="str">
            <v>met</v>
          </cell>
          <cell r="V7809" t="str">
            <v>0</v>
          </cell>
          <cell r="W7809">
            <v>0</v>
          </cell>
          <cell r="X7809" t="str">
            <v>0</v>
          </cell>
        </row>
        <row r="7810">
          <cell r="I7810" t="str">
            <v>met</v>
          </cell>
          <cell r="V7810" t="str">
            <v>0</v>
          </cell>
          <cell r="W7810">
            <v>0</v>
          </cell>
          <cell r="X7810" t="str">
            <v>0</v>
          </cell>
        </row>
        <row r="7811">
          <cell r="I7811" t="str">
            <v>met</v>
          </cell>
          <cell r="V7811" t="str">
            <v>0</v>
          </cell>
          <cell r="W7811">
            <v>0</v>
          </cell>
          <cell r="X7811" t="str">
            <v>0</v>
          </cell>
        </row>
        <row r="7812">
          <cell r="I7812" t="str">
            <v>sim</v>
          </cell>
          <cell r="V7812" t="str">
            <v>antonym</v>
          </cell>
          <cell r="W7812">
            <v>1</v>
          </cell>
          <cell r="X7812" t="str">
            <v>intens</v>
          </cell>
        </row>
        <row r="7813">
          <cell r="I7813" t="str">
            <v>sim</v>
          </cell>
          <cell r="V7813" t="str">
            <v>antonym</v>
          </cell>
          <cell r="W7813">
            <v>1</v>
          </cell>
          <cell r="X7813" t="str">
            <v>neg</v>
          </cell>
        </row>
        <row r="7814">
          <cell r="I7814" t="str">
            <v>sim</v>
          </cell>
          <cell r="V7814" t="str">
            <v>not neg pair</v>
          </cell>
          <cell r="W7814">
            <v>0</v>
          </cell>
          <cell r="X7814" t="str">
            <v>0</v>
          </cell>
        </row>
        <row r="7815">
          <cell r="I7815" t="str">
            <v>sim</v>
          </cell>
          <cell r="V7815" t="str">
            <v>not neg pair</v>
          </cell>
          <cell r="W7815">
            <v>0</v>
          </cell>
          <cell r="X7815" t="str">
            <v>0</v>
          </cell>
        </row>
        <row r="7816">
          <cell r="I7816" t="str">
            <v>met</v>
          </cell>
          <cell r="V7816" t="str">
            <v>0</v>
          </cell>
          <cell r="W7816">
            <v>0</v>
          </cell>
          <cell r="X7816" t="str">
            <v>0</v>
          </cell>
        </row>
        <row r="7817">
          <cell r="I7817" t="str">
            <v>met</v>
          </cell>
          <cell r="V7817" t="str">
            <v>0</v>
          </cell>
          <cell r="W7817">
            <v>0</v>
          </cell>
          <cell r="X7817" t="str">
            <v>0</v>
          </cell>
        </row>
        <row r="7818">
          <cell r="I7818" t="str">
            <v>sim</v>
          </cell>
          <cell r="V7818" t="str">
            <v>not neg pair</v>
          </cell>
          <cell r="W7818">
            <v>0</v>
          </cell>
          <cell r="X7818" t="str">
            <v>0</v>
          </cell>
        </row>
        <row r="7819">
          <cell r="I7819" t="str">
            <v>sim</v>
          </cell>
          <cell r="V7819" t="str">
            <v>not neg pair</v>
          </cell>
          <cell r="W7819">
            <v>0</v>
          </cell>
          <cell r="X7819" t="str">
            <v>0</v>
          </cell>
        </row>
        <row r="7820">
          <cell r="I7820" t="str">
            <v>sim</v>
          </cell>
          <cell r="V7820" t="str">
            <v>not neg pair</v>
          </cell>
          <cell r="W7820">
            <v>0</v>
          </cell>
          <cell r="X7820" t="str">
            <v>0</v>
          </cell>
        </row>
        <row r="7821">
          <cell r="I7821" t="str">
            <v>sim</v>
          </cell>
          <cell r="V7821" t="str">
            <v>not neg pair</v>
          </cell>
          <cell r="W7821">
            <v>0</v>
          </cell>
          <cell r="X7821" t="str">
            <v>0</v>
          </cell>
        </row>
        <row r="7822">
          <cell r="I7822" t="str">
            <v>met</v>
          </cell>
          <cell r="V7822" t="str">
            <v>0</v>
          </cell>
          <cell r="W7822">
            <v>0</v>
          </cell>
          <cell r="X7822" t="str">
            <v>0</v>
          </cell>
        </row>
        <row r="7823">
          <cell r="I7823" t="str">
            <v>met</v>
          </cell>
          <cell r="V7823" t="str">
            <v>0</v>
          </cell>
          <cell r="W7823">
            <v>0</v>
          </cell>
          <cell r="X7823" t="str">
            <v>0</v>
          </cell>
        </row>
        <row r="7824">
          <cell r="I7824" t="str">
            <v>met</v>
          </cell>
          <cell r="V7824" t="str">
            <v>0</v>
          </cell>
          <cell r="W7824">
            <v>0</v>
          </cell>
          <cell r="X7824" t="str">
            <v>0</v>
          </cell>
        </row>
        <row r="7825">
          <cell r="I7825" t="str">
            <v>met</v>
          </cell>
          <cell r="V7825" t="str">
            <v>0</v>
          </cell>
          <cell r="W7825">
            <v>0</v>
          </cell>
          <cell r="X7825" t="str">
            <v>0</v>
          </cell>
        </row>
        <row r="7826">
          <cell r="I7826" t="str">
            <v>sim</v>
          </cell>
          <cell r="V7826" t="str">
            <v>not</v>
          </cell>
          <cell r="W7826">
            <v>1</v>
          </cell>
          <cell r="X7826" t="str">
            <v>neg</v>
          </cell>
        </row>
        <row r="7827">
          <cell r="I7827" t="str">
            <v>sim</v>
          </cell>
          <cell r="V7827" t="str">
            <v>not</v>
          </cell>
          <cell r="W7827">
            <v>1</v>
          </cell>
          <cell r="X7827" t="str">
            <v>intens</v>
          </cell>
        </row>
        <row r="7828">
          <cell r="I7828" t="str">
            <v>sim</v>
          </cell>
          <cell r="V7828" t="str">
            <v>not neg pair</v>
          </cell>
          <cell r="W7828">
            <v>0</v>
          </cell>
          <cell r="X7828" t="str">
            <v>0</v>
          </cell>
        </row>
        <row r="7829">
          <cell r="I7829" t="str">
            <v>sim</v>
          </cell>
          <cell r="V7829" t="str">
            <v>not neg pair</v>
          </cell>
          <cell r="W7829">
            <v>0</v>
          </cell>
          <cell r="X7829" t="str">
            <v>0</v>
          </cell>
        </row>
        <row r="7830">
          <cell r="I7830" t="str">
            <v>sim</v>
          </cell>
          <cell r="V7830" t="str">
            <v>not neg pair</v>
          </cell>
          <cell r="W7830">
            <v>0</v>
          </cell>
          <cell r="X7830" t="str">
            <v>0</v>
          </cell>
        </row>
        <row r="7831">
          <cell r="I7831" t="str">
            <v>sim</v>
          </cell>
          <cell r="V7831" t="str">
            <v>not neg pair</v>
          </cell>
          <cell r="W7831">
            <v>0</v>
          </cell>
          <cell r="X7831" t="str">
            <v>0</v>
          </cell>
        </row>
        <row r="7832">
          <cell r="I7832" t="str">
            <v>met</v>
          </cell>
          <cell r="V7832" t="str">
            <v>0</v>
          </cell>
          <cell r="W7832">
            <v>0</v>
          </cell>
          <cell r="X7832" t="str">
            <v>0</v>
          </cell>
        </row>
        <row r="7833">
          <cell r="I7833" t="str">
            <v>met</v>
          </cell>
          <cell r="V7833" t="str">
            <v>0</v>
          </cell>
          <cell r="W7833">
            <v>0</v>
          </cell>
          <cell r="X7833" t="str">
            <v>0</v>
          </cell>
        </row>
        <row r="7834">
          <cell r="I7834" t="str">
            <v>sim</v>
          </cell>
          <cell r="V7834" t="str">
            <v>not</v>
          </cell>
          <cell r="W7834">
            <v>1</v>
          </cell>
          <cell r="X7834" t="str">
            <v>neg</v>
          </cell>
        </row>
        <row r="7835">
          <cell r="I7835" t="str">
            <v>sim</v>
          </cell>
          <cell r="V7835" t="str">
            <v>not</v>
          </cell>
          <cell r="W7835">
            <v>1</v>
          </cell>
          <cell r="X7835" t="str">
            <v>intens</v>
          </cell>
        </row>
        <row r="7836">
          <cell r="I7836" t="str">
            <v>sim</v>
          </cell>
          <cell r="V7836" t="str">
            <v>not</v>
          </cell>
          <cell r="W7836">
            <v>1</v>
          </cell>
          <cell r="X7836" t="str">
            <v>neg</v>
          </cell>
        </row>
        <row r="7837">
          <cell r="I7837" t="str">
            <v>sim</v>
          </cell>
          <cell r="V7837" t="str">
            <v>not</v>
          </cell>
          <cell r="W7837">
            <v>1</v>
          </cell>
          <cell r="X7837" t="str">
            <v>intens</v>
          </cell>
        </row>
        <row r="7838">
          <cell r="I7838" t="str">
            <v>sim</v>
          </cell>
          <cell r="V7838" t="str">
            <v>not neg pair</v>
          </cell>
          <cell r="W7838">
            <v>0</v>
          </cell>
          <cell r="X7838" t="str">
            <v>0</v>
          </cell>
        </row>
        <row r="7839">
          <cell r="I7839" t="str">
            <v>sim</v>
          </cell>
          <cell r="V7839" t="str">
            <v>not neg pair</v>
          </cell>
          <cell r="W7839">
            <v>0</v>
          </cell>
          <cell r="X7839" t="str">
            <v>0</v>
          </cell>
        </row>
        <row r="7840">
          <cell r="I7840" t="str">
            <v>sim</v>
          </cell>
          <cell r="V7840" t="str">
            <v>not neg pair</v>
          </cell>
          <cell r="W7840">
            <v>0</v>
          </cell>
          <cell r="X7840" t="str">
            <v>0</v>
          </cell>
        </row>
        <row r="7841">
          <cell r="I7841" t="str">
            <v>sim</v>
          </cell>
          <cell r="V7841" t="str">
            <v>not neg pair</v>
          </cell>
          <cell r="W7841">
            <v>0</v>
          </cell>
          <cell r="X7841" t="str">
            <v>0</v>
          </cell>
        </row>
        <row r="7842">
          <cell r="I7842" t="str">
            <v>met</v>
          </cell>
          <cell r="V7842" t="str">
            <v>0</v>
          </cell>
          <cell r="W7842">
            <v>0</v>
          </cell>
          <cell r="X7842" t="str">
            <v>0</v>
          </cell>
        </row>
        <row r="7843">
          <cell r="I7843" t="str">
            <v>met</v>
          </cell>
          <cell r="V7843" t="str">
            <v>0</v>
          </cell>
          <cell r="W7843">
            <v>0</v>
          </cell>
          <cell r="X7843" t="str">
            <v>0</v>
          </cell>
        </row>
        <row r="7844">
          <cell r="I7844" t="str">
            <v>sim</v>
          </cell>
          <cell r="V7844" t="str">
            <v>not</v>
          </cell>
          <cell r="W7844">
            <v>1</v>
          </cell>
          <cell r="X7844" t="str">
            <v>intens</v>
          </cell>
        </row>
        <row r="7845">
          <cell r="I7845" t="str">
            <v>sim</v>
          </cell>
          <cell r="V7845" t="str">
            <v>not</v>
          </cell>
          <cell r="W7845">
            <v>1</v>
          </cell>
          <cell r="X7845" t="str">
            <v>neg</v>
          </cell>
        </row>
        <row r="7846">
          <cell r="I7846" t="str">
            <v>sim</v>
          </cell>
          <cell r="V7846" t="str">
            <v>not neg pair</v>
          </cell>
          <cell r="W7846">
            <v>0</v>
          </cell>
          <cell r="X7846" t="str">
            <v>0</v>
          </cell>
        </row>
        <row r="7847">
          <cell r="I7847" t="str">
            <v>sim</v>
          </cell>
          <cell r="V7847" t="str">
            <v>not neg pair</v>
          </cell>
          <cell r="W7847">
            <v>0</v>
          </cell>
          <cell r="X7847" t="str">
            <v>0</v>
          </cell>
        </row>
        <row r="7848">
          <cell r="I7848" t="str">
            <v>sim</v>
          </cell>
          <cell r="V7848" t="str">
            <v>antonym</v>
          </cell>
          <cell r="W7848">
            <v>1</v>
          </cell>
          <cell r="X7848" t="str">
            <v>intens</v>
          </cell>
        </row>
        <row r="7849">
          <cell r="I7849" t="str">
            <v>sim</v>
          </cell>
          <cell r="V7849" t="str">
            <v>antonym</v>
          </cell>
          <cell r="W7849">
            <v>1</v>
          </cell>
          <cell r="X7849" t="str">
            <v>neg</v>
          </cell>
        </row>
        <row r="7850">
          <cell r="I7850" t="str">
            <v>sim</v>
          </cell>
          <cell r="V7850" t="str">
            <v>not neg pair</v>
          </cell>
          <cell r="W7850">
            <v>0</v>
          </cell>
          <cell r="X7850" t="str">
            <v>0</v>
          </cell>
        </row>
        <row r="7851">
          <cell r="I7851" t="str">
            <v>sim</v>
          </cell>
          <cell r="V7851" t="str">
            <v>not neg pair</v>
          </cell>
          <cell r="W7851">
            <v>0</v>
          </cell>
          <cell r="X7851" t="str">
            <v>0</v>
          </cell>
        </row>
        <row r="7852">
          <cell r="I7852" t="str">
            <v>sim</v>
          </cell>
          <cell r="V7852" t="str">
            <v>not neg pair</v>
          </cell>
          <cell r="W7852">
            <v>0</v>
          </cell>
          <cell r="X7852" t="str">
            <v>0</v>
          </cell>
        </row>
        <row r="7853">
          <cell r="I7853" t="str">
            <v>sim</v>
          </cell>
          <cell r="V7853" t="str">
            <v>not neg pair</v>
          </cell>
          <cell r="W7853">
            <v>0</v>
          </cell>
          <cell r="X7853" t="str">
            <v>0</v>
          </cell>
        </row>
        <row r="7854">
          <cell r="I7854" t="str">
            <v>sim</v>
          </cell>
          <cell r="V7854" t="str">
            <v>not neg pair</v>
          </cell>
          <cell r="W7854">
            <v>0</v>
          </cell>
          <cell r="X7854" t="str">
            <v>0</v>
          </cell>
        </row>
        <row r="7855">
          <cell r="I7855" t="str">
            <v>sim</v>
          </cell>
          <cell r="V7855" t="str">
            <v>not neg pair</v>
          </cell>
          <cell r="W7855">
            <v>0</v>
          </cell>
          <cell r="X7855" t="str">
            <v>0</v>
          </cell>
        </row>
        <row r="7856">
          <cell r="I7856" t="str">
            <v>sim</v>
          </cell>
          <cell r="V7856" t="str">
            <v>not</v>
          </cell>
          <cell r="W7856">
            <v>1</v>
          </cell>
          <cell r="X7856" t="str">
            <v>intens</v>
          </cell>
        </row>
        <row r="7857">
          <cell r="I7857" t="str">
            <v>sim</v>
          </cell>
          <cell r="V7857" t="str">
            <v>not</v>
          </cell>
          <cell r="W7857">
            <v>1</v>
          </cell>
          <cell r="X7857" t="str">
            <v>neg</v>
          </cell>
        </row>
        <row r="7858">
          <cell r="I7858" t="str">
            <v>sim</v>
          </cell>
          <cell r="V7858" t="str">
            <v>not</v>
          </cell>
          <cell r="W7858">
            <v>1</v>
          </cell>
          <cell r="X7858" t="str">
            <v>intens</v>
          </cell>
        </row>
        <row r="7859">
          <cell r="I7859" t="str">
            <v>sim</v>
          </cell>
          <cell r="V7859" t="str">
            <v>not</v>
          </cell>
          <cell r="W7859">
            <v>1</v>
          </cell>
          <cell r="X7859" t="str">
            <v>neg</v>
          </cell>
        </row>
        <row r="7860">
          <cell r="I7860" t="str">
            <v>sim</v>
          </cell>
          <cell r="V7860" t="str">
            <v>antonym</v>
          </cell>
          <cell r="W7860">
            <v>1</v>
          </cell>
          <cell r="X7860" t="str">
            <v>neg</v>
          </cell>
        </row>
        <row r="7861">
          <cell r="I7861" t="str">
            <v>sim</v>
          </cell>
          <cell r="V7861" t="str">
            <v>antonym</v>
          </cell>
          <cell r="W7861">
            <v>1</v>
          </cell>
          <cell r="X7861" t="str">
            <v>intens</v>
          </cell>
        </row>
        <row r="7862">
          <cell r="I7862" t="str">
            <v>sim</v>
          </cell>
          <cell r="V7862" t="str">
            <v>not neg pair</v>
          </cell>
          <cell r="W7862">
            <v>0</v>
          </cell>
          <cell r="X7862" t="str">
            <v>0</v>
          </cell>
        </row>
        <row r="7863">
          <cell r="I7863" t="str">
            <v>sim</v>
          </cell>
          <cell r="V7863" t="str">
            <v>not neg pair</v>
          </cell>
          <cell r="W7863">
            <v>0</v>
          </cell>
          <cell r="X7863" t="str">
            <v>0</v>
          </cell>
        </row>
        <row r="7864">
          <cell r="I7864" t="str">
            <v>sim</v>
          </cell>
          <cell r="V7864" t="str">
            <v>not</v>
          </cell>
          <cell r="W7864">
            <v>1</v>
          </cell>
          <cell r="X7864" t="str">
            <v>intens</v>
          </cell>
        </row>
        <row r="7865">
          <cell r="I7865" t="str">
            <v>sim</v>
          </cell>
          <cell r="V7865" t="str">
            <v>not</v>
          </cell>
          <cell r="W7865">
            <v>1</v>
          </cell>
          <cell r="X7865" t="str">
            <v>neg</v>
          </cell>
        </row>
        <row r="7866">
          <cell r="I7866" t="str">
            <v>sim</v>
          </cell>
          <cell r="V7866" t="str">
            <v>not</v>
          </cell>
          <cell r="W7866">
            <v>1</v>
          </cell>
          <cell r="X7866" t="str">
            <v>intens</v>
          </cell>
        </row>
        <row r="7867">
          <cell r="I7867" t="str">
            <v>sim</v>
          </cell>
          <cell r="V7867" t="str">
            <v>not</v>
          </cell>
          <cell r="W7867">
            <v>1</v>
          </cell>
          <cell r="X7867" t="str">
            <v>neg</v>
          </cell>
        </row>
        <row r="7868">
          <cell r="I7868" t="str">
            <v>sim</v>
          </cell>
          <cell r="V7868" t="str">
            <v>not</v>
          </cell>
          <cell r="W7868">
            <v>1</v>
          </cell>
          <cell r="X7868" t="str">
            <v>intens</v>
          </cell>
        </row>
        <row r="7869">
          <cell r="I7869" t="str">
            <v>sim</v>
          </cell>
          <cell r="V7869" t="str">
            <v>not</v>
          </cell>
          <cell r="W7869">
            <v>1</v>
          </cell>
          <cell r="X7869" t="str">
            <v>neg</v>
          </cell>
        </row>
        <row r="7870">
          <cell r="I7870" t="str">
            <v>sim</v>
          </cell>
          <cell r="V7870" t="str">
            <v>not neg pair</v>
          </cell>
          <cell r="W7870">
            <v>0</v>
          </cell>
          <cell r="X7870" t="str">
            <v>0</v>
          </cell>
        </row>
        <row r="7871">
          <cell r="I7871" t="str">
            <v>sim</v>
          </cell>
          <cell r="V7871" t="str">
            <v>not neg pair</v>
          </cell>
          <cell r="W7871">
            <v>0</v>
          </cell>
          <cell r="X7871" t="str">
            <v>0</v>
          </cell>
        </row>
        <row r="7872">
          <cell r="I7872" t="str">
            <v>sim</v>
          </cell>
          <cell r="V7872" t="str">
            <v>not</v>
          </cell>
          <cell r="W7872">
            <v>1</v>
          </cell>
          <cell r="X7872" t="str">
            <v>intens</v>
          </cell>
        </row>
        <row r="7873">
          <cell r="I7873" t="str">
            <v>sim</v>
          </cell>
          <cell r="V7873" t="str">
            <v>not</v>
          </cell>
          <cell r="W7873">
            <v>1</v>
          </cell>
          <cell r="X7873" t="str">
            <v>neg</v>
          </cell>
        </row>
        <row r="7874">
          <cell r="I7874" t="str">
            <v>sim</v>
          </cell>
          <cell r="V7874" t="str">
            <v>not neg pair</v>
          </cell>
          <cell r="W7874">
            <v>0</v>
          </cell>
          <cell r="X7874" t="str">
            <v>0</v>
          </cell>
        </row>
        <row r="7875">
          <cell r="I7875" t="str">
            <v>sim</v>
          </cell>
          <cell r="V7875" t="str">
            <v>not neg pair</v>
          </cell>
          <cell r="W7875">
            <v>0</v>
          </cell>
          <cell r="X7875" t="str">
            <v>0</v>
          </cell>
        </row>
        <row r="7876">
          <cell r="I7876" t="str">
            <v>sim</v>
          </cell>
          <cell r="V7876" t="str">
            <v>not neg pair</v>
          </cell>
          <cell r="W7876">
            <v>0</v>
          </cell>
          <cell r="X7876" t="str">
            <v>0</v>
          </cell>
        </row>
        <row r="7877">
          <cell r="I7877" t="str">
            <v>sim</v>
          </cell>
          <cell r="V7877" t="str">
            <v>not neg pair</v>
          </cell>
          <cell r="W7877">
            <v>0</v>
          </cell>
          <cell r="X7877" t="str">
            <v>0</v>
          </cell>
        </row>
        <row r="7878">
          <cell r="I7878" t="str">
            <v>sim</v>
          </cell>
          <cell r="V7878" t="str">
            <v>not</v>
          </cell>
          <cell r="W7878">
            <v>1</v>
          </cell>
          <cell r="X7878" t="str">
            <v>intens</v>
          </cell>
        </row>
        <row r="7879">
          <cell r="I7879" t="str">
            <v>sim</v>
          </cell>
          <cell r="V7879" t="str">
            <v>not</v>
          </cell>
          <cell r="W7879">
            <v>1</v>
          </cell>
          <cell r="X7879" t="str">
            <v>neg</v>
          </cell>
        </row>
        <row r="7880">
          <cell r="I7880" t="str">
            <v>sim</v>
          </cell>
          <cell r="V7880" t="str">
            <v>not neg pair</v>
          </cell>
          <cell r="W7880">
            <v>0</v>
          </cell>
          <cell r="X7880" t="str">
            <v>0</v>
          </cell>
        </row>
        <row r="7881">
          <cell r="I7881" t="str">
            <v>sim</v>
          </cell>
          <cell r="V7881" t="str">
            <v>not neg pair</v>
          </cell>
          <cell r="W7881">
            <v>0</v>
          </cell>
          <cell r="X7881" t="str">
            <v>0</v>
          </cell>
        </row>
        <row r="7882">
          <cell r="I7882" t="str">
            <v>sim</v>
          </cell>
          <cell r="V7882" t="str">
            <v>not neg pair</v>
          </cell>
          <cell r="W7882">
            <v>0</v>
          </cell>
          <cell r="X7882" t="str">
            <v>0</v>
          </cell>
        </row>
        <row r="7883">
          <cell r="I7883" t="str">
            <v>sim</v>
          </cell>
          <cell r="V7883" t="str">
            <v>not neg pair</v>
          </cell>
          <cell r="W7883">
            <v>0</v>
          </cell>
          <cell r="X7883" t="str">
            <v>0</v>
          </cell>
        </row>
        <row r="7884">
          <cell r="I7884" t="str">
            <v>sim</v>
          </cell>
          <cell r="V7884" t="str">
            <v>antonym</v>
          </cell>
          <cell r="W7884">
            <v>1</v>
          </cell>
          <cell r="X7884" t="str">
            <v>intens</v>
          </cell>
        </row>
        <row r="7885">
          <cell r="I7885" t="str">
            <v>sim</v>
          </cell>
          <cell r="V7885" t="str">
            <v>antonym</v>
          </cell>
          <cell r="W7885">
            <v>1</v>
          </cell>
          <cell r="X7885" t="str">
            <v>neg</v>
          </cell>
        </row>
        <row r="7886">
          <cell r="I7886" t="str">
            <v>sim</v>
          </cell>
          <cell r="V7886" t="str">
            <v>not neg pair</v>
          </cell>
          <cell r="W7886">
            <v>0</v>
          </cell>
          <cell r="X7886" t="str">
            <v>0</v>
          </cell>
        </row>
        <row r="7887">
          <cell r="I7887" t="str">
            <v>sim</v>
          </cell>
          <cell r="V7887" t="str">
            <v>not neg pair</v>
          </cell>
          <cell r="W7887">
            <v>0</v>
          </cell>
          <cell r="X7887" t="str">
            <v>0</v>
          </cell>
        </row>
        <row r="7888">
          <cell r="I7888" t="str">
            <v>met</v>
          </cell>
          <cell r="V7888" t="str">
            <v>0</v>
          </cell>
          <cell r="W7888">
            <v>0</v>
          </cell>
          <cell r="X7888" t="str">
            <v>0</v>
          </cell>
        </row>
        <row r="7889">
          <cell r="I7889" t="str">
            <v>met</v>
          </cell>
          <cell r="V7889" t="str">
            <v>0</v>
          </cell>
          <cell r="W7889">
            <v>0</v>
          </cell>
          <cell r="X7889" t="str">
            <v>0</v>
          </cell>
        </row>
        <row r="7890">
          <cell r="I7890" t="str">
            <v>sim</v>
          </cell>
          <cell r="V7890" t="str">
            <v>not neg pair</v>
          </cell>
          <cell r="W7890">
            <v>0</v>
          </cell>
          <cell r="X7890" t="str">
            <v>0</v>
          </cell>
        </row>
        <row r="7891">
          <cell r="I7891" t="str">
            <v>sim</v>
          </cell>
          <cell r="V7891" t="str">
            <v>not neg pair</v>
          </cell>
          <cell r="W7891">
            <v>0</v>
          </cell>
          <cell r="X7891" t="str">
            <v>0</v>
          </cell>
        </row>
        <row r="7892">
          <cell r="I7892" t="str">
            <v>sim</v>
          </cell>
          <cell r="V7892" t="str">
            <v>not neg pair</v>
          </cell>
          <cell r="W7892">
            <v>0</v>
          </cell>
          <cell r="X7892" t="str">
            <v>0</v>
          </cell>
        </row>
        <row r="7893">
          <cell r="I7893" t="str">
            <v>sim</v>
          </cell>
          <cell r="V7893" t="str">
            <v>not neg pair</v>
          </cell>
          <cell r="W7893">
            <v>0</v>
          </cell>
          <cell r="X7893" t="str">
            <v>0</v>
          </cell>
        </row>
        <row r="7894">
          <cell r="I7894" t="str">
            <v>sim</v>
          </cell>
          <cell r="V7894" t="str">
            <v>not neg pair</v>
          </cell>
          <cell r="W7894">
            <v>0</v>
          </cell>
          <cell r="X7894" t="str">
            <v>0</v>
          </cell>
        </row>
        <row r="7895">
          <cell r="I7895" t="str">
            <v>sim</v>
          </cell>
          <cell r="V7895" t="str">
            <v>not neg pair</v>
          </cell>
          <cell r="W7895">
            <v>0</v>
          </cell>
          <cell r="X7895" t="str">
            <v>0</v>
          </cell>
        </row>
        <row r="7896">
          <cell r="I7896" t="str">
            <v>sim</v>
          </cell>
          <cell r="V7896" t="str">
            <v>not neg pair</v>
          </cell>
          <cell r="W7896">
            <v>0</v>
          </cell>
          <cell r="X7896" t="str">
            <v>0</v>
          </cell>
        </row>
        <row r="7897">
          <cell r="I7897" t="str">
            <v>sim</v>
          </cell>
          <cell r="V7897" t="str">
            <v>not neg pair</v>
          </cell>
          <cell r="W7897">
            <v>0</v>
          </cell>
          <cell r="X7897" t="str">
            <v>0</v>
          </cell>
        </row>
        <row r="7898">
          <cell r="I7898" t="str">
            <v>met</v>
          </cell>
          <cell r="V7898" t="str">
            <v>0</v>
          </cell>
          <cell r="W7898">
            <v>0</v>
          </cell>
          <cell r="X7898" t="str">
            <v>0</v>
          </cell>
        </row>
        <row r="7899">
          <cell r="I7899" t="str">
            <v>met</v>
          </cell>
          <cell r="V7899" t="str">
            <v>0</v>
          </cell>
          <cell r="W7899">
            <v>0</v>
          </cell>
          <cell r="X7899" t="str">
            <v>0</v>
          </cell>
        </row>
        <row r="7900">
          <cell r="I7900" t="str">
            <v>sim</v>
          </cell>
          <cell r="V7900" t="str">
            <v>not neg pair</v>
          </cell>
          <cell r="W7900">
            <v>0</v>
          </cell>
          <cell r="X7900" t="str">
            <v>0</v>
          </cell>
        </row>
        <row r="7901">
          <cell r="I7901" t="str">
            <v>sim</v>
          </cell>
          <cell r="V7901" t="str">
            <v>not neg pair</v>
          </cell>
          <cell r="W7901">
            <v>0</v>
          </cell>
          <cell r="X7901" t="str">
            <v>0</v>
          </cell>
        </row>
        <row r="7902">
          <cell r="I7902" t="str">
            <v>sim</v>
          </cell>
          <cell r="V7902" t="str">
            <v>not</v>
          </cell>
          <cell r="W7902">
            <v>1</v>
          </cell>
          <cell r="X7902" t="str">
            <v>neg</v>
          </cell>
        </row>
        <row r="7903">
          <cell r="I7903" t="str">
            <v>sim</v>
          </cell>
          <cell r="V7903" t="str">
            <v>not</v>
          </cell>
          <cell r="W7903">
            <v>1</v>
          </cell>
          <cell r="X7903" t="str">
            <v>intens</v>
          </cell>
        </row>
        <row r="7904">
          <cell r="I7904" t="str">
            <v>sim</v>
          </cell>
          <cell r="V7904" t="str">
            <v>not</v>
          </cell>
          <cell r="W7904">
            <v>1</v>
          </cell>
          <cell r="X7904" t="str">
            <v>intens</v>
          </cell>
        </row>
        <row r="7905">
          <cell r="I7905" t="str">
            <v>sim</v>
          </cell>
          <cell r="V7905" t="str">
            <v>not</v>
          </cell>
          <cell r="W7905">
            <v>1</v>
          </cell>
          <cell r="X7905" t="str">
            <v>neg</v>
          </cell>
        </row>
        <row r="7906">
          <cell r="I7906" t="str">
            <v>sim</v>
          </cell>
          <cell r="V7906" t="str">
            <v>antonym</v>
          </cell>
          <cell r="W7906">
            <v>1</v>
          </cell>
          <cell r="X7906" t="str">
            <v>neg</v>
          </cell>
        </row>
        <row r="7907">
          <cell r="I7907" t="str">
            <v>sim</v>
          </cell>
          <cell r="V7907" t="str">
            <v>antonym</v>
          </cell>
          <cell r="W7907">
            <v>1</v>
          </cell>
          <cell r="X7907" t="str">
            <v>intens</v>
          </cell>
        </row>
        <row r="7908">
          <cell r="I7908" t="str">
            <v>sim</v>
          </cell>
          <cell r="V7908" t="str">
            <v>not neg pair</v>
          </cell>
          <cell r="W7908">
            <v>0</v>
          </cell>
          <cell r="X7908" t="str">
            <v>0</v>
          </cell>
        </row>
        <row r="7909">
          <cell r="I7909" t="str">
            <v>sim</v>
          </cell>
          <cell r="V7909" t="str">
            <v>not neg pair</v>
          </cell>
          <cell r="W7909">
            <v>0</v>
          </cell>
          <cell r="X7909" t="str">
            <v>0</v>
          </cell>
        </row>
        <row r="7910">
          <cell r="I7910" t="str">
            <v>sim</v>
          </cell>
          <cell r="V7910" t="str">
            <v>not neg pair</v>
          </cell>
          <cell r="W7910">
            <v>0</v>
          </cell>
          <cell r="X7910" t="str">
            <v>0</v>
          </cell>
        </row>
        <row r="7911">
          <cell r="I7911" t="str">
            <v>sim</v>
          </cell>
          <cell r="V7911" t="str">
            <v>not neg pair</v>
          </cell>
          <cell r="W7911">
            <v>0</v>
          </cell>
          <cell r="X7911" t="str">
            <v>0</v>
          </cell>
        </row>
        <row r="7912">
          <cell r="I7912" t="str">
            <v>sim</v>
          </cell>
          <cell r="V7912" t="str">
            <v>antonym</v>
          </cell>
          <cell r="W7912">
            <v>1</v>
          </cell>
          <cell r="X7912" t="str">
            <v>intens</v>
          </cell>
        </row>
        <row r="7913">
          <cell r="I7913" t="str">
            <v>sim</v>
          </cell>
          <cell r="V7913" t="str">
            <v>antonym</v>
          </cell>
          <cell r="W7913">
            <v>1</v>
          </cell>
          <cell r="X7913" t="str">
            <v>neg</v>
          </cell>
        </row>
        <row r="7914">
          <cell r="I7914" t="str">
            <v>sim</v>
          </cell>
          <cell r="V7914" t="str">
            <v>not neg pair</v>
          </cell>
          <cell r="W7914">
            <v>0</v>
          </cell>
          <cell r="X7914" t="str">
            <v>0</v>
          </cell>
        </row>
        <row r="7915">
          <cell r="I7915" t="str">
            <v>sim</v>
          </cell>
          <cell r="V7915" t="str">
            <v>not neg pair</v>
          </cell>
          <cell r="W7915">
            <v>0</v>
          </cell>
          <cell r="X7915" t="str">
            <v>0</v>
          </cell>
        </row>
        <row r="7916">
          <cell r="I7916" t="str">
            <v>sim</v>
          </cell>
          <cell r="V7916" t="str">
            <v>antonym</v>
          </cell>
          <cell r="W7916">
            <v>1</v>
          </cell>
          <cell r="X7916" t="str">
            <v>intens</v>
          </cell>
        </row>
        <row r="7917">
          <cell r="I7917" t="str">
            <v>sim</v>
          </cell>
          <cell r="V7917" t="str">
            <v>antonym</v>
          </cell>
          <cell r="W7917">
            <v>1</v>
          </cell>
          <cell r="X7917" t="str">
            <v>neg</v>
          </cell>
        </row>
        <row r="7918">
          <cell r="I7918" t="str">
            <v>sim</v>
          </cell>
          <cell r="V7918" t="str">
            <v>antonym</v>
          </cell>
          <cell r="W7918">
            <v>1</v>
          </cell>
          <cell r="X7918" t="str">
            <v>neg</v>
          </cell>
        </row>
        <row r="7919">
          <cell r="I7919" t="str">
            <v>sim</v>
          </cell>
          <cell r="V7919" t="str">
            <v>antonym</v>
          </cell>
          <cell r="W7919">
            <v>1</v>
          </cell>
          <cell r="X7919" t="str">
            <v>intens</v>
          </cell>
        </row>
        <row r="7920">
          <cell r="I7920" t="str">
            <v>sim</v>
          </cell>
          <cell r="V7920" t="str">
            <v>not neg pair</v>
          </cell>
          <cell r="W7920">
            <v>0</v>
          </cell>
          <cell r="X7920" t="str">
            <v>0</v>
          </cell>
        </row>
        <row r="7921">
          <cell r="I7921" t="str">
            <v>sim</v>
          </cell>
          <cell r="V7921" t="str">
            <v>not neg pair</v>
          </cell>
          <cell r="W7921">
            <v>0</v>
          </cell>
          <cell r="X7921" t="str">
            <v>0</v>
          </cell>
        </row>
        <row r="7922">
          <cell r="I7922" t="str">
            <v>sim</v>
          </cell>
          <cell r="V7922" t="str">
            <v>not neg pair</v>
          </cell>
          <cell r="W7922">
            <v>0</v>
          </cell>
          <cell r="X7922" t="str">
            <v>0</v>
          </cell>
        </row>
        <row r="7923">
          <cell r="I7923" t="str">
            <v>sim</v>
          </cell>
          <cell r="V7923" t="str">
            <v>not neg pair</v>
          </cell>
          <cell r="W7923">
            <v>0</v>
          </cell>
          <cell r="X7923" t="str">
            <v>0</v>
          </cell>
        </row>
        <row r="7924">
          <cell r="I7924" t="str">
            <v>sim</v>
          </cell>
          <cell r="V7924" t="str">
            <v>not</v>
          </cell>
          <cell r="W7924">
            <v>1</v>
          </cell>
          <cell r="X7924" t="str">
            <v>intens</v>
          </cell>
        </row>
        <row r="7925">
          <cell r="I7925" t="str">
            <v>sim</v>
          </cell>
          <cell r="V7925" t="str">
            <v>not</v>
          </cell>
          <cell r="W7925">
            <v>1</v>
          </cell>
          <cell r="X7925" t="str">
            <v>neg</v>
          </cell>
        </row>
        <row r="7926">
          <cell r="I7926" t="str">
            <v>sim</v>
          </cell>
          <cell r="V7926" t="str">
            <v>not neg pair</v>
          </cell>
          <cell r="W7926">
            <v>0</v>
          </cell>
          <cell r="X7926" t="str">
            <v>0</v>
          </cell>
        </row>
        <row r="7927">
          <cell r="I7927" t="str">
            <v>sim</v>
          </cell>
          <cell r="V7927" t="str">
            <v>not neg pair</v>
          </cell>
          <cell r="W7927">
            <v>0</v>
          </cell>
          <cell r="X7927" t="str">
            <v>0</v>
          </cell>
        </row>
        <row r="7928">
          <cell r="I7928" t="str">
            <v>sim</v>
          </cell>
          <cell r="V7928" t="str">
            <v>not</v>
          </cell>
          <cell r="W7928">
            <v>1</v>
          </cell>
          <cell r="X7928" t="str">
            <v>neg</v>
          </cell>
        </row>
        <row r="7929">
          <cell r="I7929" t="str">
            <v>sim</v>
          </cell>
          <cell r="V7929" t="str">
            <v>not</v>
          </cell>
          <cell r="W7929">
            <v>1</v>
          </cell>
          <cell r="X7929" t="str">
            <v>intens</v>
          </cell>
        </row>
        <row r="7930">
          <cell r="I7930" t="str">
            <v>sim</v>
          </cell>
          <cell r="V7930" t="str">
            <v>not neg pair</v>
          </cell>
          <cell r="W7930">
            <v>0</v>
          </cell>
          <cell r="X7930" t="str">
            <v>0</v>
          </cell>
        </row>
        <row r="7931">
          <cell r="I7931" t="str">
            <v>sim</v>
          </cell>
          <cell r="V7931" t="str">
            <v>not neg pair</v>
          </cell>
          <cell r="W7931">
            <v>0</v>
          </cell>
          <cell r="X7931" t="str">
            <v>0</v>
          </cell>
        </row>
        <row r="7932">
          <cell r="I7932" t="str">
            <v>sim</v>
          </cell>
          <cell r="V7932" t="str">
            <v>not neg pair</v>
          </cell>
          <cell r="W7932">
            <v>0</v>
          </cell>
          <cell r="X7932" t="str">
            <v>0</v>
          </cell>
        </row>
        <row r="7933">
          <cell r="I7933" t="str">
            <v>sim</v>
          </cell>
          <cell r="V7933" t="str">
            <v>not neg pair</v>
          </cell>
          <cell r="W7933">
            <v>0</v>
          </cell>
          <cell r="X7933" t="str">
            <v>0</v>
          </cell>
        </row>
        <row r="7934">
          <cell r="I7934" t="str">
            <v>sim</v>
          </cell>
          <cell r="V7934" t="str">
            <v>not neg pair</v>
          </cell>
          <cell r="W7934">
            <v>0</v>
          </cell>
          <cell r="X7934" t="str">
            <v>0</v>
          </cell>
        </row>
        <row r="7935">
          <cell r="I7935" t="str">
            <v>sim</v>
          </cell>
          <cell r="V7935" t="str">
            <v>not neg pair</v>
          </cell>
          <cell r="W7935">
            <v>0</v>
          </cell>
          <cell r="X7935" t="str">
            <v>0</v>
          </cell>
        </row>
        <row r="7936">
          <cell r="I7936" t="str">
            <v>met</v>
          </cell>
          <cell r="V7936" t="str">
            <v>0</v>
          </cell>
          <cell r="W7936">
            <v>0</v>
          </cell>
          <cell r="X7936" t="str">
            <v>0</v>
          </cell>
        </row>
        <row r="7937">
          <cell r="I7937" t="str">
            <v>met</v>
          </cell>
          <cell r="V7937" t="str">
            <v>0</v>
          </cell>
          <cell r="W7937">
            <v>0</v>
          </cell>
          <cell r="X7937" t="str">
            <v>0</v>
          </cell>
        </row>
        <row r="7938">
          <cell r="I7938" t="str">
            <v>sim</v>
          </cell>
          <cell r="V7938" t="str">
            <v>not neg pair</v>
          </cell>
          <cell r="W7938">
            <v>0</v>
          </cell>
          <cell r="X7938" t="str">
            <v>0</v>
          </cell>
        </row>
        <row r="7939">
          <cell r="I7939" t="str">
            <v>sim</v>
          </cell>
          <cell r="V7939" t="str">
            <v>not neg pair</v>
          </cell>
          <cell r="W7939">
            <v>0</v>
          </cell>
          <cell r="X7939" t="str">
            <v>0</v>
          </cell>
        </row>
        <row r="7940">
          <cell r="I7940" t="str">
            <v>sim</v>
          </cell>
          <cell r="V7940" t="str">
            <v>not neg pair</v>
          </cell>
          <cell r="W7940">
            <v>0</v>
          </cell>
          <cell r="X7940" t="str">
            <v>0</v>
          </cell>
        </row>
        <row r="7941">
          <cell r="I7941" t="str">
            <v>sim</v>
          </cell>
          <cell r="V7941" t="str">
            <v>not neg pair</v>
          </cell>
          <cell r="W7941">
            <v>0</v>
          </cell>
          <cell r="X7941" t="str">
            <v>0</v>
          </cell>
        </row>
        <row r="7942">
          <cell r="I7942" t="str">
            <v>met</v>
          </cell>
          <cell r="V7942" t="str">
            <v>0</v>
          </cell>
          <cell r="W7942">
            <v>0</v>
          </cell>
          <cell r="X7942" t="str">
            <v>0</v>
          </cell>
        </row>
        <row r="7943">
          <cell r="I7943" t="str">
            <v>met</v>
          </cell>
          <cell r="V7943" t="str">
            <v>0</v>
          </cell>
          <cell r="W7943">
            <v>0</v>
          </cell>
          <cell r="X7943" t="str">
            <v>0</v>
          </cell>
        </row>
        <row r="7944">
          <cell r="I7944" t="str">
            <v>sim</v>
          </cell>
          <cell r="V7944" t="str">
            <v>not</v>
          </cell>
          <cell r="W7944">
            <v>1</v>
          </cell>
          <cell r="X7944" t="str">
            <v>intens</v>
          </cell>
        </row>
        <row r="7945">
          <cell r="I7945" t="str">
            <v>sim</v>
          </cell>
          <cell r="V7945" t="str">
            <v>not</v>
          </cell>
          <cell r="W7945">
            <v>1</v>
          </cell>
          <cell r="X7945" t="str">
            <v>neg</v>
          </cell>
        </row>
        <row r="7946">
          <cell r="I7946" t="str">
            <v>sim</v>
          </cell>
          <cell r="V7946" t="str">
            <v>not neg pair</v>
          </cell>
          <cell r="W7946">
            <v>0</v>
          </cell>
          <cell r="X7946" t="str">
            <v>0</v>
          </cell>
        </row>
        <row r="7947">
          <cell r="I7947" t="str">
            <v>sim</v>
          </cell>
          <cell r="V7947" t="str">
            <v>not neg pair</v>
          </cell>
          <cell r="W7947">
            <v>0</v>
          </cell>
          <cell r="X7947" t="str">
            <v>0</v>
          </cell>
        </row>
        <row r="7948">
          <cell r="I7948" t="str">
            <v>sim</v>
          </cell>
          <cell r="V7948" t="str">
            <v>antonym</v>
          </cell>
          <cell r="W7948">
            <v>1</v>
          </cell>
          <cell r="X7948" t="str">
            <v>intens</v>
          </cell>
        </row>
        <row r="7949">
          <cell r="I7949" t="str">
            <v>sim</v>
          </cell>
          <cell r="V7949" t="str">
            <v>antonym</v>
          </cell>
          <cell r="W7949">
            <v>1</v>
          </cell>
          <cell r="X7949" t="str">
            <v>neg</v>
          </cell>
        </row>
        <row r="7950">
          <cell r="I7950" t="str">
            <v>met</v>
          </cell>
          <cell r="V7950" t="str">
            <v>0</v>
          </cell>
          <cell r="W7950">
            <v>0</v>
          </cell>
          <cell r="X7950" t="str">
            <v>0</v>
          </cell>
        </row>
        <row r="7951">
          <cell r="I7951" t="str">
            <v>met</v>
          </cell>
          <cell r="V7951" t="str">
            <v>0</v>
          </cell>
          <cell r="W7951">
            <v>0</v>
          </cell>
          <cell r="X7951" t="str">
            <v>0</v>
          </cell>
        </row>
        <row r="7952">
          <cell r="I7952" t="str">
            <v>sim</v>
          </cell>
          <cell r="V7952" t="str">
            <v>antonym</v>
          </cell>
          <cell r="W7952">
            <v>1</v>
          </cell>
          <cell r="X7952" t="str">
            <v>intens</v>
          </cell>
        </row>
        <row r="7953">
          <cell r="I7953" t="str">
            <v>sim</v>
          </cell>
          <cell r="V7953" t="str">
            <v>antonym</v>
          </cell>
          <cell r="W7953">
            <v>1</v>
          </cell>
          <cell r="X7953" t="str">
            <v>neg</v>
          </cell>
        </row>
        <row r="7954">
          <cell r="I7954" t="str">
            <v>sim</v>
          </cell>
          <cell r="V7954" t="str">
            <v>antonym</v>
          </cell>
          <cell r="W7954">
            <v>1</v>
          </cell>
          <cell r="X7954" t="str">
            <v>intens</v>
          </cell>
        </row>
        <row r="7955">
          <cell r="I7955" t="str">
            <v>sim</v>
          </cell>
          <cell r="V7955" t="str">
            <v>antonym</v>
          </cell>
          <cell r="W7955">
            <v>1</v>
          </cell>
          <cell r="X7955" t="str">
            <v>neg</v>
          </cell>
        </row>
        <row r="7956">
          <cell r="I7956" t="str">
            <v>sim</v>
          </cell>
          <cell r="V7956" t="str">
            <v>antonym</v>
          </cell>
          <cell r="W7956">
            <v>1</v>
          </cell>
          <cell r="X7956" t="str">
            <v>intens</v>
          </cell>
        </row>
        <row r="7957">
          <cell r="I7957" t="str">
            <v>sim</v>
          </cell>
          <cell r="V7957" t="str">
            <v>antonym</v>
          </cell>
          <cell r="W7957">
            <v>1</v>
          </cell>
          <cell r="X7957" t="str">
            <v>neg</v>
          </cell>
        </row>
        <row r="7958">
          <cell r="I7958" t="str">
            <v>sim</v>
          </cell>
          <cell r="V7958" t="str">
            <v>antonym</v>
          </cell>
          <cell r="W7958">
            <v>1</v>
          </cell>
          <cell r="X7958" t="str">
            <v>intens</v>
          </cell>
        </row>
        <row r="7959">
          <cell r="I7959" t="str">
            <v>sim</v>
          </cell>
          <cell r="V7959" t="str">
            <v>antonym</v>
          </cell>
          <cell r="W7959">
            <v>1</v>
          </cell>
          <cell r="X7959" t="str">
            <v>neg</v>
          </cell>
        </row>
        <row r="7960">
          <cell r="I7960" t="str">
            <v>met</v>
          </cell>
          <cell r="V7960" t="str">
            <v>0</v>
          </cell>
          <cell r="W7960">
            <v>0</v>
          </cell>
          <cell r="X7960" t="str">
            <v>0</v>
          </cell>
        </row>
        <row r="7961">
          <cell r="I7961" t="str">
            <v>met</v>
          </cell>
          <cell r="V7961" t="str">
            <v>0</v>
          </cell>
          <cell r="W7961">
            <v>0</v>
          </cell>
          <cell r="X7961" t="str">
            <v>0</v>
          </cell>
        </row>
        <row r="7962">
          <cell r="I7962" t="str">
            <v>sim</v>
          </cell>
          <cell r="V7962" t="str">
            <v>not neg pair</v>
          </cell>
          <cell r="W7962">
            <v>0</v>
          </cell>
          <cell r="X7962" t="str">
            <v>0</v>
          </cell>
        </row>
        <row r="7963">
          <cell r="I7963" t="str">
            <v>sim</v>
          </cell>
          <cell r="V7963" t="str">
            <v>not neg pair</v>
          </cell>
          <cell r="W7963">
            <v>0</v>
          </cell>
          <cell r="X7963" t="str">
            <v>0</v>
          </cell>
        </row>
        <row r="7964">
          <cell r="I7964" t="str">
            <v>met</v>
          </cell>
          <cell r="V7964" t="str">
            <v>0</v>
          </cell>
          <cell r="W7964">
            <v>0</v>
          </cell>
          <cell r="X7964" t="str">
            <v>0</v>
          </cell>
        </row>
        <row r="7965">
          <cell r="I7965" t="str">
            <v>met</v>
          </cell>
          <cell r="V7965" t="str">
            <v>0</v>
          </cell>
          <cell r="W7965">
            <v>0</v>
          </cell>
          <cell r="X7965" t="str">
            <v>0</v>
          </cell>
        </row>
        <row r="7966">
          <cell r="I7966" t="str">
            <v>sim</v>
          </cell>
          <cell r="V7966" t="str">
            <v>not neg pair</v>
          </cell>
          <cell r="W7966">
            <v>0</v>
          </cell>
          <cell r="X7966" t="str">
            <v>0</v>
          </cell>
        </row>
        <row r="7967">
          <cell r="I7967" t="str">
            <v>sim</v>
          </cell>
          <cell r="V7967" t="str">
            <v>not neg pair</v>
          </cell>
          <cell r="W7967">
            <v>0</v>
          </cell>
          <cell r="X7967" t="str">
            <v>0</v>
          </cell>
        </row>
        <row r="7968">
          <cell r="I7968" t="str">
            <v>sim</v>
          </cell>
          <cell r="V7968" t="str">
            <v>not</v>
          </cell>
          <cell r="W7968">
            <v>1</v>
          </cell>
          <cell r="X7968" t="str">
            <v>intens</v>
          </cell>
        </row>
        <row r="7969">
          <cell r="I7969" t="str">
            <v>sim</v>
          </cell>
          <cell r="V7969" t="str">
            <v>not</v>
          </cell>
          <cell r="W7969">
            <v>1</v>
          </cell>
          <cell r="X7969" t="str">
            <v>neg</v>
          </cell>
        </row>
        <row r="7970">
          <cell r="I7970" t="str">
            <v>sim</v>
          </cell>
          <cell r="V7970" t="str">
            <v>not</v>
          </cell>
          <cell r="W7970">
            <v>1</v>
          </cell>
          <cell r="X7970" t="str">
            <v>neg</v>
          </cell>
        </row>
        <row r="7971">
          <cell r="I7971" t="str">
            <v>sim</v>
          </cell>
          <cell r="V7971" t="str">
            <v>not</v>
          </cell>
          <cell r="W7971">
            <v>1</v>
          </cell>
          <cell r="X7971" t="str">
            <v>intens</v>
          </cell>
        </row>
        <row r="7972">
          <cell r="I7972" t="str">
            <v>sim</v>
          </cell>
          <cell r="V7972" t="str">
            <v>not neg pair</v>
          </cell>
          <cell r="W7972">
            <v>0</v>
          </cell>
          <cell r="X7972" t="str">
            <v>0</v>
          </cell>
        </row>
        <row r="7973">
          <cell r="I7973" t="str">
            <v>sim</v>
          </cell>
          <cell r="V7973" t="str">
            <v>not neg pair</v>
          </cell>
          <cell r="W7973">
            <v>0</v>
          </cell>
          <cell r="X7973" t="str">
            <v>0</v>
          </cell>
        </row>
        <row r="7974">
          <cell r="I7974" t="str">
            <v>met</v>
          </cell>
          <cell r="V7974" t="str">
            <v>0</v>
          </cell>
          <cell r="W7974">
            <v>0</v>
          </cell>
          <cell r="X7974" t="str">
            <v>0</v>
          </cell>
        </row>
        <row r="7975">
          <cell r="I7975" t="str">
            <v>met</v>
          </cell>
          <cell r="V7975" t="str">
            <v>0</v>
          </cell>
          <cell r="W7975">
            <v>0</v>
          </cell>
          <cell r="X7975" t="str">
            <v>0</v>
          </cell>
        </row>
        <row r="7976">
          <cell r="I7976" t="str">
            <v>sim</v>
          </cell>
          <cell r="V7976" t="str">
            <v>not neg pair</v>
          </cell>
          <cell r="W7976">
            <v>0</v>
          </cell>
          <cell r="X7976" t="str">
            <v>0</v>
          </cell>
        </row>
        <row r="7977">
          <cell r="I7977" t="str">
            <v>sim</v>
          </cell>
          <cell r="V7977" t="str">
            <v>not neg pair</v>
          </cell>
          <cell r="W7977">
            <v>0</v>
          </cell>
          <cell r="X7977" t="str">
            <v>0</v>
          </cell>
        </row>
        <row r="7978">
          <cell r="I7978" t="str">
            <v>sim</v>
          </cell>
          <cell r="V7978" t="str">
            <v>not</v>
          </cell>
          <cell r="W7978">
            <v>1</v>
          </cell>
          <cell r="X7978" t="str">
            <v>intens</v>
          </cell>
        </row>
        <row r="7979">
          <cell r="I7979" t="str">
            <v>sim</v>
          </cell>
          <cell r="V7979" t="str">
            <v>not</v>
          </cell>
          <cell r="W7979">
            <v>1</v>
          </cell>
          <cell r="X7979" t="str">
            <v>neg</v>
          </cell>
        </row>
        <row r="7980">
          <cell r="I7980" t="str">
            <v>sim</v>
          </cell>
          <cell r="V7980" t="str">
            <v>not neg pair</v>
          </cell>
          <cell r="W7980">
            <v>0</v>
          </cell>
          <cell r="X7980" t="str">
            <v>0</v>
          </cell>
        </row>
        <row r="7981">
          <cell r="I7981" t="str">
            <v>sim</v>
          </cell>
          <cell r="V7981" t="str">
            <v>not neg pair</v>
          </cell>
          <cell r="W7981">
            <v>0</v>
          </cell>
          <cell r="X7981" t="str">
            <v>0</v>
          </cell>
        </row>
        <row r="7982">
          <cell r="I7982" t="str">
            <v>sim</v>
          </cell>
          <cell r="V7982" t="str">
            <v>not</v>
          </cell>
          <cell r="W7982">
            <v>1</v>
          </cell>
          <cell r="X7982" t="str">
            <v>neg</v>
          </cell>
        </row>
        <row r="7983">
          <cell r="I7983" t="str">
            <v>sim</v>
          </cell>
          <cell r="V7983" t="str">
            <v>not</v>
          </cell>
          <cell r="W7983">
            <v>1</v>
          </cell>
          <cell r="X7983" t="str">
            <v>intens</v>
          </cell>
        </row>
        <row r="7984">
          <cell r="I7984" t="str">
            <v>sim</v>
          </cell>
          <cell r="V7984" t="str">
            <v>not neg pair</v>
          </cell>
          <cell r="W7984">
            <v>0</v>
          </cell>
          <cell r="X7984" t="str">
            <v>0</v>
          </cell>
        </row>
        <row r="7985">
          <cell r="I7985" t="str">
            <v>sim</v>
          </cell>
          <cell r="V7985" t="str">
            <v>not neg pair</v>
          </cell>
          <cell r="W7985">
            <v>0</v>
          </cell>
          <cell r="X7985" t="str">
            <v>0</v>
          </cell>
        </row>
        <row r="7986">
          <cell r="I7986" t="str">
            <v>sim</v>
          </cell>
          <cell r="V7986" t="str">
            <v>not neg pair</v>
          </cell>
          <cell r="W7986">
            <v>0</v>
          </cell>
          <cell r="X7986" t="str">
            <v>0</v>
          </cell>
        </row>
        <row r="7987">
          <cell r="I7987" t="str">
            <v>sim</v>
          </cell>
          <cell r="V7987" t="str">
            <v>not neg pair</v>
          </cell>
          <cell r="W7987">
            <v>0</v>
          </cell>
          <cell r="X7987" t="str">
            <v>0</v>
          </cell>
        </row>
        <row r="7988">
          <cell r="I7988" t="str">
            <v>met</v>
          </cell>
          <cell r="V7988" t="str">
            <v>0</v>
          </cell>
          <cell r="W7988">
            <v>0</v>
          </cell>
          <cell r="X7988" t="str">
            <v>0</v>
          </cell>
        </row>
        <row r="7989">
          <cell r="I7989" t="str">
            <v>met</v>
          </cell>
          <cell r="V7989" t="str">
            <v>0</v>
          </cell>
          <cell r="W7989">
            <v>0</v>
          </cell>
          <cell r="X7989" t="str">
            <v>0</v>
          </cell>
        </row>
        <row r="7990">
          <cell r="I7990" t="str">
            <v>met</v>
          </cell>
          <cell r="V7990" t="str">
            <v>0</v>
          </cell>
          <cell r="W7990">
            <v>0</v>
          </cell>
          <cell r="X7990" t="str">
            <v>0</v>
          </cell>
        </row>
        <row r="7991">
          <cell r="I7991" t="str">
            <v>met</v>
          </cell>
          <cell r="V7991" t="str">
            <v>0</v>
          </cell>
          <cell r="W7991">
            <v>0</v>
          </cell>
          <cell r="X7991" t="str">
            <v>0</v>
          </cell>
        </row>
        <row r="7992">
          <cell r="I7992" t="str">
            <v>met</v>
          </cell>
          <cell r="V7992" t="str">
            <v>0</v>
          </cell>
          <cell r="W7992">
            <v>0</v>
          </cell>
          <cell r="X7992" t="str">
            <v>0</v>
          </cell>
        </row>
        <row r="7993">
          <cell r="I7993" t="str">
            <v>met</v>
          </cell>
          <cell r="V7993" t="str">
            <v>0</v>
          </cell>
          <cell r="W7993">
            <v>0</v>
          </cell>
          <cell r="X7993" t="str">
            <v>0</v>
          </cell>
        </row>
        <row r="7994">
          <cell r="I7994" t="str">
            <v>sim</v>
          </cell>
          <cell r="V7994" t="str">
            <v>not</v>
          </cell>
          <cell r="W7994">
            <v>1</v>
          </cell>
          <cell r="X7994" t="str">
            <v>neg</v>
          </cell>
        </row>
        <row r="7995">
          <cell r="I7995" t="str">
            <v>sim</v>
          </cell>
          <cell r="V7995" t="str">
            <v>not</v>
          </cell>
          <cell r="W7995">
            <v>1</v>
          </cell>
          <cell r="X7995" t="str">
            <v>intens</v>
          </cell>
        </row>
        <row r="7996">
          <cell r="I7996" t="str">
            <v>sim</v>
          </cell>
          <cell r="V7996" t="str">
            <v>not neg pair</v>
          </cell>
          <cell r="W7996">
            <v>0</v>
          </cell>
          <cell r="X7996" t="str">
            <v>0</v>
          </cell>
        </row>
        <row r="7997">
          <cell r="I7997" t="str">
            <v>sim</v>
          </cell>
          <cell r="V7997" t="str">
            <v>not neg pair</v>
          </cell>
          <cell r="W7997">
            <v>0</v>
          </cell>
          <cell r="X7997" t="str">
            <v>0</v>
          </cell>
        </row>
        <row r="7998">
          <cell r="I7998" t="str">
            <v>sim</v>
          </cell>
          <cell r="V7998" t="str">
            <v>antonym</v>
          </cell>
          <cell r="W7998">
            <v>1</v>
          </cell>
          <cell r="X7998" t="str">
            <v>intens</v>
          </cell>
        </row>
        <row r="7999">
          <cell r="I7999" t="str">
            <v>sim</v>
          </cell>
          <cell r="V7999" t="str">
            <v>antonym</v>
          </cell>
          <cell r="W7999">
            <v>1</v>
          </cell>
          <cell r="X7999" t="str">
            <v>neg</v>
          </cell>
        </row>
        <row r="8000">
          <cell r="I8000" t="str">
            <v>sim</v>
          </cell>
          <cell r="V8000" t="str">
            <v>antonym</v>
          </cell>
          <cell r="W8000">
            <v>1</v>
          </cell>
          <cell r="X8000" t="str">
            <v>neg</v>
          </cell>
        </row>
        <row r="8001">
          <cell r="I8001" t="str">
            <v>sim</v>
          </cell>
          <cell r="V8001" t="str">
            <v>antonym</v>
          </cell>
          <cell r="W8001">
            <v>1</v>
          </cell>
          <cell r="X8001" t="str">
            <v>intens</v>
          </cell>
        </row>
        <row r="8002">
          <cell r="I8002" t="str">
            <v>sim</v>
          </cell>
          <cell r="V8002" t="str">
            <v>not</v>
          </cell>
          <cell r="W8002">
            <v>1</v>
          </cell>
          <cell r="X8002" t="str">
            <v>intens</v>
          </cell>
        </row>
        <row r="8003">
          <cell r="I8003" t="str">
            <v>sim</v>
          </cell>
          <cell r="V8003" t="str">
            <v>not</v>
          </cell>
          <cell r="W8003">
            <v>1</v>
          </cell>
          <cell r="X8003" t="str">
            <v>neg</v>
          </cell>
        </row>
        <row r="8004">
          <cell r="I8004" t="str">
            <v>met</v>
          </cell>
          <cell r="V8004" t="str">
            <v>0</v>
          </cell>
          <cell r="W8004">
            <v>0</v>
          </cell>
          <cell r="X8004" t="str">
            <v>0</v>
          </cell>
        </row>
        <row r="8005">
          <cell r="I8005" t="str">
            <v>met</v>
          </cell>
          <cell r="V8005" t="str">
            <v>0</v>
          </cell>
          <cell r="W8005">
            <v>0</v>
          </cell>
          <cell r="X8005" t="str">
            <v>0</v>
          </cell>
        </row>
        <row r="8006">
          <cell r="I8006" t="str">
            <v>sim</v>
          </cell>
          <cell r="V8006" t="str">
            <v>not</v>
          </cell>
          <cell r="W8006">
            <v>1</v>
          </cell>
          <cell r="X8006" t="str">
            <v>intens</v>
          </cell>
        </row>
        <row r="8007">
          <cell r="I8007" t="str">
            <v>sim</v>
          </cell>
          <cell r="V8007" t="str">
            <v>not</v>
          </cell>
          <cell r="W8007">
            <v>1</v>
          </cell>
          <cell r="X8007" t="str">
            <v>neg</v>
          </cell>
        </row>
        <row r="8008">
          <cell r="I8008" t="str">
            <v>sim</v>
          </cell>
          <cell r="V8008" t="str">
            <v>not neg pair</v>
          </cell>
          <cell r="W8008">
            <v>0</v>
          </cell>
          <cell r="X8008" t="str">
            <v>0</v>
          </cell>
        </row>
        <row r="8009">
          <cell r="I8009" t="str">
            <v>sim</v>
          </cell>
          <cell r="V8009" t="str">
            <v>not neg pair</v>
          </cell>
          <cell r="W8009">
            <v>0</v>
          </cell>
          <cell r="X8009" t="str">
            <v>0</v>
          </cell>
        </row>
        <row r="8010">
          <cell r="I8010" t="str">
            <v>met</v>
          </cell>
          <cell r="V8010" t="str">
            <v>0</v>
          </cell>
          <cell r="W8010">
            <v>0</v>
          </cell>
          <cell r="X8010" t="str">
            <v>0</v>
          </cell>
        </row>
        <row r="8011">
          <cell r="I8011" t="str">
            <v>met</v>
          </cell>
          <cell r="V8011" t="str">
            <v>0</v>
          </cell>
          <cell r="W8011">
            <v>0</v>
          </cell>
          <cell r="X8011" t="str">
            <v>0</v>
          </cell>
        </row>
        <row r="8012">
          <cell r="I8012" t="str">
            <v>sim</v>
          </cell>
          <cell r="V8012" t="str">
            <v>antonym</v>
          </cell>
          <cell r="W8012">
            <v>1</v>
          </cell>
          <cell r="X8012" t="str">
            <v>neg</v>
          </cell>
        </row>
        <row r="8013">
          <cell r="I8013" t="str">
            <v>sim</v>
          </cell>
          <cell r="V8013" t="str">
            <v>antonym</v>
          </cell>
          <cell r="W8013">
            <v>1</v>
          </cell>
          <cell r="X8013" t="str">
            <v>intens</v>
          </cell>
        </row>
        <row r="8014">
          <cell r="I8014" t="str">
            <v>sim</v>
          </cell>
          <cell r="V8014" t="str">
            <v>not neg pair</v>
          </cell>
          <cell r="W8014">
            <v>0</v>
          </cell>
          <cell r="X8014" t="str">
            <v>0</v>
          </cell>
        </row>
        <row r="8015">
          <cell r="I8015" t="str">
            <v>sim</v>
          </cell>
          <cell r="V8015" t="str">
            <v>not neg pair</v>
          </cell>
          <cell r="W8015">
            <v>0</v>
          </cell>
          <cell r="X8015" t="str">
            <v>0</v>
          </cell>
        </row>
        <row r="8016">
          <cell r="I8016" t="str">
            <v>met</v>
          </cell>
          <cell r="V8016" t="str">
            <v>0</v>
          </cell>
          <cell r="W8016">
            <v>0</v>
          </cell>
          <cell r="X8016" t="str">
            <v>0</v>
          </cell>
        </row>
        <row r="8017">
          <cell r="I8017" t="str">
            <v>met</v>
          </cell>
          <cell r="V8017" t="str">
            <v>0</v>
          </cell>
          <cell r="W8017">
            <v>0</v>
          </cell>
          <cell r="X8017" t="str">
            <v>0</v>
          </cell>
        </row>
        <row r="8018">
          <cell r="I8018" t="str">
            <v>sim</v>
          </cell>
          <cell r="V8018" t="str">
            <v>not neg pair</v>
          </cell>
          <cell r="W8018">
            <v>0</v>
          </cell>
          <cell r="X8018" t="str">
            <v>0</v>
          </cell>
        </row>
        <row r="8019">
          <cell r="I8019" t="str">
            <v>sim</v>
          </cell>
          <cell r="V8019" t="str">
            <v>not neg pair</v>
          </cell>
          <cell r="W8019">
            <v>0</v>
          </cell>
          <cell r="X8019" t="str">
            <v>0</v>
          </cell>
        </row>
        <row r="8020">
          <cell r="I8020" t="str">
            <v>sim</v>
          </cell>
          <cell r="V8020" t="str">
            <v>antonym</v>
          </cell>
          <cell r="W8020">
            <v>1</v>
          </cell>
          <cell r="X8020" t="str">
            <v>intens</v>
          </cell>
        </row>
        <row r="8021">
          <cell r="I8021" t="str">
            <v>sim</v>
          </cell>
          <cell r="V8021" t="str">
            <v>antonym</v>
          </cell>
          <cell r="W8021">
            <v>1</v>
          </cell>
          <cell r="X8021" t="str">
            <v>neg</v>
          </cell>
        </row>
        <row r="8022">
          <cell r="I8022" t="str">
            <v>sim</v>
          </cell>
          <cell r="V8022" t="str">
            <v>not</v>
          </cell>
          <cell r="W8022">
            <v>1</v>
          </cell>
          <cell r="X8022" t="str">
            <v>intens</v>
          </cell>
        </row>
        <row r="8023">
          <cell r="I8023" t="str">
            <v>sim</v>
          </cell>
          <cell r="V8023" t="str">
            <v>not</v>
          </cell>
          <cell r="W8023">
            <v>1</v>
          </cell>
          <cell r="X8023" t="str">
            <v>neg</v>
          </cell>
        </row>
        <row r="8024">
          <cell r="I8024" t="str">
            <v>met</v>
          </cell>
          <cell r="V8024" t="str">
            <v>0</v>
          </cell>
          <cell r="W8024">
            <v>0</v>
          </cell>
          <cell r="X8024" t="str">
            <v>0</v>
          </cell>
        </row>
        <row r="8025">
          <cell r="I8025" t="str">
            <v>met</v>
          </cell>
          <cell r="V8025" t="str">
            <v>0</v>
          </cell>
          <cell r="W8025">
            <v>0</v>
          </cell>
          <cell r="X8025" t="str">
            <v>0</v>
          </cell>
        </row>
        <row r="8026">
          <cell r="I8026" t="str">
            <v>met</v>
          </cell>
          <cell r="V8026" t="str">
            <v>0</v>
          </cell>
          <cell r="W8026">
            <v>0</v>
          </cell>
          <cell r="X8026" t="str">
            <v>0</v>
          </cell>
        </row>
        <row r="8027">
          <cell r="I8027" t="str">
            <v>met</v>
          </cell>
          <cell r="V8027" t="str">
            <v>0</v>
          </cell>
          <cell r="W8027">
            <v>0</v>
          </cell>
          <cell r="X8027" t="str">
            <v>0</v>
          </cell>
        </row>
        <row r="8028">
          <cell r="I8028" t="str">
            <v>sim</v>
          </cell>
          <cell r="V8028" t="str">
            <v>not</v>
          </cell>
          <cell r="W8028">
            <v>1</v>
          </cell>
          <cell r="X8028" t="str">
            <v>intens</v>
          </cell>
        </row>
        <row r="8029">
          <cell r="I8029" t="str">
            <v>sim</v>
          </cell>
          <cell r="V8029" t="str">
            <v>not</v>
          </cell>
          <cell r="W8029">
            <v>1</v>
          </cell>
          <cell r="X8029" t="str">
            <v>neg</v>
          </cell>
        </row>
        <row r="8030">
          <cell r="I8030" t="str">
            <v>sim</v>
          </cell>
          <cell r="V8030" t="str">
            <v>not</v>
          </cell>
          <cell r="W8030">
            <v>1</v>
          </cell>
          <cell r="X8030" t="str">
            <v>intens</v>
          </cell>
        </row>
        <row r="8031">
          <cell r="I8031" t="str">
            <v>sim</v>
          </cell>
          <cell r="V8031" t="str">
            <v>not</v>
          </cell>
          <cell r="W8031">
            <v>1</v>
          </cell>
          <cell r="X8031" t="str">
            <v>neg</v>
          </cell>
        </row>
        <row r="8032">
          <cell r="I8032" t="str">
            <v>sim</v>
          </cell>
          <cell r="V8032" t="str">
            <v>not neg pair</v>
          </cell>
          <cell r="W8032">
            <v>0</v>
          </cell>
          <cell r="X8032" t="str">
            <v>0</v>
          </cell>
        </row>
        <row r="8033">
          <cell r="I8033" t="str">
            <v>sim</v>
          </cell>
          <cell r="V8033" t="str">
            <v>not neg pair</v>
          </cell>
          <cell r="W8033">
            <v>0</v>
          </cell>
          <cell r="X8033" t="str">
            <v>0</v>
          </cell>
        </row>
        <row r="8034">
          <cell r="I8034" t="str">
            <v>sim</v>
          </cell>
          <cell r="V8034" t="str">
            <v>not</v>
          </cell>
          <cell r="W8034">
            <v>1</v>
          </cell>
          <cell r="X8034" t="str">
            <v>neg</v>
          </cell>
        </row>
        <row r="8035">
          <cell r="I8035" t="str">
            <v>sim</v>
          </cell>
          <cell r="V8035" t="str">
            <v>not</v>
          </cell>
          <cell r="W8035">
            <v>1</v>
          </cell>
          <cell r="X8035" t="str">
            <v>intens</v>
          </cell>
        </row>
        <row r="8036">
          <cell r="I8036" t="str">
            <v>met</v>
          </cell>
          <cell r="V8036" t="str">
            <v>0</v>
          </cell>
          <cell r="W8036">
            <v>0</v>
          </cell>
          <cell r="X8036" t="str">
            <v>0</v>
          </cell>
        </row>
        <row r="8037">
          <cell r="I8037" t="str">
            <v>met</v>
          </cell>
          <cell r="V8037" t="str">
            <v>0</v>
          </cell>
          <cell r="W8037">
            <v>0</v>
          </cell>
          <cell r="X8037" t="str">
            <v>0</v>
          </cell>
        </row>
        <row r="8038">
          <cell r="I8038" t="str">
            <v>met</v>
          </cell>
          <cell r="V8038" t="str">
            <v>0</v>
          </cell>
          <cell r="W8038">
            <v>0</v>
          </cell>
          <cell r="X8038" t="str">
            <v>0</v>
          </cell>
        </row>
        <row r="8039">
          <cell r="I8039" t="str">
            <v>met</v>
          </cell>
          <cell r="V8039" t="str">
            <v>0</v>
          </cell>
          <cell r="W8039">
            <v>0</v>
          </cell>
          <cell r="X8039" t="str">
            <v>0</v>
          </cell>
        </row>
        <row r="8040">
          <cell r="I8040" t="str">
            <v>sim</v>
          </cell>
          <cell r="V8040" t="str">
            <v>not neg pair</v>
          </cell>
          <cell r="W8040">
            <v>0</v>
          </cell>
          <cell r="X8040" t="str">
            <v>0</v>
          </cell>
        </row>
        <row r="8041">
          <cell r="I8041" t="str">
            <v>sim</v>
          </cell>
          <cell r="V8041" t="str">
            <v>not neg pair</v>
          </cell>
          <cell r="W8041">
            <v>0</v>
          </cell>
          <cell r="X8041" t="str">
            <v>0</v>
          </cell>
        </row>
        <row r="8042">
          <cell r="I8042" t="str">
            <v>sim</v>
          </cell>
          <cell r="V8042" t="str">
            <v>not neg pair</v>
          </cell>
          <cell r="W8042">
            <v>0</v>
          </cell>
          <cell r="X8042" t="str">
            <v>0</v>
          </cell>
        </row>
        <row r="8043">
          <cell r="I8043" t="str">
            <v>sim</v>
          </cell>
          <cell r="V8043" t="str">
            <v>not neg pair</v>
          </cell>
          <cell r="W8043">
            <v>0</v>
          </cell>
          <cell r="X8043" t="str">
            <v>0</v>
          </cell>
        </row>
        <row r="8044">
          <cell r="I8044" t="str">
            <v>sim</v>
          </cell>
          <cell r="V8044" t="str">
            <v>not</v>
          </cell>
          <cell r="W8044">
            <v>1</v>
          </cell>
          <cell r="X8044" t="str">
            <v>intens</v>
          </cell>
        </row>
        <row r="8045">
          <cell r="I8045" t="str">
            <v>sim</v>
          </cell>
          <cell r="V8045" t="str">
            <v>not</v>
          </cell>
          <cell r="W8045">
            <v>1</v>
          </cell>
          <cell r="X8045" t="str">
            <v>neg</v>
          </cell>
        </row>
        <row r="8046">
          <cell r="I8046" t="str">
            <v>sim</v>
          </cell>
          <cell r="V8046" t="str">
            <v>not neg pair</v>
          </cell>
          <cell r="W8046">
            <v>0</v>
          </cell>
          <cell r="X8046" t="str">
            <v>0</v>
          </cell>
        </row>
        <row r="8047">
          <cell r="I8047" t="str">
            <v>sim</v>
          </cell>
          <cell r="V8047" t="str">
            <v>not neg pair</v>
          </cell>
          <cell r="W8047">
            <v>0</v>
          </cell>
          <cell r="X8047" t="str">
            <v>0</v>
          </cell>
        </row>
        <row r="8048">
          <cell r="I8048" t="str">
            <v>sim</v>
          </cell>
          <cell r="V8048" t="str">
            <v>not neg pair</v>
          </cell>
          <cell r="W8048">
            <v>0</v>
          </cell>
          <cell r="X8048" t="str">
            <v>0</v>
          </cell>
        </row>
        <row r="8049">
          <cell r="I8049" t="str">
            <v>sim</v>
          </cell>
          <cell r="V8049" t="str">
            <v>not neg pair</v>
          </cell>
          <cell r="W8049">
            <v>0</v>
          </cell>
          <cell r="X8049" t="str">
            <v>0</v>
          </cell>
        </row>
        <row r="8050">
          <cell r="I8050" t="str">
            <v>sim</v>
          </cell>
          <cell r="V8050" t="str">
            <v>not neg pair</v>
          </cell>
          <cell r="W8050">
            <v>0</v>
          </cell>
          <cell r="X8050" t="str">
            <v>0</v>
          </cell>
        </row>
        <row r="8051">
          <cell r="I8051" t="str">
            <v>sim</v>
          </cell>
          <cell r="V8051" t="str">
            <v>not neg pair</v>
          </cell>
          <cell r="W8051">
            <v>0</v>
          </cell>
          <cell r="X8051" t="str">
            <v>0</v>
          </cell>
        </row>
        <row r="8052">
          <cell r="I8052" t="str">
            <v>sim</v>
          </cell>
          <cell r="V8052" t="str">
            <v>not</v>
          </cell>
          <cell r="W8052">
            <v>1</v>
          </cell>
          <cell r="X8052" t="str">
            <v>intens</v>
          </cell>
        </row>
        <row r="8053">
          <cell r="I8053" t="str">
            <v>sim</v>
          </cell>
          <cell r="V8053" t="str">
            <v>not</v>
          </cell>
          <cell r="W8053">
            <v>1</v>
          </cell>
          <cell r="X8053" t="str">
            <v>neg</v>
          </cell>
        </row>
        <row r="8054">
          <cell r="I8054" t="str">
            <v>sim</v>
          </cell>
          <cell r="V8054" t="str">
            <v>not neg pair</v>
          </cell>
          <cell r="W8054">
            <v>0</v>
          </cell>
          <cell r="X8054" t="str">
            <v>0</v>
          </cell>
        </row>
        <row r="8055">
          <cell r="I8055" t="str">
            <v>sim</v>
          </cell>
          <cell r="V8055" t="str">
            <v>not neg pair</v>
          </cell>
          <cell r="W8055">
            <v>0</v>
          </cell>
          <cell r="X8055" t="str">
            <v>0</v>
          </cell>
        </row>
        <row r="8056">
          <cell r="I8056" t="str">
            <v>met</v>
          </cell>
          <cell r="V8056" t="str">
            <v>0</v>
          </cell>
          <cell r="W8056">
            <v>0</v>
          </cell>
          <cell r="X8056" t="str">
            <v>0</v>
          </cell>
        </row>
        <row r="8057">
          <cell r="I8057" t="str">
            <v>met</v>
          </cell>
          <cell r="V8057" t="str">
            <v>0</v>
          </cell>
          <cell r="W8057">
            <v>0</v>
          </cell>
          <cell r="X8057" t="str">
            <v>0</v>
          </cell>
        </row>
        <row r="8058">
          <cell r="I8058" t="str">
            <v>sim</v>
          </cell>
          <cell r="V8058" t="str">
            <v>not neg pair</v>
          </cell>
          <cell r="W8058">
            <v>0</v>
          </cell>
          <cell r="X8058" t="str">
            <v>0</v>
          </cell>
        </row>
        <row r="8059">
          <cell r="I8059" t="str">
            <v>sim</v>
          </cell>
          <cell r="V8059" t="str">
            <v>not neg pair</v>
          </cell>
          <cell r="W8059">
            <v>0</v>
          </cell>
          <cell r="X8059" t="str">
            <v>0</v>
          </cell>
        </row>
        <row r="8060">
          <cell r="I8060" t="str">
            <v>met</v>
          </cell>
          <cell r="V8060" t="str">
            <v>0</v>
          </cell>
          <cell r="W8060">
            <v>0</v>
          </cell>
          <cell r="X8060" t="str">
            <v>0</v>
          </cell>
        </row>
        <row r="8061">
          <cell r="I8061" t="str">
            <v>met</v>
          </cell>
          <cell r="V8061" t="str">
            <v>0</v>
          </cell>
          <cell r="W8061">
            <v>0</v>
          </cell>
          <cell r="X8061" t="str">
            <v>0</v>
          </cell>
        </row>
        <row r="8062">
          <cell r="I8062" t="str">
            <v>met</v>
          </cell>
          <cell r="V8062" t="str">
            <v>0</v>
          </cell>
          <cell r="W8062">
            <v>0</v>
          </cell>
          <cell r="X8062" t="str">
            <v>0</v>
          </cell>
        </row>
        <row r="8063">
          <cell r="I8063" t="str">
            <v>met</v>
          </cell>
          <cell r="V8063" t="str">
            <v>0</v>
          </cell>
          <cell r="W8063">
            <v>0</v>
          </cell>
          <cell r="X8063" t="str">
            <v>0</v>
          </cell>
        </row>
        <row r="8064">
          <cell r="I8064" t="str">
            <v>sim</v>
          </cell>
          <cell r="V8064" t="str">
            <v>not neg pair</v>
          </cell>
          <cell r="W8064">
            <v>0</v>
          </cell>
          <cell r="X8064" t="str">
            <v>0</v>
          </cell>
        </row>
        <row r="8065">
          <cell r="I8065" t="str">
            <v>sim</v>
          </cell>
          <cell r="V8065" t="str">
            <v>not neg pair</v>
          </cell>
          <cell r="W8065">
            <v>0</v>
          </cell>
          <cell r="X8065" t="str">
            <v>0</v>
          </cell>
        </row>
        <row r="8066">
          <cell r="I8066" t="str">
            <v>sim</v>
          </cell>
          <cell r="V8066" t="str">
            <v>not neg pair</v>
          </cell>
          <cell r="W8066">
            <v>0</v>
          </cell>
          <cell r="X8066" t="str">
            <v>0</v>
          </cell>
        </row>
        <row r="8067">
          <cell r="I8067" t="str">
            <v>sim</v>
          </cell>
          <cell r="V8067" t="str">
            <v>not neg pair</v>
          </cell>
          <cell r="W8067">
            <v>0</v>
          </cell>
          <cell r="X8067" t="str">
            <v>0</v>
          </cell>
        </row>
        <row r="8068">
          <cell r="I8068" t="str">
            <v>sim</v>
          </cell>
          <cell r="V8068" t="str">
            <v>not neg pair</v>
          </cell>
          <cell r="W8068">
            <v>0</v>
          </cell>
          <cell r="X8068" t="str">
            <v>0</v>
          </cell>
        </row>
        <row r="8069">
          <cell r="I8069" t="str">
            <v>sim</v>
          </cell>
          <cell r="V8069" t="str">
            <v>not neg pair</v>
          </cell>
          <cell r="W8069">
            <v>0</v>
          </cell>
          <cell r="X8069" t="str">
            <v>0</v>
          </cell>
        </row>
        <row r="8070">
          <cell r="I8070" t="str">
            <v>sim</v>
          </cell>
          <cell r="V8070" t="str">
            <v>not neg pair</v>
          </cell>
          <cell r="W8070">
            <v>0</v>
          </cell>
          <cell r="X8070" t="str">
            <v>0</v>
          </cell>
        </row>
        <row r="8071">
          <cell r="I8071" t="str">
            <v>sim</v>
          </cell>
          <cell r="V8071" t="str">
            <v>not neg pair</v>
          </cell>
          <cell r="W8071">
            <v>0</v>
          </cell>
          <cell r="X8071" t="str">
            <v>0</v>
          </cell>
        </row>
        <row r="8072">
          <cell r="I8072" t="str">
            <v>sim</v>
          </cell>
          <cell r="V8072" t="str">
            <v>not neg pair</v>
          </cell>
          <cell r="W8072">
            <v>0</v>
          </cell>
          <cell r="X8072" t="str">
            <v>0</v>
          </cell>
        </row>
        <row r="8073">
          <cell r="I8073" t="str">
            <v>sim</v>
          </cell>
          <cell r="V8073" t="str">
            <v>not neg pair</v>
          </cell>
          <cell r="W8073">
            <v>0</v>
          </cell>
          <cell r="X8073" t="str">
            <v>0</v>
          </cell>
        </row>
        <row r="8074">
          <cell r="I8074" t="str">
            <v>sim</v>
          </cell>
          <cell r="V8074" t="str">
            <v>not neg pair</v>
          </cell>
          <cell r="W8074">
            <v>0</v>
          </cell>
          <cell r="X8074" t="str">
            <v>0</v>
          </cell>
        </row>
        <row r="8075">
          <cell r="I8075" t="str">
            <v>sim</v>
          </cell>
          <cell r="V8075" t="str">
            <v>not neg pair</v>
          </cell>
          <cell r="W8075">
            <v>0</v>
          </cell>
          <cell r="X8075" t="str">
            <v>0</v>
          </cell>
        </row>
        <row r="8076">
          <cell r="I8076" t="str">
            <v>met</v>
          </cell>
          <cell r="V8076" t="str">
            <v>0</v>
          </cell>
          <cell r="W8076">
            <v>0</v>
          </cell>
          <cell r="X8076" t="str">
            <v>0</v>
          </cell>
        </row>
        <row r="8077">
          <cell r="I8077" t="str">
            <v>met</v>
          </cell>
          <cell r="V8077" t="str">
            <v>0</v>
          </cell>
          <cell r="W8077">
            <v>0</v>
          </cell>
          <cell r="X8077" t="str">
            <v>0</v>
          </cell>
        </row>
        <row r="8078">
          <cell r="I8078" t="str">
            <v>met</v>
          </cell>
          <cell r="V8078" t="str">
            <v>0</v>
          </cell>
          <cell r="W8078">
            <v>0</v>
          </cell>
          <cell r="X8078" t="str">
            <v>0</v>
          </cell>
        </row>
        <row r="8079">
          <cell r="I8079" t="str">
            <v>met</v>
          </cell>
          <cell r="V8079" t="str">
            <v>0</v>
          </cell>
          <cell r="W8079">
            <v>0</v>
          </cell>
          <cell r="X8079" t="str">
            <v>0</v>
          </cell>
        </row>
        <row r="8080">
          <cell r="I8080" t="str">
            <v>sim</v>
          </cell>
          <cell r="V8080" t="str">
            <v>not neg pair</v>
          </cell>
          <cell r="W8080">
            <v>0</v>
          </cell>
          <cell r="X8080" t="str">
            <v>0</v>
          </cell>
        </row>
        <row r="8081">
          <cell r="I8081" t="str">
            <v>sim</v>
          </cell>
          <cell r="V8081" t="str">
            <v>not neg pair</v>
          </cell>
          <cell r="W8081">
            <v>0</v>
          </cell>
          <cell r="X8081" t="str">
            <v>0</v>
          </cell>
        </row>
        <row r="8082">
          <cell r="I8082" t="str">
            <v>sim</v>
          </cell>
          <cell r="V8082" t="str">
            <v>not</v>
          </cell>
          <cell r="W8082">
            <v>1</v>
          </cell>
          <cell r="X8082" t="str">
            <v>neg</v>
          </cell>
        </row>
        <row r="8083">
          <cell r="I8083" t="str">
            <v>sim</v>
          </cell>
          <cell r="V8083" t="str">
            <v>not</v>
          </cell>
          <cell r="W8083">
            <v>1</v>
          </cell>
          <cell r="X8083" t="str">
            <v>intens</v>
          </cell>
        </row>
        <row r="8084">
          <cell r="I8084" t="str">
            <v>sim</v>
          </cell>
          <cell r="V8084" t="str">
            <v>not</v>
          </cell>
          <cell r="W8084">
            <v>1</v>
          </cell>
          <cell r="X8084" t="str">
            <v>neg</v>
          </cell>
        </row>
        <row r="8085">
          <cell r="I8085" t="str">
            <v>sim</v>
          </cell>
          <cell r="V8085" t="str">
            <v>not</v>
          </cell>
          <cell r="W8085">
            <v>1</v>
          </cell>
          <cell r="X8085" t="str">
            <v>intens</v>
          </cell>
        </row>
        <row r="8086">
          <cell r="I8086" t="str">
            <v>sim</v>
          </cell>
          <cell r="V8086" t="str">
            <v>not</v>
          </cell>
          <cell r="W8086">
            <v>1</v>
          </cell>
          <cell r="X8086" t="str">
            <v>intens</v>
          </cell>
        </row>
        <row r="8087">
          <cell r="I8087" t="str">
            <v>sim</v>
          </cell>
          <cell r="V8087" t="str">
            <v>not</v>
          </cell>
          <cell r="W8087">
            <v>1</v>
          </cell>
          <cell r="X8087" t="str">
            <v>neg</v>
          </cell>
        </row>
        <row r="8088">
          <cell r="I8088" t="str">
            <v>sim</v>
          </cell>
          <cell r="V8088" t="str">
            <v>not</v>
          </cell>
          <cell r="W8088">
            <v>1</v>
          </cell>
          <cell r="X8088" t="str">
            <v>intens</v>
          </cell>
        </row>
        <row r="8089">
          <cell r="I8089" t="str">
            <v>sim</v>
          </cell>
          <cell r="V8089" t="str">
            <v>not</v>
          </cell>
          <cell r="W8089">
            <v>1</v>
          </cell>
          <cell r="X8089" t="str">
            <v>neg</v>
          </cell>
        </row>
        <row r="8090">
          <cell r="I8090" t="str">
            <v>sim</v>
          </cell>
          <cell r="V8090" t="str">
            <v>not neg pair</v>
          </cell>
          <cell r="W8090">
            <v>0</v>
          </cell>
          <cell r="X8090" t="str">
            <v>0</v>
          </cell>
        </row>
        <row r="8091">
          <cell r="I8091" t="str">
            <v>sim</v>
          </cell>
          <cell r="V8091" t="str">
            <v>not neg pair</v>
          </cell>
          <cell r="W8091">
            <v>0</v>
          </cell>
          <cell r="X8091" t="str">
            <v>0</v>
          </cell>
        </row>
        <row r="8092">
          <cell r="I8092" t="str">
            <v>sim</v>
          </cell>
          <cell r="V8092" t="str">
            <v>antonym</v>
          </cell>
          <cell r="W8092">
            <v>1</v>
          </cell>
          <cell r="X8092" t="str">
            <v>intens</v>
          </cell>
        </row>
        <row r="8093">
          <cell r="I8093" t="str">
            <v>sim</v>
          </cell>
          <cell r="V8093" t="str">
            <v>antonym</v>
          </cell>
          <cell r="W8093">
            <v>1</v>
          </cell>
          <cell r="X8093" t="str">
            <v>neg</v>
          </cell>
        </row>
        <row r="8094">
          <cell r="I8094" t="str">
            <v>sim</v>
          </cell>
          <cell r="V8094" t="str">
            <v>not</v>
          </cell>
          <cell r="W8094">
            <v>1</v>
          </cell>
          <cell r="X8094" t="str">
            <v>neg</v>
          </cell>
        </row>
        <row r="8095">
          <cell r="I8095" t="str">
            <v>sim</v>
          </cell>
          <cell r="V8095" t="str">
            <v>not</v>
          </cell>
          <cell r="W8095">
            <v>1</v>
          </cell>
          <cell r="X8095" t="str">
            <v>intens</v>
          </cell>
        </row>
        <row r="8096">
          <cell r="I8096" t="str">
            <v>met</v>
          </cell>
          <cell r="V8096" t="str">
            <v>0</v>
          </cell>
          <cell r="W8096">
            <v>0</v>
          </cell>
          <cell r="X8096" t="str">
            <v>0</v>
          </cell>
        </row>
        <row r="8097">
          <cell r="I8097" t="str">
            <v>met</v>
          </cell>
          <cell r="V8097" t="str">
            <v>0</v>
          </cell>
          <cell r="W8097">
            <v>0</v>
          </cell>
          <cell r="X8097" t="str">
            <v>0</v>
          </cell>
        </row>
        <row r="8098">
          <cell r="I8098" t="str">
            <v>met</v>
          </cell>
          <cell r="V8098" t="str">
            <v>0</v>
          </cell>
          <cell r="W8098">
            <v>0</v>
          </cell>
          <cell r="X8098" t="str">
            <v>0</v>
          </cell>
        </row>
        <row r="8099">
          <cell r="I8099" t="str">
            <v>met</v>
          </cell>
          <cell r="V8099" t="str">
            <v>0</v>
          </cell>
          <cell r="W8099">
            <v>0</v>
          </cell>
          <cell r="X8099" t="str">
            <v>0</v>
          </cell>
        </row>
        <row r="8100">
          <cell r="I8100" t="str">
            <v>sim</v>
          </cell>
          <cell r="V8100" t="str">
            <v>not neg pair</v>
          </cell>
          <cell r="W8100">
            <v>0</v>
          </cell>
          <cell r="X8100" t="str">
            <v>0</v>
          </cell>
        </row>
        <row r="8101">
          <cell r="I8101" t="str">
            <v>sim</v>
          </cell>
          <cell r="V8101" t="str">
            <v>not neg pair</v>
          </cell>
          <cell r="W8101">
            <v>0</v>
          </cell>
          <cell r="X8101" t="str">
            <v>0</v>
          </cell>
        </row>
        <row r="8102">
          <cell r="I8102" t="str">
            <v>sim</v>
          </cell>
          <cell r="V8102" t="str">
            <v>not neg pair</v>
          </cell>
          <cell r="W8102">
            <v>0</v>
          </cell>
          <cell r="X8102" t="str">
            <v>0</v>
          </cell>
        </row>
        <row r="8103">
          <cell r="I8103" t="str">
            <v>sim</v>
          </cell>
          <cell r="V8103" t="str">
            <v>not neg pair</v>
          </cell>
          <cell r="W8103">
            <v>0</v>
          </cell>
          <cell r="X8103" t="str">
            <v>0</v>
          </cell>
        </row>
        <row r="8104">
          <cell r="I8104" t="str">
            <v>sim</v>
          </cell>
          <cell r="V8104" t="str">
            <v>not neg pair</v>
          </cell>
          <cell r="W8104">
            <v>0</v>
          </cell>
          <cell r="X8104" t="str">
            <v>0</v>
          </cell>
        </row>
        <row r="8105">
          <cell r="I8105" t="str">
            <v>sim</v>
          </cell>
          <cell r="V8105" t="str">
            <v>not neg pair</v>
          </cell>
          <cell r="W8105">
            <v>0</v>
          </cell>
          <cell r="X8105" t="str">
            <v>0</v>
          </cell>
        </row>
        <row r="8106">
          <cell r="I8106" t="str">
            <v>sim</v>
          </cell>
          <cell r="V8106" t="str">
            <v>not neg pair</v>
          </cell>
          <cell r="W8106">
            <v>0</v>
          </cell>
          <cell r="X8106" t="str">
            <v>0</v>
          </cell>
        </row>
        <row r="8107">
          <cell r="I8107" t="str">
            <v>sim</v>
          </cell>
          <cell r="V8107" t="str">
            <v>not neg pair</v>
          </cell>
          <cell r="W8107">
            <v>0</v>
          </cell>
          <cell r="X8107" t="str">
            <v>0</v>
          </cell>
        </row>
        <row r="8108">
          <cell r="I8108" t="str">
            <v>sim</v>
          </cell>
          <cell r="V8108" t="str">
            <v>not neg pair</v>
          </cell>
          <cell r="W8108">
            <v>0</v>
          </cell>
          <cell r="X8108" t="str">
            <v>0</v>
          </cell>
        </row>
        <row r="8109">
          <cell r="I8109" t="str">
            <v>sim</v>
          </cell>
          <cell r="V8109" t="str">
            <v>not neg pair</v>
          </cell>
          <cell r="W8109">
            <v>0</v>
          </cell>
          <cell r="X8109" t="str">
            <v>0</v>
          </cell>
        </row>
        <row r="8110">
          <cell r="I8110" t="str">
            <v>sim</v>
          </cell>
          <cell r="V8110" t="str">
            <v>not neg pair</v>
          </cell>
          <cell r="W8110">
            <v>0</v>
          </cell>
          <cell r="X8110" t="str">
            <v>0</v>
          </cell>
        </row>
        <row r="8111">
          <cell r="I8111" t="str">
            <v>sim</v>
          </cell>
          <cell r="V8111" t="str">
            <v>not neg pair</v>
          </cell>
          <cell r="W8111">
            <v>0</v>
          </cell>
          <cell r="X8111" t="str">
            <v>0</v>
          </cell>
        </row>
        <row r="8112">
          <cell r="I8112" t="str">
            <v>sim</v>
          </cell>
          <cell r="V8112" t="str">
            <v>not neg pair</v>
          </cell>
          <cell r="W8112">
            <v>0</v>
          </cell>
          <cell r="X8112" t="str">
            <v>0</v>
          </cell>
        </row>
        <row r="8113">
          <cell r="I8113" t="str">
            <v>sim</v>
          </cell>
          <cell r="V8113" t="str">
            <v>not neg pair</v>
          </cell>
          <cell r="W8113">
            <v>0</v>
          </cell>
          <cell r="X8113" t="str">
            <v>0</v>
          </cell>
        </row>
        <row r="8114">
          <cell r="I8114" t="str">
            <v>sim</v>
          </cell>
          <cell r="V8114" t="str">
            <v>not neg pair</v>
          </cell>
          <cell r="W8114">
            <v>0</v>
          </cell>
          <cell r="X8114" t="str">
            <v>0</v>
          </cell>
        </row>
        <row r="8115">
          <cell r="I8115" t="str">
            <v>sim</v>
          </cell>
          <cell r="V8115" t="str">
            <v>not neg pair</v>
          </cell>
          <cell r="W8115">
            <v>0</v>
          </cell>
          <cell r="X8115" t="str">
            <v>0</v>
          </cell>
        </row>
        <row r="8116">
          <cell r="I8116" t="str">
            <v>sim</v>
          </cell>
          <cell r="V8116" t="str">
            <v>antonym</v>
          </cell>
          <cell r="W8116">
            <v>1</v>
          </cell>
          <cell r="X8116" t="str">
            <v>intens</v>
          </cell>
        </row>
        <row r="8117">
          <cell r="I8117" t="str">
            <v>sim</v>
          </cell>
          <cell r="V8117" t="str">
            <v>antonym</v>
          </cell>
          <cell r="W8117">
            <v>1</v>
          </cell>
          <cell r="X8117" t="str">
            <v>neg</v>
          </cell>
        </row>
        <row r="8118">
          <cell r="I8118" t="str">
            <v>sim</v>
          </cell>
          <cell r="V8118" t="str">
            <v>not neg pair</v>
          </cell>
          <cell r="W8118">
            <v>0</v>
          </cell>
          <cell r="X8118" t="str">
            <v>0</v>
          </cell>
        </row>
        <row r="8119">
          <cell r="I8119" t="str">
            <v>sim</v>
          </cell>
          <cell r="V8119" t="str">
            <v>not neg pair</v>
          </cell>
          <cell r="W8119">
            <v>0</v>
          </cell>
          <cell r="X8119" t="str">
            <v>0</v>
          </cell>
        </row>
        <row r="8120">
          <cell r="I8120" t="str">
            <v>met</v>
          </cell>
          <cell r="V8120" t="str">
            <v>0</v>
          </cell>
          <cell r="W8120">
            <v>0</v>
          </cell>
          <cell r="X8120" t="str">
            <v>0</v>
          </cell>
        </row>
        <row r="8121">
          <cell r="I8121" t="str">
            <v>met</v>
          </cell>
          <cell r="V8121" t="str">
            <v>0</v>
          </cell>
          <cell r="W8121">
            <v>0</v>
          </cell>
          <cell r="X8121" t="str">
            <v>0</v>
          </cell>
        </row>
        <row r="8122">
          <cell r="I8122" t="str">
            <v>sim</v>
          </cell>
          <cell r="V8122" t="str">
            <v>not neg pair</v>
          </cell>
          <cell r="W8122">
            <v>0</v>
          </cell>
          <cell r="X8122" t="str">
            <v>0</v>
          </cell>
        </row>
        <row r="8123">
          <cell r="I8123" t="str">
            <v>sim</v>
          </cell>
          <cell r="V8123" t="str">
            <v>not neg pair</v>
          </cell>
          <cell r="W8123">
            <v>0</v>
          </cell>
          <cell r="X8123" t="str">
            <v>0</v>
          </cell>
        </row>
        <row r="8124">
          <cell r="I8124" t="str">
            <v>sim</v>
          </cell>
          <cell r="V8124" t="str">
            <v>not neg pair</v>
          </cell>
          <cell r="W8124">
            <v>0</v>
          </cell>
          <cell r="X8124" t="str">
            <v>0</v>
          </cell>
        </row>
        <row r="8125">
          <cell r="I8125" t="str">
            <v>sim</v>
          </cell>
          <cell r="V8125" t="str">
            <v>not neg pair</v>
          </cell>
          <cell r="W8125">
            <v>0</v>
          </cell>
          <cell r="X8125" t="str">
            <v>0</v>
          </cell>
        </row>
        <row r="8126">
          <cell r="I8126" t="str">
            <v>met</v>
          </cell>
          <cell r="V8126" t="str">
            <v>0</v>
          </cell>
          <cell r="W8126">
            <v>0</v>
          </cell>
          <cell r="X8126" t="str">
            <v>0</v>
          </cell>
        </row>
        <row r="8127">
          <cell r="I8127" t="str">
            <v>met</v>
          </cell>
          <cell r="V8127" t="str">
            <v>0</v>
          </cell>
          <cell r="W8127">
            <v>0</v>
          </cell>
          <cell r="X8127" t="str">
            <v>0</v>
          </cell>
        </row>
        <row r="8128">
          <cell r="I8128" t="str">
            <v>met</v>
          </cell>
          <cell r="V8128" t="str">
            <v>0</v>
          </cell>
          <cell r="W8128">
            <v>0</v>
          </cell>
          <cell r="X8128" t="str">
            <v>0</v>
          </cell>
        </row>
        <row r="8129">
          <cell r="I8129" t="str">
            <v>met</v>
          </cell>
          <cell r="V8129" t="str">
            <v>0</v>
          </cell>
          <cell r="W8129">
            <v>0</v>
          </cell>
          <cell r="X8129" t="str">
            <v>0</v>
          </cell>
        </row>
        <row r="8130">
          <cell r="I8130" t="str">
            <v>sim</v>
          </cell>
          <cell r="V8130" t="str">
            <v>not neg pair</v>
          </cell>
          <cell r="W8130">
            <v>0</v>
          </cell>
          <cell r="X8130" t="str">
            <v>0</v>
          </cell>
        </row>
        <row r="8131">
          <cell r="I8131" t="str">
            <v>met</v>
          </cell>
          <cell r="V8131" t="str">
            <v>0</v>
          </cell>
          <cell r="W8131">
            <v>0</v>
          </cell>
          <cell r="X8131" t="str">
            <v>0</v>
          </cell>
        </row>
        <row r="8132">
          <cell r="I8132" t="str">
            <v>sim</v>
          </cell>
          <cell r="V8132" t="str">
            <v>not neg pair</v>
          </cell>
          <cell r="W8132">
            <v>0</v>
          </cell>
          <cell r="X8132" t="str">
            <v>0</v>
          </cell>
        </row>
        <row r="8133">
          <cell r="I8133" t="str">
            <v>sim</v>
          </cell>
          <cell r="V8133" t="str">
            <v>not neg pair</v>
          </cell>
          <cell r="W8133">
            <v>0</v>
          </cell>
          <cell r="X8133" t="str">
            <v>0</v>
          </cell>
        </row>
        <row r="8134">
          <cell r="I8134" t="str">
            <v>sim</v>
          </cell>
          <cell r="V8134" t="str">
            <v>not neg pair</v>
          </cell>
          <cell r="W8134">
            <v>0</v>
          </cell>
          <cell r="X8134" t="str">
            <v>0</v>
          </cell>
        </row>
        <row r="8135">
          <cell r="I8135" t="str">
            <v>sim</v>
          </cell>
          <cell r="V8135" t="str">
            <v>not neg pair</v>
          </cell>
          <cell r="W8135">
            <v>0</v>
          </cell>
          <cell r="X8135" t="str">
            <v>0</v>
          </cell>
        </row>
        <row r="8136">
          <cell r="I8136" t="str">
            <v>sim</v>
          </cell>
          <cell r="V8136" t="str">
            <v>not</v>
          </cell>
          <cell r="W8136">
            <v>1</v>
          </cell>
          <cell r="X8136" t="str">
            <v>neg</v>
          </cell>
        </row>
        <row r="8137">
          <cell r="I8137" t="str">
            <v>sim</v>
          </cell>
          <cell r="V8137" t="str">
            <v>not</v>
          </cell>
          <cell r="W8137">
            <v>1</v>
          </cell>
          <cell r="X8137" t="str">
            <v>intens</v>
          </cell>
        </row>
        <row r="8138">
          <cell r="I8138" t="str">
            <v>sim</v>
          </cell>
          <cell r="V8138" t="str">
            <v>not neg pair</v>
          </cell>
          <cell r="W8138">
            <v>0</v>
          </cell>
          <cell r="X8138" t="str">
            <v>0</v>
          </cell>
        </row>
        <row r="8139">
          <cell r="I8139" t="str">
            <v>sim</v>
          </cell>
          <cell r="V8139" t="str">
            <v>not neg pair</v>
          </cell>
          <cell r="W8139">
            <v>0</v>
          </cell>
          <cell r="X8139" t="str">
            <v>0</v>
          </cell>
        </row>
        <row r="8140">
          <cell r="I8140" t="str">
            <v>sim</v>
          </cell>
          <cell r="V8140" t="str">
            <v>not neg pair</v>
          </cell>
          <cell r="W8140">
            <v>0</v>
          </cell>
          <cell r="X8140" t="str">
            <v>0</v>
          </cell>
        </row>
        <row r="8141">
          <cell r="I8141" t="str">
            <v>sim</v>
          </cell>
          <cell r="V8141" t="str">
            <v>not neg pair</v>
          </cell>
          <cell r="W8141">
            <v>0</v>
          </cell>
          <cell r="X8141" t="str">
            <v>0</v>
          </cell>
        </row>
        <row r="8142">
          <cell r="I8142" t="str">
            <v>sim</v>
          </cell>
          <cell r="V8142" t="str">
            <v>not neg pair</v>
          </cell>
          <cell r="W8142">
            <v>0</v>
          </cell>
          <cell r="X8142" t="str">
            <v>0</v>
          </cell>
        </row>
        <row r="8143">
          <cell r="I8143" t="str">
            <v>sim</v>
          </cell>
          <cell r="V8143" t="str">
            <v>not neg pair</v>
          </cell>
          <cell r="W8143">
            <v>0</v>
          </cell>
          <cell r="X8143" t="str">
            <v>0</v>
          </cell>
        </row>
        <row r="8144">
          <cell r="I8144" t="str">
            <v>sim</v>
          </cell>
          <cell r="V8144" t="str">
            <v>not neg pair</v>
          </cell>
          <cell r="W8144">
            <v>0</v>
          </cell>
          <cell r="X8144" t="str">
            <v>0</v>
          </cell>
        </row>
        <row r="8145">
          <cell r="I8145" t="str">
            <v>sim</v>
          </cell>
          <cell r="V8145" t="str">
            <v>not neg pair</v>
          </cell>
          <cell r="W8145">
            <v>0</v>
          </cell>
          <cell r="X8145" t="str">
            <v>0</v>
          </cell>
        </row>
        <row r="8146">
          <cell r="I8146" t="str">
            <v>sim</v>
          </cell>
          <cell r="V8146" t="str">
            <v>not neg pair</v>
          </cell>
          <cell r="W8146">
            <v>0</v>
          </cell>
          <cell r="X8146" t="str">
            <v>0</v>
          </cell>
        </row>
        <row r="8147">
          <cell r="I8147" t="str">
            <v>sim</v>
          </cell>
          <cell r="V8147" t="str">
            <v>not neg pair</v>
          </cell>
          <cell r="W8147">
            <v>0</v>
          </cell>
          <cell r="X8147" t="str">
            <v>0</v>
          </cell>
        </row>
        <row r="8148">
          <cell r="I8148" t="str">
            <v>sim</v>
          </cell>
          <cell r="V8148" t="str">
            <v>not neg pair</v>
          </cell>
          <cell r="W8148">
            <v>0</v>
          </cell>
          <cell r="X8148" t="str">
            <v>0</v>
          </cell>
        </row>
        <row r="8149">
          <cell r="I8149" t="str">
            <v>sim</v>
          </cell>
          <cell r="V8149" t="str">
            <v>not neg pair</v>
          </cell>
          <cell r="W8149">
            <v>0</v>
          </cell>
          <cell r="X8149" t="str">
            <v>0</v>
          </cell>
        </row>
        <row r="8150">
          <cell r="I8150" t="str">
            <v>sim</v>
          </cell>
          <cell r="V8150" t="str">
            <v>antonym</v>
          </cell>
          <cell r="W8150">
            <v>1</v>
          </cell>
          <cell r="X8150" t="str">
            <v>intens</v>
          </cell>
        </row>
        <row r="8151">
          <cell r="I8151" t="str">
            <v>sim</v>
          </cell>
          <cell r="V8151" t="str">
            <v>antonym</v>
          </cell>
          <cell r="W8151">
            <v>1</v>
          </cell>
          <cell r="X8151" t="str">
            <v>neg</v>
          </cell>
        </row>
        <row r="8152">
          <cell r="I8152" t="str">
            <v>sim</v>
          </cell>
          <cell r="V8152" t="str">
            <v>not neg pair</v>
          </cell>
          <cell r="W8152">
            <v>0</v>
          </cell>
          <cell r="X8152" t="str">
            <v>0</v>
          </cell>
        </row>
        <row r="8153">
          <cell r="I8153" t="str">
            <v>sim</v>
          </cell>
          <cell r="V8153" t="str">
            <v>not neg pair</v>
          </cell>
          <cell r="W8153">
            <v>0</v>
          </cell>
          <cell r="X8153" t="str">
            <v>0</v>
          </cell>
        </row>
        <row r="8154">
          <cell r="I8154" t="str">
            <v>sim</v>
          </cell>
          <cell r="V8154" t="str">
            <v>antonym</v>
          </cell>
          <cell r="W8154">
            <v>1</v>
          </cell>
          <cell r="X8154" t="str">
            <v>intens</v>
          </cell>
        </row>
        <row r="8155">
          <cell r="I8155" t="str">
            <v>sim</v>
          </cell>
          <cell r="V8155" t="str">
            <v>antonym</v>
          </cell>
          <cell r="W8155">
            <v>1</v>
          </cell>
          <cell r="X8155" t="str">
            <v>neg</v>
          </cell>
        </row>
        <row r="8156">
          <cell r="I8156" t="str">
            <v>sim</v>
          </cell>
          <cell r="V8156" t="str">
            <v>antonym</v>
          </cell>
          <cell r="W8156">
            <v>1</v>
          </cell>
          <cell r="X8156" t="str">
            <v>neg</v>
          </cell>
        </row>
        <row r="8157">
          <cell r="I8157" t="str">
            <v>sim</v>
          </cell>
          <cell r="V8157" t="str">
            <v>antonym</v>
          </cell>
          <cell r="W8157">
            <v>1</v>
          </cell>
          <cell r="X8157" t="str">
            <v>intens</v>
          </cell>
        </row>
        <row r="8158">
          <cell r="I8158" t="str">
            <v>sim</v>
          </cell>
          <cell r="V8158" t="str">
            <v>not neg pair</v>
          </cell>
          <cell r="W8158">
            <v>0</v>
          </cell>
          <cell r="X8158" t="str">
            <v>0</v>
          </cell>
        </row>
        <row r="8159">
          <cell r="I8159" t="str">
            <v>sim</v>
          </cell>
          <cell r="V8159" t="str">
            <v>not neg pair</v>
          </cell>
          <cell r="W8159">
            <v>0</v>
          </cell>
          <cell r="X8159" t="str">
            <v>0</v>
          </cell>
        </row>
        <row r="8160">
          <cell r="I8160" t="str">
            <v>sim</v>
          </cell>
          <cell r="V8160" t="str">
            <v>not</v>
          </cell>
          <cell r="W8160">
            <v>1</v>
          </cell>
          <cell r="X8160" t="str">
            <v>intens</v>
          </cell>
        </row>
        <row r="8161">
          <cell r="I8161" t="str">
            <v>sim</v>
          </cell>
          <cell r="V8161" t="str">
            <v>not</v>
          </cell>
          <cell r="W8161">
            <v>1</v>
          </cell>
          <cell r="X8161" t="str">
            <v>neg</v>
          </cell>
        </row>
        <row r="8162">
          <cell r="I8162" t="str">
            <v>sim</v>
          </cell>
          <cell r="V8162" t="str">
            <v>not neg pair</v>
          </cell>
          <cell r="W8162">
            <v>0</v>
          </cell>
          <cell r="X8162" t="str">
            <v>0</v>
          </cell>
        </row>
        <row r="8163">
          <cell r="I8163" t="str">
            <v>sim</v>
          </cell>
          <cell r="V8163" t="str">
            <v>not neg pair</v>
          </cell>
          <cell r="W8163">
            <v>0</v>
          </cell>
          <cell r="X8163" t="str">
            <v>0</v>
          </cell>
        </row>
        <row r="8164">
          <cell r="I8164" t="str">
            <v>met</v>
          </cell>
          <cell r="V8164" t="str">
            <v>0</v>
          </cell>
          <cell r="W8164">
            <v>0</v>
          </cell>
          <cell r="X8164" t="str">
            <v>0</v>
          </cell>
        </row>
        <row r="8165">
          <cell r="I8165" t="str">
            <v>met</v>
          </cell>
          <cell r="V8165" t="str">
            <v>0</v>
          </cell>
          <cell r="W8165">
            <v>0</v>
          </cell>
          <cell r="X8165" t="str">
            <v>0</v>
          </cell>
        </row>
        <row r="8166">
          <cell r="I8166" t="str">
            <v>met</v>
          </cell>
          <cell r="V8166" t="str">
            <v>0</v>
          </cell>
          <cell r="W8166">
            <v>0</v>
          </cell>
          <cell r="X8166" t="str">
            <v>0</v>
          </cell>
        </row>
        <row r="8167">
          <cell r="I8167" t="str">
            <v>met</v>
          </cell>
          <cell r="V8167" t="str">
            <v>0</v>
          </cell>
          <cell r="W8167">
            <v>0</v>
          </cell>
          <cell r="X8167" t="str">
            <v>0</v>
          </cell>
        </row>
        <row r="8168">
          <cell r="I8168" t="str">
            <v>sim</v>
          </cell>
          <cell r="V8168" t="str">
            <v>not</v>
          </cell>
          <cell r="W8168">
            <v>1</v>
          </cell>
          <cell r="X8168" t="str">
            <v>intens</v>
          </cell>
        </row>
        <row r="8169">
          <cell r="I8169" t="str">
            <v>sim</v>
          </cell>
          <cell r="V8169" t="str">
            <v>not</v>
          </cell>
          <cell r="W8169">
            <v>1</v>
          </cell>
          <cell r="X8169" t="str">
            <v>neg</v>
          </cell>
        </row>
        <row r="8170">
          <cell r="I8170" t="str">
            <v>sim</v>
          </cell>
          <cell r="V8170" t="str">
            <v>antonym</v>
          </cell>
          <cell r="W8170">
            <v>1</v>
          </cell>
          <cell r="X8170" t="str">
            <v>intens</v>
          </cell>
        </row>
        <row r="8171">
          <cell r="I8171" t="str">
            <v>sim</v>
          </cell>
          <cell r="V8171" t="str">
            <v>antonym</v>
          </cell>
          <cell r="W8171">
            <v>1</v>
          </cell>
          <cell r="X8171" t="str">
            <v>neg</v>
          </cell>
        </row>
        <row r="8172">
          <cell r="I8172" t="str">
            <v>sim</v>
          </cell>
          <cell r="V8172" t="str">
            <v>not neg pair</v>
          </cell>
          <cell r="W8172">
            <v>0</v>
          </cell>
          <cell r="X8172" t="str">
            <v>0</v>
          </cell>
        </row>
        <row r="8173">
          <cell r="I8173" t="str">
            <v>sim</v>
          </cell>
          <cell r="V8173" t="str">
            <v>not neg pair</v>
          </cell>
          <cell r="W8173">
            <v>0</v>
          </cell>
          <cell r="X8173" t="str">
            <v>0</v>
          </cell>
        </row>
        <row r="8174">
          <cell r="I8174" t="str">
            <v>met</v>
          </cell>
          <cell r="V8174" t="str">
            <v>0</v>
          </cell>
          <cell r="W8174">
            <v>0</v>
          </cell>
          <cell r="X8174" t="str">
            <v>0</v>
          </cell>
        </row>
        <row r="8175">
          <cell r="I8175" t="str">
            <v>met</v>
          </cell>
          <cell r="V8175" t="str">
            <v>0</v>
          </cell>
          <cell r="W8175">
            <v>0</v>
          </cell>
          <cell r="X8175" t="str">
            <v>0</v>
          </cell>
        </row>
        <row r="8176">
          <cell r="I8176" t="str">
            <v>sim</v>
          </cell>
          <cell r="V8176" t="str">
            <v>not</v>
          </cell>
          <cell r="W8176">
            <v>1</v>
          </cell>
          <cell r="X8176" t="str">
            <v>neg</v>
          </cell>
        </row>
        <row r="8177">
          <cell r="I8177" t="str">
            <v>sim</v>
          </cell>
          <cell r="V8177" t="str">
            <v>not</v>
          </cell>
          <cell r="W8177">
            <v>1</v>
          </cell>
          <cell r="X8177" t="str">
            <v>intens</v>
          </cell>
        </row>
        <row r="8178">
          <cell r="I8178" t="str">
            <v>sim</v>
          </cell>
          <cell r="V8178" t="str">
            <v>not</v>
          </cell>
          <cell r="W8178">
            <v>1</v>
          </cell>
          <cell r="X8178" t="str">
            <v>intens</v>
          </cell>
        </row>
        <row r="8179">
          <cell r="I8179" t="str">
            <v>sim</v>
          </cell>
          <cell r="V8179" t="str">
            <v>not</v>
          </cell>
          <cell r="W8179">
            <v>1</v>
          </cell>
          <cell r="X8179" t="str">
            <v>neg</v>
          </cell>
        </row>
        <row r="8180">
          <cell r="I8180" t="str">
            <v>sim</v>
          </cell>
          <cell r="V8180" t="str">
            <v>not neg pair</v>
          </cell>
          <cell r="W8180">
            <v>0</v>
          </cell>
          <cell r="X8180" t="str">
            <v>0</v>
          </cell>
        </row>
        <row r="8181">
          <cell r="I8181" t="str">
            <v>sim</v>
          </cell>
          <cell r="V8181" t="str">
            <v>not neg pair</v>
          </cell>
          <cell r="W8181">
            <v>0</v>
          </cell>
          <cell r="X8181" t="str">
            <v>0</v>
          </cell>
        </row>
        <row r="8182">
          <cell r="I8182" t="str">
            <v>sim</v>
          </cell>
          <cell r="V8182" t="str">
            <v>not</v>
          </cell>
          <cell r="W8182">
            <v>1</v>
          </cell>
          <cell r="X8182" t="str">
            <v>intens</v>
          </cell>
        </row>
        <row r="8183">
          <cell r="I8183" t="str">
            <v>sim</v>
          </cell>
          <cell r="V8183" t="str">
            <v>not</v>
          </cell>
          <cell r="W8183">
            <v>1</v>
          </cell>
          <cell r="X8183" t="str">
            <v>neg</v>
          </cell>
        </row>
        <row r="8184">
          <cell r="I8184" t="str">
            <v>sim</v>
          </cell>
          <cell r="V8184" t="str">
            <v>not neg pair</v>
          </cell>
          <cell r="W8184">
            <v>0</v>
          </cell>
          <cell r="X8184" t="str">
            <v>0</v>
          </cell>
        </row>
        <row r="8185">
          <cell r="I8185" t="str">
            <v>sim</v>
          </cell>
          <cell r="V8185" t="str">
            <v>not neg pair</v>
          </cell>
          <cell r="W8185">
            <v>0</v>
          </cell>
          <cell r="X8185" t="str">
            <v>0</v>
          </cell>
        </row>
        <row r="8186">
          <cell r="I8186" t="str">
            <v>sim</v>
          </cell>
          <cell r="V8186" t="str">
            <v>antonym</v>
          </cell>
          <cell r="W8186">
            <v>1</v>
          </cell>
          <cell r="X8186" t="str">
            <v>intens</v>
          </cell>
        </row>
        <row r="8187">
          <cell r="I8187" t="str">
            <v>sim</v>
          </cell>
          <cell r="V8187" t="str">
            <v>antonym</v>
          </cell>
          <cell r="W8187">
            <v>1</v>
          </cell>
          <cell r="X8187" t="str">
            <v>neg</v>
          </cell>
        </row>
        <row r="8188">
          <cell r="I8188" t="str">
            <v>sim</v>
          </cell>
          <cell r="V8188" t="str">
            <v>not</v>
          </cell>
          <cell r="W8188">
            <v>1</v>
          </cell>
          <cell r="X8188" t="str">
            <v>neg</v>
          </cell>
        </row>
        <row r="8189">
          <cell r="I8189" t="str">
            <v>sim</v>
          </cell>
          <cell r="V8189" t="str">
            <v>not</v>
          </cell>
          <cell r="W8189">
            <v>1</v>
          </cell>
          <cell r="X8189" t="str">
            <v>intens</v>
          </cell>
        </row>
        <row r="8190">
          <cell r="I8190" t="str">
            <v>sim</v>
          </cell>
          <cell r="V8190" t="str">
            <v>not neg pair</v>
          </cell>
          <cell r="W8190">
            <v>0</v>
          </cell>
          <cell r="X8190" t="str">
            <v>0</v>
          </cell>
        </row>
        <row r="8191">
          <cell r="I8191" t="str">
            <v>sim</v>
          </cell>
          <cell r="V8191" t="str">
            <v>not neg pair</v>
          </cell>
          <cell r="W8191">
            <v>0</v>
          </cell>
          <cell r="X8191" t="str">
            <v>0</v>
          </cell>
        </row>
        <row r="8192">
          <cell r="I8192" t="str">
            <v>sim</v>
          </cell>
          <cell r="V8192" t="str">
            <v>not neg pair</v>
          </cell>
          <cell r="W8192">
            <v>0</v>
          </cell>
          <cell r="X8192" t="str">
            <v>0</v>
          </cell>
        </row>
        <row r="8193">
          <cell r="I8193" t="str">
            <v>sim</v>
          </cell>
          <cell r="V8193" t="str">
            <v>not neg pair</v>
          </cell>
          <cell r="W8193">
            <v>0</v>
          </cell>
          <cell r="X8193" t="str">
            <v>0</v>
          </cell>
        </row>
        <row r="8194">
          <cell r="I8194" t="str">
            <v>sim</v>
          </cell>
          <cell r="V8194" t="str">
            <v>not</v>
          </cell>
          <cell r="W8194">
            <v>1</v>
          </cell>
          <cell r="X8194" t="str">
            <v>neg</v>
          </cell>
        </row>
        <row r="8195">
          <cell r="I8195" t="str">
            <v>sim</v>
          </cell>
          <cell r="V8195" t="str">
            <v>not</v>
          </cell>
          <cell r="W8195">
            <v>1</v>
          </cell>
          <cell r="X8195" t="str">
            <v>intens</v>
          </cell>
        </row>
        <row r="8196">
          <cell r="I8196" t="str">
            <v>sim</v>
          </cell>
          <cell r="V8196" t="str">
            <v>not</v>
          </cell>
          <cell r="W8196">
            <v>1</v>
          </cell>
          <cell r="X8196" t="str">
            <v>intens</v>
          </cell>
        </row>
        <row r="8197">
          <cell r="I8197" t="str">
            <v>sim</v>
          </cell>
          <cell r="V8197" t="str">
            <v>not</v>
          </cell>
          <cell r="W8197">
            <v>1</v>
          </cell>
          <cell r="X8197" t="str">
            <v>neg</v>
          </cell>
        </row>
        <row r="8198">
          <cell r="I8198" t="str">
            <v>sim</v>
          </cell>
          <cell r="V8198" t="str">
            <v>not</v>
          </cell>
          <cell r="W8198">
            <v>1</v>
          </cell>
          <cell r="X8198" t="str">
            <v>intens</v>
          </cell>
        </row>
        <row r="8199">
          <cell r="I8199" t="str">
            <v>sim</v>
          </cell>
          <cell r="V8199" t="str">
            <v>not</v>
          </cell>
          <cell r="W8199">
            <v>1</v>
          </cell>
          <cell r="X8199" t="str">
            <v>neg</v>
          </cell>
        </row>
        <row r="8200">
          <cell r="I8200" t="str">
            <v>sim</v>
          </cell>
          <cell r="V8200" t="str">
            <v>antonym</v>
          </cell>
          <cell r="W8200">
            <v>1</v>
          </cell>
          <cell r="X8200" t="str">
            <v>neg</v>
          </cell>
        </row>
        <row r="8201">
          <cell r="I8201" t="str">
            <v>sim</v>
          </cell>
          <cell r="V8201" t="str">
            <v>antonym</v>
          </cell>
          <cell r="W8201">
            <v>1</v>
          </cell>
          <cell r="X8201" t="str">
            <v>intens</v>
          </cell>
        </row>
        <row r="8202">
          <cell r="I8202" t="str">
            <v>sim</v>
          </cell>
          <cell r="V8202" t="str">
            <v>antonym</v>
          </cell>
          <cell r="W8202">
            <v>1</v>
          </cell>
          <cell r="X8202" t="str">
            <v>intens</v>
          </cell>
        </row>
        <row r="8203">
          <cell r="I8203" t="str">
            <v>sim</v>
          </cell>
          <cell r="V8203" t="str">
            <v>antonym</v>
          </cell>
          <cell r="W8203">
            <v>1</v>
          </cell>
          <cell r="X8203" t="str">
            <v>neg</v>
          </cell>
        </row>
        <row r="8204">
          <cell r="I8204" t="str">
            <v>met</v>
          </cell>
          <cell r="V8204" t="str">
            <v>0</v>
          </cell>
          <cell r="W8204">
            <v>0</v>
          </cell>
          <cell r="X8204" t="str">
            <v>0</v>
          </cell>
        </row>
        <row r="8205">
          <cell r="I8205" t="str">
            <v>met</v>
          </cell>
          <cell r="V8205" t="str">
            <v>0</v>
          </cell>
          <cell r="W8205">
            <v>0</v>
          </cell>
          <cell r="X8205" t="str">
            <v>0</v>
          </cell>
        </row>
        <row r="8206">
          <cell r="I8206" t="str">
            <v>sim</v>
          </cell>
          <cell r="V8206" t="str">
            <v>not neg pair</v>
          </cell>
          <cell r="W8206">
            <v>0</v>
          </cell>
          <cell r="X8206" t="str">
            <v>0</v>
          </cell>
        </row>
        <row r="8207">
          <cell r="I8207" t="str">
            <v>sim</v>
          </cell>
          <cell r="V8207" t="str">
            <v>not neg pair</v>
          </cell>
          <cell r="W8207">
            <v>0</v>
          </cell>
          <cell r="X8207" t="str">
            <v>0</v>
          </cell>
        </row>
        <row r="8208">
          <cell r="I8208" t="str">
            <v>sim</v>
          </cell>
          <cell r="V8208" t="str">
            <v>not neg pair</v>
          </cell>
          <cell r="W8208">
            <v>0</v>
          </cell>
          <cell r="X8208" t="str">
            <v>0</v>
          </cell>
        </row>
        <row r="8209">
          <cell r="I8209" t="str">
            <v>sim</v>
          </cell>
          <cell r="V8209" t="str">
            <v>not neg pair</v>
          </cell>
          <cell r="W8209">
            <v>0</v>
          </cell>
          <cell r="X8209" t="str">
            <v>0</v>
          </cell>
        </row>
        <row r="8210">
          <cell r="I8210" t="str">
            <v>sim</v>
          </cell>
          <cell r="V8210" t="str">
            <v>not neg pair</v>
          </cell>
          <cell r="W8210">
            <v>0</v>
          </cell>
          <cell r="X8210" t="str">
            <v>0</v>
          </cell>
        </row>
        <row r="8211">
          <cell r="I8211" t="str">
            <v>sim</v>
          </cell>
          <cell r="V8211" t="str">
            <v>not neg pair</v>
          </cell>
          <cell r="W8211">
            <v>0</v>
          </cell>
          <cell r="X8211" t="str">
            <v>0</v>
          </cell>
        </row>
        <row r="8212">
          <cell r="I8212" t="str">
            <v>sim</v>
          </cell>
          <cell r="V8212" t="str">
            <v>not</v>
          </cell>
          <cell r="W8212">
            <v>1</v>
          </cell>
          <cell r="X8212" t="str">
            <v>intens</v>
          </cell>
        </row>
        <row r="8213">
          <cell r="I8213" t="str">
            <v>sim</v>
          </cell>
          <cell r="V8213" t="str">
            <v>not</v>
          </cell>
          <cell r="W8213">
            <v>1</v>
          </cell>
          <cell r="X8213" t="str">
            <v>neg</v>
          </cell>
        </row>
        <row r="8214">
          <cell r="I8214" t="str">
            <v>sim</v>
          </cell>
          <cell r="V8214" t="str">
            <v>not neg pair</v>
          </cell>
          <cell r="W8214">
            <v>0</v>
          </cell>
          <cell r="X8214" t="str">
            <v>0</v>
          </cell>
        </row>
        <row r="8215">
          <cell r="I8215" t="str">
            <v>sim</v>
          </cell>
          <cell r="V8215" t="str">
            <v>not neg pair</v>
          </cell>
          <cell r="W8215">
            <v>0</v>
          </cell>
          <cell r="X8215" t="str">
            <v>0</v>
          </cell>
        </row>
        <row r="8216">
          <cell r="I8216" t="str">
            <v>sim</v>
          </cell>
          <cell r="V8216" t="str">
            <v>not neg pair</v>
          </cell>
          <cell r="W8216">
            <v>0</v>
          </cell>
          <cell r="X8216" t="str">
            <v>0</v>
          </cell>
        </row>
        <row r="8217">
          <cell r="I8217" t="str">
            <v>sim</v>
          </cell>
          <cell r="V8217" t="str">
            <v>not neg pair</v>
          </cell>
          <cell r="W8217">
            <v>0</v>
          </cell>
          <cell r="X8217" t="str">
            <v>0</v>
          </cell>
        </row>
        <row r="8218">
          <cell r="I8218" t="str">
            <v>sim</v>
          </cell>
          <cell r="V8218" t="str">
            <v>not neg pair</v>
          </cell>
          <cell r="W8218">
            <v>0</v>
          </cell>
          <cell r="X8218" t="str">
            <v>0</v>
          </cell>
        </row>
        <row r="8219">
          <cell r="I8219" t="str">
            <v>sim</v>
          </cell>
          <cell r="V8219" t="str">
            <v>not neg pair</v>
          </cell>
          <cell r="W8219">
            <v>0</v>
          </cell>
          <cell r="X8219" t="str">
            <v>0</v>
          </cell>
        </row>
        <row r="8220">
          <cell r="I8220" t="str">
            <v>met</v>
          </cell>
          <cell r="V8220" t="str">
            <v>0</v>
          </cell>
          <cell r="W8220">
            <v>0</v>
          </cell>
          <cell r="X8220" t="str">
            <v>0</v>
          </cell>
        </row>
        <row r="8221">
          <cell r="I8221" t="str">
            <v>met</v>
          </cell>
          <cell r="V8221" t="str">
            <v>0</v>
          </cell>
          <cell r="W8221">
            <v>0</v>
          </cell>
          <cell r="X8221" t="str">
            <v>0</v>
          </cell>
        </row>
        <row r="8222">
          <cell r="I8222" t="str">
            <v>met</v>
          </cell>
          <cell r="V8222" t="str">
            <v>0</v>
          </cell>
          <cell r="W8222">
            <v>0</v>
          </cell>
          <cell r="X8222" t="str">
            <v>0</v>
          </cell>
        </row>
        <row r="8223">
          <cell r="I8223" t="str">
            <v>met</v>
          </cell>
          <cell r="V8223" t="str">
            <v>0</v>
          </cell>
          <cell r="W8223">
            <v>0</v>
          </cell>
          <cell r="X8223" t="str">
            <v>0</v>
          </cell>
        </row>
        <row r="8224">
          <cell r="I8224" t="str">
            <v>sim</v>
          </cell>
          <cell r="V8224" t="str">
            <v>antonym</v>
          </cell>
          <cell r="W8224">
            <v>1</v>
          </cell>
          <cell r="X8224" t="str">
            <v>neg</v>
          </cell>
        </row>
        <row r="8225">
          <cell r="I8225" t="str">
            <v>sim</v>
          </cell>
          <cell r="V8225" t="str">
            <v>antonym</v>
          </cell>
          <cell r="W8225">
            <v>1</v>
          </cell>
          <cell r="X8225" t="str">
            <v>intens</v>
          </cell>
        </row>
        <row r="8226">
          <cell r="I8226" t="str">
            <v>sim</v>
          </cell>
          <cell r="V8226" t="str">
            <v>not neg pair</v>
          </cell>
          <cell r="W8226">
            <v>0</v>
          </cell>
          <cell r="X8226" t="str">
            <v>0</v>
          </cell>
        </row>
        <row r="8227">
          <cell r="I8227" t="str">
            <v>sim</v>
          </cell>
          <cell r="V8227" t="str">
            <v>not neg pair</v>
          </cell>
          <cell r="W8227">
            <v>0</v>
          </cell>
          <cell r="X8227" t="str">
            <v>0</v>
          </cell>
        </row>
        <row r="8228">
          <cell r="I8228" t="str">
            <v>sim</v>
          </cell>
          <cell r="V8228" t="str">
            <v>not neg pair</v>
          </cell>
          <cell r="W8228">
            <v>0</v>
          </cell>
          <cell r="X8228" t="str">
            <v>0</v>
          </cell>
        </row>
        <row r="8229">
          <cell r="I8229" t="str">
            <v>sim</v>
          </cell>
          <cell r="V8229" t="str">
            <v>not neg pair</v>
          </cell>
          <cell r="W8229">
            <v>0</v>
          </cell>
          <cell r="X8229" t="str">
            <v>0</v>
          </cell>
        </row>
        <row r="8230">
          <cell r="I8230" t="str">
            <v>sim</v>
          </cell>
          <cell r="V8230" t="str">
            <v>not neg pair</v>
          </cell>
          <cell r="W8230">
            <v>0</v>
          </cell>
          <cell r="X8230" t="str">
            <v>0</v>
          </cell>
        </row>
        <row r="8231">
          <cell r="I8231" t="str">
            <v>sim</v>
          </cell>
          <cell r="V8231" t="str">
            <v>not neg pair</v>
          </cell>
          <cell r="W8231">
            <v>0</v>
          </cell>
          <cell r="X8231" t="str">
            <v>0</v>
          </cell>
        </row>
        <row r="8232">
          <cell r="I8232" t="str">
            <v>sim</v>
          </cell>
          <cell r="V8232" t="str">
            <v>antonym</v>
          </cell>
          <cell r="W8232">
            <v>1</v>
          </cell>
          <cell r="X8232" t="str">
            <v>intens</v>
          </cell>
        </row>
        <row r="8233">
          <cell r="I8233" t="str">
            <v>sim</v>
          </cell>
          <cell r="V8233" t="str">
            <v>antonym</v>
          </cell>
          <cell r="W8233">
            <v>1</v>
          </cell>
          <cell r="X8233" t="str">
            <v>neg</v>
          </cell>
        </row>
        <row r="8234">
          <cell r="I8234" t="str">
            <v>sim</v>
          </cell>
          <cell r="V8234" t="str">
            <v>not neg pair</v>
          </cell>
          <cell r="W8234">
            <v>0</v>
          </cell>
          <cell r="X8234" t="str">
            <v>0</v>
          </cell>
        </row>
        <row r="8235">
          <cell r="I8235" t="str">
            <v>sim</v>
          </cell>
          <cell r="V8235" t="str">
            <v>not neg pair</v>
          </cell>
          <cell r="W8235">
            <v>0</v>
          </cell>
          <cell r="X8235" t="str">
            <v>0</v>
          </cell>
        </row>
        <row r="8236">
          <cell r="I8236" t="str">
            <v>sim</v>
          </cell>
          <cell r="V8236" t="str">
            <v>not neg pair</v>
          </cell>
          <cell r="W8236">
            <v>0</v>
          </cell>
          <cell r="X8236" t="str">
            <v>0</v>
          </cell>
        </row>
        <row r="8237">
          <cell r="I8237" t="str">
            <v>sim</v>
          </cell>
          <cell r="V8237" t="str">
            <v>not neg pair</v>
          </cell>
          <cell r="W8237">
            <v>0</v>
          </cell>
          <cell r="X8237" t="str">
            <v>0</v>
          </cell>
        </row>
        <row r="8238">
          <cell r="I8238" t="str">
            <v>sim</v>
          </cell>
          <cell r="V8238" t="str">
            <v>antonym</v>
          </cell>
          <cell r="W8238">
            <v>1</v>
          </cell>
          <cell r="X8238" t="str">
            <v>intens</v>
          </cell>
        </row>
        <row r="8239">
          <cell r="I8239" t="str">
            <v>sim</v>
          </cell>
          <cell r="V8239" t="str">
            <v>antonym</v>
          </cell>
          <cell r="W8239">
            <v>1</v>
          </cell>
          <cell r="X8239" t="str">
            <v>neg</v>
          </cell>
        </row>
        <row r="8240">
          <cell r="I8240" t="str">
            <v>sim</v>
          </cell>
          <cell r="V8240" t="str">
            <v>not neg pair</v>
          </cell>
          <cell r="W8240">
            <v>0</v>
          </cell>
          <cell r="X8240" t="str">
            <v>0</v>
          </cell>
        </row>
        <row r="8241">
          <cell r="I8241" t="str">
            <v>sim</v>
          </cell>
          <cell r="V8241" t="str">
            <v>not neg pair</v>
          </cell>
          <cell r="W8241">
            <v>0</v>
          </cell>
          <cell r="X8241" t="str">
            <v>0</v>
          </cell>
        </row>
        <row r="8242">
          <cell r="I8242" t="str">
            <v>sim</v>
          </cell>
          <cell r="V8242" t="str">
            <v>not neg pair</v>
          </cell>
          <cell r="W8242">
            <v>0</v>
          </cell>
          <cell r="X8242" t="str">
            <v>0</v>
          </cell>
        </row>
        <row r="8243">
          <cell r="I8243" t="str">
            <v>sim</v>
          </cell>
          <cell r="V8243" t="str">
            <v>not neg pair</v>
          </cell>
          <cell r="W8243">
            <v>0</v>
          </cell>
          <cell r="X8243" t="str">
            <v>0</v>
          </cell>
        </row>
        <row r="8244">
          <cell r="I8244" t="str">
            <v>sim</v>
          </cell>
          <cell r="V8244" t="str">
            <v>not neg pair</v>
          </cell>
          <cell r="W8244">
            <v>0</v>
          </cell>
          <cell r="X8244" t="str">
            <v>0</v>
          </cell>
        </row>
        <row r="8245">
          <cell r="I8245" t="str">
            <v>sim</v>
          </cell>
          <cell r="V8245" t="str">
            <v>not neg pair</v>
          </cell>
          <cell r="W8245">
            <v>0</v>
          </cell>
          <cell r="X8245" t="str">
            <v>0</v>
          </cell>
        </row>
        <row r="8246">
          <cell r="I8246" t="str">
            <v>sim</v>
          </cell>
          <cell r="V8246" t="str">
            <v>not neg pair</v>
          </cell>
          <cell r="W8246">
            <v>0</v>
          </cell>
          <cell r="X8246" t="str">
            <v>0</v>
          </cell>
        </row>
        <row r="8247">
          <cell r="I8247" t="str">
            <v>sim</v>
          </cell>
          <cell r="V8247" t="str">
            <v>not neg pair</v>
          </cell>
          <cell r="W8247">
            <v>0</v>
          </cell>
          <cell r="X8247" t="str">
            <v>0</v>
          </cell>
        </row>
        <row r="8248">
          <cell r="I8248" t="str">
            <v>sim</v>
          </cell>
          <cell r="V8248" t="str">
            <v>antonym</v>
          </cell>
          <cell r="W8248">
            <v>1</v>
          </cell>
          <cell r="X8248" t="str">
            <v>intens</v>
          </cell>
        </row>
        <row r="8249">
          <cell r="I8249" t="str">
            <v>sim</v>
          </cell>
          <cell r="V8249" t="str">
            <v>antonym</v>
          </cell>
          <cell r="W8249">
            <v>1</v>
          </cell>
          <cell r="X8249" t="str">
            <v>neg</v>
          </cell>
        </row>
        <row r="8250">
          <cell r="I8250" t="str">
            <v>sim</v>
          </cell>
          <cell r="V8250" t="str">
            <v>antonym</v>
          </cell>
          <cell r="W8250">
            <v>1</v>
          </cell>
          <cell r="X8250" t="str">
            <v>intens</v>
          </cell>
        </row>
        <row r="8251">
          <cell r="I8251" t="str">
            <v>sim</v>
          </cell>
          <cell r="V8251" t="str">
            <v>antonym</v>
          </cell>
          <cell r="W8251">
            <v>1</v>
          </cell>
          <cell r="X8251" t="str">
            <v>neg</v>
          </cell>
        </row>
        <row r="8252">
          <cell r="I8252" t="str">
            <v>sim</v>
          </cell>
          <cell r="V8252" t="str">
            <v>antonym</v>
          </cell>
          <cell r="W8252">
            <v>1</v>
          </cell>
          <cell r="X8252" t="str">
            <v>intens</v>
          </cell>
        </row>
        <row r="8253">
          <cell r="I8253" t="str">
            <v>sim</v>
          </cell>
          <cell r="V8253" t="str">
            <v>antonym</v>
          </cell>
          <cell r="W8253">
            <v>1</v>
          </cell>
          <cell r="X8253" t="str">
            <v>neg</v>
          </cell>
        </row>
        <row r="8254">
          <cell r="I8254" t="str">
            <v>sim</v>
          </cell>
          <cell r="V8254" t="str">
            <v>not</v>
          </cell>
          <cell r="W8254">
            <v>1</v>
          </cell>
          <cell r="X8254" t="str">
            <v>neg</v>
          </cell>
        </row>
        <row r="8255">
          <cell r="I8255" t="str">
            <v>sim</v>
          </cell>
          <cell r="V8255" t="str">
            <v>not</v>
          </cell>
          <cell r="W8255">
            <v>1</v>
          </cell>
          <cell r="X8255" t="str">
            <v>intens</v>
          </cell>
        </row>
        <row r="8256">
          <cell r="I8256" t="str">
            <v>sim</v>
          </cell>
          <cell r="V8256" t="str">
            <v>not neg pair</v>
          </cell>
          <cell r="W8256">
            <v>0</v>
          </cell>
          <cell r="X8256" t="str">
            <v>0</v>
          </cell>
        </row>
        <row r="8257">
          <cell r="I8257" t="str">
            <v>sim</v>
          </cell>
          <cell r="V8257" t="str">
            <v>not neg pair</v>
          </cell>
          <cell r="W8257">
            <v>0</v>
          </cell>
          <cell r="X8257" t="str">
            <v>0</v>
          </cell>
        </row>
        <row r="8258">
          <cell r="I8258" t="str">
            <v>sim</v>
          </cell>
          <cell r="V8258" t="str">
            <v>not neg pair</v>
          </cell>
          <cell r="W8258">
            <v>0</v>
          </cell>
          <cell r="X8258" t="str">
            <v>0</v>
          </cell>
        </row>
        <row r="8259">
          <cell r="I8259" t="str">
            <v>sim</v>
          </cell>
          <cell r="V8259" t="str">
            <v>not neg pair</v>
          </cell>
          <cell r="W8259">
            <v>0</v>
          </cell>
          <cell r="X8259" t="str">
            <v>0</v>
          </cell>
        </row>
        <row r="8260">
          <cell r="I8260" t="str">
            <v>sim</v>
          </cell>
          <cell r="V8260" t="str">
            <v>antonym</v>
          </cell>
          <cell r="W8260">
            <v>1</v>
          </cell>
          <cell r="X8260" t="str">
            <v>intens</v>
          </cell>
        </row>
        <row r="8261">
          <cell r="I8261" t="str">
            <v>sim</v>
          </cell>
          <cell r="V8261" t="str">
            <v>antonym</v>
          </cell>
          <cell r="W8261">
            <v>1</v>
          </cell>
          <cell r="X8261" t="str">
            <v>neg</v>
          </cell>
        </row>
        <row r="8262">
          <cell r="I8262" t="str">
            <v>sim</v>
          </cell>
          <cell r="V8262" t="str">
            <v>not neg pair</v>
          </cell>
          <cell r="W8262">
            <v>0</v>
          </cell>
          <cell r="X8262" t="str">
            <v>0</v>
          </cell>
        </row>
        <row r="8263">
          <cell r="I8263" t="str">
            <v>sim</v>
          </cell>
          <cell r="V8263" t="str">
            <v>not neg pair</v>
          </cell>
          <cell r="W8263">
            <v>0</v>
          </cell>
          <cell r="X8263" t="str">
            <v>0</v>
          </cell>
        </row>
        <row r="8264">
          <cell r="I8264" t="str">
            <v>sim</v>
          </cell>
          <cell r="V8264" t="str">
            <v>not neg pair</v>
          </cell>
          <cell r="W8264">
            <v>0</v>
          </cell>
          <cell r="X8264" t="str">
            <v>0</v>
          </cell>
        </row>
        <row r="8265">
          <cell r="I8265" t="str">
            <v>sim</v>
          </cell>
          <cell r="V8265" t="str">
            <v>not neg pair</v>
          </cell>
          <cell r="W8265">
            <v>0</v>
          </cell>
          <cell r="X8265" t="str">
            <v>0</v>
          </cell>
        </row>
        <row r="8266">
          <cell r="I8266" t="str">
            <v>sim</v>
          </cell>
          <cell r="V8266" t="str">
            <v>not neg pair</v>
          </cell>
          <cell r="W8266">
            <v>0</v>
          </cell>
          <cell r="X8266" t="str">
            <v>0</v>
          </cell>
        </row>
        <row r="8267">
          <cell r="I8267" t="str">
            <v>sim</v>
          </cell>
          <cell r="V8267" t="str">
            <v>not neg pair</v>
          </cell>
          <cell r="W8267">
            <v>0</v>
          </cell>
          <cell r="X8267" t="str">
            <v>0</v>
          </cell>
        </row>
        <row r="8268">
          <cell r="I8268" t="str">
            <v>sim</v>
          </cell>
          <cell r="V8268" t="str">
            <v>not neg pair</v>
          </cell>
          <cell r="W8268">
            <v>0</v>
          </cell>
          <cell r="X8268" t="str">
            <v>0</v>
          </cell>
        </row>
        <row r="8269">
          <cell r="I8269" t="str">
            <v>sim</v>
          </cell>
          <cell r="V8269" t="str">
            <v>not neg pair</v>
          </cell>
          <cell r="W8269">
            <v>0</v>
          </cell>
          <cell r="X8269" t="str">
            <v>0</v>
          </cell>
        </row>
        <row r="8270">
          <cell r="I8270" t="str">
            <v>sim</v>
          </cell>
          <cell r="V8270" t="str">
            <v>not neg pair</v>
          </cell>
          <cell r="W8270">
            <v>0</v>
          </cell>
          <cell r="X8270" t="str">
            <v>0</v>
          </cell>
        </row>
        <row r="8271">
          <cell r="I8271" t="str">
            <v>sim</v>
          </cell>
          <cell r="V8271" t="str">
            <v>not neg pair</v>
          </cell>
          <cell r="W8271">
            <v>0</v>
          </cell>
          <cell r="X8271" t="str">
            <v>0</v>
          </cell>
        </row>
        <row r="8272">
          <cell r="I8272" t="str">
            <v>sim</v>
          </cell>
          <cell r="V8272" t="str">
            <v>not</v>
          </cell>
          <cell r="W8272">
            <v>1</v>
          </cell>
          <cell r="X8272" t="str">
            <v>intens</v>
          </cell>
        </row>
        <row r="8273">
          <cell r="I8273" t="str">
            <v>sim</v>
          </cell>
          <cell r="V8273" t="str">
            <v>not</v>
          </cell>
          <cell r="W8273">
            <v>1</v>
          </cell>
          <cell r="X8273" t="str">
            <v>neg</v>
          </cell>
        </row>
        <row r="8274">
          <cell r="I8274" t="str">
            <v>met</v>
          </cell>
          <cell r="V8274" t="str">
            <v>0</v>
          </cell>
          <cell r="W8274">
            <v>0</v>
          </cell>
          <cell r="X8274" t="str">
            <v>0</v>
          </cell>
        </row>
        <row r="8275">
          <cell r="I8275" t="str">
            <v>met</v>
          </cell>
          <cell r="V8275" t="str">
            <v>0</v>
          </cell>
          <cell r="W8275">
            <v>0</v>
          </cell>
          <cell r="X8275" t="str">
            <v>0</v>
          </cell>
        </row>
        <row r="8276">
          <cell r="I8276" t="str">
            <v>sim</v>
          </cell>
          <cell r="V8276" t="str">
            <v>not</v>
          </cell>
          <cell r="W8276">
            <v>1</v>
          </cell>
          <cell r="X8276" t="str">
            <v>intens</v>
          </cell>
        </row>
        <row r="8277">
          <cell r="I8277" t="str">
            <v>sim</v>
          </cell>
          <cell r="V8277" t="str">
            <v>not</v>
          </cell>
          <cell r="W8277">
            <v>1</v>
          </cell>
          <cell r="X8277" t="str">
            <v>neg</v>
          </cell>
        </row>
        <row r="8278">
          <cell r="I8278" t="str">
            <v>sim</v>
          </cell>
          <cell r="V8278" t="str">
            <v>not neg pair</v>
          </cell>
          <cell r="W8278">
            <v>0</v>
          </cell>
          <cell r="X8278" t="str">
            <v>0</v>
          </cell>
        </row>
        <row r="8279">
          <cell r="I8279" t="str">
            <v>sim</v>
          </cell>
          <cell r="V8279" t="str">
            <v>not neg pair</v>
          </cell>
          <cell r="W8279">
            <v>0</v>
          </cell>
          <cell r="X8279" t="str">
            <v>0</v>
          </cell>
        </row>
        <row r="8280">
          <cell r="I8280" t="str">
            <v>sim</v>
          </cell>
          <cell r="V8280" t="str">
            <v>not neg pair</v>
          </cell>
          <cell r="W8280">
            <v>0</v>
          </cell>
          <cell r="X8280" t="str">
            <v>0</v>
          </cell>
        </row>
        <row r="8281">
          <cell r="I8281" t="str">
            <v>sim</v>
          </cell>
          <cell r="V8281" t="str">
            <v>not neg pair</v>
          </cell>
          <cell r="W8281">
            <v>0</v>
          </cell>
          <cell r="X8281" t="str">
            <v>0</v>
          </cell>
        </row>
        <row r="8282">
          <cell r="I8282" t="str">
            <v>met</v>
          </cell>
          <cell r="V8282" t="str">
            <v>0</v>
          </cell>
          <cell r="W8282">
            <v>0</v>
          </cell>
          <cell r="X8282" t="str">
            <v>0</v>
          </cell>
        </row>
        <row r="8283">
          <cell r="I8283" t="str">
            <v>met</v>
          </cell>
          <cell r="V8283" t="str">
            <v>0</v>
          </cell>
          <cell r="W8283">
            <v>0</v>
          </cell>
          <cell r="X8283" t="str">
            <v>0</v>
          </cell>
        </row>
        <row r="8284">
          <cell r="I8284" t="str">
            <v>sim</v>
          </cell>
          <cell r="V8284" t="str">
            <v>not neg pair</v>
          </cell>
          <cell r="W8284">
            <v>0</v>
          </cell>
          <cell r="X8284" t="str">
            <v>0</v>
          </cell>
        </row>
        <row r="8285">
          <cell r="I8285" t="str">
            <v>sim</v>
          </cell>
          <cell r="V8285" t="str">
            <v>not neg pair</v>
          </cell>
          <cell r="W8285">
            <v>0</v>
          </cell>
          <cell r="X8285" t="str">
            <v>0</v>
          </cell>
        </row>
        <row r="8286">
          <cell r="I8286" t="str">
            <v>sim</v>
          </cell>
          <cell r="V8286" t="str">
            <v>not neg pair</v>
          </cell>
          <cell r="W8286">
            <v>0</v>
          </cell>
          <cell r="X8286" t="str">
            <v>0</v>
          </cell>
        </row>
        <row r="8287">
          <cell r="I8287" t="str">
            <v>sim</v>
          </cell>
          <cell r="V8287" t="str">
            <v>not neg pair</v>
          </cell>
          <cell r="W8287">
            <v>0</v>
          </cell>
          <cell r="X8287" t="str">
            <v>0</v>
          </cell>
        </row>
        <row r="8288">
          <cell r="I8288" t="str">
            <v>sim</v>
          </cell>
          <cell r="V8288" t="str">
            <v>not neg pair</v>
          </cell>
          <cell r="W8288">
            <v>0</v>
          </cell>
          <cell r="X8288" t="str">
            <v>0</v>
          </cell>
        </row>
        <row r="8289">
          <cell r="I8289" t="str">
            <v>sim</v>
          </cell>
          <cell r="V8289" t="str">
            <v>not neg pair</v>
          </cell>
          <cell r="W8289">
            <v>0</v>
          </cell>
          <cell r="X8289" t="str">
            <v>0</v>
          </cell>
        </row>
        <row r="8290">
          <cell r="I8290" t="str">
            <v>met</v>
          </cell>
          <cell r="V8290" t="str">
            <v>0</v>
          </cell>
          <cell r="W8290">
            <v>0</v>
          </cell>
          <cell r="X8290" t="str">
            <v>0</v>
          </cell>
        </row>
        <row r="8291">
          <cell r="I8291" t="str">
            <v>met</v>
          </cell>
          <cell r="V8291" t="str">
            <v>0</v>
          </cell>
          <cell r="W8291">
            <v>0</v>
          </cell>
          <cell r="X8291" t="str">
            <v>0</v>
          </cell>
        </row>
        <row r="8292">
          <cell r="I8292" t="str">
            <v>met</v>
          </cell>
          <cell r="V8292" t="str">
            <v>0</v>
          </cell>
          <cell r="W8292">
            <v>0</v>
          </cell>
          <cell r="X8292" t="str">
            <v>0</v>
          </cell>
        </row>
        <row r="8293">
          <cell r="I8293" t="str">
            <v>met</v>
          </cell>
          <cell r="V8293" t="str">
            <v>0</v>
          </cell>
          <cell r="W8293">
            <v>0</v>
          </cell>
          <cell r="X8293" t="str">
            <v>0</v>
          </cell>
        </row>
        <row r="8294">
          <cell r="I8294" t="str">
            <v>sim</v>
          </cell>
          <cell r="V8294" t="str">
            <v>not neg pair</v>
          </cell>
          <cell r="W8294">
            <v>0</v>
          </cell>
          <cell r="X8294" t="str">
            <v>0</v>
          </cell>
        </row>
        <row r="8295">
          <cell r="I8295" t="str">
            <v>sim</v>
          </cell>
          <cell r="V8295" t="str">
            <v>not neg pair</v>
          </cell>
          <cell r="W8295">
            <v>0</v>
          </cell>
          <cell r="X8295" t="str">
            <v>0</v>
          </cell>
        </row>
        <row r="8296">
          <cell r="I8296" t="str">
            <v>sim</v>
          </cell>
          <cell r="V8296" t="str">
            <v>not neg pair</v>
          </cell>
          <cell r="W8296">
            <v>0</v>
          </cell>
          <cell r="X8296" t="str">
            <v>0</v>
          </cell>
        </row>
        <row r="8297">
          <cell r="I8297" t="str">
            <v>sim</v>
          </cell>
          <cell r="V8297" t="str">
            <v>not neg pair</v>
          </cell>
          <cell r="W8297">
            <v>0</v>
          </cell>
          <cell r="X8297" t="str">
            <v>0</v>
          </cell>
        </row>
        <row r="8298">
          <cell r="I8298" t="str">
            <v>sim</v>
          </cell>
          <cell r="V8298" t="str">
            <v>not neg pair</v>
          </cell>
          <cell r="W8298">
            <v>0</v>
          </cell>
          <cell r="X8298" t="str">
            <v>0</v>
          </cell>
        </row>
        <row r="8299">
          <cell r="I8299" t="str">
            <v>sim</v>
          </cell>
          <cell r="V8299" t="str">
            <v>not neg pair</v>
          </cell>
          <cell r="W8299">
            <v>0</v>
          </cell>
          <cell r="X8299" t="str">
            <v>0</v>
          </cell>
        </row>
        <row r="8300">
          <cell r="I8300" t="str">
            <v>sim</v>
          </cell>
          <cell r="V8300" t="str">
            <v>not neg pair</v>
          </cell>
          <cell r="W8300">
            <v>0</v>
          </cell>
          <cell r="X8300" t="str">
            <v>0</v>
          </cell>
        </row>
        <row r="8301">
          <cell r="I8301" t="str">
            <v>sim</v>
          </cell>
          <cell r="V8301" t="str">
            <v>not neg pair</v>
          </cell>
          <cell r="W8301">
            <v>0</v>
          </cell>
          <cell r="X8301" t="str">
            <v>0</v>
          </cell>
        </row>
        <row r="8302">
          <cell r="I8302" t="str">
            <v>sim</v>
          </cell>
          <cell r="V8302" t="str">
            <v>not neg pair</v>
          </cell>
          <cell r="W8302">
            <v>0</v>
          </cell>
          <cell r="X8302" t="str">
            <v>0</v>
          </cell>
        </row>
        <row r="8303">
          <cell r="I8303" t="str">
            <v>sim</v>
          </cell>
          <cell r="V8303" t="str">
            <v>not neg pair</v>
          </cell>
          <cell r="W8303">
            <v>0</v>
          </cell>
          <cell r="X8303" t="str">
            <v>0</v>
          </cell>
        </row>
        <row r="8304">
          <cell r="I8304" t="str">
            <v>sim</v>
          </cell>
          <cell r="V8304" t="str">
            <v>not neg pair</v>
          </cell>
          <cell r="W8304">
            <v>0</v>
          </cell>
          <cell r="X8304" t="str">
            <v>0</v>
          </cell>
        </row>
        <row r="8305">
          <cell r="I8305" t="str">
            <v>sim</v>
          </cell>
          <cell r="V8305" t="str">
            <v>not neg pair</v>
          </cell>
          <cell r="W8305">
            <v>0</v>
          </cell>
          <cell r="X8305" t="str">
            <v>0</v>
          </cell>
        </row>
        <row r="8306">
          <cell r="I8306" t="str">
            <v>sim</v>
          </cell>
          <cell r="V8306" t="str">
            <v>not neg pair</v>
          </cell>
          <cell r="W8306">
            <v>0</v>
          </cell>
          <cell r="X8306" t="str">
            <v>0</v>
          </cell>
        </row>
        <row r="8307">
          <cell r="I8307" t="str">
            <v>sim</v>
          </cell>
          <cell r="V8307" t="str">
            <v>not neg pair</v>
          </cell>
          <cell r="W8307">
            <v>0</v>
          </cell>
          <cell r="X8307" t="str">
            <v>0</v>
          </cell>
        </row>
        <row r="8308">
          <cell r="I8308" t="str">
            <v>sim</v>
          </cell>
          <cell r="V8308" t="str">
            <v>not neg pair</v>
          </cell>
          <cell r="W8308">
            <v>0</v>
          </cell>
          <cell r="X8308" t="str">
            <v>0</v>
          </cell>
        </row>
        <row r="8309">
          <cell r="I8309" t="str">
            <v>sim</v>
          </cell>
          <cell r="V8309" t="str">
            <v>not neg pair</v>
          </cell>
          <cell r="W8309">
            <v>0</v>
          </cell>
          <cell r="X8309" t="str">
            <v>0</v>
          </cell>
        </row>
        <row r="8310">
          <cell r="I8310" t="str">
            <v>sim</v>
          </cell>
          <cell r="V8310" t="str">
            <v>not neg pair</v>
          </cell>
          <cell r="W8310">
            <v>0</v>
          </cell>
          <cell r="X8310" t="str">
            <v>0</v>
          </cell>
        </row>
        <row r="8311">
          <cell r="I8311" t="str">
            <v>sim</v>
          </cell>
          <cell r="V8311" t="str">
            <v>not neg pair</v>
          </cell>
          <cell r="W8311">
            <v>0</v>
          </cell>
          <cell r="X8311" t="str">
            <v>0</v>
          </cell>
        </row>
        <row r="8312">
          <cell r="I8312" t="str">
            <v>sim</v>
          </cell>
          <cell r="V8312" t="str">
            <v>not neg pair</v>
          </cell>
          <cell r="W8312">
            <v>0</v>
          </cell>
          <cell r="X8312" t="str">
            <v>0</v>
          </cell>
        </row>
        <row r="8313">
          <cell r="I8313" t="str">
            <v>sim</v>
          </cell>
          <cell r="V8313" t="str">
            <v>not neg pair</v>
          </cell>
          <cell r="W8313">
            <v>0</v>
          </cell>
          <cell r="X8313" t="str">
            <v>0</v>
          </cell>
        </row>
        <row r="8314">
          <cell r="I8314" t="str">
            <v>sim</v>
          </cell>
          <cell r="V8314" t="str">
            <v>not neg pair</v>
          </cell>
          <cell r="W8314">
            <v>0</v>
          </cell>
          <cell r="X8314" t="str">
            <v>0</v>
          </cell>
        </row>
        <row r="8315">
          <cell r="I8315" t="str">
            <v>sim</v>
          </cell>
          <cell r="V8315" t="str">
            <v>not neg pair</v>
          </cell>
          <cell r="W8315">
            <v>0</v>
          </cell>
          <cell r="X8315" t="str">
            <v>0</v>
          </cell>
        </row>
        <row r="8316">
          <cell r="I8316" t="str">
            <v>sim</v>
          </cell>
          <cell r="V8316" t="str">
            <v>not</v>
          </cell>
          <cell r="W8316">
            <v>1</v>
          </cell>
          <cell r="X8316" t="str">
            <v>neg</v>
          </cell>
        </row>
        <row r="8317">
          <cell r="I8317" t="str">
            <v>sim</v>
          </cell>
          <cell r="V8317" t="str">
            <v>not</v>
          </cell>
          <cell r="W8317">
            <v>1</v>
          </cell>
          <cell r="X8317" t="str">
            <v>intens</v>
          </cell>
        </row>
        <row r="8318">
          <cell r="I8318" t="str">
            <v>sim</v>
          </cell>
          <cell r="V8318" t="str">
            <v>not neg pair</v>
          </cell>
          <cell r="W8318">
            <v>0</v>
          </cell>
          <cell r="X8318" t="str">
            <v>0</v>
          </cell>
        </row>
        <row r="8319">
          <cell r="I8319" t="str">
            <v>sim</v>
          </cell>
          <cell r="V8319" t="str">
            <v>not neg pair</v>
          </cell>
          <cell r="W8319">
            <v>0</v>
          </cell>
          <cell r="X8319" t="str">
            <v>0</v>
          </cell>
        </row>
        <row r="8320">
          <cell r="I8320" t="str">
            <v>sim</v>
          </cell>
          <cell r="V8320" t="str">
            <v>not</v>
          </cell>
          <cell r="W8320">
            <v>1</v>
          </cell>
          <cell r="X8320" t="str">
            <v>intens</v>
          </cell>
        </row>
        <row r="8321">
          <cell r="I8321" t="str">
            <v>sim</v>
          </cell>
          <cell r="V8321" t="str">
            <v>not</v>
          </cell>
          <cell r="W8321">
            <v>1</v>
          </cell>
          <cell r="X8321" t="str">
            <v>neg</v>
          </cell>
        </row>
        <row r="8322">
          <cell r="I8322" t="str">
            <v>sim</v>
          </cell>
          <cell r="V8322" t="str">
            <v>antonym</v>
          </cell>
          <cell r="W8322">
            <v>1</v>
          </cell>
          <cell r="X8322" t="str">
            <v>intens</v>
          </cell>
        </row>
        <row r="8323">
          <cell r="I8323" t="str">
            <v>sim</v>
          </cell>
          <cell r="V8323" t="str">
            <v>antonym</v>
          </cell>
          <cell r="W8323">
            <v>1</v>
          </cell>
          <cell r="X8323" t="str">
            <v>neg</v>
          </cell>
        </row>
        <row r="8324">
          <cell r="I8324" t="str">
            <v>sim</v>
          </cell>
          <cell r="V8324" t="str">
            <v>antonym</v>
          </cell>
          <cell r="W8324">
            <v>1</v>
          </cell>
          <cell r="X8324" t="str">
            <v>intens</v>
          </cell>
        </row>
        <row r="8325">
          <cell r="I8325" t="str">
            <v>sim</v>
          </cell>
          <cell r="V8325" t="str">
            <v>antonym</v>
          </cell>
          <cell r="W8325">
            <v>1</v>
          </cell>
          <cell r="X8325" t="str">
            <v>neg</v>
          </cell>
        </row>
        <row r="8326">
          <cell r="I8326" t="str">
            <v>sim</v>
          </cell>
          <cell r="V8326" t="str">
            <v>not</v>
          </cell>
          <cell r="W8326">
            <v>1</v>
          </cell>
          <cell r="X8326" t="str">
            <v>neg</v>
          </cell>
        </row>
        <row r="8327">
          <cell r="I8327" t="str">
            <v>sim</v>
          </cell>
          <cell r="V8327" t="str">
            <v>not</v>
          </cell>
          <cell r="W8327">
            <v>1</v>
          </cell>
          <cell r="X8327" t="str">
            <v>intens</v>
          </cell>
        </row>
        <row r="8328">
          <cell r="I8328" t="str">
            <v>sim</v>
          </cell>
          <cell r="V8328" t="str">
            <v>not neg pair</v>
          </cell>
          <cell r="W8328">
            <v>0</v>
          </cell>
          <cell r="X8328" t="str">
            <v>0</v>
          </cell>
        </row>
        <row r="8329">
          <cell r="I8329" t="str">
            <v>sim</v>
          </cell>
          <cell r="V8329" t="str">
            <v>not neg pair</v>
          </cell>
          <cell r="W8329">
            <v>0</v>
          </cell>
          <cell r="X8329" t="str">
            <v>0</v>
          </cell>
        </row>
        <row r="8330">
          <cell r="I8330" t="str">
            <v>sim</v>
          </cell>
          <cell r="V8330" t="str">
            <v>not neg pair</v>
          </cell>
          <cell r="W8330">
            <v>0</v>
          </cell>
          <cell r="X8330" t="str">
            <v>0</v>
          </cell>
        </row>
        <row r="8331">
          <cell r="I8331" t="str">
            <v>sim</v>
          </cell>
          <cell r="V8331" t="str">
            <v>not neg pair</v>
          </cell>
          <cell r="W8331">
            <v>0</v>
          </cell>
          <cell r="X8331" t="str">
            <v>0</v>
          </cell>
        </row>
        <row r="8332">
          <cell r="I8332" t="str">
            <v>sim</v>
          </cell>
          <cell r="V8332" t="str">
            <v>antonym</v>
          </cell>
          <cell r="W8332">
            <v>1</v>
          </cell>
          <cell r="X8332" t="str">
            <v>intens</v>
          </cell>
        </row>
        <row r="8333">
          <cell r="I8333" t="str">
            <v>sim</v>
          </cell>
          <cell r="V8333" t="str">
            <v>antonym</v>
          </cell>
          <cell r="W8333">
            <v>1</v>
          </cell>
          <cell r="X8333" t="str">
            <v>neg</v>
          </cell>
        </row>
        <row r="8334">
          <cell r="I8334" t="str">
            <v>sim</v>
          </cell>
          <cell r="V8334" t="str">
            <v>not neg pair</v>
          </cell>
          <cell r="W8334">
            <v>0</v>
          </cell>
          <cell r="X8334" t="str">
            <v>0</v>
          </cell>
        </row>
        <row r="8335">
          <cell r="I8335" t="str">
            <v>sim</v>
          </cell>
          <cell r="V8335" t="str">
            <v>not neg pair</v>
          </cell>
          <cell r="W8335">
            <v>0</v>
          </cell>
          <cell r="X8335" t="str">
            <v>0</v>
          </cell>
        </row>
        <row r="8336">
          <cell r="I8336" t="str">
            <v>sim</v>
          </cell>
          <cell r="V8336" t="str">
            <v>antonym</v>
          </cell>
          <cell r="W8336">
            <v>1</v>
          </cell>
          <cell r="X8336" t="str">
            <v>intens</v>
          </cell>
        </row>
        <row r="8337">
          <cell r="I8337" t="str">
            <v>sim</v>
          </cell>
          <cell r="V8337" t="str">
            <v>antonym</v>
          </cell>
          <cell r="W8337">
            <v>1</v>
          </cell>
          <cell r="X8337" t="str">
            <v>neg</v>
          </cell>
        </row>
        <row r="8338">
          <cell r="I8338" t="str">
            <v>sim</v>
          </cell>
          <cell r="V8338" t="str">
            <v>not neg pair</v>
          </cell>
          <cell r="W8338">
            <v>0</v>
          </cell>
          <cell r="X8338" t="str">
            <v>0</v>
          </cell>
        </row>
        <row r="8339">
          <cell r="I8339" t="str">
            <v>sim</v>
          </cell>
          <cell r="V8339" t="str">
            <v>not neg pair</v>
          </cell>
          <cell r="W8339">
            <v>0</v>
          </cell>
          <cell r="X8339" t="str">
            <v>0</v>
          </cell>
        </row>
        <row r="8340">
          <cell r="I8340" t="str">
            <v>sim</v>
          </cell>
          <cell r="V8340" t="str">
            <v>not</v>
          </cell>
          <cell r="W8340">
            <v>1</v>
          </cell>
          <cell r="X8340" t="str">
            <v>neg</v>
          </cell>
        </row>
        <row r="8341">
          <cell r="I8341" t="str">
            <v>sim</v>
          </cell>
          <cell r="V8341" t="str">
            <v>not</v>
          </cell>
          <cell r="W8341">
            <v>1</v>
          </cell>
          <cell r="X8341" t="str">
            <v>intens</v>
          </cell>
        </row>
        <row r="8342">
          <cell r="I8342" t="str">
            <v>sim</v>
          </cell>
          <cell r="V8342" t="str">
            <v>antonym</v>
          </cell>
          <cell r="W8342">
            <v>1</v>
          </cell>
          <cell r="X8342" t="str">
            <v>intens</v>
          </cell>
        </row>
        <row r="8343">
          <cell r="I8343" t="str">
            <v>sim</v>
          </cell>
          <cell r="V8343" t="str">
            <v>antonym</v>
          </cell>
          <cell r="W8343">
            <v>1</v>
          </cell>
          <cell r="X8343" t="str">
            <v>neg</v>
          </cell>
        </row>
        <row r="8344">
          <cell r="I8344" t="str">
            <v>sim</v>
          </cell>
          <cell r="V8344" t="str">
            <v>antonym</v>
          </cell>
          <cell r="W8344">
            <v>1</v>
          </cell>
          <cell r="X8344" t="str">
            <v>intens</v>
          </cell>
        </row>
        <row r="8345">
          <cell r="I8345" t="str">
            <v>sim</v>
          </cell>
          <cell r="V8345" t="str">
            <v>antonym</v>
          </cell>
          <cell r="W8345">
            <v>1</v>
          </cell>
          <cell r="X8345" t="str">
            <v>neg</v>
          </cell>
        </row>
        <row r="8346">
          <cell r="I8346" t="str">
            <v>sim</v>
          </cell>
          <cell r="V8346" t="str">
            <v>not neg pair</v>
          </cell>
          <cell r="W8346">
            <v>0</v>
          </cell>
          <cell r="X8346" t="str">
            <v>0</v>
          </cell>
        </row>
        <row r="8347">
          <cell r="I8347" t="str">
            <v>sim</v>
          </cell>
          <cell r="V8347" t="str">
            <v>not neg pair</v>
          </cell>
          <cell r="W8347">
            <v>0</v>
          </cell>
          <cell r="X8347" t="str">
            <v>0</v>
          </cell>
        </row>
        <row r="8348">
          <cell r="I8348" t="str">
            <v>sim</v>
          </cell>
          <cell r="V8348" t="str">
            <v>not neg pair</v>
          </cell>
          <cell r="W8348">
            <v>0</v>
          </cell>
          <cell r="X8348" t="str">
            <v>0</v>
          </cell>
        </row>
        <row r="8349">
          <cell r="I8349" t="str">
            <v>sim</v>
          </cell>
          <cell r="V8349" t="str">
            <v>not neg pair</v>
          </cell>
          <cell r="W8349">
            <v>0</v>
          </cell>
          <cell r="X8349" t="str">
            <v>0</v>
          </cell>
        </row>
        <row r="8350">
          <cell r="I8350" t="str">
            <v>met</v>
          </cell>
          <cell r="V8350" t="str">
            <v>0</v>
          </cell>
          <cell r="W8350">
            <v>0</v>
          </cell>
          <cell r="X8350" t="str">
            <v>0</v>
          </cell>
        </row>
        <row r="8351">
          <cell r="I8351" t="str">
            <v>met</v>
          </cell>
          <cell r="V8351" t="str">
            <v>0</v>
          </cell>
          <cell r="W8351">
            <v>0</v>
          </cell>
          <cell r="X8351" t="str">
            <v>0</v>
          </cell>
        </row>
        <row r="8352">
          <cell r="I8352" t="str">
            <v>sim</v>
          </cell>
          <cell r="V8352" t="str">
            <v>not neg pair</v>
          </cell>
          <cell r="W8352">
            <v>0</v>
          </cell>
          <cell r="X8352" t="str">
            <v>0</v>
          </cell>
        </row>
        <row r="8353">
          <cell r="I8353" t="str">
            <v>sim</v>
          </cell>
          <cell r="V8353" t="str">
            <v>not neg pair</v>
          </cell>
          <cell r="W8353">
            <v>0</v>
          </cell>
          <cell r="X8353" t="str">
            <v>0</v>
          </cell>
        </row>
        <row r="8354">
          <cell r="I8354" t="str">
            <v>sim</v>
          </cell>
          <cell r="V8354" t="str">
            <v>antonym</v>
          </cell>
          <cell r="W8354">
            <v>1</v>
          </cell>
          <cell r="X8354" t="str">
            <v>intens</v>
          </cell>
        </row>
        <row r="8355">
          <cell r="I8355" t="str">
            <v>sim</v>
          </cell>
          <cell r="V8355" t="str">
            <v>antonym</v>
          </cell>
          <cell r="W8355">
            <v>1</v>
          </cell>
          <cell r="X8355" t="str">
            <v>neg</v>
          </cell>
        </row>
        <row r="8356">
          <cell r="I8356" t="str">
            <v>sim</v>
          </cell>
          <cell r="V8356" t="str">
            <v>not</v>
          </cell>
          <cell r="W8356">
            <v>1</v>
          </cell>
          <cell r="X8356" t="str">
            <v>intens</v>
          </cell>
        </row>
        <row r="8357">
          <cell r="I8357" t="str">
            <v>sim</v>
          </cell>
          <cell r="V8357" t="str">
            <v>not</v>
          </cell>
          <cell r="W8357">
            <v>1</v>
          </cell>
          <cell r="X8357" t="str">
            <v>neg</v>
          </cell>
        </row>
        <row r="8358">
          <cell r="I8358" t="str">
            <v>sim</v>
          </cell>
          <cell r="V8358" t="str">
            <v>not</v>
          </cell>
          <cell r="W8358">
            <v>1</v>
          </cell>
          <cell r="X8358" t="str">
            <v>intens</v>
          </cell>
        </row>
        <row r="8359">
          <cell r="I8359" t="str">
            <v>sim</v>
          </cell>
          <cell r="V8359" t="str">
            <v>not</v>
          </cell>
          <cell r="W8359">
            <v>1</v>
          </cell>
          <cell r="X8359" t="str">
            <v>neg</v>
          </cell>
        </row>
        <row r="8360">
          <cell r="I8360" t="str">
            <v>met</v>
          </cell>
          <cell r="V8360" t="str">
            <v>0</v>
          </cell>
          <cell r="W8360">
            <v>0</v>
          </cell>
          <cell r="X8360" t="str">
            <v>0</v>
          </cell>
        </row>
        <row r="8361">
          <cell r="I8361" t="str">
            <v>met</v>
          </cell>
          <cell r="V8361" t="str">
            <v>0</v>
          </cell>
          <cell r="W8361">
            <v>0</v>
          </cell>
          <cell r="X8361" t="str">
            <v>0</v>
          </cell>
        </row>
        <row r="8362">
          <cell r="I8362" t="str">
            <v>sim</v>
          </cell>
          <cell r="V8362" t="str">
            <v>not neg pair</v>
          </cell>
          <cell r="W8362">
            <v>0</v>
          </cell>
          <cell r="X8362" t="str">
            <v>0</v>
          </cell>
        </row>
        <row r="8363">
          <cell r="I8363" t="str">
            <v>sim</v>
          </cell>
          <cell r="V8363" t="str">
            <v>not neg pair</v>
          </cell>
          <cell r="W8363">
            <v>0</v>
          </cell>
          <cell r="X8363" t="str">
            <v>0</v>
          </cell>
        </row>
        <row r="8364">
          <cell r="I8364" t="str">
            <v>sim</v>
          </cell>
          <cell r="V8364" t="str">
            <v>not</v>
          </cell>
          <cell r="W8364">
            <v>1</v>
          </cell>
          <cell r="X8364" t="str">
            <v>intens</v>
          </cell>
        </row>
        <row r="8365">
          <cell r="I8365" t="str">
            <v>sim</v>
          </cell>
          <cell r="V8365" t="str">
            <v>not</v>
          </cell>
          <cell r="W8365">
            <v>1</v>
          </cell>
          <cell r="X8365" t="str">
            <v>neg</v>
          </cell>
        </row>
        <row r="8366">
          <cell r="I8366" t="str">
            <v>sim</v>
          </cell>
          <cell r="V8366" t="str">
            <v>antonym</v>
          </cell>
          <cell r="W8366">
            <v>1</v>
          </cell>
          <cell r="X8366" t="str">
            <v>intens</v>
          </cell>
        </row>
        <row r="8367">
          <cell r="I8367" t="str">
            <v>sim</v>
          </cell>
          <cell r="V8367" t="str">
            <v>antonym</v>
          </cell>
          <cell r="W8367">
            <v>1</v>
          </cell>
          <cell r="X8367" t="str">
            <v>neg</v>
          </cell>
        </row>
        <row r="8368">
          <cell r="I8368" t="str">
            <v>sim</v>
          </cell>
          <cell r="V8368" t="str">
            <v>not neg pair</v>
          </cell>
          <cell r="W8368">
            <v>0</v>
          </cell>
          <cell r="X8368" t="str">
            <v>0</v>
          </cell>
        </row>
        <row r="8369">
          <cell r="I8369" t="str">
            <v>sim</v>
          </cell>
          <cell r="V8369" t="str">
            <v>not neg pair</v>
          </cell>
          <cell r="W8369">
            <v>0</v>
          </cell>
          <cell r="X8369" t="str">
            <v>0</v>
          </cell>
        </row>
        <row r="8370">
          <cell r="I8370" t="str">
            <v>sim</v>
          </cell>
          <cell r="V8370" t="str">
            <v>not neg pair</v>
          </cell>
          <cell r="W8370">
            <v>0</v>
          </cell>
          <cell r="X8370" t="str">
            <v>0</v>
          </cell>
        </row>
        <row r="8371">
          <cell r="I8371" t="str">
            <v>sim</v>
          </cell>
          <cell r="V8371" t="str">
            <v>not neg pair</v>
          </cell>
          <cell r="W8371">
            <v>0</v>
          </cell>
          <cell r="X8371" t="str">
            <v>0</v>
          </cell>
        </row>
        <row r="8372">
          <cell r="I8372" t="str">
            <v>sim</v>
          </cell>
          <cell r="V8372" t="str">
            <v>not</v>
          </cell>
          <cell r="W8372">
            <v>1</v>
          </cell>
          <cell r="X8372" t="str">
            <v>intens</v>
          </cell>
        </row>
        <row r="8373">
          <cell r="I8373" t="str">
            <v>sim</v>
          </cell>
          <cell r="V8373" t="str">
            <v>not</v>
          </cell>
          <cell r="W8373">
            <v>1</v>
          </cell>
          <cell r="X8373" t="str">
            <v>neg</v>
          </cell>
        </row>
        <row r="8374">
          <cell r="I8374" t="str">
            <v>sim</v>
          </cell>
          <cell r="V8374" t="str">
            <v>not</v>
          </cell>
          <cell r="W8374">
            <v>1</v>
          </cell>
          <cell r="X8374" t="str">
            <v>intens</v>
          </cell>
        </row>
        <row r="8375">
          <cell r="I8375" t="str">
            <v>sim</v>
          </cell>
          <cell r="V8375" t="str">
            <v>not</v>
          </cell>
          <cell r="W8375">
            <v>1</v>
          </cell>
          <cell r="X8375" t="str">
            <v>neg</v>
          </cell>
        </row>
        <row r="8376">
          <cell r="I8376" t="str">
            <v>sim</v>
          </cell>
          <cell r="V8376" t="str">
            <v>not neg pair</v>
          </cell>
          <cell r="W8376">
            <v>0</v>
          </cell>
          <cell r="X8376" t="str">
            <v>0</v>
          </cell>
        </row>
        <row r="8377">
          <cell r="I8377" t="str">
            <v>sim</v>
          </cell>
          <cell r="V8377" t="str">
            <v>not neg pair</v>
          </cell>
          <cell r="W8377">
            <v>0</v>
          </cell>
          <cell r="X8377" t="str">
            <v>0</v>
          </cell>
        </row>
        <row r="8378">
          <cell r="I8378" t="str">
            <v>sim</v>
          </cell>
          <cell r="V8378" t="str">
            <v>not neg pair</v>
          </cell>
          <cell r="W8378">
            <v>0</v>
          </cell>
          <cell r="X8378" t="str">
            <v>0</v>
          </cell>
        </row>
        <row r="8379">
          <cell r="I8379" t="str">
            <v>sim</v>
          </cell>
          <cell r="V8379" t="str">
            <v>not neg pair</v>
          </cell>
          <cell r="W8379">
            <v>0</v>
          </cell>
          <cell r="X8379" t="str">
            <v>0</v>
          </cell>
        </row>
        <row r="8380">
          <cell r="I8380" t="str">
            <v>sim</v>
          </cell>
          <cell r="V8380" t="str">
            <v>not neg pair</v>
          </cell>
          <cell r="W8380">
            <v>0</v>
          </cell>
          <cell r="X8380" t="str">
            <v>0</v>
          </cell>
        </row>
        <row r="8381">
          <cell r="I8381" t="str">
            <v>sim</v>
          </cell>
          <cell r="V8381" t="str">
            <v>not neg pair</v>
          </cell>
          <cell r="W8381">
            <v>0</v>
          </cell>
          <cell r="X8381" t="str">
            <v>0</v>
          </cell>
        </row>
        <row r="8382">
          <cell r="I8382" t="str">
            <v>met</v>
          </cell>
          <cell r="V8382" t="str">
            <v>0</v>
          </cell>
          <cell r="W8382">
            <v>0</v>
          </cell>
          <cell r="X8382" t="str">
            <v>0</v>
          </cell>
        </row>
        <row r="8383">
          <cell r="I8383" t="str">
            <v>met</v>
          </cell>
          <cell r="V8383" t="str">
            <v>0</v>
          </cell>
          <cell r="W8383">
            <v>0</v>
          </cell>
          <cell r="X8383" t="str">
            <v>0</v>
          </cell>
        </row>
        <row r="8384">
          <cell r="I8384" t="str">
            <v>sim</v>
          </cell>
          <cell r="V8384" t="str">
            <v>not neg pair</v>
          </cell>
          <cell r="W8384">
            <v>0</v>
          </cell>
          <cell r="X8384" t="str">
            <v>0</v>
          </cell>
        </row>
        <row r="8385">
          <cell r="I8385" t="str">
            <v>sim</v>
          </cell>
          <cell r="V8385" t="str">
            <v>not neg pair</v>
          </cell>
          <cell r="W8385">
            <v>0</v>
          </cell>
          <cell r="X8385" t="str">
            <v>0</v>
          </cell>
        </row>
        <row r="8386">
          <cell r="I8386" t="str">
            <v>sim</v>
          </cell>
          <cell r="V8386" t="str">
            <v>antonym</v>
          </cell>
          <cell r="W8386">
            <v>1</v>
          </cell>
          <cell r="X8386" t="str">
            <v>neg</v>
          </cell>
        </row>
        <row r="8387">
          <cell r="I8387" t="str">
            <v>sim</v>
          </cell>
          <cell r="V8387" t="str">
            <v>antonym</v>
          </cell>
          <cell r="W8387">
            <v>1</v>
          </cell>
          <cell r="X8387" t="str">
            <v>intens</v>
          </cell>
        </row>
        <row r="8388">
          <cell r="I8388" t="str">
            <v>sim</v>
          </cell>
          <cell r="V8388" t="str">
            <v>antonym</v>
          </cell>
          <cell r="W8388">
            <v>1</v>
          </cell>
          <cell r="X8388" t="str">
            <v>intens</v>
          </cell>
        </row>
        <row r="8389">
          <cell r="I8389" t="str">
            <v>sim</v>
          </cell>
          <cell r="V8389" t="str">
            <v>antonym</v>
          </cell>
          <cell r="W8389">
            <v>1</v>
          </cell>
          <cell r="X8389" t="str">
            <v>neg</v>
          </cell>
        </row>
        <row r="8390">
          <cell r="I8390" t="str">
            <v>sim</v>
          </cell>
          <cell r="V8390" t="str">
            <v>not neg pair</v>
          </cell>
          <cell r="W8390">
            <v>0</v>
          </cell>
          <cell r="X8390" t="str">
            <v>0</v>
          </cell>
        </row>
        <row r="8391">
          <cell r="I8391" t="str">
            <v>sim</v>
          </cell>
          <cell r="V8391" t="str">
            <v>not neg pair</v>
          </cell>
          <cell r="W8391">
            <v>0</v>
          </cell>
          <cell r="X8391" t="str">
            <v>0</v>
          </cell>
        </row>
        <row r="8392">
          <cell r="I8392" t="str">
            <v>sim</v>
          </cell>
          <cell r="V8392" t="str">
            <v>antonym</v>
          </cell>
          <cell r="W8392">
            <v>1</v>
          </cell>
          <cell r="X8392" t="str">
            <v>intens</v>
          </cell>
        </row>
        <row r="8393">
          <cell r="I8393" t="str">
            <v>sim</v>
          </cell>
          <cell r="V8393" t="str">
            <v>antonym</v>
          </cell>
          <cell r="W8393">
            <v>1</v>
          </cell>
          <cell r="X8393" t="str">
            <v>neg</v>
          </cell>
        </row>
        <row r="8394">
          <cell r="I8394" t="str">
            <v>sim</v>
          </cell>
          <cell r="V8394" t="str">
            <v>not</v>
          </cell>
          <cell r="W8394">
            <v>1</v>
          </cell>
          <cell r="X8394" t="str">
            <v>intens</v>
          </cell>
        </row>
        <row r="8395">
          <cell r="I8395" t="str">
            <v>sim</v>
          </cell>
          <cell r="V8395" t="str">
            <v>not</v>
          </cell>
          <cell r="W8395">
            <v>1</v>
          </cell>
          <cell r="X8395" t="str">
            <v>neg</v>
          </cell>
        </row>
        <row r="8396">
          <cell r="I8396" t="str">
            <v>met</v>
          </cell>
          <cell r="V8396" t="str">
            <v>0</v>
          </cell>
          <cell r="W8396">
            <v>0</v>
          </cell>
          <cell r="X8396" t="str">
            <v>0</v>
          </cell>
        </row>
        <row r="8397">
          <cell r="I8397" t="str">
            <v>met</v>
          </cell>
          <cell r="V8397" t="str">
            <v>0</v>
          </cell>
          <cell r="W8397">
            <v>0</v>
          </cell>
          <cell r="X8397" t="str">
            <v>0</v>
          </cell>
        </row>
        <row r="8398">
          <cell r="I8398" t="str">
            <v>sim</v>
          </cell>
          <cell r="V8398" t="str">
            <v>not neg pair</v>
          </cell>
          <cell r="W8398">
            <v>0</v>
          </cell>
          <cell r="X8398" t="str">
            <v>0</v>
          </cell>
        </row>
        <row r="8399">
          <cell r="I8399" t="str">
            <v>sim</v>
          </cell>
          <cell r="V8399" t="str">
            <v>not neg pair</v>
          </cell>
          <cell r="W8399">
            <v>0</v>
          </cell>
          <cell r="X8399" t="str">
            <v>0</v>
          </cell>
        </row>
        <row r="8400">
          <cell r="I8400" t="str">
            <v>sim</v>
          </cell>
          <cell r="V8400" t="str">
            <v>not neg pair</v>
          </cell>
          <cell r="W8400">
            <v>0</v>
          </cell>
          <cell r="X8400" t="str">
            <v>0</v>
          </cell>
        </row>
        <row r="8401">
          <cell r="I8401" t="str">
            <v>sim</v>
          </cell>
          <cell r="V8401" t="str">
            <v>not neg pair</v>
          </cell>
          <cell r="W8401">
            <v>0</v>
          </cell>
          <cell r="X8401" t="str">
            <v>0</v>
          </cell>
        </row>
        <row r="8402">
          <cell r="I8402" t="str">
            <v>sim</v>
          </cell>
          <cell r="V8402" t="str">
            <v>not neg pair</v>
          </cell>
          <cell r="W8402">
            <v>0</v>
          </cell>
          <cell r="X8402" t="str">
            <v>0</v>
          </cell>
        </row>
        <row r="8403">
          <cell r="I8403" t="str">
            <v>sim</v>
          </cell>
          <cell r="V8403" t="str">
            <v>not neg pair</v>
          </cell>
          <cell r="W8403">
            <v>0</v>
          </cell>
          <cell r="X8403" t="str">
            <v>0</v>
          </cell>
        </row>
        <row r="8404">
          <cell r="I8404" t="str">
            <v>sim</v>
          </cell>
          <cell r="V8404" t="str">
            <v>not neg pair</v>
          </cell>
          <cell r="W8404">
            <v>0</v>
          </cell>
          <cell r="X8404" t="str">
            <v>0</v>
          </cell>
        </row>
        <row r="8405">
          <cell r="I8405" t="str">
            <v>sim</v>
          </cell>
          <cell r="V8405" t="str">
            <v>not neg pair</v>
          </cell>
          <cell r="W8405">
            <v>0</v>
          </cell>
          <cell r="X8405" t="str">
            <v>0</v>
          </cell>
        </row>
        <row r="8406">
          <cell r="I8406" t="str">
            <v>sim</v>
          </cell>
          <cell r="V8406" t="str">
            <v>not neg pair</v>
          </cell>
          <cell r="W8406">
            <v>0</v>
          </cell>
          <cell r="X8406" t="str">
            <v>0</v>
          </cell>
        </row>
        <row r="8407">
          <cell r="I8407" t="str">
            <v>sim</v>
          </cell>
          <cell r="V8407" t="str">
            <v>not neg pair</v>
          </cell>
          <cell r="W8407">
            <v>0</v>
          </cell>
          <cell r="X8407" t="str">
            <v>0</v>
          </cell>
        </row>
        <row r="8408">
          <cell r="I8408" t="str">
            <v>sim</v>
          </cell>
          <cell r="V8408" t="str">
            <v>not neg pair</v>
          </cell>
          <cell r="W8408">
            <v>0</v>
          </cell>
          <cell r="X8408" t="str">
            <v>0</v>
          </cell>
        </row>
        <row r="8409">
          <cell r="I8409" t="str">
            <v>sim</v>
          </cell>
          <cell r="V8409" t="str">
            <v>not neg pair</v>
          </cell>
          <cell r="W8409">
            <v>0</v>
          </cell>
          <cell r="X8409" t="str">
            <v>0</v>
          </cell>
        </row>
        <row r="8410">
          <cell r="I8410" t="str">
            <v>sim</v>
          </cell>
          <cell r="V8410" t="str">
            <v>antonym</v>
          </cell>
          <cell r="W8410">
            <v>1</v>
          </cell>
          <cell r="X8410" t="str">
            <v>intens</v>
          </cell>
        </row>
        <row r="8411">
          <cell r="I8411" t="str">
            <v>sim</v>
          </cell>
          <cell r="V8411" t="str">
            <v>antonym</v>
          </cell>
          <cell r="W8411">
            <v>1</v>
          </cell>
          <cell r="X8411" t="str">
            <v>neg</v>
          </cell>
        </row>
        <row r="8412">
          <cell r="I8412" t="str">
            <v>sim</v>
          </cell>
          <cell r="V8412" t="str">
            <v>not neg pair</v>
          </cell>
          <cell r="W8412">
            <v>0</v>
          </cell>
          <cell r="X8412" t="str">
            <v>0</v>
          </cell>
        </row>
        <row r="8413">
          <cell r="I8413" t="str">
            <v>sim</v>
          </cell>
          <cell r="V8413" t="str">
            <v>not neg pair</v>
          </cell>
          <cell r="W8413">
            <v>0</v>
          </cell>
          <cell r="X8413" t="str">
            <v>0</v>
          </cell>
        </row>
        <row r="8414">
          <cell r="I8414" t="str">
            <v>sim</v>
          </cell>
          <cell r="V8414" t="str">
            <v>not neg pair</v>
          </cell>
          <cell r="W8414">
            <v>0</v>
          </cell>
          <cell r="X8414" t="str">
            <v>0</v>
          </cell>
        </row>
        <row r="8415">
          <cell r="I8415" t="str">
            <v>sim</v>
          </cell>
          <cell r="V8415" t="str">
            <v>not neg pair</v>
          </cell>
          <cell r="W8415">
            <v>0</v>
          </cell>
          <cell r="X8415" t="str">
            <v>0</v>
          </cell>
        </row>
        <row r="8416">
          <cell r="I8416" t="str">
            <v>met</v>
          </cell>
          <cell r="V8416" t="str">
            <v>0</v>
          </cell>
          <cell r="W8416">
            <v>0</v>
          </cell>
          <cell r="X8416" t="str">
            <v>0</v>
          </cell>
        </row>
        <row r="8417">
          <cell r="I8417" t="str">
            <v>met</v>
          </cell>
          <cell r="V8417" t="str">
            <v>0</v>
          </cell>
          <cell r="W8417">
            <v>0</v>
          </cell>
          <cell r="X8417" t="str">
            <v>0</v>
          </cell>
        </row>
        <row r="8418">
          <cell r="I8418" t="str">
            <v>met</v>
          </cell>
          <cell r="V8418" t="str">
            <v>0</v>
          </cell>
          <cell r="W8418">
            <v>0</v>
          </cell>
          <cell r="X8418" t="str">
            <v>0</v>
          </cell>
        </row>
        <row r="8419">
          <cell r="I8419" t="str">
            <v>met</v>
          </cell>
          <cell r="V8419" t="str">
            <v>0</v>
          </cell>
          <cell r="W8419">
            <v>0</v>
          </cell>
          <cell r="X8419" t="str">
            <v>0</v>
          </cell>
        </row>
        <row r="8420">
          <cell r="I8420" t="str">
            <v>sim</v>
          </cell>
          <cell r="V8420" t="str">
            <v>not</v>
          </cell>
          <cell r="W8420">
            <v>1</v>
          </cell>
          <cell r="X8420" t="str">
            <v>neg</v>
          </cell>
        </row>
        <row r="8421">
          <cell r="I8421" t="str">
            <v>sim</v>
          </cell>
          <cell r="V8421" t="str">
            <v>not</v>
          </cell>
          <cell r="W8421">
            <v>1</v>
          </cell>
          <cell r="X8421" t="str">
            <v>intens</v>
          </cell>
        </row>
        <row r="8422">
          <cell r="I8422" t="str">
            <v>sim</v>
          </cell>
          <cell r="V8422" t="str">
            <v>not neg pair</v>
          </cell>
          <cell r="W8422">
            <v>0</v>
          </cell>
          <cell r="X8422" t="str">
            <v>0</v>
          </cell>
        </row>
        <row r="8423">
          <cell r="I8423" t="str">
            <v>sim</v>
          </cell>
          <cell r="V8423" t="str">
            <v>not neg pair</v>
          </cell>
          <cell r="W8423">
            <v>0</v>
          </cell>
          <cell r="X8423" t="str">
            <v>0</v>
          </cell>
        </row>
        <row r="8424">
          <cell r="I8424" t="str">
            <v>sim</v>
          </cell>
          <cell r="V8424" t="str">
            <v>not</v>
          </cell>
          <cell r="W8424">
            <v>1</v>
          </cell>
          <cell r="X8424" t="str">
            <v>intens</v>
          </cell>
        </row>
        <row r="8425">
          <cell r="I8425" t="str">
            <v>sim</v>
          </cell>
          <cell r="V8425" t="str">
            <v>not</v>
          </cell>
          <cell r="W8425">
            <v>1</v>
          </cell>
          <cell r="X8425" t="str">
            <v>neg</v>
          </cell>
        </row>
        <row r="8426">
          <cell r="I8426" t="str">
            <v>sim</v>
          </cell>
          <cell r="V8426" t="str">
            <v>not neg pair</v>
          </cell>
          <cell r="W8426">
            <v>0</v>
          </cell>
          <cell r="X8426" t="str">
            <v>0</v>
          </cell>
        </row>
        <row r="8427">
          <cell r="I8427" t="str">
            <v>sim</v>
          </cell>
          <cell r="V8427" t="str">
            <v>not neg pair</v>
          </cell>
          <cell r="W8427">
            <v>0</v>
          </cell>
          <cell r="X8427" t="str">
            <v>0</v>
          </cell>
        </row>
        <row r="8428">
          <cell r="I8428" t="str">
            <v>sim</v>
          </cell>
          <cell r="V8428" t="str">
            <v>not neg pair</v>
          </cell>
          <cell r="W8428">
            <v>0</v>
          </cell>
          <cell r="X8428" t="str">
            <v>0</v>
          </cell>
        </row>
        <row r="8429">
          <cell r="I8429" t="str">
            <v>sim</v>
          </cell>
          <cell r="V8429" t="str">
            <v>not neg pair</v>
          </cell>
          <cell r="W8429">
            <v>0</v>
          </cell>
          <cell r="X8429" t="str">
            <v>0</v>
          </cell>
        </row>
        <row r="8430">
          <cell r="I8430" t="str">
            <v>sim</v>
          </cell>
          <cell r="V8430" t="str">
            <v>antonym</v>
          </cell>
          <cell r="W8430">
            <v>1</v>
          </cell>
          <cell r="X8430" t="str">
            <v>intens</v>
          </cell>
        </row>
        <row r="8431">
          <cell r="I8431" t="str">
            <v>sim</v>
          </cell>
          <cell r="V8431" t="str">
            <v>antonym</v>
          </cell>
          <cell r="W8431">
            <v>1</v>
          </cell>
          <cell r="X8431" t="str">
            <v>neg</v>
          </cell>
        </row>
        <row r="8432">
          <cell r="I8432" t="str">
            <v>sim</v>
          </cell>
          <cell r="V8432" t="str">
            <v>not neg pair</v>
          </cell>
          <cell r="W8432">
            <v>0</v>
          </cell>
          <cell r="X8432" t="str">
            <v>0</v>
          </cell>
        </row>
        <row r="8433">
          <cell r="I8433" t="str">
            <v>sim</v>
          </cell>
          <cell r="V8433" t="str">
            <v>not neg pair</v>
          </cell>
          <cell r="W8433">
            <v>0</v>
          </cell>
          <cell r="X8433" t="str">
            <v>0</v>
          </cell>
        </row>
        <row r="8434">
          <cell r="I8434" t="str">
            <v>sim</v>
          </cell>
          <cell r="V8434" t="str">
            <v>not</v>
          </cell>
          <cell r="W8434">
            <v>1</v>
          </cell>
          <cell r="X8434" t="str">
            <v>neg</v>
          </cell>
        </row>
        <row r="8435">
          <cell r="I8435" t="str">
            <v>sim</v>
          </cell>
          <cell r="V8435" t="str">
            <v>not</v>
          </cell>
          <cell r="W8435">
            <v>1</v>
          </cell>
          <cell r="X8435" t="str">
            <v>intens</v>
          </cell>
        </row>
        <row r="8436">
          <cell r="I8436" t="str">
            <v>sim</v>
          </cell>
          <cell r="V8436" t="str">
            <v>not neg pair</v>
          </cell>
          <cell r="W8436">
            <v>0</v>
          </cell>
          <cell r="X8436" t="str">
            <v>0</v>
          </cell>
        </row>
        <row r="8437">
          <cell r="I8437" t="str">
            <v>sim</v>
          </cell>
          <cell r="V8437" t="str">
            <v>not neg pair</v>
          </cell>
          <cell r="W8437">
            <v>0</v>
          </cell>
          <cell r="X8437" t="str">
            <v>0</v>
          </cell>
        </row>
        <row r="8438">
          <cell r="I8438" t="str">
            <v>sim</v>
          </cell>
          <cell r="V8438" t="str">
            <v>not neg pair</v>
          </cell>
          <cell r="W8438">
            <v>0</v>
          </cell>
          <cell r="X8438" t="str">
            <v>0</v>
          </cell>
        </row>
        <row r="8439">
          <cell r="I8439" t="str">
            <v>sim</v>
          </cell>
          <cell r="V8439" t="str">
            <v>not neg pair</v>
          </cell>
          <cell r="W8439">
            <v>0</v>
          </cell>
          <cell r="X8439" t="str">
            <v>0</v>
          </cell>
        </row>
        <row r="8440">
          <cell r="I8440" t="str">
            <v>sim</v>
          </cell>
          <cell r="V8440" t="str">
            <v>not</v>
          </cell>
          <cell r="W8440">
            <v>1</v>
          </cell>
          <cell r="X8440" t="str">
            <v>neg</v>
          </cell>
        </row>
        <row r="8441">
          <cell r="I8441" t="str">
            <v>sim</v>
          </cell>
          <cell r="V8441" t="str">
            <v>not</v>
          </cell>
          <cell r="W8441">
            <v>1</v>
          </cell>
          <cell r="X8441" t="str">
            <v>intens</v>
          </cell>
        </row>
        <row r="8442">
          <cell r="I8442" t="str">
            <v>met</v>
          </cell>
          <cell r="V8442" t="str">
            <v>0</v>
          </cell>
          <cell r="W8442">
            <v>0</v>
          </cell>
          <cell r="X8442" t="str">
            <v>0</v>
          </cell>
        </row>
        <row r="8443">
          <cell r="I8443" t="str">
            <v>met</v>
          </cell>
          <cell r="V8443" t="str">
            <v>0</v>
          </cell>
          <cell r="W8443">
            <v>0</v>
          </cell>
          <cell r="X8443" t="str">
            <v>0</v>
          </cell>
        </row>
        <row r="8444">
          <cell r="I8444" t="str">
            <v>sim</v>
          </cell>
          <cell r="V8444" t="str">
            <v>not neg pair</v>
          </cell>
          <cell r="W8444">
            <v>0</v>
          </cell>
          <cell r="X8444" t="str">
            <v>0</v>
          </cell>
        </row>
        <row r="8445">
          <cell r="I8445" t="str">
            <v>sim</v>
          </cell>
          <cell r="V8445" t="str">
            <v>not neg pair</v>
          </cell>
          <cell r="W8445">
            <v>0</v>
          </cell>
          <cell r="X8445" t="str">
            <v>0</v>
          </cell>
        </row>
        <row r="8446">
          <cell r="I8446" t="str">
            <v>sim</v>
          </cell>
          <cell r="V8446" t="str">
            <v>not neg pair</v>
          </cell>
          <cell r="W8446">
            <v>0</v>
          </cell>
          <cell r="X8446" t="str">
            <v>0</v>
          </cell>
        </row>
        <row r="8447">
          <cell r="I8447" t="str">
            <v>sim</v>
          </cell>
          <cell r="V8447" t="str">
            <v>not neg pair</v>
          </cell>
          <cell r="W8447">
            <v>0</v>
          </cell>
          <cell r="X8447" t="str">
            <v>0</v>
          </cell>
        </row>
        <row r="8448">
          <cell r="I8448" t="str">
            <v>met</v>
          </cell>
          <cell r="V8448" t="str">
            <v>0</v>
          </cell>
          <cell r="W8448">
            <v>0</v>
          </cell>
          <cell r="X8448" t="str">
            <v>0</v>
          </cell>
        </row>
        <row r="8449">
          <cell r="I8449" t="str">
            <v>met</v>
          </cell>
          <cell r="V8449" t="str">
            <v>0</v>
          </cell>
          <cell r="W8449">
            <v>0</v>
          </cell>
          <cell r="X8449" t="str">
            <v>0</v>
          </cell>
        </row>
        <row r="8450">
          <cell r="I8450" t="str">
            <v>met</v>
          </cell>
          <cell r="V8450" t="str">
            <v>0</v>
          </cell>
          <cell r="W8450">
            <v>0</v>
          </cell>
          <cell r="X8450" t="str">
            <v>0</v>
          </cell>
        </row>
        <row r="8451">
          <cell r="I8451" t="str">
            <v>met</v>
          </cell>
          <cell r="V8451" t="str">
            <v>0</v>
          </cell>
          <cell r="W8451">
            <v>0</v>
          </cell>
          <cell r="X8451" t="str">
            <v>0</v>
          </cell>
        </row>
        <row r="8452">
          <cell r="I8452" t="str">
            <v>met</v>
          </cell>
          <cell r="V8452" t="str">
            <v>0</v>
          </cell>
          <cell r="W8452">
            <v>0</v>
          </cell>
          <cell r="X8452" t="str">
            <v>0</v>
          </cell>
        </row>
        <row r="8453">
          <cell r="I8453" t="str">
            <v>met</v>
          </cell>
          <cell r="V8453" t="str">
            <v>0</v>
          </cell>
          <cell r="W8453">
            <v>0</v>
          </cell>
          <cell r="X8453" t="str">
            <v>0</v>
          </cell>
        </row>
        <row r="8454">
          <cell r="I8454" t="str">
            <v>met</v>
          </cell>
          <cell r="V8454" t="str">
            <v>0</v>
          </cell>
          <cell r="W8454">
            <v>0</v>
          </cell>
          <cell r="X8454" t="str">
            <v>0</v>
          </cell>
        </row>
        <row r="8455">
          <cell r="I8455" t="str">
            <v>met</v>
          </cell>
          <cell r="V8455" t="str">
            <v>0</v>
          </cell>
          <cell r="W8455">
            <v>0</v>
          </cell>
          <cell r="X8455" t="str">
            <v>0</v>
          </cell>
        </row>
        <row r="8456">
          <cell r="I8456" t="str">
            <v>met</v>
          </cell>
          <cell r="V8456" t="str">
            <v>0</v>
          </cell>
          <cell r="W8456">
            <v>0</v>
          </cell>
          <cell r="X8456" t="str">
            <v>0</v>
          </cell>
        </row>
        <row r="8457">
          <cell r="I8457" t="str">
            <v>met</v>
          </cell>
          <cell r="V8457" t="str">
            <v>0</v>
          </cell>
          <cell r="W8457">
            <v>0</v>
          </cell>
          <cell r="X8457" t="str">
            <v>0</v>
          </cell>
        </row>
        <row r="8458">
          <cell r="I8458" t="str">
            <v>sim</v>
          </cell>
          <cell r="V8458" t="str">
            <v>not neg pair</v>
          </cell>
          <cell r="W8458">
            <v>0</v>
          </cell>
          <cell r="X8458" t="str">
            <v>0</v>
          </cell>
        </row>
        <row r="8459">
          <cell r="I8459" t="str">
            <v>sim</v>
          </cell>
          <cell r="V8459" t="str">
            <v>not neg pair</v>
          </cell>
          <cell r="W8459">
            <v>0</v>
          </cell>
          <cell r="X8459" t="str">
            <v>0</v>
          </cell>
        </row>
        <row r="8460">
          <cell r="I8460" t="str">
            <v>sim</v>
          </cell>
          <cell r="V8460" t="str">
            <v>not neg pair</v>
          </cell>
          <cell r="W8460">
            <v>0</v>
          </cell>
          <cell r="X8460" t="str">
            <v>0</v>
          </cell>
        </row>
        <row r="8461">
          <cell r="I8461" t="str">
            <v>sim</v>
          </cell>
          <cell r="V8461" t="str">
            <v>not neg pair</v>
          </cell>
          <cell r="W8461">
            <v>0</v>
          </cell>
          <cell r="X8461" t="str">
            <v>0</v>
          </cell>
        </row>
        <row r="8462">
          <cell r="I8462" t="str">
            <v>sim</v>
          </cell>
          <cell r="V8462" t="str">
            <v>not neg pair</v>
          </cell>
          <cell r="W8462">
            <v>0</v>
          </cell>
          <cell r="X8462" t="str">
            <v>0</v>
          </cell>
        </row>
        <row r="8463">
          <cell r="I8463" t="str">
            <v>sim</v>
          </cell>
          <cell r="V8463" t="str">
            <v>not neg pair</v>
          </cell>
          <cell r="W8463">
            <v>0</v>
          </cell>
          <cell r="X8463" t="str">
            <v>0</v>
          </cell>
        </row>
        <row r="8464">
          <cell r="I8464" t="str">
            <v>sim</v>
          </cell>
          <cell r="V8464" t="str">
            <v>antonym</v>
          </cell>
          <cell r="W8464">
            <v>1</v>
          </cell>
          <cell r="X8464" t="str">
            <v>intens</v>
          </cell>
        </row>
        <row r="8465">
          <cell r="I8465" t="str">
            <v>sim</v>
          </cell>
          <cell r="V8465" t="str">
            <v>antonym</v>
          </cell>
          <cell r="W8465">
            <v>1</v>
          </cell>
          <cell r="X8465" t="str">
            <v>neg</v>
          </cell>
        </row>
        <row r="8466">
          <cell r="I8466" t="str">
            <v>met</v>
          </cell>
          <cell r="V8466" t="str">
            <v>0</v>
          </cell>
          <cell r="W8466">
            <v>0</v>
          </cell>
          <cell r="X8466" t="str">
            <v>0</v>
          </cell>
        </row>
        <row r="8467">
          <cell r="I8467" t="str">
            <v>met</v>
          </cell>
          <cell r="V8467" t="str">
            <v>0</v>
          </cell>
          <cell r="W8467">
            <v>0</v>
          </cell>
          <cell r="X8467" t="str">
            <v>0</v>
          </cell>
        </row>
        <row r="8468">
          <cell r="I8468" t="str">
            <v>sim</v>
          </cell>
          <cell r="V8468" t="str">
            <v>not neg pair</v>
          </cell>
          <cell r="W8468">
            <v>0</v>
          </cell>
          <cell r="X8468" t="str">
            <v>0</v>
          </cell>
        </row>
        <row r="8469">
          <cell r="I8469" t="str">
            <v>sim</v>
          </cell>
          <cell r="V8469" t="str">
            <v>not neg pair</v>
          </cell>
          <cell r="W8469">
            <v>0</v>
          </cell>
          <cell r="X8469" t="str">
            <v>0</v>
          </cell>
        </row>
        <row r="8470">
          <cell r="I8470" t="str">
            <v>met</v>
          </cell>
          <cell r="V8470" t="str">
            <v>0</v>
          </cell>
          <cell r="W8470">
            <v>0</v>
          </cell>
          <cell r="X8470" t="str">
            <v>0</v>
          </cell>
        </row>
        <row r="8471">
          <cell r="I8471" t="str">
            <v>sim</v>
          </cell>
          <cell r="V8471" t="str">
            <v>0</v>
          </cell>
          <cell r="W8471">
            <v>0</v>
          </cell>
          <cell r="X8471" t="str">
            <v>0</v>
          </cell>
        </row>
        <row r="8472">
          <cell r="I8472" t="str">
            <v>sim</v>
          </cell>
          <cell r="V8472" t="str">
            <v>not neg pair</v>
          </cell>
          <cell r="W8472">
            <v>0</v>
          </cell>
          <cell r="X8472" t="str">
            <v>0</v>
          </cell>
        </row>
        <row r="8473">
          <cell r="I8473" t="str">
            <v>met</v>
          </cell>
          <cell r="V8473" t="str">
            <v>0</v>
          </cell>
          <cell r="W8473">
            <v>0</v>
          </cell>
          <cell r="X8473" t="str">
            <v>0</v>
          </cell>
        </row>
        <row r="8474">
          <cell r="I8474" t="str">
            <v>met</v>
          </cell>
          <cell r="V8474" t="str">
            <v>0</v>
          </cell>
          <cell r="W8474">
            <v>0</v>
          </cell>
          <cell r="X8474" t="str">
            <v>0</v>
          </cell>
        </row>
        <row r="8475">
          <cell r="I8475" t="str">
            <v>met</v>
          </cell>
          <cell r="V8475" t="str">
            <v>0</v>
          </cell>
          <cell r="W8475">
            <v>0</v>
          </cell>
          <cell r="X8475" t="str">
            <v>0</v>
          </cell>
        </row>
        <row r="8476">
          <cell r="I8476" t="str">
            <v>met</v>
          </cell>
          <cell r="V8476" t="str">
            <v>0</v>
          </cell>
          <cell r="W8476">
            <v>0</v>
          </cell>
          <cell r="X8476" t="str">
            <v>0</v>
          </cell>
        </row>
        <row r="8477">
          <cell r="I8477" t="str">
            <v>met</v>
          </cell>
          <cell r="V8477" t="str">
            <v>0</v>
          </cell>
          <cell r="W8477">
            <v>0</v>
          </cell>
          <cell r="X8477" t="str">
            <v>0</v>
          </cell>
        </row>
        <row r="8478">
          <cell r="I8478" t="str">
            <v>sim</v>
          </cell>
          <cell r="V8478" t="str">
            <v>not neg pair</v>
          </cell>
          <cell r="W8478">
            <v>0</v>
          </cell>
          <cell r="X8478" t="str">
            <v>0</v>
          </cell>
        </row>
        <row r="8479">
          <cell r="I8479" t="str">
            <v>sim</v>
          </cell>
          <cell r="V8479" t="str">
            <v>not neg pair</v>
          </cell>
          <cell r="W8479">
            <v>0</v>
          </cell>
          <cell r="X8479" t="str">
            <v>0</v>
          </cell>
        </row>
        <row r="8480">
          <cell r="I8480" t="str">
            <v>met</v>
          </cell>
          <cell r="V8480" t="str">
            <v>0</v>
          </cell>
          <cell r="W8480">
            <v>0</v>
          </cell>
          <cell r="X8480" t="str">
            <v>0</v>
          </cell>
        </row>
        <row r="8481">
          <cell r="I8481" t="str">
            <v>met</v>
          </cell>
          <cell r="V8481" t="str">
            <v>0</v>
          </cell>
          <cell r="W8481">
            <v>0</v>
          </cell>
          <cell r="X8481" t="str">
            <v>0</v>
          </cell>
        </row>
        <row r="8482">
          <cell r="I8482" t="str">
            <v>met</v>
          </cell>
          <cell r="V8482" t="str">
            <v>0</v>
          </cell>
          <cell r="W8482">
            <v>0</v>
          </cell>
          <cell r="X8482" t="str">
            <v>0</v>
          </cell>
        </row>
        <row r="8483">
          <cell r="I8483" t="str">
            <v>met</v>
          </cell>
          <cell r="V8483" t="str">
            <v>0</v>
          </cell>
          <cell r="W8483">
            <v>0</v>
          </cell>
          <cell r="X8483" t="str">
            <v>0</v>
          </cell>
        </row>
        <row r="8484">
          <cell r="I8484" t="str">
            <v>met</v>
          </cell>
          <cell r="V8484" t="str">
            <v>0</v>
          </cell>
          <cell r="W8484">
            <v>0</v>
          </cell>
          <cell r="X8484" t="str">
            <v>0</v>
          </cell>
        </row>
        <row r="8485">
          <cell r="I8485" t="str">
            <v>met</v>
          </cell>
          <cell r="V8485" t="str">
            <v>0</v>
          </cell>
          <cell r="W8485">
            <v>0</v>
          </cell>
          <cell r="X8485" t="str">
            <v>0</v>
          </cell>
        </row>
        <row r="8486">
          <cell r="I8486" t="str">
            <v>met</v>
          </cell>
          <cell r="V8486" t="str">
            <v>0</v>
          </cell>
          <cell r="W8486">
            <v>0</v>
          </cell>
          <cell r="X8486" t="str">
            <v>0</v>
          </cell>
        </row>
        <row r="8487">
          <cell r="I8487" t="str">
            <v>met</v>
          </cell>
          <cell r="V8487" t="str">
            <v>0</v>
          </cell>
          <cell r="W8487">
            <v>0</v>
          </cell>
          <cell r="X8487" t="str">
            <v>0</v>
          </cell>
        </row>
        <row r="8488">
          <cell r="I8488" t="str">
            <v>met</v>
          </cell>
          <cell r="V8488" t="str">
            <v>0</v>
          </cell>
          <cell r="W8488">
            <v>0</v>
          </cell>
          <cell r="X8488" t="str">
            <v>0</v>
          </cell>
        </row>
        <row r="8489">
          <cell r="I8489" t="str">
            <v>met</v>
          </cell>
          <cell r="V8489" t="str">
            <v>0</v>
          </cell>
          <cell r="W8489">
            <v>0</v>
          </cell>
          <cell r="X8489" t="str">
            <v>0</v>
          </cell>
        </row>
        <row r="8490">
          <cell r="I8490" t="str">
            <v>met</v>
          </cell>
          <cell r="V8490" t="str">
            <v>0</v>
          </cell>
          <cell r="W8490">
            <v>0</v>
          </cell>
          <cell r="X8490" t="str">
            <v>0</v>
          </cell>
        </row>
        <row r="8491">
          <cell r="I8491" t="str">
            <v>met</v>
          </cell>
          <cell r="V8491" t="str">
            <v>0</v>
          </cell>
          <cell r="W8491">
            <v>0</v>
          </cell>
          <cell r="X8491" t="str">
            <v>0</v>
          </cell>
        </row>
        <row r="8492">
          <cell r="I8492" t="str">
            <v>sim</v>
          </cell>
          <cell r="V8492" t="str">
            <v>not neg pair</v>
          </cell>
          <cell r="W8492">
            <v>0</v>
          </cell>
          <cell r="X8492" t="str">
            <v>0</v>
          </cell>
        </row>
        <row r="8493">
          <cell r="I8493" t="str">
            <v>sim</v>
          </cell>
          <cell r="V8493" t="str">
            <v>not neg pair</v>
          </cell>
          <cell r="W8493">
            <v>0</v>
          </cell>
          <cell r="X8493" t="str">
            <v>0</v>
          </cell>
        </row>
        <row r="8494">
          <cell r="I8494" t="str">
            <v>sim</v>
          </cell>
          <cell r="V8494" t="str">
            <v>not neg pair</v>
          </cell>
          <cell r="W8494">
            <v>0</v>
          </cell>
          <cell r="X8494" t="str">
            <v>0</v>
          </cell>
        </row>
        <row r="8495">
          <cell r="I8495" t="str">
            <v>sim</v>
          </cell>
          <cell r="V8495" t="str">
            <v>not neg pair</v>
          </cell>
          <cell r="W8495">
            <v>0</v>
          </cell>
          <cell r="X8495" t="str">
            <v>0</v>
          </cell>
        </row>
        <row r="8496">
          <cell r="I8496" t="str">
            <v>sim</v>
          </cell>
          <cell r="V8496" t="str">
            <v>not neg pair</v>
          </cell>
          <cell r="W8496">
            <v>0</v>
          </cell>
          <cell r="X8496" t="str">
            <v>0</v>
          </cell>
        </row>
        <row r="8497">
          <cell r="I8497" t="str">
            <v>sim</v>
          </cell>
          <cell r="V8497" t="str">
            <v>not neg pair</v>
          </cell>
          <cell r="W8497">
            <v>0</v>
          </cell>
          <cell r="X8497" t="str">
            <v>0</v>
          </cell>
        </row>
        <row r="8498">
          <cell r="I8498" t="str">
            <v>sim</v>
          </cell>
          <cell r="V8498" t="str">
            <v>not</v>
          </cell>
          <cell r="W8498">
            <v>1</v>
          </cell>
          <cell r="X8498" t="str">
            <v>neg</v>
          </cell>
        </row>
        <row r="8499">
          <cell r="I8499" t="str">
            <v>sim</v>
          </cell>
          <cell r="V8499" t="str">
            <v>not</v>
          </cell>
          <cell r="W8499">
            <v>1</v>
          </cell>
          <cell r="X8499" t="str">
            <v>intens</v>
          </cell>
        </row>
        <row r="8500">
          <cell r="I8500" t="str">
            <v>sim</v>
          </cell>
          <cell r="V8500" t="str">
            <v>not neg pair</v>
          </cell>
          <cell r="W8500">
            <v>0</v>
          </cell>
          <cell r="X8500" t="str">
            <v>0</v>
          </cell>
        </row>
        <row r="8501">
          <cell r="I8501" t="str">
            <v>sim</v>
          </cell>
          <cell r="V8501" t="str">
            <v>not neg pair</v>
          </cell>
          <cell r="W8501">
            <v>0</v>
          </cell>
          <cell r="X8501" t="str">
            <v>0</v>
          </cell>
        </row>
        <row r="8502">
          <cell r="I8502" t="str">
            <v>sim</v>
          </cell>
          <cell r="V8502" t="str">
            <v>not neg pair</v>
          </cell>
          <cell r="W8502">
            <v>0</v>
          </cell>
          <cell r="X8502" t="str">
            <v>0</v>
          </cell>
        </row>
        <row r="8503">
          <cell r="I8503" t="str">
            <v>sim</v>
          </cell>
          <cell r="V8503" t="str">
            <v>not neg pair</v>
          </cell>
          <cell r="W8503">
            <v>0</v>
          </cell>
          <cell r="X8503" t="str">
            <v>0</v>
          </cell>
        </row>
        <row r="8504">
          <cell r="I8504" t="str">
            <v>sim</v>
          </cell>
          <cell r="V8504" t="str">
            <v>not neg pair</v>
          </cell>
          <cell r="W8504">
            <v>0</v>
          </cell>
          <cell r="X8504" t="str">
            <v>0</v>
          </cell>
        </row>
        <row r="8505">
          <cell r="I8505" t="str">
            <v>sim</v>
          </cell>
          <cell r="V8505" t="str">
            <v>not neg pair</v>
          </cell>
          <cell r="W8505">
            <v>0</v>
          </cell>
          <cell r="X8505" t="str">
            <v>0</v>
          </cell>
        </row>
        <row r="8506">
          <cell r="I8506" t="str">
            <v>sim</v>
          </cell>
          <cell r="V8506" t="str">
            <v>not neg pair</v>
          </cell>
          <cell r="W8506">
            <v>0</v>
          </cell>
          <cell r="X8506" t="str">
            <v>0</v>
          </cell>
        </row>
        <row r="8507">
          <cell r="I8507" t="str">
            <v>sim</v>
          </cell>
          <cell r="V8507" t="str">
            <v>not neg pair</v>
          </cell>
          <cell r="W8507">
            <v>0</v>
          </cell>
          <cell r="X8507" t="str">
            <v>0</v>
          </cell>
        </row>
        <row r="8508">
          <cell r="I8508" t="str">
            <v>met</v>
          </cell>
          <cell r="V8508" t="str">
            <v>0</v>
          </cell>
          <cell r="W8508">
            <v>0</v>
          </cell>
          <cell r="X8508" t="str">
            <v>0</v>
          </cell>
        </row>
        <row r="8509">
          <cell r="I8509" t="str">
            <v>met</v>
          </cell>
          <cell r="V8509" t="str">
            <v>0</v>
          </cell>
          <cell r="W8509">
            <v>0</v>
          </cell>
          <cell r="X8509" t="str">
            <v>0</v>
          </cell>
        </row>
        <row r="8510">
          <cell r="I8510" t="str">
            <v>sim</v>
          </cell>
          <cell r="V8510" t="str">
            <v>not neg pair</v>
          </cell>
          <cell r="W8510">
            <v>0</v>
          </cell>
          <cell r="X8510" t="str">
            <v>0</v>
          </cell>
        </row>
        <row r="8511">
          <cell r="I8511" t="str">
            <v>sim</v>
          </cell>
          <cell r="V8511" t="str">
            <v>not neg pair</v>
          </cell>
          <cell r="W8511">
            <v>0</v>
          </cell>
          <cell r="X8511" t="str">
            <v>0</v>
          </cell>
        </row>
        <row r="8512">
          <cell r="I8512" t="str">
            <v>sim</v>
          </cell>
          <cell r="V8512" t="str">
            <v>not neg pair</v>
          </cell>
          <cell r="W8512">
            <v>0</v>
          </cell>
          <cell r="X8512" t="str">
            <v>0</v>
          </cell>
        </row>
        <row r="8513">
          <cell r="I8513" t="str">
            <v>sim</v>
          </cell>
          <cell r="V8513" t="str">
            <v>not neg pair</v>
          </cell>
          <cell r="W8513">
            <v>0</v>
          </cell>
          <cell r="X8513" t="str">
            <v>0</v>
          </cell>
        </row>
        <row r="8514">
          <cell r="I8514" t="str">
            <v>sim</v>
          </cell>
          <cell r="V8514" t="str">
            <v>not</v>
          </cell>
          <cell r="W8514">
            <v>1</v>
          </cell>
          <cell r="X8514" t="str">
            <v>intens</v>
          </cell>
        </row>
        <row r="8515">
          <cell r="I8515" t="str">
            <v>sim</v>
          </cell>
          <cell r="V8515" t="str">
            <v>not</v>
          </cell>
          <cell r="W8515">
            <v>1</v>
          </cell>
          <cell r="X8515" t="str">
            <v>neg</v>
          </cell>
        </row>
        <row r="8516">
          <cell r="I8516" t="str">
            <v>sim</v>
          </cell>
          <cell r="V8516" t="str">
            <v>not</v>
          </cell>
          <cell r="W8516">
            <v>1</v>
          </cell>
          <cell r="X8516" t="str">
            <v>intens</v>
          </cell>
        </row>
        <row r="8517">
          <cell r="I8517" t="str">
            <v>sim</v>
          </cell>
          <cell r="V8517" t="str">
            <v>not</v>
          </cell>
          <cell r="W8517">
            <v>1</v>
          </cell>
          <cell r="X8517" t="str">
            <v>neg</v>
          </cell>
        </row>
        <row r="8518">
          <cell r="I8518" t="str">
            <v>sim</v>
          </cell>
          <cell r="V8518" t="str">
            <v>not</v>
          </cell>
          <cell r="W8518">
            <v>1</v>
          </cell>
          <cell r="X8518" t="str">
            <v>intens</v>
          </cell>
        </row>
        <row r="8519">
          <cell r="I8519" t="str">
            <v>sim</v>
          </cell>
          <cell r="V8519" t="str">
            <v>not</v>
          </cell>
          <cell r="W8519">
            <v>1</v>
          </cell>
          <cell r="X8519" t="str">
            <v>neg</v>
          </cell>
        </row>
        <row r="8520">
          <cell r="I8520" t="str">
            <v>sim</v>
          </cell>
          <cell r="V8520" t="str">
            <v>antonym</v>
          </cell>
          <cell r="W8520">
            <v>1</v>
          </cell>
          <cell r="X8520" t="str">
            <v>intens</v>
          </cell>
        </row>
        <row r="8521">
          <cell r="I8521" t="str">
            <v>sim</v>
          </cell>
          <cell r="V8521" t="str">
            <v>antonym</v>
          </cell>
          <cell r="W8521">
            <v>1</v>
          </cell>
          <cell r="X8521" t="str">
            <v>neg</v>
          </cell>
        </row>
        <row r="8522">
          <cell r="I8522" t="str">
            <v>sim</v>
          </cell>
          <cell r="V8522" t="str">
            <v>not neg pair</v>
          </cell>
          <cell r="W8522">
            <v>0</v>
          </cell>
          <cell r="X8522" t="str">
            <v>0</v>
          </cell>
        </row>
        <row r="8523">
          <cell r="I8523" t="str">
            <v>sim</v>
          </cell>
          <cell r="V8523" t="str">
            <v>not neg pair</v>
          </cell>
          <cell r="W8523">
            <v>0</v>
          </cell>
          <cell r="X8523" t="str">
            <v>0</v>
          </cell>
        </row>
        <row r="8524">
          <cell r="I8524" t="str">
            <v>sim</v>
          </cell>
          <cell r="V8524" t="str">
            <v>not neg pair</v>
          </cell>
          <cell r="W8524">
            <v>0</v>
          </cell>
          <cell r="X8524" t="str">
            <v>0</v>
          </cell>
        </row>
        <row r="8525">
          <cell r="I8525" t="str">
            <v>sim</v>
          </cell>
          <cell r="V8525" t="str">
            <v>not neg pair</v>
          </cell>
          <cell r="W8525">
            <v>0</v>
          </cell>
          <cell r="X8525" t="str">
            <v>0</v>
          </cell>
        </row>
        <row r="8526">
          <cell r="I8526" t="str">
            <v>sim</v>
          </cell>
          <cell r="V8526" t="str">
            <v>not neg pair</v>
          </cell>
          <cell r="W8526">
            <v>0</v>
          </cell>
          <cell r="X8526" t="str">
            <v>0</v>
          </cell>
        </row>
        <row r="8527">
          <cell r="I8527" t="str">
            <v>sim</v>
          </cell>
          <cell r="V8527" t="str">
            <v>not neg pair</v>
          </cell>
          <cell r="W8527">
            <v>0</v>
          </cell>
          <cell r="X8527" t="str">
            <v>0</v>
          </cell>
        </row>
        <row r="8528">
          <cell r="I8528" t="str">
            <v>sim</v>
          </cell>
          <cell r="V8528" t="str">
            <v>not neg pair</v>
          </cell>
          <cell r="W8528">
            <v>0</v>
          </cell>
          <cell r="X8528" t="str">
            <v>0</v>
          </cell>
        </row>
        <row r="8529">
          <cell r="I8529" t="str">
            <v>sim</v>
          </cell>
          <cell r="V8529" t="str">
            <v>not neg pair</v>
          </cell>
          <cell r="W8529">
            <v>0</v>
          </cell>
          <cell r="X8529" t="str">
            <v>0</v>
          </cell>
        </row>
        <row r="8530">
          <cell r="I8530" t="str">
            <v>sim</v>
          </cell>
          <cell r="V8530" t="str">
            <v>not</v>
          </cell>
          <cell r="W8530">
            <v>1</v>
          </cell>
          <cell r="X8530" t="str">
            <v>intens</v>
          </cell>
        </row>
        <row r="8531">
          <cell r="I8531" t="str">
            <v>sim</v>
          </cell>
          <cell r="V8531" t="str">
            <v>not</v>
          </cell>
          <cell r="W8531">
            <v>1</v>
          </cell>
          <cell r="X8531" t="str">
            <v>neg</v>
          </cell>
        </row>
        <row r="8532">
          <cell r="I8532" t="str">
            <v>sim</v>
          </cell>
          <cell r="V8532" t="str">
            <v>not</v>
          </cell>
          <cell r="W8532">
            <v>1</v>
          </cell>
          <cell r="X8532" t="str">
            <v>intens</v>
          </cell>
        </row>
        <row r="8533">
          <cell r="I8533" t="str">
            <v>sim</v>
          </cell>
          <cell r="V8533" t="str">
            <v>not</v>
          </cell>
          <cell r="W8533">
            <v>1</v>
          </cell>
          <cell r="X8533" t="str">
            <v>neg</v>
          </cell>
        </row>
        <row r="8534">
          <cell r="I8534" t="str">
            <v>sim</v>
          </cell>
          <cell r="V8534" t="str">
            <v>not</v>
          </cell>
          <cell r="W8534">
            <v>1</v>
          </cell>
          <cell r="X8534" t="str">
            <v>neg</v>
          </cell>
        </row>
        <row r="8535">
          <cell r="I8535" t="str">
            <v>sim</v>
          </cell>
          <cell r="V8535" t="str">
            <v>not</v>
          </cell>
          <cell r="W8535">
            <v>1</v>
          </cell>
          <cell r="X8535" t="str">
            <v>intens</v>
          </cell>
        </row>
        <row r="8536">
          <cell r="I8536" t="str">
            <v>sim</v>
          </cell>
          <cell r="V8536" t="str">
            <v>not neg pair</v>
          </cell>
          <cell r="W8536">
            <v>0</v>
          </cell>
          <cell r="X8536" t="str">
            <v>0</v>
          </cell>
        </row>
        <row r="8537">
          <cell r="I8537" t="str">
            <v>sim</v>
          </cell>
          <cell r="V8537" t="str">
            <v>not neg pair</v>
          </cell>
          <cell r="W8537">
            <v>0</v>
          </cell>
          <cell r="X8537" t="str">
            <v>0</v>
          </cell>
        </row>
        <row r="8538">
          <cell r="I8538" t="str">
            <v>sim</v>
          </cell>
          <cell r="V8538" t="str">
            <v>not neg pair</v>
          </cell>
          <cell r="W8538">
            <v>0</v>
          </cell>
          <cell r="X8538" t="str">
            <v>0</v>
          </cell>
        </row>
        <row r="8539">
          <cell r="I8539" t="str">
            <v>sim</v>
          </cell>
          <cell r="V8539" t="str">
            <v>not neg pair</v>
          </cell>
          <cell r="W8539">
            <v>0</v>
          </cell>
          <cell r="X8539" t="str">
            <v>0</v>
          </cell>
        </row>
        <row r="8540">
          <cell r="I8540" t="str">
            <v>sim</v>
          </cell>
          <cell r="V8540" t="str">
            <v>not</v>
          </cell>
          <cell r="W8540">
            <v>1</v>
          </cell>
          <cell r="X8540" t="str">
            <v>intens</v>
          </cell>
        </row>
        <row r="8541">
          <cell r="I8541" t="str">
            <v>sim</v>
          </cell>
          <cell r="V8541" t="str">
            <v>not</v>
          </cell>
          <cell r="W8541">
            <v>1</v>
          </cell>
          <cell r="X8541" t="str">
            <v>neg</v>
          </cell>
        </row>
        <row r="8542">
          <cell r="I8542" t="str">
            <v>met</v>
          </cell>
          <cell r="V8542" t="str">
            <v>0</v>
          </cell>
          <cell r="W8542">
            <v>0</v>
          </cell>
          <cell r="X8542" t="str">
            <v>0</v>
          </cell>
        </row>
        <row r="8543">
          <cell r="I8543" t="str">
            <v>met</v>
          </cell>
          <cell r="V8543" t="str">
            <v>0</v>
          </cell>
          <cell r="W8543">
            <v>0</v>
          </cell>
          <cell r="X8543" t="str">
            <v>0</v>
          </cell>
        </row>
        <row r="8544">
          <cell r="I8544" t="str">
            <v>sim</v>
          </cell>
          <cell r="V8544" t="str">
            <v>not</v>
          </cell>
          <cell r="W8544">
            <v>1</v>
          </cell>
          <cell r="X8544" t="str">
            <v>intens</v>
          </cell>
        </row>
        <row r="8545">
          <cell r="I8545" t="str">
            <v>sim</v>
          </cell>
          <cell r="V8545" t="str">
            <v>not</v>
          </cell>
          <cell r="W8545">
            <v>1</v>
          </cell>
          <cell r="X8545" t="str">
            <v>neg</v>
          </cell>
        </row>
        <row r="8546">
          <cell r="I8546" t="str">
            <v>sim</v>
          </cell>
          <cell r="V8546" t="str">
            <v>not neg pair</v>
          </cell>
          <cell r="W8546">
            <v>0</v>
          </cell>
          <cell r="X8546" t="str">
            <v>0</v>
          </cell>
        </row>
        <row r="8547">
          <cell r="I8547" t="str">
            <v>sim</v>
          </cell>
          <cell r="V8547" t="str">
            <v>not neg pair</v>
          </cell>
          <cell r="W8547">
            <v>0</v>
          </cell>
          <cell r="X8547" t="str">
            <v>0</v>
          </cell>
        </row>
        <row r="8548">
          <cell r="I8548" t="str">
            <v>sim</v>
          </cell>
          <cell r="V8548" t="str">
            <v>not neg pair</v>
          </cell>
          <cell r="W8548">
            <v>0</v>
          </cell>
          <cell r="X8548" t="str">
            <v>0</v>
          </cell>
        </row>
        <row r="8549">
          <cell r="I8549" t="str">
            <v>sim</v>
          </cell>
          <cell r="V8549" t="str">
            <v>not neg pair</v>
          </cell>
          <cell r="W8549">
            <v>0</v>
          </cell>
          <cell r="X8549" t="str">
            <v>0</v>
          </cell>
        </row>
        <row r="8550">
          <cell r="I8550" t="str">
            <v>sim</v>
          </cell>
          <cell r="V8550" t="str">
            <v>not</v>
          </cell>
          <cell r="W8550">
            <v>1</v>
          </cell>
          <cell r="X8550" t="str">
            <v>intens</v>
          </cell>
        </row>
        <row r="8551">
          <cell r="I8551" t="str">
            <v>sim</v>
          </cell>
          <cell r="V8551" t="str">
            <v>not</v>
          </cell>
          <cell r="W8551">
            <v>1</v>
          </cell>
          <cell r="X8551" t="str">
            <v>neg</v>
          </cell>
        </row>
        <row r="8552">
          <cell r="I8552" t="str">
            <v>sim</v>
          </cell>
          <cell r="V8552" t="str">
            <v>not</v>
          </cell>
          <cell r="W8552">
            <v>1</v>
          </cell>
          <cell r="X8552" t="str">
            <v>intens</v>
          </cell>
        </row>
        <row r="8553">
          <cell r="I8553" t="str">
            <v>sim</v>
          </cell>
          <cell r="V8553" t="str">
            <v>not</v>
          </cell>
          <cell r="W8553">
            <v>1</v>
          </cell>
          <cell r="X8553" t="str">
            <v>neg</v>
          </cell>
        </row>
        <row r="8554">
          <cell r="I8554" t="str">
            <v>sim</v>
          </cell>
          <cell r="V8554" t="str">
            <v>not neg pair</v>
          </cell>
          <cell r="W8554">
            <v>0</v>
          </cell>
          <cell r="X8554" t="str">
            <v>0</v>
          </cell>
        </row>
        <row r="8555">
          <cell r="I8555" t="str">
            <v>sim</v>
          </cell>
          <cell r="V8555" t="str">
            <v>not neg pair</v>
          </cell>
          <cell r="W8555">
            <v>0</v>
          </cell>
          <cell r="X8555" t="str">
            <v>0</v>
          </cell>
        </row>
        <row r="8556">
          <cell r="I8556" t="str">
            <v>sim</v>
          </cell>
          <cell r="V8556" t="str">
            <v>not neg pair</v>
          </cell>
          <cell r="W8556">
            <v>0</v>
          </cell>
          <cell r="X8556" t="str">
            <v>0</v>
          </cell>
        </row>
        <row r="8557">
          <cell r="I8557" t="str">
            <v>sim</v>
          </cell>
          <cell r="V8557" t="str">
            <v>not neg pair</v>
          </cell>
          <cell r="W8557">
            <v>0</v>
          </cell>
          <cell r="X8557" t="str">
            <v>0</v>
          </cell>
        </row>
        <row r="8558">
          <cell r="I8558" t="str">
            <v>sim</v>
          </cell>
          <cell r="V8558" t="str">
            <v>not neg pair</v>
          </cell>
          <cell r="W8558">
            <v>0</v>
          </cell>
          <cell r="X8558" t="str">
            <v>0</v>
          </cell>
        </row>
        <row r="8559">
          <cell r="I8559" t="str">
            <v>sim</v>
          </cell>
          <cell r="V8559" t="str">
            <v>not neg pair</v>
          </cell>
          <cell r="W8559">
            <v>0</v>
          </cell>
          <cell r="X8559" t="str">
            <v>0</v>
          </cell>
        </row>
        <row r="8560">
          <cell r="I8560" t="str">
            <v>sim</v>
          </cell>
          <cell r="V8560" t="str">
            <v>not</v>
          </cell>
          <cell r="W8560">
            <v>1</v>
          </cell>
          <cell r="X8560" t="str">
            <v>intens</v>
          </cell>
        </row>
        <row r="8561">
          <cell r="I8561" t="str">
            <v>sim</v>
          </cell>
          <cell r="V8561" t="str">
            <v>not</v>
          </cell>
          <cell r="W8561">
            <v>1</v>
          </cell>
          <cell r="X8561" t="str">
            <v>neg</v>
          </cell>
        </row>
        <row r="8562">
          <cell r="I8562" t="str">
            <v>sim</v>
          </cell>
          <cell r="V8562" t="str">
            <v>not neg pair</v>
          </cell>
          <cell r="W8562">
            <v>0</v>
          </cell>
          <cell r="X8562" t="str">
            <v>0</v>
          </cell>
        </row>
        <row r="8563">
          <cell r="I8563" t="str">
            <v>sim</v>
          </cell>
          <cell r="V8563" t="str">
            <v>not neg pair</v>
          </cell>
          <cell r="W8563">
            <v>0</v>
          </cell>
          <cell r="X8563" t="str">
            <v>0</v>
          </cell>
        </row>
        <row r="8564">
          <cell r="I8564" t="str">
            <v>sim</v>
          </cell>
          <cell r="V8564" t="str">
            <v>not neg pair</v>
          </cell>
          <cell r="W8564">
            <v>0</v>
          </cell>
          <cell r="X8564" t="str">
            <v>0</v>
          </cell>
        </row>
        <row r="8565">
          <cell r="I8565" t="str">
            <v>sim</v>
          </cell>
          <cell r="V8565" t="str">
            <v>not neg pair</v>
          </cell>
          <cell r="W8565">
            <v>0</v>
          </cell>
          <cell r="X8565" t="str">
            <v>0</v>
          </cell>
        </row>
        <row r="8566">
          <cell r="I8566" t="str">
            <v>sim</v>
          </cell>
          <cell r="V8566" t="str">
            <v>not neg pair</v>
          </cell>
          <cell r="W8566">
            <v>0</v>
          </cell>
          <cell r="X8566" t="str">
            <v>0</v>
          </cell>
        </row>
        <row r="8567">
          <cell r="I8567" t="str">
            <v>sim</v>
          </cell>
          <cell r="V8567" t="str">
            <v>not neg pair</v>
          </cell>
          <cell r="W8567">
            <v>0</v>
          </cell>
          <cell r="X8567" t="str">
            <v>0</v>
          </cell>
        </row>
        <row r="8568">
          <cell r="I8568" t="str">
            <v>sim</v>
          </cell>
          <cell r="V8568" t="str">
            <v>not neg pair</v>
          </cell>
          <cell r="W8568">
            <v>0</v>
          </cell>
          <cell r="X8568" t="str">
            <v>0</v>
          </cell>
        </row>
        <row r="8569">
          <cell r="I8569" t="str">
            <v>sim</v>
          </cell>
          <cell r="V8569" t="str">
            <v>not neg pair</v>
          </cell>
          <cell r="W8569">
            <v>0</v>
          </cell>
          <cell r="X8569" t="str">
            <v>0</v>
          </cell>
        </row>
        <row r="8570">
          <cell r="I8570" t="str">
            <v>met</v>
          </cell>
          <cell r="V8570" t="str">
            <v>0</v>
          </cell>
          <cell r="W8570">
            <v>0</v>
          </cell>
          <cell r="X8570" t="str">
            <v>0</v>
          </cell>
        </row>
        <row r="8571">
          <cell r="I8571" t="str">
            <v>met</v>
          </cell>
          <cell r="V8571" t="str">
            <v>0</v>
          </cell>
          <cell r="W8571">
            <v>0</v>
          </cell>
          <cell r="X8571" t="str">
            <v>0</v>
          </cell>
        </row>
        <row r="8572">
          <cell r="I8572" t="str">
            <v>sim</v>
          </cell>
          <cell r="V8572" t="str">
            <v>not</v>
          </cell>
          <cell r="W8572">
            <v>1</v>
          </cell>
          <cell r="X8572" t="str">
            <v>intens</v>
          </cell>
        </row>
        <row r="8573">
          <cell r="I8573" t="str">
            <v>sim</v>
          </cell>
          <cell r="V8573" t="str">
            <v>not</v>
          </cell>
          <cell r="W8573">
            <v>1</v>
          </cell>
          <cell r="X8573" t="str">
            <v>neg</v>
          </cell>
        </row>
        <row r="8574">
          <cell r="I8574" t="str">
            <v>sim</v>
          </cell>
          <cell r="V8574" t="str">
            <v>not</v>
          </cell>
          <cell r="W8574">
            <v>1</v>
          </cell>
          <cell r="X8574" t="str">
            <v>intens</v>
          </cell>
        </row>
        <row r="8575">
          <cell r="I8575" t="str">
            <v>sim</v>
          </cell>
          <cell r="V8575" t="str">
            <v>not</v>
          </cell>
          <cell r="W8575">
            <v>1</v>
          </cell>
          <cell r="X8575" t="str">
            <v>neg</v>
          </cell>
        </row>
        <row r="8576">
          <cell r="I8576" t="str">
            <v>sim</v>
          </cell>
          <cell r="V8576" t="str">
            <v>not neg pair</v>
          </cell>
          <cell r="W8576">
            <v>0</v>
          </cell>
          <cell r="X8576" t="str">
            <v>0</v>
          </cell>
        </row>
        <row r="8577">
          <cell r="I8577" t="str">
            <v>sim</v>
          </cell>
          <cell r="V8577" t="str">
            <v>not neg pair</v>
          </cell>
          <cell r="W8577">
            <v>0</v>
          </cell>
          <cell r="X8577" t="str">
            <v>0</v>
          </cell>
        </row>
        <row r="8578">
          <cell r="I8578" t="str">
            <v>sim</v>
          </cell>
          <cell r="V8578" t="str">
            <v>not</v>
          </cell>
          <cell r="W8578">
            <v>1</v>
          </cell>
          <cell r="X8578" t="str">
            <v>neg</v>
          </cell>
        </row>
        <row r="8579">
          <cell r="I8579" t="str">
            <v>sim</v>
          </cell>
          <cell r="V8579" t="str">
            <v>not</v>
          </cell>
          <cell r="W8579">
            <v>1</v>
          </cell>
          <cell r="X8579" t="str">
            <v>intens</v>
          </cell>
        </row>
        <row r="8580">
          <cell r="I8580" t="str">
            <v>sim</v>
          </cell>
          <cell r="V8580" t="str">
            <v>not neg pair</v>
          </cell>
          <cell r="W8580">
            <v>0</v>
          </cell>
          <cell r="X8580" t="str">
            <v>0</v>
          </cell>
        </row>
        <row r="8581">
          <cell r="I8581" t="str">
            <v>sim</v>
          </cell>
          <cell r="V8581" t="str">
            <v>not neg pair</v>
          </cell>
          <cell r="W8581">
            <v>0</v>
          </cell>
          <cell r="X8581" t="str">
            <v>0</v>
          </cell>
        </row>
        <row r="8582">
          <cell r="I8582" t="str">
            <v>sim</v>
          </cell>
          <cell r="V8582" t="str">
            <v>not neg pair</v>
          </cell>
          <cell r="W8582">
            <v>0</v>
          </cell>
          <cell r="X8582" t="str">
            <v>0</v>
          </cell>
        </row>
        <row r="8583">
          <cell r="I8583" t="str">
            <v>sim</v>
          </cell>
          <cell r="V8583" t="str">
            <v>not neg pair</v>
          </cell>
          <cell r="W8583">
            <v>0</v>
          </cell>
          <cell r="X8583" t="str">
            <v>0</v>
          </cell>
        </row>
        <row r="8584">
          <cell r="I8584" t="str">
            <v>sim</v>
          </cell>
          <cell r="V8584" t="str">
            <v>not neg pair</v>
          </cell>
          <cell r="W8584">
            <v>0</v>
          </cell>
          <cell r="X8584" t="str">
            <v>0</v>
          </cell>
        </row>
        <row r="8585">
          <cell r="I8585" t="str">
            <v>sim</v>
          </cell>
          <cell r="V8585" t="str">
            <v>not neg pair</v>
          </cell>
          <cell r="W8585">
            <v>0</v>
          </cell>
          <cell r="X8585" t="str">
            <v>0</v>
          </cell>
        </row>
        <row r="8586">
          <cell r="I8586" t="str">
            <v>sim</v>
          </cell>
          <cell r="V8586" t="str">
            <v>not neg pair</v>
          </cell>
          <cell r="W8586">
            <v>0</v>
          </cell>
          <cell r="X8586" t="str">
            <v>0</v>
          </cell>
        </row>
        <row r="8587">
          <cell r="I8587" t="str">
            <v>sim</v>
          </cell>
          <cell r="V8587" t="str">
            <v>not neg pair</v>
          </cell>
          <cell r="W8587">
            <v>0</v>
          </cell>
          <cell r="X8587" t="str">
            <v>0</v>
          </cell>
        </row>
        <row r="8588">
          <cell r="I8588" t="str">
            <v>sim</v>
          </cell>
          <cell r="V8588" t="str">
            <v>not neg pair</v>
          </cell>
          <cell r="W8588">
            <v>0</v>
          </cell>
          <cell r="X8588" t="str">
            <v>0</v>
          </cell>
        </row>
        <row r="8589">
          <cell r="I8589" t="str">
            <v>sim</v>
          </cell>
          <cell r="V8589" t="str">
            <v>not neg pair</v>
          </cell>
          <cell r="W8589">
            <v>0</v>
          </cell>
          <cell r="X8589" t="str">
            <v>0</v>
          </cell>
        </row>
        <row r="8590">
          <cell r="I8590" t="str">
            <v>sim</v>
          </cell>
          <cell r="V8590" t="str">
            <v>not neg pair</v>
          </cell>
          <cell r="W8590">
            <v>0</v>
          </cell>
          <cell r="X8590" t="str">
            <v>0</v>
          </cell>
        </row>
        <row r="8591">
          <cell r="I8591" t="str">
            <v>sim</v>
          </cell>
          <cell r="V8591" t="str">
            <v>not neg pair</v>
          </cell>
          <cell r="W8591">
            <v>0</v>
          </cell>
          <cell r="X8591" t="str">
            <v>0</v>
          </cell>
        </row>
        <row r="8592">
          <cell r="I8592" t="str">
            <v>met</v>
          </cell>
          <cell r="V8592" t="str">
            <v>0</v>
          </cell>
          <cell r="W8592">
            <v>0</v>
          </cell>
          <cell r="X8592" t="str">
            <v>0</v>
          </cell>
        </row>
        <row r="8593">
          <cell r="I8593" t="str">
            <v>met</v>
          </cell>
          <cell r="V8593" t="str">
            <v>0</v>
          </cell>
          <cell r="W8593">
            <v>0</v>
          </cell>
          <cell r="X8593" t="str">
            <v>0</v>
          </cell>
        </row>
        <row r="8594">
          <cell r="I8594" t="str">
            <v>sim</v>
          </cell>
          <cell r="V8594" t="str">
            <v>antonym</v>
          </cell>
          <cell r="W8594">
            <v>1</v>
          </cell>
          <cell r="X8594" t="str">
            <v>intens</v>
          </cell>
        </row>
        <row r="8595">
          <cell r="I8595" t="str">
            <v>sim</v>
          </cell>
          <cell r="V8595" t="str">
            <v>antonym</v>
          </cell>
          <cell r="W8595">
            <v>1</v>
          </cell>
          <cell r="X8595" t="str">
            <v>neg</v>
          </cell>
        </row>
        <row r="8596">
          <cell r="I8596" t="str">
            <v>sim</v>
          </cell>
          <cell r="V8596" t="str">
            <v>not</v>
          </cell>
          <cell r="W8596">
            <v>1</v>
          </cell>
          <cell r="X8596" t="str">
            <v>intens</v>
          </cell>
        </row>
        <row r="8597">
          <cell r="I8597" t="str">
            <v>sim</v>
          </cell>
          <cell r="V8597" t="str">
            <v>not</v>
          </cell>
          <cell r="W8597">
            <v>1</v>
          </cell>
          <cell r="X8597" t="str">
            <v>neg</v>
          </cell>
        </row>
        <row r="8598">
          <cell r="I8598" t="str">
            <v>sim</v>
          </cell>
          <cell r="V8598" t="str">
            <v>not</v>
          </cell>
          <cell r="W8598">
            <v>1</v>
          </cell>
          <cell r="X8598" t="str">
            <v>intens</v>
          </cell>
        </row>
        <row r="8599">
          <cell r="I8599" t="str">
            <v>sim</v>
          </cell>
          <cell r="V8599" t="str">
            <v>not</v>
          </cell>
          <cell r="W8599">
            <v>1</v>
          </cell>
          <cell r="X8599" t="str">
            <v>neg</v>
          </cell>
        </row>
        <row r="8600">
          <cell r="I8600" t="str">
            <v>sim</v>
          </cell>
          <cell r="V8600" t="str">
            <v>not neg pair</v>
          </cell>
          <cell r="W8600">
            <v>0</v>
          </cell>
          <cell r="X8600" t="str">
            <v>0</v>
          </cell>
        </row>
        <row r="8601">
          <cell r="I8601" t="str">
            <v>sim</v>
          </cell>
          <cell r="V8601" t="str">
            <v>not neg pair</v>
          </cell>
          <cell r="W8601">
            <v>0</v>
          </cell>
          <cell r="X8601" t="str">
            <v>0</v>
          </cell>
        </row>
        <row r="8602">
          <cell r="I8602" t="str">
            <v>sim</v>
          </cell>
          <cell r="V8602" t="str">
            <v>not</v>
          </cell>
          <cell r="W8602">
            <v>1</v>
          </cell>
          <cell r="X8602" t="str">
            <v>neg</v>
          </cell>
        </row>
        <row r="8603">
          <cell r="I8603" t="str">
            <v>sim</v>
          </cell>
          <cell r="V8603" t="str">
            <v>not</v>
          </cell>
          <cell r="W8603">
            <v>1</v>
          </cell>
          <cell r="X8603" t="str">
            <v>intens</v>
          </cell>
        </row>
        <row r="8604">
          <cell r="I8604" t="str">
            <v>sim</v>
          </cell>
          <cell r="V8604" t="str">
            <v>not</v>
          </cell>
          <cell r="W8604">
            <v>1</v>
          </cell>
          <cell r="X8604" t="str">
            <v>neg</v>
          </cell>
        </row>
        <row r="8605">
          <cell r="I8605" t="str">
            <v>sim</v>
          </cell>
          <cell r="V8605" t="str">
            <v>not</v>
          </cell>
          <cell r="W8605">
            <v>1</v>
          </cell>
          <cell r="X8605" t="str">
            <v>intens</v>
          </cell>
        </row>
        <row r="8606">
          <cell r="I8606" t="str">
            <v>sim</v>
          </cell>
          <cell r="V8606" t="str">
            <v>not</v>
          </cell>
          <cell r="W8606">
            <v>1</v>
          </cell>
          <cell r="X8606" t="str">
            <v>intens</v>
          </cell>
        </row>
        <row r="8607">
          <cell r="I8607" t="str">
            <v>sim</v>
          </cell>
          <cell r="V8607" t="str">
            <v>not</v>
          </cell>
          <cell r="W8607">
            <v>1</v>
          </cell>
          <cell r="X8607" t="str">
            <v>neg</v>
          </cell>
        </row>
        <row r="8608">
          <cell r="I8608" t="str">
            <v>sim</v>
          </cell>
          <cell r="V8608" t="str">
            <v>not neg pair</v>
          </cell>
          <cell r="W8608">
            <v>0</v>
          </cell>
          <cell r="X8608" t="str">
            <v>0</v>
          </cell>
        </row>
        <row r="8609">
          <cell r="I8609" t="str">
            <v>sim</v>
          </cell>
          <cell r="V8609" t="str">
            <v>not neg pair</v>
          </cell>
          <cell r="W8609">
            <v>0</v>
          </cell>
          <cell r="X8609" t="str">
            <v>0</v>
          </cell>
        </row>
        <row r="8610">
          <cell r="I8610" t="str">
            <v>sim</v>
          </cell>
          <cell r="V8610" t="str">
            <v>not neg pair</v>
          </cell>
          <cell r="W8610">
            <v>0</v>
          </cell>
          <cell r="X8610" t="str">
            <v>0</v>
          </cell>
        </row>
        <row r="8611">
          <cell r="I8611" t="str">
            <v>sim</v>
          </cell>
          <cell r="V8611" t="str">
            <v>not neg pair</v>
          </cell>
          <cell r="W8611">
            <v>0</v>
          </cell>
          <cell r="X8611" t="str">
            <v>0</v>
          </cell>
        </row>
        <row r="8612">
          <cell r="I8612" t="str">
            <v>sim</v>
          </cell>
          <cell r="V8612" t="str">
            <v>not neg pair</v>
          </cell>
          <cell r="W8612">
            <v>0</v>
          </cell>
          <cell r="X8612" t="str">
            <v>0</v>
          </cell>
        </row>
        <row r="8613">
          <cell r="I8613" t="str">
            <v>sim</v>
          </cell>
          <cell r="V8613" t="str">
            <v>not neg pair</v>
          </cell>
          <cell r="W8613">
            <v>0</v>
          </cell>
          <cell r="X8613" t="str">
            <v>0</v>
          </cell>
        </row>
        <row r="8614">
          <cell r="I8614" t="str">
            <v>sim</v>
          </cell>
          <cell r="V8614" t="str">
            <v>not</v>
          </cell>
          <cell r="W8614">
            <v>1</v>
          </cell>
          <cell r="X8614" t="str">
            <v>neg</v>
          </cell>
        </row>
        <row r="8615">
          <cell r="I8615" t="str">
            <v>sim</v>
          </cell>
          <cell r="V8615" t="str">
            <v>not</v>
          </cell>
          <cell r="W8615">
            <v>1</v>
          </cell>
          <cell r="X8615" t="str">
            <v>intens</v>
          </cell>
        </row>
        <row r="8616">
          <cell r="I8616" t="str">
            <v>sim</v>
          </cell>
          <cell r="V8616" t="str">
            <v>not neg pair</v>
          </cell>
          <cell r="W8616">
            <v>0</v>
          </cell>
          <cell r="X8616" t="str">
            <v>0</v>
          </cell>
        </row>
        <row r="8617">
          <cell r="I8617" t="str">
            <v>sim</v>
          </cell>
          <cell r="V8617" t="str">
            <v>not neg pair</v>
          </cell>
          <cell r="W8617">
            <v>0</v>
          </cell>
          <cell r="X8617" t="str">
            <v>0</v>
          </cell>
        </row>
        <row r="8618">
          <cell r="I8618" t="str">
            <v>sim</v>
          </cell>
          <cell r="V8618" t="str">
            <v>not neg pair</v>
          </cell>
          <cell r="W8618">
            <v>0</v>
          </cell>
          <cell r="X8618" t="str">
            <v>0</v>
          </cell>
        </row>
        <row r="8619">
          <cell r="I8619" t="str">
            <v>sim</v>
          </cell>
          <cell r="V8619" t="str">
            <v>not neg pair</v>
          </cell>
          <cell r="W8619">
            <v>0</v>
          </cell>
          <cell r="X8619" t="str">
            <v>0</v>
          </cell>
        </row>
        <row r="8620">
          <cell r="I8620" t="str">
            <v>sim</v>
          </cell>
          <cell r="V8620" t="str">
            <v>not neg pair</v>
          </cell>
          <cell r="W8620">
            <v>0</v>
          </cell>
          <cell r="X8620" t="str">
            <v>0</v>
          </cell>
        </row>
        <row r="8621">
          <cell r="I8621" t="str">
            <v>sim</v>
          </cell>
          <cell r="V8621" t="str">
            <v>not neg pair</v>
          </cell>
          <cell r="W8621">
            <v>0</v>
          </cell>
          <cell r="X8621" t="str">
            <v>0</v>
          </cell>
        </row>
        <row r="8622">
          <cell r="I8622" t="str">
            <v>sim</v>
          </cell>
          <cell r="V8622" t="str">
            <v>not neg pair</v>
          </cell>
          <cell r="W8622">
            <v>0</v>
          </cell>
          <cell r="X8622" t="str">
            <v>0</v>
          </cell>
        </row>
        <row r="8623">
          <cell r="I8623" t="str">
            <v>sim</v>
          </cell>
          <cell r="V8623" t="str">
            <v>not neg pair</v>
          </cell>
          <cell r="W8623">
            <v>0</v>
          </cell>
          <cell r="X8623" t="str">
            <v>0</v>
          </cell>
        </row>
        <row r="8624">
          <cell r="I8624" t="str">
            <v>sim</v>
          </cell>
          <cell r="V8624" t="str">
            <v>not neg pair</v>
          </cell>
          <cell r="W8624">
            <v>0</v>
          </cell>
          <cell r="X8624" t="str">
            <v>0</v>
          </cell>
        </row>
        <row r="8625">
          <cell r="I8625" t="str">
            <v>sim</v>
          </cell>
          <cell r="V8625" t="str">
            <v>not neg pair</v>
          </cell>
          <cell r="W8625">
            <v>0</v>
          </cell>
          <cell r="X8625" t="str">
            <v>0</v>
          </cell>
        </row>
        <row r="8626">
          <cell r="I8626" t="str">
            <v>sim</v>
          </cell>
          <cell r="V8626" t="str">
            <v>not neg pair</v>
          </cell>
          <cell r="W8626">
            <v>0</v>
          </cell>
          <cell r="X8626" t="str">
            <v>0</v>
          </cell>
        </row>
        <row r="8627">
          <cell r="I8627" t="str">
            <v>sim</v>
          </cell>
          <cell r="V8627" t="str">
            <v>not neg pair</v>
          </cell>
          <cell r="W8627">
            <v>0</v>
          </cell>
          <cell r="X8627" t="str">
            <v>0</v>
          </cell>
        </row>
        <row r="8628">
          <cell r="I8628" t="str">
            <v>sim</v>
          </cell>
          <cell r="V8628" t="str">
            <v>not neg pair</v>
          </cell>
          <cell r="W8628">
            <v>0</v>
          </cell>
          <cell r="X8628" t="str">
            <v>0</v>
          </cell>
        </row>
        <row r="8629">
          <cell r="I8629" t="str">
            <v>met</v>
          </cell>
          <cell r="V8629" t="str">
            <v>0</v>
          </cell>
          <cell r="W8629">
            <v>0</v>
          </cell>
          <cell r="X8629" t="str">
            <v>0</v>
          </cell>
        </row>
        <row r="8630">
          <cell r="I8630" t="str">
            <v>met</v>
          </cell>
          <cell r="V8630" t="str">
            <v>0</v>
          </cell>
          <cell r="W8630">
            <v>0</v>
          </cell>
          <cell r="X8630" t="str">
            <v>0</v>
          </cell>
        </row>
        <row r="8631">
          <cell r="I8631" t="str">
            <v>met</v>
          </cell>
          <cell r="V8631" t="str">
            <v>0</v>
          </cell>
          <cell r="W8631">
            <v>0</v>
          </cell>
          <cell r="X8631" t="str">
            <v>0</v>
          </cell>
        </row>
        <row r="8632">
          <cell r="I8632" t="str">
            <v>sim</v>
          </cell>
          <cell r="V8632" t="str">
            <v>not neg pair</v>
          </cell>
          <cell r="W8632">
            <v>0</v>
          </cell>
          <cell r="X8632" t="str">
            <v>0</v>
          </cell>
        </row>
        <row r="8633">
          <cell r="I8633" t="str">
            <v>sim</v>
          </cell>
          <cell r="V8633" t="str">
            <v>not neg pair</v>
          </cell>
          <cell r="W8633">
            <v>0</v>
          </cell>
          <cell r="X8633" t="str">
            <v>0</v>
          </cell>
        </row>
        <row r="8634">
          <cell r="I8634" t="str">
            <v>sim</v>
          </cell>
          <cell r="V8634" t="str">
            <v>not neg pair</v>
          </cell>
          <cell r="W8634">
            <v>0</v>
          </cell>
          <cell r="X8634" t="str">
            <v>0</v>
          </cell>
        </row>
        <row r="8635">
          <cell r="I8635" t="str">
            <v>sim</v>
          </cell>
          <cell r="V8635" t="str">
            <v>not neg pair</v>
          </cell>
          <cell r="W8635">
            <v>0</v>
          </cell>
          <cell r="X8635" t="str">
            <v>0</v>
          </cell>
        </row>
        <row r="8636">
          <cell r="I8636" t="str">
            <v>sim</v>
          </cell>
          <cell r="V8636" t="str">
            <v>not neg pair</v>
          </cell>
          <cell r="W8636">
            <v>0</v>
          </cell>
          <cell r="X8636" t="str">
            <v>0</v>
          </cell>
        </row>
        <row r="8637">
          <cell r="I8637" t="str">
            <v>sim</v>
          </cell>
          <cell r="V8637" t="str">
            <v>not neg pair</v>
          </cell>
          <cell r="W8637">
            <v>0</v>
          </cell>
          <cell r="X8637" t="str">
            <v>0</v>
          </cell>
        </row>
        <row r="8638">
          <cell r="I8638" t="str">
            <v>sim</v>
          </cell>
          <cell r="V8638" t="str">
            <v>not neg pair</v>
          </cell>
          <cell r="W8638">
            <v>0</v>
          </cell>
          <cell r="X8638" t="str">
            <v>0</v>
          </cell>
        </row>
        <row r="8639">
          <cell r="I8639" t="str">
            <v>sim</v>
          </cell>
          <cell r="V8639" t="str">
            <v>not neg pair</v>
          </cell>
          <cell r="W8639">
            <v>0</v>
          </cell>
          <cell r="X8639" t="str">
            <v>0</v>
          </cell>
        </row>
        <row r="8640">
          <cell r="I8640" t="str">
            <v>sim</v>
          </cell>
          <cell r="V8640" t="str">
            <v>not neg pair</v>
          </cell>
          <cell r="W8640">
            <v>0</v>
          </cell>
          <cell r="X8640" t="str">
            <v>0</v>
          </cell>
        </row>
        <row r="8641">
          <cell r="I8641" t="str">
            <v>sim</v>
          </cell>
          <cell r="V8641" t="str">
            <v>not neg pair</v>
          </cell>
          <cell r="W8641">
            <v>0</v>
          </cell>
          <cell r="X8641" t="str">
            <v>0</v>
          </cell>
        </row>
        <row r="8642">
          <cell r="I8642" t="str">
            <v>sim</v>
          </cell>
          <cell r="V8642" t="str">
            <v>not neg pair</v>
          </cell>
          <cell r="W8642">
            <v>0</v>
          </cell>
          <cell r="X8642" t="str">
            <v>0</v>
          </cell>
        </row>
        <row r="8643">
          <cell r="I8643" t="str">
            <v>sim</v>
          </cell>
          <cell r="V8643" t="str">
            <v>not neg pair</v>
          </cell>
          <cell r="W8643">
            <v>0</v>
          </cell>
          <cell r="X8643" t="str">
            <v>0</v>
          </cell>
        </row>
        <row r="8644">
          <cell r="I8644" t="str">
            <v>sim</v>
          </cell>
          <cell r="V8644" t="str">
            <v>not neg pair</v>
          </cell>
          <cell r="W8644">
            <v>0</v>
          </cell>
          <cell r="X8644" t="str">
            <v>0</v>
          </cell>
        </row>
        <row r="8645">
          <cell r="I8645" t="str">
            <v>sim</v>
          </cell>
          <cell r="V8645" t="str">
            <v>not neg pair</v>
          </cell>
          <cell r="W8645">
            <v>0</v>
          </cell>
          <cell r="X8645" t="str">
            <v>0</v>
          </cell>
        </row>
        <row r="8646">
          <cell r="I8646" t="str">
            <v>sim</v>
          </cell>
          <cell r="V8646" t="str">
            <v>not neg pair</v>
          </cell>
          <cell r="W8646">
            <v>0</v>
          </cell>
          <cell r="X8646" t="str">
            <v>0</v>
          </cell>
        </row>
        <row r="8647">
          <cell r="I8647" t="str">
            <v>sim</v>
          </cell>
          <cell r="V8647" t="str">
            <v>not neg pair</v>
          </cell>
          <cell r="W8647">
            <v>0</v>
          </cell>
          <cell r="X8647" t="str">
            <v>0</v>
          </cell>
        </row>
        <row r="8648">
          <cell r="I8648" t="str">
            <v>sim</v>
          </cell>
          <cell r="V8648" t="str">
            <v>not neg pair</v>
          </cell>
          <cell r="W8648">
            <v>0</v>
          </cell>
          <cell r="X8648" t="str">
            <v>0</v>
          </cell>
        </row>
        <row r="8649">
          <cell r="I8649" t="str">
            <v>sim</v>
          </cell>
          <cell r="V8649" t="str">
            <v>not neg pair</v>
          </cell>
          <cell r="W8649">
            <v>0</v>
          </cell>
          <cell r="X8649" t="str">
            <v>0</v>
          </cell>
        </row>
        <row r="8650">
          <cell r="I8650" t="str">
            <v>met</v>
          </cell>
          <cell r="V8650" t="str">
            <v>0</v>
          </cell>
          <cell r="W8650">
            <v>0</v>
          </cell>
          <cell r="X8650" t="str">
            <v>0</v>
          </cell>
        </row>
        <row r="8651">
          <cell r="I8651" t="str">
            <v>met</v>
          </cell>
          <cell r="V8651" t="str">
            <v>0</v>
          </cell>
          <cell r="W8651">
            <v>0</v>
          </cell>
          <cell r="X8651" t="str">
            <v>0</v>
          </cell>
        </row>
        <row r="8652">
          <cell r="I8652" t="str">
            <v>sim</v>
          </cell>
          <cell r="V8652" t="str">
            <v>not neg pair</v>
          </cell>
          <cell r="W8652">
            <v>0</v>
          </cell>
          <cell r="X8652" t="str">
            <v>0</v>
          </cell>
        </row>
        <row r="8653">
          <cell r="I8653" t="str">
            <v>sim</v>
          </cell>
          <cell r="V8653" t="str">
            <v>not neg pair</v>
          </cell>
          <cell r="W8653">
            <v>0</v>
          </cell>
          <cell r="X8653" t="str">
            <v>0</v>
          </cell>
        </row>
        <row r="8654">
          <cell r="I8654" t="str">
            <v>sim</v>
          </cell>
          <cell r="V8654" t="str">
            <v>not neg pair</v>
          </cell>
          <cell r="W8654">
            <v>0</v>
          </cell>
          <cell r="X8654" t="str">
            <v>0</v>
          </cell>
        </row>
        <row r="8655">
          <cell r="I8655" t="str">
            <v>sim</v>
          </cell>
          <cell r="V8655" t="str">
            <v>not neg pair</v>
          </cell>
          <cell r="W8655">
            <v>0</v>
          </cell>
          <cell r="X8655" t="str">
            <v>0</v>
          </cell>
        </row>
        <row r="8656">
          <cell r="I8656" t="str">
            <v>met</v>
          </cell>
          <cell r="V8656" t="str">
            <v>0</v>
          </cell>
          <cell r="W8656">
            <v>0</v>
          </cell>
          <cell r="X8656" t="str">
            <v>0</v>
          </cell>
        </row>
        <row r="8657">
          <cell r="I8657" t="str">
            <v>met</v>
          </cell>
          <cell r="V8657" t="str">
            <v>0</v>
          </cell>
          <cell r="W8657">
            <v>0</v>
          </cell>
          <cell r="X8657" t="str">
            <v>0</v>
          </cell>
        </row>
        <row r="8658">
          <cell r="I8658" t="str">
            <v>sim</v>
          </cell>
          <cell r="V8658" t="str">
            <v>not</v>
          </cell>
          <cell r="W8658">
            <v>1</v>
          </cell>
          <cell r="X8658" t="str">
            <v>intens</v>
          </cell>
        </row>
        <row r="8659">
          <cell r="I8659" t="str">
            <v>sim</v>
          </cell>
          <cell r="V8659" t="str">
            <v>not</v>
          </cell>
          <cell r="W8659">
            <v>1</v>
          </cell>
          <cell r="X8659" t="str">
            <v>neg</v>
          </cell>
        </row>
        <row r="8660">
          <cell r="I8660" t="str">
            <v>sim</v>
          </cell>
          <cell r="V8660" t="str">
            <v>not neg pair</v>
          </cell>
          <cell r="W8660">
            <v>0</v>
          </cell>
          <cell r="X8660" t="str">
            <v>0</v>
          </cell>
        </row>
        <row r="8661">
          <cell r="I8661" t="str">
            <v>sim</v>
          </cell>
          <cell r="V8661" t="str">
            <v>not neg pair</v>
          </cell>
          <cell r="W8661">
            <v>0</v>
          </cell>
          <cell r="X8661" t="str">
            <v>0</v>
          </cell>
        </row>
        <row r="8662">
          <cell r="I8662" t="str">
            <v>sim</v>
          </cell>
          <cell r="V8662" t="str">
            <v>antonym</v>
          </cell>
          <cell r="W8662">
            <v>1</v>
          </cell>
          <cell r="X8662" t="str">
            <v>intens</v>
          </cell>
        </row>
        <row r="8663">
          <cell r="I8663" t="str">
            <v>sim</v>
          </cell>
          <cell r="V8663" t="str">
            <v>antonym</v>
          </cell>
          <cell r="W8663">
            <v>1</v>
          </cell>
          <cell r="X8663" t="str">
            <v>neg</v>
          </cell>
        </row>
        <row r="8664">
          <cell r="I8664" t="str">
            <v>sim</v>
          </cell>
          <cell r="V8664" t="str">
            <v>not</v>
          </cell>
          <cell r="W8664">
            <v>1</v>
          </cell>
          <cell r="X8664" t="str">
            <v>neg</v>
          </cell>
        </row>
        <row r="8665">
          <cell r="I8665" t="str">
            <v>sim</v>
          </cell>
          <cell r="V8665" t="str">
            <v>not</v>
          </cell>
          <cell r="W8665">
            <v>1</v>
          </cell>
          <cell r="X8665" t="str">
            <v>intens</v>
          </cell>
        </row>
        <row r="8666">
          <cell r="I8666" t="str">
            <v>met</v>
          </cell>
          <cell r="V8666" t="str">
            <v>0</v>
          </cell>
          <cell r="W8666">
            <v>0</v>
          </cell>
          <cell r="X8666" t="str">
            <v>0</v>
          </cell>
        </row>
        <row r="8667">
          <cell r="I8667" t="str">
            <v>met</v>
          </cell>
          <cell r="V8667" t="str">
            <v>0</v>
          </cell>
          <cell r="W8667">
            <v>0</v>
          </cell>
          <cell r="X8667" t="str">
            <v>0</v>
          </cell>
        </row>
        <row r="8668">
          <cell r="I8668" t="str">
            <v>met</v>
          </cell>
          <cell r="V8668" t="str">
            <v>0</v>
          </cell>
          <cell r="W8668">
            <v>0</v>
          </cell>
          <cell r="X8668" t="str">
            <v>0</v>
          </cell>
        </row>
        <row r="8669">
          <cell r="I8669" t="str">
            <v>met</v>
          </cell>
          <cell r="V8669" t="str">
            <v>0</v>
          </cell>
          <cell r="W8669">
            <v>0</v>
          </cell>
          <cell r="X8669" t="str">
            <v>0</v>
          </cell>
        </row>
        <row r="8670">
          <cell r="I8670" t="str">
            <v>sim</v>
          </cell>
          <cell r="V8670" t="str">
            <v>not</v>
          </cell>
          <cell r="W8670">
            <v>1</v>
          </cell>
          <cell r="X8670" t="str">
            <v>intens</v>
          </cell>
        </row>
        <row r="8671">
          <cell r="I8671" t="str">
            <v>sim</v>
          </cell>
          <cell r="V8671" t="str">
            <v>not</v>
          </cell>
          <cell r="W8671">
            <v>1</v>
          </cell>
          <cell r="X8671" t="str">
            <v>neg</v>
          </cell>
        </row>
        <row r="8672">
          <cell r="I8672" t="str">
            <v>sim</v>
          </cell>
          <cell r="V8672" t="str">
            <v>not neg pair</v>
          </cell>
          <cell r="W8672">
            <v>0</v>
          </cell>
          <cell r="X8672" t="str">
            <v>0</v>
          </cell>
        </row>
        <row r="8673">
          <cell r="I8673" t="str">
            <v>sim</v>
          </cell>
          <cell r="V8673" t="str">
            <v>not neg pair</v>
          </cell>
          <cell r="W8673">
            <v>0</v>
          </cell>
          <cell r="X8673" t="str">
            <v>0</v>
          </cell>
        </row>
        <row r="8674">
          <cell r="I8674" t="str">
            <v>sim</v>
          </cell>
          <cell r="V8674" t="str">
            <v>not neg pair</v>
          </cell>
          <cell r="W8674">
            <v>0</v>
          </cell>
          <cell r="X8674" t="str">
            <v>0</v>
          </cell>
        </row>
        <row r="8675">
          <cell r="I8675" t="str">
            <v>sim</v>
          </cell>
          <cell r="V8675" t="str">
            <v>not neg pair</v>
          </cell>
          <cell r="W8675">
            <v>0</v>
          </cell>
          <cell r="X8675" t="str">
            <v>0</v>
          </cell>
        </row>
        <row r="8676">
          <cell r="I8676" t="str">
            <v>sim</v>
          </cell>
          <cell r="V8676" t="str">
            <v>not neg pair</v>
          </cell>
          <cell r="W8676">
            <v>0</v>
          </cell>
          <cell r="X8676" t="str">
            <v>0</v>
          </cell>
        </row>
        <row r="8677">
          <cell r="I8677" t="str">
            <v>sim</v>
          </cell>
          <cell r="V8677" t="str">
            <v>not neg pair</v>
          </cell>
          <cell r="W8677">
            <v>0</v>
          </cell>
          <cell r="X8677" t="str">
            <v>0</v>
          </cell>
        </row>
        <row r="8678">
          <cell r="I8678" t="str">
            <v>sim</v>
          </cell>
          <cell r="V8678" t="str">
            <v>not neg pair</v>
          </cell>
          <cell r="W8678">
            <v>0</v>
          </cell>
          <cell r="X8678" t="str">
            <v>0</v>
          </cell>
        </row>
        <row r="8679">
          <cell r="I8679" t="str">
            <v>sim</v>
          </cell>
          <cell r="V8679" t="str">
            <v>not neg pair</v>
          </cell>
          <cell r="W8679">
            <v>0</v>
          </cell>
          <cell r="X8679" t="str">
            <v>0</v>
          </cell>
        </row>
        <row r="8680">
          <cell r="I8680" t="str">
            <v>sim</v>
          </cell>
          <cell r="V8680" t="str">
            <v>not neg pair</v>
          </cell>
          <cell r="W8680">
            <v>0</v>
          </cell>
          <cell r="X8680" t="str">
            <v>0</v>
          </cell>
        </row>
        <row r="8681">
          <cell r="I8681" t="str">
            <v>sim</v>
          </cell>
          <cell r="V8681" t="str">
            <v>not neg pair</v>
          </cell>
          <cell r="W8681">
            <v>0</v>
          </cell>
          <cell r="X8681" t="str">
            <v>0</v>
          </cell>
        </row>
        <row r="8682">
          <cell r="I8682" t="str">
            <v>sim</v>
          </cell>
          <cell r="V8682" t="str">
            <v>not</v>
          </cell>
          <cell r="W8682">
            <v>1</v>
          </cell>
          <cell r="X8682" t="str">
            <v>intens</v>
          </cell>
        </row>
        <row r="8683">
          <cell r="I8683" t="str">
            <v>sim</v>
          </cell>
          <cell r="V8683" t="str">
            <v>not</v>
          </cell>
          <cell r="W8683">
            <v>1</v>
          </cell>
          <cell r="X8683" t="str">
            <v>neg</v>
          </cell>
        </row>
        <row r="8684">
          <cell r="I8684" t="str">
            <v>sim</v>
          </cell>
          <cell r="V8684" t="str">
            <v>not</v>
          </cell>
          <cell r="W8684">
            <v>1</v>
          </cell>
          <cell r="X8684" t="str">
            <v>intens</v>
          </cell>
        </row>
        <row r="8685">
          <cell r="I8685" t="str">
            <v>sim</v>
          </cell>
          <cell r="V8685" t="str">
            <v>not</v>
          </cell>
          <cell r="W8685">
            <v>1</v>
          </cell>
          <cell r="X8685" t="str">
            <v>neg</v>
          </cell>
        </row>
        <row r="8686">
          <cell r="I8686" t="str">
            <v>sim</v>
          </cell>
          <cell r="V8686" t="str">
            <v>not</v>
          </cell>
          <cell r="W8686">
            <v>1</v>
          </cell>
          <cell r="X8686" t="str">
            <v>intens</v>
          </cell>
        </row>
        <row r="8687">
          <cell r="I8687" t="str">
            <v>sim</v>
          </cell>
          <cell r="V8687" t="str">
            <v>not</v>
          </cell>
          <cell r="W8687">
            <v>1</v>
          </cell>
          <cell r="X8687" t="str">
            <v>neg</v>
          </cell>
        </row>
        <row r="8688">
          <cell r="I8688" t="str">
            <v>sim</v>
          </cell>
          <cell r="V8688" t="str">
            <v>not</v>
          </cell>
          <cell r="W8688">
            <v>1</v>
          </cell>
          <cell r="X8688" t="str">
            <v>intens</v>
          </cell>
        </row>
        <row r="8689">
          <cell r="I8689" t="str">
            <v>sim</v>
          </cell>
          <cell r="V8689" t="str">
            <v>not</v>
          </cell>
          <cell r="W8689">
            <v>1</v>
          </cell>
          <cell r="X8689" t="str">
            <v>neg</v>
          </cell>
        </row>
        <row r="8690">
          <cell r="I8690" t="str">
            <v>sim</v>
          </cell>
          <cell r="V8690" t="str">
            <v>not neg pair</v>
          </cell>
          <cell r="W8690">
            <v>0</v>
          </cell>
          <cell r="X8690" t="str">
            <v>0</v>
          </cell>
        </row>
        <row r="8691">
          <cell r="I8691" t="str">
            <v>met</v>
          </cell>
          <cell r="V8691" t="str">
            <v>0</v>
          </cell>
          <cell r="W8691">
            <v>0</v>
          </cell>
          <cell r="X8691" t="str">
            <v>0</v>
          </cell>
        </row>
        <row r="8692">
          <cell r="I8692" t="str">
            <v>sim</v>
          </cell>
          <cell r="V8692" t="str">
            <v>not neg pair</v>
          </cell>
          <cell r="W8692">
            <v>0</v>
          </cell>
          <cell r="X8692" t="str">
            <v>0</v>
          </cell>
        </row>
        <row r="8693">
          <cell r="I8693" t="str">
            <v>sim</v>
          </cell>
          <cell r="V8693" t="str">
            <v>not neg pair</v>
          </cell>
          <cell r="W8693">
            <v>0</v>
          </cell>
          <cell r="X8693" t="str">
            <v>0</v>
          </cell>
        </row>
        <row r="8694">
          <cell r="I8694" t="str">
            <v>sim</v>
          </cell>
          <cell r="V8694" t="str">
            <v>not neg pair</v>
          </cell>
          <cell r="W8694">
            <v>0</v>
          </cell>
          <cell r="X8694" t="str">
            <v>0</v>
          </cell>
        </row>
        <row r="8695">
          <cell r="I8695" t="str">
            <v>sim</v>
          </cell>
          <cell r="V8695" t="str">
            <v>not neg pair</v>
          </cell>
          <cell r="W8695">
            <v>0</v>
          </cell>
          <cell r="X8695" t="str">
            <v>0</v>
          </cell>
        </row>
        <row r="8696">
          <cell r="I8696" t="str">
            <v>met</v>
          </cell>
          <cell r="V8696" t="str">
            <v>0</v>
          </cell>
          <cell r="W8696">
            <v>0</v>
          </cell>
          <cell r="X8696" t="str">
            <v>0</v>
          </cell>
        </row>
        <row r="8697">
          <cell r="I8697" t="str">
            <v>met</v>
          </cell>
          <cell r="V8697" t="str">
            <v>0</v>
          </cell>
          <cell r="W8697">
            <v>0</v>
          </cell>
          <cell r="X8697" t="str">
            <v>0</v>
          </cell>
        </row>
        <row r="8698">
          <cell r="I8698" t="str">
            <v>sim</v>
          </cell>
          <cell r="V8698" t="str">
            <v>not neg pair</v>
          </cell>
          <cell r="W8698">
            <v>0</v>
          </cell>
          <cell r="X8698" t="str">
            <v>0</v>
          </cell>
        </row>
        <row r="8699">
          <cell r="I8699" t="str">
            <v>sim</v>
          </cell>
          <cell r="V8699" t="str">
            <v>not neg pair</v>
          </cell>
          <cell r="W8699">
            <v>0</v>
          </cell>
          <cell r="X8699" t="str">
            <v>0</v>
          </cell>
        </row>
        <row r="8700">
          <cell r="I8700" t="str">
            <v>sim</v>
          </cell>
          <cell r="V8700" t="str">
            <v>antonym</v>
          </cell>
          <cell r="W8700">
            <v>1</v>
          </cell>
          <cell r="X8700" t="str">
            <v>intens</v>
          </cell>
        </row>
        <row r="8701">
          <cell r="I8701" t="str">
            <v>sim</v>
          </cell>
          <cell r="V8701" t="str">
            <v>antonym</v>
          </cell>
          <cell r="W8701">
            <v>1</v>
          </cell>
          <cell r="X8701" t="str">
            <v>neg</v>
          </cell>
        </row>
        <row r="8702">
          <cell r="I8702" t="str">
            <v>sim</v>
          </cell>
          <cell r="V8702" t="str">
            <v>not neg pair</v>
          </cell>
          <cell r="W8702">
            <v>0</v>
          </cell>
          <cell r="X8702" t="str">
            <v>0</v>
          </cell>
        </row>
        <row r="8703">
          <cell r="I8703" t="str">
            <v>sim</v>
          </cell>
          <cell r="V8703" t="str">
            <v>not neg pair</v>
          </cell>
          <cell r="W8703">
            <v>0</v>
          </cell>
          <cell r="X8703" t="str">
            <v>0</v>
          </cell>
        </row>
        <row r="8704">
          <cell r="I8704" t="str">
            <v>met</v>
          </cell>
          <cell r="V8704" t="str">
            <v>0</v>
          </cell>
          <cell r="W8704">
            <v>0</v>
          </cell>
          <cell r="X8704" t="str">
            <v>0</v>
          </cell>
        </row>
        <row r="8705">
          <cell r="I8705" t="str">
            <v>met</v>
          </cell>
          <cell r="V8705" t="str">
            <v>0</v>
          </cell>
          <cell r="W8705">
            <v>0</v>
          </cell>
          <cell r="X8705" t="str">
            <v>0</v>
          </cell>
        </row>
        <row r="8706">
          <cell r="I8706" t="str">
            <v>met</v>
          </cell>
          <cell r="V8706" t="str">
            <v>0</v>
          </cell>
          <cell r="W8706">
            <v>0</v>
          </cell>
          <cell r="X8706" t="str">
            <v>0</v>
          </cell>
        </row>
        <row r="8707">
          <cell r="I8707" t="str">
            <v>met</v>
          </cell>
          <cell r="V8707" t="str">
            <v>0</v>
          </cell>
          <cell r="W8707">
            <v>0</v>
          </cell>
          <cell r="X8707" t="str">
            <v>0</v>
          </cell>
        </row>
        <row r="8708">
          <cell r="I8708" t="str">
            <v>sim</v>
          </cell>
          <cell r="V8708" t="str">
            <v>antonym</v>
          </cell>
          <cell r="W8708">
            <v>1</v>
          </cell>
          <cell r="X8708" t="str">
            <v>intens</v>
          </cell>
        </row>
        <row r="8709">
          <cell r="I8709" t="str">
            <v>sim</v>
          </cell>
          <cell r="V8709" t="str">
            <v>antonym</v>
          </cell>
          <cell r="W8709">
            <v>1</v>
          </cell>
          <cell r="X8709" t="str">
            <v>neg</v>
          </cell>
        </row>
        <row r="8710">
          <cell r="I8710" t="str">
            <v>met</v>
          </cell>
          <cell r="V8710" t="str">
            <v>0</v>
          </cell>
          <cell r="W8710">
            <v>0</v>
          </cell>
          <cell r="X8710" t="str">
            <v>0</v>
          </cell>
        </row>
        <row r="8711">
          <cell r="I8711" t="str">
            <v>met</v>
          </cell>
          <cell r="V8711" t="str">
            <v>0</v>
          </cell>
          <cell r="W8711">
            <v>0</v>
          </cell>
          <cell r="X8711" t="str">
            <v>0</v>
          </cell>
        </row>
        <row r="8712">
          <cell r="I8712" t="str">
            <v>sim</v>
          </cell>
          <cell r="V8712" t="str">
            <v>not</v>
          </cell>
          <cell r="W8712">
            <v>1</v>
          </cell>
          <cell r="X8712" t="str">
            <v>neg</v>
          </cell>
        </row>
        <row r="8713">
          <cell r="I8713" t="str">
            <v>sim</v>
          </cell>
          <cell r="V8713" t="str">
            <v>not</v>
          </cell>
          <cell r="W8713">
            <v>1</v>
          </cell>
          <cell r="X8713" t="str">
            <v>intens</v>
          </cell>
        </row>
        <row r="8714">
          <cell r="I8714" t="str">
            <v>sim</v>
          </cell>
          <cell r="V8714" t="str">
            <v>not</v>
          </cell>
          <cell r="W8714">
            <v>1</v>
          </cell>
          <cell r="X8714" t="str">
            <v>intens</v>
          </cell>
        </row>
        <row r="8715">
          <cell r="I8715" t="str">
            <v>sim</v>
          </cell>
          <cell r="V8715" t="str">
            <v>not</v>
          </cell>
          <cell r="W8715">
            <v>1</v>
          </cell>
          <cell r="X8715" t="str">
            <v>neg</v>
          </cell>
        </row>
        <row r="8716">
          <cell r="I8716" t="str">
            <v>met</v>
          </cell>
          <cell r="V8716" t="str">
            <v>0</v>
          </cell>
          <cell r="W8716">
            <v>0</v>
          </cell>
          <cell r="X8716" t="str">
            <v>0</v>
          </cell>
        </row>
        <row r="8717">
          <cell r="I8717" t="str">
            <v>met</v>
          </cell>
          <cell r="V8717" t="str">
            <v>0</v>
          </cell>
          <cell r="W8717">
            <v>0</v>
          </cell>
          <cell r="X8717" t="str">
            <v>0</v>
          </cell>
        </row>
        <row r="8718">
          <cell r="I8718" t="str">
            <v>met</v>
          </cell>
          <cell r="V8718" t="str">
            <v>0</v>
          </cell>
          <cell r="W8718">
            <v>0</v>
          </cell>
          <cell r="X8718" t="str">
            <v>0</v>
          </cell>
        </row>
        <row r="8719">
          <cell r="I8719" t="str">
            <v>met</v>
          </cell>
          <cell r="V8719" t="str">
            <v>0</v>
          </cell>
          <cell r="W8719">
            <v>0</v>
          </cell>
          <cell r="X8719" t="str">
            <v>0</v>
          </cell>
        </row>
        <row r="8720">
          <cell r="I8720" t="str">
            <v>met</v>
          </cell>
          <cell r="V8720" t="str">
            <v>0</v>
          </cell>
          <cell r="W8720">
            <v>0</v>
          </cell>
          <cell r="X8720" t="str">
            <v>0</v>
          </cell>
        </row>
        <row r="8721">
          <cell r="I8721" t="str">
            <v>met</v>
          </cell>
          <cell r="V8721" t="str">
            <v>0</v>
          </cell>
          <cell r="W8721">
            <v>0</v>
          </cell>
          <cell r="X8721" t="str">
            <v>0</v>
          </cell>
        </row>
        <row r="8722">
          <cell r="I8722" t="str">
            <v>met</v>
          </cell>
          <cell r="V8722" t="str">
            <v>0</v>
          </cell>
          <cell r="W8722">
            <v>0</v>
          </cell>
          <cell r="X8722" t="str">
            <v>0</v>
          </cell>
        </row>
        <row r="8723">
          <cell r="I8723" t="str">
            <v>met</v>
          </cell>
          <cell r="V8723" t="str">
            <v>0</v>
          </cell>
          <cell r="W8723">
            <v>0</v>
          </cell>
          <cell r="X8723" t="str">
            <v>0</v>
          </cell>
        </row>
        <row r="8724">
          <cell r="I8724" t="str">
            <v>sim</v>
          </cell>
          <cell r="V8724" t="str">
            <v>not neg pair</v>
          </cell>
          <cell r="W8724">
            <v>0</v>
          </cell>
          <cell r="X8724" t="str">
            <v>0</v>
          </cell>
        </row>
        <row r="8725">
          <cell r="I8725" t="str">
            <v>sim</v>
          </cell>
          <cell r="V8725" t="str">
            <v>not neg pair</v>
          </cell>
          <cell r="W8725">
            <v>0</v>
          </cell>
          <cell r="X8725" t="str">
            <v>0</v>
          </cell>
        </row>
        <row r="8726">
          <cell r="I8726" t="str">
            <v>met</v>
          </cell>
          <cell r="V8726" t="str">
            <v>0</v>
          </cell>
          <cell r="W8726">
            <v>0</v>
          </cell>
          <cell r="X8726" t="str">
            <v>0</v>
          </cell>
        </row>
        <row r="8727">
          <cell r="I8727" t="str">
            <v>met</v>
          </cell>
          <cell r="V8727" t="str">
            <v>0</v>
          </cell>
          <cell r="W8727">
            <v>0</v>
          </cell>
          <cell r="X8727" t="str">
            <v>0</v>
          </cell>
        </row>
        <row r="8728">
          <cell r="I8728" t="str">
            <v>met</v>
          </cell>
          <cell r="V8728" t="str">
            <v>0</v>
          </cell>
          <cell r="W8728">
            <v>0</v>
          </cell>
          <cell r="X8728" t="str">
            <v>0</v>
          </cell>
        </row>
        <row r="8729">
          <cell r="I8729" t="str">
            <v>met</v>
          </cell>
          <cell r="V8729" t="str">
            <v>0</v>
          </cell>
          <cell r="W8729">
            <v>0</v>
          </cell>
          <cell r="X8729" t="str">
            <v>0</v>
          </cell>
        </row>
        <row r="8730">
          <cell r="I8730" t="str">
            <v>sim</v>
          </cell>
          <cell r="V8730" t="str">
            <v>not neg pair</v>
          </cell>
          <cell r="W8730">
            <v>0</v>
          </cell>
          <cell r="X8730" t="str">
            <v>0</v>
          </cell>
        </row>
        <row r="8731">
          <cell r="I8731" t="str">
            <v>sim</v>
          </cell>
          <cell r="V8731" t="str">
            <v>not neg pair</v>
          </cell>
          <cell r="W8731">
            <v>0</v>
          </cell>
          <cell r="X8731" t="str">
            <v>0</v>
          </cell>
        </row>
        <row r="8732">
          <cell r="I8732" t="str">
            <v>sim</v>
          </cell>
          <cell r="V8732" t="str">
            <v>not</v>
          </cell>
          <cell r="W8732">
            <v>1</v>
          </cell>
          <cell r="X8732" t="str">
            <v>intens</v>
          </cell>
        </row>
        <row r="8733">
          <cell r="I8733" t="str">
            <v>sim</v>
          </cell>
          <cell r="V8733" t="str">
            <v>not</v>
          </cell>
          <cell r="W8733">
            <v>1</v>
          </cell>
          <cell r="X8733" t="str">
            <v>neg</v>
          </cell>
        </row>
        <row r="8734">
          <cell r="I8734" t="str">
            <v>sim</v>
          </cell>
          <cell r="V8734" t="str">
            <v>not neg pair</v>
          </cell>
          <cell r="W8734">
            <v>0</v>
          </cell>
          <cell r="X8734" t="str">
            <v>0</v>
          </cell>
        </row>
        <row r="8735">
          <cell r="I8735" t="str">
            <v>sim</v>
          </cell>
          <cell r="V8735" t="str">
            <v>not neg pair</v>
          </cell>
          <cell r="W8735">
            <v>0</v>
          </cell>
          <cell r="X8735" t="str">
            <v>0</v>
          </cell>
        </row>
        <row r="8736">
          <cell r="I8736" t="str">
            <v>met</v>
          </cell>
          <cell r="V8736" t="str">
            <v>0</v>
          </cell>
          <cell r="W8736">
            <v>0</v>
          </cell>
          <cell r="X8736" t="str">
            <v>0</v>
          </cell>
        </row>
        <row r="8737">
          <cell r="I8737" t="str">
            <v>met</v>
          </cell>
          <cell r="V8737" t="str">
            <v>0</v>
          </cell>
          <cell r="W8737">
            <v>0</v>
          </cell>
          <cell r="X8737" t="str">
            <v>0</v>
          </cell>
        </row>
        <row r="8738">
          <cell r="I8738" t="str">
            <v>sim</v>
          </cell>
          <cell r="V8738" t="str">
            <v>antonym</v>
          </cell>
          <cell r="W8738">
            <v>1</v>
          </cell>
          <cell r="X8738" t="str">
            <v>intens</v>
          </cell>
        </row>
        <row r="8739">
          <cell r="I8739" t="str">
            <v>sim</v>
          </cell>
          <cell r="V8739" t="str">
            <v>antonym</v>
          </cell>
          <cell r="W8739">
            <v>1</v>
          </cell>
          <cell r="X8739" t="str">
            <v>neg</v>
          </cell>
        </row>
        <row r="8740">
          <cell r="I8740" t="str">
            <v>met</v>
          </cell>
          <cell r="V8740" t="str">
            <v>0</v>
          </cell>
          <cell r="W8740">
            <v>0</v>
          </cell>
          <cell r="X8740" t="str">
            <v>0</v>
          </cell>
        </row>
        <row r="8741">
          <cell r="I8741" t="str">
            <v>met</v>
          </cell>
          <cell r="V8741" t="str">
            <v>0</v>
          </cell>
          <cell r="W8741">
            <v>0</v>
          </cell>
          <cell r="X8741" t="str">
            <v>0</v>
          </cell>
        </row>
        <row r="8742">
          <cell r="I8742" t="str">
            <v>sim</v>
          </cell>
          <cell r="V8742" t="str">
            <v>antonym</v>
          </cell>
          <cell r="W8742">
            <v>1</v>
          </cell>
          <cell r="X8742" t="str">
            <v>neg</v>
          </cell>
        </row>
        <row r="8743">
          <cell r="I8743" t="str">
            <v>sim</v>
          </cell>
          <cell r="V8743" t="str">
            <v>antonym</v>
          </cell>
          <cell r="W8743">
            <v>1</v>
          </cell>
          <cell r="X8743" t="str">
            <v>intens</v>
          </cell>
        </row>
        <row r="8744">
          <cell r="I8744" t="str">
            <v>sim</v>
          </cell>
          <cell r="V8744" t="str">
            <v>antonym</v>
          </cell>
          <cell r="W8744">
            <v>1</v>
          </cell>
          <cell r="X8744" t="str">
            <v>intens</v>
          </cell>
        </row>
        <row r="8745">
          <cell r="I8745" t="str">
            <v>sim</v>
          </cell>
          <cell r="V8745" t="str">
            <v>antonym</v>
          </cell>
          <cell r="W8745">
            <v>1</v>
          </cell>
          <cell r="X8745" t="str">
            <v>neg</v>
          </cell>
        </row>
        <row r="8746">
          <cell r="I8746" t="str">
            <v>sim</v>
          </cell>
          <cell r="V8746" t="str">
            <v>not neg pair</v>
          </cell>
          <cell r="W8746">
            <v>0</v>
          </cell>
          <cell r="X8746" t="str">
            <v>0</v>
          </cell>
        </row>
        <row r="8747">
          <cell r="I8747" t="str">
            <v>sim</v>
          </cell>
          <cell r="V8747" t="str">
            <v>not neg pair</v>
          </cell>
          <cell r="W8747">
            <v>0</v>
          </cell>
          <cell r="X8747" t="str">
            <v>0</v>
          </cell>
        </row>
        <row r="8748">
          <cell r="I8748" t="str">
            <v>met</v>
          </cell>
          <cell r="V8748" t="str">
            <v>0</v>
          </cell>
          <cell r="W8748">
            <v>0</v>
          </cell>
          <cell r="X8748" t="str">
            <v>0</v>
          </cell>
        </row>
        <row r="8749">
          <cell r="I8749" t="str">
            <v>met</v>
          </cell>
          <cell r="V8749" t="str">
            <v>0</v>
          </cell>
          <cell r="W8749">
            <v>0</v>
          </cell>
          <cell r="X8749" t="str">
            <v>0</v>
          </cell>
        </row>
        <row r="8750">
          <cell r="I8750" t="str">
            <v>met</v>
          </cell>
          <cell r="V8750" t="str">
            <v>0</v>
          </cell>
          <cell r="W8750">
            <v>0</v>
          </cell>
          <cell r="X8750" t="str">
            <v>0</v>
          </cell>
        </row>
        <row r="8751">
          <cell r="I8751" t="str">
            <v>met</v>
          </cell>
          <cell r="V8751" t="str">
            <v>0</v>
          </cell>
          <cell r="W8751">
            <v>0</v>
          </cell>
          <cell r="X8751" t="str">
            <v>0</v>
          </cell>
        </row>
        <row r="8752">
          <cell r="I8752" t="str">
            <v>met</v>
          </cell>
          <cell r="V8752" t="str">
            <v>0</v>
          </cell>
          <cell r="W8752">
            <v>0</v>
          </cell>
          <cell r="X8752" t="str">
            <v>0</v>
          </cell>
        </row>
        <row r="8753">
          <cell r="I8753" t="str">
            <v>met</v>
          </cell>
          <cell r="V8753" t="str">
            <v>0</v>
          </cell>
          <cell r="W8753">
            <v>0</v>
          </cell>
          <cell r="X8753" t="str">
            <v>0</v>
          </cell>
        </row>
        <row r="8754">
          <cell r="I8754" t="str">
            <v>sim</v>
          </cell>
          <cell r="V8754" t="str">
            <v>antonym</v>
          </cell>
          <cell r="W8754">
            <v>1</v>
          </cell>
          <cell r="X8754" t="str">
            <v>intens</v>
          </cell>
        </row>
        <row r="8755">
          <cell r="I8755" t="str">
            <v>sim</v>
          </cell>
          <cell r="V8755" t="str">
            <v>antonym</v>
          </cell>
          <cell r="W8755">
            <v>1</v>
          </cell>
          <cell r="X8755" t="str">
            <v>neg</v>
          </cell>
        </row>
        <row r="8756">
          <cell r="I8756" t="str">
            <v>sim</v>
          </cell>
          <cell r="V8756" t="str">
            <v>antonym</v>
          </cell>
          <cell r="W8756">
            <v>1</v>
          </cell>
          <cell r="X8756" t="str">
            <v>neg</v>
          </cell>
        </row>
        <row r="8757">
          <cell r="I8757" t="str">
            <v>sim</v>
          </cell>
          <cell r="V8757" t="str">
            <v>antonym</v>
          </cell>
          <cell r="W8757">
            <v>1</v>
          </cell>
          <cell r="X8757" t="str">
            <v>intens</v>
          </cell>
        </row>
        <row r="8758">
          <cell r="I8758" t="str">
            <v>sim</v>
          </cell>
          <cell r="V8758" t="str">
            <v>antonym</v>
          </cell>
          <cell r="W8758">
            <v>1</v>
          </cell>
          <cell r="X8758" t="str">
            <v>intens</v>
          </cell>
        </row>
        <row r="8759">
          <cell r="I8759" t="str">
            <v>sim</v>
          </cell>
          <cell r="V8759" t="str">
            <v>antonym</v>
          </cell>
          <cell r="W8759">
            <v>1</v>
          </cell>
          <cell r="X8759" t="str">
            <v>neg</v>
          </cell>
        </row>
        <row r="8760">
          <cell r="I8760" t="str">
            <v>sim</v>
          </cell>
          <cell r="V8760" t="str">
            <v>not</v>
          </cell>
          <cell r="W8760">
            <v>1</v>
          </cell>
          <cell r="X8760" t="str">
            <v>neg</v>
          </cell>
        </row>
        <row r="8761">
          <cell r="I8761" t="str">
            <v>sim</v>
          </cell>
          <cell r="V8761" t="str">
            <v>not</v>
          </cell>
          <cell r="W8761">
            <v>1</v>
          </cell>
          <cell r="X8761" t="str">
            <v>intens</v>
          </cell>
        </row>
        <row r="8762">
          <cell r="I8762" t="str">
            <v>sim</v>
          </cell>
          <cell r="V8762" t="str">
            <v>not neg pair</v>
          </cell>
          <cell r="W8762">
            <v>0</v>
          </cell>
          <cell r="X8762" t="str">
            <v>0</v>
          </cell>
        </row>
        <row r="8763">
          <cell r="I8763" t="str">
            <v>sim</v>
          </cell>
          <cell r="V8763" t="str">
            <v>not neg pair</v>
          </cell>
          <cell r="W8763">
            <v>0</v>
          </cell>
          <cell r="X8763" t="str">
            <v>0</v>
          </cell>
        </row>
        <row r="8764">
          <cell r="I8764" t="str">
            <v>sim</v>
          </cell>
          <cell r="V8764" t="str">
            <v>not</v>
          </cell>
          <cell r="W8764">
            <v>1</v>
          </cell>
          <cell r="X8764" t="str">
            <v>intens</v>
          </cell>
        </row>
        <row r="8765">
          <cell r="I8765" t="str">
            <v>sim</v>
          </cell>
          <cell r="V8765" t="str">
            <v>not</v>
          </cell>
          <cell r="W8765">
            <v>1</v>
          </cell>
          <cell r="X8765" t="str">
            <v>neg</v>
          </cell>
        </row>
        <row r="8766">
          <cell r="I8766" t="str">
            <v>sim</v>
          </cell>
          <cell r="V8766" t="str">
            <v>antonym</v>
          </cell>
          <cell r="W8766">
            <v>1</v>
          </cell>
          <cell r="X8766" t="str">
            <v>intens</v>
          </cell>
        </row>
        <row r="8767">
          <cell r="I8767" t="str">
            <v>sim</v>
          </cell>
          <cell r="V8767" t="str">
            <v>antonym</v>
          </cell>
          <cell r="W8767">
            <v>1</v>
          </cell>
          <cell r="X8767" t="str">
            <v>neg</v>
          </cell>
        </row>
        <row r="8768">
          <cell r="I8768" t="str">
            <v>sim</v>
          </cell>
          <cell r="V8768" t="str">
            <v>not neg pair</v>
          </cell>
          <cell r="W8768">
            <v>0</v>
          </cell>
          <cell r="X8768" t="str">
            <v>0</v>
          </cell>
        </row>
        <row r="8769">
          <cell r="I8769" t="str">
            <v>sim</v>
          </cell>
          <cell r="V8769" t="str">
            <v>not neg pair</v>
          </cell>
          <cell r="W8769">
            <v>0</v>
          </cell>
          <cell r="X8769" t="str">
            <v>0</v>
          </cell>
        </row>
        <row r="8770">
          <cell r="I8770" t="str">
            <v>sim</v>
          </cell>
          <cell r="V8770" t="str">
            <v>not neg pair</v>
          </cell>
          <cell r="W8770">
            <v>0</v>
          </cell>
          <cell r="X8770" t="str">
            <v>0</v>
          </cell>
        </row>
        <row r="8771">
          <cell r="I8771" t="str">
            <v>sim</v>
          </cell>
          <cell r="V8771" t="str">
            <v>not neg pair</v>
          </cell>
          <cell r="W8771">
            <v>0</v>
          </cell>
          <cell r="X8771" t="str">
            <v>0</v>
          </cell>
        </row>
        <row r="8772">
          <cell r="I8772" t="str">
            <v>sim</v>
          </cell>
          <cell r="V8772" t="str">
            <v>not neg pair</v>
          </cell>
          <cell r="W8772">
            <v>0</v>
          </cell>
          <cell r="X8772" t="str">
            <v>0</v>
          </cell>
        </row>
        <row r="8773">
          <cell r="I8773" t="str">
            <v>sim</v>
          </cell>
          <cell r="V8773" t="str">
            <v>not neg pair</v>
          </cell>
          <cell r="W8773">
            <v>0</v>
          </cell>
          <cell r="X8773" t="str">
            <v>0</v>
          </cell>
        </row>
        <row r="8774">
          <cell r="I8774" t="str">
            <v>met</v>
          </cell>
          <cell r="V8774" t="str">
            <v>0</v>
          </cell>
          <cell r="W8774">
            <v>0</v>
          </cell>
          <cell r="X8774" t="str">
            <v>0</v>
          </cell>
        </row>
        <row r="8775">
          <cell r="I8775" t="str">
            <v>met</v>
          </cell>
          <cell r="V8775" t="str">
            <v>0</v>
          </cell>
          <cell r="W8775">
            <v>0</v>
          </cell>
          <cell r="X8775" t="str">
            <v>0</v>
          </cell>
        </row>
        <row r="8776">
          <cell r="I8776" t="str">
            <v>sim</v>
          </cell>
          <cell r="V8776" t="str">
            <v>not neg pair</v>
          </cell>
          <cell r="W8776">
            <v>0</v>
          </cell>
          <cell r="X8776" t="str">
            <v>0</v>
          </cell>
        </row>
        <row r="8777">
          <cell r="I8777" t="str">
            <v>sim</v>
          </cell>
          <cell r="V8777" t="str">
            <v>not neg pair</v>
          </cell>
          <cell r="W8777">
            <v>0</v>
          </cell>
          <cell r="X8777" t="str">
            <v>0</v>
          </cell>
        </row>
        <row r="8778">
          <cell r="I8778" t="str">
            <v>met</v>
          </cell>
          <cell r="V8778" t="str">
            <v>0</v>
          </cell>
          <cell r="W8778">
            <v>0</v>
          </cell>
          <cell r="X8778" t="str">
            <v>0</v>
          </cell>
        </row>
        <row r="8779">
          <cell r="I8779" t="str">
            <v>met</v>
          </cell>
          <cell r="V8779" t="str">
            <v>0</v>
          </cell>
          <cell r="W8779">
            <v>0</v>
          </cell>
          <cell r="X8779" t="str">
            <v>0</v>
          </cell>
        </row>
        <row r="8780">
          <cell r="I8780" t="str">
            <v>sim</v>
          </cell>
          <cell r="V8780" t="str">
            <v>not</v>
          </cell>
          <cell r="W8780">
            <v>1</v>
          </cell>
          <cell r="X8780" t="str">
            <v>intens</v>
          </cell>
        </row>
        <row r="8781">
          <cell r="I8781" t="str">
            <v>sim</v>
          </cell>
          <cell r="V8781" t="str">
            <v>not</v>
          </cell>
          <cell r="W8781">
            <v>1</v>
          </cell>
          <cell r="X8781" t="str">
            <v>neg</v>
          </cell>
        </row>
        <row r="8782">
          <cell r="I8782" t="str">
            <v>sim</v>
          </cell>
          <cell r="V8782" t="str">
            <v>not</v>
          </cell>
          <cell r="W8782">
            <v>1</v>
          </cell>
          <cell r="X8782" t="str">
            <v>intens</v>
          </cell>
        </row>
        <row r="8783">
          <cell r="I8783" t="str">
            <v>sim</v>
          </cell>
          <cell r="V8783" t="str">
            <v>not</v>
          </cell>
          <cell r="W8783">
            <v>1</v>
          </cell>
          <cell r="X8783" t="str">
            <v>neg</v>
          </cell>
        </row>
        <row r="8784">
          <cell r="I8784" t="str">
            <v>sim</v>
          </cell>
          <cell r="V8784" t="str">
            <v>not</v>
          </cell>
          <cell r="W8784">
            <v>1</v>
          </cell>
          <cell r="X8784" t="str">
            <v>intens</v>
          </cell>
        </row>
        <row r="8785">
          <cell r="I8785" t="str">
            <v>sim</v>
          </cell>
          <cell r="V8785" t="str">
            <v>not</v>
          </cell>
          <cell r="W8785">
            <v>1</v>
          </cell>
          <cell r="X8785" t="str">
            <v>neg</v>
          </cell>
        </row>
        <row r="8786">
          <cell r="I8786" t="str">
            <v>sim</v>
          </cell>
          <cell r="V8786" t="str">
            <v>not neg pair</v>
          </cell>
          <cell r="W8786">
            <v>0</v>
          </cell>
          <cell r="X8786" t="str">
            <v>0</v>
          </cell>
        </row>
        <row r="8787">
          <cell r="I8787" t="str">
            <v>sim</v>
          </cell>
          <cell r="V8787" t="str">
            <v>not neg pair</v>
          </cell>
          <cell r="W8787">
            <v>0</v>
          </cell>
          <cell r="X8787" t="str">
            <v>0</v>
          </cell>
        </row>
        <row r="8788">
          <cell r="I8788" t="str">
            <v>met</v>
          </cell>
          <cell r="V8788" t="str">
            <v>0</v>
          </cell>
          <cell r="W8788">
            <v>0</v>
          </cell>
          <cell r="X8788" t="str">
            <v>0</v>
          </cell>
        </row>
        <row r="8789">
          <cell r="I8789" t="str">
            <v>met</v>
          </cell>
          <cell r="V8789" t="str">
            <v>0</v>
          </cell>
          <cell r="W8789">
            <v>0</v>
          </cell>
          <cell r="X8789" t="str">
            <v>0</v>
          </cell>
        </row>
        <row r="8790">
          <cell r="I8790" t="str">
            <v>met</v>
          </cell>
          <cell r="V8790" t="str">
            <v>0</v>
          </cell>
          <cell r="W8790">
            <v>0</v>
          </cell>
          <cell r="X8790" t="str">
            <v>0</v>
          </cell>
        </row>
        <row r="8791">
          <cell r="I8791" t="str">
            <v>met</v>
          </cell>
          <cell r="V8791" t="str">
            <v>0</v>
          </cell>
          <cell r="W8791">
            <v>0</v>
          </cell>
          <cell r="X8791" t="str">
            <v>0</v>
          </cell>
        </row>
        <row r="8792">
          <cell r="I8792" t="str">
            <v>sim</v>
          </cell>
          <cell r="V8792" t="str">
            <v>antonym</v>
          </cell>
          <cell r="W8792">
            <v>1</v>
          </cell>
          <cell r="X8792" t="str">
            <v>intens</v>
          </cell>
        </row>
        <row r="8793">
          <cell r="I8793" t="str">
            <v>sim</v>
          </cell>
          <cell r="V8793" t="str">
            <v>antonym</v>
          </cell>
          <cell r="W8793">
            <v>1</v>
          </cell>
          <cell r="X8793" t="str">
            <v>neg</v>
          </cell>
        </row>
        <row r="8794">
          <cell r="I8794" t="str">
            <v>sim</v>
          </cell>
          <cell r="V8794" t="str">
            <v>not neg pair</v>
          </cell>
          <cell r="W8794">
            <v>0</v>
          </cell>
          <cell r="X8794" t="str">
            <v>0</v>
          </cell>
        </row>
        <row r="8795">
          <cell r="I8795" t="str">
            <v>met</v>
          </cell>
          <cell r="V8795" t="str">
            <v>0</v>
          </cell>
          <cell r="W8795">
            <v>0</v>
          </cell>
          <cell r="X8795" t="str">
            <v>0</v>
          </cell>
        </row>
        <row r="8796">
          <cell r="I8796" t="str">
            <v>met</v>
          </cell>
          <cell r="V8796" t="str">
            <v>0</v>
          </cell>
          <cell r="W8796">
            <v>0</v>
          </cell>
          <cell r="X8796" t="str">
            <v>0</v>
          </cell>
        </row>
        <row r="8797">
          <cell r="I8797" t="str">
            <v>met</v>
          </cell>
          <cell r="V8797" t="str">
            <v>0</v>
          </cell>
          <cell r="W8797">
            <v>0</v>
          </cell>
          <cell r="X8797" t="str">
            <v>0</v>
          </cell>
        </row>
        <row r="8798">
          <cell r="I8798" t="str">
            <v>met</v>
          </cell>
          <cell r="V8798" t="str">
            <v>0</v>
          </cell>
          <cell r="W8798">
            <v>0</v>
          </cell>
          <cell r="X8798" t="str">
            <v>0</v>
          </cell>
        </row>
        <row r="8799">
          <cell r="I8799" t="str">
            <v>met</v>
          </cell>
          <cell r="V8799" t="str">
            <v>0</v>
          </cell>
          <cell r="W8799">
            <v>0</v>
          </cell>
          <cell r="X8799" t="str">
            <v>0</v>
          </cell>
        </row>
        <row r="8800">
          <cell r="I8800" t="str">
            <v>sim</v>
          </cell>
          <cell r="V8800" t="str">
            <v>antonym</v>
          </cell>
          <cell r="W8800">
            <v>1</v>
          </cell>
          <cell r="X8800" t="str">
            <v>intens</v>
          </cell>
        </row>
        <row r="8801">
          <cell r="I8801" t="str">
            <v>sim</v>
          </cell>
          <cell r="V8801" t="str">
            <v>antonym</v>
          </cell>
          <cell r="W8801">
            <v>1</v>
          </cell>
          <cell r="X8801" t="str">
            <v>neg</v>
          </cell>
        </row>
        <row r="8802">
          <cell r="I8802" t="str">
            <v>sim</v>
          </cell>
          <cell r="V8802" t="str">
            <v>not neg pair</v>
          </cell>
          <cell r="W8802">
            <v>0</v>
          </cell>
          <cell r="X8802" t="str">
            <v>0</v>
          </cell>
        </row>
        <row r="8803">
          <cell r="I8803" t="str">
            <v>sim</v>
          </cell>
          <cell r="V8803" t="str">
            <v>not neg pair</v>
          </cell>
          <cell r="W8803">
            <v>0</v>
          </cell>
          <cell r="X8803" t="str">
            <v>0</v>
          </cell>
        </row>
        <row r="8804">
          <cell r="I8804" t="str">
            <v>sim</v>
          </cell>
          <cell r="V8804" t="str">
            <v>antonym</v>
          </cell>
          <cell r="W8804">
            <v>1</v>
          </cell>
          <cell r="X8804" t="str">
            <v>neg</v>
          </cell>
        </row>
        <row r="8805">
          <cell r="I8805" t="str">
            <v>sim</v>
          </cell>
          <cell r="V8805" t="str">
            <v>antonym</v>
          </cell>
          <cell r="W8805">
            <v>1</v>
          </cell>
          <cell r="X8805" t="str">
            <v>intens</v>
          </cell>
        </row>
        <row r="8806">
          <cell r="I8806" t="str">
            <v>sim</v>
          </cell>
          <cell r="V8806" t="str">
            <v>not neg pair</v>
          </cell>
          <cell r="W8806">
            <v>0</v>
          </cell>
          <cell r="X8806" t="str">
            <v>0</v>
          </cell>
        </row>
        <row r="8807">
          <cell r="I8807" t="str">
            <v>sim</v>
          </cell>
          <cell r="V8807" t="str">
            <v>not neg pair</v>
          </cell>
          <cell r="W8807">
            <v>0</v>
          </cell>
          <cell r="X8807" t="str">
            <v>0</v>
          </cell>
        </row>
        <row r="8808">
          <cell r="I8808" t="str">
            <v>sim</v>
          </cell>
          <cell r="V8808" t="str">
            <v>not neg pair</v>
          </cell>
          <cell r="W8808">
            <v>0</v>
          </cell>
          <cell r="X8808" t="str">
            <v>0</v>
          </cell>
        </row>
        <row r="8809">
          <cell r="I8809" t="str">
            <v>sim</v>
          </cell>
          <cell r="V8809" t="str">
            <v>not neg pair</v>
          </cell>
          <cell r="W8809">
            <v>0</v>
          </cell>
          <cell r="X8809" t="str">
            <v>0</v>
          </cell>
        </row>
        <row r="8810">
          <cell r="I8810" t="str">
            <v>met</v>
          </cell>
          <cell r="V8810" t="str">
            <v>0</v>
          </cell>
          <cell r="W8810">
            <v>0</v>
          </cell>
          <cell r="X8810" t="str">
            <v>0</v>
          </cell>
        </row>
        <row r="8811">
          <cell r="I8811" t="str">
            <v>met</v>
          </cell>
          <cell r="V8811" t="str">
            <v>0</v>
          </cell>
          <cell r="W8811">
            <v>0</v>
          </cell>
          <cell r="X8811" t="str">
            <v>0</v>
          </cell>
        </row>
        <row r="8812">
          <cell r="I8812" t="str">
            <v>sim</v>
          </cell>
          <cell r="V8812" t="str">
            <v>antonym</v>
          </cell>
          <cell r="W8812">
            <v>1</v>
          </cell>
          <cell r="X8812" t="str">
            <v>intens</v>
          </cell>
        </row>
        <row r="8813">
          <cell r="I8813" t="str">
            <v>sim</v>
          </cell>
          <cell r="V8813" t="str">
            <v>antonym</v>
          </cell>
          <cell r="W8813">
            <v>1</v>
          </cell>
          <cell r="X8813" t="str">
            <v>neg</v>
          </cell>
        </row>
        <row r="8814">
          <cell r="I8814" t="str">
            <v>sim</v>
          </cell>
          <cell r="V8814" t="str">
            <v>not neg pair</v>
          </cell>
          <cell r="W8814">
            <v>0</v>
          </cell>
          <cell r="X8814" t="str">
            <v>0</v>
          </cell>
        </row>
        <row r="8815">
          <cell r="I8815" t="str">
            <v>sim</v>
          </cell>
          <cell r="V8815" t="str">
            <v>not neg pair</v>
          </cell>
          <cell r="W8815">
            <v>0</v>
          </cell>
          <cell r="X8815" t="str">
            <v>0</v>
          </cell>
        </row>
        <row r="8816">
          <cell r="I8816" t="str">
            <v>sim</v>
          </cell>
          <cell r="V8816" t="str">
            <v>not neg pair</v>
          </cell>
          <cell r="W8816">
            <v>0</v>
          </cell>
          <cell r="X8816" t="str">
            <v>0</v>
          </cell>
        </row>
        <row r="8817">
          <cell r="I8817" t="str">
            <v>sim</v>
          </cell>
          <cell r="V8817" t="str">
            <v>not neg pair</v>
          </cell>
          <cell r="W8817">
            <v>0</v>
          </cell>
          <cell r="X8817" t="str">
            <v>0</v>
          </cell>
        </row>
        <row r="8818">
          <cell r="I8818" t="str">
            <v>sim</v>
          </cell>
          <cell r="V8818" t="str">
            <v>not neg pair</v>
          </cell>
          <cell r="W8818">
            <v>0</v>
          </cell>
          <cell r="X8818" t="str">
            <v>0</v>
          </cell>
        </row>
        <row r="8819">
          <cell r="I8819" t="str">
            <v>sim</v>
          </cell>
          <cell r="V8819" t="str">
            <v>not neg pair</v>
          </cell>
          <cell r="W8819">
            <v>0</v>
          </cell>
          <cell r="X8819" t="str">
            <v>0</v>
          </cell>
        </row>
        <row r="8820">
          <cell r="I8820" t="str">
            <v>sim</v>
          </cell>
          <cell r="V8820" t="str">
            <v>not neg pair</v>
          </cell>
          <cell r="W8820">
            <v>0</v>
          </cell>
          <cell r="X8820" t="str">
            <v>0</v>
          </cell>
        </row>
        <row r="8821">
          <cell r="I8821" t="str">
            <v>sim</v>
          </cell>
          <cell r="V8821" t="str">
            <v>not neg pair</v>
          </cell>
          <cell r="W8821">
            <v>0</v>
          </cell>
          <cell r="X8821" t="str">
            <v>0</v>
          </cell>
        </row>
        <row r="8822">
          <cell r="I8822" t="str">
            <v>sim</v>
          </cell>
          <cell r="V8822" t="str">
            <v>not</v>
          </cell>
          <cell r="W8822">
            <v>1</v>
          </cell>
          <cell r="X8822" t="str">
            <v>intens</v>
          </cell>
        </row>
        <row r="8823">
          <cell r="I8823" t="str">
            <v>sim</v>
          </cell>
          <cell r="V8823" t="str">
            <v>not</v>
          </cell>
          <cell r="W8823">
            <v>1</v>
          </cell>
          <cell r="X8823" t="str">
            <v>neg</v>
          </cell>
        </row>
        <row r="8824">
          <cell r="I8824" t="str">
            <v>sim</v>
          </cell>
          <cell r="V8824" t="str">
            <v>not neg pair</v>
          </cell>
          <cell r="W8824">
            <v>0</v>
          </cell>
          <cell r="X8824" t="str">
            <v>0</v>
          </cell>
        </row>
        <row r="8825">
          <cell r="I8825" t="str">
            <v>sim</v>
          </cell>
          <cell r="V8825" t="str">
            <v>not neg pair</v>
          </cell>
          <cell r="W8825">
            <v>0</v>
          </cell>
          <cell r="X8825" t="str">
            <v>0</v>
          </cell>
        </row>
        <row r="8826">
          <cell r="I8826" t="str">
            <v>sim</v>
          </cell>
          <cell r="V8826" t="str">
            <v>not</v>
          </cell>
          <cell r="W8826">
            <v>1</v>
          </cell>
          <cell r="X8826" t="str">
            <v>intens</v>
          </cell>
        </row>
        <row r="8827">
          <cell r="I8827" t="str">
            <v>sim</v>
          </cell>
          <cell r="V8827" t="str">
            <v>not</v>
          </cell>
          <cell r="W8827">
            <v>1</v>
          </cell>
          <cell r="X8827" t="str">
            <v>neg</v>
          </cell>
        </row>
        <row r="8828">
          <cell r="I8828" t="str">
            <v>sim</v>
          </cell>
          <cell r="V8828" t="str">
            <v>not</v>
          </cell>
          <cell r="W8828">
            <v>1</v>
          </cell>
          <cell r="X8828" t="str">
            <v>intens</v>
          </cell>
        </row>
        <row r="8829">
          <cell r="I8829" t="str">
            <v>sim</v>
          </cell>
          <cell r="V8829" t="str">
            <v>not</v>
          </cell>
          <cell r="W8829">
            <v>1</v>
          </cell>
          <cell r="X8829" t="str">
            <v>neg</v>
          </cell>
        </row>
        <row r="8830">
          <cell r="I8830" t="str">
            <v>sim</v>
          </cell>
          <cell r="V8830" t="str">
            <v>not neg pair</v>
          </cell>
          <cell r="W8830">
            <v>0</v>
          </cell>
          <cell r="X8830" t="str">
            <v>0</v>
          </cell>
        </row>
        <row r="8831">
          <cell r="I8831" t="str">
            <v>sim</v>
          </cell>
          <cell r="V8831" t="str">
            <v>not neg pair</v>
          </cell>
          <cell r="W8831">
            <v>0</v>
          </cell>
          <cell r="X8831" t="str">
            <v>0</v>
          </cell>
        </row>
        <row r="8832">
          <cell r="I8832" t="str">
            <v>sim</v>
          </cell>
          <cell r="V8832" t="str">
            <v>not neg pair</v>
          </cell>
          <cell r="W8832">
            <v>0</v>
          </cell>
          <cell r="X8832" t="str">
            <v>0</v>
          </cell>
        </row>
        <row r="8833">
          <cell r="I8833" t="str">
            <v>sim</v>
          </cell>
          <cell r="V8833" t="str">
            <v>not neg pair</v>
          </cell>
          <cell r="W8833">
            <v>0</v>
          </cell>
          <cell r="X8833" t="str">
            <v>0</v>
          </cell>
        </row>
        <row r="8834">
          <cell r="I8834" t="str">
            <v>sim</v>
          </cell>
          <cell r="V8834" t="str">
            <v>not neg pair</v>
          </cell>
          <cell r="W8834">
            <v>0</v>
          </cell>
          <cell r="X8834" t="str">
            <v>0</v>
          </cell>
        </row>
        <row r="8835">
          <cell r="I8835" t="str">
            <v>sim</v>
          </cell>
          <cell r="V8835" t="str">
            <v>not neg pair</v>
          </cell>
          <cell r="W8835">
            <v>0</v>
          </cell>
          <cell r="X8835" t="str">
            <v>0</v>
          </cell>
        </row>
        <row r="8836">
          <cell r="I8836" t="str">
            <v>sim</v>
          </cell>
          <cell r="V8836" t="str">
            <v>not neg pair</v>
          </cell>
          <cell r="W8836">
            <v>0</v>
          </cell>
          <cell r="X8836" t="str">
            <v>0</v>
          </cell>
        </row>
        <row r="8837">
          <cell r="I8837" t="str">
            <v>sim</v>
          </cell>
          <cell r="V8837" t="str">
            <v>not neg pair</v>
          </cell>
          <cell r="W8837">
            <v>0</v>
          </cell>
          <cell r="X8837" t="str">
            <v>0</v>
          </cell>
        </row>
        <row r="8838">
          <cell r="I8838" t="str">
            <v>sim</v>
          </cell>
          <cell r="V8838" t="str">
            <v>not</v>
          </cell>
          <cell r="W8838">
            <v>1</v>
          </cell>
          <cell r="X8838" t="str">
            <v>intens</v>
          </cell>
        </row>
        <row r="8839">
          <cell r="I8839" t="str">
            <v>sim</v>
          </cell>
          <cell r="V8839" t="str">
            <v>not</v>
          </cell>
          <cell r="W8839">
            <v>1</v>
          </cell>
          <cell r="X8839" t="str">
            <v>neg</v>
          </cell>
        </row>
        <row r="8840">
          <cell r="I8840" t="str">
            <v>sim</v>
          </cell>
          <cell r="V8840" t="str">
            <v>not neg pair</v>
          </cell>
          <cell r="W8840">
            <v>0</v>
          </cell>
          <cell r="X8840" t="str">
            <v>0</v>
          </cell>
        </row>
        <row r="8841">
          <cell r="I8841" t="str">
            <v>sim</v>
          </cell>
          <cell r="V8841" t="str">
            <v>not neg pair</v>
          </cell>
          <cell r="W8841">
            <v>0</v>
          </cell>
          <cell r="X8841" t="str">
            <v>0</v>
          </cell>
        </row>
        <row r="8842">
          <cell r="I8842" t="str">
            <v>sim</v>
          </cell>
          <cell r="V8842" t="str">
            <v>not neg pair</v>
          </cell>
          <cell r="W8842">
            <v>0</v>
          </cell>
          <cell r="X8842" t="str">
            <v>0</v>
          </cell>
        </row>
        <row r="8843">
          <cell r="I8843" t="str">
            <v>sim</v>
          </cell>
          <cell r="V8843" t="str">
            <v>not neg pair</v>
          </cell>
          <cell r="W8843">
            <v>0</v>
          </cell>
          <cell r="X8843" t="str">
            <v>0</v>
          </cell>
        </row>
        <row r="8844">
          <cell r="I8844" t="str">
            <v>sim</v>
          </cell>
          <cell r="V8844" t="str">
            <v>not</v>
          </cell>
          <cell r="W8844">
            <v>1</v>
          </cell>
          <cell r="X8844" t="str">
            <v>intens</v>
          </cell>
        </row>
        <row r="8845">
          <cell r="I8845" t="str">
            <v>sim</v>
          </cell>
          <cell r="V8845" t="str">
            <v>not</v>
          </cell>
          <cell r="W8845">
            <v>1</v>
          </cell>
          <cell r="X8845" t="str">
            <v>neg</v>
          </cell>
        </row>
        <row r="8846">
          <cell r="I8846" t="str">
            <v>sim</v>
          </cell>
          <cell r="V8846" t="str">
            <v>not neg pair</v>
          </cell>
          <cell r="W8846">
            <v>0</v>
          </cell>
          <cell r="X8846" t="str">
            <v>0</v>
          </cell>
        </row>
        <row r="8847">
          <cell r="I8847" t="str">
            <v>sim</v>
          </cell>
          <cell r="V8847" t="str">
            <v>not neg pair</v>
          </cell>
          <cell r="W8847">
            <v>0</v>
          </cell>
          <cell r="X8847" t="str">
            <v>0</v>
          </cell>
        </row>
        <row r="8848">
          <cell r="I8848" t="str">
            <v>sim</v>
          </cell>
          <cell r="V8848" t="str">
            <v>not</v>
          </cell>
          <cell r="W8848">
            <v>1</v>
          </cell>
          <cell r="X8848" t="str">
            <v>intens</v>
          </cell>
        </row>
        <row r="8849">
          <cell r="I8849" t="str">
            <v>sim</v>
          </cell>
          <cell r="V8849" t="str">
            <v>not</v>
          </cell>
          <cell r="W8849">
            <v>1</v>
          </cell>
          <cell r="X8849" t="str">
            <v>neg</v>
          </cell>
        </row>
        <row r="8850">
          <cell r="I8850" t="str">
            <v>sim</v>
          </cell>
          <cell r="V8850" t="str">
            <v>not neg pair</v>
          </cell>
          <cell r="W8850">
            <v>0</v>
          </cell>
          <cell r="X8850" t="str">
            <v>0</v>
          </cell>
        </row>
        <row r="8851">
          <cell r="I8851" t="str">
            <v>sim</v>
          </cell>
          <cell r="V8851" t="str">
            <v>not neg pair</v>
          </cell>
          <cell r="W8851">
            <v>0</v>
          </cell>
          <cell r="X8851" t="str">
            <v>0</v>
          </cell>
        </row>
        <row r="8852">
          <cell r="I8852" t="str">
            <v>sim</v>
          </cell>
          <cell r="V8852" t="str">
            <v>not</v>
          </cell>
          <cell r="W8852">
            <v>1</v>
          </cell>
          <cell r="X8852" t="str">
            <v>intens</v>
          </cell>
        </row>
        <row r="8853">
          <cell r="I8853" t="str">
            <v>sim</v>
          </cell>
          <cell r="V8853" t="str">
            <v>not</v>
          </cell>
          <cell r="W8853">
            <v>1</v>
          </cell>
          <cell r="X8853" t="str">
            <v>neg</v>
          </cell>
        </row>
        <row r="8854">
          <cell r="I8854" t="str">
            <v>sim</v>
          </cell>
          <cell r="V8854" t="str">
            <v>not</v>
          </cell>
          <cell r="W8854">
            <v>1</v>
          </cell>
          <cell r="X8854" t="str">
            <v>intens</v>
          </cell>
        </row>
        <row r="8855">
          <cell r="I8855" t="str">
            <v>sim</v>
          </cell>
          <cell r="V8855" t="str">
            <v>not</v>
          </cell>
          <cell r="W8855">
            <v>1</v>
          </cell>
          <cell r="X8855" t="str">
            <v>neg</v>
          </cell>
        </row>
        <row r="8856">
          <cell r="I8856" t="str">
            <v>sim</v>
          </cell>
          <cell r="V8856" t="str">
            <v>not</v>
          </cell>
          <cell r="W8856">
            <v>1</v>
          </cell>
          <cell r="X8856" t="str">
            <v>neg</v>
          </cell>
        </row>
        <row r="8857">
          <cell r="I8857" t="str">
            <v>sim</v>
          </cell>
          <cell r="V8857" t="str">
            <v>not</v>
          </cell>
          <cell r="W8857">
            <v>1</v>
          </cell>
          <cell r="X8857" t="str">
            <v>intens</v>
          </cell>
        </row>
        <row r="8858">
          <cell r="I8858" t="str">
            <v>sim</v>
          </cell>
          <cell r="V8858" t="str">
            <v>not neg pair</v>
          </cell>
          <cell r="W8858">
            <v>0</v>
          </cell>
          <cell r="X8858" t="str">
            <v>0</v>
          </cell>
        </row>
        <row r="8859">
          <cell r="I8859" t="str">
            <v>met</v>
          </cell>
          <cell r="V8859" t="str">
            <v>0</v>
          </cell>
          <cell r="W8859">
            <v>0</v>
          </cell>
          <cell r="X8859" t="str">
            <v>0</v>
          </cell>
        </row>
        <row r="8860">
          <cell r="I8860" t="str">
            <v>sim</v>
          </cell>
          <cell r="V8860" t="str">
            <v>not neg pair</v>
          </cell>
          <cell r="W8860">
            <v>0</v>
          </cell>
          <cell r="X8860" t="str">
            <v>0</v>
          </cell>
        </row>
        <row r="8861">
          <cell r="I8861" t="str">
            <v>sim</v>
          </cell>
          <cell r="V8861" t="str">
            <v>not neg pair</v>
          </cell>
          <cell r="W8861">
            <v>0</v>
          </cell>
          <cell r="X8861" t="str">
            <v>0</v>
          </cell>
        </row>
        <row r="8862">
          <cell r="I8862" t="str">
            <v>sim</v>
          </cell>
          <cell r="V8862" t="str">
            <v>not neg pair</v>
          </cell>
          <cell r="W8862">
            <v>0</v>
          </cell>
          <cell r="X8862" t="str">
            <v>0</v>
          </cell>
        </row>
        <row r="8863">
          <cell r="I8863" t="str">
            <v>sim</v>
          </cell>
          <cell r="V8863" t="str">
            <v>not neg pair</v>
          </cell>
          <cell r="W8863">
            <v>0</v>
          </cell>
          <cell r="X8863" t="str">
            <v>0</v>
          </cell>
        </row>
        <row r="8864">
          <cell r="I8864" t="str">
            <v>sim</v>
          </cell>
          <cell r="V8864" t="str">
            <v>not neg pair</v>
          </cell>
          <cell r="W8864">
            <v>0</v>
          </cell>
          <cell r="X8864" t="str">
            <v>0</v>
          </cell>
        </row>
        <row r="8865">
          <cell r="I8865" t="str">
            <v>sim</v>
          </cell>
          <cell r="V8865" t="str">
            <v>not neg pair</v>
          </cell>
          <cell r="W8865">
            <v>0</v>
          </cell>
          <cell r="X8865" t="str">
            <v>0</v>
          </cell>
        </row>
        <row r="8866">
          <cell r="I8866" t="str">
            <v>sim</v>
          </cell>
          <cell r="V8866" t="str">
            <v>antonym</v>
          </cell>
          <cell r="W8866">
            <v>1</v>
          </cell>
          <cell r="X8866" t="str">
            <v>neg</v>
          </cell>
        </row>
        <row r="8867">
          <cell r="I8867" t="str">
            <v>sim</v>
          </cell>
          <cell r="V8867" t="str">
            <v>antonym</v>
          </cell>
          <cell r="W8867">
            <v>1</v>
          </cell>
          <cell r="X8867" t="str">
            <v>intens</v>
          </cell>
        </row>
        <row r="8868">
          <cell r="I8868" t="str">
            <v>sim</v>
          </cell>
          <cell r="V8868" t="str">
            <v>antonym</v>
          </cell>
          <cell r="W8868">
            <v>1</v>
          </cell>
          <cell r="X8868" t="str">
            <v>intens</v>
          </cell>
        </row>
        <row r="8869">
          <cell r="I8869" t="str">
            <v>sim</v>
          </cell>
          <cell r="V8869" t="str">
            <v>antonym</v>
          </cell>
          <cell r="W8869">
            <v>1</v>
          </cell>
          <cell r="X8869" t="str">
            <v>neg</v>
          </cell>
        </row>
        <row r="8870">
          <cell r="I8870" t="str">
            <v>met</v>
          </cell>
          <cell r="V8870" t="str">
            <v>0</v>
          </cell>
          <cell r="W8870">
            <v>0</v>
          </cell>
          <cell r="X8870" t="str">
            <v>0</v>
          </cell>
        </row>
        <row r="8871">
          <cell r="I8871" t="str">
            <v>met</v>
          </cell>
          <cell r="V8871" t="str">
            <v>0</v>
          </cell>
          <cell r="W8871">
            <v>0</v>
          </cell>
          <cell r="X8871" t="str">
            <v>0</v>
          </cell>
        </row>
        <row r="8872">
          <cell r="I8872" t="str">
            <v>sim</v>
          </cell>
          <cell r="V8872" t="str">
            <v>not</v>
          </cell>
          <cell r="W8872">
            <v>1</v>
          </cell>
          <cell r="X8872" t="str">
            <v>neg</v>
          </cell>
        </row>
        <row r="8873">
          <cell r="I8873" t="str">
            <v>sim</v>
          </cell>
          <cell r="V8873" t="str">
            <v>not</v>
          </cell>
          <cell r="W8873">
            <v>1</v>
          </cell>
          <cell r="X8873" t="str">
            <v>intens</v>
          </cell>
        </row>
        <row r="8874">
          <cell r="I8874" t="str">
            <v>sim</v>
          </cell>
          <cell r="V8874" t="str">
            <v>not neg pair</v>
          </cell>
          <cell r="W8874">
            <v>0</v>
          </cell>
          <cell r="X8874" t="str">
            <v>0</v>
          </cell>
        </row>
        <row r="8875">
          <cell r="I8875" t="str">
            <v>sim</v>
          </cell>
          <cell r="V8875" t="str">
            <v>not neg pair</v>
          </cell>
          <cell r="W8875">
            <v>0</v>
          </cell>
          <cell r="X8875" t="str">
            <v>0</v>
          </cell>
        </row>
        <row r="8876">
          <cell r="I8876" t="str">
            <v>sim</v>
          </cell>
          <cell r="V8876" t="str">
            <v>not neg pair</v>
          </cell>
          <cell r="W8876">
            <v>0</v>
          </cell>
          <cell r="X8876" t="str">
            <v>0</v>
          </cell>
        </row>
        <row r="8877">
          <cell r="I8877" t="str">
            <v>sim</v>
          </cell>
          <cell r="V8877" t="str">
            <v>not neg pair</v>
          </cell>
          <cell r="W8877">
            <v>0</v>
          </cell>
          <cell r="X8877" t="str">
            <v>0</v>
          </cell>
        </row>
        <row r="8878">
          <cell r="I8878" t="str">
            <v>sim</v>
          </cell>
          <cell r="V8878" t="str">
            <v>not neg pair</v>
          </cell>
          <cell r="W8878">
            <v>0</v>
          </cell>
          <cell r="X8878" t="str">
            <v>0</v>
          </cell>
        </row>
        <row r="8879">
          <cell r="I8879" t="str">
            <v>sim</v>
          </cell>
          <cell r="V8879" t="str">
            <v>not neg pair</v>
          </cell>
          <cell r="W8879">
            <v>0</v>
          </cell>
          <cell r="X8879" t="str">
            <v>0</v>
          </cell>
        </row>
        <row r="8880">
          <cell r="I8880" t="str">
            <v>sim</v>
          </cell>
          <cell r="V8880" t="str">
            <v>not neg pair</v>
          </cell>
          <cell r="W8880">
            <v>0</v>
          </cell>
          <cell r="X8880" t="str">
            <v>0</v>
          </cell>
        </row>
        <row r="8881">
          <cell r="I8881" t="str">
            <v>sim</v>
          </cell>
          <cell r="V8881" t="str">
            <v>not neg pair</v>
          </cell>
          <cell r="W8881">
            <v>0</v>
          </cell>
          <cell r="X8881" t="str">
            <v>0</v>
          </cell>
        </row>
        <row r="8882">
          <cell r="I8882" t="str">
            <v>sim</v>
          </cell>
          <cell r="V8882" t="str">
            <v>antonym</v>
          </cell>
          <cell r="W8882">
            <v>1</v>
          </cell>
          <cell r="X8882" t="str">
            <v>intens</v>
          </cell>
        </row>
        <row r="8883">
          <cell r="I8883" t="str">
            <v>sim</v>
          </cell>
          <cell r="V8883" t="str">
            <v>antonym</v>
          </cell>
          <cell r="W8883">
            <v>1</v>
          </cell>
          <cell r="X8883" t="str">
            <v>neg</v>
          </cell>
        </row>
        <row r="8884">
          <cell r="I8884" t="str">
            <v>sim</v>
          </cell>
          <cell r="V8884" t="str">
            <v>not neg pair</v>
          </cell>
          <cell r="W8884">
            <v>0</v>
          </cell>
          <cell r="X8884" t="str">
            <v>0</v>
          </cell>
        </row>
        <row r="8885">
          <cell r="I8885" t="str">
            <v>met</v>
          </cell>
          <cell r="V8885" t="str">
            <v>0</v>
          </cell>
          <cell r="W8885">
            <v>0</v>
          </cell>
          <cell r="X8885" t="str">
            <v>0</v>
          </cell>
        </row>
        <row r="8886">
          <cell r="I8886" t="str">
            <v>sim</v>
          </cell>
          <cell r="V8886" t="str">
            <v>not neg pair</v>
          </cell>
          <cell r="W8886">
            <v>0</v>
          </cell>
          <cell r="X8886" t="str">
            <v>0</v>
          </cell>
        </row>
        <row r="8887">
          <cell r="I8887" t="str">
            <v>sim</v>
          </cell>
          <cell r="V8887" t="str">
            <v>not neg pair</v>
          </cell>
          <cell r="W8887">
            <v>0</v>
          </cell>
          <cell r="X8887" t="str">
            <v>0</v>
          </cell>
        </row>
        <row r="8888">
          <cell r="I8888" t="str">
            <v>met</v>
          </cell>
          <cell r="V8888" t="str">
            <v>0</v>
          </cell>
          <cell r="W8888">
            <v>0</v>
          </cell>
          <cell r="X8888" t="str">
            <v>0</v>
          </cell>
        </row>
        <row r="8889">
          <cell r="I8889" t="str">
            <v>met</v>
          </cell>
          <cell r="V8889" t="str">
            <v>0</v>
          </cell>
          <cell r="W8889">
            <v>0</v>
          </cell>
          <cell r="X8889" t="str">
            <v>0</v>
          </cell>
        </row>
        <row r="8890">
          <cell r="I8890" t="str">
            <v>sim</v>
          </cell>
          <cell r="V8890" t="str">
            <v>0</v>
          </cell>
          <cell r="W8890">
            <v>0</v>
          </cell>
          <cell r="X8890" t="str">
            <v>0</v>
          </cell>
        </row>
        <row r="8891">
          <cell r="I8891" t="str">
            <v>met</v>
          </cell>
          <cell r="V8891" t="str">
            <v>0</v>
          </cell>
          <cell r="W8891">
            <v>0</v>
          </cell>
          <cell r="X8891" t="str">
            <v>0</v>
          </cell>
        </row>
        <row r="8892">
          <cell r="I8892" t="str">
            <v>met</v>
          </cell>
          <cell r="V8892" t="str">
            <v>0</v>
          </cell>
          <cell r="W8892">
            <v>0</v>
          </cell>
          <cell r="X8892" t="str">
            <v>0</v>
          </cell>
        </row>
        <row r="8893">
          <cell r="I8893" t="str">
            <v>met</v>
          </cell>
          <cell r="V8893" t="str">
            <v>0</v>
          </cell>
          <cell r="W8893">
            <v>0</v>
          </cell>
          <cell r="X8893" t="str">
            <v>0</v>
          </cell>
        </row>
        <row r="8894">
          <cell r="I8894" t="str">
            <v>sim</v>
          </cell>
          <cell r="V8894" t="str">
            <v>not neg pair</v>
          </cell>
          <cell r="W8894">
            <v>0</v>
          </cell>
          <cell r="X8894" t="str">
            <v>0</v>
          </cell>
        </row>
        <row r="8895">
          <cell r="I8895" t="str">
            <v>sim</v>
          </cell>
          <cell r="V8895" t="str">
            <v>not neg pair</v>
          </cell>
          <cell r="W8895">
            <v>0</v>
          </cell>
          <cell r="X8895" t="str">
            <v>0</v>
          </cell>
        </row>
        <row r="8896">
          <cell r="I8896" t="str">
            <v>sim</v>
          </cell>
          <cell r="V8896" t="str">
            <v>not</v>
          </cell>
          <cell r="W8896">
            <v>1</v>
          </cell>
          <cell r="X8896" t="str">
            <v>intens</v>
          </cell>
        </row>
        <row r="8897">
          <cell r="I8897" t="str">
            <v>sim</v>
          </cell>
          <cell r="V8897" t="str">
            <v>not</v>
          </cell>
          <cell r="W8897">
            <v>1</v>
          </cell>
          <cell r="X8897" t="str">
            <v>neg</v>
          </cell>
        </row>
        <row r="8898">
          <cell r="I8898" t="str">
            <v>sim</v>
          </cell>
          <cell r="V8898" t="str">
            <v>antonym</v>
          </cell>
          <cell r="W8898">
            <v>1</v>
          </cell>
          <cell r="X8898" t="str">
            <v>intens</v>
          </cell>
        </row>
        <row r="8899">
          <cell r="I8899" t="str">
            <v>sim</v>
          </cell>
          <cell r="V8899" t="str">
            <v>antonym</v>
          </cell>
          <cell r="W8899">
            <v>1</v>
          </cell>
          <cell r="X8899" t="str">
            <v>neg</v>
          </cell>
        </row>
        <row r="8900">
          <cell r="I8900" t="str">
            <v>sim</v>
          </cell>
          <cell r="V8900" t="str">
            <v>not neg pair</v>
          </cell>
          <cell r="W8900">
            <v>0</v>
          </cell>
          <cell r="X8900" t="str">
            <v>0</v>
          </cell>
        </row>
        <row r="8901">
          <cell r="I8901" t="str">
            <v>sim</v>
          </cell>
          <cell r="V8901" t="str">
            <v>not neg pair</v>
          </cell>
          <cell r="W8901">
            <v>0</v>
          </cell>
          <cell r="X8901" t="str">
            <v>0</v>
          </cell>
        </row>
        <row r="8902">
          <cell r="I8902" t="str">
            <v>met</v>
          </cell>
          <cell r="V8902" t="str">
            <v>0</v>
          </cell>
          <cell r="W8902">
            <v>0</v>
          </cell>
          <cell r="X8902" t="str">
            <v>0</v>
          </cell>
        </row>
        <row r="8903">
          <cell r="I8903" t="str">
            <v>met</v>
          </cell>
          <cell r="V8903" t="str">
            <v>0</v>
          </cell>
          <cell r="W8903">
            <v>0</v>
          </cell>
          <cell r="X8903" t="str">
            <v>0</v>
          </cell>
        </row>
        <row r="8904">
          <cell r="I8904" t="str">
            <v>sim</v>
          </cell>
          <cell r="V8904" t="str">
            <v>not neg pair</v>
          </cell>
          <cell r="W8904">
            <v>0</v>
          </cell>
          <cell r="X8904" t="str">
            <v>0</v>
          </cell>
        </row>
        <row r="8905">
          <cell r="I8905" t="str">
            <v>sim</v>
          </cell>
          <cell r="V8905" t="str">
            <v>not neg pair</v>
          </cell>
          <cell r="W8905">
            <v>0</v>
          </cell>
          <cell r="X8905" t="str">
            <v>0</v>
          </cell>
        </row>
        <row r="8906">
          <cell r="I8906" t="str">
            <v>sim</v>
          </cell>
          <cell r="V8906" t="str">
            <v>not neg pair</v>
          </cell>
          <cell r="W8906">
            <v>0</v>
          </cell>
          <cell r="X8906" t="str">
            <v>0</v>
          </cell>
        </row>
        <row r="8907">
          <cell r="I8907" t="str">
            <v>sim</v>
          </cell>
          <cell r="V8907" t="str">
            <v>not neg pair</v>
          </cell>
          <cell r="W8907">
            <v>0</v>
          </cell>
          <cell r="X8907" t="str">
            <v>0</v>
          </cell>
        </row>
        <row r="8908">
          <cell r="I8908" t="str">
            <v>sim</v>
          </cell>
          <cell r="V8908" t="str">
            <v>antonym</v>
          </cell>
          <cell r="W8908">
            <v>1</v>
          </cell>
          <cell r="X8908" t="str">
            <v>intens</v>
          </cell>
        </row>
        <row r="8909">
          <cell r="I8909" t="str">
            <v>sim</v>
          </cell>
          <cell r="V8909" t="str">
            <v>antonym</v>
          </cell>
          <cell r="W8909">
            <v>1</v>
          </cell>
          <cell r="X8909" t="str">
            <v>neg</v>
          </cell>
        </row>
        <row r="8910">
          <cell r="I8910" t="str">
            <v>sim</v>
          </cell>
          <cell r="V8910" t="str">
            <v>not neg pair</v>
          </cell>
          <cell r="W8910">
            <v>0</v>
          </cell>
          <cell r="X8910" t="str">
            <v>0</v>
          </cell>
        </row>
        <row r="8911">
          <cell r="I8911" t="str">
            <v>sim</v>
          </cell>
          <cell r="V8911" t="str">
            <v>not neg pair</v>
          </cell>
          <cell r="W8911">
            <v>0</v>
          </cell>
          <cell r="X8911" t="str">
            <v>0</v>
          </cell>
        </row>
        <row r="8912">
          <cell r="I8912" t="str">
            <v>sim</v>
          </cell>
          <cell r="V8912" t="str">
            <v>not neg pair</v>
          </cell>
          <cell r="W8912">
            <v>0</v>
          </cell>
          <cell r="X8912" t="str">
            <v>0</v>
          </cell>
        </row>
        <row r="8913">
          <cell r="I8913" t="str">
            <v>sim</v>
          </cell>
          <cell r="V8913" t="str">
            <v>not neg pair</v>
          </cell>
          <cell r="W8913">
            <v>0</v>
          </cell>
          <cell r="X8913" t="str">
            <v>0</v>
          </cell>
        </row>
        <row r="8914">
          <cell r="I8914" t="str">
            <v>met</v>
          </cell>
          <cell r="V8914" t="str">
            <v>0</v>
          </cell>
          <cell r="W8914">
            <v>0</v>
          </cell>
          <cell r="X8914" t="str">
            <v>0</v>
          </cell>
        </row>
        <row r="8915">
          <cell r="I8915" t="str">
            <v>met</v>
          </cell>
          <cell r="V8915" t="str">
            <v>0</v>
          </cell>
          <cell r="W8915">
            <v>0</v>
          </cell>
          <cell r="X8915" t="str">
            <v>0</v>
          </cell>
        </row>
        <row r="8916">
          <cell r="I8916" t="str">
            <v>sim</v>
          </cell>
          <cell r="V8916" t="str">
            <v>not</v>
          </cell>
          <cell r="W8916">
            <v>1</v>
          </cell>
          <cell r="X8916" t="str">
            <v>intens</v>
          </cell>
        </row>
        <row r="8917">
          <cell r="I8917" t="str">
            <v>sim</v>
          </cell>
          <cell r="V8917" t="str">
            <v>not</v>
          </cell>
          <cell r="W8917">
            <v>1</v>
          </cell>
          <cell r="X8917" t="str">
            <v>neg</v>
          </cell>
        </row>
        <row r="8918">
          <cell r="I8918" t="str">
            <v>sim</v>
          </cell>
          <cell r="V8918" t="str">
            <v>not neg pair</v>
          </cell>
          <cell r="W8918">
            <v>0</v>
          </cell>
          <cell r="X8918" t="str">
            <v>0</v>
          </cell>
        </row>
        <row r="8919">
          <cell r="I8919" t="str">
            <v>sim</v>
          </cell>
          <cell r="V8919" t="str">
            <v>not neg pair</v>
          </cell>
          <cell r="W8919">
            <v>0</v>
          </cell>
          <cell r="X8919" t="str">
            <v>0</v>
          </cell>
        </row>
        <row r="8920">
          <cell r="I8920" t="str">
            <v>sim</v>
          </cell>
          <cell r="V8920" t="str">
            <v>not neg pair</v>
          </cell>
          <cell r="W8920">
            <v>0</v>
          </cell>
          <cell r="X8920" t="str">
            <v>0</v>
          </cell>
        </row>
        <row r="8921">
          <cell r="I8921" t="str">
            <v>sim</v>
          </cell>
          <cell r="V8921" t="str">
            <v>not neg pair</v>
          </cell>
          <cell r="W8921">
            <v>0</v>
          </cell>
          <cell r="X8921" t="str">
            <v>0</v>
          </cell>
        </row>
        <row r="8922">
          <cell r="I8922" t="str">
            <v>met</v>
          </cell>
          <cell r="V8922" t="str">
            <v>0</v>
          </cell>
          <cell r="W8922">
            <v>0</v>
          </cell>
          <cell r="X8922" t="str">
            <v>0</v>
          </cell>
        </row>
        <row r="8923">
          <cell r="I8923" t="str">
            <v>met</v>
          </cell>
          <cell r="V8923" t="str">
            <v>0</v>
          </cell>
          <cell r="W8923">
            <v>0</v>
          </cell>
          <cell r="X8923" t="str">
            <v>0</v>
          </cell>
        </row>
        <row r="8924">
          <cell r="I8924" t="str">
            <v>sim</v>
          </cell>
          <cell r="V8924" t="str">
            <v>not</v>
          </cell>
          <cell r="W8924">
            <v>1</v>
          </cell>
          <cell r="X8924" t="str">
            <v>neg</v>
          </cell>
        </row>
        <row r="8925">
          <cell r="I8925" t="str">
            <v>sim</v>
          </cell>
          <cell r="V8925" t="str">
            <v>not</v>
          </cell>
          <cell r="W8925">
            <v>1</v>
          </cell>
          <cell r="X8925" t="str">
            <v>intens</v>
          </cell>
        </row>
        <row r="8926">
          <cell r="I8926" t="str">
            <v>sim</v>
          </cell>
          <cell r="V8926" t="str">
            <v>not neg pair</v>
          </cell>
          <cell r="W8926">
            <v>0</v>
          </cell>
          <cell r="X8926" t="str">
            <v>0</v>
          </cell>
        </row>
        <row r="8927">
          <cell r="I8927" t="str">
            <v>sim</v>
          </cell>
          <cell r="V8927" t="str">
            <v>not neg pair</v>
          </cell>
          <cell r="W8927">
            <v>0</v>
          </cell>
          <cell r="X8927" t="str">
            <v>0</v>
          </cell>
        </row>
        <row r="8928">
          <cell r="I8928" t="str">
            <v>sim</v>
          </cell>
          <cell r="V8928" t="str">
            <v>not neg pair</v>
          </cell>
          <cell r="W8928">
            <v>0</v>
          </cell>
          <cell r="X8928" t="str">
            <v>0</v>
          </cell>
        </row>
        <row r="8929">
          <cell r="I8929" t="str">
            <v>sim</v>
          </cell>
          <cell r="V8929" t="str">
            <v>not neg pair</v>
          </cell>
          <cell r="W8929">
            <v>0</v>
          </cell>
          <cell r="X8929" t="str">
            <v>0</v>
          </cell>
        </row>
        <row r="8930">
          <cell r="I8930" t="str">
            <v>sim</v>
          </cell>
          <cell r="V8930" t="str">
            <v>antonym</v>
          </cell>
          <cell r="W8930">
            <v>1</v>
          </cell>
          <cell r="X8930" t="str">
            <v>intens</v>
          </cell>
        </row>
        <row r="8931">
          <cell r="I8931" t="str">
            <v>sim</v>
          </cell>
          <cell r="V8931" t="str">
            <v>antonym</v>
          </cell>
          <cell r="W8931">
            <v>1</v>
          </cell>
          <cell r="X8931" t="str">
            <v>neg</v>
          </cell>
        </row>
        <row r="8932">
          <cell r="I8932" t="str">
            <v>sim</v>
          </cell>
          <cell r="V8932" t="str">
            <v>not</v>
          </cell>
          <cell r="W8932">
            <v>1</v>
          </cell>
          <cell r="X8932" t="str">
            <v>intens</v>
          </cell>
        </row>
        <row r="8933">
          <cell r="I8933" t="str">
            <v>sim</v>
          </cell>
          <cell r="V8933" t="str">
            <v>not</v>
          </cell>
          <cell r="W8933">
            <v>1</v>
          </cell>
          <cell r="X8933" t="str">
            <v>neg</v>
          </cell>
        </row>
        <row r="8934">
          <cell r="I8934" t="str">
            <v>met</v>
          </cell>
          <cell r="V8934" t="str">
            <v>0</v>
          </cell>
          <cell r="W8934">
            <v>0</v>
          </cell>
          <cell r="X8934" t="str">
            <v>0</v>
          </cell>
        </row>
        <row r="8935">
          <cell r="I8935" t="str">
            <v>met</v>
          </cell>
          <cell r="V8935" t="str">
            <v>0</v>
          </cell>
          <cell r="W8935">
            <v>0</v>
          </cell>
          <cell r="X8935" t="str">
            <v>0</v>
          </cell>
        </row>
        <row r="8936">
          <cell r="I8936" t="str">
            <v>sim</v>
          </cell>
          <cell r="V8936" t="str">
            <v>not neg pair</v>
          </cell>
          <cell r="W8936">
            <v>0</v>
          </cell>
          <cell r="X8936" t="str">
            <v>0</v>
          </cell>
        </row>
        <row r="8937">
          <cell r="I8937" t="str">
            <v>sim</v>
          </cell>
          <cell r="V8937" t="str">
            <v>not neg pair</v>
          </cell>
          <cell r="W8937">
            <v>0</v>
          </cell>
          <cell r="X8937" t="str">
            <v>0</v>
          </cell>
        </row>
        <row r="8938">
          <cell r="I8938" t="str">
            <v>sim</v>
          </cell>
          <cell r="V8938" t="str">
            <v>not neg pair</v>
          </cell>
          <cell r="W8938">
            <v>0</v>
          </cell>
          <cell r="X8938" t="str">
            <v>0</v>
          </cell>
        </row>
        <row r="8939">
          <cell r="I8939" t="str">
            <v>sim</v>
          </cell>
          <cell r="V8939" t="str">
            <v>not neg pair</v>
          </cell>
          <cell r="W8939">
            <v>0</v>
          </cell>
          <cell r="X8939" t="str">
            <v>0</v>
          </cell>
        </row>
        <row r="8940">
          <cell r="I8940" t="str">
            <v>sim</v>
          </cell>
          <cell r="V8940" t="str">
            <v>not neg pair</v>
          </cell>
          <cell r="W8940">
            <v>0</v>
          </cell>
          <cell r="X8940" t="str">
            <v>0</v>
          </cell>
        </row>
        <row r="8941">
          <cell r="I8941" t="str">
            <v>sim</v>
          </cell>
          <cell r="V8941" t="str">
            <v>not neg pair</v>
          </cell>
          <cell r="W8941">
            <v>0</v>
          </cell>
          <cell r="X8941" t="str">
            <v>0</v>
          </cell>
        </row>
        <row r="8942">
          <cell r="I8942" t="str">
            <v>sim</v>
          </cell>
          <cell r="V8942" t="str">
            <v>not neg pair</v>
          </cell>
          <cell r="W8942">
            <v>0</v>
          </cell>
          <cell r="X8942" t="str">
            <v>0</v>
          </cell>
        </row>
        <row r="8943">
          <cell r="I8943" t="str">
            <v>sim</v>
          </cell>
          <cell r="V8943" t="str">
            <v>not neg pair</v>
          </cell>
          <cell r="W8943">
            <v>0</v>
          </cell>
          <cell r="X8943" t="str">
            <v>0</v>
          </cell>
        </row>
        <row r="8944">
          <cell r="I8944" t="str">
            <v>sim</v>
          </cell>
          <cell r="V8944" t="str">
            <v>antonym</v>
          </cell>
          <cell r="W8944">
            <v>1</v>
          </cell>
          <cell r="X8944" t="str">
            <v>intens</v>
          </cell>
        </row>
        <row r="8945">
          <cell r="I8945" t="str">
            <v>sim</v>
          </cell>
          <cell r="V8945" t="str">
            <v>antonym</v>
          </cell>
          <cell r="W8945">
            <v>1</v>
          </cell>
          <cell r="X8945" t="str">
            <v>neg</v>
          </cell>
        </row>
        <row r="8946">
          <cell r="I8946" t="str">
            <v>sim</v>
          </cell>
          <cell r="V8946" t="str">
            <v>not</v>
          </cell>
          <cell r="W8946">
            <v>1</v>
          </cell>
          <cell r="X8946" t="str">
            <v>intens</v>
          </cell>
        </row>
        <row r="8947">
          <cell r="I8947" t="str">
            <v>sim</v>
          </cell>
          <cell r="V8947" t="str">
            <v>not</v>
          </cell>
          <cell r="W8947">
            <v>1</v>
          </cell>
          <cell r="X8947" t="str">
            <v>neg</v>
          </cell>
        </row>
        <row r="8948">
          <cell r="I8948" t="str">
            <v>sim</v>
          </cell>
          <cell r="V8948" t="str">
            <v>antonym</v>
          </cell>
          <cell r="W8948">
            <v>1</v>
          </cell>
          <cell r="X8948" t="str">
            <v>intens</v>
          </cell>
        </row>
        <row r="8949">
          <cell r="I8949" t="str">
            <v>sim</v>
          </cell>
          <cell r="V8949" t="str">
            <v>antonym</v>
          </cell>
          <cell r="W8949">
            <v>1</v>
          </cell>
          <cell r="X8949" t="str">
            <v>neg</v>
          </cell>
        </row>
        <row r="8950">
          <cell r="I8950" t="str">
            <v>sim</v>
          </cell>
          <cell r="V8950" t="str">
            <v>antonym</v>
          </cell>
          <cell r="W8950">
            <v>1</v>
          </cell>
          <cell r="X8950" t="str">
            <v>intens</v>
          </cell>
        </row>
        <row r="8951">
          <cell r="I8951" t="str">
            <v>sim</v>
          </cell>
          <cell r="V8951" t="str">
            <v>antonym</v>
          </cell>
          <cell r="W8951">
            <v>1</v>
          </cell>
          <cell r="X8951" t="str">
            <v>neg</v>
          </cell>
        </row>
        <row r="8952">
          <cell r="I8952" t="str">
            <v>sim</v>
          </cell>
          <cell r="V8952" t="str">
            <v>not</v>
          </cell>
          <cell r="W8952">
            <v>1</v>
          </cell>
          <cell r="X8952" t="str">
            <v>neg</v>
          </cell>
        </row>
        <row r="8953">
          <cell r="I8953" t="str">
            <v>sim</v>
          </cell>
          <cell r="V8953" t="str">
            <v>not</v>
          </cell>
          <cell r="W8953">
            <v>1</v>
          </cell>
          <cell r="X8953" t="str">
            <v>intens</v>
          </cell>
        </row>
        <row r="8954">
          <cell r="I8954" t="str">
            <v>sim</v>
          </cell>
          <cell r="V8954" t="str">
            <v>not</v>
          </cell>
          <cell r="W8954">
            <v>1</v>
          </cell>
          <cell r="X8954" t="str">
            <v>neg</v>
          </cell>
        </row>
        <row r="8955">
          <cell r="I8955" t="str">
            <v>sim</v>
          </cell>
          <cell r="V8955" t="str">
            <v>not</v>
          </cell>
          <cell r="W8955">
            <v>1</v>
          </cell>
          <cell r="X8955" t="str">
            <v>intens</v>
          </cell>
        </row>
        <row r="8956">
          <cell r="I8956" t="str">
            <v>sim</v>
          </cell>
          <cell r="V8956" t="str">
            <v>not</v>
          </cell>
          <cell r="W8956">
            <v>1</v>
          </cell>
          <cell r="X8956" t="str">
            <v>intens</v>
          </cell>
        </row>
        <row r="8957">
          <cell r="I8957" t="str">
            <v>sim</v>
          </cell>
          <cell r="V8957" t="str">
            <v>not</v>
          </cell>
          <cell r="W8957">
            <v>1</v>
          </cell>
          <cell r="X8957" t="str">
            <v>neg</v>
          </cell>
        </row>
        <row r="8958">
          <cell r="I8958" t="str">
            <v>sim</v>
          </cell>
          <cell r="V8958" t="str">
            <v>not neg pair</v>
          </cell>
          <cell r="W8958">
            <v>0</v>
          </cell>
          <cell r="X8958" t="str">
            <v>0</v>
          </cell>
        </row>
        <row r="8959">
          <cell r="I8959" t="str">
            <v>met</v>
          </cell>
          <cell r="V8959" t="str">
            <v>0</v>
          </cell>
          <cell r="W8959">
            <v>0</v>
          </cell>
          <cell r="X8959" t="str">
            <v>0</v>
          </cell>
        </row>
        <row r="8960">
          <cell r="I8960" t="str">
            <v>met</v>
          </cell>
          <cell r="V8960" t="str">
            <v>0</v>
          </cell>
          <cell r="W8960">
            <v>0</v>
          </cell>
          <cell r="X8960" t="str">
            <v>0</v>
          </cell>
        </row>
        <row r="8961">
          <cell r="I8961" t="str">
            <v>met</v>
          </cell>
          <cell r="V8961" t="str">
            <v>0</v>
          </cell>
          <cell r="W8961">
            <v>0</v>
          </cell>
          <cell r="X8961" t="str">
            <v>0</v>
          </cell>
        </row>
        <row r="8962">
          <cell r="I8962" t="str">
            <v>met</v>
          </cell>
          <cell r="V8962" t="str">
            <v>0</v>
          </cell>
          <cell r="W8962">
            <v>0</v>
          </cell>
          <cell r="X8962" t="str">
            <v>0</v>
          </cell>
        </row>
        <row r="8963">
          <cell r="I8963" t="str">
            <v>met</v>
          </cell>
          <cell r="V8963" t="str">
            <v>0</v>
          </cell>
          <cell r="W8963">
            <v>0</v>
          </cell>
          <cell r="X8963" t="str">
            <v>0</v>
          </cell>
        </row>
        <row r="8964">
          <cell r="I8964" t="str">
            <v>sim</v>
          </cell>
          <cell r="V8964" t="str">
            <v>not</v>
          </cell>
          <cell r="W8964">
            <v>1</v>
          </cell>
          <cell r="X8964" t="str">
            <v>intens</v>
          </cell>
        </row>
        <row r="8965">
          <cell r="I8965" t="str">
            <v>sim</v>
          </cell>
          <cell r="V8965" t="str">
            <v>not</v>
          </cell>
          <cell r="W8965">
            <v>1</v>
          </cell>
          <cell r="X8965" t="str">
            <v>neg</v>
          </cell>
        </row>
        <row r="8966">
          <cell r="I8966" t="str">
            <v>sim</v>
          </cell>
          <cell r="V8966" t="str">
            <v>antonym</v>
          </cell>
          <cell r="W8966">
            <v>1</v>
          </cell>
          <cell r="X8966" t="str">
            <v>intens</v>
          </cell>
        </row>
        <row r="8967">
          <cell r="I8967" t="str">
            <v>sim</v>
          </cell>
          <cell r="V8967" t="str">
            <v>antonym</v>
          </cell>
          <cell r="W8967">
            <v>1</v>
          </cell>
          <cell r="X8967" t="str">
            <v>neg</v>
          </cell>
        </row>
        <row r="8968">
          <cell r="I8968" t="str">
            <v>sim</v>
          </cell>
          <cell r="V8968" t="str">
            <v>not neg pair</v>
          </cell>
          <cell r="W8968">
            <v>0</v>
          </cell>
          <cell r="X8968" t="str">
            <v>0</v>
          </cell>
        </row>
        <row r="8969">
          <cell r="I8969" t="str">
            <v>sim</v>
          </cell>
          <cell r="V8969" t="str">
            <v>not neg pair</v>
          </cell>
          <cell r="W8969">
            <v>0</v>
          </cell>
          <cell r="X8969" t="str">
            <v>0</v>
          </cell>
        </row>
        <row r="8970">
          <cell r="I8970" t="str">
            <v>sim</v>
          </cell>
          <cell r="V8970" t="str">
            <v>not neg pair</v>
          </cell>
          <cell r="W8970">
            <v>0</v>
          </cell>
          <cell r="X8970" t="str">
            <v>0</v>
          </cell>
        </row>
        <row r="8971">
          <cell r="I8971" t="str">
            <v>sim</v>
          </cell>
          <cell r="V8971" t="str">
            <v>not neg pair</v>
          </cell>
          <cell r="W8971">
            <v>0</v>
          </cell>
          <cell r="X8971" t="str">
            <v>0</v>
          </cell>
        </row>
        <row r="8972">
          <cell r="I8972" t="str">
            <v>sim</v>
          </cell>
          <cell r="V8972" t="str">
            <v>not neg pair</v>
          </cell>
          <cell r="W8972">
            <v>0</v>
          </cell>
          <cell r="X8972" t="str">
            <v>0</v>
          </cell>
        </row>
        <row r="8973">
          <cell r="I8973" t="str">
            <v>sim</v>
          </cell>
          <cell r="V8973" t="str">
            <v>not neg pair</v>
          </cell>
          <cell r="W8973">
            <v>0</v>
          </cell>
          <cell r="X8973" t="str">
            <v>0</v>
          </cell>
        </row>
        <row r="8974">
          <cell r="I8974" t="str">
            <v>sim</v>
          </cell>
          <cell r="V8974" t="str">
            <v>not neg pair</v>
          </cell>
          <cell r="W8974">
            <v>0</v>
          </cell>
          <cell r="X8974" t="str">
            <v>0</v>
          </cell>
        </row>
        <row r="8975">
          <cell r="I8975" t="str">
            <v>sim</v>
          </cell>
          <cell r="V8975" t="str">
            <v>not neg pair</v>
          </cell>
          <cell r="W8975">
            <v>0</v>
          </cell>
          <cell r="X8975" t="str">
            <v>0</v>
          </cell>
        </row>
        <row r="8976">
          <cell r="I8976" t="str">
            <v>sim</v>
          </cell>
          <cell r="V8976" t="str">
            <v>not neg pair</v>
          </cell>
          <cell r="W8976">
            <v>0</v>
          </cell>
          <cell r="X8976" t="str">
            <v>0</v>
          </cell>
        </row>
        <row r="8977">
          <cell r="I8977" t="str">
            <v>sim</v>
          </cell>
          <cell r="V8977" t="str">
            <v>not neg pair</v>
          </cell>
          <cell r="W8977">
            <v>0</v>
          </cell>
          <cell r="X8977" t="str">
            <v>0</v>
          </cell>
        </row>
        <row r="8978">
          <cell r="I8978" t="str">
            <v>met</v>
          </cell>
          <cell r="V8978" t="str">
            <v>0</v>
          </cell>
          <cell r="W8978">
            <v>0</v>
          </cell>
          <cell r="X8978" t="str">
            <v>0</v>
          </cell>
        </row>
        <row r="8979">
          <cell r="I8979" t="str">
            <v>met</v>
          </cell>
          <cell r="V8979" t="str">
            <v>0</v>
          </cell>
          <cell r="W8979">
            <v>0</v>
          </cell>
          <cell r="X8979" t="str">
            <v>0</v>
          </cell>
        </row>
        <row r="8980">
          <cell r="I8980" t="str">
            <v>sim</v>
          </cell>
          <cell r="V8980" t="str">
            <v>not</v>
          </cell>
          <cell r="W8980">
            <v>1</v>
          </cell>
          <cell r="X8980" t="str">
            <v>neg</v>
          </cell>
        </row>
        <row r="8981">
          <cell r="I8981" t="str">
            <v>sim</v>
          </cell>
          <cell r="V8981" t="str">
            <v>not</v>
          </cell>
          <cell r="W8981">
            <v>1</v>
          </cell>
          <cell r="X8981" t="str">
            <v>intens</v>
          </cell>
        </row>
        <row r="8982">
          <cell r="I8982" t="str">
            <v>sim</v>
          </cell>
          <cell r="V8982" t="str">
            <v>not neg pair</v>
          </cell>
          <cell r="W8982">
            <v>0</v>
          </cell>
          <cell r="X8982" t="str">
            <v>0</v>
          </cell>
        </row>
        <row r="8983">
          <cell r="I8983" t="str">
            <v>sim</v>
          </cell>
          <cell r="V8983" t="str">
            <v>not neg pair</v>
          </cell>
          <cell r="W8983">
            <v>0</v>
          </cell>
          <cell r="X8983" t="str">
            <v>0</v>
          </cell>
        </row>
        <row r="8984">
          <cell r="I8984" t="str">
            <v>sim</v>
          </cell>
          <cell r="V8984" t="str">
            <v>antonym</v>
          </cell>
          <cell r="W8984">
            <v>1</v>
          </cell>
          <cell r="X8984" t="str">
            <v>intens</v>
          </cell>
        </row>
        <row r="8985">
          <cell r="I8985" t="str">
            <v>sim</v>
          </cell>
          <cell r="V8985" t="str">
            <v>antonym</v>
          </cell>
          <cell r="W8985">
            <v>1</v>
          </cell>
          <cell r="X8985" t="str">
            <v>neg</v>
          </cell>
        </row>
        <row r="8986">
          <cell r="I8986" t="str">
            <v>sim</v>
          </cell>
          <cell r="V8986" t="str">
            <v>not neg pair</v>
          </cell>
          <cell r="W8986">
            <v>0</v>
          </cell>
          <cell r="X8986" t="str">
            <v>0</v>
          </cell>
        </row>
        <row r="8987">
          <cell r="I8987" t="str">
            <v>sim</v>
          </cell>
          <cell r="V8987" t="str">
            <v>not neg pair</v>
          </cell>
          <cell r="W8987">
            <v>0</v>
          </cell>
          <cell r="X8987" t="str">
            <v>0</v>
          </cell>
        </row>
        <row r="8988">
          <cell r="I8988" t="str">
            <v>sim</v>
          </cell>
          <cell r="V8988" t="str">
            <v>not neg pair</v>
          </cell>
          <cell r="W8988">
            <v>0</v>
          </cell>
          <cell r="X8988" t="str">
            <v>0</v>
          </cell>
        </row>
        <row r="8989">
          <cell r="I8989" t="str">
            <v>sim</v>
          </cell>
          <cell r="V8989" t="str">
            <v>not neg pair</v>
          </cell>
          <cell r="W8989">
            <v>0</v>
          </cell>
          <cell r="X8989" t="str">
            <v>0</v>
          </cell>
        </row>
        <row r="8990">
          <cell r="I8990" t="str">
            <v>sim</v>
          </cell>
          <cell r="V8990" t="str">
            <v>not neg pair</v>
          </cell>
          <cell r="W8990">
            <v>0</v>
          </cell>
          <cell r="X8990" t="str">
            <v>0</v>
          </cell>
        </row>
        <row r="8991">
          <cell r="I8991" t="str">
            <v>sim</v>
          </cell>
          <cell r="V8991" t="str">
            <v>not neg pair</v>
          </cell>
          <cell r="W8991">
            <v>0</v>
          </cell>
          <cell r="X8991" t="str">
            <v>0</v>
          </cell>
        </row>
        <row r="8992">
          <cell r="I8992" t="str">
            <v>sim</v>
          </cell>
          <cell r="V8992" t="str">
            <v>not neg pair</v>
          </cell>
          <cell r="W8992">
            <v>0</v>
          </cell>
          <cell r="X8992" t="str">
            <v>0</v>
          </cell>
        </row>
        <row r="8993">
          <cell r="I8993" t="str">
            <v>sim</v>
          </cell>
          <cell r="V8993" t="str">
            <v>not neg pair</v>
          </cell>
          <cell r="W8993">
            <v>0</v>
          </cell>
          <cell r="X8993" t="str">
            <v>0</v>
          </cell>
        </row>
        <row r="8994">
          <cell r="I8994" t="str">
            <v>sim</v>
          </cell>
          <cell r="V8994" t="str">
            <v>not</v>
          </cell>
          <cell r="W8994">
            <v>1</v>
          </cell>
          <cell r="X8994" t="str">
            <v>intens</v>
          </cell>
        </row>
        <row r="8995">
          <cell r="I8995" t="str">
            <v>sim</v>
          </cell>
          <cell r="V8995" t="str">
            <v>not</v>
          </cell>
          <cell r="W8995">
            <v>1</v>
          </cell>
          <cell r="X8995" t="str">
            <v>neg</v>
          </cell>
        </row>
        <row r="8996">
          <cell r="I8996" t="str">
            <v>sim</v>
          </cell>
          <cell r="V8996" t="str">
            <v>not neg pair</v>
          </cell>
          <cell r="W8996">
            <v>0</v>
          </cell>
          <cell r="X8996" t="str">
            <v>0</v>
          </cell>
        </row>
        <row r="8997">
          <cell r="I8997" t="str">
            <v>sim</v>
          </cell>
          <cell r="V8997" t="str">
            <v>not neg pair</v>
          </cell>
          <cell r="W8997">
            <v>0</v>
          </cell>
          <cell r="X8997" t="str">
            <v>0</v>
          </cell>
        </row>
        <row r="8998">
          <cell r="I8998" t="str">
            <v>sim</v>
          </cell>
          <cell r="V8998" t="str">
            <v>not neg pair</v>
          </cell>
          <cell r="W8998">
            <v>0</v>
          </cell>
          <cell r="X8998" t="str">
            <v>0</v>
          </cell>
        </row>
        <row r="8999">
          <cell r="I8999" t="str">
            <v>sim</v>
          </cell>
          <cell r="V8999" t="str">
            <v>not neg pair</v>
          </cell>
          <cell r="W8999">
            <v>0</v>
          </cell>
          <cell r="X8999" t="str">
            <v>0</v>
          </cell>
        </row>
        <row r="9000">
          <cell r="I9000" t="str">
            <v>sim</v>
          </cell>
          <cell r="V9000" t="str">
            <v>not neg pair</v>
          </cell>
          <cell r="W9000">
            <v>0</v>
          </cell>
          <cell r="X9000" t="str">
            <v>0</v>
          </cell>
        </row>
        <row r="9001">
          <cell r="I9001" t="str">
            <v>sim</v>
          </cell>
          <cell r="V9001" t="str">
            <v>not neg pair</v>
          </cell>
          <cell r="W9001">
            <v>0</v>
          </cell>
          <cell r="X9001" t="str">
            <v>0</v>
          </cell>
        </row>
        <row r="9002">
          <cell r="I9002" t="str">
            <v>sim</v>
          </cell>
          <cell r="V9002" t="str">
            <v>not neg pair</v>
          </cell>
          <cell r="W9002">
            <v>0</v>
          </cell>
          <cell r="X9002" t="str">
            <v>0</v>
          </cell>
        </row>
        <row r="9003">
          <cell r="I9003" t="str">
            <v>sim</v>
          </cell>
          <cell r="V9003" t="str">
            <v>not neg pair</v>
          </cell>
          <cell r="W9003">
            <v>0</v>
          </cell>
          <cell r="X9003" t="str">
            <v>0</v>
          </cell>
        </row>
        <row r="9004">
          <cell r="I9004" t="str">
            <v>sim</v>
          </cell>
          <cell r="V9004" t="str">
            <v>not neg pair</v>
          </cell>
          <cell r="W9004">
            <v>0</v>
          </cell>
          <cell r="X9004" t="str">
            <v>0</v>
          </cell>
        </row>
        <row r="9005">
          <cell r="I9005" t="str">
            <v>sim</v>
          </cell>
          <cell r="V9005" t="str">
            <v>not neg pair</v>
          </cell>
          <cell r="W9005">
            <v>0</v>
          </cell>
          <cell r="X9005" t="str">
            <v>0</v>
          </cell>
        </row>
        <row r="9006">
          <cell r="I9006" t="str">
            <v>met</v>
          </cell>
          <cell r="V9006" t="str">
            <v>0</v>
          </cell>
          <cell r="W9006">
            <v>0</v>
          </cell>
          <cell r="X9006" t="str">
            <v>0</v>
          </cell>
        </row>
        <row r="9007">
          <cell r="I9007" t="str">
            <v>met</v>
          </cell>
          <cell r="V9007" t="str">
            <v>0</v>
          </cell>
          <cell r="W9007">
            <v>0</v>
          </cell>
          <cell r="X9007" t="str">
            <v>0</v>
          </cell>
        </row>
        <row r="9008">
          <cell r="I9008" t="str">
            <v>sim</v>
          </cell>
          <cell r="V9008" t="str">
            <v>not neg pair</v>
          </cell>
          <cell r="W9008">
            <v>0</v>
          </cell>
          <cell r="X9008" t="str">
            <v>0</v>
          </cell>
        </row>
        <row r="9009">
          <cell r="I9009" t="str">
            <v>sim</v>
          </cell>
          <cell r="V9009" t="str">
            <v>not neg pair</v>
          </cell>
          <cell r="W9009">
            <v>0</v>
          </cell>
          <cell r="X9009" t="str">
            <v>0</v>
          </cell>
        </row>
        <row r="9010">
          <cell r="I9010" t="str">
            <v>sim</v>
          </cell>
          <cell r="V9010" t="str">
            <v>not</v>
          </cell>
          <cell r="W9010">
            <v>1</v>
          </cell>
          <cell r="X9010" t="str">
            <v>intens</v>
          </cell>
        </row>
        <row r="9011">
          <cell r="I9011" t="str">
            <v>sim</v>
          </cell>
          <cell r="V9011" t="str">
            <v>not</v>
          </cell>
          <cell r="W9011">
            <v>1</v>
          </cell>
          <cell r="X9011" t="str">
            <v>neg</v>
          </cell>
        </row>
        <row r="9012">
          <cell r="I9012" t="str">
            <v>met</v>
          </cell>
          <cell r="V9012" t="str">
            <v>0</v>
          </cell>
          <cell r="W9012">
            <v>0</v>
          </cell>
          <cell r="X9012" t="str">
            <v>0</v>
          </cell>
        </row>
        <row r="9013">
          <cell r="I9013" t="str">
            <v>met</v>
          </cell>
          <cell r="V9013" t="str">
            <v>0</v>
          </cell>
          <cell r="W9013">
            <v>0</v>
          </cell>
          <cell r="X9013" t="str">
            <v>0</v>
          </cell>
        </row>
        <row r="9014">
          <cell r="I9014" t="str">
            <v>sim</v>
          </cell>
          <cell r="V9014" t="str">
            <v>antonym</v>
          </cell>
          <cell r="W9014">
            <v>1</v>
          </cell>
          <cell r="X9014" t="str">
            <v>intens</v>
          </cell>
        </row>
        <row r="9015">
          <cell r="I9015" t="str">
            <v>sim</v>
          </cell>
          <cell r="V9015" t="str">
            <v>antonym</v>
          </cell>
          <cell r="W9015">
            <v>1</v>
          </cell>
          <cell r="X9015" t="str">
            <v>neg</v>
          </cell>
        </row>
        <row r="9016">
          <cell r="I9016" t="str">
            <v>sim</v>
          </cell>
          <cell r="V9016" t="str">
            <v>not neg pair</v>
          </cell>
          <cell r="W9016">
            <v>0</v>
          </cell>
          <cell r="X9016" t="str">
            <v>0</v>
          </cell>
        </row>
        <row r="9017">
          <cell r="I9017" t="str">
            <v>sim</v>
          </cell>
          <cell r="V9017" t="str">
            <v>not neg pair</v>
          </cell>
          <cell r="W9017">
            <v>0</v>
          </cell>
          <cell r="X9017" t="str">
            <v>0</v>
          </cell>
        </row>
        <row r="9018">
          <cell r="I9018" t="str">
            <v>sim</v>
          </cell>
          <cell r="V9018" t="str">
            <v>not neg pair</v>
          </cell>
          <cell r="W9018">
            <v>0</v>
          </cell>
          <cell r="X9018" t="str">
            <v>0</v>
          </cell>
        </row>
        <row r="9019">
          <cell r="I9019" t="str">
            <v>sim</v>
          </cell>
          <cell r="V9019" t="str">
            <v>not neg pair</v>
          </cell>
          <cell r="W9019">
            <v>0</v>
          </cell>
          <cell r="X9019" t="str">
            <v>0</v>
          </cell>
        </row>
        <row r="9020">
          <cell r="I9020" t="str">
            <v>sim</v>
          </cell>
          <cell r="V9020" t="str">
            <v>not neg pair</v>
          </cell>
          <cell r="W9020">
            <v>0</v>
          </cell>
          <cell r="X9020" t="str">
            <v>0</v>
          </cell>
        </row>
        <row r="9021">
          <cell r="I9021" t="str">
            <v>sim</v>
          </cell>
          <cell r="V9021" t="str">
            <v>not neg pair</v>
          </cell>
          <cell r="W9021">
            <v>0</v>
          </cell>
          <cell r="X9021" t="str">
            <v>0</v>
          </cell>
        </row>
        <row r="9022">
          <cell r="I9022" t="str">
            <v>sim</v>
          </cell>
          <cell r="V9022" t="str">
            <v>not neg pair</v>
          </cell>
          <cell r="W9022">
            <v>0</v>
          </cell>
          <cell r="X9022" t="str">
            <v>0</v>
          </cell>
        </row>
        <row r="9023">
          <cell r="I9023" t="str">
            <v>sim</v>
          </cell>
          <cell r="V9023" t="str">
            <v>not neg pair</v>
          </cell>
          <cell r="W9023">
            <v>0</v>
          </cell>
          <cell r="X9023" t="str">
            <v>0</v>
          </cell>
        </row>
        <row r="9024">
          <cell r="I9024" t="str">
            <v>sim</v>
          </cell>
          <cell r="V9024" t="str">
            <v>antonym</v>
          </cell>
          <cell r="W9024">
            <v>1</v>
          </cell>
          <cell r="X9024" t="str">
            <v>intens</v>
          </cell>
        </row>
        <row r="9025">
          <cell r="I9025" t="str">
            <v>sim</v>
          </cell>
          <cell r="V9025" t="str">
            <v>antonym</v>
          </cell>
          <cell r="W9025">
            <v>1</v>
          </cell>
          <cell r="X9025" t="str">
            <v>neg</v>
          </cell>
        </row>
        <row r="9026">
          <cell r="I9026" t="str">
            <v>sim</v>
          </cell>
          <cell r="V9026" t="str">
            <v>antonym</v>
          </cell>
          <cell r="W9026">
            <v>1</v>
          </cell>
          <cell r="X9026" t="str">
            <v>intens</v>
          </cell>
        </row>
        <row r="9027">
          <cell r="I9027" t="str">
            <v>sim</v>
          </cell>
          <cell r="V9027" t="str">
            <v>antonym</v>
          </cell>
          <cell r="W9027">
            <v>1</v>
          </cell>
          <cell r="X9027" t="str">
            <v>neg</v>
          </cell>
        </row>
        <row r="9028">
          <cell r="I9028" t="str">
            <v>sim</v>
          </cell>
          <cell r="V9028" t="str">
            <v>not</v>
          </cell>
          <cell r="W9028">
            <v>1</v>
          </cell>
          <cell r="X9028" t="str">
            <v>neg</v>
          </cell>
        </row>
        <row r="9029">
          <cell r="I9029" t="str">
            <v>sim</v>
          </cell>
          <cell r="V9029" t="str">
            <v>not</v>
          </cell>
          <cell r="W9029">
            <v>1</v>
          </cell>
          <cell r="X9029" t="str">
            <v>intens</v>
          </cell>
        </row>
        <row r="9030">
          <cell r="I9030" t="str">
            <v>met</v>
          </cell>
          <cell r="V9030" t="str">
            <v>0</v>
          </cell>
          <cell r="W9030">
            <v>0</v>
          </cell>
          <cell r="X9030" t="str">
            <v>0</v>
          </cell>
        </row>
        <row r="9031">
          <cell r="I9031" t="str">
            <v>met</v>
          </cell>
          <cell r="V9031" t="str">
            <v>0</v>
          </cell>
          <cell r="W9031">
            <v>0</v>
          </cell>
          <cell r="X9031" t="str">
            <v>0</v>
          </cell>
        </row>
        <row r="9032">
          <cell r="I9032" t="str">
            <v>sim</v>
          </cell>
          <cell r="V9032" t="str">
            <v>not</v>
          </cell>
          <cell r="W9032">
            <v>1</v>
          </cell>
          <cell r="X9032" t="str">
            <v>neg</v>
          </cell>
        </row>
        <row r="9033">
          <cell r="I9033" t="str">
            <v>sim</v>
          </cell>
          <cell r="V9033" t="str">
            <v>not</v>
          </cell>
          <cell r="W9033">
            <v>1</v>
          </cell>
          <cell r="X9033" t="str">
            <v>intens</v>
          </cell>
        </row>
        <row r="9034">
          <cell r="I9034" t="str">
            <v>sim</v>
          </cell>
          <cell r="V9034" t="str">
            <v>not</v>
          </cell>
          <cell r="W9034">
            <v>1</v>
          </cell>
          <cell r="X9034" t="str">
            <v>neg</v>
          </cell>
        </row>
        <row r="9035">
          <cell r="I9035" t="str">
            <v>sim</v>
          </cell>
          <cell r="V9035" t="str">
            <v>not</v>
          </cell>
          <cell r="W9035">
            <v>1</v>
          </cell>
          <cell r="X9035" t="str">
            <v>intens</v>
          </cell>
        </row>
        <row r="9036">
          <cell r="I9036" t="str">
            <v>sim</v>
          </cell>
          <cell r="V9036" t="str">
            <v>not neg pair</v>
          </cell>
          <cell r="W9036">
            <v>0</v>
          </cell>
          <cell r="X9036" t="str">
            <v>0</v>
          </cell>
        </row>
        <row r="9037">
          <cell r="I9037" t="str">
            <v>sim</v>
          </cell>
          <cell r="V9037" t="str">
            <v>not neg pair</v>
          </cell>
          <cell r="W9037">
            <v>0</v>
          </cell>
          <cell r="X9037" t="str">
            <v>0</v>
          </cell>
        </row>
        <row r="9038">
          <cell r="I9038" t="str">
            <v>met</v>
          </cell>
          <cell r="V9038" t="str">
            <v>0</v>
          </cell>
          <cell r="W9038">
            <v>0</v>
          </cell>
          <cell r="X9038" t="str">
            <v>0</v>
          </cell>
        </row>
        <row r="9039">
          <cell r="I9039" t="str">
            <v>met</v>
          </cell>
          <cell r="V9039" t="str">
            <v>0</v>
          </cell>
          <cell r="W9039">
            <v>0</v>
          </cell>
          <cell r="X9039" t="str">
            <v>0</v>
          </cell>
        </row>
        <row r="9040">
          <cell r="I9040" t="str">
            <v>met</v>
          </cell>
          <cell r="V9040" t="str">
            <v>0</v>
          </cell>
          <cell r="W9040">
            <v>0</v>
          </cell>
          <cell r="X9040" t="str">
            <v>0</v>
          </cell>
        </row>
        <row r="9041">
          <cell r="I9041" t="str">
            <v>met</v>
          </cell>
          <cell r="V9041" t="str">
            <v>0</v>
          </cell>
          <cell r="W9041">
            <v>0</v>
          </cell>
          <cell r="X9041" t="str">
            <v>0</v>
          </cell>
        </row>
        <row r="9042">
          <cell r="I9042" t="str">
            <v>sim</v>
          </cell>
          <cell r="V9042" t="str">
            <v>antonym</v>
          </cell>
          <cell r="W9042">
            <v>1</v>
          </cell>
          <cell r="X9042" t="str">
            <v>intens</v>
          </cell>
        </row>
        <row r="9043">
          <cell r="I9043" t="str">
            <v>sim</v>
          </cell>
          <cell r="V9043" t="str">
            <v>antonym</v>
          </cell>
          <cell r="W9043">
            <v>1</v>
          </cell>
          <cell r="X9043" t="str">
            <v>neg</v>
          </cell>
        </row>
        <row r="9044">
          <cell r="I9044" t="str">
            <v>met</v>
          </cell>
          <cell r="V9044" t="str">
            <v>0</v>
          </cell>
          <cell r="W9044">
            <v>0</v>
          </cell>
          <cell r="X9044" t="str">
            <v>0</v>
          </cell>
        </row>
        <row r="9045">
          <cell r="I9045" t="str">
            <v>met</v>
          </cell>
          <cell r="V9045" t="str">
            <v>0</v>
          </cell>
          <cell r="W9045">
            <v>0</v>
          </cell>
          <cell r="X9045" t="str">
            <v>0</v>
          </cell>
        </row>
        <row r="9046">
          <cell r="I9046" t="str">
            <v>sim</v>
          </cell>
          <cell r="V9046" t="str">
            <v>antonym</v>
          </cell>
          <cell r="W9046">
            <v>1</v>
          </cell>
          <cell r="X9046" t="str">
            <v>neg</v>
          </cell>
        </row>
        <row r="9047">
          <cell r="I9047" t="str">
            <v>sim</v>
          </cell>
          <cell r="V9047" t="str">
            <v>antonym</v>
          </cell>
          <cell r="W9047">
            <v>1</v>
          </cell>
          <cell r="X9047" t="str">
            <v>intens</v>
          </cell>
        </row>
        <row r="9048">
          <cell r="I9048" t="str">
            <v>sim</v>
          </cell>
          <cell r="V9048" t="str">
            <v>antonym</v>
          </cell>
          <cell r="W9048">
            <v>1</v>
          </cell>
          <cell r="X9048" t="str">
            <v>neg</v>
          </cell>
        </row>
        <row r="9049">
          <cell r="I9049" t="str">
            <v>sim</v>
          </cell>
          <cell r="V9049" t="str">
            <v>antonym</v>
          </cell>
          <cell r="W9049">
            <v>1</v>
          </cell>
          <cell r="X9049" t="str">
            <v>intens</v>
          </cell>
        </row>
        <row r="9050">
          <cell r="I9050" t="str">
            <v>sim</v>
          </cell>
          <cell r="V9050" t="str">
            <v>not</v>
          </cell>
          <cell r="W9050">
            <v>1</v>
          </cell>
          <cell r="X9050" t="str">
            <v>intens</v>
          </cell>
        </row>
        <row r="9051">
          <cell r="I9051" t="str">
            <v>sim</v>
          </cell>
          <cell r="V9051" t="str">
            <v>not</v>
          </cell>
          <cell r="W9051">
            <v>1</v>
          </cell>
          <cell r="X9051" t="str">
            <v>neg</v>
          </cell>
        </row>
        <row r="9052">
          <cell r="I9052" t="str">
            <v>sim</v>
          </cell>
          <cell r="V9052" t="str">
            <v>not neg pair</v>
          </cell>
          <cell r="W9052">
            <v>0</v>
          </cell>
          <cell r="X9052" t="str">
            <v>0</v>
          </cell>
        </row>
        <row r="9053">
          <cell r="I9053" t="str">
            <v>sim</v>
          </cell>
          <cell r="V9053" t="str">
            <v>not neg pair</v>
          </cell>
          <cell r="W9053">
            <v>0</v>
          </cell>
          <cell r="X9053" t="str">
            <v>0</v>
          </cell>
        </row>
        <row r="9054">
          <cell r="I9054" t="str">
            <v>sim</v>
          </cell>
          <cell r="V9054" t="str">
            <v>not neg pair</v>
          </cell>
          <cell r="W9054">
            <v>0</v>
          </cell>
          <cell r="X9054" t="str">
            <v>0</v>
          </cell>
        </row>
        <row r="9055">
          <cell r="I9055" t="str">
            <v>sim</v>
          </cell>
          <cell r="V9055" t="str">
            <v>not neg pair</v>
          </cell>
          <cell r="W9055">
            <v>0</v>
          </cell>
          <cell r="X9055" t="str">
            <v>0</v>
          </cell>
        </row>
        <row r="9056">
          <cell r="I9056" t="str">
            <v>sim</v>
          </cell>
          <cell r="V9056" t="str">
            <v>antonym</v>
          </cell>
          <cell r="W9056">
            <v>1</v>
          </cell>
          <cell r="X9056" t="str">
            <v>intens</v>
          </cell>
        </row>
        <row r="9057">
          <cell r="I9057" t="str">
            <v>sim</v>
          </cell>
          <cell r="V9057" t="str">
            <v>antonym</v>
          </cell>
          <cell r="W9057">
            <v>1</v>
          </cell>
          <cell r="X9057" t="str">
            <v>neg</v>
          </cell>
        </row>
        <row r="9058">
          <cell r="I9058" t="str">
            <v>sim</v>
          </cell>
          <cell r="V9058" t="str">
            <v>not neg pair</v>
          </cell>
          <cell r="W9058">
            <v>0</v>
          </cell>
          <cell r="X9058" t="str">
            <v>0</v>
          </cell>
        </row>
        <row r="9059">
          <cell r="I9059" t="str">
            <v>sim</v>
          </cell>
          <cell r="V9059" t="str">
            <v>not neg pair</v>
          </cell>
          <cell r="W9059">
            <v>0</v>
          </cell>
          <cell r="X9059" t="str">
            <v>0</v>
          </cell>
        </row>
        <row r="9060">
          <cell r="I9060" t="str">
            <v>sim</v>
          </cell>
          <cell r="V9060" t="str">
            <v>antonym</v>
          </cell>
          <cell r="W9060">
            <v>1</v>
          </cell>
          <cell r="X9060" t="str">
            <v>neg</v>
          </cell>
        </row>
        <row r="9061">
          <cell r="I9061" t="str">
            <v>sim</v>
          </cell>
          <cell r="V9061" t="str">
            <v>antonym</v>
          </cell>
          <cell r="W9061">
            <v>1</v>
          </cell>
          <cell r="X9061" t="str">
            <v>intens</v>
          </cell>
        </row>
        <row r="9062">
          <cell r="I9062" t="str">
            <v>sim</v>
          </cell>
          <cell r="V9062" t="str">
            <v>not neg pair</v>
          </cell>
          <cell r="W9062">
            <v>0</v>
          </cell>
          <cell r="X9062" t="str">
            <v>0</v>
          </cell>
        </row>
        <row r="9063">
          <cell r="I9063" t="str">
            <v>sim</v>
          </cell>
          <cell r="V9063" t="str">
            <v>not neg pair</v>
          </cell>
          <cell r="W9063">
            <v>0</v>
          </cell>
          <cell r="X9063" t="str">
            <v>0</v>
          </cell>
        </row>
        <row r="9064">
          <cell r="I9064" t="str">
            <v>sim</v>
          </cell>
          <cell r="V9064" t="str">
            <v>not neg pair</v>
          </cell>
          <cell r="W9064">
            <v>0</v>
          </cell>
          <cell r="X9064" t="str">
            <v>0</v>
          </cell>
        </row>
        <row r="9065">
          <cell r="I9065" t="str">
            <v>sim</v>
          </cell>
          <cell r="V9065" t="str">
            <v>not neg pair</v>
          </cell>
          <cell r="W9065">
            <v>0</v>
          </cell>
          <cell r="X9065" t="str">
            <v>0</v>
          </cell>
        </row>
        <row r="9066">
          <cell r="I9066" t="str">
            <v>sim</v>
          </cell>
          <cell r="V9066" t="str">
            <v>not neg pair</v>
          </cell>
          <cell r="W9066">
            <v>0</v>
          </cell>
          <cell r="X9066" t="str">
            <v>0</v>
          </cell>
        </row>
        <row r="9067">
          <cell r="I9067" t="str">
            <v>sim</v>
          </cell>
          <cell r="V9067" t="str">
            <v>not neg pair</v>
          </cell>
          <cell r="W9067">
            <v>0</v>
          </cell>
          <cell r="X9067" t="str">
            <v>0</v>
          </cell>
        </row>
        <row r="9068">
          <cell r="I9068" t="str">
            <v>met</v>
          </cell>
          <cell r="V9068" t="str">
            <v>0</v>
          </cell>
          <cell r="W9068">
            <v>0</v>
          </cell>
          <cell r="X9068" t="str">
            <v>0</v>
          </cell>
        </row>
        <row r="9069">
          <cell r="I9069" t="str">
            <v>met</v>
          </cell>
          <cell r="V9069" t="str">
            <v>0</v>
          </cell>
          <cell r="W9069">
            <v>0</v>
          </cell>
          <cell r="X9069" t="str">
            <v>0</v>
          </cell>
        </row>
        <row r="9070">
          <cell r="I9070" t="str">
            <v>met</v>
          </cell>
          <cell r="V9070" t="str">
            <v>0</v>
          </cell>
          <cell r="W9070">
            <v>0</v>
          </cell>
          <cell r="X9070" t="str">
            <v>0</v>
          </cell>
        </row>
        <row r="9071">
          <cell r="I9071" t="str">
            <v>met</v>
          </cell>
          <cell r="V9071" t="str">
            <v>0</v>
          </cell>
          <cell r="W9071">
            <v>0</v>
          </cell>
          <cell r="X9071" t="str">
            <v>0</v>
          </cell>
        </row>
        <row r="9072">
          <cell r="I9072" t="str">
            <v>met</v>
          </cell>
          <cell r="V9072" t="str">
            <v>0</v>
          </cell>
          <cell r="W9072">
            <v>0</v>
          </cell>
          <cell r="X9072" t="str">
            <v>0</v>
          </cell>
        </row>
        <row r="9073">
          <cell r="I9073" t="str">
            <v>met</v>
          </cell>
          <cell r="V9073" t="str">
            <v>0</v>
          </cell>
          <cell r="W9073">
            <v>0</v>
          </cell>
          <cell r="X9073" t="str">
            <v>0</v>
          </cell>
        </row>
        <row r="9074">
          <cell r="I9074" t="str">
            <v>sim</v>
          </cell>
          <cell r="V9074" t="str">
            <v>not neg pair</v>
          </cell>
          <cell r="W9074">
            <v>0</v>
          </cell>
          <cell r="X9074" t="str">
            <v>0</v>
          </cell>
        </row>
        <row r="9075">
          <cell r="I9075" t="str">
            <v>sim</v>
          </cell>
          <cell r="V9075" t="str">
            <v>not neg pair</v>
          </cell>
          <cell r="W9075">
            <v>0</v>
          </cell>
          <cell r="X9075" t="str">
            <v>0</v>
          </cell>
        </row>
        <row r="9076">
          <cell r="I9076" t="str">
            <v>met</v>
          </cell>
          <cell r="V9076" t="str">
            <v>0</v>
          </cell>
          <cell r="W9076">
            <v>0</v>
          </cell>
          <cell r="X9076" t="str">
            <v>0</v>
          </cell>
        </row>
        <row r="9077">
          <cell r="I9077" t="str">
            <v>met</v>
          </cell>
          <cell r="V9077" t="str">
            <v>0</v>
          </cell>
          <cell r="W9077">
            <v>0</v>
          </cell>
          <cell r="X9077" t="str">
            <v>0</v>
          </cell>
        </row>
        <row r="9078">
          <cell r="I9078" t="str">
            <v>met</v>
          </cell>
          <cell r="V9078" t="str">
            <v>0</v>
          </cell>
          <cell r="W9078">
            <v>0</v>
          </cell>
          <cell r="X9078" t="str">
            <v>0</v>
          </cell>
        </row>
        <row r="9079">
          <cell r="I9079" t="str">
            <v>sim</v>
          </cell>
          <cell r="V9079" t="str">
            <v>not neg pair</v>
          </cell>
          <cell r="W9079">
            <v>0</v>
          </cell>
          <cell r="X9079" t="str">
            <v>0</v>
          </cell>
        </row>
        <row r="9080">
          <cell r="I9080" t="str">
            <v>sim</v>
          </cell>
          <cell r="V9080" t="str">
            <v>not neg pair</v>
          </cell>
          <cell r="W9080">
            <v>0</v>
          </cell>
          <cell r="X9080" t="str">
            <v>0</v>
          </cell>
        </row>
        <row r="9081">
          <cell r="I9081" t="str">
            <v>met</v>
          </cell>
          <cell r="V9081" t="str">
            <v>0</v>
          </cell>
          <cell r="W9081">
            <v>0</v>
          </cell>
          <cell r="X9081" t="str">
            <v>0</v>
          </cell>
        </row>
        <row r="9082">
          <cell r="I9082" t="str">
            <v>sim</v>
          </cell>
          <cell r="V9082" t="str">
            <v>not neg pair</v>
          </cell>
          <cell r="W9082">
            <v>0</v>
          </cell>
          <cell r="X9082" t="str">
            <v>0</v>
          </cell>
        </row>
        <row r="9083">
          <cell r="I9083" t="str">
            <v>met</v>
          </cell>
          <cell r="V9083" t="str">
            <v>0</v>
          </cell>
          <cell r="W9083">
            <v>0</v>
          </cell>
          <cell r="X9083" t="str">
            <v>0</v>
          </cell>
        </row>
        <row r="9084">
          <cell r="I9084" t="str">
            <v>sim</v>
          </cell>
          <cell r="V9084" t="str">
            <v>not neg pair</v>
          </cell>
          <cell r="W9084">
            <v>0</v>
          </cell>
          <cell r="X9084" t="str">
            <v>0</v>
          </cell>
        </row>
        <row r="9085">
          <cell r="I9085" t="str">
            <v>sim</v>
          </cell>
          <cell r="V9085" t="str">
            <v>not neg pair</v>
          </cell>
          <cell r="W9085">
            <v>0</v>
          </cell>
          <cell r="X9085" t="str">
            <v>0</v>
          </cell>
        </row>
        <row r="9086">
          <cell r="I9086" t="str">
            <v>met</v>
          </cell>
          <cell r="V9086" t="str">
            <v>0</v>
          </cell>
          <cell r="W9086">
            <v>0</v>
          </cell>
          <cell r="X9086" t="str">
            <v>0</v>
          </cell>
        </row>
        <row r="9087">
          <cell r="I9087" t="str">
            <v>met</v>
          </cell>
          <cell r="V9087" t="str">
            <v>0</v>
          </cell>
          <cell r="W9087">
            <v>0</v>
          </cell>
          <cell r="X9087" t="str">
            <v>0</v>
          </cell>
        </row>
        <row r="9088">
          <cell r="I9088" t="str">
            <v>sim</v>
          </cell>
          <cell r="V9088" t="str">
            <v>not neg pair</v>
          </cell>
          <cell r="W9088">
            <v>0</v>
          </cell>
          <cell r="X9088" t="str">
            <v>0</v>
          </cell>
        </row>
        <row r="9089">
          <cell r="I9089" t="str">
            <v>sim</v>
          </cell>
          <cell r="V9089" t="str">
            <v>not neg pair</v>
          </cell>
          <cell r="W9089">
            <v>0</v>
          </cell>
          <cell r="X9089" t="str">
            <v>0</v>
          </cell>
        </row>
        <row r="9090">
          <cell r="I9090" t="str">
            <v>sim</v>
          </cell>
          <cell r="V9090" t="str">
            <v>antonym</v>
          </cell>
          <cell r="W9090">
            <v>1</v>
          </cell>
          <cell r="X9090" t="str">
            <v>intens</v>
          </cell>
        </row>
        <row r="9091">
          <cell r="I9091" t="str">
            <v>sim</v>
          </cell>
          <cell r="V9091" t="str">
            <v>antonym</v>
          </cell>
          <cell r="W9091">
            <v>1</v>
          </cell>
          <cell r="X9091" t="str">
            <v>neg</v>
          </cell>
        </row>
        <row r="9092">
          <cell r="I9092" t="str">
            <v>sim</v>
          </cell>
          <cell r="V9092" t="str">
            <v>not</v>
          </cell>
          <cell r="W9092">
            <v>1</v>
          </cell>
          <cell r="X9092" t="str">
            <v>intens</v>
          </cell>
        </row>
        <row r="9093">
          <cell r="I9093" t="str">
            <v>sim</v>
          </cell>
          <cell r="V9093" t="str">
            <v>not</v>
          </cell>
          <cell r="W9093">
            <v>1</v>
          </cell>
          <cell r="X9093" t="str">
            <v>neg</v>
          </cell>
        </row>
        <row r="9094">
          <cell r="I9094" t="str">
            <v>sim</v>
          </cell>
          <cell r="V9094" t="str">
            <v>antonym</v>
          </cell>
          <cell r="W9094">
            <v>1</v>
          </cell>
          <cell r="X9094" t="str">
            <v>neg</v>
          </cell>
        </row>
        <row r="9095">
          <cell r="I9095" t="str">
            <v>sim</v>
          </cell>
          <cell r="V9095" t="str">
            <v>antonym</v>
          </cell>
          <cell r="W9095">
            <v>1</v>
          </cell>
          <cell r="X9095" t="str">
            <v>intens</v>
          </cell>
        </row>
        <row r="9096">
          <cell r="I9096" t="str">
            <v>sim</v>
          </cell>
          <cell r="V9096" t="str">
            <v>not neg pair</v>
          </cell>
          <cell r="W9096">
            <v>0</v>
          </cell>
          <cell r="X9096" t="str">
            <v>0</v>
          </cell>
        </row>
        <row r="9097">
          <cell r="I9097" t="str">
            <v>sim</v>
          </cell>
          <cell r="V9097" t="str">
            <v>not neg pair</v>
          </cell>
          <cell r="W9097">
            <v>0</v>
          </cell>
          <cell r="X9097" t="str">
            <v>0</v>
          </cell>
        </row>
        <row r="9098">
          <cell r="I9098" t="str">
            <v>sim</v>
          </cell>
          <cell r="V9098" t="str">
            <v>not neg pair</v>
          </cell>
          <cell r="W9098">
            <v>0</v>
          </cell>
          <cell r="X9098" t="str">
            <v>0</v>
          </cell>
        </row>
        <row r="9099">
          <cell r="I9099" t="str">
            <v>sim</v>
          </cell>
          <cell r="V9099" t="str">
            <v>not neg pair</v>
          </cell>
          <cell r="W9099">
            <v>0</v>
          </cell>
          <cell r="X9099" t="str">
            <v>0</v>
          </cell>
        </row>
        <row r="9100">
          <cell r="I9100" t="str">
            <v>sim</v>
          </cell>
          <cell r="V9100" t="str">
            <v>not neg pair</v>
          </cell>
          <cell r="W9100">
            <v>0</v>
          </cell>
          <cell r="X9100" t="str">
            <v>0</v>
          </cell>
        </row>
        <row r="9101">
          <cell r="I9101" t="str">
            <v>sim</v>
          </cell>
          <cell r="V9101" t="str">
            <v>not neg pair</v>
          </cell>
          <cell r="W9101">
            <v>0</v>
          </cell>
          <cell r="X9101" t="str">
            <v>0</v>
          </cell>
        </row>
        <row r="9102">
          <cell r="I9102" t="str">
            <v>sim</v>
          </cell>
          <cell r="V9102" t="str">
            <v>0</v>
          </cell>
          <cell r="W9102">
            <v>0</v>
          </cell>
          <cell r="X9102" t="str">
            <v>0</v>
          </cell>
        </row>
        <row r="9103">
          <cell r="I9103" t="str">
            <v>met</v>
          </cell>
          <cell r="V9103" t="str">
            <v>0</v>
          </cell>
          <cell r="W9103">
            <v>0</v>
          </cell>
          <cell r="X9103" t="str">
            <v>0</v>
          </cell>
        </row>
        <row r="9104">
          <cell r="I9104" t="str">
            <v>sim</v>
          </cell>
          <cell r="V9104" t="str">
            <v>not neg pair</v>
          </cell>
          <cell r="W9104">
            <v>0</v>
          </cell>
          <cell r="X9104" t="str">
            <v>0</v>
          </cell>
        </row>
        <row r="9105">
          <cell r="I9105" t="str">
            <v>sim</v>
          </cell>
          <cell r="V9105" t="str">
            <v>not neg pair</v>
          </cell>
          <cell r="W9105">
            <v>0</v>
          </cell>
          <cell r="X9105" t="str">
            <v>0</v>
          </cell>
        </row>
        <row r="9106">
          <cell r="I9106" t="str">
            <v>sim</v>
          </cell>
          <cell r="V9106" t="str">
            <v>antonym</v>
          </cell>
          <cell r="W9106">
            <v>1</v>
          </cell>
          <cell r="X9106" t="str">
            <v>neg</v>
          </cell>
        </row>
        <row r="9107">
          <cell r="I9107" t="str">
            <v>sim</v>
          </cell>
          <cell r="V9107" t="str">
            <v>antonym</v>
          </cell>
          <cell r="W9107">
            <v>1</v>
          </cell>
          <cell r="X9107" t="str">
            <v>intens</v>
          </cell>
        </row>
        <row r="9108">
          <cell r="I9108" t="str">
            <v>sim</v>
          </cell>
          <cell r="V9108" t="str">
            <v>not neg pair</v>
          </cell>
          <cell r="W9108">
            <v>0</v>
          </cell>
          <cell r="X9108" t="str">
            <v>0</v>
          </cell>
        </row>
        <row r="9109">
          <cell r="I9109" t="str">
            <v>sim</v>
          </cell>
          <cell r="V9109" t="str">
            <v>not neg pair</v>
          </cell>
          <cell r="W9109">
            <v>0</v>
          </cell>
          <cell r="X9109" t="str">
            <v>0</v>
          </cell>
        </row>
        <row r="9110">
          <cell r="I9110" t="str">
            <v>sim</v>
          </cell>
          <cell r="V9110" t="str">
            <v>not neg pair</v>
          </cell>
          <cell r="W9110">
            <v>0</v>
          </cell>
          <cell r="X9110" t="str">
            <v>0</v>
          </cell>
        </row>
        <row r="9111">
          <cell r="I9111" t="str">
            <v>sim</v>
          </cell>
          <cell r="V9111" t="str">
            <v>not neg pair</v>
          </cell>
          <cell r="W9111">
            <v>0</v>
          </cell>
          <cell r="X9111" t="str">
            <v>0</v>
          </cell>
        </row>
        <row r="9112">
          <cell r="W9112">
            <v>0</v>
          </cell>
        </row>
        <row r="9113">
          <cell r="W9113">
            <v>0</v>
          </cell>
        </row>
        <row r="9114">
          <cell r="W9114">
            <v>0</v>
          </cell>
        </row>
        <row r="9115">
          <cell r="W9115">
            <v>0</v>
          </cell>
        </row>
        <row r="9116">
          <cell r="W9116">
            <v>0</v>
          </cell>
        </row>
        <row r="9117">
          <cell r="W9117">
            <v>0</v>
          </cell>
        </row>
        <row r="9118">
          <cell r="W9118">
            <v>0</v>
          </cell>
        </row>
        <row r="9119">
          <cell r="W9119">
            <v>0</v>
          </cell>
        </row>
        <row r="9120">
          <cell r="W9120">
            <v>0</v>
          </cell>
        </row>
        <row r="9121">
          <cell r="W9121">
            <v>0</v>
          </cell>
        </row>
        <row r="9122">
          <cell r="W9122">
            <v>0</v>
          </cell>
        </row>
        <row r="9123">
          <cell r="W9123">
            <v>0</v>
          </cell>
        </row>
        <row r="9124">
          <cell r="W9124">
            <v>0</v>
          </cell>
        </row>
        <row r="9125">
          <cell r="W9125">
            <v>0</v>
          </cell>
        </row>
        <row r="9126">
          <cell r="W9126">
            <v>0</v>
          </cell>
        </row>
        <row r="9127">
          <cell r="W9127">
            <v>0</v>
          </cell>
        </row>
        <row r="9128">
          <cell r="W9128">
            <v>0</v>
          </cell>
        </row>
        <row r="9129">
          <cell r="W9129">
            <v>0</v>
          </cell>
        </row>
        <row r="9130">
          <cell r="W9130">
            <v>0</v>
          </cell>
        </row>
        <row r="9131">
          <cell r="W9131">
            <v>0</v>
          </cell>
        </row>
        <row r="9132">
          <cell r="W9132">
            <v>0</v>
          </cell>
        </row>
        <row r="9133">
          <cell r="W9133">
            <v>0</v>
          </cell>
        </row>
        <row r="9134">
          <cell r="W9134">
            <v>0</v>
          </cell>
        </row>
        <row r="9135">
          <cell r="W9135">
            <v>0</v>
          </cell>
        </row>
        <row r="9136">
          <cell r="W9136">
            <v>0</v>
          </cell>
        </row>
        <row r="9137">
          <cell r="W9137">
            <v>0</v>
          </cell>
        </row>
        <row r="9138">
          <cell r="W9138">
            <v>0</v>
          </cell>
        </row>
        <row r="9139">
          <cell r="W9139">
            <v>0</v>
          </cell>
        </row>
        <row r="9140">
          <cell r="W9140">
            <v>0</v>
          </cell>
        </row>
        <row r="9141">
          <cell r="W9141">
            <v>0</v>
          </cell>
        </row>
        <row r="9142">
          <cell r="W9142">
            <v>0</v>
          </cell>
        </row>
        <row r="9143">
          <cell r="W9143">
            <v>0</v>
          </cell>
        </row>
        <row r="9144">
          <cell r="W9144">
            <v>0</v>
          </cell>
        </row>
        <row r="9145">
          <cell r="W9145">
            <v>0</v>
          </cell>
        </row>
        <row r="9146">
          <cell r="W9146">
            <v>0</v>
          </cell>
        </row>
        <row r="9147">
          <cell r="W9147">
            <v>0</v>
          </cell>
        </row>
        <row r="9148">
          <cell r="W9148">
            <v>0</v>
          </cell>
        </row>
        <row r="9149">
          <cell r="W9149">
            <v>0</v>
          </cell>
        </row>
        <row r="9150">
          <cell r="W9150">
            <v>0</v>
          </cell>
        </row>
        <row r="9151">
          <cell r="W9151">
            <v>0</v>
          </cell>
        </row>
        <row r="9152">
          <cell r="W9152">
            <v>0</v>
          </cell>
        </row>
        <row r="9153">
          <cell r="W9153">
            <v>0</v>
          </cell>
        </row>
        <row r="9154">
          <cell r="W9154">
            <v>0</v>
          </cell>
        </row>
        <row r="9155">
          <cell r="W9155">
            <v>0</v>
          </cell>
        </row>
        <row r="9156">
          <cell r="W9156">
            <v>0</v>
          </cell>
        </row>
        <row r="9157">
          <cell r="W9157">
            <v>0</v>
          </cell>
        </row>
        <row r="9158">
          <cell r="W9158">
            <v>0</v>
          </cell>
        </row>
        <row r="9159">
          <cell r="W9159">
            <v>0</v>
          </cell>
        </row>
        <row r="9160">
          <cell r="W9160">
            <v>0</v>
          </cell>
        </row>
        <row r="9161">
          <cell r="W9161">
            <v>0</v>
          </cell>
        </row>
        <row r="9162">
          <cell r="W9162">
            <v>0</v>
          </cell>
        </row>
        <row r="9163">
          <cell r="W9163">
            <v>0</v>
          </cell>
        </row>
        <row r="9164">
          <cell r="W9164">
            <v>0</v>
          </cell>
        </row>
        <row r="9165">
          <cell r="W9165">
            <v>0</v>
          </cell>
        </row>
        <row r="9166">
          <cell r="W9166">
            <v>0</v>
          </cell>
        </row>
        <row r="9167">
          <cell r="W9167">
            <v>0</v>
          </cell>
        </row>
        <row r="9168">
          <cell r="W9168">
            <v>0</v>
          </cell>
        </row>
        <row r="9169">
          <cell r="W9169">
            <v>0</v>
          </cell>
        </row>
        <row r="9170">
          <cell r="W9170">
            <v>0</v>
          </cell>
        </row>
        <row r="9171">
          <cell r="W9171">
            <v>0</v>
          </cell>
        </row>
        <row r="9172">
          <cell r="W9172">
            <v>0</v>
          </cell>
        </row>
        <row r="9173">
          <cell r="W9173">
            <v>0</v>
          </cell>
        </row>
        <row r="9174">
          <cell r="W9174">
            <v>0</v>
          </cell>
        </row>
        <row r="9175">
          <cell r="W9175">
            <v>0</v>
          </cell>
        </row>
        <row r="9176">
          <cell r="W9176">
            <v>0</v>
          </cell>
        </row>
        <row r="9177">
          <cell r="W9177">
            <v>0</v>
          </cell>
        </row>
        <row r="9178">
          <cell r="W9178">
            <v>0</v>
          </cell>
        </row>
        <row r="9179">
          <cell r="W9179">
            <v>0</v>
          </cell>
        </row>
        <row r="9180">
          <cell r="W9180">
            <v>0</v>
          </cell>
        </row>
        <row r="9181">
          <cell r="W9181">
            <v>0</v>
          </cell>
        </row>
        <row r="9182">
          <cell r="W9182">
            <v>0</v>
          </cell>
        </row>
        <row r="9183">
          <cell r="W9183">
            <v>0</v>
          </cell>
        </row>
        <row r="9184">
          <cell r="W9184">
            <v>0</v>
          </cell>
        </row>
        <row r="9185">
          <cell r="W9185">
            <v>0</v>
          </cell>
        </row>
        <row r="9186">
          <cell r="W9186">
            <v>0</v>
          </cell>
        </row>
        <row r="9187">
          <cell r="W9187">
            <v>0</v>
          </cell>
        </row>
        <row r="9188">
          <cell r="W9188">
            <v>0</v>
          </cell>
        </row>
        <row r="9189">
          <cell r="W9189">
            <v>0</v>
          </cell>
        </row>
        <row r="9190">
          <cell r="W9190">
            <v>0</v>
          </cell>
        </row>
        <row r="9191">
          <cell r="W9191">
            <v>0</v>
          </cell>
        </row>
        <row r="9192">
          <cell r="W9192">
            <v>0</v>
          </cell>
        </row>
        <row r="9193">
          <cell r="W9193">
            <v>0</v>
          </cell>
        </row>
        <row r="9194">
          <cell r="W9194">
            <v>0</v>
          </cell>
        </row>
        <row r="9195">
          <cell r="W9195">
            <v>0</v>
          </cell>
        </row>
        <row r="9196">
          <cell r="W9196">
            <v>0</v>
          </cell>
        </row>
        <row r="9197">
          <cell r="W9197">
            <v>0</v>
          </cell>
        </row>
        <row r="9198">
          <cell r="W9198">
            <v>0</v>
          </cell>
        </row>
        <row r="9199">
          <cell r="W9199">
            <v>0</v>
          </cell>
        </row>
        <row r="9200">
          <cell r="W9200">
            <v>0</v>
          </cell>
        </row>
        <row r="9201">
          <cell r="W9201">
            <v>0</v>
          </cell>
        </row>
        <row r="9202">
          <cell r="W9202">
            <v>0</v>
          </cell>
        </row>
        <row r="9203">
          <cell r="W9203">
            <v>0</v>
          </cell>
        </row>
        <row r="9204">
          <cell r="W9204">
            <v>0</v>
          </cell>
        </row>
        <row r="9205">
          <cell r="W9205">
            <v>0</v>
          </cell>
        </row>
        <row r="9206">
          <cell r="W9206">
            <v>0</v>
          </cell>
        </row>
        <row r="9207">
          <cell r="W9207">
            <v>0</v>
          </cell>
        </row>
        <row r="9208">
          <cell r="W9208">
            <v>0</v>
          </cell>
        </row>
        <row r="9209">
          <cell r="W9209">
            <v>0</v>
          </cell>
        </row>
        <row r="9210">
          <cell r="W9210">
            <v>0</v>
          </cell>
        </row>
        <row r="9211">
          <cell r="W9211">
            <v>0</v>
          </cell>
        </row>
        <row r="9212">
          <cell r="W9212">
            <v>0</v>
          </cell>
        </row>
        <row r="9213">
          <cell r="W9213">
            <v>0</v>
          </cell>
        </row>
        <row r="9214">
          <cell r="W9214">
            <v>0</v>
          </cell>
        </row>
        <row r="9215">
          <cell r="W9215">
            <v>0</v>
          </cell>
        </row>
        <row r="9216">
          <cell r="W9216">
            <v>0</v>
          </cell>
        </row>
        <row r="9217">
          <cell r="W9217">
            <v>0</v>
          </cell>
        </row>
        <row r="9218">
          <cell r="W9218">
            <v>0</v>
          </cell>
        </row>
        <row r="9219">
          <cell r="W9219">
            <v>0</v>
          </cell>
        </row>
        <row r="9220">
          <cell r="W9220">
            <v>0</v>
          </cell>
        </row>
        <row r="9221">
          <cell r="W9221">
            <v>0</v>
          </cell>
        </row>
        <row r="9222">
          <cell r="W9222">
            <v>0</v>
          </cell>
        </row>
        <row r="9223">
          <cell r="W9223">
            <v>0</v>
          </cell>
        </row>
        <row r="9224">
          <cell r="W9224">
            <v>0</v>
          </cell>
        </row>
        <row r="9225">
          <cell r="W9225">
            <v>0</v>
          </cell>
        </row>
        <row r="9226">
          <cell r="W9226">
            <v>0</v>
          </cell>
        </row>
        <row r="9227">
          <cell r="W9227">
            <v>0</v>
          </cell>
        </row>
        <row r="9228">
          <cell r="W9228">
            <v>0</v>
          </cell>
        </row>
        <row r="9229">
          <cell r="W9229">
            <v>0</v>
          </cell>
        </row>
        <row r="9230">
          <cell r="W9230">
            <v>0</v>
          </cell>
        </row>
        <row r="9231">
          <cell r="W9231">
            <v>0</v>
          </cell>
        </row>
        <row r="9232">
          <cell r="W9232">
            <v>0</v>
          </cell>
        </row>
        <row r="9233">
          <cell r="W9233">
            <v>0</v>
          </cell>
        </row>
        <row r="9234">
          <cell r="W9234">
            <v>0</v>
          </cell>
        </row>
        <row r="9235">
          <cell r="W9235">
            <v>0</v>
          </cell>
        </row>
        <row r="9236">
          <cell r="W9236">
            <v>0</v>
          </cell>
        </row>
        <row r="9237">
          <cell r="W9237">
            <v>0</v>
          </cell>
        </row>
        <row r="9238">
          <cell r="W9238">
            <v>0</v>
          </cell>
        </row>
        <row r="9239">
          <cell r="W9239">
            <v>0</v>
          </cell>
        </row>
        <row r="9240">
          <cell r="W9240">
            <v>0</v>
          </cell>
        </row>
        <row r="9241">
          <cell r="W9241">
            <v>0</v>
          </cell>
        </row>
        <row r="9242">
          <cell r="W9242">
            <v>0</v>
          </cell>
        </row>
        <row r="9243">
          <cell r="W9243">
            <v>0</v>
          </cell>
        </row>
        <row r="9244">
          <cell r="W9244">
            <v>0</v>
          </cell>
        </row>
        <row r="9245">
          <cell r="W9245">
            <v>0</v>
          </cell>
        </row>
        <row r="9246">
          <cell r="W9246">
            <v>0</v>
          </cell>
        </row>
        <row r="9247">
          <cell r="W9247">
            <v>0</v>
          </cell>
        </row>
        <row r="9248">
          <cell r="W9248">
            <v>0</v>
          </cell>
        </row>
        <row r="9249">
          <cell r="W9249">
            <v>0</v>
          </cell>
        </row>
        <row r="9250">
          <cell r="W9250">
            <v>0</v>
          </cell>
        </row>
        <row r="9251">
          <cell r="W9251">
            <v>0</v>
          </cell>
        </row>
        <row r="9252">
          <cell r="W9252">
            <v>0</v>
          </cell>
        </row>
        <row r="9253">
          <cell r="W9253">
            <v>0</v>
          </cell>
        </row>
        <row r="9254">
          <cell r="W9254">
            <v>0</v>
          </cell>
        </row>
        <row r="9255">
          <cell r="W9255">
            <v>0</v>
          </cell>
        </row>
        <row r="9256">
          <cell r="W9256">
            <v>0</v>
          </cell>
        </row>
        <row r="9257">
          <cell r="W9257">
            <v>0</v>
          </cell>
        </row>
        <row r="9258">
          <cell r="W9258">
            <v>0</v>
          </cell>
        </row>
        <row r="9259">
          <cell r="W9259">
            <v>0</v>
          </cell>
        </row>
        <row r="9260">
          <cell r="W9260">
            <v>0</v>
          </cell>
        </row>
        <row r="9261">
          <cell r="W9261">
            <v>0</v>
          </cell>
        </row>
        <row r="9262">
          <cell r="W9262">
            <v>0</v>
          </cell>
        </row>
        <row r="9263">
          <cell r="W9263">
            <v>0</v>
          </cell>
        </row>
        <row r="9264">
          <cell r="W9264">
            <v>0</v>
          </cell>
        </row>
        <row r="9265">
          <cell r="W9265">
            <v>0</v>
          </cell>
        </row>
        <row r="9266">
          <cell r="W9266">
            <v>0</v>
          </cell>
        </row>
        <row r="9267">
          <cell r="W9267">
            <v>0</v>
          </cell>
        </row>
        <row r="9268">
          <cell r="W9268">
            <v>0</v>
          </cell>
        </row>
        <row r="9269">
          <cell r="W9269">
            <v>0</v>
          </cell>
        </row>
        <row r="9270">
          <cell r="W9270">
            <v>0</v>
          </cell>
        </row>
        <row r="9271">
          <cell r="W9271">
            <v>0</v>
          </cell>
        </row>
        <row r="9272">
          <cell r="W9272">
            <v>0</v>
          </cell>
        </row>
        <row r="9273">
          <cell r="W9273">
            <v>0</v>
          </cell>
        </row>
        <row r="9274">
          <cell r="W9274">
            <v>0</v>
          </cell>
        </row>
        <row r="9275">
          <cell r="W9275">
            <v>0</v>
          </cell>
        </row>
        <row r="9276">
          <cell r="W9276">
            <v>0</v>
          </cell>
        </row>
        <row r="9277">
          <cell r="W9277">
            <v>0</v>
          </cell>
        </row>
        <row r="9278">
          <cell r="W9278">
            <v>0</v>
          </cell>
        </row>
        <row r="9279">
          <cell r="W9279">
            <v>0</v>
          </cell>
        </row>
        <row r="9280">
          <cell r="W9280">
            <v>0</v>
          </cell>
        </row>
        <row r="9281">
          <cell r="W9281">
            <v>0</v>
          </cell>
        </row>
        <row r="9282">
          <cell r="W9282">
            <v>0</v>
          </cell>
        </row>
        <row r="9283">
          <cell r="W9283">
            <v>0</v>
          </cell>
        </row>
        <row r="9284">
          <cell r="W9284">
            <v>0</v>
          </cell>
        </row>
        <row r="9285">
          <cell r="W9285">
            <v>0</v>
          </cell>
        </row>
        <row r="9286">
          <cell r="W9286">
            <v>0</v>
          </cell>
        </row>
        <row r="9287">
          <cell r="W9287">
            <v>0</v>
          </cell>
        </row>
        <row r="9288">
          <cell r="W9288">
            <v>0</v>
          </cell>
        </row>
        <row r="9289">
          <cell r="W9289">
            <v>0</v>
          </cell>
        </row>
        <row r="9290">
          <cell r="W9290">
            <v>0</v>
          </cell>
        </row>
        <row r="9291">
          <cell r="W9291">
            <v>0</v>
          </cell>
        </row>
        <row r="9292">
          <cell r="W9292">
            <v>0</v>
          </cell>
        </row>
        <row r="9293">
          <cell r="W9293">
            <v>0</v>
          </cell>
        </row>
        <row r="9294">
          <cell r="W9294">
            <v>0</v>
          </cell>
        </row>
        <row r="9295">
          <cell r="W9295">
            <v>0</v>
          </cell>
        </row>
        <row r="9296">
          <cell r="W9296">
            <v>0</v>
          </cell>
        </row>
        <row r="9297">
          <cell r="W9297">
            <v>0</v>
          </cell>
        </row>
        <row r="9298">
          <cell r="W9298">
            <v>0</v>
          </cell>
        </row>
        <row r="9299">
          <cell r="W9299">
            <v>0</v>
          </cell>
        </row>
        <row r="9300">
          <cell r="W9300">
            <v>0</v>
          </cell>
        </row>
        <row r="9301">
          <cell r="W9301">
            <v>0</v>
          </cell>
        </row>
        <row r="9302">
          <cell r="W9302">
            <v>0</v>
          </cell>
        </row>
        <row r="9303">
          <cell r="W9303">
            <v>0</v>
          </cell>
        </row>
        <row r="9304">
          <cell r="W9304">
            <v>0</v>
          </cell>
        </row>
        <row r="9305">
          <cell r="W9305">
            <v>0</v>
          </cell>
        </row>
        <row r="9306">
          <cell r="W9306">
            <v>0</v>
          </cell>
        </row>
        <row r="9307">
          <cell r="W9307">
            <v>0</v>
          </cell>
        </row>
        <row r="9308">
          <cell r="W9308">
            <v>0</v>
          </cell>
        </row>
        <row r="9309">
          <cell r="W9309">
            <v>0</v>
          </cell>
        </row>
        <row r="9310">
          <cell r="W9310">
            <v>0</v>
          </cell>
        </row>
        <row r="9311">
          <cell r="W9311">
            <v>0</v>
          </cell>
        </row>
        <row r="9312">
          <cell r="W9312">
            <v>0</v>
          </cell>
        </row>
        <row r="9313">
          <cell r="W9313">
            <v>0</v>
          </cell>
        </row>
        <row r="9314">
          <cell r="W9314">
            <v>0</v>
          </cell>
        </row>
        <row r="9315">
          <cell r="W9315">
            <v>0</v>
          </cell>
        </row>
        <row r="9316">
          <cell r="W9316">
            <v>0</v>
          </cell>
        </row>
        <row r="9317">
          <cell r="W9317">
            <v>0</v>
          </cell>
        </row>
        <row r="9318">
          <cell r="W9318">
            <v>0</v>
          </cell>
        </row>
        <row r="9319">
          <cell r="W9319">
            <v>0</v>
          </cell>
        </row>
        <row r="9320">
          <cell r="W9320">
            <v>0</v>
          </cell>
        </row>
        <row r="9321">
          <cell r="W9321">
            <v>0</v>
          </cell>
        </row>
        <row r="9322">
          <cell r="W9322">
            <v>0</v>
          </cell>
        </row>
        <row r="9323">
          <cell r="W9323">
            <v>0</v>
          </cell>
        </row>
        <row r="9324">
          <cell r="W9324">
            <v>0</v>
          </cell>
        </row>
        <row r="9325">
          <cell r="W9325">
            <v>0</v>
          </cell>
        </row>
        <row r="9326">
          <cell r="W9326">
            <v>0</v>
          </cell>
        </row>
        <row r="9327">
          <cell r="W9327">
            <v>0</v>
          </cell>
        </row>
        <row r="9328">
          <cell r="W9328">
            <v>0</v>
          </cell>
        </row>
        <row r="9329">
          <cell r="W9329">
            <v>0</v>
          </cell>
        </row>
        <row r="9330">
          <cell r="W9330">
            <v>0</v>
          </cell>
        </row>
        <row r="9331">
          <cell r="W9331">
            <v>0</v>
          </cell>
        </row>
        <row r="9332">
          <cell r="W9332">
            <v>0</v>
          </cell>
        </row>
        <row r="9333">
          <cell r="W9333">
            <v>0</v>
          </cell>
        </row>
        <row r="9334">
          <cell r="W9334">
            <v>0</v>
          </cell>
        </row>
        <row r="9335">
          <cell r="W9335">
            <v>0</v>
          </cell>
        </row>
        <row r="9336">
          <cell r="W9336">
            <v>0</v>
          </cell>
        </row>
        <row r="9337">
          <cell r="W9337">
            <v>0</v>
          </cell>
        </row>
        <row r="9338">
          <cell r="W9338">
            <v>0</v>
          </cell>
        </row>
        <row r="9339">
          <cell r="W9339">
            <v>0</v>
          </cell>
        </row>
        <row r="9340">
          <cell r="W9340">
            <v>0</v>
          </cell>
        </row>
        <row r="9341">
          <cell r="W9341">
            <v>0</v>
          </cell>
        </row>
        <row r="9342">
          <cell r="W9342">
            <v>0</v>
          </cell>
        </row>
        <row r="9343">
          <cell r="W9343">
            <v>0</v>
          </cell>
        </row>
        <row r="9344">
          <cell r="W9344">
            <v>0</v>
          </cell>
        </row>
        <row r="9345">
          <cell r="W9345">
            <v>0</v>
          </cell>
        </row>
        <row r="9346">
          <cell r="W9346">
            <v>0</v>
          </cell>
        </row>
        <row r="9347">
          <cell r="W9347">
            <v>0</v>
          </cell>
        </row>
        <row r="9348">
          <cell r="W9348">
            <v>0</v>
          </cell>
        </row>
        <row r="9349">
          <cell r="W9349">
            <v>0</v>
          </cell>
        </row>
        <row r="9350">
          <cell r="W9350">
            <v>0</v>
          </cell>
        </row>
        <row r="9351">
          <cell r="W9351">
            <v>0</v>
          </cell>
        </row>
        <row r="9352">
          <cell r="W9352">
            <v>0</v>
          </cell>
        </row>
        <row r="9353">
          <cell r="W9353">
            <v>0</v>
          </cell>
        </row>
        <row r="9354">
          <cell r="W9354">
            <v>0</v>
          </cell>
        </row>
        <row r="9355">
          <cell r="W9355">
            <v>0</v>
          </cell>
        </row>
        <row r="9356">
          <cell r="W9356">
            <v>0</v>
          </cell>
        </row>
        <row r="9357">
          <cell r="W9357">
            <v>0</v>
          </cell>
        </row>
        <row r="9358">
          <cell r="W9358">
            <v>0</v>
          </cell>
        </row>
        <row r="9359">
          <cell r="W9359">
            <v>0</v>
          </cell>
        </row>
        <row r="9360">
          <cell r="W9360">
            <v>0</v>
          </cell>
        </row>
        <row r="9361">
          <cell r="W9361">
            <v>0</v>
          </cell>
        </row>
        <row r="9362">
          <cell r="W9362">
            <v>0</v>
          </cell>
        </row>
        <row r="9363">
          <cell r="W9363">
            <v>0</v>
          </cell>
        </row>
        <row r="9364">
          <cell r="W9364">
            <v>0</v>
          </cell>
        </row>
        <row r="9365">
          <cell r="W9365">
            <v>0</v>
          </cell>
        </row>
        <row r="9366">
          <cell r="W9366">
            <v>0</v>
          </cell>
        </row>
        <row r="9367">
          <cell r="W9367">
            <v>0</v>
          </cell>
        </row>
        <row r="9368">
          <cell r="W9368">
            <v>0</v>
          </cell>
        </row>
        <row r="9369">
          <cell r="W9369">
            <v>0</v>
          </cell>
        </row>
        <row r="9370">
          <cell r="W9370">
            <v>0</v>
          </cell>
        </row>
        <row r="9371">
          <cell r="W9371">
            <v>0</v>
          </cell>
        </row>
        <row r="9372">
          <cell r="W9372">
            <v>0</v>
          </cell>
        </row>
        <row r="9373">
          <cell r="W9373">
            <v>0</v>
          </cell>
        </row>
        <row r="9374">
          <cell r="W9374">
            <v>0</v>
          </cell>
        </row>
        <row r="9375">
          <cell r="W9375">
            <v>0</v>
          </cell>
        </row>
        <row r="9376">
          <cell r="W9376">
            <v>0</v>
          </cell>
        </row>
        <row r="9377">
          <cell r="W9377">
            <v>0</v>
          </cell>
        </row>
        <row r="9378">
          <cell r="W9378">
            <v>0</v>
          </cell>
        </row>
        <row r="9379">
          <cell r="W9379">
            <v>0</v>
          </cell>
        </row>
        <row r="9380">
          <cell r="W9380">
            <v>0</v>
          </cell>
        </row>
        <row r="9381">
          <cell r="W9381">
            <v>0</v>
          </cell>
        </row>
        <row r="9382">
          <cell r="W9382">
            <v>0</v>
          </cell>
        </row>
        <row r="9383">
          <cell r="W9383">
            <v>0</v>
          </cell>
        </row>
        <row r="9384">
          <cell r="W9384">
            <v>0</v>
          </cell>
        </row>
        <row r="9385">
          <cell r="W9385">
            <v>0</v>
          </cell>
        </row>
        <row r="9386">
          <cell r="W9386">
            <v>0</v>
          </cell>
        </row>
        <row r="9387">
          <cell r="W9387">
            <v>0</v>
          </cell>
        </row>
        <row r="9388">
          <cell r="W9388">
            <v>0</v>
          </cell>
        </row>
        <row r="9389">
          <cell r="W9389">
            <v>0</v>
          </cell>
        </row>
        <row r="9390">
          <cell r="W9390">
            <v>0</v>
          </cell>
        </row>
        <row r="9391">
          <cell r="W9391">
            <v>0</v>
          </cell>
        </row>
        <row r="9392">
          <cell r="W9392">
            <v>0</v>
          </cell>
        </row>
        <row r="9393">
          <cell r="W9393">
            <v>0</v>
          </cell>
        </row>
        <row r="9394">
          <cell r="W9394">
            <v>0</v>
          </cell>
        </row>
        <row r="9395">
          <cell r="W9395">
            <v>0</v>
          </cell>
        </row>
        <row r="9396">
          <cell r="W9396">
            <v>0</v>
          </cell>
        </row>
        <row r="9397">
          <cell r="W9397">
            <v>0</v>
          </cell>
        </row>
        <row r="9398">
          <cell r="W9398">
            <v>0</v>
          </cell>
        </row>
        <row r="9399">
          <cell r="W9399">
            <v>0</v>
          </cell>
        </row>
        <row r="9400">
          <cell r="W9400">
            <v>0</v>
          </cell>
        </row>
        <row r="9401">
          <cell r="W9401">
            <v>0</v>
          </cell>
        </row>
        <row r="9402">
          <cell r="W9402">
            <v>0</v>
          </cell>
        </row>
        <row r="9403">
          <cell r="W9403">
            <v>0</v>
          </cell>
        </row>
        <row r="9404">
          <cell r="W9404">
            <v>0</v>
          </cell>
        </row>
        <row r="9405">
          <cell r="W9405">
            <v>0</v>
          </cell>
        </row>
        <row r="9406">
          <cell r="W9406">
            <v>0</v>
          </cell>
        </row>
        <row r="9407">
          <cell r="W9407">
            <v>0</v>
          </cell>
        </row>
        <row r="9408">
          <cell r="W9408">
            <v>0</v>
          </cell>
        </row>
        <row r="9409">
          <cell r="W9409">
            <v>0</v>
          </cell>
        </row>
        <row r="9410">
          <cell r="W9410">
            <v>0</v>
          </cell>
        </row>
        <row r="9411">
          <cell r="W9411">
            <v>0</v>
          </cell>
        </row>
        <row r="9412">
          <cell r="W9412">
            <v>0</v>
          </cell>
        </row>
        <row r="9413">
          <cell r="W9413">
            <v>0</v>
          </cell>
        </row>
        <row r="9414">
          <cell r="W9414">
            <v>0</v>
          </cell>
        </row>
        <row r="9415">
          <cell r="W9415">
            <v>0</v>
          </cell>
        </row>
        <row r="9416">
          <cell r="W9416">
            <v>0</v>
          </cell>
        </row>
        <row r="9417">
          <cell r="W9417">
            <v>0</v>
          </cell>
        </row>
        <row r="9418">
          <cell r="W9418">
            <v>0</v>
          </cell>
        </row>
        <row r="9419">
          <cell r="W9419">
            <v>0</v>
          </cell>
        </row>
        <row r="9420">
          <cell r="W9420">
            <v>0</v>
          </cell>
        </row>
        <row r="9421">
          <cell r="W9421">
            <v>0</v>
          </cell>
        </row>
        <row r="9422">
          <cell r="W9422">
            <v>0</v>
          </cell>
        </row>
        <row r="9423">
          <cell r="W9423">
            <v>0</v>
          </cell>
        </row>
        <row r="9424">
          <cell r="W9424">
            <v>0</v>
          </cell>
        </row>
        <row r="9425">
          <cell r="W9425">
            <v>0</v>
          </cell>
        </row>
        <row r="9426">
          <cell r="W9426">
            <v>0</v>
          </cell>
        </row>
        <row r="9427">
          <cell r="W9427">
            <v>0</v>
          </cell>
        </row>
        <row r="9428">
          <cell r="W9428">
            <v>0</v>
          </cell>
        </row>
        <row r="9429">
          <cell r="W9429">
            <v>0</v>
          </cell>
        </row>
        <row r="9430">
          <cell r="W9430">
            <v>0</v>
          </cell>
        </row>
        <row r="9431">
          <cell r="W9431">
            <v>0</v>
          </cell>
        </row>
        <row r="9432">
          <cell r="W9432">
            <v>0</v>
          </cell>
        </row>
        <row r="9433">
          <cell r="W9433">
            <v>0</v>
          </cell>
        </row>
        <row r="9434">
          <cell r="W9434">
            <v>0</v>
          </cell>
        </row>
        <row r="9435">
          <cell r="W9435">
            <v>0</v>
          </cell>
        </row>
        <row r="9436">
          <cell r="W9436">
            <v>0</v>
          </cell>
        </row>
        <row r="9437">
          <cell r="W9437">
            <v>0</v>
          </cell>
        </row>
        <row r="9438">
          <cell r="W9438">
            <v>0</v>
          </cell>
        </row>
        <row r="9439">
          <cell r="W9439">
            <v>0</v>
          </cell>
        </row>
        <row r="9440">
          <cell r="W9440">
            <v>0</v>
          </cell>
        </row>
        <row r="9441">
          <cell r="W9441">
            <v>0</v>
          </cell>
        </row>
        <row r="9442">
          <cell r="W9442">
            <v>0</v>
          </cell>
        </row>
        <row r="9443">
          <cell r="W9443">
            <v>0</v>
          </cell>
        </row>
        <row r="9444">
          <cell r="W9444">
            <v>0</v>
          </cell>
        </row>
        <row r="9445">
          <cell r="W9445">
            <v>0</v>
          </cell>
        </row>
        <row r="9446">
          <cell r="W9446">
            <v>0</v>
          </cell>
        </row>
        <row r="9447">
          <cell r="W9447">
            <v>0</v>
          </cell>
        </row>
        <row r="9448">
          <cell r="W9448">
            <v>0</v>
          </cell>
        </row>
        <row r="9449">
          <cell r="W9449">
            <v>0</v>
          </cell>
        </row>
        <row r="9450">
          <cell r="W9450">
            <v>0</v>
          </cell>
        </row>
        <row r="9451">
          <cell r="W9451">
            <v>0</v>
          </cell>
        </row>
        <row r="9452">
          <cell r="W9452">
            <v>0</v>
          </cell>
        </row>
        <row r="9453">
          <cell r="W9453">
            <v>0</v>
          </cell>
        </row>
        <row r="9454">
          <cell r="W9454">
            <v>0</v>
          </cell>
        </row>
        <row r="9455">
          <cell r="W9455">
            <v>0</v>
          </cell>
        </row>
        <row r="9456">
          <cell r="W9456">
            <v>0</v>
          </cell>
        </row>
        <row r="9457">
          <cell r="W9457">
            <v>0</v>
          </cell>
        </row>
        <row r="9458">
          <cell r="W9458">
            <v>0</v>
          </cell>
        </row>
        <row r="9459">
          <cell r="W9459">
            <v>0</v>
          </cell>
        </row>
        <row r="9460">
          <cell r="W9460">
            <v>0</v>
          </cell>
        </row>
        <row r="9461">
          <cell r="W9461">
            <v>0</v>
          </cell>
        </row>
        <row r="9462">
          <cell r="W9462">
            <v>0</v>
          </cell>
        </row>
        <row r="9463">
          <cell r="W9463">
            <v>0</v>
          </cell>
        </row>
        <row r="9464">
          <cell r="W9464">
            <v>0</v>
          </cell>
        </row>
        <row r="9465">
          <cell r="W9465">
            <v>0</v>
          </cell>
        </row>
        <row r="9466">
          <cell r="W9466">
            <v>0</v>
          </cell>
        </row>
        <row r="9467">
          <cell r="W9467">
            <v>0</v>
          </cell>
        </row>
        <row r="9468">
          <cell r="W9468">
            <v>0</v>
          </cell>
        </row>
        <row r="9469">
          <cell r="W9469">
            <v>0</v>
          </cell>
        </row>
        <row r="9470">
          <cell r="W9470">
            <v>0</v>
          </cell>
        </row>
        <row r="9471">
          <cell r="W9471">
            <v>0</v>
          </cell>
        </row>
        <row r="9472">
          <cell r="W9472">
            <v>0</v>
          </cell>
        </row>
        <row r="9473">
          <cell r="W9473">
            <v>0</v>
          </cell>
        </row>
        <row r="9474">
          <cell r="W9474">
            <v>0</v>
          </cell>
        </row>
        <row r="9475">
          <cell r="W9475">
            <v>0</v>
          </cell>
        </row>
        <row r="9476">
          <cell r="W9476">
            <v>0</v>
          </cell>
        </row>
        <row r="9477">
          <cell r="W9477">
            <v>0</v>
          </cell>
        </row>
        <row r="9478">
          <cell r="W9478">
            <v>0</v>
          </cell>
        </row>
        <row r="9479">
          <cell r="W9479">
            <v>0</v>
          </cell>
        </row>
        <row r="9480">
          <cell r="W9480">
            <v>0</v>
          </cell>
        </row>
        <row r="9481">
          <cell r="W9481">
            <v>0</v>
          </cell>
        </row>
        <row r="9482">
          <cell r="W9482">
            <v>0</v>
          </cell>
        </row>
        <row r="9483">
          <cell r="W9483">
            <v>0</v>
          </cell>
        </row>
        <row r="9484">
          <cell r="W9484">
            <v>0</v>
          </cell>
        </row>
        <row r="9485">
          <cell r="W9485">
            <v>0</v>
          </cell>
        </row>
        <row r="9486">
          <cell r="W9486">
            <v>0</v>
          </cell>
        </row>
        <row r="9487">
          <cell r="W9487">
            <v>0</v>
          </cell>
        </row>
        <row r="9488">
          <cell r="W9488">
            <v>0</v>
          </cell>
        </row>
        <row r="9489">
          <cell r="W9489">
            <v>0</v>
          </cell>
        </row>
        <row r="9490">
          <cell r="W9490">
            <v>0</v>
          </cell>
        </row>
        <row r="9491">
          <cell r="W9491">
            <v>0</v>
          </cell>
        </row>
        <row r="9492">
          <cell r="W9492">
            <v>0</v>
          </cell>
        </row>
        <row r="9493">
          <cell r="W9493">
            <v>0</v>
          </cell>
        </row>
        <row r="9494">
          <cell r="W9494">
            <v>0</v>
          </cell>
        </row>
        <row r="9495">
          <cell r="W9495">
            <v>0</v>
          </cell>
        </row>
        <row r="9496">
          <cell r="W9496">
            <v>0</v>
          </cell>
        </row>
        <row r="9497">
          <cell r="W9497">
            <v>0</v>
          </cell>
        </row>
        <row r="9498">
          <cell r="W9498">
            <v>0</v>
          </cell>
        </row>
        <row r="9499">
          <cell r="W9499">
            <v>0</v>
          </cell>
        </row>
        <row r="9500">
          <cell r="W9500">
            <v>0</v>
          </cell>
        </row>
        <row r="9501">
          <cell r="W9501">
            <v>0</v>
          </cell>
        </row>
        <row r="9502">
          <cell r="W9502">
            <v>0</v>
          </cell>
        </row>
        <row r="9503">
          <cell r="W9503">
            <v>0</v>
          </cell>
        </row>
        <row r="9504">
          <cell r="W9504">
            <v>0</v>
          </cell>
        </row>
        <row r="9505">
          <cell r="W9505">
            <v>0</v>
          </cell>
        </row>
        <row r="9506">
          <cell r="W9506">
            <v>0</v>
          </cell>
        </row>
        <row r="9507">
          <cell r="W9507">
            <v>0</v>
          </cell>
        </row>
        <row r="9508">
          <cell r="W9508">
            <v>0</v>
          </cell>
        </row>
        <row r="9509">
          <cell r="W9509">
            <v>0</v>
          </cell>
        </row>
        <row r="9510">
          <cell r="W9510">
            <v>0</v>
          </cell>
        </row>
        <row r="9511">
          <cell r="W9511">
            <v>0</v>
          </cell>
        </row>
        <row r="9512">
          <cell r="W9512">
            <v>0</v>
          </cell>
        </row>
        <row r="9513">
          <cell r="W9513">
            <v>0</v>
          </cell>
        </row>
        <row r="9514">
          <cell r="W9514">
            <v>0</v>
          </cell>
        </row>
        <row r="9515">
          <cell r="W9515">
            <v>0</v>
          </cell>
        </row>
        <row r="9516">
          <cell r="W9516">
            <v>0</v>
          </cell>
        </row>
        <row r="9517">
          <cell r="W9517">
            <v>0</v>
          </cell>
        </row>
        <row r="9518">
          <cell r="W9518">
            <v>0</v>
          </cell>
        </row>
        <row r="9519">
          <cell r="W9519">
            <v>0</v>
          </cell>
        </row>
        <row r="9520">
          <cell r="W9520">
            <v>0</v>
          </cell>
        </row>
        <row r="9521">
          <cell r="W9521">
            <v>0</v>
          </cell>
        </row>
        <row r="9522">
          <cell r="W9522">
            <v>0</v>
          </cell>
        </row>
        <row r="9523">
          <cell r="W9523">
            <v>0</v>
          </cell>
        </row>
        <row r="9524">
          <cell r="W9524">
            <v>0</v>
          </cell>
        </row>
        <row r="9525">
          <cell r="W9525">
            <v>0</v>
          </cell>
        </row>
        <row r="9526">
          <cell r="W9526">
            <v>0</v>
          </cell>
        </row>
        <row r="9527">
          <cell r="W9527">
            <v>0</v>
          </cell>
        </row>
        <row r="9528">
          <cell r="W9528">
            <v>0</v>
          </cell>
        </row>
        <row r="9529">
          <cell r="W9529">
            <v>0</v>
          </cell>
        </row>
        <row r="9530">
          <cell r="W9530">
            <v>0</v>
          </cell>
        </row>
        <row r="9531">
          <cell r="W9531">
            <v>0</v>
          </cell>
        </row>
        <row r="9532">
          <cell r="W9532">
            <v>0</v>
          </cell>
        </row>
        <row r="9533">
          <cell r="W9533">
            <v>0</v>
          </cell>
        </row>
        <row r="9534">
          <cell r="W9534">
            <v>0</v>
          </cell>
        </row>
        <row r="9535">
          <cell r="W9535">
            <v>0</v>
          </cell>
        </row>
        <row r="9536">
          <cell r="W9536">
            <v>0</v>
          </cell>
        </row>
        <row r="9537">
          <cell r="W9537">
            <v>0</v>
          </cell>
        </row>
        <row r="9538">
          <cell r="W9538">
            <v>0</v>
          </cell>
        </row>
        <row r="9539">
          <cell r="W9539">
            <v>0</v>
          </cell>
        </row>
        <row r="9540">
          <cell r="W9540">
            <v>0</v>
          </cell>
        </row>
        <row r="9541">
          <cell r="W9541">
            <v>0</v>
          </cell>
        </row>
        <row r="9542">
          <cell r="W9542">
            <v>0</v>
          </cell>
        </row>
        <row r="9543">
          <cell r="W9543">
            <v>0</v>
          </cell>
        </row>
        <row r="9544">
          <cell r="W9544">
            <v>0</v>
          </cell>
        </row>
        <row r="9545">
          <cell r="W9545">
            <v>0</v>
          </cell>
        </row>
        <row r="9546">
          <cell r="W9546">
            <v>0</v>
          </cell>
        </row>
        <row r="9547">
          <cell r="W9547">
            <v>0</v>
          </cell>
        </row>
        <row r="9548">
          <cell r="W9548">
            <v>0</v>
          </cell>
        </row>
        <row r="9549">
          <cell r="W9549">
            <v>0</v>
          </cell>
        </row>
        <row r="9550">
          <cell r="W9550">
            <v>0</v>
          </cell>
        </row>
        <row r="9551">
          <cell r="W9551">
            <v>0</v>
          </cell>
        </row>
        <row r="9552">
          <cell r="W9552">
            <v>0</v>
          </cell>
        </row>
        <row r="9553">
          <cell r="W9553">
            <v>0</v>
          </cell>
        </row>
        <row r="9554">
          <cell r="W9554">
            <v>0</v>
          </cell>
        </row>
        <row r="9555">
          <cell r="W9555">
            <v>0</v>
          </cell>
        </row>
        <row r="9556">
          <cell r="W9556">
            <v>0</v>
          </cell>
        </row>
        <row r="9557">
          <cell r="W9557">
            <v>0</v>
          </cell>
        </row>
        <row r="9558">
          <cell r="W9558">
            <v>0</v>
          </cell>
        </row>
        <row r="9559">
          <cell r="W9559">
            <v>0</v>
          </cell>
        </row>
        <row r="9560">
          <cell r="W9560">
            <v>0</v>
          </cell>
        </row>
        <row r="9561">
          <cell r="W9561">
            <v>0</v>
          </cell>
        </row>
        <row r="9562">
          <cell r="W9562">
            <v>0</v>
          </cell>
        </row>
        <row r="9563">
          <cell r="W9563">
            <v>0</v>
          </cell>
        </row>
        <row r="9564">
          <cell r="W9564">
            <v>0</v>
          </cell>
        </row>
        <row r="9565">
          <cell r="W9565">
            <v>0</v>
          </cell>
        </row>
        <row r="9566">
          <cell r="W9566">
            <v>0</v>
          </cell>
        </row>
        <row r="9567">
          <cell r="W9567">
            <v>0</v>
          </cell>
        </row>
        <row r="9568">
          <cell r="W9568">
            <v>0</v>
          </cell>
        </row>
        <row r="9569">
          <cell r="W9569">
            <v>0</v>
          </cell>
        </row>
        <row r="9570">
          <cell r="W9570">
            <v>0</v>
          </cell>
        </row>
        <row r="9571">
          <cell r="W9571">
            <v>0</v>
          </cell>
        </row>
        <row r="9572">
          <cell r="W9572">
            <v>0</v>
          </cell>
        </row>
        <row r="9573">
          <cell r="W9573">
            <v>0</v>
          </cell>
        </row>
        <row r="9574">
          <cell r="W9574">
            <v>0</v>
          </cell>
        </row>
        <row r="9575">
          <cell r="W9575">
            <v>0</v>
          </cell>
        </row>
        <row r="9576">
          <cell r="W9576">
            <v>0</v>
          </cell>
        </row>
        <row r="9577">
          <cell r="W9577">
            <v>0</v>
          </cell>
        </row>
        <row r="9578">
          <cell r="W9578">
            <v>0</v>
          </cell>
        </row>
        <row r="9579">
          <cell r="W9579">
            <v>0</v>
          </cell>
        </row>
        <row r="9580">
          <cell r="W9580">
            <v>0</v>
          </cell>
        </row>
        <row r="9581">
          <cell r="W9581">
            <v>0</v>
          </cell>
        </row>
        <row r="9582">
          <cell r="W9582">
            <v>0</v>
          </cell>
        </row>
        <row r="9583">
          <cell r="W9583">
            <v>0</v>
          </cell>
        </row>
        <row r="9584">
          <cell r="W9584">
            <v>0</v>
          </cell>
        </row>
        <row r="9585">
          <cell r="W9585">
            <v>0</v>
          </cell>
        </row>
        <row r="9586">
          <cell r="W9586">
            <v>0</v>
          </cell>
        </row>
        <row r="9587">
          <cell r="W9587">
            <v>0</v>
          </cell>
        </row>
        <row r="9588">
          <cell r="W9588">
            <v>0</v>
          </cell>
        </row>
        <row r="9589">
          <cell r="W9589">
            <v>0</v>
          </cell>
        </row>
        <row r="9590">
          <cell r="W9590">
            <v>0</v>
          </cell>
        </row>
        <row r="9591">
          <cell r="W9591">
            <v>0</v>
          </cell>
        </row>
        <row r="9592">
          <cell r="W9592">
            <v>0</v>
          </cell>
        </row>
        <row r="9593">
          <cell r="W9593">
            <v>0</v>
          </cell>
        </row>
        <row r="9594">
          <cell r="W9594">
            <v>0</v>
          </cell>
        </row>
        <row r="9595">
          <cell r="W9595">
            <v>0</v>
          </cell>
        </row>
        <row r="9596">
          <cell r="W9596">
            <v>0</v>
          </cell>
        </row>
        <row r="9597">
          <cell r="W9597">
            <v>0</v>
          </cell>
        </row>
        <row r="9598">
          <cell r="W9598">
            <v>0</v>
          </cell>
        </row>
        <row r="9599">
          <cell r="W9599">
            <v>0</v>
          </cell>
        </row>
        <row r="9600">
          <cell r="W9600">
            <v>0</v>
          </cell>
        </row>
        <row r="9601">
          <cell r="W9601">
            <v>0</v>
          </cell>
        </row>
        <row r="9602">
          <cell r="W9602">
            <v>0</v>
          </cell>
        </row>
        <row r="9603">
          <cell r="W9603">
            <v>0</v>
          </cell>
        </row>
        <row r="9604">
          <cell r="W9604">
            <v>0</v>
          </cell>
        </row>
        <row r="9605">
          <cell r="W9605">
            <v>0</v>
          </cell>
        </row>
        <row r="9606">
          <cell r="W9606">
            <v>0</v>
          </cell>
        </row>
        <row r="9607">
          <cell r="W9607">
            <v>0</v>
          </cell>
        </row>
        <row r="9608">
          <cell r="W9608">
            <v>0</v>
          </cell>
        </row>
        <row r="9609">
          <cell r="W9609">
            <v>0</v>
          </cell>
        </row>
        <row r="9610">
          <cell r="W9610">
            <v>0</v>
          </cell>
        </row>
        <row r="9611">
          <cell r="W9611">
            <v>0</v>
          </cell>
        </row>
        <row r="9612">
          <cell r="W9612">
            <v>0</v>
          </cell>
        </row>
        <row r="9613">
          <cell r="W9613">
            <v>0</v>
          </cell>
        </row>
        <row r="9614">
          <cell r="W9614">
            <v>0</v>
          </cell>
        </row>
        <row r="9615">
          <cell r="W9615">
            <v>0</v>
          </cell>
        </row>
        <row r="9616">
          <cell r="W9616">
            <v>0</v>
          </cell>
        </row>
        <row r="9617">
          <cell r="W9617">
            <v>0</v>
          </cell>
        </row>
        <row r="9618">
          <cell r="W9618">
            <v>0</v>
          </cell>
        </row>
        <row r="9619">
          <cell r="W9619">
            <v>0</v>
          </cell>
        </row>
        <row r="9620">
          <cell r="W9620">
            <v>0</v>
          </cell>
        </row>
        <row r="9621">
          <cell r="W9621">
            <v>0</v>
          </cell>
        </row>
        <row r="9622">
          <cell r="W9622">
            <v>0</v>
          </cell>
        </row>
        <row r="9623">
          <cell r="W9623">
            <v>0</v>
          </cell>
        </row>
        <row r="9624">
          <cell r="W9624">
            <v>0</v>
          </cell>
        </row>
        <row r="9625">
          <cell r="W9625">
            <v>0</v>
          </cell>
        </row>
        <row r="9626">
          <cell r="W9626">
            <v>0</v>
          </cell>
        </row>
        <row r="9627">
          <cell r="W9627">
            <v>0</v>
          </cell>
        </row>
        <row r="9628">
          <cell r="W9628">
            <v>0</v>
          </cell>
        </row>
        <row r="9629">
          <cell r="W9629">
            <v>0</v>
          </cell>
        </row>
        <row r="9630">
          <cell r="W9630">
            <v>0</v>
          </cell>
        </row>
        <row r="9631">
          <cell r="W9631">
            <v>0</v>
          </cell>
        </row>
        <row r="9632">
          <cell r="W9632">
            <v>0</v>
          </cell>
        </row>
        <row r="9633">
          <cell r="W9633">
            <v>0</v>
          </cell>
        </row>
        <row r="9634">
          <cell r="W9634">
            <v>0</v>
          </cell>
        </row>
        <row r="9635">
          <cell r="W9635">
            <v>0</v>
          </cell>
        </row>
        <row r="9636">
          <cell r="W9636">
            <v>0</v>
          </cell>
        </row>
        <row r="9637">
          <cell r="W9637">
            <v>0</v>
          </cell>
        </row>
        <row r="9638">
          <cell r="W9638">
            <v>0</v>
          </cell>
        </row>
        <row r="9639">
          <cell r="W9639">
            <v>0</v>
          </cell>
        </row>
        <row r="9640">
          <cell r="W9640">
            <v>0</v>
          </cell>
        </row>
        <row r="9641">
          <cell r="W9641">
            <v>0</v>
          </cell>
        </row>
        <row r="9642">
          <cell r="W9642">
            <v>0</v>
          </cell>
        </row>
        <row r="9643">
          <cell r="W9643">
            <v>0</v>
          </cell>
        </row>
        <row r="9644">
          <cell r="W9644">
            <v>0</v>
          </cell>
        </row>
        <row r="9645">
          <cell r="W9645">
            <v>0</v>
          </cell>
        </row>
        <row r="9646">
          <cell r="W9646">
            <v>0</v>
          </cell>
        </row>
        <row r="9647">
          <cell r="W9647">
            <v>0</v>
          </cell>
        </row>
        <row r="9648">
          <cell r="W9648">
            <v>0</v>
          </cell>
        </row>
        <row r="9649">
          <cell r="W9649">
            <v>0</v>
          </cell>
        </row>
        <row r="9650">
          <cell r="W9650">
            <v>0</v>
          </cell>
        </row>
        <row r="9651">
          <cell r="W9651">
            <v>0</v>
          </cell>
        </row>
        <row r="9652">
          <cell r="W9652">
            <v>0</v>
          </cell>
        </row>
        <row r="9653">
          <cell r="W9653">
            <v>0</v>
          </cell>
        </row>
        <row r="9654">
          <cell r="W9654">
            <v>0</v>
          </cell>
        </row>
        <row r="9655">
          <cell r="W9655">
            <v>0</v>
          </cell>
        </row>
        <row r="9656">
          <cell r="W9656">
            <v>0</v>
          </cell>
        </row>
        <row r="9657">
          <cell r="W9657">
            <v>0</v>
          </cell>
        </row>
        <row r="9658">
          <cell r="W9658">
            <v>0</v>
          </cell>
        </row>
        <row r="9659">
          <cell r="W9659">
            <v>0</v>
          </cell>
        </row>
        <row r="9660">
          <cell r="W9660">
            <v>0</v>
          </cell>
        </row>
        <row r="9661">
          <cell r="W9661">
            <v>0</v>
          </cell>
        </row>
        <row r="9662">
          <cell r="W9662">
            <v>0</v>
          </cell>
        </row>
        <row r="9663">
          <cell r="W9663">
            <v>0</v>
          </cell>
        </row>
        <row r="9664">
          <cell r="W9664">
            <v>0</v>
          </cell>
        </row>
        <row r="9665">
          <cell r="W9665">
            <v>0</v>
          </cell>
        </row>
        <row r="9666">
          <cell r="W9666">
            <v>0</v>
          </cell>
        </row>
        <row r="9667">
          <cell r="W9667">
            <v>0</v>
          </cell>
        </row>
        <row r="9668">
          <cell r="W9668">
            <v>0</v>
          </cell>
        </row>
        <row r="9669">
          <cell r="W9669">
            <v>0</v>
          </cell>
        </row>
        <row r="9670">
          <cell r="W9670">
            <v>0</v>
          </cell>
        </row>
        <row r="9671">
          <cell r="W9671">
            <v>0</v>
          </cell>
        </row>
        <row r="9672">
          <cell r="W9672">
            <v>0</v>
          </cell>
        </row>
        <row r="9673">
          <cell r="W9673">
            <v>0</v>
          </cell>
        </row>
        <row r="9674">
          <cell r="W9674">
            <v>0</v>
          </cell>
        </row>
        <row r="9675">
          <cell r="W9675">
            <v>0</v>
          </cell>
        </row>
        <row r="9676">
          <cell r="W9676">
            <v>0</v>
          </cell>
        </row>
        <row r="9677">
          <cell r="W9677">
            <v>0</v>
          </cell>
        </row>
        <row r="9678">
          <cell r="W9678">
            <v>0</v>
          </cell>
        </row>
        <row r="9679">
          <cell r="W9679">
            <v>0</v>
          </cell>
        </row>
        <row r="9680">
          <cell r="W9680">
            <v>0</v>
          </cell>
        </row>
        <row r="9681">
          <cell r="W9681">
            <v>0</v>
          </cell>
        </row>
        <row r="9682">
          <cell r="W9682">
            <v>0</v>
          </cell>
        </row>
        <row r="9683">
          <cell r="W9683">
            <v>0</v>
          </cell>
        </row>
        <row r="9684">
          <cell r="W9684">
            <v>0</v>
          </cell>
        </row>
        <row r="9685">
          <cell r="W9685">
            <v>0</v>
          </cell>
        </row>
        <row r="9686">
          <cell r="W9686">
            <v>0</v>
          </cell>
        </row>
        <row r="9687">
          <cell r="W9687">
            <v>0</v>
          </cell>
        </row>
        <row r="9688">
          <cell r="W9688">
            <v>0</v>
          </cell>
        </row>
        <row r="9689">
          <cell r="W9689">
            <v>0</v>
          </cell>
        </row>
        <row r="9690">
          <cell r="W9690">
            <v>0</v>
          </cell>
        </row>
        <row r="9691">
          <cell r="W9691">
            <v>0</v>
          </cell>
        </row>
        <row r="9692">
          <cell r="W9692">
            <v>0</v>
          </cell>
        </row>
        <row r="9693">
          <cell r="W9693">
            <v>0</v>
          </cell>
        </row>
        <row r="9694">
          <cell r="W9694">
            <v>0</v>
          </cell>
        </row>
        <row r="9695">
          <cell r="W9695">
            <v>0</v>
          </cell>
        </row>
        <row r="9696">
          <cell r="W9696">
            <v>0</v>
          </cell>
        </row>
        <row r="9697">
          <cell r="W9697">
            <v>0</v>
          </cell>
        </row>
        <row r="9698">
          <cell r="W9698">
            <v>0</v>
          </cell>
        </row>
        <row r="9699">
          <cell r="W9699">
            <v>0</v>
          </cell>
        </row>
        <row r="9700">
          <cell r="W9700">
            <v>0</v>
          </cell>
        </row>
        <row r="9701">
          <cell r="W9701">
            <v>0</v>
          </cell>
        </row>
        <row r="9702">
          <cell r="W9702">
            <v>0</v>
          </cell>
        </row>
        <row r="9703">
          <cell r="W9703">
            <v>0</v>
          </cell>
        </row>
        <row r="9704">
          <cell r="W9704">
            <v>0</v>
          </cell>
        </row>
        <row r="9705">
          <cell r="W9705">
            <v>0</v>
          </cell>
        </row>
        <row r="9706">
          <cell r="W9706">
            <v>0</v>
          </cell>
        </row>
        <row r="9707">
          <cell r="W9707">
            <v>0</v>
          </cell>
        </row>
        <row r="9708">
          <cell r="W9708">
            <v>0</v>
          </cell>
        </row>
        <row r="9709">
          <cell r="W9709">
            <v>0</v>
          </cell>
        </row>
        <row r="9710">
          <cell r="W9710">
            <v>0</v>
          </cell>
        </row>
        <row r="9711">
          <cell r="W9711">
            <v>0</v>
          </cell>
        </row>
        <row r="9712">
          <cell r="W9712">
            <v>0</v>
          </cell>
        </row>
        <row r="9713">
          <cell r="W9713">
            <v>0</v>
          </cell>
        </row>
        <row r="9714">
          <cell r="W9714">
            <v>0</v>
          </cell>
        </row>
        <row r="9715">
          <cell r="W9715">
            <v>0</v>
          </cell>
        </row>
        <row r="9716">
          <cell r="W9716">
            <v>0</v>
          </cell>
        </row>
        <row r="9717">
          <cell r="W9717">
            <v>0</v>
          </cell>
        </row>
        <row r="9718">
          <cell r="W9718">
            <v>0</v>
          </cell>
        </row>
        <row r="9719">
          <cell r="W9719">
            <v>0</v>
          </cell>
        </row>
        <row r="9720">
          <cell r="W9720">
            <v>0</v>
          </cell>
        </row>
        <row r="9721">
          <cell r="W9721">
            <v>0</v>
          </cell>
        </row>
        <row r="9722">
          <cell r="W9722">
            <v>0</v>
          </cell>
        </row>
        <row r="9723">
          <cell r="W9723">
            <v>0</v>
          </cell>
        </row>
        <row r="9724">
          <cell r="W9724">
            <v>0</v>
          </cell>
        </row>
        <row r="9725">
          <cell r="W9725">
            <v>0</v>
          </cell>
        </row>
        <row r="9726">
          <cell r="W9726">
            <v>0</v>
          </cell>
        </row>
        <row r="9727">
          <cell r="W9727">
            <v>0</v>
          </cell>
        </row>
        <row r="9728">
          <cell r="W9728">
            <v>0</v>
          </cell>
        </row>
        <row r="9729">
          <cell r="W9729">
            <v>0</v>
          </cell>
        </row>
        <row r="9730">
          <cell r="W9730">
            <v>0</v>
          </cell>
        </row>
        <row r="9731">
          <cell r="W9731">
            <v>0</v>
          </cell>
        </row>
        <row r="9732">
          <cell r="W9732">
            <v>0</v>
          </cell>
        </row>
        <row r="9733">
          <cell r="W9733">
            <v>0</v>
          </cell>
        </row>
        <row r="9734">
          <cell r="W9734">
            <v>0</v>
          </cell>
        </row>
        <row r="9735">
          <cell r="W9735">
            <v>0</v>
          </cell>
        </row>
        <row r="9736">
          <cell r="W9736">
            <v>0</v>
          </cell>
        </row>
        <row r="9737">
          <cell r="W9737">
            <v>0</v>
          </cell>
        </row>
        <row r="9738">
          <cell r="W9738">
            <v>0</v>
          </cell>
        </row>
        <row r="9739">
          <cell r="W9739">
            <v>0</v>
          </cell>
        </row>
        <row r="9740">
          <cell r="W9740">
            <v>0</v>
          </cell>
        </row>
        <row r="9741">
          <cell r="W9741">
            <v>0</v>
          </cell>
        </row>
        <row r="9742">
          <cell r="W9742">
            <v>0</v>
          </cell>
        </row>
        <row r="9743">
          <cell r="W9743">
            <v>0</v>
          </cell>
        </row>
        <row r="9744">
          <cell r="W9744">
            <v>0</v>
          </cell>
        </row>
        <row r="9745">
          <cell r="W9745">
            <v>0</v>
          </cell>
        </row>
        <row r="9746">
          <cell r="W9746">
            <v>0</v>
          </cell>
        </row>
        <row r="9747">
          <cell r="W9747">
            <v>0</v>
          </cell>
        </row>
        <row r="9748">
          <cell r="W9748">
            <v>0</v>
          </cell>
        </row>
        <row r="9749">
          <cell r="W9749">
            <v>0</v>
          </cell>
        </row>
        <row r="9750">
          <cell r="W9750">
            <v>0</v>
          </cell>
        </row>
        <row r="9751">
          <cell r="W9751">
            <v>0</v>
          </cell>
        </row>
        <row r="9752">
          <cell r="W9752">
            <v>0</v>
          </cell>
        </row>
        <row r="9753">
          <cell r="W9753">
            <v>0</v>
          </cell>
        </row>
        <row r="9754">
          <cell r="W9754">
            <v>0</v>
          </cell>
        </row>
        <row r="9755">
          <cell r="W9755">
            <v>0</v>
          </cell>
        </row>
        <row r="9756">
          <cell r="W9756">
            <v>0</v>
          </cell>
        </row>
        <row r="9757">
          <cell r="W9757">
            <v>0</v>
          </cell>
        </row>
        <row r="9758">
          <cell r="W9758">
            <v>0</v>
          </cell>
        </row>
        <row r="9759">
          <cell r="W9759">
            <v>0</v>
          </cell>
        </row>
        <row r="9760">
          <cell r="W9760">
            <v>0</v>
          </cell>
        </row>
        <row r="9761">
          <cell r="W9761">
            <v>0</v>
          </cell>
        </row>
        <row r="9762">
          <cell r="W9762">
            <v>0</v>
          </cell>
        </row>
        <row r="9763">
          <cell r="W9763">
            <v>0</v>
          </cell>
        </row>
        <row r="9764">
          <cell r="W9764">
            <v>0</v>
          </cell>
        </row>
        <row r="9765">
          <cell r="W9765">
            <v>0</v>
          </cell>
        </row>
        <row r="9766">
          <cell r="W9766">
            <v>0</v>
          </cell>
        </row>
        <row r="9767">
          <cell r="W9767">
            <v>0</v>
          </cell>
        </row>
        <row r="9768">
          <cell r="W9768">
            <v>0</v>
          </cell>
        </row>
        <row r="9769">
          <cell r="W9769">
            <v>0</v>
          </cell>
        </row>
        <row r="9770">
          <cell r="W9770">
            <v>0</v>
          </cell>
        </row>
        <row r="9771">
          <cell r="W9771">
            <v>0</v>
          </cell>
        </row>
        <row r="9772">
          <cell r="W9772">
            <v>0</v>
          </cell>
        </row>
        <row r="9773">
          <cell r="W9773">
            <v>0</v>
          </cell>
        </row>
        <row r="9774">
          <cell r="W9774">
            <v>0</v>
          </cell>
        </row>
        <row r="9775">
          <cell r="W9775">
            <v>0</v>
          </cell>
        </row>
        <row r="9776">
          <cell r="W9776">
            <v>0</v>
          </cell>
        </row>
        <row r="9777">
          <cell r="W9777">
            <v>0</v>
          </cell>
        </row>
        <row r="9778">
          <cell r="W9778">
            <v>0</v>
          </cell>
        </row>
        <row r="9779">
          <cell r="W9779">
            <v>0</v>
          </cell>
        </row>
        <row r="9780">
          <cell r="W9780">
            <v>0</v>
          </cell>
        </row>
        <row r="9781">
          <cell r="W9781">
            <v>0</v>
          </cell>
        </row>
        <row r="9782">
          <cell r="W9782">
            <v>0</v>
          </cell>
        </row>
        <row r="9783">
          <cell r="W9783">
            <v>0</v>
          </cell>
        </row>
        <row r="9784">
          <cell r="W9784">
            <v>0</v>
          </cell>
        </row>
        <row r="9785">
          <cell r="W9785">
            <v>0</v>
          </cell>
        </row>
        <row r="9786">
          <cell r="W9786">
            <v>0</v>
          </cell>
        </row>
        <row r="9787">
          <cell r="W9787">
            <v>0</v>
          </cell>
        </row>
        <row r="9788">
          <cell r="W9788">
            <v>0</v>
          </cell>
        </row>
        <row r="9789">
          <cell r="W9789">
            <v>0</v>
          </cell>
        </row>
        <row r="9790">
          <cell r="W9790">
            <v>0</v>
          </cell>
        </row>
        <row r="9791">
          <cell r="W9791">
            <v>0</v>
          </cell>
        </row>
        <row r="9792">
          <cell r="W9792">
            <v>0</v>
          </cell>
        </row>
        <row r="9793">
          <cell r="W9793">
            <v>0</v>
          </cell>
        </row>
        <row r="9794">
          <cell r="W9794">
            <v>0</v>
          </cell>
        </row>
        <row r="9795">
          <cell r="W9795">
            <v>0</v>
          </cell>
        </row>
        <row r="9796">
          <cell r="W9796">
            <v>0</v>
          </cell>
        </row>
        <row r="9797">
          <cell r="W9797">
            <v>0</v>
          </cell>
        </row>
        <row r="9798">
          <cell r="W9798">
            <v>0</v>
          </cell>
        </row>
        <row r="9799">
          <cell r="W9799">
            <v>0</v>
          </cell>
        </row>
        <row r="9800">
          <cell r="W9800">
            <v>0</v>
          </cell>
        </row>
        <row r="9801">
          <cell r="W9801">
            <v>0</v>
          </cell>
        </row>
        <row r="9802">
          <cell r="W9802">
            <v>0</v>
          </cell>
        </row>
        <row r="9803">
          <cell r="W9803">
            <v>0</v>
          </cell>
        </row>
        <row r="9804">
          <cell r="W9804">
            <v>0</v>
          </cell>
        </row>
        <row r="9805">
          <cell r="W9805">
            <v>0</v>
          </cell>
        </row>
        <row r="9806">
          <cell r="W9806">
            <v>0</v>
          </cell>
        </row>
        <row r="9807">
          <cell r="W9807">
            <v>0</v>
          </cell>
        </row>
        <row r="9808">
          <cell r="W9808">
            <v>0</v>
          </cell>
        </row>
        <row r="9809">
          <cell r="W9809">
            <v>0</v>
          </cell>
        </row>
        <row r="9810">
          <cell r="W9810">
            <v>0</v>
          </cell>
        </row>
        <row r="9811">
          <cell r="W9811">
            <v>0</v>
          </cell>
        </row>
        <row r="9812">
          <cell r="W9812">
            <v>0</v>
          </cell>
        </row>
        <row r="9813">
          <cell r="W9813">
            <v>0</v>
          </cell>
        </row>
        <row r="9814">
          <cell r="W9814">
            <v>0</v>
          </cell>
        </row>
        <row r="9815">
          <cell r="W9815">
            <v>0</v>
          </cell>
        </row>
        <row r="9816">
          <cell r="W9816">
            <v>0</v>
          </cell>
        </row>
        <row r="9817">
          <cell r="W9817">
            <v>0</v>
          </cell>
        </row>
        <row r="9818">
          <cell r="W9818">
            <v>0</v>
          </cell>
        </row>
        <row r="9819">
          <cell r="W9819">
            <v>0</v>
          </cell>
        </row>
        <row r="9820">
          <cell r="W9820">
            <v>0</v>
          </cell>
        </row>
        <row r="9821">
          <cell r="W9821">
            <v>0</v>
          </cell>
        </row>
        <row r="9822">
          <cell r="W9822">
            <v>0</v>
          </cell>
        </row>
        <row r="9823">
          <cell r="W9823">
            <v>0</v>
          </cell>
        </row>
        <row r="9824">
          <cell r="W9824">
            <v>0</v>
          </cell>
        </row>
        <row r="9825">
          <cell r="W9825">
            <v>0</v>
          </cell>
        </row>
        <row r="9826">
          <cell r="W9826">
            <v>0</v>
          </cell>
        </row>
        <row r="9827">
          <cell r="W9827">
            <v>0</v>
          </cell>
        </row>
        <row r="9828">
          <cell r="W9828">
            <v>0</v>
          </cell>
        </row>
        <row r="9829">
          <cell r="W9829">
            <v>0</v>
          </cell>
        </row>
        <row r="9830">
          <cell r="W9830">
            <v>0</v>
          </cell>
        </row>
        <row r="9831">
          <cell r="W9831">
            <v>0</v>
          </cell>
        </row>
        <row r="9832">
          <cell r="W9832">
            <v>0</v>
          </cell>
        </row>
        <row r="9833">
          <cell r="W9833">
            <v>0</v>
          </cell>
        </row>
        <row r="9834">
          <cell r="W9834">
            <v>0</v>
          </cell>
        </row>
        <row r="9835">
          <cell r="W9835">
            <v>0</v>
          </cell>
        </row>
        <row r="9836">
          <cell r="W9836">
            <v>0</v>
          </cell>
        </row>
        <row r="9837">
          <cell r="W9837">
            <v>0</v>
          </cell>
        </row>
        <row r="9838">
          <cell r="W9838">
            <v>0</v>
          </cell>
        </row>
        <row r="9839">
          <cell r="W9839">
            <v>0</v>
          </cell>
        </row>
        <row r="9840">
          <cell r="W9840">
            <v>0</v>
          </cell>
        </row>
        <row r="9841">
          <cell r="W9841">
            <v>0</v>
          </cell>
        </row>
        <row r="9842">
          <cell r="W9842">
            <v>0</v>
          </cell>
        </row>
        <row r="9843">
          <cell r="W9843">
            <v>0</v>
          </cell>
        </row>
        <row r="9844">
          <cell r="W9844">
            <v>0</v>
          </cell>
        </row>
        <row r="9845">
          <cell r="W9845">
            <v>0</v>
          </cell>
        </row>
        <row r="9846">
          <cell r="W9846">
            <v>0</v>
          </cell>
        </row>
        <row r="9847">
          <cell r="W9847">
            <v>0</v>
          </cell>
        </row>
        <row r="9848">
          <cell r="W9848">
            <v>0</v>
          </cell>
        </row>
        <row r="9849">
          <cell r="W9849">
            <v>0</v>
          </cell>
        </row>
        <row r="9850">
          <cell r="W9850">
            <v>0</v>
          </cell>
        </row>
        <row r="9851">
          <cell r="W9851">
            <v>0</v>
          </cell>
        </row>
        <row r="9852">
          <cell r="W9852">
            <v>0</v>
          </cell>
        </row>
        <row r="9853">
          <cell r="W9853">
            <v>0</v>
          </cell>
        </row>
        <row r="9854">
          <cell r="W9854">
            <v>0</v>
          </cell>
        </row>
        <row r="9855">
          <cell r="W9855">
            <v>0</v>
          </cell>
        </row>
        <row r="9856">
          <cell r="W9856">
            <v>0</v>
          </cell>
        </row>
        <row r="9857">
          <cell r="W9857">
            <v>0</v>
          </cell>
        </row>
        <row r="9858">
          <cell r="W9858">
            <v>0</v>
          </cell>
        </row>
        <row r="9859">
          <cell r="W9859">
            <v>0</v>
          </cell>
        </row>
        <row r="9860">
          <cell r="W9860">
            <v>0</v>
          </cell>
        </row>
        <row r="9861">
          <cell r="W9861">
            <v>0</v>
          </cell>
        </row>
        <row r="9862">
          <cell r="W9862">
            <v>0</v>
          </cell>
        </row>
        <row r="9863">
          <cell r="W9863">
            <v>0</v>
          </cell>
        </row>
        <row r="9864">
          <cell r="W9864">
            <v>0</v>
          </cell>
        </row>
        <row r="9865">
          <cell r="W9865">
            <v>0</v>
          </cell>
        </row>
        <row r="9866">
          <cell r="W9866">
            <v>0</v>
          </cell>
        </row>
        <row r="9867">
          <cell r="W9867">
            <v>0</v>
          </cell>
        </row>
        <row r="9868">
          <cell r="W9868">
            <v>0</v>
          </cell>
        </row>
        <row r="9869">
          <cell r="W9869">
            <v>0</v>
          </cell>
        </row>
        <row r="9870">
          <cell r="W9870">
            <v>0</v>
          </cell>
        </row>
        <row r="9871">
          <cell r="W9871">
            <v>0</v>
          </cell>
        </row>
        <row r="9872">
          <cell r="W9872">
            <v>0</v>
          </cell>
        </row>
        <row r="9873">
          <cell r="W9873">
            <v>0</v>
          </cell>
        </row>
        <row r="9874">
          <cell r="W9874">
            <v>0</v>
          </cell>
        </row>
        <row r="9875">
          <cell r="W9875">
            <v>0</v>
          </cell>
        </row>
        <row r="9876">
          <cell r="W9876">
            <v>0</v>
          </cell>
        </row>
        <row r="9877">
          <cell r="W9877">
            <v>0</v>
          </cell>
        </row>
        <row r="9878">
          <cell r="W9878">
            <v>0</v>
          </cell>
        </row>
        <row r="9879">
          <cell r="W9879">
            <v>0</v>
          </cell>
        </row>
        <row r="9880">
          <cell r="W9880">
            <v>0</v>
          </cell>
        </row>
        <row r="9881">
          <cell r="W9881">
            <v>0</v>
          </cell>
        </row>
        <row r="9882">
          <cell r="W9882">
            <v>0</v>
          </cell>
        </row>
        <row r="9883">
          <cell r="W9883">
            <v>0</v>
          </cell>
        </row>
        <row r="9884">
          <cell r="W9884">
            <v>0</v>
          </cell>
        </row>
        <row r="9885">
          <cell r="W9885">
            <v>0</v>
          </cell>
        </row>
        <row r="9886">
          <cell r="W9886">
            <v>0</v>
          </cell>
        </row>
        <row r="9887">
          <cell r="W9887">
            <v>0</v>
          </cell>
        </row>
        <row r="9888">
          <cell r="W9888">
            <v>0</v>
          </cell>
        </row>
        <row r="9889">
          <cell r="W9889">
            <v>0</v>
          </cell>
        </row>
        <row r="9890">
          <cell r="W9890">
            <v>0</v>
          </cell>
        </row>
        <row r="9891">
          <cell r="W9891">
            <v>0</v>
          </cell>
        </row>
        <row r="9892">
          <cell r="W9892">
            <v>0</v>
          </cell>
        </row>
        <row r="9893">
          <cell r="W9893">
            <v>0</v>
          </cell>
        </row>
        <row r="9894">
          <cell r="W9894">
            <v>0</v>
          </cell>
        </row>
        <row r="9895">
          <cell r="W9895">
            <v>0</v>
          </cell>
        </row>
        <row r="9896">
          <cell r="W9896">
            <v>0</v>
          </cell>
        </row>
        <row r="9897">
          <cell r="W9897">
            <v>0</v>
          </cell>
        </row>
        <row r="9898">
          <cell r="W9898">
            <v>0</v>
          </cell>
        </row>
        <row r="9899">
          <cell r="W9899">
            <v>0</v>
          </cell>
        </row>
        <row r="9900">
          <cell r="W9900">
            <v>0</v>
          </cell>
        </row>
        <row r="9901">
          <cell r="W9901">
            <v>0</v>
          </cell>
        </row>
        <row r="9902">
          <cell r="W9902">
            <v>0</v>
          </cell>
        </row>
        <row r="9903">
          <cell r="W9903">
            <v>0</v>
          </cell>
        </row>
        <row r="9904">
          <cell r="W9904">
            <v>0</v>
          </cell>
        </row>
        <row r="9905">
          <cell r="W9905">
            <v>0</v>
          </cell>
        </row>
        <row r="9906">
          <cell r="W9906">
            <v>0</v>
          </cell>
        </row>
        <row r="9907">
          <cell r="W9907">
            <v>0</v>
          </cell>
        </row>
        <row r="9908">
          <cell r="W9908">
            <v>0</v>
          </cell>
        </row>
        <row r="9909">
          <cell r="W9909">
            <v>0</v>
          </cell>
        </row>
        <row r="9910">
          <cell r="W9910">
            <v>0</v>
          </cell>
        </row>
        <row r="9911">
          <cell r="W9911">
            <v>0</v>
          </cell>
        </row>
        <row r="9912">
          <cell r="W9912">
            <v>0</v>
          </cell>
        </row>
        <row r="9913">
          <cell r="W9913">
            <v>0</v>
          </cell>
        </row>
        <row r="9914">
          <cell r="W9914">
            <v>0</v>
          </cell>
        </row>
        <row r="9915">
          <cell r="W9915">
            <v>0</v>
          </cell>
        </row>
        <row r="9916">
          <cell r="W9916">
            <v>0</v>
          </cell>
        </row>
        <row r="9917">
          <cell r="W9917">
            <v>0</v>
          </cell>
        </row>
        <row r="9918">
          <cell r="W9918">
            <v>0</v>
          </cell>
        </row>
        <row r="9919">
          <cell r="W9919">
            <v>0</v>
          </cell>
        </row>
        <row r="9920">
          <cell r="W9920">
            <v>0</v>
          </cell>
        </row>
        <row r="9921">
          <cell r="W9921">
            <v>0</v>
          </cell>
        </row>
        <row r="9922">
          <cell r="W9922">
            <v>0</v>
          </cell>
        </row>
        <row r="9923">
          <cell r="W9923">
            <v>0</v>
          </cell>
        </row>
        <row r="9924">
          <cell r="W9924">
            <v>0</v>
          </cell>
        </row>
        <row r="9925">
          <cell r="W9925">
            <v>0</v>
          </cell>
        </row>
        <row r="9926">
          <cell r="W9926">
            <v>0</v>
          </cell>
        </row>
        <row r="9927">
          <cell r="W9927">
            <v>0</v>
          </cell>
        </row>
        <row r="9928">
          <cell r="W9928">
            <v>0</v>
          </cell>
        </row>
        <row r="9929">
          <cell r="W9929">
            <v>0</v>
          </cell>
        </row>
        <row r="9930">
          <cell r="W9930">
            <v>0</v>
          </cell>
        </row>
        <row r="9931">
          <cell r="W9931">
            <v>0</v>
          </cell>
        </row>
        <row r="9932">
          <cell r="W9932">
            <v>0</v>
          </cell>
        </row>
        <row r="9933">
          <cell r="W9933">
            <v>0</v>
          </cell>
        </row>
        <row r="9934">
          <cell r="W9934">
            <v>0</v>
          </cell>
        </row>
        <row r="9935">
          <cell r="W9935">
            <v>0</v>
          </cell>
        </row>
        <row r="9936">
          <cell r="W9936">
            <v>0</v>
          </cell>
        </row>
        <row r="9937">
          <cell r="W9937">
            <v>0</v>
          </cell>
        </row>
        <row r="9938">
          <cell r="W9938">
            <v>0</v>
          </cell>
        </row>
        <row r="9939">
          <cell r="W9939">
            <v>0</v>
          </cell>
        </row>
        <row r="9940">
          <cell r="W9940">
            <v>0</v>
          </cell>
        </row>
        <row r="9941">
          <cell r="W9941">
            <v>0</v>
          </cell>
        </row>
        <row r="9942">
          <cell r="W9942">
            <v>0</v>
          </cell>
        </row>
        <row r="9943">
          <cell r="W9943">
            <v>0</v>
          </cell>
        </row>
        <row r="9944">
          <cell r="W9944">
            <v>0</v>
          </cell>
        </row>
        <row r="9945">
          <cell r="W9945">
            <v>0</v>
          </cell>
        </row>
        <row r="9946">
          <cell r="W9946">
            <v>0</v>
          </cell>
        </row>
        <row r="9947">
          <cell r="W9947">
            <v>0</v>
          </cell>
        </row>
        <row r="9948">
          <cell r="W9948">
            <v>0</v>
          </cell>
        </row>
        <row r="9949">
          <cell r="W9949">
            <v>0</v>
          </cell>
        </row>
        <row r="9950">
          <cell r="W9950">
            <v>0</v>
          </cell>
        </row>
        <row r="9951">
          <cell r="W9951">
            <v>0</v>
          </cell>
        </row>
        <row r="9952">
          <cell r="W9952">
            <v>0</v>
          </cell>
        </row>
        <row r="9953">
          <cell r="W9953">
            <v>0</v>
          </cell>
        </row>
        <row r="9954">
          <cell r="W9954">
            <v>0</v>
          </cell>
        </row>
        <row r="9955">
          <cell r="W9955">
            <v>0</v>
          </cell>
        </row>
        <row r="9956">
          <cell r="W9956">
            <v>0</v>
          </cell>
        </row>
        <row r="9957">
          <cell r="W9957">
            <v>0</v>
          </cell>
        </row>
        <row r="9958">
          <cell r="W9958">
            <v>0</v>
          </cell>
        </row>
        <row r="9959">
          <cell r="W9959">
            <v>0</v>
          </cell>
        </row>
        <row r="9960">
          <cell r="W9960">
            <v>0</v>
          </cell>
        </row>
        <row r="9961">
          <cell r="W9961">
            <v>0</v>
          </cell>
        </row>
        <row r="9962">
          <cell r="W9962">
            <v>0</v>
          </cell>
        </row>
        <row r="9963">
          <cell r="W9963">
            <v>0</v>
          </cell>
        </row>
        <row r="9964">
          <cell r="W9964">
            <v>0</v>
          </cell>
        </row>
        <row r="9965">
          <cell r="W9965">
            <v>0</v>
          </cell>
        </row>
        <row r="9966">
          <cell r="W9966">
            <v>0</v>
          </cell>
        </row>
        <row r="9967">
          <cell r="W9967">
            <v>0</v>
          </cell>
        </row>
        <row r="9968">
          <cell r="W9968">
            <v>0</v>
          </cell>
        </row>
        <row r="9969">
          <cell r="W9969">
            <v>0</v>
          </cell>
        </row>
        <row r="9970">
          <cell r="W9970">
            <v>0</v>
          </cell>
        </row>
        <row r="9971">
          <cell r="W9971">
            <v>0</v>
          </cell>
        </row>
        <row r="9972">
          <cell r="W9972">
            <v>0</v>
          </cell>
        </row>
        <row r="9973">
          <cell r="W9973">
            <v>0</v>
          </cell>
        </row>
        <row r="9974">
          <cell r="W9974">
            <v>0</v>
          </cell>
        </row>
        <row r="9975">
          <cell r="W9975">
            <v>0</v>
          </cell>
        </row>
        <row r="9976">
          <cell r="W9976">
            <v>0</v>
          </cell>
        </row>
        <row r="9977">
          <cell r="W9977">
            <v>0</v>
          </cell>
        </row>
        <row r="9978">
          <cell r="W9978">
            <v>0</v>
          </cell>
        </row>
        <row r="9979">
          <cell r="W9979">
            <v>0</v>
          </cell>
        </row>
        <row r="9980">
          <cell r="W9980">
            <v>0</v>
          </cell>
        </row>
        <row r="9981">
          <cell r="W9981">
            <v>0</v>
          </cell>
        </row>
        <row r="9982">
          <cell r="W9982">
            <v>0</v>
          </cell>
        </row>
        <row r="9983">
          <cell r="W9983">
            <v>0</v>
          </cell>
        </row>
        <row r="9984">
          <cell r="W9984">
            <v>0</v>
          </cell>
        </row>
        <row r="9985">
          <cell r="W9985">
            <v>0</v>
          </cell>
        </row>
        <row r="9986">
          <cell r="W9986">
            <v>0</v>
          </cell>
        </row>
        <row r="9987">
          <cell r="W9987">
            <v>0</v>
          </cell>
        </row>
        <row r="9988">
          <cell r="W9988">
            <v>0</v>
          </cell>
        </row>
        <row r="9989">
          <cell r="W9989">
            <v>0</v>
          </cell>
        </row>
        <row r="9990">
          <cell r="W9990">
            <v>0</v>
          </cell>
        </row>
        <row r="9991">
          <cell r="W9991">
            <v>0</v>
          </cell>
        </row>
        <row r="9992">
          <cell r="W9992">
            <v>0</v>
          </cell>
        </row>
        <row r="9993">
          <cell r="W9993">
            <v>0</v>
          </cell>
        </row>
        <row r="9994">
          <cell r="W9994">
            <v>0</v>
          </cell>
        </row>
        <row r="9995">
          <cell r="W9995">
            <v>0</v>
          </cell>
        </row>
        <row r="9996">
          <cell r="W9996">
            <v>0</v>
          </cell>
        </row>
        <row r="9997">
          <cell r="W9997">
            <v>0</v>
          </cell>
        </row>
        <row r="9998">
          <cell r="W9998">
            <v>0</v>
          </cell>
        </row>
        <row r="9999">
          <cell r="W9999">
            <v>0</v>
          </cell>
        </row>
        <row r="10000">
          <cell r="W10000">
            <v>0</v>
          </cell>
        </row>
        <row r="10001">
          <cell r="W10001">
            <v>0</v>
          </cell>
        </row>
        <row r="10002">
          <cell r="W10002">
            <v>0</v>
          </cell>
        </row>
        <row r="10003">
          <cell r="W10003">
            <v>0</v>
          </cell>
        </row>
        <row r="10004">
          <cell r="W10004">
            <v>0</v>
          </cell>
        </row>
        <row r="10005">
          <cell r="W10005">
            <v>0</v>
          </cell>
        </row>
        <row r="10006">
          <cell r="W10006">
            <v>0</v>
          </cell>
        </row>
        <row r="10007">
          <cell r="W10007">
            <v>0</v>
          </cell>
        </row>
        <row r="10008">
          <cell r="W10008">
            <v>0</v>
          </cell>
        </row>
        <row r="10009">
          <cell r="W10009">
            <v>0</v>
          </cell>
        </row>
        <row r="10010">
          <cell r="W10010">
            <v>0</v>
          </cell>
        </row>
        <row r="10011">
          <cell r="W10011">
            <v>0</v>
          </cell>
        </row>
        <row r="10012">
          <cell r="W10012">
            <v>0</v>
          </cell>
        </row>
        <row r="10013">
          <cell r="W10013">
            <v>0</v>
          </cell>
        </row>
        <row r="10014">
          <cell r="W10014">
            <v>0</v>
          </cell>
        </row>
        <row r="10015">
          <cell r="W10015">
            <v>0</v>
          </cell>
        </row>
        <row r="10016">
          <cell r="W10016">
            <v>0</v>
          </cell>
        </row>
        <row r="10017">
          <cell r="W10017">
            <v>0</v>
          </cell>
        </row>
        <row r="10018">
          <cell r="W10018">
            <v>0</v>
          </cell>
        </row>
        <row r="10019">
          <cell r="W10019">
            <v>0</v>
          </cell>
        </row>
        <row r="10020">
          <cell r="W10020">
            <v>0</v>
          </cell>
        </row>
        <row r="10021">
          <cell r="W10021">
            <v>0</v>
          </cell>
        </row>
        <row r="10022">
          <cell r="W10022">
            <v>0</v>
          </cell>
        </row>
        <row r="10023">
          <cell r="W10023">
            <v>0</v>
          </cell>
        </row>
        <row r="10024">
          <cell r="W10024">
            <v>0</v>
          </cell>
        </row>
        <row r="10025">
          <cell r="W10025">
            <v>0</v>
          </cell>
        </row>
        <row r="10026">
          <cell r="W10026">
            <v>0</v>
          </cell>
        </row>
        <row r="10027">
          <cell r="W10027">
            <v>0</v>
          </cell>
        </row>
        <row r="10028">
          <cell r="W10028">
            <v>0</v>
          </cell>
        </row>
        <row r="10029">
          <cell r="W10029">
            <v>0</v>
          </cell>
        </row>
        <row r="10030">
          <cell r="W10030">
            <v>0</v>
          </cell>
        </row>
        <row r="10031">
          <cell r="W10031">
            <v>0</v>
          </cell>
        </row>
        <row r="10032">
          <cell r="W10032">
            <v>0</v>
          </cell>
        </row>
        <row r="10033">
          <cell r="W10033">
            <v>0</v>
          </cell>
        </row>
        <row r="10034">
          <cell r="W10034">
            <v>0</v>
          </cell>
        </row>
        <row r="10035">
          <cell r="W10035">
            <v>0</v>
          </cell>
        </row>
        <row r="10036">
          <cell r="W10036">
            <v>0</v>
          </cell>
        </row>
        <row r="10037">
          <cell r="W10037">
            <v>0</v>
          </cell>
        </row>
        <row r="10038">
          <cell r="W10038">
            <v>0</v>
          </cell>
        </row>
        <row r="10039">
          <cell r="W10039">
            <v>0</v>
          </cell>
        </row>
        <row r="10040">
          <cell r="W10040">
            <v>0</v>
          </cell>
        </row>
        <row r="10041">
          <cell r="W10041">
            <v>0</v>
          </cell>
        </row>
        <row r="10042">
          <cell r="W10042">
            <v>0</v>
          </cell>
        </row>
        <row r="10043">
          <cell r="W10043">
            <v>0</v>
          </cell>
        </row>
        <row r="10044">
          <cell r="W10044">
            <v>0</v>
          </cell>
        </row>
        <row r="10045">
          <cell r="W10045">
            <v>0</v>
          </cell>
        </row>
        <row r="10046">
          <cell r="W10046">
            <v>0</v>
          </cell>
        </row>
        <row r="10047">
          <cell r="W10047">
            <v>0</v>
          </cell>
        </row>
        <row r="10048">
          <cell r="W10048">
            <v>0</v>
          </cell>
        </row>
        <row r="10049">
          <cell r="W10049">
            <v>0</v>
          </cell>
        </row>
        <row r="10050">
          <cell r="W10050">
            <v>0</v>
          </cell>
        </row>
        <row r="10051">
          <cell r="W10051">
            <v>0</v>
          </cell>
        </row>
        <row r="10052">
          <cell r="W10052">
            <v>0</v>
          </cell>
        </row>
        <row r="10053">
          <cell r="W10053">
            <v>0</v>
          </cell>
        </row>
        <row r="10054">
          <cell r="W10054">
            <v>0</v>
          </cell>
        </row>
        <row r="10055">
          <cell r="W10055">
            <v>0</v>
          </cell>
        </row>
        <row r="10056">
          <cell r="W10056">
            <v>0</v>
          </cell>
        </row>
        <row r="10057">
          <cell r="W10057">
            <v>0</v>
          </cell>
        </row>
        <row r="10058">
          <cell r="W10058">
            <v>0</v>
          </cell>
        </row>
        <row r="10059">
          <cell r="W10059">
            <v>0</v>
          </cell>
        </row>
        <row r="10060">
          <cell r="W10060">
            <v>0</v>
          </cell>
        </row>
        <row r="10061">
          <cell r="W10061">
            <v>0</v>
          </cell>
        </row>
        <row r="10062">
          <cell r="W10062">
            <v>0</v>
          </cell>
        </row>
        <row r="10063">
          <cell r="W10063">
            <v>0</v>
          </cell>
        </row>
        <row r="10064">
          <cell r="W10064">
            <v>0</v>
          </cell>
        </row>
        <row r="10065">
          <cell r="W10065">
            <v>0</v>
          </cell>
        </row>
        <row r="10066">
          <cell r="W10066">
            <v>0</v>
          </cell>
        </row>
        <row r="10067">
          <cell r="W10067">
            <v>0</v>
          </cell>
        </row>
        <row r="10068">
          <cell r="W10068">
            <v>0</v>
          </cell>
        </row>
        <row r="10069">
          <cell r="W10069">
            <v>0</v>
          </cell>
        </row>
        <row r="10070">
          <cell r="W10070">
            <v>0</v>
          </cell>
        </row>
        <row r="10071">
          <cell r="W10071">
            <v>0</v>
          </cell>
        </row>
        <row r="10072">
          <cell r="W10072">
            <v>0</v>
          </cell>
        </row>
        <row r="10073">
          <cell r="W10073">
            <v>0</v>
          </cell>
        </row>
        <row r="10074">
          <cell r="W10074">
            <v>0</v>
          </cell>
        </row>
        <row r="10075">
          <cell r="W10075">
            <v>0</v>
          </cell>
        </row>
        <row r="10076">
          <cell r="W10076">
            <v>0</v>
          </cell>
        </row>
        <row r="10077">
          <cell r="W10077">
            <v>0</v>
          </cell>
        </row>
        <row r="10078">
          <cell r="W10078">
            <v>0</v>
          </cell>
        </row>
        <row r="10079">
          <cell r="W10079">
            <v>0</v>
          </cell>
        </row>
        <row r="10080">
          <cell r="W10080">
            <v>0</v>
          </cell>
        </row>
        <row r="10081">
          <cell r="W10081">
            <v>0</v>
          </cell>
        </row>
        <row r="10082">
          <cell r="W10082">
            <v>0</v>
          </cell>
        </row>
        <row r="10083">
          <cell r="W10083">
            <v>0</v>
          </cell>
        </row>
        <row r="10084">
          <cell r="W10084">
            <v>0</v>
          </cell>
        </row>
        <row r="10085">
          <cell r="W10085">
            <v>0</v>
          </cell>
        </row>
        <row r="10086">
          <cell r="W10086">
            <v>0</v>
          </cell>
        </row>
        <row r="10087">
          <cell r="W10087">
            <v>0</v>
          </cell>
        </row>
        <row r="10088">
          <cell r="W10088">
            <v>0</v>
          </cell>
        </row>
        <row r="10089">
          <cell r="W10089">
            <v>0</v>
          </cell>
        </row>
        <row r="10090">
          <cell r="W10090">
            <v>0</v>
          </cell>
        </row>
        <row r="10091">
          <cell r="W10091">
            <v>0</v>
          </cell>
        </row>
        <row r="10092">
          <cell r="W10092">
            <v>0</v>
          </cell>
        </row>
        <row r="10093">
          <cell r="W10093">
            <v>0</v>
          </cell>
        </row>
        <row r="10094">
          <cell r="W10094">
            <v>0</v>
          </cell>
        </row>
        <row r="10095">
          <cell r="W10095">
            <v>0</v>
          </cell>
        </row>
        <row r="10096">
          <cell r="W10096">
            <v>0</v>
          </cell>
        </row>
        <row r="10097">
          <cell r="W10097">
            <v>0</v>
          </cell>
        </row>
        <row r="10098">
          <cell r="W10098">
            <v>0</v>
          </cell>
        </row>
        <row r="10099">
          <cell r="W10099">
            <v>0</v>
          </cell>
        </row>
        <row r="10100">
          <cell r="W10100">
            <v>0</v>
          </cell>
        </row>
        <row r="10101">
          <cell r="W10101">
            <v>0</v>
          </cell>
        </row>
        <row r="10102">
          <cell r="W10102">
            <v>0</v>
          </cell>
        </row>
        <row r="10103">
          <cell r="W10103">
            <v>0</v>
          </cell>
        </row>
        <row r="10104">
          <cell r="W10104">
            <v>0</v>
          </cell>
        </row>
        <row r="10105">
          <cell r="W10105">
            <v>0</v>
          </cell>
        </row>
        <row r="10106">
          <cell r="W10106">
            <v>0</v>
          </cell>
        </row>
        <row r="10107">
          <cell r="W10107">
            <v>0</v>
          </cell>
        </row>
        <row r="10108">
          <cell r="W10108">
            <v>0</v>
          </cell>
        </row>
        <row r="10109">
          <cell r="W10109">
            <v>0</v>
          </cell>
        </row>
        <row r="10110">
          <cell r="W10110">
            <v>0</v>
          </cell>
        </row>
        <row r="10111">
          <cell r="W10111">
            <v>0</v>
          </cell>
        </row>
        <row r="10112">
          <cell r="W10112">
            <v>0</v>
          </cell>
        </row>
        <row r="10113">
          <cell r="W10113">
            <v>0</v>
          </cell>
        </row>
        <row r="10114">
          <cell r="W10114">
            <v>0</v>
          </cell>
        </row>
        <row r="10115">
          <cell r="W10115">
            <v>0</v>
          </cell>
        </row>
        <row r="10116">
          <cell r="W10116">
            <v>0</v>
          </cell>
        </row>
        <row r="10117">
          <cell r="W10117">
            <v>0</v>
          </cell>
        </row>
        <row r="10118">
          <cell r="W10118">
            <v>0</v>
          </cell>
        </row>
        <row r="10119">
          <cell r="W10119">
            <v>0</v>
          </cell>
        </row>
        <row r="10120">
          <cell r="W10120">
            <v>0</v>
          </cell>
        </row>
        <row r="10121">
          <cell r="W10121">
            <v>0</v>
          </cell>
        </row>
        <row r="10122">
          <cell r="W10122">
            <v>0</v>
          </cell>
        </row>
        <row r="10123">
          <cell r="W10123">
            <v>0</v>
          </cell>
        </row>
        <row r="10124">
          <cell r="W10124">
            <v>0</v>
          </cell>
        </row>
        <row r="10125">
          <cell r="W10125">
            <v>0</v>
          </cell>
        </row>
        <row r="10126">
          <cell r="W10126">
            <v>0</v>
          </cell>
        </row>
        <row r="10127">
          <cell r="W10127">
            <v>0</v>
          </cell>
        </row>
        <row r="10128">
          <cell r="W10128">
            <v>0</v>
          </cell>
        </row>
        <row r="10129">
          <cell r="W10129">
            <v>0</v>
          </cell>
        </row>
        <row r="10130">
          <cell r="W10130">
            <v>0</v>
          </cell>
        </row>
        <row r="10131">
          <cell r="W10131">
            <v>0</v>
          </cell>
        </row>
        <row r="10132">
          <cell r="W10132">
            <v>0</v>
          </cell>
        </row>
        <row r="10133">
          <cell r="W10133">
            <v>0</v>
          </cell>
        </row>
        <row r="10134">
          <cell r="W10134">
            <v>0</v>
          </cell>
        </row>
        <row r="10135">
          <cell r="W10135">
            <v>0</v>
          </cell>
        </row>
        <row r="10136">
          <cell r="W10136">
            <v>0</v>
          </cell>
        </row>
        <row r="10137">
          <cell r="W10137">
            <v>0</v>
          </cell>
        </row>
        <row r="10138">
          <cell r="W10138">
            <v>0</v>
          </cell>
        </row>
        <row r="10139">
          <cell r="W10139">
            <v>0</v>
          </cell>
        </row>
        <row r="10140">
          <cell r="W10140">
            <v>0</v>
          </cell>
        </row>
        <row r="10141">
          <cell r="W10141">
            <v>0</v>
          </cell>
        </row>
        <row r="10142">
          <cell r="W10142">
            <v>0</v>
          </cell>
        </row>
        <row r="10143">
          <cell r="W10143">
            <v>0</v>
          </cell>
        </row>
        <row r="10144">
          <cell r="W10144">
            <v>0</v>
          </cell>
        </row>
        <row r="10145">
          <cell r="W10145">
            <v>0</v>
          </cell>
        </row>
        <row r="10146">
          <cell r="W10146">
            <v>0</v>
          </cell>
        </row>
        <row r="10147">
          <cell r="W10147">
            <v>0</v>
          </cell>
        </row>
        <row r="10148">
          <cell r="W10148">
            <v>0</v>
          </cell>
        </row>
        <row r="10149">
          <cell r="W10149">
            <v>0</v>
          </cell>
        </row>
        <row r="10150">
          <cell r="W10150">
            <v>0</v>
          </cell>
        </row>
        <row r="10151">
          <cell r="W10151">
            <v>0</v>
          </cell>
        </row>
        <row r="10152">
          <cell r="W10152">
            <v>0</v>
          </cell>
        </row>
        <row r="10153">
          <cell r="W10153">
            <v>0</v>
          </cell>
        </row>
        <row r="10154">
          <cell r="W10154">
            <v>0</v>
          </cell>
        </row>
        <row r="10155">
          <cell r="W10155">
            <v>0</v>
          </cell>
        </row>
        <row r="10156">
          <cell r="W10156">
            <v>0</v>
          </cell>
        </row>
        <row r="10157">
          <cell r="W10157">
            <v>0</v>
          </cell>
        </row>
        <row r="10158">
          <cell r="W10158">
            <v>0</v>
          </cell>
        </row>
        <row r="10159">
          <cell r="W10159">
            <v>0</v>
          </cell>
        </row>
        <row r="10160">
          <cell r="W10160">
            <v>0</v>
          </cell>
        </row>
        <row r="10161">
          <cell r="W10161">
            <v>0</v>
          </cell>
        </row>
        <row r="10162">
          <cell r="W10162">
            <v>0</v>
          </cell>
        </row>
        <row r="10163">
          <cell r="W10163">
            <v>0</v>
          </cell>
        </row>
        <row r="10164">
          <cell r="W10164">
            <v>0</v>
          </cell>
        </row>
        <row r="10165">
          <cell r="W10165">
            <v>0</v>
          </cell>
        </row>
        <row r="10166">
          <cell r="W10166">
            <v>0</v>
          </cell>
        </row>
        <row r="10167">
          <cell r="W10167">
            <v>0</v>
          </cell>
        </row>
        <row r="10168">
          <cell r="W10168">
            <v>0</v>
          </cell>
        </row>
        <row r="10169">
          <cell r="W10169">
            <v>0</v>
          </cell>
        </row>
        <row r="10170">
          <cell r="W10170">
            <v>0</v>
          </cell>
        </row>
        <row r="10171">
          <cell r="W10171">
            <v>0</v>
          </cell>
        </row>
        <row r="10172">
          <cell r="W10172">
            <v>0</v>
          </cell>
        </row>
        <row r="10173">
          <cell r="W10173">
            <v>0</v>
          </cell>
        </row>
        <row r="10174">
          <cell r="W10174">
            <v>0</v>
          </cell>
        </row>
        <row r="10175">
          <cell r="W10175">
            <v>0</v>
          </cell>
        </row>
        <row r="10176">
          <cell r="W10176">
            <v>0</v>
          </cell>
        </row>
        <row r="10177">
          <cell r="W10177">
            <v>0</v>
          </cell>
        </row>
        <row r="10178">
          <cell r="W10178">
            <v>0</v>
          </cell>
        </row>
        <row r="10179">
          <cell r="W10179">
            <v>0</v>
          </cell>
        </row>
        <row r="10180">
          <cell r="W10180">
            <v>0</v>
          </cell>
        </row>
        <row r="10181">
          <cell r="W10181">
            <v>0</v>
          </cell>
        </row>
        <row r="10182">
          <cell r="W10182">
            <v>0</v>
          </cell>
        </row>
        <row r="10183">
          <cell r="W10183">
            <v>0</v>
          </cell>
        </row>
        <row r="10184">
          <cell r="W10184">
            <v>0</v>
          </cell>
        </row>
        <row r="10185">
          <cell r="W10185">
            <v>0</v>
          </cell>
        </row>
        <row r="10186">
          <cell r="W10186">
            <v>0</v>
          </cell>
        </row>
        <row r="10187">
          <cell r="W10187">
            <v>0</v>
          </cell>
        </row>
        <row r="10188">
          <cell r="W10188">
            <v>0</v>
          </cell>
        </row>
        <row r="10189">
          <cell r="W10189">
            <v>0</v>
          </cell>
        </row>
        <row r="10190">
          <cell r="W10190">
            <v>0</v>
          </cell>
        </row>
        <row r="10191">
          <cell r="W10191">
            <v>0</v>
          </cell>
        </row>
        <row r="10192">
          <cell r="W10192">
            <v>0</v>
          </cell>
        </row>
        <row r="10193">
          <cell r="W10193">
            <v>0</v>
          </cell>
        </row>
        <row r="10194">
          <cell r="W10194">
            <v>0</v>
          </cell>
        </row>
        <row r="10195">
          <cell r="W10195">
            <v>0</v>
          </cell>
        </row>
        <row r="10196">
          <cell r="W10196">
            <v>0</v>
          </cell>
        </row>
        <row r="10197">
          <cell r="W10197">
            <v>0</v>
          </cell>
        </row>
        <row r="10198">
          <cell r="W10198">
            <v>0</v>
          </cell>
        </row>
        <row r="10199">
          <cell r="W10199">
            <v>0</v>
          </cell>
        </row>
        <row r="10200">
          <cell r="W10200">
            <v>0</v>
          </cell>
        </row>
        <row r="10201">
          <cell r="W10201">
            <v>0</v>
          </cell>
        </row>
        <row r="10202">
          <cell r="W10202">
            <v>0</v>
          </cell>
        </row>
        <row r="10203">
          <cell r="W10203">
            <v>0</v>
          </cell>
        </row>
        <row r="10204">
          <cell r="W10204">
            <v>0</v>
          </cell>
        </row>
        <row r="10205">
          <cell r="W10205">
            <v>0</v>
          </cell>
        </row>
        <row r="10206">
          <cell r="W10206">
            <v>0</v>
          </cell>
        </row>
        <row r="10207">
          <cell r="W10207">
            <v>0</v>
          </cell>
        </row>
        <row r="10208">
          <cell r="W10208">
            <v>0</v>
          </cell>
        </row>
        <row r="10209">
          <cell r="W10209">
            <v>0</v>
          </cell>
        </row>
        <row r="10210">
          <cell r="W10210">
            <v>0</v>
          </cell>
        </row>
        <row r="10211">
          <cell r="W10211">
            <v>0</v>
          </cell>
        </row>
        <row r="10212">
          <cell r="W10212">
            <v>0</v>
          </cell>
        </row>
        <row r="10213">
          <cell r="W10213">
            <v>0</v>
          </cell>
        </row>
        <row r="10214">
          <cell r="W10214">
            <v>0</v>
          </cell>
        </row>
        <row r="10215">
          <cell r="W10215">
            <v>0</v>
          </cell>
        </row>
        <row r="10216">
          <cell r="W10216">
            <v>0</v>
          </cell>
        </row>
        <row r="10217">
          <cell r="W10217">
            <v>0</v>
          </cell>
        </row>
        <row r="10218">
          <cell r="W10218">
            <v>0</v>
          </cell>
        </row>
        <row r="10219">
          <cell r="W10219">
            <v>0</v>
          </cell>
        </row>
        <row r="10220">
          <cell r="W10220">
            <v>0</v>
          </cell>
        </row>
        <row r="10221">
          <cell r="W10221">
            <v>0</v>
          </cell>
        </row>
        <row r="10222">
          <cell r="W10222">
            <v>0</v>
          </cell>
        </row>
        <row r="10223">
          <cell r="W10223">
            <v>0</v>
          </cell>
        </row>
        <row r="10224">
          <cell r="W10224">
            <v>0</v>
          </cell>
        </row>
        <row r="10225">
          <cell r="W10225">
            <v>0</v>
          </cell>
        </row>
        <row r="10226">
          <cell r="W10226">
            <v>0</v>
          </cell>
        </row>
        <row r="10227">
          <cell r="W10227">
            <v>0</v>
          </cell>
        </row>
        <row r="10228">
          <cell r="W10228">
            <v>0</v>
          </cell>
        </row>
        <row r="10229">
          <cell r="W10229">
            <v>0</v>
          </cell>
        </row>
        <row r="10230">
          <cell r="W10230">
            <v>0</v>
          </cell>
        </row>
        <row r="10231">
          <cell r="W10231">
            <v>0</v>
          </cell>
        </row>
        <row r="10232">
          <cell r="W10232">
            <v>0</v>
          </cell>
        </row>
        <row r="10233">
          <cell r="W10233">
            <v>0</v>
          </cell>
        </row>
        <row r="10234">
          <cell r="W10234">
            <v>0</v>
          </cell>
        </row>
        <row r="10235">
          <cell r="W10235">
            <v>0</v>
          </cell>
        </row>
        <row r="10236">
          <cell r="W10236">
            <v>0</v>
          </cell>
        </row>
        <row r="10237">
          <cell r="W10237">
            <v>0</v>
          </cell>
        </row>
        <row r="10238">
          <cell r="W10238">
            <v>0</v>
          </cell>
        </row>
        <row r="10239">
          <cell r="W10239">
            <v>0</v>
          </cell>
        </row>
        <row r="10240">
          <cell r="W10240">
            <v>0</v>
          </cell>
        </row>
        <row r="10241">
          <cell r="W10241">
            <v>0</v>
          </cell>
        </row>
        <row r="10242">
          <cell r="W10242">
            <v>0</v>
          </cell>
        </row>
        <row r="10243">
          <cell r="W10243">
            <v>0</v>
          </cell>
        </row>
        <row r="10244">
          <cell r="W10244">
            <v>0</v>
          </cell>
        </row>
        <row r="10245">
          <cell r="W10245">
            <v>0</v>
          </cell>
        </row>
        <row r="10246">
          <cell r="W10246">
            <v>0</v>
          </cell>
        </row>
        <row r="10247">
          <cell r="W10247">
            <v>0</v>
          </cell>
        </row>
        <row r="10248">
          <cell r="W10248">
            <v>0</v>
          </cell>
        </row>
        <row r="10249">
          <cell r="W10249">
            <v>0</v>
          </cell>
        </row>
        <row r="10250">
          <cell r="W10250">
            <v>0</v>
          </cell>
        </row>
        <row r="10251">
          <cell r="W10251">
            <v>0</v>
          </cell>
        </row>
        <row r="10252">
          <cell r="W10252">
            <v>0</v>
          </cell>
        </row>
        <row r="10253">
          <cell r="W10253">
            <v>0</v>
          </cell>
        </row>
        <row r="10254">
          <cell r="W10254">
            <v>0</v>
          </cell>
        </row>
        <row r="10255">
          <cell r="W10255">
            <v>0</v>
          </cell>
        </row>
        <row r="10256">
          <cell r="W10256">
            <v>0</v>
          </cell>
        </row>
        <row r="10257">
          <cell r="W10257">
            <v>0</v>
          </cell>
        </row>
      </sheetData>
      <sheetData sheetId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57"/>
  <sheetViews>
    <sheetView tabSelected="1" zoomScaleNormal="100" workbookViewId="0">
      <pane xSplit="4" topLeftCell="E1" activePane="topRight" state="frozen"/>
      <selection pane="topRight"/>
    </sheetView>
  </sheetViews>
  <sheetFormatPr defaultRowHeight="14.5" x14ac:dyDescent="0.35"/>
  <cols>
    <col min="1" max="1" width="17.08984375" customWidth="1"/>
  </cols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82</v>
      </c>
      <c r="F1" t="s">
        <v>432</v>
      </c>
      <c r="G1" t="s">
        <v>433</v>
      </c>
      <c r="H1" t="s">
        <v>434</v>
      </c>
      <c r="I1" t="s">
        <v>435</v>
      </c>
      <c r="K1" t="s">
        <v>372</v>
      </c>
      <c r="L1" t="s">
        <v>373</v>
      </c>
      <c r="M1" t="s">
        <v>374</v>
      </c>
      <c r="N1" t="s">
        <v>375</v>
      </c>
      <c r="O1" t="s">
        <v>376</v>
      </c>
      <c r="P1" t="s">
        <v>377</v>
      </c>
      <c r="Q1" t="s">
        <v>378</v>
      </c>
      <c r="R1" t="s">
        <v>379</v>
      </c>
      <c r="S1" t="s">
        <v>380</v>
      </c>
      <c r="T1" t="s">
        <v>381</v>
      </c>
      <c r="U1" t="s">
        <v>382</v>
      </c>
      <c r="V1" t="s">
        <v>383</v>
      </c>
      <c r="W1" t="s">
        <v>384</v>
      </c>
      <c r="X1" t="s">
        <v>385</v>
      </c>
      <c r="Y1" t="s">
        <v>386</v>
      </c>
      <c r="Z1" t="s">
        <v>387</v>
      </c>
      <c r="AA1" t="s">
        <v>388</v>
      </c>
      <c r="AB1" t="s">
        <v>389</v>
      </c>
      <c r="AC1" t="s">
        <v>390</v>
      </c>
      <c r="AD1" t="s">
        <v>391</v>
      </c>
      <c r="AE1" t="s">
        <v>392</v>
      </c>
      <c r="AF1" t="s">
        <v>393</v>
      </c>
      <c r="AG1" t="s">
        <v>394</v>
      </c>
      <c r="AH1" t="s">
        <v>395</v>
      </c>
      <c r="AI1" t="s">
        <v>396</v>
      </c>
      <c r="AJ1" t="s">
        <v>397</v>
      </c>
      <c r="AK1" t="s">
        <v>398</v>
      </c>
      <c r="AL1" t="s">
        <v>399</v>
      </c>
      <c r="AM1" t="s">
        <v>400</v>
      </c>
      <c r="AN1" t="s">
        <v>401</v>
      </c>
      <c r="AO1" t="s">
        <v>402</v>
      </c>
      <c r="AP1" t="s">
        <v>403</v>
      </c>
      <c r="AQ1" t="s">
        <v>404</v>
      </c>
      <c r="AR1" t="s">
        <v>405</v>
      </c>
      <c r="AS1" t="s">
        <v>406</v>
      </c>
      <c r="AT1" t="s">
        <v>407</v>
      </c>
      <c r="AU1" t="s">
        <v>408</v>
      </c>
      <c r="AV1" t="s">
        <v>409</v>
      </c>
      <c r="AW1" t="s">
        <v>410</v>
      </c>
      <c r="AX1" t="s">
        <v>411</v>
      </c>
      <c r="AY1" t="s">
        <v>412</v>
      </c>
      <c r="AZ1" t="s">
        <v>413</v>
      </c>
      <c r="BA1" t="s">
        <v>414</v>
      </c>
      <c r="BB1" t="s">
        <v>415</v>
      </c>
      <c r="BC1" t="s">
        <v>416</v>
      </c>
      <c r="BD1" t="s">
        <v>417</v>
      </c>
      <c r="BE1" t="s">
        <v>418</v>
      </c>
      <c r="BF1" t="s">
        <v>419</v>
      </c>
      <c r="BG1" t="s">
        <v>420</v>
      </c>
      <c r="BH1" t="s">
        <v>421</v>
      </c>
      <c r="BI1" t="s">
        <v>422</v>
      </c>
      <c r="BJ1" t="s">
        <v>423</v>
      </c>
      <c r="BK1" t="s">
        <v>424</v>
      </c>
      <c r="BL1" t="s">
        <v>425</v>
      </c>
      <c r="BM1" t="s">
        <v>426</v>
      </c>
      <c r="BN1" t="s">
        <v>427</v>
      </c>
      <c r="BO1" t="s">
        <v>428</v>
      </c>
      <c r="BP1" t="s">
        <v>429</v>
      </c>
      <c r="BQ1" t="s">
        <v>430</v>
      </c>
      <c r="BR1" t="s">
        <v>431</v>
      </c>
    </row>
    <row r="2" spans="1:70" x14ac:dyDescent="0.35">
      <c r="A2" t="s">
        <v>436</v>
      </c>
      <c r="B2" t="s">
        <v>437</v>
      </c>
      <c r="C2" t="s">
        <v>438</v>
      </c>
      <c r="D2">
        <v>0</v>
      </c>
      <c r="E2" t="s">
        <v>114</v>
      </c>
      <c r="F2" t="str">
        <f>INDEX([1]train_xl!$H:$H,MATCH(E2,[1]train_xl!$G:$G,0))</f>
        <v>the-of</v>
      </c>
      <c r="G2" t="str">
        <f>INDEX([1]train_xl!$I:$I,MATCH(E2,[1]train_xl!$G:$G,0))</f>
        <v>sim</v>
      </c>
      <c r="H2" t="str">
        <f>INDEX([1]train_xl!$V:$V,MATCH(E2,[1]train_xl!$G:$G,0))</f>
        <v>not</v>
      </c>
      <c r="I2" t="str">
        <f>INDEX([2]Sheet1!$L:$L,MATCH(E2,[2]Sheet1!$I:$I,0))</f>
        <v>intens</v>
      </c>
      <c r="K2">
        <v>-3.0821191749230699</v>
      </c>
      <c r="L2">
        <v>-3.43227802985714</v>
      </c>
      <c r="M2">
        <v>1</v>
      </c>
      <c r="N2">
        <v>-3.1600590063333298</v>
      </c>
      <c r="O2">
        <v>-3.4388489192307601</v>
      </c>
      <c r="P2">
        <v>1</v>
      </c>
      <c r="Q2">
        <v>-4.1101872330909002</v>
      </c>
      <c r="R2">
        <v>-4.3781164264166597</v>
      </c>
      <c r="S2">
        <v>1</v>
      </c>
      <c r="T2">
        <v>-3.5295824687499899</v>
      </c>
      <c r="U2">
        <v>-3.97405207333333</v>
      </c>
      <c r="V2">
        <v>1</v>
      </c>
      <c r="W2">
        <v>-4.1221827675</v>
      </c>
      <c r="X2">
        <v>-4.2611166733333299</v>
      </c>
      <c r="Y2">
        <v>1</v>
      </c>
      <c r="Z2">
        <v>-3.67541101461538</v>
      </c>
      <c r="AA2">
        <v>-3.8874876617857099</v>
      </c>
      <c r="AB2">
        <v>1</v>
      </c>
      <c r="AC2">
        <v>-3.6237879679999998</v>
      </c>
      <c r="AD2">
        <v>-3.8212372258461502</v>
      </c>
      <c r="AE2">
        <v>1</v>
      </c>
      <c r="AF2">
        <v>-4.5752231581818101</v>
      </c>
      <c r="AG2">
        <v>-4.6816209133333304</v>
      </c>
      <c r="AH2">
        <v>1</v>
      </c>
      <c r="AI2">
        <v>-4.56864385</v>
      </c>
      <c r="AJ2">
        <v>-4.7502025999999997</v>
      </c>
      <c r="AK2">
        <v>1</v>
      </c>
      <c r="AL2">
        <v>-4.2395307749999898</v>
      </c>
      <c r="AM2">
        <v>-4.3585636888888803</v>
      </c>
      <c r="AN2">
        <v>1</v>
      </c>
      <c r="AO2">
        <v>-6.4224962038461504</v>
      </c>
      <c r="AP2">
        <v>-6.4344187764285703</v>
      </c>
      <c r="AQ2">
        <v>1</v>
      </c>
      <c r="AR2">
        <v>-6.3167161266666598</v>
      </c>
      <c r="AS2">
        <v>-6.4761629876922999</v>
      </c>
      <c r="AT2">
        <v>1</v>
      </c>
      <c r="AU2">
        <v>-7.4661695372727204</v>
      </c>
      <c r="AV2">
        <v>-7.5527010383333302</v>
      </c>
      <c r="AW2">
        <v>1</v>
      </c>
      <c r="AX2">
        <v>-8.8796878800000005</v>
      </c>
      <c r="AY2">
        <v>-8.8296644777777793</v>
      </c>
      <c r="AZ2">
        <v>0</v>
      </c>
      <c r="BA2">
        <v>-8.7747016075000008</v>
      </c>
      <c r="BB2">
        <v>-8.6089125444444399</v>
      </c>
      <c r="BC2">
        <v>0</v>
      </c>
      <c r="BD2">
        <v>-3.7496722799999902</v>
      </c>
      <c r="BE2">
        <v>-3.97888963142857</v>
      </c>
      <c r="BF2">
        <v>1</v>
      </c>
      <c r="BG2">
        <v>-3.7151521633333302</v>
      </c>
      <c r="BH2">
        <v>-3.9657058861538399</v>
      </c>
      <c r="BI2">
        <v>1</v>
      </c>
      <c r="BJ2">
        <v>-4.5155695209090903</v>
      </c>
      <c r="BK2">
        <v>-4.6774206841666599</v>
      </c>
      <c r="BL2">
        <v>1</v>
      </c>
      <c r="BM2">
        <v>-4.7154324249999897</v>
      </c>
      <c r="BN2">
        <v>-4.9301514222222202</v>
      </c>
      <c r="BO2">
        <v>1</v>
      </c>
      <c r="BP2">
        <v>-4.8507527874999896</v>
      </c>
      <c r="BQ2">
        <v>-4.9773967555555503</v>
      </c>
      <c r="BR2">
        <v>1</v>
      </c>
    </row>
    <row r="3" spans="1:70" x14ac:dyDescent="0.35">
      <c r="A3" t="s">
        <v>439</v>
      </c>
      <c r="B3" t="s">
        <v>437</v>
      </c>
      <c r="C3" t="s">
        <v>438</v>
      </c>
      <c r="D3">
        <v>1</v>
      </c>
      <c r="E3" t="s">
        <v>115</v>
      </c>
      <c r="F3" t="str">
        <f>INDEX([1]train_xl!$H:$H,MATCH(E3,[1]train_xl!$G:$G,0))</f>
        <v>the-of</v>
      </c>
      <c r="G3" t="str">
        <f>INDEX([1]train_xl!$I:$I,MATCH(E3,[1]train_xl!$G:$G,0))</f>
        <v>sim</v>
      </c>
      <c r="H3" t="str">
        <f>INDEX([1]train_xl!$V:$V,MATCH(E3,[1]train_xl!$G:$G,0))</f>
        <v>not</v>
      </c>
      <c r="I3" t="str">
        <f>INDEX([2]Sheet1!$L:$L,MATCH(E3,[2]Sheet1!$I:$I,0))</f>
        <v>neg</v>
      </c>
      <c r="K3">
        <v>-3.49408303838461</v>
      </c>
      <c r="L3">
        <v>-3.1467129531428499</v>
      </c>
      <c r="M3">
        <v>1</v>
      </c>
      <c r="N3">
        <v>-3.3989938497499899</v>
      </c>
      <c r="O3">
        <v>-3.0330060434615298</v>
      </c>
      <c r="P3">
        <v>1</v>
      </c>
      <c r="Q3">
        <v>-4.3449543096363596</v>
      </c>
      <c r="R3">
        <v>-3.9750567198333302</v>
      </c>
      <c r="S3">
        <v>1</v>
      </c>
      <c r="T3">
        <v>-4.0787208162499997</v>
      </c>
      <c r="U3">
        <v>-3.2823163033333298</v>
      </c>
      <c r="V3">
        <v>1</v>
      </c>
      <c r="W3">
        <v>-4.2224484750000002</v>
      </c>
      <c r="X3">
        <v>-3.9066669881111098</v>
      </c>
      <c r="Y3">
        <v>1</v>
      </c>
      <c r="Z3">
        <v>-3.6576476982307602</v>
      </c>
      <c r="AA3">
        <v>-3.2303592357142801</v>
      </c>
      <c r="AB3">
        <v>1</v>
      </c>
      <c r="AC3">
        <v>-3.6170262041666601</v>
      </c>
      <c r="AD3">
        <v>-3.2979815865384601</v>
      </c>
      <c r="AE3">
        <v>1</v>
      </c>
      <c r="AF3">
        <v>-4.5688632527272697</v>
      </c>
      <c r="AG3">
        <v>-4.1653385441666604</v>
      </c>
      <c r="AH3">
        <v>1</v>
      </c>
      <c r="AI3">
        <v>-4.5567243249999896</v>
      </c>
      <c r="AJ3">
        <v>-3.8499041488888799</v>
      </c>
      <c r="AK3">
        <v>1</v>
      </c>
      <c r="AL3">
        <v>-4.6824616624999997</v>
      </c>
      <c r="AM3">
        <v>-4.2730043211111104</v>
      </c>
      <c r="AN3">
        <v>1</v>
      </c>
      <c r="AO3">
        <v>-6.9411217530769198</v>
      </c>
      <c r="AP3">
        <v>-6.2725945335714197</v>
      </c>
      <c r="AQ3">
        <v>1</v>
      </c>
      <c r="AR3">
        <v>-6.8095476445000003</v>
      </c>
      <c r="AS3">
        <v>-6.1001041230769202</v>
      </c>
      <c r="AT3">
        <v>1</v>
      </c>
      <c r="AU3">
        <v>-7.9857605972727201</v>
      </c>
      <c r="AV3">
        <v>-7.2448099554166596</v>
      </c>
      <c r="AW3">
        <v>1</v>
      </c>
      <c r="AX3">
        <v>-9.4563176250000005</v>
      </c>
      <c r="AY3">
        <v>-8.1222599993333304</v>
      </c>
      <c r="AZ3">
        <v>1</v>
      </c>
      <c r="BA3">
        <v>-10.2610815875</v>
      </c>
      <c r="BB3">
        <v>-8.8839090288888798</v>
      </c>
      <c r="BC3">
        <v>1</v>
      </c>
      <c r="BD3">
        <v>-3.6910515652307598</v>
      </c>
      <c r="BE3">
        <v>-3.3332408457142799</v>
      </c>
      <c r="BF3">
        <v>1</v>
      </c>
      <c r="BG3">
        <v>-3.6968806308333302</v>
      </c>
      <c r="BH3">
        <v>-3.33718534</v>
      </c>
      <c r="BI3">
        <v>1</v>
      </c>
      <c r="BJ3">
        <v>-4.5655723030909003</v>
      </c>
      <c r="BK3">
        <v>-4.2431355716666603</v>
      </c>
      <c r="BL3">
        <v>1</v>
      </c>
      <c r="BM3">
        <v>-4.6393826374999998</v>
      </c>
      <c r="BN3">
        <v>-3.95161967666666</v>
      </c>
      <c r="BO3">
        <v>1</v>
      </c>
      <c r="BP3">
        <v>-5.0630915874999998</v>
      </c>
      <c r="BQ3">
        <v>-4.5543260255555502</v>
      </c>
      <c r="BR3">
        <v>1</v>
      </c>
    </row>
    <row r="4" spans="1:70" x14ac:dyDescent="0.35">
      <c r="A4" t="s">
        <v>440</v>
      </c>
      <c r="B4" t="s">
        <v>441</v>
      </c>
      <c r="C4" t="s">
        <v>442</v>
      </c>
      <c r="D4">
        <v>0</v>
      </c>
      <c r="E4" t="s">
        <v>116</v>
      </c>
      <c r="F4" t="str">
        <f>INDEX([1]train_xl!$H:$H,MATCH(E4,[1]train_xl!$G:$G,0))</f>
        <v>as-as</v>
      </c>
      <c r="G4" t="str">
        <f>INDEX([1]train_xl!$I:$I,MATCH(E4,[1]train_xl!$G:$G,0))</f>
        <v>sim</v>
      </c>
      <c r="H4" t="str">
        <f>INDEX([1]train_xl!$V:$V,MATCH(E4,[1]train_xl!$G:$G,0))</f>
        <v>not</v>
      </c>
      <c r="I4" t="str">
        <f>INDEX([2]Sheet1!$L:$L,MATCH(E4,[2]Sheet1!$I:$I,0))</f>
        <v>intens</v>
      </c>
      <c r="K4">
        <v>-4.0762748334615297</v>
      </c>
      <c r="L4">
        <v>-3.9008532837142802</v>
      </c>
      <c r="M4">
        <v>0</v>
      </c>
      <c r="N4">
        <v>-4.3373020123499897</v>
      </c>
      <c r="O4">
        <v>-4.2449835947153796</v>
      </c>
      <c r="P4">
        <v>0</v>
      </c>
      <c r="Q4">
        <v>-5.3534602107272704</v>
      </c>
      <c r="R4">
        <v>-5.1964029112499999</v>
      </c>
      <c r="S4">
        <v>0</v>
      </c>
      <c r="T4">
        <v>-5.3729880625000002</v>
      </c>
      <c r="U4">
        <v>-5.3508816000000001</v>
      </c>
      <c r="V4">
        <v>0</v>
      </c>
      <c r="W4">
        <v>-6.2122311249999997</v>
      </c>
      <c r="X4">
        <v>-5.7895554999999996</v>
      </c>
      <c r="Y4">
        <v>0</v>
      </c>
      <c r="Z4">
        <v>-4.3856089566923</v>
      </c>
      <c r="AA4">
        <v>-4.31746104307142</v>
      </c>
      <c r="AB4">
        <v>0</v>
      </c>
      <c r="AC4">
        <v>-4.6030232505833304</v>
      </c>
      <c r="AD4">
        <v>-4.5773398026153798</v>
      </c>
      <c r="AE4">
        <v>0</v>
      </c>
      <c r="AF4">
        <v>-5.8542068181818099</v>
      </c>
      <c r="AG4">
        <v>-5.6757782230833298</v>
      </c>
      <c r="AH4">
        <v>0</v>
      </c>
      <c r="AI4">
        <v>-6.1522126625000002</v>
      </c>
      <c r="AJ4">
        <v>-5.9373800555555496</v>
      </c>
      <c r="AK4">
        <v>0</v>
      </c>
      <c r="AL4">
        <v>-6.5816324499999999</v>
      </c>
      <c r="AM4">
        <v>-6.1049638888888804</v>
      </c>
      <c r="AN4">
        <v>0</v>
      </c>
      <c r="AO4">
        <v>-3.9300663887692302</v>
      </c>
      <c r="AP4">
        <v>-3.9795401307142799</v>
      </c>
      <c r="AQ4">
        <v>1</v>
      </c>
      <c r="AR4">
        <v>-3.8594744695833301</v>
      </c>
      <c r="AS4">
        <v>-4.0770779487692304</v>
      </c>
      <c r="AT4">
        <v>1</v>
      </c>
      <c r="AU4">
        <v>-4.8545769395454501</v>
      </c>
      <c r="AV4">
        <v>-4.9171673455000002</v>
      </c>
      <c r="AW4">
        <v>1</v>
      </c>
      <c r="AX4">
        <v>-4.8180686124999896</v>
      </c>
      <c r="AY4">
        <v>-5.1065844333333299</v>
      </c>
      <c r="AZ4">
        <v>1</v>
      </c>
      <c r="BA4">
        <v>-5.6922569999999997</v>
      </c>
      <c r="BB4">
        <v>-5.51182003333333</v>
      </c>
      <c r="BC4">
        <v>0</v>
      </c>
      <c r="BD4">
        <v>-4.40691775615384</v>
      </c>
      <c r="BE4">
        <v>-4.2507148175714198</v>
      </c>
      <c r="BF4">
        <v>0</v>
      </c>
      <c r="BG4">
        <v>-4.5128547849999903</v>
      </c>
      <c r="BH4">
        <v>-4.4932704940769197</v>
      </c>
      <c r="BI4">
        <v>0</v>
      </c>
      <c r="BJ4">
        <v>-5.5664234672727204</v>
      </c>
      <c r="BK4">
        <v>-5.6094275574999903</v>
      </c>
      <c r="BL4">
        <v>1</v>
      </c>
      <c r="BM4">
        <v>-6.0530984499999896</v>
      </c>
      <c r="BN4">
        <v>-5.7947901999999996</v>
      </c>
      <c r="BO4">
        <v>0</v>
      </c>
      <c r="BP4">
        <v>-6.4215987749999996</v>
      </c>
      <c r="BQ4">
        <v>-6.24898641111111</v>
      </c>
      <c r="BR4">
        <v>0</v>
      </c>
    </row>
    <row r="5" spans="1:70" x14ac:dyDescent="0.35">
      <c r="A5" t="s">
        <v>443</v>
      </c>
      <c r="B5" t="s">
        <v>441</v>
      </c>
      <c r="C5" t="s">
        <v>442</v>
      </c>
      <c r="D5">
        <v>1</v>
      </c>
      <c r="E5" t="s">
        <v>117</v>
      </c>
      <c r="F5" t="str">
        <f>INDEX([1]train_xl!$H:$H,MATCH(E5,[1]train_xl!$G:$G,0))</f>
        <v>as-as</v>
      </c>
      <c r="G5" t="str">
        <f>INDEX([1]train_xl!$I:$I,MATCH(E5,[1]train_xl!$G:$G,0))</f>
        <v>sim</v>
      </c>
      <c r="H5" t="str">
        <f>INDEX([1]train_xl!$V:$V,MATCH(E5,[1]train_xl!$G:$G,0))</f>
        <v>not</v>
      </c>
      <c r="I5" t="str">
        <f>INDEX([2]Sheet1!$L:$L,MATCH(E5,[2]Sheet1!$I:$I,0))</f>
        <v>neg</v>
      </c>
      <c r="K5">
        <v>-3.6919081447600002</v>
      </c>
      <c r="L5">
        <v>-3.1422129072625</v>
      </c>
      <c r="M5">
        <v>1</v>
      </c>
      <c r="N5">
        <v>-3.91294197561428</v>
      </c>
      <c r="O5">
        <v>-3.2705583986533302</v>
      </c>
      <c r="P5">
        <v>1</v>
      </c>
      <c r="Q5">
        <v>-4.6336857285692297</v>
      </c>
      <c r="R5">
        <v>-3.9868385472142802</v>
      </c>
      <c r="S5">
        <v>1</v>
      </c>
      <c r="T5">
        <v>-4.7896417371999904</v>
      </c>
      <c r="U5">
        <v>-4.0223583903090896</v>
      </c>
      <c r="V5">
        <v>1</v>
      </c>
      <c r="W5">
        <v>-4.8660410371999996</v>
      </c>
      <c r="X5">
        <v>-4.3419509993999998</v>
      </c>
      <c r="Y5">
        <v>1</v>
      </c>
      <c r="Z5">
        <v>-3.9754278742666598</v>
      </c>
      <c r="AA5">
        <v>-3.4367840824375002</v>
      </c>
      <c r="AB5">
        <v>1</v>
      </c>
      <c r="AC5">
        <v>-4.0262179870714201</v>
      </c>
      <c r="AD5">
        <v>-3.5844309016666598</v>
      </c>
      <c r="AE5">
        <v>1</v>
      </c>
      <c r="AF5">
        <v>-4.9406883110769204</v>
      </c>
      <c r="AG5">
        <v>-4.4120226847142803</v>
      </c>
      <c r="AH5">
        <v>1</v>
      </c>
      <c r="AI5">
        <v>-5.2203570535999999</v>
      </c>
      <c r="AJ5">
        <v>-4.4748257130909002</v>
      </c>
      <c r="AK5">
        <v>1</v>
      </c>
      <c r="AL5">
        <v>-5.3093705235999904</v>
      </c>
      <c r="AM5">
        <v>-4.7578127403636303</v>
      </c>
      <c r="AN5">
        <v>1</v>
      </c>
      <c r="AO5">
        <v>-3.3999954422666598</v>
      </c>
      <c r="AP5">
        <v>-3.01586945449999</v>
      </c>
      <c r="AQ5">
        <v>1</v>
      </c>
      <c r="AR5">
        <v>-3.47489538857142</v>
      </c>
      <c r="AS5">
        <v>-2.9794736003333302</v>
      </c>
      <c r="AT5">
        <v>1</v>
      </c>
      <c r="AU5">
        <v>-4.0829992791538396</v>
      </c>
      <c r="AV5">
        <v>-3.6218946964285701</v>
      </c>
      <c r="AW5">
        <v>1</v>
      </c>
      <c r="AX5">
        <v>-4.3677336879999897</v>
      </c>
      <c r="AY5">
        <v>-3.7279774735454501</v>
      </c>
      <c r="AZ5">
        <v>1</v>
      </c>
      <c r="BA5">
        <v>-4.4714451979999996</v>
      </c>
      <c r="BB5">
        <v>-4.0186922462727201</v>
      </c>
      <c r="BC5">
        <v>1</v>
      </c>
      <c r="BD5">
        <v>-3.9092594082000001</v>
      </c>
      <c r="BE5">
        <v>-3.4633717951874998</v>
      </c>
      <c r="BF5">
        <v>1</v>
      </c>
      <c r="BG5">
        <v>-4.0637791157142802</v>
      </c>
      <c r="BH5">
        <v>-3.50899244733333</v>
      </c>
      <c r="BI5">
        <v>1</v>
      </c>
      <c r="BJ5">
        <v>-4.8388801326153796</v>
      </c>
      <c r="BK5">
        <v>-4.4120870378571402</v>
      </c>
      <c r="BL5">
        <v>1</v>
      </c>
      <c r="BM5">
        <v>-5.2622235289999999</v>
      </c>
      <c r="BN5">
        <v>-4.5203889663636296</v>
      </c>
      <c r="BO5">
        <v>1</v>
      </c>
      <c r="BP5">
        <v>-5.4541716329999996</v>
      </c>
      <c r="BQ5">
        <v>-4.8466173627272697</v>
      </c>
      <c r="BR5">
        <v>1</v>
      </c>
    </row>
    <row r="6" spans="1:70" x14ac:dyDescent="0.35">
      <c r="A6" t="s">
        <v>444</v>
      </c>
      <c r="B6" t="s">
        <v>445</v>
      </c>
      <c r="C6" t="s">
        <v>446</v>
      </c>
      <c r="D6">
        <v>0</v>
      </c>
      <c r="E6" t="s">
        <v>118</v>
      </c>
      <c r="F6" t="str">
        <f>INDEX([1]train_xl!$H:$H,MATCH(E6,[1]train_xl!$G:$G,0))</f>
        <v>as-as</v>
      </c>
      <c r="G6" t="str">
        <f>INDEX([1]train_xl!$I:$I,MATCH(E6,[1]train_xl!$G:$G,0))</f>
        <v>sim</v>
      </c>
      <c r="H6" t="str">
        <f>INDEX([1]train_xl!$V:$V,MATCH(E6,[1]train_xl!$G:$G,0))</f>
        <v>not</v>
      </c>
      <c r="I6" t="str">
        <f>INDEX([2]Sheet1!$L:$L,MATCH(E6,[2]Sheet1!$I:$I,0))</f>
        <v>intens</v>
      </c>
      <c r="K6">
        <v>-4.3762358916785704</v>
      </c>
      <c r="L6">
        <v>-4.58499817773333</v>
      </c>
      <c r="M6">
        <v>1</v>
      </c>
      <c r="N6">
        <v>-4.5229997566923004</v>
      </c>
      <c r="O6">
        <v>-4.7140233169999899</v>
      </c>
      <c r="P6">
        <v>1</v>
      </c>
      <c r="Q6">
        <v>-5.4907468962499903</v>
      </c>
      <c r="R6">
        <v>-5.6030291003846102</v>
      </c>
      <c r="S6">
        <v>1</v>
      </c>
      <c r="T6">
        <v>-5.3593963899999899</v>
      </c>
      <c r="U6">
        <v>-5.8234518990000002</v>
      </c>
      <c r="V6">
        <v>1</v>
      </c>
      <c r="W6">
        <v>-6.3341275555555496</v>
      </c>
      <c r="X6">
        <v>-6.1512358479999998</v>
      </c>
      <c r="Y6">
        <v>0</v>
      </c>
      <c r="Z6">
        <v>-5.0369053461428503</v>
      </c>
      <c r="AA6">
        <v>-5.1492637510666599</v>
      </c>
      <c r="AB6">
        <v>1</v>
      </c>
      <c r="AC6">
        <v>-5.4225943903846101</v>
      </c>
      <c r="AD6">
        <v>-5.4793989160714203</v>
      </c>
      <c r="AE6">
        <v>1</v>
      </c>
      <c r="AF6">
        <v>-6.2855328525000003</v>
      </c>
      <c r="AG6">
        <v>-6.2669097353846102</v>
      </c>
      <c r="AH6">
        <v>0</v>
      </c>
      <c r="AI6">
        <v>-6.4951696677777697</v>
      </c>
      <c r="AJ6">
        <v>-6.8210126879999997</v>
      </c>
      <c r="AK6">
        <v>1</v>
      </c>
      <c r="AL6">
        <v>-7.1882989966666599</v>
      </c>
      <c r="AM6">
        <v>-6.9189821299999901</v>
      </c>
      <c r="AN6">
        <v>0</v>
      </c>
      <c r="AO6">
        <v>-3.6099995194285701</v>
      </c>
      <c r="AP6">
        <v>-3.8141121207333302</v>
      </c>
      <c r="AQ6">
        <v>1</v>
      </c>
      <c r="AR6">
        <v>-3.8404279342307599</v>
      </c>
      <c r="AS6">
        <v>-4.0261438250000001</v>
      </c>
      <c r="AT6">
        <v>1</v>
      </c>
      <c r="AU6">
        <v>-4.5758332363333301</v>
      </c>
      <c r="AV6">
        <v>-4.7189900761538404</v>
      </c>
      <c r="AW6">
        <v>1</v>
      </c>
      <c r="AX6">
        <v>-4.2520198144444397</v>
      </c>
      <c r="AY6">
        <v>-4.9080744640000002</v>
      </c>
      <c r="AZ6">
        <v>1</v>
      </c>
      <c r="BA6">
        <v>-4.9068951111111101</v>
      </c>
      <c r="BB6">
        <v>-4.9498492829999998</v>
      </c>
      <c r="BC6">
        <v>1</v>
      </c>
      <c r="BD6">
        <v>-5.4534762683571403</v>
      </c>
      <c r="BE6">
        <v>-5.5351981966666601</v>
      </c>
      <c r="BF6">
        <v>1</v>
      </c>
      <c r="BG6">
        <v>-5.67127815153846</v>
      </c>
      <c r="BH6">
        <v>-5.7397096478571399</v>
      </c>
      <c r="BI6">
        <v>1</v>
      </c>
      <c r="BJ6">
        <v>-6.3459468991666599</v>
      </c>
      <c r="BK6">
        <v>-6.5704023999999901</v>
      </c>
      <c r="BL6">
        <v>1</v>
      </c>
      <c r="BM6">
        <v>-6.92565912111111</v>
      </c>
      <c r="BN6">
        <v>-7.20807413</v>
      </c>
      <c r="BO6">
        <v>1</v>
      </c>
      <c r="BP6">
        <v>-7.7173492911111099</v>
      </c>
      <c r="BQ6">
        <v>-7.3897065829999997</v>
      </c>
      <c r="BR6">
        <v>0</v>
      </c>
    </row>
    <row r="7" spans="1:70" x14ac:dyDescent="0.35">
      <c r="A7" t="s">
        <v>447</v>
      </c>
      <c r="B7" t="s">
        <v>445</v>
      </c>
      <c r="C7" t="s">
        <v>446</v>
      </c>
      <c r="D7">
        <v>1</v>
      </c>
      <c r="E7" t="s">
        <v>119</v>
      </c>
      <c r="F7" t="str">
        <f>INDEX([1]train_xl!$H:$H,MATCH(E7,[1]train_xl!$G:$G,0))</f>
        <v>as-as</v>
      </c>
      <c r="G7" t="str">
        <f>INDEX([1]train_xl!$I:$I,MATCH(E7,[1]train_xl!$G:$G,0))</f>
        <v>sim</v>
      </c>
      <c r="H7" t="str">
        <f>INDEX([1]train_xl!$V:$V,MATCH(E7,[1]train_xl!$G:$G,0))</f>
        <v>not</v>
      </c>
      <c r="I7" t="str">
        <f>INDEX([2]Sheet1!$L:$L,MATCH(E7,[2]Sheet1!$I:$I,0))</f>
        <v>neg</v>
      </c>
      <c r="K7">
        <v>-4.2662798118062497</v>
      </c>
      <c r="L7">
        <v>-4.0360922810470496</v>
      </c>
      <c r="M7">
        <v>1</v>
      </c>
      <c r="N7">
        <v>-4.3770390195333304</v>
      </c>
      <c r="O7">
        <v>-4.0671615476875003</v>
      </c>
      <c r="P7">
        <v>1</v>
      </c>
      <c r="Q7">
        <v>-5.1506901217857104</v>
      </c>
      <c r="R7">
        <v>-4.71773382166666</v>
      </c>
      <c r="S7">
        <v>1</v>
      </c>
      <c r="T7">
        <v>-5.2226325609090898</v>
      </c>
      <c r="U7">
        <v>-4.6965879699999897</v>
      </c>
      <c r="V7">
        <v>1</v>
      </c>
      <c r="W7">
        <v>-5.6554409345454504</v>
      </c>
      <c r="X7">
        <v>-5.3055866891666597</v>
      </c>
      <c r="Y7">
        <v>1</v>
      </c>
      <c r="Z7">
        <v>-5.1289855442125001</v>
      </c>
      <c r="AA7">
        <v>-5.1820936619999998</v>
      </c>
      <c r="AB7">
        <v>0</v>
      </c>
      <c r="AC7">
        <v>-5.6854551846666599</v>
      </c>
      <c r="AD7">
        <v>-5.2908007587499997</v>
      </c>
      <c r="AE7">
        <v>1</v>
      </c>
      <c r="AF7">
        <v>-6.3019618621428499</v>
      </c>
      <c r="AG7">
        <v>-5.83928918533333</v>
      </c>
      <c r="AH7">
        <v>1</v>
      </c>
      <c r="AI7">
        <v>-6.9757580709090803</v>
      </c>
      <c r="AJ7">
        <v>-6.3865678741666603</v>
      </c>
      <c r="AK7">
        <v>1</v>
      </c>
      <c r="AL7">
        <v>-6.83094584545454</v>
      </c>
      <c r="AM7">
        <v>-6.38033173333333</v>
      </c>
      <c r="AN7">
        <v>1</v>
      </c>
      <c r="AO7">
        <v>-3.6698037613749999</v>
      </c>
      <c r="AP7">
        <v>-3.4463653817647</v>
      </c>
      <c r="AQ7">
        <v>1</v>
      </c>
      <c r="AR7">
        <v>-3.9385016206666599</v>
      </c>
      <c r="AS7">
        <v>-3.5621623543749998</v>
      </c>
      <c r="AT7">
        <v>1</v>
      </c>
      <c r="AU7">
        <v>-4.4087615421428499</v>
      </c>
      <c r="AV7">
        <v>-4.01218904</v>
      </c>
      <c r="AW7">
        <v>1</v>
      </c>
      <c r="AX7">
        <v>-4.3633354000000004</v>
      </c>
      <c r="AY7">
        <v>-4.0621308300000001</v>
      </c>
      <c r="AZ7">
        <v>1</v>
      </c>
      <c r="BA7">
        <v>-4.6141710909090898</v>
      </c>
      <c r="BB7">
        <v>-4.3596676291666601</v>
      </c>
      <c r="BC7">
        <v>1</v>
      </c>
      <c r="BD7">
        <v>-5.4433792894562396</v>
      </c>
      <c r="BE7">
        <v>-5.1368429934705802</v>
      </c>
      <c r="BF7">
        <v>1</v>
      </c>
      <c r="BG7">
        <v>-5.7558582373333298</v>
      </c>
      <c r="BH7">
        <v>-5.3635455562500001</v>
      </c>
      <c r="BI7">
        <v>1</v>
      </c>
      <c r="BJ7">
        <v>-6.3873844850000001</v>
      </c>
      <c r="BK7">
        <v>-5.66480030773333</v>
      </c>
      <c r="BL7">
        <v>1</v>
      </c>
      <c r="BM7">
        <v>-7.1265057663636302</v>
      </c>
      <c r="BN7">
        <v>-6.4990406608333302</v>
      </c>
      <c r="BO7">
        <v>1</v>
      </c>
      <c r="BP7">
        <v>-7.2893742063636298</v>
      </c>
      <c r="BQ7">
        <v>-6.6245830874999996</v>
      </c>
      <c r="BR7">
        <v>1</v>
      </c>
    </row>
    <row r="8" spans="1:70" x14ac:dyDescent="0.35">
      <c r="A8" t="s">
        <v>448</v>
      </c>
      <c r="B8" t="s">
        <v>449</v>
      </c>
      <c r="C8" t="s">
        <v>4</v>
      </c>
      <c r="D8">
        <v>0</v>
      </c>
      <c r="E8" t="s">
        <v>120</v>
      </c>
      <c r="F8" t="str">
        <f>INDEX([1]train_xl!$H:$H,MATCH(E8,[1]train_xl!$G:$G,0))</f>
        <v>as-as</v>
      </c>
      <c r="G8" t="str">
        <f>INDEX([1]train_xl!$I:$I,MATCH(E8,[1]train_xl!$G:$G,0))</f>
        <v>sim</v>
      </c>
      <c r="H8" t="str">
        <f>INDEX([1]train_xl!$V:$V,MATCH(E8,[1]train_xl!$G:$G,0))</f>
        <v>not</v>
      </c>
      <c r="I8" t="str">
        <f>INDEX([2]Sheet1!$L:$L,MATCH(E8,[2]Sheet1!$I:$I,0))</f>
        <v>intens</v>
      </c>
      <c r="K8">
        <v>-3.9411859571428498</v>
      </c>
      <c r="L8">
        <v>-3.9535489940266602</v>
      </c>
      <c r="M8">
        <v>1</v>
      </c>
      <c r="N8">
        <v>-4.2110816446153798</v>
      </c>
      <c r="O8">
        <v>-4.3471899013571402</v>
      </c>
      <c r="P8">
        <v>1</v>
      </c>
      <c r="Q8">
        <v>-5.1050721468333302</v>
      </c>
      <c r="R8">
        <v>-5.0278909437692301</v>
      </c>
      <c r="S8">
        <v>0</v>
      </c>
      <c r="T8">
        <v>-5.3867646366666602</v>
      </c>
      <c r="U8">
        <v>-5.3038866319999904</v>
      </c>
      <c r="V8">
        <v>0</v>
      </c>
      <c r="W8">
        <v>-6.0154251122222204</v>
      </c>
      <c r="X8">
        <v>-5.7502702360000004</v>
      </c>
      <c r="Y8">
        <v>0</v>
      </c>
      <c r="Z8">
        <v>-4.1505489344999997</v>
      </c>
      <c r="AA8">
        <v>-4.2463458534000003</v>
      </c>
      <c r="AB8">
        <v>1</v>
      </c>
      <c r="AC8">
        <v>-4.4542545950769199</v>
      </c>
      <c r="AD8">
        <v>-4.5633002117142798</v>
      </c>
      <c r="AE8">
        <v>1</v>
      </c>
      <c r="AF8">
        <v>-5.2234010470000003</v>
      </c>
      <c r="AG8">
        <v>-5.1587932269230699</v>
      </c>
      <c r="AH8">
        <v>0</v>
      </c>
      <c r="AI8">
        <v>-5.8482917855555501</v>
      </c>
      <c r="AJ8">
        <v>-5.6794001499999904</v>
      </c>
      <c r="AK8">
        <v>0</v>
      </c>
      <c r="AL8">
        <v>-6.41516651111111</v>
      </c>
      <c r="AM8">
        <v>-6.0216646159999998</v>
      </c>
      <c r="AN8">
        <v>0</v>
      </c>
      <c r="AO8">
        <v>-3.5692027904999901</v>
      </c>
      <c r="AP8">
        <v>-3.5505783133</v>
      </c>
      <c r="AQ8">
        <v>0</v>
      </c>
      <c r="AR8">
        <v>-3.62261952892307</v>
      </c>
      <c r="AS8">
        <v>-3.7322904421428502</v>
      </c>
      <c r="AT8">
        <v>1</v>
      </c>
      <c r="AU8">
        <v>-4.4778204863333304</v>
      </c>
      <c r="AV8">
        <v>-4.36684643846153</v>
      </c>
      <c r="AW8">
        <v>0</v>
      </c>
      <c r="AX8">
        <v>-4.6871017788888896</v>
      </c>
      <c r="AY8">
        <v>-4.6834519459999999</v>
      </c>
      <c r="AZ8">
        <v>0</v>
      </c>
      <c r="BA8">
        <v>-4.9852228166666599</v>
      </c>
      <c r="BB8">
        <v>-4.8299296099999998</v>
      </c>
      <c r="BC8">
        <v>0</v>
      </c>
      <c r="BD8">
        <v>-4.1672001398571403</v>
      </c>
      <c r="BE8">
        <v>-4.1477350714666601</v>
      </c>
      <c r="BF8">
        <v>0</v>
      </c>
      <c r="BG8">
        <v>-4.3432312553846097</v>
      </c>
      <c r="BH8">
        <v>-4.4550767389999999</v>
      </c>
      <c r="BI8">
        <v>1</v>
      </c>
      <c r="BJ8">
        <v>-4.9841727808333296</v>
      </c>
      <c r="BK8">
        <v>-5.1041132415384602</v>
      </c>
      <c r="BL8">
        <v>1</v>
      </c>
      <c r="BM8">
        <v>-5.6979054922222199</v>
      </c>
      <c r="BN8">
        <v>-5.5584216499999997</v>
      </c>
      <c r="BO8">
        <v>0</v>
      </c>
      <c r="BP8">
        <v>-6.2543910111111103</v>
      </c>
      <c r="BQ8">
        <v>-5.8694915549999997</v>
      </c>
      <c r="BR8">
        <v>0</v>
      </c>
    </row>
    <row r="9" spans="1:70" x14ac:dyDescent="0.35">
      <c r="A9" t="s">
        <v>450</v>
      </c>
      <c r="B9" t="s">
        <v>449</v>
      </c>
      <c r="C9" t="s">
        <v>4</v>
      </c>
      <c r="D9">
        <v>1</v>
      </c>
      <c r="E9" t="s">
        <v>121</v>
      </c>
      <c r="F9" t="str">
        <f>INDEX([1]train_xl!$H:$H,MATCH(E9,[1]train_xl!$G:$G,0))</f>
        <v>as-as</v>
      </c>
      <c r="G9" t="str">
        <f>INDEX([1]train_xl!$I:$I,MATCH(E9,[1]train_xl!$G:$G,0))</f>
        <v>sim</v>
      </c>
      <c r="H9" t="str">
        <f>INDEX([1]train_xl!$V:$V,MATCH(E9,[1]train_xl!$G:$G,0))</f>
        <v>not</v>
      </c>
      <c r="I9" t="str">
        <f>INDEX([2]Sheet1!$L:$L,MATCH(E9,[2]Sheet1!$I:$I,0))</f>
        <v>neg</v>
      </c>
      <c r="K9">
        <v>-3.93055184619333</v>
      </c>
      <c r="L9">
        <v>-3.4249175429562499</v>
      </c>
      <c r="M9">
        <v>1</v>
      </c>
      <c r="N9">
        <v>-4.1648532415714197</v>
      </c>
      <c r="O9">
        <v>-3.5153603609066599</v>
      </c>
      <c r="P9">
        <v>1</v>
      </c>
      <c r="Q9">
        <v>-4.9087260623076903</v>
      </c>
      <c r="R9">
        <v>-4.2140461757142802</v>
      </c>
      <c r="S9">
        <v>1</v>
      </c>
      <c r="T9">
        <v>-4.9723631719999997</v>
      </c>
      <c r="U9">
        <v>-4.4301373309090897</v>
      </c>
      <c r="V9">
        <v>1</v>
      </c>
      <c r="W9">
        <v>-5.4153487399999998</v>
      </c>
      <c r="X9">
        <v>-4.7560960436363597</v>
      </c>
      <c r="Y9">
        <v>1</v>
      </c>
      <c r="Z9">
        <v>-3.9510515874999999</v>
      </c>
      <c r="AA9">
        <v>-3.6248331134124898</v>
      </c>
      <c r="AB9">
        <v>1</v>
      </c>
      <c r="AC9">
        <v>-4.2244018469285702</v>
      </c>
      <c r="AD9">
        <v>-3.6630275842</v>
      </c>
      <c r="AE9">
        <v>1</v>
      </c>
      <c r="AF9">
        <v>-4.9132344115384603</v>
      </c>
      <c r="AG9">
        <v>-4.3725436385714298</v>
      </c>
      <c r="AH9">
        <v>1</v>
      </c>
      <c r="AI9">
        <v>-5.31646734</v>
      </c>
      <c r="AJ9">
        <v>-4.8745562972727203</v>
      </c>
      <c r="AK9">
        <v>1</v>
      </c>
      <c r="AL9">
        <v>-5.4319499369999997</v>
      </c>
      <c r="AM9">
        <v>-4.9899630563636297</v>
      </c>
      <c r="AN9">
        <v>1</v>
      </c>
      <c r="AO9">
        <v>-3.5878453714999998</v>
      </c>
      <c r="AP9">
        <v>-3.2684922736874999</v>
      </c>
      <c r="AQ9">
        <v>1</v>
      </c>
      <c r="AR9">
        <v>-3.87523748249999</v>
      </c>
      <c r="AS9">
        <v>-3.4663299773333298</v>
      </c>
      <c r="AT9">
        <v>1</v>
      </c>
      <c r="AU9">
        <v>-4.3054402476923004</v>
      </c>
      <c r="AV9">
        <v>-3.85147307542857</v>
      </c>
      <c r="AW9">
        <v>1</v>
      </c>
      <c r="AX9">
        <v>-4.4495074560000001</v>
      </c>
      <c r="AY9">
        <v>-4.1071717999999997</v>
      </c>
      <c r="AZ9">
        <v>1</v>
      </c>
      <c r="BA9">
        <v>-4.4520919799999996</v>
      </c>
      <c r="BB9">
        <v>-4.1840329154545399</v>
      </c>
      <c r="BC9">
        <v>1</v>
      </c>
      <c r="BD9">
        <v>-4.0500691340400001</v>
      </c>
      <c r="BE9">
        <v>-3.7261820850187499</v>
      </c>
      <c r="BF9">
        <v>1</v>
      </c>
      <c r="BG9">
        <v>-4.3891562844285703</v>
      </c>
      <c r="BH9">
        <v>-3.9021978179999999</v>
      </c>
      <c r="BI9">
        <v>1</v>
      </c>
      <c r="BJ9">
        <v>-5.0820878515384598</v>
      </c>
      <c r="BK9">
        <v>-4.4992563207142799</v>
      </c>
      <c r="BL9">
        <v>1</v>
      </c>
      <c r="BM9">
        <v>-5.696037585</v>
      </c>
      <c r="BN9">
        <v>-5.1136080236363597</v>
      </c>
      <c r="BO9">
        <v>1</v>
      </c>
      <c r="BP9">
        <v>-5.821039098</v>
      </c>
      <c r="BQ9">
        <v>-5.3806704118181798</v>
      </c>
      <c r="BR9">
        <v>1</v>
      </c>
    </row>
    <row r="10" spans="1:70" x14ac:dyDescent="0.35">
      <c r="A10" t="s">
        <v>451</v>
      </c>
      <c r="B10" t="s">
        <v>81</v>
      </c>
      <c r="C10" t="s">
        <v>452</v>
      </c>
      <c r="D10">
        <v>0</v>
      </c>
      <c r="E10" t="s">
        <v>122</v>
      </c>
      <c r="F10" t="str">
        <f>INDEX([1]train_xl!$H:$H,MATCH(E10,[1]train_xl!$G:$G,0))</f>
        <v>like</v>
      </c>
      <c r="G10" t="str">
        <f>INDEX([1]train_xl!$I:$I,MATCH(E10,[1]train_xl!$G:$G,0))</f>
        <v>sim</v>
      </c>
      <c r="H10" t="str">
        <f>INDEX([1]train_xl!$V:$V,MATCH(E10,[1]train_xl!$G:$G,0))</f>
        <v>not</v>
      </c>
      <c r="I10" t="str">
        <f>INDEX([2]Sheet1!$L:$L,MATCH(E10,[2]Sheet1!$I:$I,0))</f>
        <v>intens</v>
      </c>
      <c r="K10">
        <v>-4.2063498999375</v>
      </c>
      <c r="L10">
        <v>-3.92434122938888</v>
      </c>
      <c r="M10">
        <v>0</v>
      </c>
      <c r="N10">
        <v>-4.3340458043333303</v>
      </c>
      <c r="O10">
        <v>-4.1875673172352901</v>
      </c>
      <c r="P10">
        <v>0</v>
      </c>
      <c r="Q10">
        <v>-5.1958662501428501</v>
      </c>
      <c r="R10">
        <v>-4.8745531663125004</v>
      </c>
      <c r="S10">
        <v>0</v>
      </c>
      <c r="T10">
        <v>-5.7071238363636301</v>
      </c>
      <c r="U10">
        <v>-5.0496917184615304</v>
      </c>
      <c r="V10">
        <v>0</v>
      </c>
      <c r="W10">
        <v>-5.5914977090909002</v>
      </c>
      <c r="X10">
        <v>-4.9762696107692301</v>
      </c>
      <c r="Y10">
        <v>0</v>
      </c>
      <c r="Z10">
        <v>-4.0842670398749901</v>
      </c>
      <c r="AA10">
        <v>-3.75492897355555</v>
      </c>
      <c r="AB10">
        <v>0</v>
      </c>
      <c r="AC10">
        <v>-4.2341881095333296</v>
      </c>
      <c r="AD10">
        <v>-4.0123358229411696</v>
      </c>
      <c r="AE10">
        <v>0</v>
      </c>
      <c r="AF10">
        <v>-5.0243637821428502</v>
      </c>
      <c r="AG10">
        <v>-4.73948299</v>
      </c>
      <c r="AH10">
        <v>0</v>
      </c>
      <c r="AI10">
        <v>-5.1163962181818103</v>
      </c>
      <c r="AJ10">
        <v>-4.6542142807692297</v>
      </c>
      <c r="AK10">
        <v>0</v>
      </c>
      <c r="AL10">
        <v>-5.19554077272727</v>
      </c>
      <c r="AM10">
        <v>-4.6469509384615302</v>
      </c>
      <c r="AN10">
        <v>0</v>
      </c>
      <c r="AO10">
        <v>-3.3039619512499998</v>
      </c>
      <c r="AP10">
        <v>-3.1603264388888799</v>
      </c>
      <c r="AQ10">
        <v>0</v>
      </c>
      <c r="AR10">
        <v>-3.36279719513333</v>
      </c>
      <c r="AS10">
        <v>-3.3336459168823498</v>
      </c>
      <c r="AT10">
        <v>0</v>
      </c>
      <c r="AU10">
        <v>-4.0138093850000001</v>
      </c>
      <c r="AV10">
        <v>-3.8264275493749902</v>
      </c>
      <c r="AW10">
        <v>0</v>
      </c>
      <c r="AX10">
        <v>-4.3187756309090899</v>
      </c>
      <c r="AY10">
        <v>-4.0864257523076901</v>
      </c>
      <c r="AZ10">
        <v>0</v>
      </c>
      <c r="BA10">
        <v>-4.3575470181818101</v>
      </c>
      <c r="BB10">
        <v>-4.7547973384615299</v>
      </c>
      <c r="BC10">
        <v>1</v>
      </c>
      <c r="BD10">
        <v>-4.044598792375</v>
      </c>
      <c r="BE10">
        <v>-3.7893233221111098</v>
      </c>
      <c r="BF10">
        <v>0</v>
      </c>
      <c r="BG10">
        <v>-4.15681586466666</v>
      </c>
      <c r="BH10">
        <v>-4.0505253864705804</v>
      </c>
      <c r="BI10">
        <v>0</v>
      </c>
      <c r="BJ10">
        <v>-4.8740955921428499</v>
      </c>
      <c r="BK10">
        <v>-4.6750394531249997</v>
      </c>
      <c r="BL10">
        <v>0</v>
      </c>
      <c r="BM10">
        <v>-5.07626142454545</v>
      </c>
      <c r="BN10">
        <v>-4.6024432207692296</v>
      </c>
      <c r="BO10">
        <v>0</v>
      </c>
      <c r="BP10">
        <v>-5.2377424272727202</v>
      </c>
      <c r="BQ10">
        <v>-4.7506553899999897</v>
      </c>
      <c r="BR10">
        <v>0</v>
      </c>
    </row>
    <row r="11" spans="1:70" x14ac:dyDescent="0.35">
      <c r="A11" t="s">
        <v>453</v>
      </c>
      <c r="B11" t="s">
        <v>81</v>
      </c>
      <c r="C11" t="s">
        <v>452</v>
      </c>
      <c r="D11">
        <v>1</v>
      </c>
      <c r="E11" t="s">
        <v>123</v>
      </c>
      <c r="F11" t="str">
        <f>INDEX([1]train_xl!$H:$H,MATCH(E11,[1]train_xl!$G:$G,0))</f>
        <v>like</v>
      </c>
      <c r="G11" t="str">
        <f>INDEX([1]train_xl!$I:$I,MATCH(E11,[1]train_xl!$G:$G,0))</f>
        <v>sim</v>
      </c>
      <c r="H11" t="str">
        <f>INDEX([1]train_xl!$V:$V,MATCH(E11,[1]train_xl!$G:$G,0))</f>
        <v>not</v>
      </c>
      <c r="I11" t="str">
        <f>INDEX([2]Sheet1!$L:$L,MATCH(E11,[2]Sheet1!$I:$I,0))</f>
        <v>neg</v>
      </c>
      <c r="K11">
        <v>-4.1159016167562497</v>
      </c>
      <c r="L11">
        <v>-3.6757533354499898</v>
      </c>
      <c r="M11">
        <v>1</v>
      </c>
      <c r="N11">
        <v>-4.5031847829066596</v>
      </c>
      <c r="O11">
        <v>-4.1404062396764703</v>
      </c>
      <c r="P11">
        <v>1</v>
      </c>
      <c r="Q11">
        <v>-5.4741117959999999</v>
      </c>
      <c r="R11">
        <v>-4.7284798636875003</v>
      </c>
      <c r="S11">
        <v>1</v>
      </c>
      <c r="T11">
        <v>-5.38715708181818</v>
      </c>
      <c r="U11">
        <v>-4.8306045692307604</v>
      </c>
      <c r="V11">
        <v>1</v>
      </c>
      <c r="W11">
        <v>-5.6104272636363604</v>
      </c>
      <c r="X11">
        <v>-5.1121792076923001</v>
      </c>
      <c r="Y11">
        <v>1</v>
      </c>
      <c r="Z11">
        <v>-3.9025461594125002</v>
      </c>
      <c r="AA11">
        <v>-3.5094879514277699</v>
      </c>
      <c r="AB11">
        <v>1</v>
      </c>
      <c r="AC11">
        <v>-4.2052413331333298</v>
      </c>
      <c r="AD11">
        <v>-3.8625919747058801</v>
      </c>
      <c r="AE11">
        <v>1</v>
      </c>
      <c r="AF11">
        <v>-5.19239430785714</v>
      </c>
      <c r="AG11">
        <v>-4.5246438799999904</v>
      </c>
      <c r="AH11">
        <v>1</v>
      </c>
      <c r="AI11">
        <v>-5.1464215818181804</v>
      </c>
      <c r="AJ11">
        <v>-4.5958179876922998</v>
      </c>
      <c r="AK11">
        <v>1</v>
      </c>
      <c r="AL11">
        <v>-5.4012828454545403</v>
      </c>
      <c r="AM11">
        <v>-4.8883706999999896</v>
      </c>
      <c r="AN11">
        <v>1</v>
      </c>
      <c r="AO11">
        <v>-3.4345739905000001</v>
      </c>
      <c r="AP11">
        <v>-3.11846967655555</v>
      </c>
      <c r="AQ11">
        <v>1</v>
      </c>
      <c r="AR11">
        <v>-3.6448700270666601</v>
      </c>
      <c r="AS11">
        <v>-3.41743534899999</v>
      </c>
      <c r="AT11">
        <v>1</v>
      </c>
      <c r="AU11">
        <v>-4.4046495135714201</v>
      </c>
      <c r="AV11">
        <v>-3.8794013434999899</v>
      </c>
      <c r="AW11">
        <v>1</v>
      </c>
      <c r="AX11">
        <v>-4.4417027181818103</v>
      </c>
      <c r="AY11">
        <v>-4.0819120961538404</v>
      </c>
      <c r="AZ11">
        <v>1</v>
      </c>
      <c r="BA11">
        <v>-4.5828430363636299</v>
      </c>
      <c r="BB11">
        <v>-4.8909659923076898</v>
      </c>
      <c r="BC11">
        <v>0</v>
      </c>
      <c r="BD11">
        <v>-3.95150624826874</v>
      </c>
      <c r="BE11">
        <v>-3.5220768814611101</v>
      </c>
      <c r="BF11">
        <v>1</v>
      </c>
      <c r="BG11">
        <v>-4.1634343319999996</v>
      </c>
      <c r="BH11">
        <v>-3.8418518454117598</v>
      </c>
      <c r="BI11">
        <v>1</v>
      </c>
      <c r="BJ11">
        <v>-5.1390051528571403</v>
      </c>
      <c r="BK11">
        <v>-4.4972623081249896</v>
      </c>
      <c r="BL11">
        <v>1</v>
      </c>
      <c r="BM11">
        <v>-5.0754684000000001</v>
      </c>
      <c r="BN11">
        <v>-4.57029877538461</v>
      </c>
      <c r="BO11">
        <v>1</v>
      </c>
      <c r="BP11">
        <v>-5.3785804545454496</v>
      </c>
      <c r="BQ11">
        <v>-4.8399958123076896</v>
      </c>
      <c r="BR11">
        <v>1</v>
      </c>
    </row>
    <row r="12" spans="1:70" x14ac:dyDescent="0.35">
      <c r="A12" t="s">
        <v>454</v>
      </c>
      <c r="B12" t="s">
        <v>455</v>
      </c>
      <c r="C12" t="s">
        <v>456</v>
      </c>
      <c r="D12">
        <v>0</v>
      </c>
      <c r="E12" t="s">
        <v>124</v>
      </c>
      <c r="F12" t="str">
        <f>INDEX([1]train_xl!$H:$H,MATCH(E12,[1]train_xl!$G:$G,0))</f>
        <v>as-as</v>
      </c>
      <c r="G12" t="str">
        <f>INDEX([1]train_xl!$I:$I,MATCH(E12,[1]train_xl!$G:$G,0))</f>
        <v>sim</v>
      </c>
      <c r="H12" t="str">
        <f>INDEX([1]train_xl!$V:$V,MATCH(E12,[1]train_xl!$G:$G,0))</f>
        <v>not</v>
      </c>
      <c r="I12" t="str">
        <f>INDEX([2]Sheet1!$L:$L,MATCH(E12,[2]Sheet1!$I:$I,0))</f>
        <v>intens</v>
      </c>
      <c r="K12">
        <v>-3.9750089051624999</v>
      </c>
      <c r="L12">
        <v>-4.0373354832705797</v>
      </c>
      <c r="M12">
        <v>1</v>
      </c>
      <c r="N12">
        <v>-3.9546863781333301</v>
      </c>
      <c r="O12">
        <v>-4.1481295468125001</v>
      </c>
      <c r="P12">
        <v>1</v>
      </c>
      <c r="Q12">
        <v>-4.6857445719999902</v>
      </c>
      <c r="R12">
        <v>-4.7722778178666596</v>
      </c>
      <c r="S12">
        <v>1</v>
      </c>
      <c r="T12">
        <v>-4.9658684272727198</v>
      </c>
      <c r="U12">
        <v>-4.9761823133333296</v>
      </c>
      <c r="V12">
        <v>1</v>
      </c>
      <c r="W12">
        <v>-5.3983514918181799</v>
      </c>
      <c r="X12">
        <v>-5.2634082066666599</v>
      </c>
      <c r="Y12">
        <v>0</v>
      </c>
      <c r="Z12">
        <v>-3.8202847755625</v>
      </c>
      <c r="AA12">
        <v>-3.9770806489411701</v>
      </c>
      <c r="AB12">
        <v>1</v>
      </c>
      <c r="AC12">
        <v>-3.8904109839333301</v>
      </c>
      <c r="AD12">
        <v>-4.1335023645</v>
      </c>
      <c r="AE12">
        <v>1</v>
      </c>
      <c r="AF12">
        <v>-4.5358800607142804</v>
      </c>
      <c r="AG12">
        <v>-4.7010646300000003</v>
      </c>
      <c r="AH12">
        <v>1</v>
      </c>
      <c r="AI12">
        <v>-4.9426519999999998</v>
      </c>
      <c r="AJ12">
        <v>-4.85446509583333</v>
      </c>
      <c r="AK12">
        <v>0</v>
      </c>
      <c r="AL12">
        <v>-5.2723392545454502</v>
      </c>
      <c r="AM12">
        <v>-5.1258457249999996</v>
      </c>
      <c r="AN12">
        <v>0</v>
      </c>
      <c r="AO12">
        <v>-3.3477987364874999</v>
      </c>
      <c r="AP12">
        <v>-3.5265397451941101</v>
      </c>
      <c r="AQ12">
        <v>1</v>
      </c>
      <c r="AR12">
        <v>-3.3400736096666601</v>
      </c>
      <c r="AS12">
        <v>-3.6326010162500002</v>
      </c>
      <c r="AT12">
        <v>1</v>
      </c>
      <c r="AU12">
        <v>-3.8417813323571401</v>
      </c>
      <c r="AV12">
        <v>-4.0189019613333299</v>
      </c>
      <c r="AW12">
        <v>1</v>
      </c>
      <c r="AX12">
        <v>-3.9427739754545401</v>
      </c>
      <c r="AY12">
        <v>-4.0375549666666597</v>
      </c>
      <c r="AZ12">
        <v>1</v>
      </c>
      <c r="BA12">
        <v>-4.3393956563636298</v>
      </c>
      <c r="BB12">
        <v>-4.26155405</v>
      </c>
      <c r="BC12">
        <v>0</v>
      </c>
      <c r="BD12">
        <v>-3.96025656754375</v>
      </c>
      <c r="BE12">
        <v>-4.1049990396941096</v>
      </c>
      <c r="BF12">
        <v>1</v>
      </c>
      <c r="BG12">
        <v>-4.0788185262666596</v>
      </c>
      <c r="BH12">
        <v>-4.3179543321249998</v>
      </c>
      <c r="BI12">
        <v>1</v>
      </c>
      <c r="BJ12">
        <v>-4.7238409685714204</v>
      </c>
      <c r="BK12">
        <v>-4.8196571299999897</v>
      </c>
      <c r="BL12">
        <v>1</v>
      </c>
      <c r="BM12">
        <v>-5.2918263363636298</v>
      </c>
      <c r="BN12">
        <v>-5.1972402633333301</v>
      </c>
      <c r="BO12">
        <v>0</v>
      </c>
      <c r="BP12">
        <v>-5.7083241027272704</v>
      </c>
      <c r="BQ12">
        <v>-5.4760785933333302</v>
      </c>
      <c r="BR12">
        <v>0</v>
      </c>
    </row>
    <row r="13" spans="1:70" x14ac:dyDescent="0.35">
      <c r="A13" t="s">
        <v>457</v>
      </c>
      <c r="B13" t="s">
        <v>455</v>
      </c>
      <c r="C13" t="s">
        <v>456</v>
      </c>
      <c r="D13">
        <v>1</v>
      </c>
      <c r="E13" t="s">
        <v>125</v>
      </c>
      <c r="F13" t="str">
        <f>INDEX([1]train_xl!$H:$H,MATCH(E13,[1]train_xl!$G:$G,0))</f>
        <v>as-as</v>
      </c>
      <c r="G13" t="str">
        <f>INDEX([1]train_xl!$I:$I,MATCH(E13,[1]train_xl!$G:$G,0))</f>
        <v>sim</v>
      </c>
      <c r="H13" t="str">
        <f>INDEX([1]train_xl!$V:$V,MATCH(E13,[1]train_xl!$G:$G,0))</f>
        <v>not</v>
      </c>
      <c r="I13" t="str">
        <f>INDEX([2]Sheet1!$L:$L,MATCH(E13,[2]Sheet1!$I:$I,0))</f>
        <v>neg</v>
      </c>
      <c r="K13">
        <v>-4.2929129819857099</v>
      </c>
      <c r="L13">
        <v>-3.8690767889466602</v>
      </c>
      <c r="M13">
        <v>1</v>
      </c>
      <c r="N13">
        <v>-4.4930375909230698</v>
      </c>
      <c r="O13">
        <v>-4.00055571257142</v>
      </c>
      <c r="P13">
        <v>1</v>
      </c>
      <c r="Q13">
        <v>-5.3158571055000001</v>
      </c>
      <c r="R13">
        <v>-4.6920809953846101</v>
      </c>
      <c r="S13">
        <v>1</v>
      </c>
      <c r="T13">
        <v>-5.3584550766666599</v>
      </c>
      <c r="U13">
        <v>-5.0716504100000002</v>
      </c>
      <c r="V13">
        <v>1</v>
      </c>
      <c r="W13">
        <v>-5.9724518577777701</v>
      </c>
      <c r="X13">
        <v>-5.6141730259999996</v>
      </c>
      <c r="Y13">
        <v>1</v>
      </c>
      <c r="Z13">
        <v>-4.7230075781285699</v>
      </c>
      <c r="AA13">
        <v>-4.1467091007533297</v>
      </c>
      <c r="AB13">
        <v>1</v>
      </c>
      <c r="AC13">
        <v>-4.9851789419230697</v>
      </c>
      <c r="AD13">
        <v>-4.3703203617142803</v>
      </c>
      <c r="AE13">
        <v>1</v>
      </c>
      <c r="AF13">
        <v>-5.8088895254166601</v>
      </c>
      <c r="AG13">
        <v>-4.9875390649230704</v>
      </c>
      <c r="AH13">
        <v>1</v>
      </c>
      <c r="AI13">
        <v>-5.9363359333333303</v>
      </c>
      <c r="AJ13">
        <v>-5.4822956500000002</v>
      </c>
      <c r="AK13">
        <v>1</v>
      </c>
      <c r="AL13">
        <v>-6.2606792555555497</v>
      </c>
      <c r="AM13">
        <v>-5.7778101629999998</v>
      </c>
      <c r="AN13">
        <v>1</v>
      </c>
      <c r="AO13">
        <v>-3.9912250434285701</v>
      </c>
      <c r="AP13">
        <v>-3.49802101833333</v>
      </c>
      <c r="AQ13">
        <v>1</v>
      </c>
      <c r="AR13">
        <v>-4.1188850622307598</v>
      </c>
      <c r="AS13">
        <v>-3.55968281857142</v>
      </c>
      <c r="AT13">
        <v>1</v>
      </c>
      <c r="AU13">
        <v>-4.5803659208333301</v>
      </c>
      <c r="AV13">
        <v>-3.9733634923076901</v>
      </c>
      <c r="AW13">
        <v>1</v>
      </c>
      <c r="AX13">
        <v>-4.6017277588888801</v>
      </c>
      <c r="AY13">
        <v>-4.3646105100000003</v>
      </c>
      <c r="AZ13">
        <v>1</v>
      </c>
      <c r="BA13">
        <v>-5.0146022299999897</v>
      </c>
      <c r="BB13">
        <v>-4.7047569200000003</v>
      </c>
      <c r="BC13">
        <v>1</v>
      </c>
      <c r="BD13">
        <v>-4.7380179030285703</v>
      </c>
      <c r="BE13">
        <v>-4.1534130037599999</v>
      </c>
      <c r="BF13">
        <v>1</v>
      </c>
      <c r="BG13">
        <v>-5.0581240150769204</v>
      </c>
      <c r="BH13">
        <v>-4.4390298640000001</v>
      </c>
      <c r="BI13">
        <v>1</v>
      </c>
      <c r="BJ13">
        <v>-5.8401484283333298</v>
      </c>
      <c r="BK13">
        <v>-5.0366304923076903</v>
      </c>
      <c r="BL13">
        <v>1</v>
      </c>
      <c r="BM13">
        <v>-5.9067126666666603</v>
      </c>
      <c r="BN13">
        <v>-5.56234947</v>
      </c>
      <c r="BO13">
        <v>1</v>
      </c>
      <c r="BP13">
        <v>-6.3227246466666598</v>
      </c>
      <c r="BQ13">
        <v>-5.8540002720000004</v>
      </c>
      <c r="BR13">
        <v>1</v>
      </c>
    </row>
    <row r="14" spans="1:70" x14ac:dyDescent="0.35">
      <c r="A14" t="s">
        <v>458</v>
      </c>
      <c r="B14" t="s">
        <v>459</v>
      </c>
      <c r="C14" t="s">
        <v>460</v>
      </c>
      <c r="D14">
        <v>0</v>
      </c>
      <c r="E14" t="s">
        <v>126</v>
      </c>
      <c r="F14" t="str">
        <f>INDEX([1]train_xl!$H:$H,MATCH(E14,[1]train_xl!$G:$G,0))</f>
        <v>the-of</v>
      </c>
      <c r="G14" t="str">
        <f>INDEX([1]train_xl!$I:$I,MATCH(E14,[1]train_xl!$G:$G,0))</f>
        <v>sim</v>
      </c>
      <c r="H14" t="str">
        <f>INDEX([1]train_xl!$V:$V,MATCH(E14,[1]train_xl!$G:$G,0))</f>
        <v>not</v>
      </c>
      <c r="I14" t="str">
        <f>INDEX([2]Sheet1!$L:$L,MATCH(E14,[2]Sheet1!$I:$I,0))</f>
        <v>intens</v>
      </c>
      <c r="K14">
        <v>-4.0996957274285704</v>
      </c>
      <c r="L14">
        <v>-3.8002044988749999</v>
      </c>
      <c r="M14">
        <v>0</v>
      </c>
      <c r="N14">
        <v>-4.2381824155384598</v>
      </c>
      <c r="O14">
        <v>-4.0431973967999904</v>
      </c>
      <c r="P14">
        <v>0</v>
      </c>
      <c r="Q14">
        <v>-5.1886603447499997</v>
      </c>
      <c r="R14">
        <v>-4.8041912133571403</v>
      </c>
      <c r="S14">
        <v>0</v>
      </c>
      <c r="T14">
        <v>-5.3497016999999998</v>
      </c>
      <c r="U14">
        <v>-4.8726555363636299</v>
      </c>
      <c r="V14">
        <v>0</v>
      </c>
      <c r="W14">
        <v>-6.1462297222222197</v>
      </c>
      <c r="X14">
        <v>-5.4340225636363604</v>
      </c>
      <c r="Y14">
        <v>0</v>
      </c>
      <c r="Z14">
        <v>-4.5086145537857103</v>
      </c>
      <c r="AA14">
        <v>-4.1652641591249999</v>
      </c>
      <c r="AB14">
        <v>0</v>
      </c>
      <c r="AC14">
        <v>-4.7292572557692303</v>
      </c>
      <c r="AD14">
        <v>-4.3620184626666596</v>
      </c>
      <c r="AE14">
        <v>0</v>
      </c>
      <c r="AF14">
        <v>-5.8083874</v>
      </c>
      <c r="AG14">
        <v>-5.2670121357142801</v>
      </c>
      <c r="AH14">
        <v>0</v>
      </c>
      <c r="AI14">
        <v>-5.9073054888888796</v>
      </c>
      <c r="AJ14">
        <v>-5.27841195454545</v>
      </c>
      <c r="AK14">
        <v>0</v>
      </c>
      <c r="AL14">
        <v>-6.3772532111111104</v>
      </c>
      <c r="AM14">
        <v>-5.6879151727272701</v>
      </c>
      <c r="AN14">
        <v>0</v>
      </c>
      <c r="AO14">
        <v>-3.89031313</v>
      </c>
      <c r="AP14">
        <v>-3.6748656749999999</v>
      </c>
      <c r="AQ14">
        <v>0</v>
      </c>
      <c r="AR14">
        <v>-4.0238550838461498</v>
      </c>
      <c r="AS14">
        <v>-3.7977862169999899</v>
      </c>
      <c r="AT14">
        <v>0</v>
      </c>
      <c r="AU14">
        <v>-4.7437831866666604</v>
      </c>
      <c r="AV14">
        <v>-4.3793550335714198</v>
      </c>
      <c r="AW14">
        <v>0</v>
      </c>
      <c r="AX14">
        <v>-4.80708646666666</v>
      </c>
      <c r="AY14">
        <v>-5.1927829272727202</v>
      </c>
      <c r="AZ14">
        <v>1</v>
      </c>
      <c r="BA14">
        <v>-5.1495712888888896</v>
      </c>
      <c r="BB14">
        <v>-4.6919530181818097</v>
      </c>
      <c r="BC14">
        <v>0</v>
      </c>
      <c r="BD14">
        <v>-4.4840589390714198</v>
      </c>
      <c r="BE14">
        <v>-4.191428014375</v>
      </c>
      <c r="BF14">
        <v>0</v>
      </c>
      <c r="BG14">
        <v>-4.7604932961538404</v>
      </c>
      <c r="BH14">
        <v>-4.3912556199999999</v>
      </c>
      <c r="BI14">
        <v>0</v>
      </c>
      <c r="BJ14">
        <v>-5.7429730258333302</v>
      </c>
      <c r="BK14">
        <v>-5.2391841121428504</v>
      </c>
      <c r="BL14">
        <v>0</v>
      </c>
      <c r="BM14">
        <v>-5.9018594111111096</v>
      </c>
      <c r="BN14">
        <v>-5.2970304063636302</v>
      </c>
      <c r="BO14">
        <v>0</v>
      </c>
      <c r="BP14">
        <v>-6.4160365333333296</v>
      </c>
      <c r="BQ14">
        <v>-5.7196307636363599</v>
      </c>
      <c r="BR14">
        <v>0</v>
      </c>
    </row>
    <row r="15" spans="1:70" x14ac:dyDescent="0.35">
      <c r="A15" t="s">
        <v>461</v>
      </c>
      <c r="B15" t="s">
        <v>459</v>
      </c>
      <c r="C15" t="s">
        <v>460</v>
      </c>
      <c r="D15">
        <v>1</v>
      </c>
      <c r="E15" t="s">
        <v>127</v>
      </c>
      <c r="F15" t="str">
        <f>INDEX([1]train_xl!$H:$H,MATCH(E15,[1]train_xl!$G:$G,0))</f>
        <v>the-of</v>
      </c>
      <c r="G15" t="str">
        <f>INDEX([1]train_xl!$I:$I,MATCH(E15,[1]train_xl!$G:$G,0))</f>
        <v>sim</v>
      </c>
      <c r="H15" t="str">
        <f>INDEX([1]train_xl!$V:$V,MATCH(E15,[1]train_xl!$G:$G,0))</f>
        <v>not</v>
      </c>
      <c r="I15" t="str">
        <f>INDEX([2]Sheet1!$L:$L,MATCH(E15,[2]Sheet1!$I:$I,0))</f>
        <v>neg</v>
      </c>
      <c r="K15">
        <v>-4.4728642860922996</v>
      </c>
      <c r="L15">
        <v>-3.7373246438133298</v>
      </c>
      <c r="M15">
        <v>1</v>
      </c>
      <c r="N15">
        <v>-4.7995906963333299</v>
      </c>
      <c r="O15">
        <v>-4.1087243762142798</v>
      </c>
      <c r="P15">
        <v>1</v>
      </c>
      <c r="Q15">
        <v>-5.7898136547272703</v>
      </c>
      <c r="R15">
        <v>-4.9261252262692299</v>
      </c>
      <c r="S15">
        <v>1</v>
      </c>
      <c r="T15">
        <v>-6.2501708625000001</v>
      </c>
      <c r="U15">
        <v>-5.0187263757</v>
      </c>
      <c r="V15">
        <v>1</v>
      </c>
      <c r="W15">
        <v>-6.7150798250000001</v>
      </c>
      <c r="X15">
        <v>-5.3680115989999999</v>
      </c>
      <c r="Y15">
        <v>1</v>
      </c>
      <c r="Z15">
        <v>-4.4207637386153804</v>
      </c>
      <c r="AA15">
        <v>-3.7522300873333299</v>
      </c>
      <c r="AB15">
        <v>1</v>
      </c>
      <c r="AC15">
        <v>-4.8264778169999998</v>
      </c>
      <c r="AD15">
        <v>-4.0798412749999997</v>
      </c>
      <c r="AE15">
        <v>1</v>
      </c>
      <c r="AF15">
        <v>-5.7753477454545399</v>
      </c>
      <c r="AG15">
        <v>-4.9182040626153798</v>
      </c>
      <c r="AH15">
        <v>1</v>
      </c>
      <c r="AI15">
        <v>-6.1915642875000003</v>
      </c>
      <c r="AJ15">
        <v>-5.0914488444000003</v>
      </c>
      <c r="AK15">
        <v>1</v>
      </c>
      <c r="AL15">
        <v>-6.4951876500000001</v>
      </c>
      <c r="AM15">
        <v>-5.3559055959999897</v>
      </c>
      <c r="AN15">
        <v>1</v>
      </c>
      <c r="AO15">
        <v>-4.3163860199999897</v>
      </c>
      <c r="AP15">
        <v>-3.6218622359333299</v>
      </c>
      <c r="AQ15">
        <v>1</v>
      </c>
      <c r="AR15">
        <v>-4.5938989586666601</v>
      </c>
      <c r="AS15">
        <v>-3.7605929689285702</v>
      </c>
      <c r="AT15">
        <v>1</v>
      </c>
      <c r="AU15">
        <v>-5.4959154305454501</v>
      </c>
      <c r="AV15">
        <v>-4.3540809410000003</v>
      </c>
      <c r="AW15">
        <v>1</v>
      </c>
      <c r="AX15">
        <v>-5.6570512500000003</v>
      </c>
      <c r="AY15">
        <v>-5.1562489600000001</v>
      </c>
      <c r="AZ15">
        <v>1</v>
      </c>
      <c r="BA15">
        <v>-5.9309332499999998</v>
      </c>
      <c r="BB15">
        <v>-4.7373507636999896</v>
      </c>
      <c r="BC15">
        <v>1</v>
      </c>
      <c r="BD15">
        <v>-4.4859506773076898</v>
      </c>
      <c r="BE15">
        <v>-3.8140755905333301</v>
      </c>
      <c r="BF15">
        <v>1</v>
      </c>
      <c r="BG15">
        <v>-4.8351933283333297</v>
      </c>
      <c r="BH15">
        <v>-4.1169210330714199</v>
      </c>
      <c r="BI15">
        <v>1</v>
      </c>
      <c r="BJ15">
        <v>-5.6842496727272698</v>
      </c>
      <c r="BK15">
        <v>-5.0057583584615299</v>
      </c>
      <c r="BL15">
        <v>1</v>
      </c>
      <c r="BM15">
        <v>-6.2556341125000001</v>
      </c>
      <c r="BN15">
        <v>-5.0722868221999997</v>
      </c>
      <c r="BO15">
        <v>1</v>
      </c>
      <c r="BP15">
        <v>-6.5519517</v>
      </c>
      <c r="BQ15">
        <v>-5.4214254079000002</v>
      </c>
      <c r="BR15">
        <v>1</v>
      </c>
    </row>
    <row r="16" spans="1:70" x14ac:dyDescent="0.35">
      <c r="A16" t="s">
        <v>462</v>
      </c>
      <c r="B16" t="s">
        <v>463</v>
      </c>
      <c r="C16" t="s">
        <v>464</v>
      </c>
      <c r="D16">
        <v>0</v>
      </c>
      <c r="E16" t="s">
        <v>128</v>
      </c>
      <c r="F16" t="str">
        <f>INDEX([1]train_xl!$H:$H,MATCH(E16,[1]train_xl!$G:$G,0))</f>
        <v>like</v>
      </c>
      <c r="G16" t="str">
        <f>INDEX([1]train_xl!$I:$I,MATCH(E16,[1]train_xl!$G:$G,0))</f>
        <v>sim</v>
      </c>
      <c r="H16" t="str">
        <f>INDEX([1]train_xl!$V:$V,MATCH(E16,[1]train_xl!$G:$G,0))</f>
        <v>not</v>
      </c>
      <c r="I16" t="str">
        <f>INDEX([2]Sheet1!$L:$L,MATCH(E16,[2]Sheet1!$I:$I,0))</f>
        <v>intens</v>
      </c>
      <c r="K16">
        <v>-3.76311628513333</v>
      </c>
      <c r="L16">
        <v>-3.7150893631874999</v>
      </c>
      <c r="M16">
        <v>0</v>
      </c>
      <c r="N16">
        <v>-3.9192930991785699</v>
      </c>
      <c r="O16">
        <v>-3.87612563826666</v>
      </c>
      <c r="P16">
        <v>0</v>
      </c>
      <c r="Q16">
        <v>-4.8228200379230701</v>
      </c>
      <c r="R16">
        <v>-4.7789205651428501</v>
      </c>
      <c r="S16">
        <v>0</v>
      </c>
      <c r="T16">
        <v>-4.4698992887299998</v>
      </c>
      <c r="U16">
        <v>-4.50937435136363</v>
      </c>
      <c r="V16">
        <v>1</v>
      </c>
      <c r="W16">
        <v>-5.1452483979999997</v>
      </c>
      <c r="X16">
        <v>-4.8576549040000003</v>
      </c>
      <c r="Y16">
        <v>0</v>
      </c>
      <c r="Z16">
        <v>-4.0175842723333304</v>
      </c>
      <c r="AA16">
        <v>-3.9910404459375002</v>
      </c>
      <c r="AB16">
        <v>0</v>
      </c>
      <c r="AC16">
        <v>-4.1092555062857103</v>
      </c>
      <c r="AD16">
        <v>-4.1034866463333302</v>
      </c>
      <c r="AE16">
        <v>0</v>
      </c>
      <c r="AF16">
        <v>-5.0374512453846103</v>
      </c>
      <c r="AG16">
        <v>-4.9128547657142798</v>
      </c>
      <c r="AH16">
        <v>0</v>
      </c>
      <c r="AI16">
        <v>-5.0898573049999998</v>
      </c>
      <c r="AJ16">
        <v>-5.0436521415454498</v>
      </c>
      <c r="AK16">
        <v>0</v>
      </c>
      <c r="AL16">
        <v>-5.5079155627</v>
      </c>
      <c r="AM16">
        <v>-5.27675945054545</v>
      </c>
      <c r="AN16">
        <v>0</v>
      </c>
      <c r="AO16">
        <v>-3.8375743313333301</v>
      </c>
      <c r="AP16">
        <v>-3.78494697762499</v>
      </c>
      <c r="AQ16">
        <v>0</v>
      </c>
      <c r="AR16">
        <v>-3.6994402750000002</v>
      </c>
      <c r="AS16">
        <v>-3.66182975399999</v>
      </c>
      <c r="AT16">
        <v>0</v>
      </c>
      <c r="AU16">
        <v>-4.3774496966922998</v>
      </c>
      <c r="AV16">
        <v>-4.28677131071428</v>
      </c>
      <c r="AW16">
        <v>0</v>
      </c>
      <c r="AX16">
        <v>-4.2342806572000002</v>
      </c>
      <c r="AY16">
        <v>-4.4349249187272699</v>
      </c>
      <c r="AZ16">
        <v>1</v>
      </c>
      <c r="BA16">
        <v>-4.5590820717999998</v>
      </c>
      <c r="BB16">
        <v>-4.4520253545454498</v>
      </c>
      <c r="BC16">
        <v>0</v>
      </c>
      <c r="BD16">
        <v>-4.4353282338666604</v>
      </c>
      <c r="BE16">
        <v>-4.3867778253749998</v>
      </c>
      <c r="BF16">
        <v>0</v>
      </c>
      <c r="BG16">
        <v>-4.6130017122857101</v>
      </c>
      <c r="BH16">
        <v>-4.5522908633333303</v>
      </c>
      <c r="BI16">
        <v>0</v>
      </c>
      <c r="BJ16">
        <v>-5.2080448438461504</v>
      </c>
      <c r="BK16">
        <v>-5.1422886335714297</v>
      </c>
      <c r="BL16">
        <v>0</v>
      </c>
      <c r="BM16">
        <v>-5.5631561475</v>
      </c>
      <c r="BN16">
        <v>-5.5302848280908998</v>
      </c>
      <c r="BO16">
        <v>0</v>
      </c>
      <c r="BP16">
        <v>-6.0184882564000004</v>
      </c>
      <c r="BQ16">
        <v>-5.7529411920909004</v>
      </c>
      <c r="BR16">
        <v>0</v>
      </c>
    </row>
    <row r="17" spans="1:70" x14ac:dyDescent="0.35">
      <c r="A17" t="s">
        <v>465</v>
      </c>
      <c r="B17" t="s">
        <v>463</v>
      </c>
      <c r="C17" t="s">
        <v>464</v>
      </c>
      <c r="D17">
        <v>1</v>
      </c>
      <c r="E17" t="s">
        <v>129</v>
      </c>
      <c r="F17" t="str">
        <f>INDEX([1]train_xl!$H:$H,MATCH(E17,[1]train_xl!$G:$G,0))</f>
        <v>like</v>
      </c>
      <c r="G17" t="str">
        <f>INDEX([1]train_xl!$I:$I,MATCH(E17,[1]train_xl!$G:$G,0))</f>
        <v>sim</v>
      </c>
      <c r="H17" t="str">
        <f>INDEX([1]train_xl!$V:$V,MATCH(E17,[1]train_xl!$G:$G,0))</f>
        <v>not</v>
      </c>
      <c r="I17" t="str">
        <f>INDEX([2]Sheet1!$L:$L,MATCH(E17,[2]Sheet1!$I:$I,0))</f>
        <v>neg</v>
      </c>
      <c r="K17">
        <v>-3.8273719517333298</v>
      </c>
      <c r="L17">
        <v>-3.31437333411874</v>
      </c>
      <c r="M17">
        <v>1</v>
      </c>
      <c r="N17">
        <v>-4.0147273961214198</v>
      </c>
      <c r="O17">
        <v>-3.41723963221333</v>
      </c>
      <c r="P17">
        <v>1</v>
      </c>
      <c r="Q17">
        <v>-4.8556529098461496</v>
      </c>
      <c r="R17">
        <v>-4.1303771497142803</v>
      </c>
      <c r="S17">
        <v>1</v>
      </c>
      <c r="T17">
        <v>-4.5601507831999903</v>
      </c>
      <c r="U17">
        <v>-4.0618454564545399</v>
      </c>
      <c r="V17">
        <v>1</v>
      </c>
      <c r="W17">
        <v>-4.8623761076000003</v>
      </c>
      <c r="X17">
        <v>-4.4810123669999902</v>
      </c>
      <c r="Y17">
        <v>1</v>
      </c>
      <c r="Z17">
        <v>-4.0205442671333298</v>
      </c>
      <c r="AA17">
        <v>-3.4608359294375002</v>
      </c>
      <c r="AB17">
        <v>1</v>
      </c>
      <c r="AC17">
        <v>-3.9760456804999902</v>
      </c>
      <c r="AD17">
        <v>-3.4267978968000001</v>
      </c>
      <c r="AE17">
        <v>1</v>
      </c>
      <c r="AF17">
        <v>-4.8476626638461502</v>
      </c>
      <c r="AG17">
        <v>-4.2737046282857101</v>
      </c>
      <c r="AH17">
        <v>1</v>
      </c>
      <c r="AI17">
        <v>-4.7854014030999998</v>
      </c>
      <c r="AJ17">
        <v>-4.3190992410908997</v>
      </c>
      <c r="AK17">
        <v>1</v>
      </c>
      <c r="AL17">
        <v>-5.2177147049999997</v>
      </c>
      <c r="AM17">
        <v>-4.7668583800000004</v>
      </c>
      <c r="AN17">
        <v>1</v>
      </c>
      <c r="AO17">
        <v>-4.0064219483333297</v>
      </c>
      <c r="AP17">
        <v>-3.5489146795000002</v>
      </c>
      <c r="AQ17">
        <v>1</v>
      </c>
      <c r="AR17">
        <v>-3.8035840570714199</v>
      </c>
      <c r="AS17">
        <v>-3.3070097673333301</v>
      </c>
      <c r="AT17">
        <v>1</v>
      </c>
      <c r="AU17">
        <v>-4.2093766673846096</v>
      </c>
      <c r="AV17">
        <v>-3.77057261635714</v>
      </c>
      <c r="AW17">
        <v>1</v>
      </c>
      <c r="AX17">
        <v>-4.4871832120999997</v>
      </c>
      <c r="AY17">
        <v>-3.9775587011818101</v>
      </c>
      <c r="AZ17">
        <v>1</v>
      </c>
      <c r="BA17">
        <v>-4.4607003567999897</v>
      </c>
      <c r="BB17">
        <v>-4.18312420254545</v>
      </c>
      <c r="BC17">
        <v>1</v>
      </c>
      <c r="BD17">
        <v>-4.3179325999999998</v>
      </c>
      <c r="BE17">
        <v>-3.7474289329374999</v>
      </c>
      <c r="BF17">
        <v>1</v>
      </c>
      <c r="BG17">
        <v>-4.4539006074285696</v>
      </c>
      <c r="BH17">
        <v>-3.8433051721999898</v>
      </c>
      <c r="BI17">
        <v>1</v>
      </c>
      <c r="BJ17">
        <v>-5.3843785434615299</v>
      </c>
      <c r="BK17">
        <v>-4.5079143867857097</v>
      </c>
      <c r="BL17">
        <v>1</v>
      </c>
      <c r="BM17">
        <v>-5.3248754969999998</v>
      </c>
      <c r="BN17">
        <v>-4.8291428317272702</v>
      </c>
      <c r="BO17">
        <v>1</v>
      </c>
      <c r="BP17">
        <v>-5.7268075927999904</v>
      </c>
      <c r="BQ17">
        <v>-5.1810904270908997</v>
      </c>
      <c r="BR17">
        <v>1</v>
      </c>
    </row>
    <row r="18" spans="1:70" x14ac:dyDescent="0.35">
      <c r="A18" t="s">
        <v>466</v>
      </c>
      <c r="B18" t="s">
        <v>467</v>
      </c>
      <c r="C18" t="s">
        <v>468</v>
      </c>
      <c r="D18">
        <v>0</v>
      </c>
      <c r="E18" t="s">
        <v>130</v>
      </c>
      <c r="F18" t="str">
        <f>INDEX([1]train_xl!$H:$H,MATCH(E18,[1]train_xl!$G:$G,0))</f>
        <v>the-of</v>
      </c>
      <c r="G18" t="str">
        <f>INDEX([1]train_xl!$I:$I,MATCH(E18,[1]train_xl!$G:$G,0))</f>
        <v>sim</v>
      </c>
      <c r="H18" t="str">
        <f>INDEX([1]train_xl!$V:$V,MATCH(E18,[1]train_xl!$G:$G,0))</f>
        <v>not</v>
      </c>
      <c r="I18" t="str">
        <f>INDEX([2]Sheet1!$L:$L,MATCH(E18,[2]Sheet1!$I:$I,0))</f>
        <v>intens</v>
      </c>
      <c r="K18">
        <v>-3.6856766495</v>
      </c>
      <c r="L18">
        <v>-3.5821379148666601</v>
      </c>
      <c r="M18">
        <v>0</v>
      </c>
      <c r="N18">
        <v>-3.7267772981538401</v>
      </c>
      <c r="O18">
        <v>-3.7859885738571402</v>
      </c>
      <c r="P18">
        <v>1</v>
      </c>
      <c r="Q18">
        <v>-4.6132539535833299</v>
      </c>
      <c r="R18">
        <v>-4.46477791653846</v>
      </c>
      <c r="S18">
        <v>0</v>
      </c>
      <c r="T18">
        <v>-4.7171100988888801</v>
      </c>
      <c r="U18">
        <v>-4.4366129559999896</v>
      </c>
      <c r="V18">
        <v>0</v>
      </c>
      <c r="W18">
        <v>-5.0964794744444397</v>
      </c>
      <c r="X18">
        <v>-4.7138499569999999</v>
      </c>
      <c r="Y18">
        <v>0</v>
      </c>
      <c r="Z18">
        <v>-4.3764369935714198</v>
      </c>
      <c r="AA18">
        <v>-4.27506527533333</v>
      </c>
      <c r="AB18">
        <v>0</v>
      </c>
      <c r="AC18">
        <v>-4.3826992742307596</v>
      </c>
      <c r="AD18">
        <v>-4.3336902364285699</v>
      </c>
      <c r="AE18">
        <v>0</v>
      </c>
      <c r="AF18">
        <v>-5.3044045799999999</v>
      </c>
      <c r="AG18">
        <v>-5.1122851130769202</v>
      </c>
      <c r="AH18">
        <v>0</v>
      </c>
      <c r="AI18">
        <v>-5.7905768877777701</v>
      </c>
      <c r="AJ18">
        <v>-5.3349265999999904</v>
      </c>
      <c r="AK18">
        <v>0</v>
      </c>
      <c r="AL18">
        <v>-5.9883338777777704</v>
      </c>
      <c r="AM18">
        <v>-5.4860605629999997</v>
      </c>
      <c r="AN18">
        <v>0</v>
      </c>
      <c r="AO18">
        <v>-3.46888181214285</v>
      </c>
      <c r="AP18">
        <v>-3.5510377206666601</v>
      </c>
      <c r="AQ18">
        <v>1</v>
      </c>
      <c r="AR18">
        <v>-3.14818085815384</v>
      </c>
      <c r="AS18">
        <v>-3.2907476957142801</v>
      </c>
      <c r="AT18">
        <v>1</v>
      </c>
      <c r="AU18">
        <v>-3.8236204274999901</v>
      </c>
      <c r="AV18">
        <v>-3.85326894153846</v>
      </c>
      <c r="AW18">
        <v>1</v>
      </c>
      <c r="AX18">
        <v>-3.8091029111111099</v>
      </c>
      <c r="AY18">
        <v>-3.7532937499999899</v>
      </c>
      <c r="AZ18">
        <v>0</v>
      </c>
      <c r="BA18">
        <v>-4.1894739833333299</v>
      </c>
      <c r="BB18">
        <v>-3.9852776399999899</v>
      </c>
      <c r="BC18">
        <v>0</v>
      </c>
      <c r="BD18">
        <v>-4.6907744802857101</v>
      </c>
      <c r="BE18">
        <v>-4.5496548213333297</v>
      </c>
      <c r="BF18">
        <v>0</v>
      </c>
      <c r="BG18">
        <v>-4.5794897935384604</v>
      </c>
      <c r="BH18">
        <v>-4.6532719849999999</v>
      </c>
      <c r="BI18">
        <v>1</v>
      </c>
      <c r="BJ18">
        <v>-5.2029442816666602</v>
      </c>
      <c r="BK18">
        <v>-5.1205725961538402</v>
      </c>
      <c r="BL18">
        <v>0</v>
      </c>
      <c r="BM18">
        <v>-6.1362960744444397</v>
      </c>
      <c r="BN18">
        <v>-5.6960637639999998</v>
      </c>
      <c r="BO18">
        <v>0</v>
      </c>
      <c r="BP18">
        <v>-6.1079838511111104</v>
      </c>
      <c r="BQ18">
        <v>-5.6203456699999998</v>
      </c>
      <c r="BR18">
        <v>0</v>
      </c>
    </row>
    <row r="19" spans="1:70" x14ac:dyDescent="0.35">
      <c r="A19" t="s">
        <v>51</v>
      </c>
      <c r="B19" t="s">
        <v>467</v>
      </c>
      <c r="C19" t="s">
        <v>468</v>
      </c>
      <c r="D19">
        <v>1</v>
      </c>
      <c r="E19" t="s">
        <v>131</v>
      </c>
      <c r="F19" t="str">
        <f>INDEX([1]train_xl!$H:$H,MATCH(E19,[1]train_xl!$G:$G,0))</f>
        <v>the-of</v>
      </c>
      <c r="G19" t="str">
        <f>INDEX([1]train_xl!$I:$I,MATCH(E19,[1]train_xl!$G:$G,0))</f>
        <v>sim</v>
      </c>
      <c r="H19" t="str">
        <f>INDEX([1]train_xl!$V:$V,MATCH(E19,[1]train_xl!$G:$G,0))</f>
        <v>not</v>
      </c>
      <c r="I19" t="str">
        <f>INDEX([2]Sheet1!$L:$L,MATCH(E19,[2]Sheet1!$I:$I,0))</f>
        <v>neg</v>
      </c>
      <c r="K19">
        <v>-3.8931960515714201</v>
      </c>
      <c r="L19">
        <v>-3.4545109310000002</v>
      </c>
      <c r="M19">
        <v>1</v>
      </c>
      <c r="N19">
        <v>-3.9688149314615302</v>
      </c>
      <c r="O19">
        <v>-3.4950774649285701</v>
      </c>
      <c r="P19">
        <v>1</v>
      </c>
      <c r="Q19">
        <v>-4.8126197711666601</v>
      </c>
      <c r="R19">
        <v>-4.1860929503846096</v>
      </c>
      <c r="S19">
        <v>1</v>
      </c>
      <c r="T19">
        <v>-4.36838424888888</v>
      </c>
      <c r="U19">
        <v>-3.8422720479999999</v>
      </c>
      <c r="V19">
        <v>1</v>
      </c>
      <c r="W19">
        <v>-4.6476763299999897</v>
      </c>
      <c r="X19">
        <v>-4.3056134779999997</v>
      </c>
      <c r="Y19">
        <v>1</v>
      </c>
      <c r="Z19">
        <v>-4.4793101935714201</v>
      </c>
      <c r="AA19">
        <v>-3.9800697806666601</v>
      </c>
      <c r="AB19">
        <v>1</v>
      </c>
      <c r="AC19">
        <v>-4.6242874846153796</v>
      </c>
      <c r="AD19">
        <v>-4.0868623702857096</v>
      </c>
      <c r="AE19">
        <v>1</v>
      </c>
      <c r="AF19">
        <v>-5.6664641399999898</v>
      </c>
      <c r="AG19">
        <v>-5.0212897246153796</v>
      </c>
      <c r="AH19">
        <v>1</v>
      </c>
      <c r="AI19">
        <v>-5.2541453633333299</v>
      </c>
      <c r="AJ19">
        <v>-4.7671162609999902</v>
      </c>
      <c r="AK19">
        <v>1</v>
      </c>
      <c r="AL19">
        <v>-5.5260254722222202</v>
      </c>
      <c r="AM19">
        <v>-5.0681209929999902</v>
      </c>
      <c r="AN19">
        <v>1</v>
      </c>
      <c r="AO19">
        <v>-3.5492892785714201</v>
      </c>
      <c r="AP19">
        <v>-3.2443859203333298</v>
      </c>
      <c r="AQ19">
        <v>1</v>
      </c>
      <c r="AR19">
        <v>-3.5635826220000002</v>
      </c>
      <c r="AS19">
        <v>-3.2049523253571399</v>
      </c>
      <c r="AT19">
        <v>1</v>
      </c>
      <c r="AU19">
        <v>-4.3456554679166599</v>
      </c>
      <c r="AV19">
        <v>-3.9538072376922999</v>
      </c>
      <c r="AW19">
        <v>1</v>
      </c>
      <c r="AX19">
        <v>-3.6674464688888802</v>
      </c>
      <c r="AY19">
        <v>-3.372432463</v>
      </c>
      <c r="AZ19">
        <v>1</v>
      </c>
      <c r="BA19">
        <v>-3.8090787822222198</v>
      </c>
      <c r="BB19">
        <v>-3.5617483759999899</v>
      </c>
      <c r="BC19">
        <v>1</v>
      </c>
      <c r="BD19">
        <v>-4.4934067807142801</v>
      </c>
      <c r="BE19">
        <v>-4.0274074373333297</v>
      </c>
      <c r="BF19">
        <v>1</v>
      </c>
      <c r="BG19">
        <v>-4.6201727618461499</v>
      </c>
      <c r="BH19">
        <v>-4.0906714742857098</v>
      </c>
      <c r="BI19">
        <v>1</v>
      </c>
      <c r="BJ19">
        <v>-5.7101729733333304</v>
      </c>
      <c r="BK19">
        <v>-5.0512687999999999</v>
      </c>
      <c r="BL19">
        <v>1</v>
      </c>
      <c r="BM19">
        <v>-5.2809455666666603</v>
      </c>
      <c r="BN19">
        <v>-4.8519870210000002</v>
      </c>
      <c r="BO19">
        <v>1</v>
      </c>
      <c r="BP19">
        <v>-5.7388418888888797</v>
      </c>
      <c r="BQ19">
        <v>-5.2813580900000003</v>
      </c>
      <c r="BR19">
        <v>1</v>
      </c>
    </row>
    <row r="20" spans="1:70" x14ac:dyDescent="0.35">
      <c r="A20" t="s">
        <v>469</v>
      </c>
      <c r="B20" t="s">
        <v>77</v>
      </c>
      <c r="C20" t="s">
        <v>470</v>
      </c>
      <c r="D20">
        <v>0</v>
      </c>
      <c r="E20" t="s">
        <v>132</v>
      </c>
      <c r="F20" t="str">
        <f>INDEX([1]train_xl!$H:$H,MATCH(E20,[1]train_xl!$G:$G,0))</f>
        <v>the-of</v>
      </c>
      <c r="G20" t="str">
        <f>INDEX([1]train_xl!$I:$I,MATCH(E20,[1]train_xl!$G:$G,0))</f>
        <v>sim</v>
      </c>
      <c r="H20" t="str">
        <f>INDEX([1]train_xl!$V:$V,MATCH(E20,[1]train_xl!$G:$G,0))</f>
        <v>not</v>
      </c>
      <c r="I20" t="str">
        <f>INDEX([2]Sheet1!$L:$L,MATCH(E20,[2]Sheet1!$I:$I,0))</f>
        <v>intens</v>
      </c>
      <c r="K20">
        <v>-3.2371365482352901</v>
      </c>
      <c r="L20">
        <v>-3.4496459172222198</v>
      </c>
      <c r="M20">
        <v>1</v>
      </c>
      <c r="N20">
        <v>-3.1678172666875</v>
      </c>
      <c r="O20">
        <v>-3.44587833864705</v>
      </c>
      <c r="P20">
        <v>1</v>
      </c>
      <c r="Q20">
        <v>-3.93893097933333</v>
      </c>
      <c r="R20">
        <v>-4.1687839112500003</v>
      </c>
      <c r="S20">
        <v>1</v>
      </c>
      <c r="T20">
        <v>-3.6116562654166602</v>
      </c>
      <c r="U20">
        <v>-3.5791333792307598</v>
      </c>
      <c r="V20">
        <v>0</v>
      </c>
      <c r="W20">
        <v>-3.7527699154166601</v>
      </c>
      <c r="X20">
        <v>-3.6836389538461498</v>
      </c>
      <c r="Y20">
        <v>0</v>
      </c>
      <c r="Z20">
        <v>-3.75888092941176</v>
      </c>
      <c r="AA20">
        <v>-3.9380824333333302</v>
      </c>
      <c r="AB20">
        <v>1</v>
      </c>
      <c r="AC20">
        <v>-3.7307798118750002</v>
      </c>
      <c r="AD20">
        <v>-3.99579739882352</v>
      </c>
      <c r="AE20">
        <v>1</v>
      </c>
      <c r="AF20">
        <v>-4.5604153053333301</v>
      </c>
      <c r="AG20">
        <v>-4.7564710687499998</v>
      </c>
      <c r="AH20">
        <v>1</v>
      </c>
      <c r="AI20">
        <v>-4.5408857275000001</v>
      </c>
      <c r="AJ20">
        <v>-4.4730848615384602</v>
      </c>
      <c r="AK20">
        <v>0</v>
      </c>
      <c r="AL20">
        <v>-4.8535277458333299</v>
      </c>
      <c r="AM20">
        <v>-4.6665993307692304</v>
      </c>
      <c r="AN20">
        <v>0</v>
      </c>
      <c r="AO20">
        <v>-2.77412998558823</v>
      </c>
      <c r="AP20">
        <v>-3.0012399627777699</v>
      </c>
      <c r="AQ20">
        <v>1</v>
      </c>
      <c r="AR20">
        <v>-2.7555225124999998</v>
      </c>
      <c r="AS20">
        <v>-3.0532713176470501</v>
      </c>
      <c r="AT20">
        <v>1</v>
      </c>
      <c r="AU20">
        <v>-3.3435434546666598</v>
      </c>
      <c r="AV20">
        <v>-3.5471910881249999</v>
      </c>
      <c r="AW20">
        <v>1</v>
      </c>
      <c r="AX20">
        <v>-3.1326717099999999</v>
      </c>
      <c r="AY20">
        <v>-3.3552080833846101</v>
      </c>
      <c r="AZ20">
        <v>1</v>
      </c>
      <c r="BA20">
        <v>-3.27984519916666</v>
      </c>
      <c r="BB20">
        <v>-3.3123794987692299</v>
      </c>
      <c r="BC20">
        <v>1</v>
      </c>
      <c r="BD20">
        <v>-3.94907846411764</v>
      </c>
      <c r="BE20">
        <v>-4.1472094822222196</v>
      </c>
      <c r="BF20">
        <v>1</v>
      </c>
      <c r="BG20">
        <v>-3.9191760181249999</v>
      </c>
      <c r="BH20">
        <v>-4.2121702070588203</v>
      </c>
      <c r="BI20">
        <v>1</v>
      </c>
      <c r="BJ20">
        <v>-4.7232132926666601</v>
      </c>
      <c r="BK20">
        <v>-4.916666506875</v>
      </c>
      <c r="BL20">
        <v>1</v>
      </c>
      <c r="BM20">
        <v>-4.7479783775</v>
      </c>
      <c r="BN20">
        <v>-4.6938144261538399</v>
      </c>
      <c r="BO20">
        <v>0</v>
      </c>
      <c r="BP20">
        <v>-5.0543033391666601</v>
      </c>
      <c r="BQ20">
        <v>-4.9251830007692297</v>
      </c>
      <c r="BR20">
        <v>0</v>
      </c>
    </row>
    <row r="21" spans="1:70" x14ac:dyDescent="0.35">
      <c r="A21" t="s">
        <v>471</v>
      </c>
      <c r="B21" t="s">
        <v>77</v>
      </c>
      <c r="C21" t="s">
        <v>470</v>
      </c>
      <c r="D21">
        <v>1</v>
      </c>
      <c r="E21" t="s">
        <v>133</v>
      </c>
      <c r="F21" t="str">
        <f>INDEX([1]train_xl!$H:$H,MATCH(E21,[1]train_xl!$G:$G,0))</f>
        <v>the-of</v>
      </c>
      <c r="G21" t="str">
        <f>INDEX([1]train_xl!$I:$I,MATCH(E21,[1]train_xl!$G:$G,0))</f>
        <v>sim</v>
      </c>
      <c r="H21" t="str">
        <f>INDEX([1]train_xl!$V:$V,MATCH(E21,[1]train_xl!$G:$G,0))</f>
        <v>not</v>
      </c>
      <c r="I21" t="str">
        <f>INDEX([2]Sheet1!$L:$L,MATCH(E21,[2]Sheet1!$I:$I,0))</f>
        <v>neg</v>
      </c>
      <c r="K21">
        <v>-3.74019788594117</v>
      </c>
      <c r="L21">
        <v>-3.3800600189166601</v>
      </c>
      <c r="M21">
        <v>1</v>
      </c>
      <c r="N21">
        <v>-3.6827956567187399</v>
      </c>
      <c r="O21">
        <v>-3.26454948623529</v>
      </c>
      <c r="P21">
        <v>1</v>
      </c>
      <c r="Q21">
        <v>-4.5741374623333302</v>
      </c>
      <c r="R21">
        <v>-4.0816219162812502</v>
      </c>
      <c r="S21">
        <v>1</v>
      </c>
      <c r="T21">
        <v>-4.1409824432500004</v>
      </c>
      <c r="U21">
        <v>-3.7705707033076901</v>
      </c>
      <c r="V21">
        <v>1</v>
      </c>
      <c r="W21">
        <v>-4.3063103382500003</v>
      </c>
      <c r="X21">
        <v>-3.8688232579230699</v>
      </c>
      <c r="Y21">
        <v>1</v>
      </c>
      <c r="Z21">
        <v>-4.7398435605882296</v>
      </c>
      <c r="AA21">
        <v>-4.1244390099999997</v>
      </c>
      <c r="AB21">
        <v>1</v>
      </c>
      <c r="AC21">
        <v>-4.4291226512499904</v>
      </c>
      <c r="AD21">
        <v>-4.0661780876470504</v>
      </c>
      <c r="AE21">
        <v>1</v>
      </c>
      <c r="AF21">
        <v>-5.2225800753333296</v>
      </c>
      <c r="AG21">
        <v>-4.8776211912500003</v>
      </c>
      <c r="AH21">
        <v>1</v>
      </c>
      <c r="AI21">
        <v>-5.2656824024999898</v>
      </c>
      <c r="AJ21">
        <v>-4.7555780153846099</v>
      </c>
      <c r="AK21">
        <v>1</v>
      </c>
      <c r="AL21">
        <v>-5.5054242408333298</v>
      </c>
      <c r="AM21">
        <v>-4.9910839615384601</v>
      </c>
      <c r="AN21">
        <v>1</v>
      </c>
      <c r="AO21">
        <v>-3.5103819134117602</v>
      </c>
      <c r="AP21">
        <v>-3.1885523680555501</v>
      </c>
      <c r="AQ21">
        <v>1</v>
      </c>
      <c r="AR21">
        <v>-3.5131259803124899</v>
      </c>
      <c r="AS21">
        <v>-3.1823678269411699</v>
      </c>
      <c r="AT21">
        <v>1</v>
      </c>
      <c r="AU21">
        <v>-4.2108662826666601</v>
      </c>
      <c r="AV21">
        <v>-3.8421833465624902</v>
      </c>
      <c r="AW21">
        <v>1</v>
      </c>
      <c r="AX21">
        <v>-4.04474077583333</v>
      </c>
      <c r="AY21">
        <v>-3.55073001107692</v>
      </c>
      <c r="AZ21">
        <v>1</v>
      </c>
      <c r="BA21">
        <v>-4.0877439866666601</v>
      </c>
      <c r="BB21">
        <v>-3.7407406956922999</v>
      </c>
      <c r="BC21">
        <v>1</v>
      </c>
      <c r="BD21">
        <v>-4.4942579629411696</v>
      </c>
      <c r="BE21">
        <v>-4.1274823749999996</v>
      </c>
      <c r="BF21">
        <v>1</v>
      </c>
      <c r="BG21">
        <v>-4.4650987999999998</v>
      </c>
      <c r="BH21">
        <v>-4.0999085188235203</v>
      </c>
      <c r="BI21">
        <v>1</v>
      </c>
      <c r="BJ21">
        <v>-5.3412214939999902</v>
      </c>
      <c r="BK21">
        <v>-4.9488701031250004</v>
      </c>
      <c r="BL21">
        <v>1</v>
      </c>
      <c r="BM21">
        <v>-5.3147203258333304</v>
      </c>
      <c r="BN21">
        <v>-4.7749701884615297</v>
      </c>
      <c r="BO21">
        <v>1</v>
      </c>
      <c r="BP21">
        <v>-5.5259340958333301</v>
      </c>
      <c r="BQ21">
        <v>-5.0255873169230698</v>
      </c>
      <c r="BR21">
        <v>1</v>
      </c>
    </row>
    <row r="22" spans="1:70" x14ac:dyDescent="0.35">
      <c r="A22" t="s">
        <v>472</v>
      </c>
      <c r="B22" t="s">
        <v>473</v>
      </c>
      <c r="C22" t="s">
        <v>474</v>
      </c>
      <c r="D22">
        <v>0</v>
      </c>
      <c r="E22" t="s">
        <v>134</v>
      </c>
      <c r="F22" t="str">
        <f>INDEX([1]train_xl!$H:$H,MATCH(E22,[1]train_xl!$G:$G,0))</f>
        <v>the-of</v>
      </c>
      <c r="G22" t="str">
        <f>INDEX([1]train_xl!$I:$I,MATCH(E22,[1]train_xl!$G:$G,0))</f>
        <v>sim</v>
      </c>
      <c r="H22" t="str">
        <f>INDEX([1]train_xl!$V:$V,MATCH(E22,[1]train_xl!$G:$G,0))</f>
        <v>not</v>
      </c>
      <c r="I22" t="str">
        <f>INDEX([2]Sheet1!$L:$L,MATCH(E22,[2]Sheet1!$I:$I,0))</f>
        <v>intens</v>
      </c>
      <c r="K22">
        <v>-3.8303968449527699</v>
      </c>
      <c r="L22">
        <v>-3.7024008884574902</v>
      </c>
      <c r="M22">
        <v>0</v>
      </c>
      <c r="N22">
        <v>-3.8950662107682299</v>
      </c>
      <c r="O22">
        <v>-3.8295587821084198</v>
      </c>
      <c r="P22">
        <v>0</v>
      </c>
      <c r="Q22">
        <v>-4.7380703730318698</v>
      </c>
      <c r="R22">
        <v>-4.50425312825055</v>
      </c>
      <c r="S22">
        <v>0</v>
      </c>
      <c r="T22">
        <v>-4.7216456905561497</v>
      </c>
      <c r="U22">
        <v>-4.296386802482</v>
      </c>
      <c r="V22">
        <v>0</v>
      </c>
      <c r="W22">
        <v>-4.8910752456538402</v>
      </c>
      <c r="X22">
        <v>-4.4649019005666597</v>
      </c>
      <c r="Y22">
        <v>0</v>
      </c>
      <c r="Z22">
        <v>-3.8145984875299899</v>
      </c>
      <c r="AA22">
        <v>-3.63877978693499</v>
      </c>
      <c r="AB22">
        <v>0</v>
      </c>
      <c r="AC22">
        <v>-3.9288975212176398</v>
      </c>
      <c r="AD22">
        <v>-3.8378024481420998</v>
      </c>
      <c r="AE22">
        <v>0</v>
      </c>
      <c r="AF22">
        <v>-4.8139716023750001</v>
      </c>
      <c r="AG22">
        <v>-4.6105383215555502</v>
      </c>
      <c r="AH22">
        <v>0</v>
      </c>
      <c r="AI22">
        <v>-4.5366679222384603</v>
      </c>
      <c r="AJ22">
        <v>-4.2903947859399896</v>
      </c>
      <c r="AK22">
        <v>0</v>
      </c>
      <c r="AL22">
        <v>-4.76756713916153</v>
      </c>
      <c r="AM22">
        <v>-4.4298731666066598</v>
      </c>
      <c r="AN22">
        <v>0</v>
      </c>
      <c r="AO22">
        <v>-2.7599566155333299</v>
      </c>
      <c r="AP22">
        <v>-2.7031985224799899</v>
      </c>
      <c r="AQ22">
        <v>0</v>
      </c>
      <c r="AR22">
        <v>-2.7779054263352898</v>
      </c>
      <c r="AS22">
        <v>-2.74348560970421</v>
      </c>
      <c r="AT22">
        <v>0</v>
      </c>
      <c r="AU22">
        <v>-3.3129462776143699</v>
      </c>
      <c r="AV22">
        <v>-3.2182067128794398</v>
      </c>
      <c r="AW22">
        <v>0</v>
      </c>
      <c r="AX22">
        <v>-3.2709314897692301</v>
      </c>
      <c r="AY22">
        <v>-2.9279069378</v>
      </c>
      <c r="AZ22">
        <v>0</v>
      </c>
      <c r="BA22">
        <v>-3.2934202780153798</v>
      </c>
      <c r="BB22">
        <v>-3.0759733062799901</v>
      </c>
      <c r="BC22">
        <v>0</v>
      </c>
      <c r="BD22">
        <v>-3.86165177350555</v>
      </c>
      <c r="BE22">
        <v>-3.7534125415325001</v>
      </c>
      <c r="BF22">
        <v>0</v>
      </c>
      <c r="BG22">
        <v>-4.0389696039735199</v>
      </c>
      <c r="BH22">
        <v>-3.9555299198710498</v>
      </c>
      <c r="BI22">
        <v>0</v>
      </c>
      <c r="BJ22">
        <v>-4.8784623221087404</v>
      </c>
      <c r="BK22">
        <v>-4.7202912729855502</v>
      </c>
      <c r="BL22">
        <v>0</v>
      </c>
      <c r="BM22">
        <v>-4.6537162068692304</v>
      </c>
      <c r="BN22">
        <v>-4.4184249546199998</v>
      </c>
      <c r="BO22">
        <v>0</v>
      </c>
      <c r="BP22">
        <v>-4.9706681860230697</v>
      </c>
      <c r="BQ22">
        <v>-4.6516595520399999</v>
      </c>
      <c r="BR22">
        <v>0</v>
      </c>
    </row>
    <row r="23" spans="1:70" x14ac:dyDescent="0.35">
      <c r="A23" t="s">
        <v>475</v>
      </c>
      <c r="B23" t="s">
        <v>473</v>
      </c>
      <c r="C23" t="s">
        <v>474</v>
      </c>
      <c r="D23">
        <v>1</v>
      </c>
      <c r="E23" t="s">
        <v>135</v>
      </c>
      <c r="F23" t="str">
        <f>INDEX([1]train_xl!$H:$H,MATCH(E23,[1]train_xl!$G:$G,0))</f>
        <v>the-of</v>
      </c>
      <c r="G23" t="str">
        <f>INDEX([1]train_xl!$I:$I,MATCH(E23,[1]train_xl!$G:$G,0))</f>
        <v>sim</v>
      </c>
      <c r="H23" t="str">
        <f>INDEX([1]train_xl!$V:$V,MATCH(E23,[1]train_xl!$G:$G,0))</f>
        <v>not</v>
      </c>
      <c r="I23" t="str">
        <f>INDEX([2]Sheet1!$L:$L,MATCH(E23,[2]Sheet1!$I:$I,0))</f>
        <v>neg</v>
      </c>
      <c r="K23">
        <v>-4.1268802679499998</v>
      </c>
      <c r="L23">
        <v>-3.5879518441549898</v>
      </c>
      <c r="M23">
        <v>1</v>
      </c>
      <c r="N23">
        <v>-4.3669968159058801</v>
      </c>
      <c r="O23">
        <v>-3.75519317702105</v>
      </c>
      <c r="P23">
        <v>1</v>
      </c>
      <c r="Q23">
        <v>-5.28002693770937</v>
      </c>
      <c r="R23">
        <v>-4.3813174368527701</v>
      </c>
      <c r="S23">
        <v>1</v>
      </c>
      <c r="T23">
        <v>-5.0491077248153804</v>
      </c>
      <c r="U23">
        <v>-4.37121763150666</v>
      </c>
      <c r="V23">
        <v>1</v>
      </c>
      <c r="W23">
        <v>-5.1679197061092301</v>
      </c>
      <c r="X23">
        <v>-4.5831002688946603</v>
      </c>
      <c r="Y23">
        <v>1</v>
      </c>
      <c r="Z23">
        <v>-4.0838668518944399</v>
      </c>
      <c r="AA23">
        <v>-3.469276764705</v>
      </c>
      <c r="AB23">
        <v>1</v>
      </c>
      <c r="AC23">
        <v>-4.2826219774264702</v>
      </c>
      <c r="AD23">
        <v>-3.66959736927631</v>
      </c>
      <c r="AE23">
        <v>1</v>
      </c>
      <c r="AF23">
        <v>-5.19732575636875</v>
      </c>
      <c r="AG23">
        <v>-4.3930588289944401</v>
      </c>
      <c r="AH23">
        <v>1</v>
      </c>
      <c r="AI23">
        <v>-4.7785356338769196</v>
      </c>
      <c r="AJ23">
        <v>-4.2776253546933303</v>
      </c>
      <c r="AK23">
        <v>1</v>
      </c>
      <c r="AL23">
        <v>-5.0282945930538396</v>
      </c>
      <c r="AM23">
        <v>-4.4969121873133302</v>
      </c>
      <c r="AN23">
        <v>1</v>
      </c>
      <c r="AO23">
        <v>-3.26484919443166</v>
      </c>
      <c r="AP23">
        <v>-2.6684538074885</v>
      </c>
      <c r="AQ23">
        <v>1</v>
      </c>
      <c r="AR23">
        <v>-3.2674206291146999</v>
      </c>
      <c r="AS23">
        <v>-2.72039191676736</v>
      </c>
      <c r="AT23">
        <v>1</v>
      </c>
      <c r="AU23">
        <v>-3.90211555320781</v>
      </c>
      <c r="AV23">
        <v>-3.2968951471847201</v>
      </c>
      <c r="AW23">
        <v>1</v>
      </c>
      <c r="AX23">
        <v>-3.7117207654615298</v>
      </c>
      <c r="AY23">
        <v>-3.1427030427333298</v>
      </c>
      <c r="AZ23">
        <v>1</v>
      </c>
      <c r="BA23">
        <v>-3.7816491292307601</v>
      </c>
      <c r="BB23">
        <v>-3.2825944354000001</v>
      </c>
      <c r="BC23">
        <v>1</v>
      </c>
      <c r="BD23">
        <v>-4.2057830251499997</v>
      </c>
      <c r="BE23">
        <v>-3.5790063181349998</v>
      </c>
      <c r="BF23">
        <v>1</v>
      </c>
      <c r="BG23">
        <v>-4.3821506898823497</v>
      </c>
      <c r="BH23">
        <v>-3.8017462694736799</v>
      </c>
      <c r="BI23">
        <v>1</v>
      </c>
      <c r="BJ23">
        <v>-5.2032864611456198</v>
      </c>
      <c r="BK23">
        <v>-4.4850937749072202</v>
      </c>
      <c r="BL23">
        <v>1</v>
      </c>
      <c r="BM23">
        <v>-4.9559635849769199</v>
      </c>
      <c r="BN23">
        <v>-4.4525587423133297</v>
      </c>
      <c r="BO23">
        <v>1</v>
      </c>
      <c r="BP23">
        <v>-5.1289212672692299</v>
      </c>
      <c r="BQ23">
        <v>-4.6425978749199901</v>
      </c>
      <c r="BR23">
        <v>1</v>
      </c>
    </row>
    <row r="24" spans="1:70" x14ac:dyDescent="0.35">
      <c r="A24" t="s">
        <v>476</v>
      </c>
      <c r="B24" t="s">
        <v>477</v>
      </c>
      <c r="C24" t="s">
        <v>478</v>
      </c>
      <c r="D24">
        <v>0</v>
      </c>
      <c r="E24" t="s">
        <v>136</v>
      </c>
      <c r="F24" t="str">
        <f>INDEX([1]train_xl!$H:$H,MATCH(E24,[1]train_xl!$G:$G,0))</f>
        <v>the-of</v>
      </c>
      <c r="G24" t="str">
        <f>INDEX([1]train_xl!$I:$I,MATCH(E24,[1]train_xl!$G:$G,0))</f>
        <v>sim</v>
      </c>
      <c r="H24" t="str">
        <f>INDEX([1]train_xl!$V:$V,MATCH(E24,[1]train_xl!$G:$G,0))</f>
        <v>not</v>
      </c>
      <c r="I24" t="str">
        <f>INDEX([2]Sheet1!$L:$L,MATCH(E24,[2]Sheet1!$I:$I,0))</f>
        <v>intens</v>
      </c>
      <c r="K24">
        <v>-3.7469307347857099</v>
      </c>
      <c r="L24">
        <v>-3.9610914445000001</v>
      </c>
      <c r="M24">
        <v>1</v>
      </c>
      <c r="N24">
        <v>-3.62205213099999</v>
      </c>
      <c r="O24">
        <v>-3.93748804419999</v>
      </c>
      <c r="P24">
        <v>1</v>
      </c>
      <c r="Q24">
        <v>-4.4998480028333301</v>
      </c>
      <c r="R24">
        <v>-4.6909735995714197</v>
      </c>
      <c r="S24">
        <v>1</v>
      </c>
      <c r="T24">
        <v>-4.3856228411111102</v>
      </c>
      <c r="U24">
        <v>-4.63899863181818</v>
      </c>
      <c r="V24">
        <v>1</v>
      </c>
      <c r="W24">
        <v>-4.8903197277777704</v>
      </c>
      <c r="X24">
        <v>-4.8648965500000001</v>
      </c>
      <c r="Y24">
        <v>0</v>
      </c>
      <c r="Z24">
        <v>-4.6150268285714198</v>
      </c>
      <c r="AA24">
        <v>-4.3774492331249997</v>
      </c>
      <c r="AB24">
        <v>0</v>
      </c>
      <c r="AC24">
        <v>-4.3740181971538403</v>
      </c>
      <c r="AD24">
        <v>-4.5698781520000002</v>
      </c>
      <c r="AE24">
        <v>1</v>
      </c>
      <c r="AF24">
        <v>-5.7660848250000001</v>
      </c>
      <c r="AG24">
        <v>-5.4608081871428498</v>
      </c>
      <c r="AH24">
        <v>0</v>
      </c>
      <c r="AI24">
        <v>-6.0207878222222204</v>
      </c>
      <c r="AJ24">
        <v>-5.7270536572727204</v>
      </c>
      <c r="AK24">
        <v>0</v>
      </c>
      <c r="AL24">
        <v>-6.4594162777777697</v>
      </c>
      <c r="AM24">
        <v>-5.9006404363636298</v>
      </c>
      <c r="AN24">
        <v>0</v>
      </c>
      <c r="AO24">
        <v>-3.5430062302857102</v>
      </c>
      <c r="AP24">
        <v>-3.5269100224999899</v>
      </c>
      <c r="AQ24">
        <v>0</v>
      </c>
      <c r="AR24">
        <v>-3.2488893196153801</v>
      </c>
      <c r="AS24">
        <v>-3.4086295697333302</v>
      </c>
      <c r="AT24">
        <v>1</v>
      </c>
      <c r="AU24">
        <v>-3.9340817024999901</v>
      </c>
      <c r="AV24">
        <v>-3.9556925079999998</v>
      </c>
      <c r="AW24">
        <v>1</v>
      </c>
      <c r="AX24">
        <v>-4.1075004888888902</v>
      </c>
      <c r="AY24">
        <v>-4.0569903518181798</v>
      </c>
      <c r="AZ24">
        <v>0</v>
      </c>
      <c r="BA24">
        <v>-4.4523577111111097</v>
      </c>
      <c r="BB24">
        <v>-4.1478665863636301</v>
      </c>
      <c r="BC24">
        <v>0</v>
      </c>
      <c r="BD24">
        <v>-4.3969536242857101</v>
      </c>
      <c r="BE24">
        <v>-4.3459517827500003</v>
      </c>
      <c r="BF24">
        <v>0</v>
      </c>
      <c r="BG24">
        <v>-4.3837286436153802</v>
      </c>
      <c r="BH24">
        <v>-4.3869921857999996</v>
      </c>
      <c r="BI24">
        <v>1</v>
      </c>
      <c r="BJ24">
        <v>-5.4347324774999901</v>
      </c>
      <c r="BK24">
        <v>-5.2483020399999898</v>
      </c>
      <c r="BL24">
        <v>0</v>
      </c>
      <c r="BM24">
        <v>-5.6569684488888798</v>
      </c>
      <c r="BN24">
        <v>-5.4066104981818102</v>
      </c>
      <c r="BO24">
        <v>0</v>
      </c>
      <c r="BP24">
        <v>-6.1547693111111101</v>
      </c>
      <c r="BQ24">
        <v>-5.5943079909090896</v>
      </c>
      <c r="BR24">
        <v>0</v>
      </c>
    </row>
    <row r="25" spans="1:70" x14ac:dyDescent="0.35">
      <c r="A25" t="s">
        <v>479</v>
      </c>
      <c r="B25" t="s">
        <v>477</v>
      </c>
      <c r="C25" t="s">
        <v>478</v>
      </c>
      <c r="D25">
        <v>1</v>
      </c>
      <c r="E25" t="s">
        <v>137</v>
      </c>
      <c r="F25" t="str">
        <f>INDEX([1]train_xl!$H:$H,MATCH(E25,[1]train_xl!$G:$G,0))</f>
        <v>the-of</v>
      </c>
      <c r="G25" t="str">
        <f>INDEX([1]train_xl!$I:$I,MATCH(E25,[1]train_xl!$G:$G,0))</f>
        <v>sim</v>
      </c>
      <c r="H25" t="str">
        <f>INDEX([1]train_xl!$V:$V,MATCH(E25,[1]train_xl!$G:$G,0))</f>
        <v>not</v>
      </c>
      <c r="I25" t="str">
        <f>INDEX([2]Sheet1!$L:$L,MATCH(E25,[2]Sheet1!$I:$I,0))</f>
        <v>neg</v>
      </c>
      <c r="K25">
        <v>-4.1980987591214198</v>
      </c>
      <c r="L25">
        <v>-3.8531291638749998</v>
      </c>
      <c r="M25">
        <v>1</v>
      </c>
      <c r="N25">
        <v>-4.1792069906153797</v>
      </c>
      <c r="O25">
        <v>-3.8627272251999898</v>
      </c>
      <c r="P25">
        <v>1</v>
      </c>
      <c r="Q25">
        <v>-5.1152897389166601</v>
      </c>
      <c r="R25">
        <v>-4.5656236219285704</v>
      </c>
      <c r="S25">
        <v>1</v>
      </c>
      <c r="T25">
        <v>-5.4332913622222199</v>
      </c>
      <c r="U25">
        <v>-4.72178119454545</v>
      </c>
      <c r="V25">
        <v>1</v>
      </c>
      <c r="W25">
        <v>-5.9840624555555504</v>
      </c>
      <c r="X25">
        <v>-5.2177548009090904</v>
      </c>
      <c r="Y25">
        <v>1</v>
      </c>
      <c r="Z25">
        <v>-5.1682887375714204</v>
      </c>
      <c r="AA25">
        <v>-4.3607401959374901</v>
      </c>
      <c r="AB25">
        <v>1</v>
      </c>
      <c r="AC25">
        <v>-4.7947913131538398</v>
      </c>
      <c r="AD25">
        <v>-4.6637334181999996</v>
      </c>
      <c r="AE25">
        <v>1</v>
      </c>
      <c r="AF25">
        <v>-6.4059189224999997</v>
      </c>
      <c r="AG25">
        <v>-5.4861111764285697</v>
      </c>
      <c r="AH25">
        <v>1</v>
      </c>
      <c r="AI25">
        <v>-6.9524932477777703</v>
      </c>
      <c r="AJ25">
        <v>-5.90949698818181</v>
      </c>
      <c r="AK25">
        <v>1</v>
      </c>
      <c r="AL25">
        <v>-7.3489575</v>
      </c>
      <c r="AM25">
        <v>-6.3067678054545402</v>
      </c>
      <c r="AN25">
        <v>1</v>
      </c>
      <c r="AO25">
        <v>-3.9725871449999999</v>
      </c>
      <c r="AP25">
        <v>-3.5589619659374998</v>
      </c>
      <c r="AQ25">
        <v>1</v>
      </c>
      <c r="AR25">
        <v>-4.08708458723076</v>
      </c>
      <c r="AS25">
        <v>-3.6045220806666598</v>
      </c>
      <c r="AT25">
        <v>1</v>
      </c>
      <c r="AU25">
        <v>-4.9926977291666601</v>
      </c>
      <c r="AV25">
        <v>-4.2909495699999898</v>
      </c>
      <c r="AW25">
        <v>1</v>
      </c>
      <c r="AX25">
        <v>-5.1740640400000002</v>
      </c>
      <c r="AY25">
        <v>-4.30890148090909</v>
      </c>
      <c r="AZ25">
        <v>1</v>
      </c>
      <c r="BA25">
        <v>-5.53863203777777</v>
      </c>
      <c r="BB25">
        <v>-4.7428898899999998</v>
      </c>
      <c r="BC25">
        <v>1</v>
      </c>
      <c r="BD25">
        <v>-4.9414574447142803</v>
      </c>
      <c r="BE25">
        <v>-4.3653555075000003</v>
      </c>
      <c r="BF25">
        <v>1</v>
      </c>
      <c r="BG25">
        <v>-5.06711154153846</v>
      </c>
      <c r="BH25">
        <v>-4.4739127866666601</v>
      </c>
      <c r="BI25">
        <v>1</v>
      </c>
      <c r="BJ25">
        <v>-6.0628126183333304</v>
      </c>
      <c r="BK25">
        <v>-5.2183894385714202</v>
      </c>
      <c r="BL25">
        <v>1</v>
      </c>
      <c r="BM25">
        <v>-6.5787506555555497</v>
      </c>
      <c r="BN25">
        <v>-5.5774800772727202</v>
      </c>
      <c r="BO25">
        <v>1</v>
      </c>
      <c r="BP25">
        <v>-7.0346390888888903</v>
      </c>
      <c r="BQ25">
        <v>-6.0228810118181801</v>
      </c>
      <c r="BR25">
        <v>1</v>
      </c>
    </row>
    <row r="26" spans="1:70" x14ac:dyDescent="0.35">
      <c r="A26" t="s">
        <v>480</v>
      </c>
      <c r="B26" t="s">
        <v>481</v>
      </c>
      <c r="C26" t="s">
        <v>482</v>
      </c>
      <c r="D26">
        <v>0</v>
      </c>
      <c r="E26" t="s">
        <v>138</v>
      </c>
      <c r="F26" t="str">
        <f>INDEX([1]train_xl!$H:$H,MATCH(E26,[1]train_xl!$G:$G,0))</f>
        <v>as-as</v>
      </c>
      <c r="G26" t="str">
        <f>INDEX([1]train_xl!$I:$I,MATCH(E26,[1]train_xl!$G:$G,0))</f>
        <v>sim</v>
      </c>
      <c r="H26" t="str">
        <f>INDEX([1]train_xl!$V:$V,MATCH(E26,[1]train_xl!$G:$G,0))</f>
        <v>not</v>
      </c>
      <c r="I26" t="str">
        <f>INDEX([2]Sheet1!$L:$L,MATCH(E26,[2]Sheet1!$I:$I,0))</f>
        <v>intens</v>
      </c>
      <c r="K26">
        <v>-3.5018279593333301</v>
      </c>
      <c r="L26">
        <v>-3.6852502150437498</v>
      </c>
      <c r="M26">
        <v>1</v>
      </c>
      <c r="N26">
        <v>-3.6038696663571401</v>
      </c>
      <c r="O26">
        <v>-3.8755359525999999</v>
      </c>
      <c r="P26">
        <v>1</v>
      </c>
      <c r="Q26">
        <v>-4.4835546603076901</v>
      </c>
      <c r="R26">
        <v>-4.8262871174285698</v>
      </c>
      <c r="S26">
        <v>1</v>
      </c>
      <c r="T26">
        <v>-4.4902727546000003</v>
      </c>
      <c r="U26">
        <v>-4.4534746308181798</v>
      </c>
      <c r="V26">
        <v>0</v>
      </c>
      <c r="W26">
        <v>-4.80690478</v>
      </c>
      <c r="X26">
        <v>-4.7446223799999903</v>
      </c>
      <c r="Y26">
        <v>0</v>
      </c>
      <c r="Z26">
        <v>-4.0256902916600001</v>
      </c>
      <c r="AA26">
        <v>-3.94760595389375</v>
      </c>
      <c r="AB26">
        <v>0</v>
      </c>
      <c r="AC26">
        <v>-3.8229909885714202</v>
      </c>
      <c r="AD26">
        <v>-4.1409257406666597</v>
      </c>
      <c r="AE26">
        <v>1</v>
      </c>
      <c r="AF26">
        <v>-4.50936819230769</v>
      </c>
      <c r="AG26">
        <v>-4.7749728457142799</v>
      </c>
      <c r="AH26">
        <v>1</v>
      </c>
      <c r="AI26">
        <v>-4.8455084253999896</v>
      </c>
      <c r="AJ26">
        <v>-4.7960329799999997</v>
      </c>
      <c r="AK26">
        <v>0</v>
      </c>
      <c r="AL26">
        <v>-5.0393606429999904</v>
      </c>
      <c r="AM26">
        <v>-4.97441039272727</v>
      </c>
      <c r="AN26">
        <v>0</v>
      </c>
      <c r="AO26">
        <v>-2.9162801441333301</v>
      </c>
      <c r="AP26">
        <v>-3.1013590794375001</v>
      </c>
      <c r="AQ26">
        <v>1</v>
      </c>
      <c r="AR26">
        <v>-2.9399180128571398</v>
      </c>
      <c r="AS26">
        <v>-3.1361672469333302</v>
      </c>
      <c r="AT26">
        <v>1</v>
      </c>
      <c r="AU26">
        <v>-3.5687968273076902</v>
      </c>
      <c r="AV26">
        <v>-3.7264472714285701</v>
      </c>
      <c r="AW26">
        <v>1</v>
      </c>
      <c r="AX26">
        <v>-3.6873320949999902</v>
      </c>
      <c r="AY26">
        <v>-3.7889675381818102</v>
      </c>
      <c r="AZ26">
        <v>1</v>
      </c>
      <c r="BA26">
        <v>-3.8739946519999902</v>
      </c>
      <c r="BB26">
        <v>-3.9245947218181798</v>
      </c>
      <c r="BC26">
        <v>1</v>
      </c>
      <c r="BD26">
        <v>-3.8125023092666601</v>
      </c>
      <c r="BE26">
        <v>-3.9735865325937501</v>
      </c>
      <c r="BF26">
        <v>1</v>
      </c>
      <c r="BG26">
        <v>-3.8915053392857102</v>
      </c>
      <c r="BH26">
        <v>-4.3106181946666604</v>
      </c>
      <c r="BI26">
        <v>1</v>
      </c>
      <c r="BJ26">
        <v>-4.6042888615384596</v>
      </c>
      <c r="BK26">
        <v>-4.9652557807142799</v>
      </c>
      <c r="BL26">
        <v>1</v>
      </c>
      <c r="BM26">
        <v>-4.9231877563999902</v>
      </c>
      <c r="BN26">
        <v>-4.8963733603636301</v>
      </c>
      <c r="BO26">
        <v>0</v>
      </c>
      <c r="BP26">
        <v>-5.2555497669999998</v>
      </c>
      <c r="BQ26">
        <v>-5.1339186490908997</v>
      </c>
      <c r="BR26">
        <v>0</v>
      </c>
    </row>
    <row r="27" spans="1:70" x14ac:dyDescent="0.35">
      <c r="A27" t="s">
        <v>483</v>
      </c>
      <c r="B27" t="s">
        <v>481</v>
      </c>
      <c r="C27" t="s">
        <v>482</v>
      </c>
      <c r="D27">
        <v>1</v>
      </c>
      <c r="E27" t="s">
        <v>139</v>
      </c>
      <c r="F27" t="str">
        <f>INDEX([1]train_xl!$H:$H,MATCH(E27,[1]train_xl!$G:$G,0))</f>
        <v>as-as</v>
      </c>
      <c r="G27" t="str">
        <f>INDEX([1]train_xl!$I:$I,MATCH(E27,[1]train_xl!$G:$G,0))</f>
        <v>sim</v>
      </c>
      <c r="H27" t="str">
        <f>INDEX([1]train_xl!$V:$V,MATCH(E27,[1]train_xl!$G:$G,0))</f>
        <v>not</v>
      </c>
      <c r="I27" t="str">
        <f>INDEX([2]Sheet1!$L:$L,MATCH(E27,[2]Sheet1!$I:$I,0))</f>
        <v>neg</v>
      </c>
      <c r="K27">
        <v>-3.71613919505333</v>
      </c>
      <c r="L27">
        <v>-3.12392512476249</v>
      </c>
      <c r="M27">
        <v>1</v>
      </c>
      <c r="N27">
        <v>-3.9027845967142798</v>
      </c>
      <c r="O27">
        <v>-3.2894042341666601</v>
      </c>
      <c r="P27">
        <v>1</v>
      </c>
      <c r="Q27">
        <v>-4.7256790000000004</v>
      </c>
      <c r="R27">
        <v>-3.9203362609285701</v>
      </c>
      <c r="S27">
        <v>1</v>
      </c>
      <c r="T27">
        <v>-4.4575892583999996</v>
      </c>
      <c r="U27">
        <v>-3.9652891636363599</v>
      </c>
      <c r="V27">
        <v>1</v>
      </c>
      <c r="W27">
        <v>-4.5928496780000003</v>
      </c>
      <c r="X27">
        <v>-4.1857403654545404</v>
      </c>
      <c r="Y27">
        <v>1</v>
      </c>
      <c r="Z27">
        <v>-4.0264312630400001</v>
      </c>
      <c r="AA27">
        <v>-3.4502293231499999</v>
      </c>
      <c r="AB27">
        <v>1</v>
      </c>
      <c r="AC27">
        <v>-4.2634943152857101</v>
      </c>
      <c r="AD27">
        <v>-3.75938420026666</v>
      </c>
      <c r="AE27">
        <v>1</v>
      </c>
      <c r="AF27">
        <v>-4.9295202638461504</v>
      </c>
      <c r="AG27">
        <v>-4.2130765528571397</v>
      </c>
      <c r="AH27">
        <v>1</v>
      </c>
      <c r="AI27">
        <v>-5.0096691129999904</v>
      </c>
      <c r="AJ27">
        <v>-4.5428376118181797</v>
      </c>
      <c r="AK27">
        <v>1</v>
      </c>
      <c r="AL27">
        <v>-5.0511322259999902</v>
      </c>
      <c r="AM27">
        <v>-4.7030663999999902</v>
      </c>
      <c r="AN27">
        <v>1</v>
      </c>
      <c r="AO27">
        <v>-3.10378744773333</v>
      </c>
      <c r="AP27">
        <v>-2.6584088441874898</v>
      </c>
      <c r="AQ27">
        <v>1</v>
      </c>
      <c r="AR27">
        <v>-3.18383206642857</v>
      </c>
      <c r="AS27">
        <v>-2.7382909579999901</v>
      </c>
      <c r="AT27">
        <v>1</v>
      </c>
      <c r="AU27">
        <v>-3.9277993192307599</v>
      </c>
      <c r="AV27">
        <v>-3.3887348835714199</v>
      </c>
      <c r="AW27">
        <v>1</v>
      </c>
      <c r="AX27">
        <v>-3.8145372389999999</v>
      </c>
      <c r="AY27">
        <v>-3.5672155390908999</v>
      </c>
      <c r="AZ27">
        <v>1</v>
      </c>
      <c r="BA27">
        <v>-4.119362228</v>
      </c>
      <c r="BB27">
        <v>-3.7957670145454498</v>
      </c>
      <c r="BC27">
        <v>1</v>
      </c>
      <c r="BD27">
        <v>-4.1145444279333301</v>
      </c>
      <c r="BE27">
        <v>-3.5012343078124899</v>
      </c>
      <c r="BF27">
        <v>1</v>
      </c>
      <c r="BG27">
        <v>-4.4052839796428502</v>
      </c>
      <c r="BH27">
        <v>-3.8104822760000001</v>
      </c>
      <c r="BI27">
        <v>1</v>
      </c>
      <c r="BJ27">
        <v>-5.2144411069230703</v>
      </c>
      <c r="BK27">
        <v>-4.4670467714285698</v>
      </c>
      <c r="BL27">
        <v>1</v>
      </c>
      <c r="BM27">
        <v>-5.104012408</v>
      </c>
      <c r="BN27">
        <v>-4.7067896763636297</v>
      </c>
      <c r="BO27">
        <v>1</v>
      </c>
      <c r="BP27">
        <v>-5.3265031439999904</v>
      </c>
      <c r="BQ27">
        <v>-4.9087840245454499</v>
      </c>
      <c r="BR27">
        <v>1</v>
      </c>
    </row>
    <row r="28" spans="1:70" x14ac:dyDescent="0.35">
      <c r="A28" t="s">
        <v>484</v>
      </c>
      <c r="B28" t="s">
        <v>485</v>
      </c>
      <c r="C28" t="s">
        <v>486</v>
      </c>
      <c r="D28">
        <v>0</v>
      </c>
      <c r="E28" t="s">
        <v>140</v>
      </c>
      <c r="F28" t="str">
        <f>INDEX([1]train_xl!$H:$H,MATCH(E28,[1]train_xl!$G:$G,0))</f>
        <v>like</v>
      </c>
      <c r="G28" t="str">
        <f>INDEX([1]train_xl!$I:$I,MATCH(E28,[1]train_xl!$G:$G,0))</f>
        <v>sim</v>
      </c>
      <c r="H28" t="str">
        <f>INDEX([1]train_xl!$V:$V,MATCH(E28,[1]train_xl!$G:$G,0))</f>
        <v>not</v>
      </c>
      <c r="I28" t="str">
        <f>INDEX([2]Sheet1!$L:$L,MATCH(E28,[2]Sheet1!$I:$I,0))</f>
        <v>intens</v>
      </c>
      <c r="K28">
        <v>-3.3098691326199998</v>
      </c>
      <c r="L28">
        <v>-3.4441117215374999</v>
      </c>
      <c r="M28">
        <v>1</v>
      </c>
      <c r="N28">
        <v>-3.4004515602857102</v>
      </c>
      <c r="O28">
        <v>-3.5259728292000001</v>
      </c>
      <c r="P28">
        <v>1</v>
      </c>
      <c r="Q28">
        <v>-4.3899038675384601</v>
      </c>
      <c r="R28">
        <v>-4.4239756397142802</v>
      </c>
      <c r="S28">
        <v>1</v>
      </c>
      <c r="T28">
        <v>-3.8544121869999999</v>
      </c>
      <c r="U28">
        <v>-4.1257256927272703</v>
      </c>
      <c r="V28">
        <v>1</v>
      </c>
      <c r="W28">
        <v>-4.463266645</v>
      </c>
      <c r="X28">
        <v>-4.5661191727272703</v>
      </c>
      <c r="Y28">
        <v>1</v>
      </c>
      <c r="Z28">
        <v>-4.5761928491999999</v>
      </c>
      <c r="AA28">
        <v>-4.4925667060625001</v>
      </c>
      <c r="AB28">
        <v>0</v>
      </c>
      <c r="AC28">
        <v>-4.7074858071428496</v>
      </c>
      <c r="AD28">
        <v>-4.7619763263999904</v>
      </c>
      <c r="AE28">
        <v>1</v>
      </c>
      <c r="AF28">
        <v>-5.6912157153846099</v>
      </c>
      <c r="AG28">
        <v>-5.5963528207142801</v>
      </c>
      <c r="AH28">
        <v>0</v>
      </c>
      <c r="AI28">
        <v>-5.5025964399999996</v>
      </c>
      <c r="AJ28">
        <v>-5.4946264272727197</v>
      </c>
      <c r="AK28">
        <v>0</v>
      </c>
      <c r="AL28">
        <v>-6.07532855</v>
      </c>
      <c r="AM28">
        <v>-5.83845922727272</v>
      </c>
      <c r="AN28">
        <v>0</v>
      </c>
      <c r="AO28">
        <v>-3.0540580713333298</v>
      </c>
      <c r="AP28">
        <v>-3.0776382422499999</v>
      </c>
      <c r="AQ28">
        <v>1</v>
      </c>
      <c r="AR28">
        <v>-2.9494793592857098</v>
      </c>
      <c r="AS28">
        <v>-3.09246607066666</v>
      </c>
      <c r="AT28">
        <v>1</v>
      </c>
      <c r="AU28">
        <v>-3.6047839976923002</v>
      </c>
      <c r="AV28">
        <v>-3.7220562514285702</v>
      </c>
      <c r="AW28">
        <v>1</v>
      </c>
      <c r="AX28">
        <v>-3.3232692479999999</v>
      </c>
      <c r="AY28">
        <v>-3.4780675690909</v>
      </c>
      <c r="AZ28">
        <v>1</v>
      </c>
      <c r="BA28">
        <v>-3.7355864699999999</v>
      </c>
      <c r="BB28">
        <v>-3.74963239636363</v>
      </c>
      <c r="BC28">
        <v>1</v>
      </c>
      <c r="BD28">
        <v>-4.56401209166666</v>
      </c>
      <c r="BE28">
        <v>-4.4576755166249997</v>
      </c>
      <c r="BF28">
        <v>0</v>
      </c>
      <c r="BG28">
        <v>-4.6930496685714198</v>
      </c>
      <c r="BH28">
        <v>-4.7457201906666597</v>
      </c>
      <c r="BI28">
        <v>1</v>
      </c>
      <c r="BJ28">
        <v>-5.6250044530769197</v>
      </c>
      <c r="BK28">
        <v>-5.5949059385714204</v>
      </c>
      <c r="BL28">
        <v>0</v>
      </c>
      <c r="BM28">
        <v>-5.4766968169999997</v>
      </c>
      <c r="BN28">
        <v>-5.4803113181818102</v>
      </c>
      <c r="BO28">
        <v>1</v>
      </c>
      <c r="BP28">
        <v>-6.1114180649999996</v>
      </c>
      <c r="BQ28">
        <v>-5.9095952390909003</v>
      </c>
      <c r="BR28">
        <v>0</v>
      </c>
    </row>
    <row r="29" spans="1:70" x14ac:dyDescent="0.35">
      <c r="A29" t="s">
        <v>487</v>
      </c>
      <c r="B29" t="s">
        <v>485</v>
      </c>
      <c r="C29" t="s">
        <v>486</v>
      </c>
      <c r="D29">
        <v>1</v>
      </c>
      <c r="E29" t="s">
        <v>141</v>
      </c>
      <c r="F29" t="str">
        <f>INDEX([1]train_xl!$H:$H,MATCH(E29,[1]train_xl!$G:$G,0))</f>
        <v>like</v>
      </c>
      <c r="G29" t="str">
        <f>INDEX([1]train_xl!$I:$I,MATCH(E29,[1]train_xl!$G:$G,0))</f>
        <v>sim</v>
      </c>
      <c r="H29" t="str">
        <f>INDEX([1]train_xl!$V:$V,MATCH(E29,[1]train_xl!$G:$G,0))</f>
        <v>not</v>
      </c>
      <c r="I29" t="str">
        <f>INDEX([2]Sheet1!$L:$L,MATCH(E29,[2]Sheet1!$I:$I,0))</f>
        <v>neg</v>
      </c>
      <c r="K29">
        <v>-3.7413028742000001</v>
      </c>
      <c r="L29">
        <v>-3.3379884938000002</v>
      </c>
      <c r="M29">
        <v>1</v>
      </c>
      <c r="N29">
        <v>-4.04508361135714</v>
      </c>
      <c r="O29">
        <v>-3.4370531769999899</v>
      </c>
      <c r="P29">
        <v>1</v>
      </c>
      <c r="Q29">
        <v>-4.97864125253846</v>
      </c>
      <c r="R29">
        <v>-4.31634296942857</v>
      </c>
      <c r="S29">
        <v>1</v>
      </c>
      <c r="T29">
        <v>-4.7789144820000002</v>
      </c>
      <c r="U29">
        <v>-4.29049485</v>
      </c>
      <c r="V29">
        <v>1</v>
      </c>
      <c r="W29">
        <v>-5.1588781829999997</v>
      </c>
      <c r="X29">
        <v>-4.5744136645454496</v>
      </c>
      <c r="Y29">
        <v>1</v>
      </c>
      <c r="Z29">
        <v>-4.5553210572333303</v>
      </c>
      <c r="AA29">
        <v>-4.1676546800624896</v>
      </c>
      <c r="AB29">
        <v>1</v>
      </c>
      <c r="AC29">
        <v>-4.9485060578571396</v>
      </c>
      <c r="AD29">
        <v>-4.3321318619999998</v>
      </c>
      <c r="AE29">
        <v>1</v>
      </c>
      <c r="AF29">
        <v>-5.8106963326922996</v>
      </c>
      <c r="AG29">
        <v>-5.1557392692857098</v>
      </c>
      <c r="AH29">
        <v>1</v>
      </c>
      <c r="AI29">
        <v>-5.9681312560000004</v>
      </c>
      <c r="AJ29">
        <v>-5.3912514863636298</v>
      </c>
      <c r="AK29">
        <v>1</v>
      </c>
      <c r="AL29">
        <v>-6.1966669699999999</v>
      </c>
      <c r="AM29">
        <v>-5.49563164545454</v>
      </c>
      <c r="AN29">
        <v>1</v>
      </c>
      <c r="AO29">
        <v>-3.5267032029333301</v>
      </c>
      <c r="AP29">
        <v>-3.1229153706249999</v>
      </c>
      <c r="AQ29">
        <v>1</v>
      </c>
      <c r="AR29">
        <v>-3.68338227821428</v>
      </c>
      <c r="AS29">
        <v>-3.215151536</v>
      </c>
      <c r="AT29">
        <v>1</v>
      </c>
      <c r="AU29">
        <v>-4.6805095000000003</v>
      </c>
      <c r="AV29">
        <v>-4.2413755359999898</v>
      </c>
      <c r="AW29">
        <v>1</v>
      </c>
      <c r="AX29">
        <v>-4.38139267399999</v>
      </c>
      <c r="AY29">
        <v>-4.0450103027272704</v>
      </c>
      <c r="AZ29">
        <v>1</v>
      </c>
      <c r="BA29">
        <v>-4.5480478399999997</v>
      </c>
      <c r="BB29">
        <v>-4.16690886636363</v>
      </c>
      <c r="BC29">
        <v>1</v>
      </c>
      <c r="BD29">
        <v>-4.5594726467999998</v>
      </c>
      <c r="BE29">
        <v>-3.9797302978125</v>
      </c>
      <c r="BF29">
        <v>1</v>
      </c>
      <c r="BG29">
        <v>-4.8819503864285698</v>
      </c>
      <c r="BH29">
        <v>-4.2419843833333299</v>
      </c>
      <c r="BI29">
        <v>1</v>
      </c>
      <c r="BJ29">
        <v>-5.7203258246153803</v>
      </c>
      <c r="BK29">
        <v>-5.0787229392857096</v>
      </c>
      <c r="BL29">
        <v>1</v>
      </c>
      <c r="BM29">
        <v>-5.8199723700000003</v>
      </c>
      <c r="BN29">
        <v>-5.2582916763636298</v>
      </c>
      <c r="BO29">
        <v>1</v>
      </c>
      <c r="BP29">
        <v>-6.0070838459999996</v>
      </c>
      <c r="BQ29">
        <v>-5.3252717263636304</v>
      </c>
      <c r="BR29">
        <v>1</v>
      </c>
    </row>
    <row r="30" spans="1:70" x14ac:dyDescent="0.35">
      <c r="A30" t="s">
        <v>488</v>
      </c>
      <c r="B30" t="s">
        <v>489</v>
      </c>
      <c r="C30" t="s">
        <v>490</v>
      </c>
      <c r="D30">
        <v>0</v>
      </c>
      <c r="E30" t="s">
        <v>142</v>
      </c>
      <c r="F30" t="str">
        <f>INDEX([1]train_xl!$H:$H,MATCH(E30,[1]train_xl!$G:$G,0))</f>
        <v>as-as</v>
      </c>
      <c r="G30" t="str">
        <f>INDEX([1]train_xl!$I:$I,MATCH(E30,[1]train_xl!$G:$G,0))</f>
        <v>sim</v>
      </c>
      <c r="H30" t="str">
        <f>INDEX([1]train_xl!$V:$V,MATCH(E30,[1]train_xl!$G:$G,0))</f>
        <v>antonym</v>
      </c>
      <c r="I30" t="str">
        <f>INDEX([2]Sheet1!$L:$L,MATCH(E30,[2]Sheet1!$I:$I,0))</f>
        <v>intens</v>
      </c>
      <c r="K30">
        <v>-4.5966998234615399</v>
      </c>
      <c r="L30">
        <v>-4.0944986907142802</v>
      </c>
      <c r="M30">
        <v>0</v>
      </c>
      <c r="N30">
        <v>-4.7764297559166602</v>
      </c>
      <c r="O30">
        <v>-4.1788081132307697</v>
      </c>
      <c r="P30">
        <v>0</v>
      </c>
      <c r="Q30">
        <v>-6.0730755939090901</v>
      </c>
      <c r="R30">
        <v>-5.4295486678333296</v>
      </c>
      <c r="S30">
        <v>0</v>
      </c>
      <c r="T30">
        <v>-5.8735249074999896</v>
      </c>
      <c r="U30">
        <v>-5.0628874722222204</v>
      </c>
      <c r="V30">
        <v>0</v>
      </c>
      <c r="W30">
        <v>-6.3032637874999997</v>
      </c>
      <c r="X30">
        <v>-5.89514261111111</v>
      </c>
      <c r="Y30">
        <v>0</v>
      </c>
      <c r="Z30">
        <v>-4.8817988084615296</v>
      </c>
      <c r="AA30">
        <v>-4.3542162746428499</v>
      </c>
      <c r="AB30">
        <v>0</v>
      </c>
      <c r="AC30">
        <v>-5.1026835008333302</v>
      </c>
      <c r="AD30">
        <v>-4.5844552061538399</v>
      </c>
      <c r="AE30">
        <v>0</v>
      </c>
      <c r="AF30">
        <v>-6.1486856727272698</v>
      </c>
      <c r="AG30">
        <v>-5.5125269241666599</v>
      </c>
      <c r="AH30">
        <v>0</v>
      </c>
      <c r="AI30">
        <v>-6.0527926874999904</v>
      </c>
      <c r="AJ30">
        <v>-5.5457056666666604</v>
      </c>
      <c r="AK30">
        <v>0</v>
      </c>
      <c r="AL30">
        <v>-6.6128070000000001</v>
      </c>
      <c r="AM30">
        <v>-6.1725893999999997</v>
      </c>
      <c r="AN30">
        <v>0</v>
      </c>
      <c r="AO30">
        <v>-3.9322086358461501</v>
      </c>
      <c r="AP30">
        <v>-3.6310090135714201</v>
      </c>
      <c r="AQ30">
        <v>0</v>
      </c>
      <c r="AR30">
        <v>-4.0887046433333296</v>
      </c>
      <c r="AS30">
        <v>-3.6855608223076901</v>
      </c>
      <c r="AT30">
        <v>0</v>
      </c>
      <c r="AU30">
        <v>-4.89786817454545</v>
      </c>
      <c r="AV30">
        <v>-4.4996548083333296</v>
      </c>
      <c r="AW30">
        <v>0</v>
      </c>
      <c r="AX30">
        <v>-5.2023862249999997</v>
      </c>
      <c r="AY30">
        <v>-4.9263549444444399</v>
      </c>
      <c r="AZ30">
        <v>0</v>
      </c>
      <c r="BA30">
        <v>-5.5166971875000002</v>
      </c>
      <c r="BB30">
        <v>-5.0407525111111102</v>
      </c>
      <c r="BC30">
        <v>0</v>
      </c>
      <c r="BD30">
        <v>-4.71989065</v>
      </c>
      <c r="BE30">
        <v>-4.21038608714285</v>
      </c>
      <c r="BF30">
        <v>0</v>
      </c>
      <c r="BG30">
        <v>-4.8960632883333304</v>
      </c>
      <c r="BH30">
        <v>-4.3595741538461503</v>
      </c>
      <c r="BI30">
        <v>0</v>
      </c>
      <c r="BJ30">
        <v>-5.9376284054545403</v>
      </c>
      <c r="BK30">
        <v>-5.3929671991666597</v>
      </c>
      <c r="BL30">
        <v>0</v>
      </c>
      <c r="BM30">
        <v>-5.8307728250000004</v>
      </c>
      <c r="BN30">
        <v>-5.4201920555555496</v>
      </c>
      <c r="BO30">
        <v>0</v>
      </c>
      <c r="BP30">
        <v>-6.5204764499999897</v>
      </c>
      <c r="BQ30">
        <v>-6.1076919888888801</v>
      </c>
      <c r="BR30">
        <v>0</v>
      </c>
    </row>
    <row r="31" spans="1:70" x14ac:dyDescent="0.35">
      <c r="A31" t="s">
        <v>491</v>
      </c>
      <c r="B31" t="s">
        <v>489</v>
      </c>
      <c r="C31" t="s">
        <v>490</v>
      </c>
      <c r="D31">
        <v>1</v>
      </c>
      <c r="E31" t="s">
        <v>143</v>
      </c>
      <c r="F31" t="str">
        <f>INDEX([1]train_xl!$H:$H,MATCH(E31,[1]train_xl!$G:$G,0))</f>
        <v>as-as</v>
      </c>
      <c r="G31" t="str">
        <f>INDEX([1]train_xl!$I:$I,MATCH(E31,[1]train_xl!$G:$G,0))</f>
        <v>sim</v>
      </c>
      <c r="H31" t="str">
        <f>INDEX([1]train_xl!$V:$V,MATCH(E31,[1]train_xl!$G:$G,0))</f>
        <v>antonym</v>
      </c>
      <c r="I31" t="str">
        <f>INDEX([2]Sheet1!$L:$L,MATCH(E31,[2]Sheet1!$I:$I,0))</f>
        <v>neg</v>
      </c>
      <c r="K31">
        <v>-4.2199814992307596</v>
      </c>
      <c r="L31">
        <v>-4.3837638071428504</v>
      </c>
      <c r="M31">
        <v>0</v>
      </c>
      <c r="N31">
        <v>-4.3418458469166596</v>
      </c>
      <c r="O31">
        <v>-4.5592705870769201</v>
      </c>
      <c r="P31">
        <v>0</v>
      </c>
      <c r="Q31">
        <v>-5.4719704138181804</v>
      </c>
      <c r="R31">
        <v>-5.5660399089166601</v>
      </c>
      <c r="S31">
        <v>0</v>
      </c>
      <c r="T31">
        <v>-5.1590440624999996</v>
      </c>
      <c r="U31">
        <v>-5.6607959666666599</v>
      </c>
      <c r="V31">
        <v>0</v>
      </c>
      <c r="W31">
        <v>-5.8243839249999896</v>
      </c>
      <c r="X31">
        <v>-5.88530785555555</v>
      </c>
      <c r="Y31">
        <v>0</v>
      </c>
      <c r="Z31">
        <v>-4.4793213692307603</v>
      </c>
      <c r="AA31">
        <v>-4.5836561907142803</v>
      </c>
      <c r="AB31">
        <v>0</v>
      </c>
      <c r="AC31">
        <v>-4.5401987175</v>
      </c>
      <c r="AD31">
        <v>-4.7162975746153801</v>
      </c>
      <c r="AE31">
        <v>0</v>
      </c>
      <c r="AF31">
        <v>-5.74893574363636</v>
      </c>
      <c r="AG31">
        <v>-5.8398624091666598</v>
      </c>
      <c r="AH31">
        <v>0</v>
      </c>
      <c r="AI31">
        <v>-5.7567141874999903</v>
      </c>
      <c r="AJ31">
        <v>-5.89043084444444</v>
      </c>
      <c r="AK31">
        <v>0</v>
      </c>
      <c r="AL31">
        <v>-6.3824738500000002</v>
      </c>
      <c r="AM31">
        <v>-6.1230198555555502</v>
      </c>
      <c r="AN31">
        <v>1</v>
      </c>
      <c r="AO31">
        <v>-3.7486315053846102</v>
      </c>
      <c r="AP31">
        <v>-3.9448952285714198</v>
      </c>
      <c r="AQ31">
        <v>0</v>
      </c>
      <c r="AR31">
        <v>-3.70619332366666</v>
      </c>
      <c r="AS31">
        <v>-3.9988949100000002</v>
      </c>
      <c r="AT31">
        <v>0</v>
      </c>
      <c r="AU31">
        <v>-4.6230594686363604</v>
      </c>
      <c r="AV31">
        <v>-4.8146919458333297</v>
      </c>
      <c r="AW31">
        <v>0</v>
      </c>
      <c r="AX31">
        <v>-5.1995464624999999</v>
      </c>
      <c r="AY31">
        <v>-5.2818244999999999</v>
      </c>
      <c r="AZ31">
        <v>0</v>
      </c>
      <c r="BA31">
        <v>-5.4205993374999997</v>
      </c>
      <c r="BB31">
        <v>-5.0082099222222203</v>
      </c>
      <c r="BC31">
        <v>1</v>
      </c>
      <c r="BD31">
        <v>-4.3947985192307701</v>
      </c>
      <c r="BE31">
        <v>-4.5069632371428501</v>
      </c>
      <c r="BF31">
        <v>0</v>
      </c>
      <c r="BG31">
        <v>-4.4074170299999897</v>
      </c>
      <c r="BH31">
        <v>-4.64456662230769</v>
      </c>
      <c r="BI31">
        <v>0</v>
      </c>
      <c r="BJ31">
        <v>-5.55352098272727</v>
      </c>
      <c r="BK31">
        <v>-5.6697231171666598</v>
      </c>
      <c r="BL31">
        <v>0</v>
      </c>
      <c r="BM31">
        <v>-5.6170853749999896</v>
      </c>
      <c r="BN31">
        <v>-5.8223354111111103</v>
      </c>
      <c r="BO31">
        <v>0</v>
      </c>
      <c r="BP31">
        <v>-6.2452395249999899</v>
      </c>
      <c r="BQ31">
        <v>-6.1419098666666603</v>
      </c>
      <c r="BR31">
        <v>1</v>
      </c>
    </row>
    <row r="32" spans="1:70" x14ac:dyDescent="0.35">
      <c r="A32" t="s">
        <v>492</v>
      </c>
      <c r="B32" t="s">
        <v>493</v>
      </c>
      <c r="C32" t="s">
        <v>494</v>
      </c>
      <c r="D32">
        <v>0</v>
      </c>
      <c r="E32" t="s">
        <v>144</v>
      </c>
      <c r="F32" t="str">
        <f>INDEX([1]train_xl!$H:$H,MATCH(E32,[1]train_xl!$G:$G,0))</f>
        <v>like</v>
      </c>
      <c r="G32" t="str">
        <f>INDEX([1]train_xl!$I:$I,MATCH(E32,[1]train_xl!$G:$G,0))</f>
        <v>sim</v>
      </c>
      <c r="H32" t="str">
        <f>INDEX([1]train_xl!$V:$V,MATCH(E32,[1]train_xl!$G:$G,0))</f>
        <v>not</v>
      </c>
      <c r="I32" t="str">
        <f>INDEX([2]Sheet1!$L:$L,MATCH(E32,[2]Sheet1!$I:$I,0))</f>
        <v>intens</v>
      </c>
      <c r="K32">
        <v>-3.0562485005846098</v>
      </c>
      <c r="L32">
        <v>-3.19521839932142</v>
      </c>
      <c r="M32">
        <v>1</v>
      </c>
      <c r="N32">
        <v>-3.2893034705000002</v>
      </c>
      <c r="O32">
        <v>-3.49724459738461</v>
      </c>
      <c r="P32">
        <v>1</v>
      </c>
      <c r="Q32">
        <v>-4.1674010686363596</v>
      </c>
      <c r="R32">
        <v>-4.3580794851666598</v>
      </c>
      <c r="S32">
        <v>1</v>
      </c>
      <c r="T32">
        <v>-3.3109845241999998</v>
      </c>
      <c r="U32">
        <v>-4.0990119833333303</v>
      </c>
      <c r="V32">
        <v>1</v>
      </c>
      <c r="W32">
        <v>-4.4150001736875</v>
      </c>
      <c r="X32">
        <v>-4.50192404777777</v>
      </c>
      <c r="Y32">
        <v>1</v>
      </c>
      <c r="Z32">
        <v>-3.3396579384615301</v>
      </c>
      <c r="AA32">
        <v>-3.3163244983571398</v>
      </c>
      <c r="AB32">
        <v>0</v>
      </c>
      <c r="AC32">
        <v>-3.4500881504999898</v>
      </c>
      <c r="AD32">
        <v>-3.5827167923076901</v>
      </c>
      <c r="AE32">
        <v>1</v>
      </c>
      <c r="AF32">
        <v>-4.3432874241818098</v>
      </c>
      <c r="AG32">
        <v>-4.4206907733333303</v>
      </c>
      <c r="AH32">
        <v>1</v>
      </c>
      <c r="AI32">
        <v>-3.7689470373749998</v>
      </c>
      <c r="AJ32">
        <v>-4.4264454993333304</v>
      </c>
      <c r="AK32">
        <v>1</v>
      </c>
      <c r="AL32">
        <v>-4.4195078179999996</v>
      </c>
      <c r="AM32">
        <v>-4.6014696311111098</v>
      </c>
      <c r="AN32">
        <v>1</v>
      </c>
      <c r="AO32">
        <v>-5.7631782841538399</v>
      </c>
      <c r="AP32">
        <v>-5.6902854849999898</v>
      </c>
      <c r="AQ32">
        <v>0</v>
      </c>
      <c r="AR32">
        <v>-6.1226461074999996</v>
      </c>
      <c r="AS32">
        <v>-6.0704314915384598</v>
      </c>
      <c r="AT32">
        <v>0</v>
      </c>
      <c r="AU32">
        <v>-7.2274647604545397</v>
      </c>
      <c r="AV32">
        <v>-7.0437450874999996</v>
      </c>
      <c r="AW32">
        <v>0</v>
      </c>
      <c r="AX32">
        <v>-8.0635449824999998</v>
      </c>
      <c r="AY32">
        <v>-8.2217165266666594</v>
      </c>
      <c r="AZ32">
        <v>1</v>
      </c>
      <c r="BA32">
        <v>-9.2721418962499893</v>
      </c>
      <c r="BB32">
        <v>-8.7440608222222203</v>
      </c>
      <c r="BC32">
        <v>0</v>
      </c>
      <c r="BD32">
        <v>-3.4037733248461501</v>
      </c>
      <c r="BE32">
        <v>-3.4973456459285699</v>
      </c>
      <c r="BF32">
        <v>1</v>
      </c>
      <c r="BG32">
        <v>-3.6784907335833301</v>
      </c>
      <c r="BH32">
        <v>-3.7901750788461501</v>
      </c>
      <c r="BI32">
        <v>1</v>
      </c>
      <c r="BJ32">
        <v>-4.5311172574545404</v>
      </c>
      <c r="BK32">
        <v>-4.5819091374999896</v>
      </c>
      <c r="BL32">
        <v>1</v>
      </c>
      <c r="BM32">
        <v>-3.9549085283749998</v>
      </c>
      <c r="BN32">
        <v>-4.6279534188888798</v>
      </c>
      <c r="BO32">
        <v>1</v>
      </c>
      <c r="BP32">
        <v>-4.7643467727499997</v>
      </c>
      <c r="BQ32">
        <v>-4.91845546111111</v>
      </c>
      <c r="BR32">
        <v>1</v>
      </c>
    </row>
    <row r="33" spans="1:70" x14ac:dyDescent="0.35">
      <c r="A33" t="s">
        <v>495</v>
      </c>
      <c r="B33" t="s">
        <v>493</v>
      </c>
      <c r="C33" t="s">
        <v>494</v>
      </c>
      <c r="D33">
        <v>1</v>
      </c>
      <c r="E33" t="s">
        <v>145</v>
      </c>
      <c r="F33" t="str">
        <f>INDEX([1]train_xl!$H:$H,MATCH(E33,[1]train_xl!$G:$G,0))</f>
        <v>like</v>
      </c>
      <c r="G33" t="str">
        <f>INDEX([1]train_xl!$I:$I,MATCH(E33,[1]train_xl!$G:$G,0))</f>
        <v>sim</v>
      </c>
      <c r="H33" t="str">
        <f>INDEX([1]train_xl!$V:$V,MATCH(E33,[1]train_xl!$G:$G,0))</f>
        <v>not</v>
      </c>
      <c r="I33" t="str">
        <f>INDEX([2]Sheet1!$L:$L,MATCH(E33,[2]Sheet1!$I:$I,0))</f>
        <v>neg</v>
      </c>
      <c r="K33">
        <v>-3.7698947792307602</v>
      </c>
      <c r="L33">
        <v>-3.1904969713571401</v>
      </c>
      <c r="M33">
        <v>1</v>
      </c>
      <c r="N33">
        <v>-4.0480799295499903</v>
      </c>
      <c r="O33">
        <v>-3.4356992459692299</v>
      </c>
      <c r="P33">
        <v>1</v>
      </c>
      <c r="Q33">
        <v>-4.9609967102727204</v>
      </c>
      <c r="R33">
        <v>-4.2743363254999904</v>
      </c>
      <c r="S33">
        <v>1</v>
      </c>
      <c r="T33">
        <v>-4.57725835875</v>
      </c>
      <c r="U33">
        <v>-4.03420756211111</v>
      </c>
      <c r="V33">
        <v>1</v>
      </c>
      <c r="W33">
        <v>-5.2353472175000002</v>
      </c>
      <c r="X33">
        <v>-4.7933660282222199</v>
      </c>
      <c r="Y33">
        <v>1</v>
      </c>
      <c r="Z33">
        <v>-3.7589995499999902</v>
      </c>
      <c r="AA33">
        <v>-3.2763076994285698</v>
      </c>
      <c r="AB33">
        <v>1</v>
      </c>
      <c r="AC33">
        <v>-4.0843278708333299</v>
      </c>
      <c r="AD33">
        <v>-3.4970493338461499</v>
      </c>
      <c r="AE33">
        <v>1</v>
      </c>
      <c r="AF33">
        <v>-4.90970602727272</v>
      </c>
      <c r="AG33">
        <v>-4.3194129641666601</v>
      </c>
      <c r="AH33">
        <v>1</v>
      </c>
      <c r="AI33">
        <v>-4.8116374256249896</v>
      </c>
      <c r="AJ33">
        <v>-4.2571384926666598</v>
      </c>
      <c r="AK33">
        <v>1</v>
      </c>
      <c r="AL33">
        <v>-5.1603208049999898</v>
      </c>
      <c r="AM33">
        <v>-4.7458666631111104</v>
      </c>
      <c r="AN33">
        <v>1</v>
      </c>
      <c r="AO33">
        <v>-6.1588060730769199</v>
      </c>
      <c r="AP33">
        <v>-5.5539091529999904</v>
      </c>
      <c r="AQ33">
        <v>1</v>
      </c>
      <c r="AR33">
        <v>-6.6207627950000001</v>
      </c>
      <c r="AS33">
        <v>-5.8006810453846098</v>
      </c>
      <c r="AT33">
        <v>1</v>
      </c>
      <c r="AU33">
        <v>-7.6149636581818099</v>
      </c>
      <c r="AV33">
        <v>-6.7944473328333297</v>
      </c>
      <c r="AW33">
        <v>1</v>
      </c>
      <c r="AX33">
        <v>-9.0085393462500001</v>
      </c>
      <c r="AY33">
        <v>-8.0043802962222195</v>
      </c>
      <c r="AZ33">
        <v>1</v>
      </c>
      <c r="BA33">
        <v>-9.1120771000000005</v>
      </c>
      <c r="BB33">
        <v>-8.4469164488888904</v>
      </c>
      <c r="BC33">
        <v>1</v>
      </c>
      <c r="BD33">
        <v>-3.9246196741538402</v>
      </c>
      <c r="BE33">
        <v>-3.4377565054999999</v>
      </c>
      <c r="BF33">
        <v>1</v>
      </c>
      <c r="BG33">
        <v>-4.1930387241666596</v>
      </c>
      <c r="BH33">
        <v>-3.6498926156153799</v>
      </c>
      <c r="BI33">
        <v>1</v>
      </c>
      <c r="BJ33">
        <v>-5.00150440036363</v>
      </c>
      <c r="BK33">
        <v>-4.4213862938333301</v>
      </c>
      <c r="BL33">
        <v>1</v>
      </c>
      <c r="BM33">
        <v>-5.1014737424999996</v>
      </c>
      <c r="BN33">
        <v>-4.4945847135555503</v>
      </c>
      <c r="BO33">
        <v>1</v>
      </c>
      <c r="BP33">
        <v>-5.5360646774999998</v>
      </c>
      <c r="BQ33">
        <v>-5.09642463255555</v>
      </c>
      <c r="BR33">
        <v>1</v>
      </c>
    </row>
    <row r="34" spans="1:70" x14ac:dyDescent="0.35">
      <c r="A34" t="s">
        <v>496</v>
      </c>
      <c r="B34" t="s">
        <v>497</v>
      </c>
      <c r="C34" t="s">
        <v>498</v>
      </c>
      <c r="D34">
        <v>0</v>
      </c>
      <c r="E34" t="s">
        <v>146</v>
      </c>
      <c r="F34" t="str">
        <f>INDEX([1]train_xl!$H:$H,MATCH(E34,[1]train_xl!$G:$G,0))</f>
        <v>as-as</v>
      </c>
      <c r="G34" t="str">
        <f>INDEX([1]train_xl!$I:$I,MATCH(E34,[1]train_xl!$G:$G,0))</f>
        <v>sim</v>
      </c>
      <c r="H34" t="str">
        <f>INDEX([1]train_xl!$V:$V,MATCH(E34,[1]train_xl!$G:$G,0))</f>
        <v>not</v>
      </c>
      <c r="I34" t="str">
        <f>INDEX([2]Sheet1!$L:$L,MATCH(E34,[2]Sheet1!$I:$I,0))</f>
        <v>intens</v>
      </c>
      <c r="K34">
        <v>-4.3002375471874998</v>
      </c>
      <c r="L34">
        <v>-4.0043086713888796</v>
      </c>
      <c r="M34">
        <v>0</v>
      </c>
      <c r="N34">
        <v>-4.3762930700666596</v>
      </c>
      <c r="O34">
        <v>-4.077545722</v>
      </c>
      <c r="P34">
        <v>0</v>
      </c>
      <c r="Q34">
        <v>-5.1949384940714296</v>
      </c>
      <c r="R34">
        <v>-4.7978643568750003</v>
      </c>
      <c r="S34">
        <v>0</v>
      </c>
      <c r="T34">
        <v>-5.2740914236363601</v>
      </c>
      <c r="U34">
        <v>-4.6588942046153798</v>
      </c>
      <c r="V34">
        <v>0</v>
      </c>
      <c r="W34">
        <v>-5.9743339545454504</v>
      </c>
      <c r="X34">
        <v>-5.0555244807692299</v>
      </c>
      <c r="Y34">
        <v>0</v>
      </c>
      <c r="Z34">
        <v>-4.2194033231249897</v>
      </c>
      <c r="AA34">
        <v>-3.9638756150000001</v>
      </c>
      <c r="AB34">
        <v>0</v>
      </c>
      <c r="AC34">
        <v>-4.3737694093333301</v>
      </c>
      <c r="AD34">
        <v>-4.0916290572352896</v>
      </c>
      <c r="AE34">
        <v>0</v>
      </c>
      <c r="AF34">
        <v>-5.0525889271428497</v>
      </c>
      <c r="AG34">
        <v>-4.6638719262499997</v>
      </c>
      <c r="AH34">
        <v>0</v>
      </c>
      <c r="AI34">
        <v>-5.22663176818181</v>
      </c>
      <c r="AJ34">
        <v>-4.6123334284615298</v>
      </c>
      <c r="AK34">
        <v>0</v>
      </c>
      <c r="AL34">
        <v>-5.55213831818181</v>
      </c>
      <c r="AM34">
        <v>-4.7710793492307602</v>
      </c>
      <c r="AN34">
        <v>0</v>
      </c>
      <c r="AO34">
        <v>-3.7746887076250002</v>
      </c>
      <c r="AP34">
        <v>-3.6125754934444401</v>
      </c>
      <c r="AQ34">
        <v>0</v>
      </c>
      <c r="AR34">
        <v>-3.6870322191999998</v>
      </c>
      <c r="AS34">
        <v>-3.5435161344117598</v>
      </c>
      <c r="AT34">
        <v>0</v>
      </c>
      <c r="AU34">
        <v>-4.4784902349999998</v>
      </c>
      <c r="AV34">
        <v>-4.1493901483124898</v>
      </c>
      <c r="AW34">
        <v>0</v>
      </c>
      <c r="AX34">
        <v>-4.3977541972727199</v>
      </c>
      <c r="AY34">
        <v>-3.9960292484615301</v>
      </c>
      <c r="AZ34">
        <v>0</v>
      </c>
      <c r="BA34">
        <v>-4.6586547454545402</v>
      </c>
      <c r="BB34">
        <v>-4.0722779769230701</v>
      </c>
      <c r="BC34">
        <v>0</v>
      </c>
      <c r="BD34">
        <v>-4.3378196581249897</v>
      </c>
      <c r="BE34">
        <v>-4.0776569405555501</v>
      </c>
      <c r="BF34">
        <v>0</v>
      </c>
      <c r="BG34">
        <v>-4.4866443946666603</v>
      </c>
      <c r="BH34">
        <v>-4.1941155737646998</v>
      </c>
      <c r="BI34">
        <v>0</v>
      </c>
      <c r="BJ34">
        <v>-5.1057611307142796</v>
      </c>
      <c r="BK34">
        <v>-4.7253080970625003</v>
      </c>
      <c r="BL34">
        <v>0</v>
      </c>
      <c r="BM34">
        <v>-5.3224284545454497</v>
      </c>
      <c r="BN34">
        <v>-4.7178778692307697</v>
      </c>
      <c r="BO34">
        <v>0</v>
      </c>
      <c r="BP34">
        <v>-5.7310533954545404</v>
      </c>
      <c r="BQ34">
        <v>-5.0156733112307696</v>
      </c>
      <c r="BR34">
        <v>0</v>
      </c>
    </row>
    <row r="35" spans="1:70" x14ac:dyDescent="0.35">
      <c r="A35" t="s">
        <v>499</v>
      </c>
      <c r="B35" t="s">
        <v>497</v>
      </c>
      <c r="C35" t="s">
        <v>498</v>
      </c>
      <c r="D35">
        <v>1</v>
      </c>
      <c r="E35" t="s">
        <v>147</v>
      </c>
      <c r="F35" t="str">
        <f>INDEX([1]train_xl!$H:$H,MATCH(E35,[1]train_xl!$G:$G,0))</f>
        <v>as-as</v>
      </c>
      <c r="G35" t="str">
        <f>INDEX([1]train_xl!$I:$I,MATCH(E35,[1]train_xl!$G:$G,0))</f>
        <v>sim</v>
      </c>
      <c r="H35" t="str">
        <f>INDEX([1]train_xl!$V:$V,MATCH(E35,[1]train_xl!$G:$G,0))</f>
        <v>not</v>
      </c>
      <c r="I35" t="str">
        <f>INDEX([2]Sheet1!$L:$L,MATCH(E35,[2]Sheet1!$I:$I,0))</f>
        <v>neg</v>
      </c>
      <c r="K35">
        <v>-4.3940437962500001</v>
      </c>
      <c r="L35">
        <v>-3.5783867422222202</v>
      </c>
      <c r="M35">
        <v>1</v>
      </c>
      <c r="N35">
        <v>-4.4207358481333303</v>
      </c>
      <c r="O35">
        <v>-3.5701070837647002</v>
      </c>
      <c r="P35">
        <v>1</v>
      </c>
      <c r="Q35">
        <v>-5.25021797428571</v>
      </c>
      <c r="R35">
        <v>-4.2411004204374896</v>
      </c>
      <c r="S35">
        <v>1</v>
      </c>
      <c r="T35">
        <v>-5.0227869909090899</v>
      </c>
      <c r="U35">
        <v>-4.07911572538461</v>
      </c>
      <c r="V35">
        <v>1</v>
      </c>
      <c r="W35">
        <v>-5.3596494636363596</v>
      </c>
      <c r="X35">
        <v>-4.36722184</v>
      </c>
      <c r="Y35">
        <v>1</v>
      </c>
      <c r="Z35">
        <v>-4.1772269125000001</v>
      </c>
      <c r="AA35">
        <v>-3.55033545833333</v>
      </c>
      <c r="AB35">
        <v>1</v>
      </c>
      <c r="AC35">
        <v>-4.2614454386666596</v>
      </c>
      <c r="AD35">
        <v>-3.5295140041176398</v>
      </c>
      <c r="AE35">
        <v>1</v>
      </c>
      <c r="AF35">
        <v>-4.9261311335714204</v>
      </c>
      <c r="AG35">
        <v>-4.1407112599999998</v>
      </c>
      <c r="AH35">
        <v>1</v>
      </c>
      <c r="AI35">
        <v>-4.7670432545454497</v>
      </c>
      <c r="AJ35">
        <v>-4.0430080961538399</v>
      </c>
      <c r="AK35">
        <v>1</v>
      </c>
      <c r="AL35">
        <v>-4.9398581181818102</v>
      </c>
      <c r="AM35">
        <v>-4.1759899561538401</v>
      </c>
      <c r="AN35">
        <v>1</v>
      </c>
      <c r="AO35">
        <v>-3.7972679487500001</v>
      </c>
      <c r="AP35">
        <v>-3.1731848666666602</v>
      </c>
      <c r="AQ35">
        <v>1</v>
      </c>
      <c r="AR35">
        <v>-3.7046948246666598</v>
      </c>
      <c r="AS35">
        <v>-2.9000449227647001</v>
      </c>
      <c r="AT35">
        <v>1</v>
      </c>
      <c r="AU35">
        <v>-4.4065711635714298</v>
      </c>
      <c r="AV35">
        <v>-3.542405514375</v>
      </c>
      <c r="AW35">
        <v>1</v>
      </c>
      <c r="AX35">
        <v>-4.0514970272727204</v>
      </c>
      <c r="AY35">
        <v>-3.3368735330769201</v>
      </c>
      <c r="AZ35">
        <v>1</v>
      </c>
      <c r="BA35">
        <v>-4.0657798218181798</v>
      </c>
      <c r="BB35">
        <v>-3.47217369076923</v>
      </c>
      <c r="BC35">
        <v>1</v>
      </c>
      <c r="BD35">
        <v>-4.5121236681249997</v>
      </c>
      <c r="BE35">
        <v>-3.8009262166666602</v>
      </c>
      <c r="BF35">
        <v>1</v>
      </c>
      <c r="BG35">
        <v>-4.5151311866666601</v>
      </c>
      <c r="BH35">
        <v>-3.7566569962352898</v>
      </c>
      <c r="BI35">
        <v>1</v>
      </c>
      <c r="BJ35">
        <v>-5.2101769249999901</v>
      </c>
      <c r="BK35">
        <v>-4.2615625425000001</v>
      </c>
      <c r="BL35">
        <v>1</v>
      </c>
      <c r="BM35">
        <v>-5.1881120909090903</v>
      </c>
      <c r="BN35">
        <v>-4.3736320315384596</v>
      </c>
      <c r="BO35">
        <v>1</v>
      </c>
      <c r="BP35">
        <v>-5.1667306999999996</v>
      </c>
      <c r="BQ35">
        <v>-4.3762582384615296</v>
      </c>
      <c r="BR35">
        <v>1</v>
      </c>
    </row>
    <row r="36" spans="1:70" x14ac:dyDescent="0.35">
      <c r="A36" t="s">
        <v>500</v>
      </c>
      <c r="B36" t="s">
        <v>5</v>
      </c>
      <c r="C36" t="s">
        <v>6</v>
      </c>
      <c r="D36">
        <v>0</v>
      </c>
      <c r="E36" t="s">
        <v>148</v>
      </c>
      <c r="F36" t="str">
        <f>INDEX([1]train_xl!$H:$H,MATCH(E36,[1]train_xl!$G:$G,0))</f>
        <v>as-as</v>
      </c>
      <c r="G36" t="str">
        <f>INDEX([1]train_xl!$I:$I,MATCH(E36,[1]train_xl!$G:$G,0))</f>
        <v>sim</v>
      </c>
      <c r="H36" t="str">
        <f>INDEX([1]train_xl!$V:$V,MATCH(E36,[1]train_xl!$G:$G,0))</f>
        <v>not</v>
      </c>
      <c r="I36" t="str">
        <f>INDEX([2]Sheet1!$L:$L,MATCH(E36,[2]Sheet1!$I:$I,0))</f>
        <v>neg</v>
      </c>
      <c r="K36">
        <v>-3.1984743017230701</v>
      </c>
      <c r="L36">
        <v>-3.3468554448000001</v>
      </c>
      <c r="M36">
        <v>1</v>
      </c>
      <c r="N36">
        <v>-3.3275785174999899</v>
      </c>
      <c r="O36">
        <v>-3.6263194891666601</v>
      </c>
      <c r="P36">
        <v>1</v>
      </c>
      <c r="Q36">
        <v>-4.2689788599090903</v>
      </c>
      <c r="R36">
        <v>-4.5732829359090896</v>
      </c>
      <c r="S36">
        <v>1</v>
      </c>
      <c r="T36">
        <v>-3.6891325737499998</v>
      </c>
      <c r="U36">
        <v>-4.3530040525000002</v>
      </c>
      <c r="V36">
        <v>1</v>
      </c>
      <c r="W36">
        <v>-4.6009361374999997</v>
      </c>
      <c r="X36">
        <v>-4.3401536937499996</v>
      </c>
      <c r="Y36">
        <v>0</v>
      </c>
      <c r="Z36">
        <v>-3.6762563873076899</v>
      </c>
      <c r="AA36">
        <v>-3.7800819466153799</v>
      </c>
      <c r="AB36">
        <v>1</v>
      </c>
      <c r="AC36">
        <v>-3.7795018300000001</v>
      </c>
      <c r="AD36">
        <v>-4.0166231670833303</v>
      </c>
      <c r="AE36">
        <v>1</v>
      </c>
      <c r="AF36">
        <v>-4.8242577845454502</v>
      </c>
      <c r="AG36">
        <v>-5.1021471254545396</v>
      </c>
      <c r="AH36">
        <v>1</v>
      </c>
      <c r="AI36">
        <v>-4.6860840337500003</v>
      </c>
      <c r="AJ36">
        <v>-5.0678289799999998</v>
      </c>
      <c r="AK36">
        <v>1</v>
      </c>
      <c r="AL36">
        <v>-5.0474578874999896</v>
      </c>
      <c r="AM36">
        <v>-5.0848327749999997</v>
      </c>
      <c r="AN36">
        <v>1</v>
      </c>
      <c r="AO36">
        <v>-5.7727505874615304</v>
      </c>
      <c r="AP36">
        <v>-5.9422713528461504</v>
      </c>
      <c r="AQ36">
        <v>1</v>
      </c>
      <c r="AR36">
        <v>-5.9626762070833301</v>
      </c>
      <c r="AS36">
        <v>-6.2684248237500002</v>
      </c>
      <c r="AT36">
        <v>1</v>
      </c>
      <c r="AU36">
        <v>-7.3786649172727197</v>
      </c>
      <c r="AV36">
        <v>-7.6961379436363604</v>
      </c>
      <c r="AW36">
        <v>1</v>
      </c>
      <c r="AX36">
        <v>-8.37731485374999</v>
      </c>
      <c r="AY36">
        <v>-9.1463705750000006</v>
      </c>
      <c r="AZ36">
        <v>1</v>
      </c>
      <c r="BA36">
        <v>-8.42587538125</v>
      </c>
      <c r="BB36">
        <v>-9.2711202000000004</v>
      </c>
      <c r="BC36">
        <v>1</v>
      </c>
      <c r="BD36">
        <v>-3.7835292933846101</v>
      </c>
      <c r="BE36">
        <v>-3.9112007518461498</v>
      </c>
      <c r="BF36">
        <v>1</v>
      </c>
      <c r="BG36">
        <v>-3.968793228</v>
      </c>
      <c r="BH36">
        <v>-4.1341377991666599</v>
      </c>
      <c r="BI36">
        <v>1</v>
      </c>
      <c r="BJ36">
        <v>-4.8918714654545399</v>
      </c>
      <c r="BK36">
        <v>-5.2689581745454497</v>
      </c>
      <c r="BL36">
        <v>1</v>
      </c>
      <c r="BM36">
        <v>-4.8883955124999998</v>
      </c>
      <c r="BN36">
        <v>-5.3006125124999999</v>
      </c>
      <c r="BO36">
        <v>1</v>
      </c>
      <c r="BP36">
        <v>-5.6169145250000003</v>
      </c>
      <c r="BQ36">
        <v>-5.6956321624999999</v>
      </c>
      <c r="BR36">
        <v>1</v>
      </c>
    </row>
    <row r="37" spans="1:70" x14ac:dyDescent="0.35">
      <c r="A37" t="s">
        <v>501</v>
      </c>
      <c r="B37" t="s">
        <v>5</v>
      </c>
      <c r="C37" t="s">
        <v>6</v>
      </c>
      <c r="D37">
        <v>1</v>
      </c>
      <c r="E37" t="s">
        <v>149</v>
      </c>
      <c r="F37" t="str">
        <f>INDEX([1]train_xl!$H:$H,MATCH(E37,[1]train_xl!$G:$G,0))</f>
        <v>as-as</v>
      </c>
      <c r="G37" t="str">
        <f>INDEX([1]train_xl!$I:$I,MATCH(E37,[1]train_xl!$G:$G,0))</f>
        <v>sim</v>
      </c>
      <c r="H37" t="str">
        <f>INDEX([1]train_xl!$V:$V,MATCH(E37,[1]train_xl!$G:$G,0))</f>
        <v>not</v>
      </c>
      <c r="I37" t="str">
        <f>INDEX([2]Sheet1!$L:$L,MATCH(E37,[2]Sheet1!$I:$I,0))</f>
        <v>intens</v>
      </c>
      <c r="K37">
        <v>-3.7604317891538401</v>
      </c>
      <c r="L37">
        <v>-3.1190864753076899</v>
      </c>
      <c r="M37">
        <v>1</v>
      </c>
      <c r="N37">
        <v>-3.9892110098333302</v>
      </c>
      <c r="O37">
        <v>-3.37033363316666</v>
      </c>
      <c r="P37">
        <v>1</v>
      </c>
      <c r="Q37">
        <v>-5.09529375672727</v>
      </c>
      <c r="R37">
        <v>-4.5093547276363601</v>
      </c>
      <c r="S37">
        <v>1</v>
      </c>
      <c r="T37">
        <v>-4.8884857300000002</v>
      </c>
      <c r="U37">
        <v>-3.9115933437499999</v>
      </c>
      <c r="V37">
        <v>1</v>
      </c>
      <c r="W37">
        <v>-5.1175201124999896</v>
      </c>
      <c r="X37">
        <v>-4.5986847337499999</v>
      </c>
      <c r="Y37">
        <v>1</v>
      </c>
      <c r="Z37">
        <v>-3.8659249426153801</v>
      </c>
      <c r="AA37">
        <v>-3.4428237472307601</v>
      </c>
      <c r="AB37">
        <v>1</v>
      </c>
      <c r="AC37">
        <v>-3.9772458070833299</v>
      </c>
      <c r="AD37">
        <v>-3.62253357374999</v>
      </c>
      <c r="AE37">
        <v>1</v>
      </c>
      <c r="AF37">
        <v>-5.05489174636363</v>
      </c>
      <c r="AG37">
        <v>-4.7119639927272701</v>
      </c>
      <c r="AH37">
        <v>1</v>
      </c>
      <c r="AI37">
        <v>-5.1603611000000003</v>
      </c>
      <c r="AJ37">
        <v>-4.3072049437500004</v>
      </c>
      <c r="AK37">
        <v>1</v>
      </c>
      <c r="AL37">
        <v>-5.2188274874999996</v>
      </c>
      <c r="AM37">
        <v>-4.9553643337499897</v>
      </c>
      <c r="AN37">
        <v>1</v>
      </c>
      <c r="AO37">
        <v>-6.1193888206922997</v>
      </c>
      <c r="AP37">
        <v>-5.6451416691538396</v>
      </c>
      <c r="AQ37">
        <v>1</v>
      </c>
      <c r="AR37">
        <v>-6.4178131183333296</v>
      </c>
      <c r="AS37">
        <v>-5.9816799691666596</v>
      </c>
      <c r="AT37">
        <v>1</v>
      </c>
      <c r="AU37">
        <v>-7.7490358472727197</v>
      </c>
      <c r="AV37">
        <v>-7.3465303263636299</v>
      </c>
      <c r="AW37">
        <v>1</v>
      </c>
      <c r="AX37">
        <v>-8.9553131499999896</v>
      </c>
      <c r="AY37">
        <v>-8.1189618499999998</v>
      </c>
      <c r="AZ37">
        <v>1</v>
      </c>
      <c r="BA37">
        <v>-9.3644936249999997</v>
      </c>
      <c r="BB37">
        <v>-8.4202113874999895</v>
      </c>
      <c r="BC37">
        <v>1</v>
      </c>
      <c r="BD37">
        <v>-3.8294558130769198</v>
      </c>
      <c r="BE37">
        <v>-3.42556513923076</v>
      </c>
      <c r="BF37">
        <v>1</v>
      </c>
      <c r="BG37">
        <v>-4.0030021266666598</v>
      </c>
      <c r="BH37">
        <v>-3.6235979</v>
      </c>
      <c r="BI37">
        <v>1</v>
      </c>
      <c r="BJ37">
        <v>-4.9975402590908997</v>
      </c>
      <c r="BK37">
        <v>-4.6080716581818102</v>
      </c>
      <c r="BL37">
        <v>1</v>
      </c>
      <c r="BM37">
        <v>-5.0613561625000001</v>
      </c>
      <c r="BN37">
        <v>-4.2366029374999998</v>
      </c>
      <c r="BO37">
        <v>1</v>
      </c>
      <c r="BP37">
        <v>-5.2107630125000002</v>
      </c>
      <c r="BQ37">
        <v>-4.9334919962499999</v>
      </c>
      <c r="BR37">
        <v>1</v>
      </c>
    </row>
    <row r="38" spans="1:70" x14ac:dyDescent="0.35">
      <c r="A38" t="s">
        <v>502</v>
      </c>
      <c r="B38" t="s">
        <v>7</v>
      </c>
      <c r="C38" t="s">
        <v>8</v>
      </c>
      <c r="D38">
        <v>0</v>
      </c>
      <c r="E38" t="s">
        <v>150</v>
      </c>
      <c r="F38" t="str">
        <f>INDEX([1]train_xl!$H:$H,MATCH(E38,[1]train_xl!$G:$G,0))</f>
        <v>the-of</v>
      </c>
      <c r="G38" t="str">
        <f>INDEX([1]train_xl!$I:$I,MATCH(E38,[1]train_xl!$G:$G,0))</f>
        <v>sim</v>
      </c>
      <c r="H38" t="str">
        <f>INDEX([1]train_xl!$V:$V,MATCH(E38,[1]train_xl!$G:$G,0))</f>
        <v>not</v>
      </c>
      <c r="I38" t="str">
        <f>INDEX([2]Sheet1!$L:$L,MATCH(E38,[2]Sheet1!$I:$I,0))</f>
        <v>intens</v>
      </c>
      <c r="K38">
        <v>-3.6637878324117601</v>
      </c>
      <c r="L38">
        <v>-4.0627897013333296</v>
      </c>
      <c r="M38">
        <v>1</v>
      </c>
      <c r="N38">
        <v>-3.64742094025</v>
      </c>
      <c r="O38">
        <v>-4.1419752660000002</v>
      </c>
      <c r="P38">
        <v>1</v>
      </c>
      <c r="Q38">
        <v>-4.48875075933333</v>
      </c>
      <c r="R38">
        <v>-4.981114915</v>
      </c>
      <c r="S38">
        <v>1</v>
      </c>
      <c r="T38">
        <v>-4.4104715045000003</v>
      </c>
      <c r="U38">
        <v>-4.5820378815384597</v>
      </c>
      <c r="V38">
        <v>1</v>
      </c>
      <c r="W38">
        <v>-4.6685534078333299</v>
      </c>
      <c r="X38">
        <v>-4.77166540692307</v>
      </c>
      <c r="Y38">
        <v>1</v>
      </c>
      <c r="Z38">
        <v>-3.56882368764705</v>
      </c>
      <c r="AA38">
        <v>-3.8697547353333301</v>
      </c>
      <c r="AB38">
        <v>1</v>
      </c>
      <c r="AC38">
        <v>-3.6542491274375002</v>
      </c>
      <c r="AD38">
        <v>-4.0420341244705797</v>
      </c>
      <c r="AE38">
        <v>1</v>
      </c>
      <c r="AF38">
        <v>-4.411321826</v>
      </c>
      <c r="AG38">
        <v>-4.8793391393749896</v>
      </c>
      <c r="AH38">
        <v>1</v>
      </c>
      <c r="AI38">
        <v>-4.5414340874999999</v>
      </c>
      <c r="AJ38">
        <v>-4.6370002730769198</v>
      </c>
      <c r="AK38">
        <v>1</v>
      </c>
      <c r="AL38">
        <v>-4.7276980999999996</v>
      </c>
      <c r="AM38">
        <v>-4.7282057153846102</v>
      </c>
      <c r="AN38">
        <v>1</v>
      </c>
      <c r="AO38">
        <v>-2.74662424058823</v>
      </c>
      <c r="AP38">
        <v>-3.13236999333333</v>
      </c>
      <c r="AQ38">
        <v>1</v>
      </c>
      <c r="AR38">
        <v>-2.8287264306250002</v>
      </c>
      <c r="AS38">
        <v>-3.3142035298235202</v>
      </c>
      <c r="AT38">
        <v>1</v>
      </c>
      <c r="AU38">
        <v>-3.2396837359999999</v>
      </c>
      <c r="AV38">
        <v>-3.7657551212499998</v>
      </c>
      <c r="AW38">
        <v>1</v>
      </c>
      <c r="AX38">
        <v>-3.3006378033333301</v>
      </c>
      <c r="AY38">
        <v>-3.59106829615384</v>
      </c>
      <c r="AZ38">
        <v>1</v>
      </c>
      <c r="BA38">
        <v>-3.5260044749999899</v>
      </c>
      <c r="BB38">
        <v>-3.8027682453846099</v>
      </c>
      <c r="BC38">
        <v>1</v>
      </c>
      <c r="BD38">
        <v>-3.9745848788235199</v>
      </c>
      <c r="BE38">
        <v>-4.3574106489999904</v>
      </c>
      <c r="BF38">
        <v>1</v>
      </c>
      <c r="BG38">
        <v>-3.9754798270624998</v>
      </c>
      <c r="BH38">
        <v>-4.4164670943529396</v>
      </c>
      <c r="BI38">
        <v>1</v>
      </c>
      <c r="BJ38">
        <v>-4.74475281199999</v>
      </c>
      <c r="BK38">
        <v>-5.1400688862499999</v>
      </c>
      <c r="BL38">
        <v>1</v>
      </c>
      <c r="BM38">
        <v>-5.003515105</v>
      </c>
      <c r="BN38">
        <v>-5.0973734423076902</v>
      </c>
      <c r="BO38">
        <v>1</v>
      </c>
      <c r="BP38">
        <v>-5.2203483883333304</v>
      </c>
      <c r="BQ38">
        <v>-5.2042339807692297</v>
      </c>
      <c r="BR38">
        <v>0</v>
      </c>
    </row>
    <row r="39" spans="1:70" x14ac:dyDescent="0.35">
      <c r="A39" t="s">
        <v>503</v>
      </c>
      <c r="B39" t="s">
        <v>7</v>
      </c>
      <c r="C39" t="s">
        <v>8</v>
      </c>
      <c r="D39">
        <v>1</v>
      </c>
      <c r="E39" t="s">
        <v>151</v>
      </c>
      <c r="F39" t="str">
        <f>INDEX([1]train_xl!$H:$H,MATCH(E39,[1]train_xl!$G:$G,0))</f>
        <v>the-of</v>
      </c>
      <c r="G39" t="str">
        <f>INDEX([1]train_xl!$I:$I,MATCH(E39,[1]train_xl!$G:$G,0))</f>
        <v>sim</v>
      </c>
      <c r="H39" t="str">
        <f>INDEX([1]train_xl!$V:$V,MATCH(E39,[1]train_xl!$G:$G,0))</f>
        <v>not</v>
      </c>
      <c r="I39" t="str">
        <f>INDEX([2]Sheet1!$L:$L,MATCH(E39,[2]Sheet1!$I:$I,0))</f>
        <v>neg</v>
      </c>
      <c r="K39">
        <v>-4.0730720902857103</v>
      </c>
      <c r="L39">
        <v>-3.7759474061866598</v>
      </c>
      <c r="M39">
        <v>1</v>
      </c>
      <c r="N39">
        <v>-4.2854367813307599</v>
      </c>
      <c r="O39">
        <v>-3.7530639663571401</v>
      </c>
      <c r="P39">
        <v>1</v>
      </c>
      <c r="Q39">
        <v>-5.1598559291666604</v>
      </c>
      <c r="R39">
        <v>-4.4668949273846099</v>
      </c>
      <c r="S39">
        <v>1</v>
      </c>
      <c r="T39">
        <v>-4.9279682433333303</v>
      </c>
      <c r="U39">
        <v>-4.6599946210000001</v>
      </c>
      <c r="V39">
        <v>1</v>
      </c>
      <c r="W39">
        <v>-5.3567656122222198</v>
      </c>
      <c r="X39">
        <v>-5.1408785799999999</v>
      </c>
      <c r="Y39">
        <v>1</v>
      </c>
      <c r="Z39">
        <v>-4.4532850509999999</v>
      </c>
      <c r="AA39">
        <v>-4.1999238960999996</v>
      </c>
      <c r="AB39">
        <v>1</v>
      </c>
      <c r="AC39">
        <v>-4.9574421049230697</v>
      </c>
      <c r="AD39">
        <v>-4.3796139796428504</v>
      </c>
      <c r="AE39">
        <v>1</v>
      </c>
      <c r="AF39">
        <v>-5.8440859583333298</v>
      </c>
      <c r="AG39">
        <v>-5.2071125161538401</v>
      </c>
      <c r="AH39">
        <v>1</v>
      </c>
      <c r="AI39">
        <v>-6.0533629199999996</v>
      </c>
      <c r="AJ39">
        <v>-5.6978001259999997</v>
      </c>
      <c r="AK39">
        <v>1</v>
      </c>
      <c r="AL39">
        <v>-6.4118099066666598</v>
      </c>
      <c r="AM39">
        <v>-6.0907672849999903</v>
      </c>
      <c r="AN39">
        <v>1</v>
      </c>
      <c r="AO39">
        <v>-3.6237676677142798</v>
      </c>
      <c r="AP39">
        <v>-3.34548975426666</v>
      </c>
      <c r="AQ39">
        <v>1</v>
      </c>
      <c r="AR39">
        <v>-3.5788561743846099</v>
      </c>
      <c r="AS39">
        <v>-3.3009909752142801</v>
      </c>
      <c r="AT39">
        <v>1</v>
      </c>
      <c r="AU39">
        <v>-4.1007519950000004</v>
      </c>
      <c r="AV39">
        <v>-3.7498085219230699</v>
      </c>
      <c r="AW39">
        <v>1</v>
      </c>
      <c r="AX39">
        <v>-4.1124118066666604</v>
      </c>
      <c r="AY39">
        <v>-4.0020438409999999</v>
      </c>
      <c r="AZ39">
        <v>1</v>
      </c>
      <c r="BA39">
        <v>-4.3503010655555503</v>
      </c>
      <c r="BB39">
        <v>-4.2071499340000003</v>
      </c>
      <c r="BC39">
        <v>1</v>
      </c>
      <c r="BD39">
        <v>-4.8420488717500003</v>
      </c>
      <c r="BE39">
        <v>-4.4349433810666596</v>
      </c>
      <c r="BF39">
        <v>1</v>
      </c>
      <c r="BG39">
        <v>-5.1329271310769196</v>
      </c>
      <c r="BH39">
        <v>-4.6564012970000004</v>
      </c>
      <c r="BI39">
        <v>1</v>
      </c>
      <c r="BJ39">
        <v>-6.1916326116666598</v>
      </c>
      <c r="BK39">
        <v>-5.4369606392307697</v>
      </c>
      <c r="BL39">
        <v>1</v>
      </c>
      <c r="BM39">
        <v>-6.4217841</v>
      </c>
      <c r="BN39">
        <v>-6.0191015449999998</v>
      </c>
      <c r="BO39">
        <v>1</v>
      </c>
      <c r="BP39">
        <v>-6.7602977833333302</v>
      </c>
      <c r="BQ39">
        <v>-6.3920098499999902</v>
      </c>
      <c r="BR39">
        <v>1</v>
      </c>
    </row>
    <row r="40" spans="1:70" x14ac:dyDescent="0.35">
      <c r="A40" t="s">
        <v>504</v>
      </c>
      <c r="B40" t="s">
        <v>9</v>
      </c>
      <c r="C40" t="s">
        <v>10</v>
      </c>
      <c r="D40">
        <v>0</v>
      </c>
      <c r="E40" t="s">
        <v>152</v>
      </c>
      <c r="F40" t="str">
        <f>INDEX([1]train_xl!$H:$H,MATCH(E40,[1]train_xl!$G:$G,0))</f>
        <v>as-as</v>
      </c>
      <c r="G40" t="str">
        <f>INDEX([1]train_xl!$I:$I,MATCH(E40,[1]train_xl!$G:$G,0))</f>
        <v>sim</v>
      </c>
      <c r="H40" t="str">
        <f>INDEX([1]train_xl!$V:$V,MATCH(E40,[1]train_xl!$G:$G,0))</f>
        <v>not</v>
      </c>
      <c r="I40" t="str">
        <f>INDEX([2]Sheet1!$L:$L,MATCH(E40,[2]Sheet1!$I:$I,0))</f>
        <v>intens</v>
      </c>
      <c r="K40">
        <v>-3.2573570122</v>
      </c>
      <c r="L40">
        <v>-3.54990794553333</v>
      </c>
      <c r="M40">
        <v>1</v>
      </c>
      <c r="N40">
        <v>-3.3435140089000002</v>
      </c>
      <c r="O40">
        <v>-3.6367667374714201</v>
      </c>
      <c r="P40">
        <v>1</v>
      </c>
      <c r="Q40">
        <v>-4.0926141994615302</v>
      </c>
      <c r="R40">
        <v>-4.3408326456153796</v>
      </c>
      <c r="S40">
        <v>1</v>
      </c>
      <c r="T40">
        <v>-4.2703874710000003</v>
      </c>
      <c r="U40">
        <v>-4.349420608</v>
      </c>
      <c r="V40">
        <v>1</v>
      </c>
      <c r="W40">
        <v>-4.6471042799999998</v>
      </c>
      <c r="X40">
        <v>-4.8051169900000001</v>
      </c>
      <c r="Y40">
        <v>1</v>
      </c>
      <c r="Z40">
        <v>-3.9703444588000001</v>
      </c>
      <c r="AA40">
        <v>-4.2101075420000003</v>
      </c>
      <c r="AB40">
        <v>1</v>
      </c>
      <c r="AC40">
        <v>-4.1332283158571403</v>
      </c>
      <c r="AD40">
        <v>-4.4072703585714201</v>
      </c>
      <c r="AE40">
        <v>1</v>
      </c>
      <c r="AF40">
        <v>-4.8008744295384602</v>
      </c>
      <c r="AG40">
        <v>-5.04776632723076</v>
      </c>
      <c r="AH40">
        <v>1</v>
      </c>
      <c r="AI40">
        <v>-5.1346402290000004</v>
      </c>
      <c r="AJ40">
        <v>-5.2355287129999999</v>
      </c>
      <c r="AK40">
        <v>1</v>
      </c>
      <c r="AL40">
        <v>-5.3744709099999897</v>
      </c>
      <c r="AM40">
        <v>-5.4856453699999896</v>
      </c>
      <c r="AN40">
        <v>1</v>
      </c>
      <c r="AO40">
        <v>-3.2001801703333301</v>
      </c>
      <c r="AP40">
        <v>-3.4154564903333302</v>
      </c>
      <c r="AQ40">
        <v>1</v>
      </c>
      <c r="AR40">
        <v>-3.1603139935714202</v>
      </c>
      <c r="AS40">
        <v>-3.37746777928571</v>
      </c>
      <c r="AT40">
        <v>1</v>
      </c>
      <c r="AU40">
        <v>-3.8062688861538398</v>
      </c>
      <c r="AV40">
        <v>-4.00117760923077</v>
      </c>
      <c r="AW40">
        <v>1</v>
      </c>
      <c r="AX40">
        <v>-3.7848696399999899</v>
      </c>
      <c r="AY40">
        <v>-4.04542468</v>
      </c>
      <c r="AZ40">
        <v>1</v>
      </c>
      <c r="BA40">
        <v>-4.0794049899999996</v>
      </c>
      <c r="BB40">
        <v>-4.0183131099999896</v>
      </c>
      <c r="BC40">
        <v>0</v>
      </c>
      <c r="BD40">
        <v>-4.3681054033333302</v>
      </c>
      <c r="BE40">
        <v>-4.7065965673333299</v>
      </c>
      <c r="BF40">
        <v>1</v>
      </c>
      <c r="BG40">
        <v>-4.5830814000000002</v>
      </c>
      <c r="BH40">
        <v>-4.9163427071428503</v>
      </c>
      <c r="BI40">
        <v>1</v>
      </c>
      <c r="BJ40">
        <v>-5.3002483746153803</v>
      </c>
      <c r="BK40">
        <v>-5.5438332246153799</v>
      </c>
      <c r="BL40">
        <v>1</v>
      </c>
      <c r="BM40">
        <v>-5.7117929800000002</v>
      </c>
      <c r="BN40">
        <v>-5.8306786900000001</v>
      </c>
      <c r="BO40">
        <v>1</v>
      </c>
      <c r="BP40">
        <v>-5.9684878130000003</v>
      </c>
      <c r="BQ40">
        <v>-6.1371568830000003</v>
      </c>
      <c r="BR40">
        <v>1</v>
      </c>
    </row>
    <row r="41" spans="1:70" x14ac:dyDescent="0.35">
      <c r="A41" t="s">
        <v>505</v>
      </c>
      <c r="B41" t="s">
        <v>9</v>
      </c>
      <c r="C41" t="s">
        <v>10</v>
      </c>
      <c r="D41">
        <v>1</v>
      </c>
      <c r="E41" t="s">
        <v>153</v>
      </c>
      <c r="F41" t="str">
        <f>INDEX([1]train_xl!$H:$H,MATCH(E41,[1]train_xl!$G:$G,0))</f>
        <v>as-as</v>
      </c>
      <c r="G41" t="str">
        <f>INDEX([1]train_xl!$I:$I,MATCH(E41,[1]train_xl!$G:$G,0))</f>
        <v>sim</v>
      </c>
      <c r="H41" t="str">
        <f>INDEX([1]train_xl!$V:$V,MATCH(E41,[1]train_xl!$G:$G,0))</f>
        <v>not</v>
      </c>
      <c r="I41" t="str">
        <f>INDEX([2]Sheet1!$L:$L,MATCH(E41,[2]Sheet1!$I:$I,0))</f>
        <v>neg</v>
      </c>
      <c r="K41">
        <v>-3.66697935681999</v>
      </c>
      <c r="L41">
        <v>-3.32181293348666</v>
      </c>
      <c r="M41">
        <v>1</v>
      </c>
      <c r="N41">
        <v>-3.8364032763571401</v>
      </c>
      <c r="O41">
        <v>-3.4426611263571401</v>
      </c>
      <c r="P41">
        <v>1</v>
      </c>
      <c r="Q41">
        <v>-4.6624404282307701</v>
      </c>
      <c r="R41">
        <v>-4.2099132820769203</v>
      </c>
      <c r="S41">
        <v>1</v>
      </c>
      <c r="T41">
        <v>-4.5730579819999999</v>
      </c>
      <c r="U41">
        <v>-4.3879533619999904</v>
      </c>
      <c r="V41">
        <v>1</v>
      </c>
      <c r="W41">
        <v>-4.911831812</v>
      </c>
      <c r="X41">
        <v>-4.8170930719999996</v>
      </c>
      <c r="Y41">
        <v>1</v>
      </c>
      <c r="Z41">
        <v>-4.08629908393333</v>
      </c>
      <c r="AA41">
        <v>-3.7606833884666599</v>
      </c>
      <c r="AB41">
        <v>1</v>
      </c>
      <c r="AC41">
        <v>-4.2401614767857101</v>
      </c>
      <c r="AD41">
        <v>-3.9245049975000001</v>
      </c>
      <c r="AE41">
        <v>1</v>
      </c>
      <c r="AF41">
        <v>-5.0451862623076904</v>
      </c>
      <c r="AG41">
        <v>-4.6148579007692296</v>
      </c>
      <c r="AH41">
        <v>1</v>
      </c>
      <c r="AI41">
        <v>-5.2222678699999996</v>
      </c>
      <c r="AJ41">
        <v>-5.0234033629999999</v>
      </c>
      <c r="AK41">
        <v>1</v>
      </c>
      <c r="AL41">
        <v>-5.307547896</v>
      </c>
      <c r="AM41">
        <v>-5.232644176</v>
      </c>
      <c r="AN41">
        <v>1</v>
      </c>
      <c r="AO41">
        <v>-3.8151270489333302</v>
      </c>
      <c r="AP41">
        <v>-3.40602758893333</v>
      </c>
      <c r="AQ41">
        <v>1</v>
      </c>
      <c r="AR41">
        <v>-3.7112331507142802</v>
      </c>
      <c r="AS41">
        <v>-3.3502446457142798</v>
      </c>
      <c r="AT41">
        <v>1</v>
      </c>
      <c r="AU41">
        <v>-4.7414987158461503</v>
      </c>
      <c r="AV41">
        <v>-4.4362250235384604</v>
      </c>
      <c r="AW41">
        <v>1</v>
      </c>
      <c r="AX41">
        <v>-4.2752702529999898</v>
      </c>
      <c r="AY41">
        <v>-3.9115368180000001</v>
      </c>
      <c r="AZ41">
        <v>1</v>
      </c>
      <c r="BA41">
        <v>-4.3490685099999897</v>
      </c>
      <c r="BB41">
        <v>-4.2783183699999903</v>
      </c>
      <c r="BC41">
        <v>1</v>
      </c>
      <c r="BD41">
        <v>-4.57945843453333</v>
      </c>
      <c r="BE41">
        <v>-4.1940583770000002</v>
      </c>
      <c r="BF41">
        <v>1</v>
      </c>
      <c r="BG41">
        <v>-4.7760816875714198</v>
      </c>
      <c r="BH41">
        <v>-4.3639663732857104</v>
      </c>
      <c r="BI41">
        <v>1</v>
      </c>
      <c r="BJ41">
        <v>-5.49704821230769</v>
      </c>
      <c r="BK41">
        <v>-4.9534642546153798</v>
      </c>
      <c r="BL41">
        <v>1</v>
      </c>
      <c r="BM41">
        <v>-5.7378418590000004</v>
      </c>
      <c r="BN41">
        <v>-5.5219411950000001</v>
      </c>
      <c r="BO41">
        <v>1</v>
      </c>
      <c r="BP41">
        <v>-5.4659949030000003</v>
      </c>
      <c r="BQ41">
        <v>-5.7529293140000002</v>
      </c>
      <c r="BR41">
        <v>0</v>
      </c>
    </row>
    <row r="42" spans="1:70" x14ac:dyDescent="0.35">
      <c r="A42" t="s">
        <v>506</v>
      </c>
      <c r="B42" t="s">
        <v>507</v>
      </c>
      <c r="C42" t="s">
        <v>508</v>
      </c>
      <c r="D42">
        <v>0</v>
      </c>
      <c r="E42" t="s">
        <v>154</v>
      </c>
      <c r="F42" t="str">
        <f>INDEX([1]train_xl!$H:$H,MATCH(E42,[1]train_xl!$G:$G,0))</f>
        <v>as-as</v>
      </c>
      <c r="G42" t="str">
        <f>INDEX([1]train_xl!$I:$I,MATCH(E42,[1]train_xl!$G:$G,0))</f>
        <v>sim</v>
      </c>
      <c r="H42" t="str">
        <f>INDEX([1]train_xl!$V:$V,MATCH(E42,[1]train_xl!$G:$G,0))</f>
        <v>not</v>
      </c>
      <c r="I42" t="str">
        <f>INDEX([2]Sheet1!$L:$L,MATCH(E42,[2]Sheet1!$I:$I,0))</f>
        <v>neg</v>
      </c>
      <c r="K42">
        <v>-3.4636651281249899</v>
      </c>
      <c r="L42">
        <v>-3.8730551146666601</v>
      </c>
      <c r="M42">
        <v>1</v>
      </c>
      <c r="N42">
        <v>-3.5866916605333299</v>
      </c>
      <c r="O42">
        <v>-4.0330944196214196</v>
      </c>
      <c r="P42">
        <v>1</v>
      </c>
      <c r="Q42">
        <v>-4.5160235437142804</v>
      </c>
      <c r="R42">
        <v>-4.9861840125384598</v>
      </c>
      <c r="S42">
        <v>1</v>
      </c>
      <c r="T42">
        <v>-4.2149653318181803</v>
      </c>
      <c r="U42">
        <v>-4.8491086960000001</v>
      </c>
      <c r="V42">
        <v>1</v>
      </c>
      <c r="W42">
        <v>-4.6387630036363596</v>
      </c>
      <c r="X42">
        <v>-5.1519694969999996</v>
      </c>
      <c r="Y42">
        <v>1</v>
      </c>
      <c r="Z42">
        <v>-3.790678442875</v>
      </c>
      <c r="AA42">
        <v>-4.0036881910000002</v>
      </c>
      <c r="AB42">
        <v>1</v>
      </c>
      <c r="AC42">
        <v>-3.85886582073333</v>
      </c>
      <c r="AD42">
        <v>-4.0470760878571399</v>
      </c>
      <c r="AE42">
        <v>1</v>
      </c>
      <c r="AF42">
        <v>-4.6893694999999997</v>
      </c>
      <c r="AG42">
        <v>-4.9285260584615296</v>
      </c>
      <c r="AH42">
        <v>1</v>
      </c>
      <c r="AI42">
        <v>-4.4773309818181799</v>
      </c>
      <c r="AJ42">
        <v>-4.8595083199999998</v>
      </c>
      <c r="AK42">
        <v>1</v>
      </c>
      <c r="AL42">
        <v>-4.7769054745454502</v>
      </c>
      <c r="AM42">
        <v>-5.1322341099999997</v>
      </c>
      <c r="AN42">
        <v>1</v>
      </c>
      <c r="AO42">
        <v>-3.3580252287499901</v>
      </c>
      <c r="AP42">
        <v>-3.5301445930666602</v>
      </c>
      <c r="AQ42">
        <v>1</v>
      </c>
      <c r="AR42">
        <v>-3.2429901999999999</v>
      </c>
      <c r="AS42">
        <v>-3.4268860852857101</v>
      </c>
      <c r="AT42">
        <v>1</v>
      </c>
      <c r="AU42">
        <v>-3.7980928585714202</v>
      </c>
      <c r="AV42">
        <v>-4.0686742746153799</v>
      </c>
      <c r="AW42">
        <v>1</v>
      </c>
      <c r="AX42">
        <v>-3.6837515863636301</v>
      </c>
      <c r="AY42">
        <v>-3.977544151</v>
      </c>
      <c r="AZ42">
        <v>1</v>
      </c>
      <c r="BA42">
        <v>-3.8108241700000001</v>
      </c>
      <c r="BB42">
        <v>-4.1253394800000001</v>
      </c>
      <c r="BC42">
        <v>1</v>
      </c>
      <c r="BD42">
        <v>-3.8372343012499899</v>
      </c>
      <c r="BE42">
        <v>-4.0717607319999898</v>
      </c>
      <c r="BF42">
        <v>1</v>
      </c>
      <c r="BG42">
        <v>-3.9103321819999999</v>
      </c>
      <c r="BH42">
        <v>-4.1219309671428501</v>
      </c>
      <c r="BI42">
        <v>1</v>
      </c>
      <c r="BJ42">
        <v>-4.7151594499999998</v>
      </c>
      <c r="BK42">
        <v>-4.9264563138461499</v>
      </c>
      <c r="BL42">
        <v>1</v>
      </c>
      <c r="BM42">
        <v>-4.5703427636363596</v>
      </c>
      <c r="BN42">
        <v>-4.9725183399999997</v>
      </c>
      <c r="BO42">
        <v>1</v>
      </c>
      <c r="BP42">
        <v>-4.8826344454545403</v>
      </c>
      <c r="BQ42">
        <v>-5.2985687039999902</v>
      </c>
      <c r="BR42">
        <v>1</v>
      </c>
    </row>
    <row r="43" spans="1:70" x14ac:dyDescent="0.35">
      <c r="A43" t="s">
        <v>509</v>
      </c>
      <c r="B43" t="s">
        <v>507</v>
      </c>
      <c r="C43" t="s">
        <v>508</v>
      </c>
      <c r="D43">
        <v>1</v>
      </c>
      <c r="E43" t="s">
        <v>155</v>
      </c>
      <c r="F43" t="str">
        <f>INDEX([1]train_xl!$H:$H,MATCH(E43,[1]train_xl!$G:$G,0))</f>
        <v>as-as</v>
      </c>
      <c r="G43" t="str">
        <f>INDEX([1]train_xl!$I:$I,MATCH(E43,[1]train_xl!$G:$G,0))</f>
        <v>sim</v>
      </c>
      <c r="H43" t="str">
        <f>INDEX([1]train_xl!$V:$V,MATCH(E43,[1]train_xl!$G:$G,0))</f>
        <v>not</v>
      </c>
      <c r="I43" t="str">
        <f>INDEX([2]Sheet1!$L:$L,MATCH(E43,[2]Sheet1!$I:$I,0))</f>
        <v>intens</v>
      </c>
      <c r="K43">
        <v>-3.6417511149999999</v>
      </c>
      <c r="L43">
        <v>-4.0862020680000004</v>
      </c>
      <c r="M43">
        <v>0</v>
      </c>
      <c r="N43">
        <v>-3.7440253781333301</v>
      </c>
      <c r="O43">
        <v>-4.2471839937857103</v>
      </c>
      <c r="P43">
        <v>0</v>
      </c>
      <c r="Q43">
        <v>-4.6854809744999999</v>
      </c>
      <c r="R43">
        <v>-5.2452952813846103</v>
      </c>
      <c r="S43">
        <v>0</v>
      </c>
      <c r="T43">
        <v>-4.8553247727272701</v>
      </c>
      <c r="U43">
        <v>-4.9938890639999904</v>
      </c>
      <c r="V43">
        <v>0</v>
      </c>
      <c r="W43">
        <v>-5.2824624636363602</v>
      </c>
      <c r="X43">
        <v>-5.4057094269999997</v>
      </c>
      <c r="Y43">
        <v>0</v>
      </c>
      <c r="Z43">
        <v>-3.8199413949999999</v>
      </c>
      <c r="AA43">
        <v>-4.26085396066666</v>
      </c>
      <c r="AB43">
        <v>0</v>
      </c>
      <c r="AC43">
        <v>-3.9534633068666598</v>
      </c>
      <c r="AD43">
        <v>-4.3643608264285696</v>
      </c>
      <c r="AE43">
        <v>0</v>
      </c>
      <c r="AF43">
        <v>-4.8657237292857101</v>
      </c>
      <c r="AG43">
        <v>-5.3368733692307604</v>
      </c>
      <c r="AH43">
        <v>0</v>
      </c>
      <c r="AI43">
        <v>-4.7569884545454499</v>
      </c>
      <c r="AJ43">
        <v>-5.1285185000000002</v>
      </c>
      <c r="AK43">
        <v>0</v>
      </c>
      <c r="AL43">
        <v>-4.95476107272727</v>
      </c>
      <c r="AM43">
        <v>-5.3549592400000003</v>
      </c>
      <c r="AN43">
        <v>0</v>
      </c>
      <c r="AO43">
        <v>-3.6110924718750002</v>
      </c>
      <c r="AP43">
        <v>-3.90778173333333</v>
      </c>
      <c r="AQ43">
        <v>0</v>
      </c>
      <c r="AR43">
        <v>-3.4965164986666601</v>
      </c>
      <c r="AS43">
        <v>-3.82391375928571</v>
      </c>
      <c r="AT43">
        <v>0</v>
      </c>
      <c r="AU43">
        <v>-4.2893297942857096</v>
      </c>
      <c r="AV43">
        <v>-4.6739498730769196</v>
      </c>
      <c r="AW43">
        <v>0</v>
      </c>
      <c r="AX43">
        <v>-4.1709996272727201</v>
      </c>
      <c r="AY43">
        <v>-4.4290111400000001</v>
      </c>
      <c r="AZ43">
        <v>0</v>
      </c>
      <c r="BA43">
        <v>-4.25293673272727</v>
      </c>
      <c r="BB43">
        <v>-4.4348995499999901</v>
      </c>
      <c r="BC43">
        <v>0</v>
      </c>
      <c r="BD43">
        <v>-3.9193318256249898</v>
      </c>
      <c r="BE43">
        <v>-4.3581238500000001</v>
      </c>
      <c r="BF43">
        <v>0</v>
      </c>
      <c r="BG43">
        <v>-3.9611265739999899</v>
      </c>
      <c r="BH43">
        <v>-4.4352238210714203</v>
      </c>
      <c r="BI43">
        <v>0</v>
      </c>
      <c r="BJ43">
        <v>-4.9528805078571398</v>
      </c>
      <c r="BK43">
        <v>-5.3732670656922998</v>
      </c>
      <c r="BL43">
        <v>0</v>
      </c>
      <c r="BM43">
        <v>-4.8941094363636299</v>
      </c>
      <c r="BN43">
        <v>-5.2745666459999896</v>
      </c>
      <c r="BO43">
        <v>0</v>
      </c>
      <c r="BP43">
        <v>-5.0145833972727196</v>
      </c>
      <c r="BQ43">
        <v>-5.4957851160000004</v>
      </c>
      <c r="BR43">
        <v>0</v>
      </c>
    </row>
    <row r="44" spans="1:70" x14ac:dyDescent="0.35">
      <c r="A44" t="s">
        <v>510</v>
      </c>
      <c r="B44" t="s">
        <v>511</v>
      </c>
      <c r="C44" t="s">
        <v>512</v>
      </c>
      <c r="D44">
        <v>0</v>
      </c>
      <c r="E44" t="s">
        <v>156</v>
      </c>
      <c r="F44" t="str">
        <f>INDEX([1]train_xl!$H:$H,MATCH(E44,[1]train_xl!$G:$G,0))</f>
        <v>as</v>
      </c>
      <c r="G44" t="str">
        <f>INDEX([1]train_xl!$I:$I,MATCH(E44,[1]train_xl!$G:$G,0))</f>
        <v>sim</v>
      </c>
      <c r="H44" t="str">
        <f>INDEX([1]train_xl!$V:$V,MATCH(E44,[1]train_xl!$G:$G,0))</f>
        <v>not</v>
      </c>
      <c r="I44" t="str">
        <f>INDEX([2]Sheet1!$L:$L,MATCH(E44,[2]Sheet1!$I:$I,0))</f>
        <v>intens</v>
      </c>
      <c r="K44">
        <v>-4.4060700544615301</v>
      </c>
      <c r="L44">
        <v>-4.2638684673571401</v>
      </c>
      <c r="M44">
        <v>0</v>
      </c>
      <c r="N44">
        <v>-4.6381218354999998</v>
      </c>
      <c r="O44">
        <v>-4.4434740286153804</v>
      </c>
      <c r="P44">
        <v>0</v>
      </c>
      <c r="Q44">
        <v>-5.8257709881818096</v>
      </c>
      <c r="R44">
        <v>-5.5270878891666602</v>
      </c>
      <c r="S44">
        <v>0</v>
      </c>
      <c r="T44">
        <v>-5.8773821750000002</v>
      </c>
      <c r="U44">
        <v>-5.5704403999999901</v>
      </c>
      <c r="V44">
        <v>0</v>
      </c>
      <c r="W44">
        <v>-6.3329803125000002</v>
      </c>
      <c r="X44">
        <v>-5.8900016777777697</v>
      </c>
      <c r="Y44">
        <v>0</v>
      </c>
      <c r="Z44">
        <v>-4.1730746773076897</v>
      </c>
      <c r="AA44">
        <v>-4.05103575385714</v>
      </c>
      <c r="AB44">
        <v>0</v>
      </c>
      <c r="AC44">
        <v>-4.26515368466666</v>
      </c>
      <c r="AD44">
        <v>-4.1173370550769199</v>
      </c>
      <c r="AE44">
        <v>0</v>
      </c>
      <c r="AF44">
        <v>-5.4070262272727199</v>
      </c>
      <c r="AG44">
        <v>-5.1324118841666602</v>
      </c>
      <c r="AH44">
        <v>0</v>
      </c>
      <c r="AI44">
        <v>-5.2980565999999998</v>
      </c>
      <c r="AJ44">
        <v>-5.2477156444444404</v>
      </c>
      <c r="AK44">
        <v>0</v>
      </c>
      <c r="AL44">
        <v>-5.3727335924999897</v>
      </c>
      <c r="AM44">
        <v>-5.1353242555555498</v>
      </c>
      <c r="AN44">
        <v>0</v>
      </c>
      <c r="AO44">
        <v>-4.7745611080769201</v>
      </c>
      <c r="AP44">
        <v>-4.68919043928571</v>
      </c>
      <c r="AQ44">
        <v>0</v>
      </c>
      <c r="AR44">
        <v>-4.91668859583333</v>
      </c>
      <c r="AS44">
        <v>-4.7638042992307597</v>
      </c>
      <c r="AT44">
        <v>0</v>
      </c>
      <c r="AU44">
        <v>-5.9671288063636299</v>
      </c>
      <c r="AV44">
        <v>-5.7544453883333304</v>
      </c>
      <c r="AW44">
        <v>0</v>
      </c>
      <c r="AX44">
        <v>-6.0135809149999897</v>
      </c>
      <c r="AY44">
        <v>-6.0701019822222202</v>
      </c>
      <c r="AZ44">
        <v>1</v>
      </c>
      <c r="BA44">
        <v>-6.4337939725000002</v>
      </c>
      <c r="BB44">
        <v>-6.2112597599999999</v>
      </c>
      <c r="BC44">
        <v>0</v>
      </c>
      <c r="BD44">
        <v>-4.2074380781538396</v>
      </c>
      <c r="BE44">
        <v>-4.0879342981428497</v>
      </c>
      <c r="BF44">
        <v>0</v>
      </c>
      <c r="BG44">
        <v>-4.5030330335833302</v>
      </c>
      <c r="BH44">
        <v>-4.3450930234615299</v>
      </c>
      <c r="BI44">
        <v>0</v>
      </c>
      <c r="BJ44">
        <v>-5.4729855109090897</v>
      </c>
      <c r="BK44">
        <v>-5.2290449808333301</v>
      </c>
      <c r="BL44">
        <v>0</v>
      </c>
      <c r="BM44">
        <v>-5.3462614625000002</v>
      </c>
      <c r="BN44">
        <v>-5.4235392333333303</v>
      </c>
      <c r="BO44">
        <v>1</v>
      </c>
      <c r="BP44">
        <v>-5.7312243125000002</v>
      </c>
      <c r="BQ44">
        <v>-5.6888181555555501</v>
      </c>
      <c r="BR44">
        <v>0</v>
      </c>
    </row>
    <row r="45" spans="1:70" x14ac:dyDescent="0.35">
      <c r="A45" t="s">
        <v>513</v>
      </c>
      <c r="B45" t="s">
        <v>511</v>
      </c>
      <c r="C45" t="s">
        <v>512</v>
      </c>
      <c r="D45">
        <v>1</v>
      </c>
      <c r="E45" t="s">
        <v>157</v>
      </c>
      <c r="F45" t="str">
        <f>INDEX([1]train_xl!$H:$H,MATCH(E45,[1]train_xl!$G:$G,0))</f>
        <v>as</v>
      </c>
      <c r="G45" t="str">
        <f>INDEX([1]train_xl!$I:$I,MATCH(E45,[1]train_xl!$G:$G,0))</f>
        <v>sim</v>
      </c>
      <c r="H45" t="str">
        <f>INDEX([1]train_xl!$V:$V,MATCH(E45,[1]train_xl!$G:$G,0))</f>
        <v>not</v>
      </c>
      <c r="I45" t="str">
        <f>INDEX([2]Sheet1!$L:$L,MATCH(E45,[2]Sheet1!$I:$I,0))</f>
        <v>neg</v>
      </c>
      <c r="K45">
        <v>-4.2591377677916604</v>
      </c>
      <c r="L45">
        <v>-4.1326792836153796</v>
      </c>
      <c r="M45">
        <v>1</v>
      </c>
      <c r="N45">
        <v>-4.55046327727272</v>
      </c>
      <c r="O45">
        <v>-4.3292830681666601</v>
      </c>
      <c r="P45">
        <v>1</v>
      </c>
      <c r="Q45">
        <v>-5.7042154111999999</v>
      </c>
      <c r="R45">
        <v>-5.3997598790909098</v>
      </c>
      <c r="S45">
        <v>1</v>
      </c>
      <c r="T45">
        <v>-5.9182632000000002</v>
      </c>
      <c r="U45">
        <v>-5.4839152000000002</v>
      </c>
      <c r="V45">
        <v>1</v>
      </c>
      <c r="W45">
        <v>-6.3904048857142799</v>
      </c>
      <c r="X45">
        <v>-5.9365950500000002</v>
      </c>
      <c r="Y45">
        <v>1</v>
      </c>
      <c r="Z45">
        <v>-3.7161891979166599</v>
      </c>
      <c r="AA45">
        <v>-3.5948933005384598</v>
      </c>
      <c r="AB45">
        <v>1</v>
      </c>
      <c r="AC45">
        <v>-3.99869681181818</v>
      </c>
      <c r="AD45">
        <v>-3.75021422583333</v>
      </c>
      <c r="AE45">
        <v>1</v>
      </c>
      <c r="AF45">
        <v>-5.1630917969999999</v>
      </c>
      <c r="AG45">
        <v>-4.8454806545454501</v>
      </c>
      <c r="AH45">
        <v>1</v>
      </c>
      <c r="AI45">
        <v>-4.7863450714285696</v>
      </c>
      <c r="AJ45">
        <v>-4.6155423999999998</v>
      </c>
      <c r="AK45">
        <v>1</v>
      </c>
      <c r="AL45">
        <v>-5.2458227242857101</v>
      </c>
      <c r="AM45">
        <v>-4.9374544712499997</v>
      </c>
      <c r="AN45">
        <v>1</v>
      </c>
      <c r="AO45">
        <v>-4.8560934410833303</v>
      </c>
      <c r="AP45">
        <v>-4.5285252026923004</v>
      </c>
      <c r="AQ45">
        <v>1</v>
      </c>
      <c r="AR45">
        <v>-5.0576615681818096</v>
      </c>
      <c r="AS45">
        <v>-4.5980162178333304</v>
      </c>
      <c r="AT45">
        <v>1</v>
      </c>
      <c r="AU45">
        <v>-6.0989152919999903</v>
      </c>
      <c r="AV45">
        <v>-5.5717285490909001</v>
      </c>
      <c r="AW45">
        <v>1</v>
      </c>
      <c r="AX45">
        <v>-6.6287821714285702</v>
      </c>
      <c r="AY45">
        <v>-6.1987627499999904</v>
      </c>
      <c r="AZ45">
        <v>1</v>
      </c>
      <c r="BA45">
        <v>-6.6044480428571397</v>
      </c>
      <c r="BB45">
        <v>-6.1428148174999997</v>
      </c>
      <c r="BC45">
        <v>1</v>
      </c>
      <c r="BD45">
        <v>-4.0351586983333299</v>
      </c>
      <c r="BE45">
        <v>-3.8489220016923</v>
      </c>
      <c r="BF45">
        <v>1</v>
      </c>
      <c r="BG45">
        <v>-4.1759582609090904</v>
      </c>
      <c r="BH45">
        <v>-4.0663902891666597</v>
      </c>
      <c r="BI45">
        <v>1</v>
      </c>
      <c r="BJ45">
        <v>-5.4699648400000003</v>
      </c>
      <c r="BK45">
        <v>-5.1110115363636304</v>
      </c>
      <c r="BL45">
        <v>1</v>
      </c>
      <c r="BM45">
        <v>-5.2497227285714203</v>
      </c>
      <c r="BN45">
        <v>-5.0940962000000001</v>
      </c>
      <c r="BO45">
        <v>1</v>
      </c>
      <c r="BP45">
        <v>-5.8456496142857102</v>
      </c>
      <c r="BQ45">
        <v>-5.3328461750000002</v>
      </c>
      <c r="BR45">
        <v>1</v>
      </c>
    </row>
    <row r="46" spans="1:70" x14ac:dyDescent="0.35">
      <c r="A46" t="s">
        <v>514</v>
      </c>
      <c r="B46" t="s">
        <v>515</v>
      </c>
      <c r="C46" t="s">
        <v>516</v>
      </c>
      <c r="D46">
        <v>0</v>
      </c>
      <c r="E46" t="s">
        <v>158</v>
      </c>
      <c r="F46" t="str">
        <f>INDEX([1]train_xl!$H:$H,MATCH(E46,[1]train_xl!$G:$G,0))</f>
        <v>as-as</v>
      </c>
      <c r="G46" t="str">
        <f>INDEX([1]train_xl!$I:$I,MATCH(E46,[1]train_xl!$G:$G,0))</f>
        <v>sim</v>
      </c>
      <c r="H46" t="str">
        <f>INDEX([1]train_xl!$V:$V,MATCH(E46,[1]train_xl!$G:$G,0))</f>
        <v>antonym</v>
      </c>
      <c r="I46" t="str">
        <f>INDEX([2]Sheet1!$L:$L,MATCH(E46,[2]Sheet1!$I:$I,0))</f>
        <v>intens</v>
      </c>
      <c r="K46">
        <v>-3.83414696052199</v>
      </c>
      <c r="L46">
        <v>-4.0404260144343702</v>
      </c>
      <c r="M46">
        <v>1</v>
      </c>
      <c r="N46">
        <v>-3.9480080840642802</v>
      </c>
      <c r="O46">
        <v>-4.0993619935199996</v>
      </c>
      <c r="P46">
        <v>1</v>
      </c>
      <c r="Q46">
        <v>-4.5929136532307604</v>
      </c>
      <c r="R46">
        <v>-4.7340056109285698</v>
      </c>
      <c r="S46">
        <v>1</v>
      </c>
      <c r="T46">
        <v>-4.6547951149999998</v>
      </c>
      <c r="U46">
        <v>-4.6992300127272699</v>
      </c>
      <c r="V46">
        <v>1</v>
      </c>
      <c r="W46">
        <v>-5.0197947489999999</v>
      </c>
      <c r="X46">
        <v>-4.9515141845454496</v>
      </c>
      <c r="Y46">
        <v>0</v>
      </c>
      <c r="Z46">
        <v>-4.8094459438666597</v>
      </c>
      <c r="AA46">
        <v>-4.99163867324999</v>
      </c>
      <c r="AB46">
        <v>1</v>
      </c>
      <c r="AC46">
        <v>-4.8637182064285698</v>
      </c>
      <c r="AD46">
        <v>-4.9991215446666599</v>
      </c>
      <c r="AE46">
        <v>1</v>
      </c>
      <c r="AF46">
        <v>-5.5517419399999897</v>
      </c>
      <c r="AG46">
        <v>-5.6526442178571399</v>
      </c>
      <c r="AH46">
        <v>1</v>
      </c>
      <c r="AI46">
        <v>-6.0295362839999997</v>
      </c>
      <c r="AJ46">
        <v>-5.9388736618181799</v>
      </c>
      <c r="AK46">
        <v>0</v>
      </c>
      <c r="AL46">
        <v>-6.3054940309999896</v>
      </c>
      <c r="AM46">
        <v>-6.0883471090908996</v>
      </c>
      <c r="AN46">
        <v>0</v>
      </c>
      <c r="AO46">
        <v>-3.3869642591999898</v>
      </c>
      <c r="AP46">
        <v>-3.5020989481874998</v>
      </c>
      <c r="AQ46">
        <v>1</v>
      </c>
      <c r="AR46">
        <v>-3.5396178189285701</v>
      </c>
      <c r="AS46">
        <v>-3.72751790199999</v>
      </c>
      <c r="AT46">
        <v>1</v>
      </c>
      <c r="AU46">
        <v>-4.1241175061538398</v>
      </c>
      <c r="AV46">
        <v>-4.2768472392857104</v>
      </c>
      <c r="AW46">
        <v>1</v>
      </c>
      <c r="AX46">
        <v>-4.0852489460000001</v>
      </c>
      <c r="AY46">
        <v>-4.4297765327272698</v>
      </c>
      <c r="AZ46">
        <v>1</v>
      </c>
      <c r="BA46">
        <v>-4.3445598629999997</v>
      </c>
      <c r="BB46">
        <v>-4.3311449399999997</v>
      </c>
      <c r="BC46">
        <v>0</v>
      </c>
      <c r="BD46">
        <v>-4.4089924191333303</v>
      </c>
      <c r="BE46">
        <v>-4.5871987169375004</v>
      </c>
      <c r="BF46">
        <v>1</v>
      </c>
      <c r="BG46">
        <v>-5.0444587314285698</v>
      </c>
      <c r="BH46">
        <v>-4.8761303331333297</v>
      </c>
      <c r="BI46">
        <v>0</v>
      </c>
      <c r="BJ46">
        <v>-5.5688685781538396</v>
      </c>
      <c r="BK46">
        <v>-5.5105381835714198</v>
      </c>
      <c r="BL46">
        <v>0</v>
      </c>
      <c r="BM46">
        <v>-5.8331404310000003</v>
      </c>
      <c r="BN46">
        <v>-5.7714784509090897</v>
      </c>
      <c r="BO46">
        <v>0</v>
      </c>
      <c r="BP46">
        <v>-6.6089184449999898</v>
      </c>
      <c r="BQ46">
        <v>-5.9618602081818102</v>
      </c>
      <c r="BR46">
        <v>0</v>
      </c>
    </row>
    <row r="47" spans="1:70" x14ac:dyDescent="0.35">
      <c r="A47" t="s">
        <v>517</v>
      </c>
      <c r="B47" t="s">
        <v>515</v>
      </c>
      <c r="C47" t="s">
        <v>516</v>
      </c>
      <c r="D47">
        <v>1</v>
      </c>
      <c r="E47" t="s">
        <v>159</v>
      </c>
      <c r="F47" t="str">
        <f>INDEX([1]train_xl!$H:$H,MATCH(E47,[1]train_xl!$G:$G,0))</f>
        <v>as-as</v>
      </c>
      <c r="G47" t="str">
        <f>INDEX([1]train_xl!$I:$I,MATCH(E47,[1]train_xl!$G:$G,0))</f>
        <v>sim</v>
      </c>
      <c r="H47" t="str">
        <f>INDEX([1]train_xl!$V:$V,MATCH(E47,[1]train_xl!$G:$G,0))</f>
        <v>antonym</v>
      </c>
      <c r="I47" t="str">
        <f>INDEX([2]Sheet1!$L:$L,MATCH(E47,[2]Sheet1!$I:$I,0))</f>
        <v>neg</v>
      </c>
      <c r="K47">
        <v>-3.97621789935714</v>
      </c>
      <c r="L47">
        <v>-3.3269930940666601</v>
      </c>
      <c r="M47">
        <v>1</v>
      </c>
      <c r="N47">
        <v>-4.1018190947923001</v>
      </c>
      <c r="O47">
        <v>-3.5859963196714202</v>
      </c>
      <c r="P47">
        <v>1</v>
      </c>
      <c r="Q47">
        <v>-4.9606033251666597</v>
      </c>
      <c r="R47">
        <v>-4.3457773112307603</v>
      </c>
      <c r="S47">
        <v>1</v>
      </c>
      <c r="T47">
        <v>-4.7286535722222203</v>
      </c>
      <c r="U47">
        <v>-4.4957675889999997</v>
      </c>
      <c r="V47">
        <v>1</v>
      </c>
      <c r="W47">
        <v>-5.0937255866666602</v>
      </c>
      <c r="X47">
        <v>-4.9320235329999997</v>
      </c>
      <c r="Y47">
        <v>1</v>
      </c>
      <c r="Z47">
        <v>-4.8867780757142798</v>
      </c>
      <c r="AA47">
        <v>-4.5230436306666597</v>
      </c>
      <c r="AB47">
        <v>1</v>
      </c>
      <c r="AC47">
        <v>-5.0423212605384604</v>
      </c>
      <c r="AD47">
        <v>-4.3731333923571398</v>
      </c>
      <c r="AE47">
        <v>1</v>
      </c>
      <c r="AF47">
        <v>-6.0678043983333296</v>
      </c>
      <c r="AG47">
        <v>-5.38525302884615</v>
      </c>
      <c r="AH47">
        <v>1</v>
      </c>
      <c r="AI47">
        <v>-6.0950363055555501</v>
      </c>
      <c r="AJ47">
        <v>-5.681295746</v>
      </c>
      <c r="AK47">
        <v>1</v>
      </c>
      <c r="AL47">
        <v>-6.4530425444444397</v>
      </c>
      <c r="AM47">
        <v>-5.9805604250000002</v>
      </c>
      <c r="AN47">
        <v>1</v>
      </c>
      <c r="AO47">
        <v>-3.2243707307142802</v>
      </c>
      <c r="AP47">
        <v>-2.8729210486666599</v>
      </c>
      <c r="AQ47">
        <v>1</v>
      </c>
      <c r="AR47">
        <v>-3.39722788153846</v>
      </c>
      <c r="AS47">
        <v>-2.9266607378571399</v>
      </c>
      <c r="AT47">
        <v>1</v>
      </c>
      <c r="AU47">
        <v>-3.88555206083333</v>
      </c>
      <c r="AV47">
        <v>-3.5158999423076902</v>
      </c>
      <c r="AW47">
        <v>1</v>
      </c>
      <c r="AX47">
        <v>-3.6965051377777698</v>
      </c>
      <c r="AY47">
        <v>-3.5016557509999999</v>
      </c>
      <c r="AZ47">
        <v>1</v>
      </c>
      <c r="BA47">
        <v>-4.01251470444444</v>
      </c>
      <c r="BB47">
        <v>-3.70139475299999</v>
      </c>
      <c r="BC47">
        <v>1</v>
      </c>
      <c r="BD47">
        <v>-4.8324689524285702</v>
      </c>
      <c r="BE47">
        <v>-4.1569015711999997</v>
      </c>
      <c r="BF47">
        <v>1</v>
      </c>
      <c r="BG47">
        <v>-4.9892824780769196</v>
      </c>
      <c r="BH47">
        <v>-4.24522539028571</v>
      </c>
      <c r="BI47">
        <v>1</v>
      </c>
      <c r="BJ47">
        <v>-6.40786487</v>
      </c>
      <c r="BK47">
        <v>-5.35332514384615</v>
      </c>
      <c r="BL47">
        <v>1</v>
      </c>
      <c r="BM47">
        <v>-6.0521233111111101</v>
      </c>
      <c r="BN47">
        <v>-5.6334005359999999</v>
      </c>
      <c r="BO47">
        <v>1</v>
      </c>
      <c r="BP47">
        <v>-6.5184385144444397</v>
      </c>
      <c r="BQ47">
        <v>-5.9645922300000001</v>
      </c>
      <c r="BR47">
        <v>1</v>
      </c>
    </row>
    <row r="48" spans="1:70" x14ac:dyDescent="0.35">
      <c r="A48" t="s">
        <v>518</v>
      </c>
      <c r="B48" t="s">
        <v>519</v>
      </c>
      <c r="C48" t="s">
        <v>520</v>
      </c>
      <c r="D48">
        <v>0</v>
      </c>
      <c r="E48" t="s">
        <v>160</v>
      </c>
      <c r="F48" t="str">
        <f>INDEX([1]train_xl!$H:$H,MATCH(E48,[1]train_xl!$G:$G,0))</f>
        <v>the-of</v>
      </c>
      <c r="G48" t="str">
        <f>INDEX([1]train_xl!$I:$I,MATCH(E48,[1]train_xl!$G:$G,0))</f>
        <v>sim</v>
      </c>
      <c r="H48" t="str">
        <f>INDEX([1]train_xl!$V:$V,MATCH(E48,[1]train_xl!$G:$G,0))</f>
        <v>not</v>
      </c>
      <c r="I48" t="str">
        <f>INDEX([2]Sheet1!$L:$L,MATCH(E48,[2]Sheet1!$I:$I,0))</f>
        <v>intens</v>
      </c>
      <c r="K48">
        <v>-4.0872212034375002</v>
      </c>
      <c r="L48">
        <v>-4.338534911</v>
      </c>
      <c r="M48">
        <v>1</v>
      </c>
      <c r="N48">
        <v>-4.2136014916000004</v>
      </c>
      <c r="O48">
        <v>-4.4356708339374897</v>
      </c>
      <c r="P48">
        <v>1</v>
      </c>
      <c r="Q48">
        <v>-4.96955164157142</v>
      </c>
      <c r="R48">
        <v>-5.1981091315999999</v>
      </c>
      <c r="S48">
        <v>1</v>
      </c>
      <c r="T48">
        <v>-5.2154043327272701</v>
      </c>
      <c r="U48">
        <v>-5.2177412249999904</v>
      </c>
      <c r="V48">
        <v>1</v>
      </c>
      <c r="W48">
        <v>-5.4325074999999998</v>
      </c>
      <c r="X48">
        <v>-5.3919248116666596</v>
      </c>
      <c r="Y48">
        <v>0</v>
      </c>
      <c r="Z48">
        <v>-4.2390434484374904</v>
      </c>
      <c r="AA48">
        <v>-4.36046007452941</v>
      </c>
      <c r="AB48">
        <v>1</v>
      </c>
      <c r="AC48">
        <v>-4.2833512371333304</v>
      </c>
      <c r="AD48">
        <v>-4.5375961444374999</v>
      </c>
      <c r="AE48">
        <v>1</v>
      </c>
      <c r="AF48">
        <v>-5.0875344878571402</v>
      </c>
      <c r="AG48">
        <v>-5.3210402160000001</v>
      </c>
      <c r="AH48">
        <v>1</v>
      </c>
      <c r="AI48">
        <v>-5.3683651390909004</v>
      </c>
      <c r="AJ48">
        <v>-5.3305689916666603</v>
      </c>
      <c r="AK48">
        <v>0</v>
      </c>
      <c r="AL48">
        <v>-5.5136821272727197</v>
      </c>
      <c r="AM48">
        <v>-5.4765981166666604</v>
      </c>
      <c r="AN48">
        <v>0</v>
      </c>
      <c r="AO48">
        <v>-3.3868160231250002</v>
      </c>
      <c r="AP48">
        <v>-3.7566258699999899</v>
      </c>
      <c r="AQ48">
        <v>1</v>
      </c>
      <c r="AR48">
        <v>-3.3344276480000001</v>
      </c>
      <c r="AS48">
        <v>-3.7636684434999998</v>
      </c>
      <c r="AT48">
        <v>1</v>
      </c>
      <c r="AU48">
        <v>-3.8368818057142802</v>
      </c>
      <c r="AV48">
        <v>-4.2320397086666599</v>
      </c>
      <c r="AW48">
        <v>1</v>
      </c>
      <c r="AX48">
        <v>-4.1055358454545399</v>
      </c>
      <c r="AY48">
        <v>-4.2765822083333296</v>
      </c>
      <c r="AZ48">
        <v>1</v>
      </c>
      <c r="BA48">
        <v>-4.1930993581818097</v>
      </c>
      <c r="BB48">
        <v>-4.3943928416666598</v>
      </c>
      <c r="BC48">
        <v>1</v>
      </c>
      <c r="BD48">
        <v>-4.2002013398124998</v>
      </c>
      <c r="BE48">
        <v>-4.4293930514705799</v>
      </c>
      <c r="BF48">
        <v>1</v>
      </c>
      <c r="BG48">
        <v>-4.2810967599333303</v>
      </c>
      <c r="BH48">
        <v>-4.5539808659999998</v>
      </c>
      <c r="BI48">
        <v>1</v>
      </c>
      <c r="BJ48">
        <v>-5.0725196760714297</v>
      </c>
      <c r="BK48">
        <v>-5.3921240273333302</v>
      </c>
      <c r="BL48">
        <v>1</v>
      </c>
      <c r="BM48">
        <v>-5.3611685500000004</v>
      </c>
      <c r="BN48">
        <v>-5.3224875449999898</v>
      </c>
      <c r="BO48">
        <v>0</v>
      </c>
      <c r="BP48">
        <v>-5.5143540272727201</v>
      </c>
      <c r="BQ48">
        <v>-5.4481995583333296</v>
      </c>
      <c r="BR48">
        <v>0</v>
      </c>
    </row>
    <row r="49" spans="1:70" x14ac:dyDescent="0.35">
      <c r="A49" t="s">
        <v>521</v>
      </c>
      <c r="B49" t="s">
        <v>519</v>
      </c>
      <c r="C49" t="s">
        <v>520</v>
      </c>
      <c r="D49">
        <v>1</v>
      </c>
      <c r="E49" t="s">
        <v>161</v>
      </c>
      <c r="F49" t="str">
        <f>INDEX([1]train_xl!$H:$H,MATCH(E49,[1]train_xl!$G:$G,0))</f>
        <v>the-of</v>
      </c>
      <c r="G49" t="str">
        <f>INDEX([1]train_xl!$I:$I,MATCH(E49,[1]train_xl!$G:$G,0))</f>
        <v>sim</v>
      </c>
      <c r="H49" t="str">
        <f>INDEX([1]train_xl!$V:$V,MATCH(E49,[1]train_xl!$G:$G,0))</f>
        <v>not</v>
      </c>
      <c r="I49" t="str">
        <f>INDEX([2]Sheet1!$L:$L,MATCH(E49,[2]Sheet1!$I:$I,0))</f>
        <v>neg</v>
      </c>
      <c r="K49">
        <v>-4.5595489642499896</v>
      </c>
      <c r="L49">
        <v>-4.0429473888235199</v>
      </c>
      <c r="M49">
        <v>1</v>
      </c>
      <c r="N49">
        <v>-4.6381242299999901</v>
      </c>
      <c r="O49">
        <v>-4.1155459350124897</v>
      </c>
      <c r="P49">
        <v>1</v>
      </c>
      <c r="Q49">
        <v>-5.3590886256428503</v>
      </c>
      <c r="R49">
        <v>-4.7566606815333303</v>
      </c>
      <c r="S49">
        <v>1</v>
      </c>
      <c r="T49">
        <v>-5.5990316727272704</v>
      </c>
      <c r="U49">
        <v>-5.0027873375</v>
      </c>
      <c r="V49">
        <v>1</v>
      </c>
      <c r="W49">
        <v>-5.7331662854545398</v>
      </c>
      <c r="X49">
        <v>-5.2374466499999999</v>
      </c>
      <c r="Y49">
        <v>1</v>
      </c>
      <c r="Z49">
        <v>-4.6543712206249896</v>
      </c>
      <c r="AA49">
        <v>-4.1597035064705796</v>
      </c>
      <c r="AB49">
        <v>1</v>
      </c>
      <c r="AC49">
        <v>-4.6153293440000001</v>
      </c>
      <c r="AD49">
        <v>-4.2132256884374897</v>
      </c>
      <c r="AE49">
        <v>1</v>
      </c>
      <c r="AF49">
        <v>-5.40810914321428</v>
      </c>
      <c r="AG49">
        <v>-4.9024090213333302</v>
      </c>
      <c r="AH49">
        <v>1</v>
      </c>
      <c r="AI49">
        <v>-5.70207769363636</v>
      </c>
      <c r="AJ49">
        <v>-5.2693263774999997</v>
      </c>
      <c r="AK49">
        <v>1</v>
      </c>
      <c r="AL49">
        <v>-5.6640070272727199</v>
      </c>
      <c r="AM49">
        <v>-5.27626224166666</v>
      </c>
      <c r="AN49">
        <v>1</v>
      </c>
      <c r="AO49">
        <v>-3.947222831875</v>
      </c>
      <c r="AP49">
        <v>-3.4645767911764702</v>
      </c>
      <c r="AQ49">
        <v>1</v>
      </c>
      <c r="AR49">
        <v>-3.73936212</v>
      </c>
      <c r="AS49">
        <v>-3.2485864475000001</v>
      </c>
      <c r="AT49">
        <v>1</v>
      </c>
      <c r="AU49">
        <v>-4.29845656857142</v>
      </c>
      <c r="AV49">
        <v>-3.7750293176666601</v>
      </c>
      <c r="AW49">
        <v>1</v>
      </c>
      <c r="AX49">
        <v>-4.3228587818181801</v>
      </c>
      <c r="AY49">
        <v>-3.9692808749999902</v>
      </c>
      <c r="AZ49">
        <v>1</v>
      </c>
      <c r="BA49">
        <v>-4.4592426863636296</v>
      </c>
      <c r="BB49">
        <v>-4.12404378</v>
      </c>
      <c r="BC49">
        <v>1</v>
      </c>
      <c r="BD49">
        <v>-4.5779917637500001</v>
      </c>
      <c r="BE49">
        <v>-4.1745068288235201</v>
      </c>
      <c r="BF49">
        <v>1</v>
      </c>
      <c r="BG49">
        <v>-4.5762799112666599</v>
      </c>
      <c r="BH49">
        <v>-4.1301462768750001</v>
      </c>
      <c r="BI49">
        <v>1</v>
      </c>
      <c r="BJ49">
        <v>-5.2927462135714203</v>
      </c>
      <c r="BK49">
        <v>-4.9066912573333301</v>
      </c>
      <c r="BL49">
        <v>1</v>
      </c>
      <c r="BM49">
        <v>-5.6077596636363598</v>
      </c>
      <c r="BN49">
        <v>-5.16191713333333</v>
      </c>
      <c r="BO49">
        <v>1</v>
      </c>
      <c r="BP49">
        <v>-5.6942866545454498</v>
      </c>
      <c r="BQ49">
        <v>-5.2862047833333303</v>
      </c>
      <c r="BR49">
        <v>1</v>
      </c>
    </row>
    <row r="50" spans="1:70" x14ac:dyDescent="0.35">
      <c r="A50" t="s">
        <v>522</v>
      </c>
      <c r="B50" t="s">
        <v>78</v>
      </c>
      <c r="C50" t="s">
        <v>523</v>
      </c>
      <c r="D50">
        <v>0</v>
      </c>
      <c r="E50" t="s">
        <v>162</v>
      </c>
      <c r="F50" t="str">
        <f>INDEX([1]train_xl!$H:$H,MATCH(E50,[1]train_xl!$G:$G,0))</f>
        <v>as-as</v>
      </c>
      <c r="G50" t="str">
        <f>INDEX([1]train_xl!$I:$I,MATCH(E50,[1]train_xl!$G:$G,0))</f>
        <v>sim</v>
      </c>
      <c r="H50" t="str">
        <f>INDEX([1]train_xl!$V:$V,MATCH(E50,[1]train_xl!$G:$G,0))</f>
        <v>antonym</v>
      </c>
      <c r="I50" t="str">
        <f>INDEX([2]Sheet1!$L:$L,MATCH(E50,[2]Sheet1!$I:$I,0))</f>
        <v>intens</v>
      </c>
      <c r="K50">
        <v>-3.6153450213357101</v>
      </c>
      <c r="L50">
        <v>-3.7814542688000001</v>
      </c>
      <c r="M50">
        <v>1</v>
      </c>
      <c r="N50">
        <v>-3.6691308309230699</v>
      </c>
      <c r="O50">
        <v>-3.8598866204285698</v>
      </c>
      <c r="P50">
        <v>1</v>
      </c>
      <c r="Q50">
        <v>-4.5805728048333298</v>
      </c>
      <c r="R50">
        <v>-4.6811042646153798</v>
      </c>
      <c r="S50">
        <v>1</v>
      </c>
      <c r="T50">
        <v>-4.64508526888888</v>
      </c>
      <c r="U50">
        <v>-4.7260656890000003</v>
      </c>
      <c r="V50">
        <v>1</v>
      </c>
      <c r="W50">
        <v>-5.0299774999999904</v>
      </c>
      <c r="X50">
        <v>-4.9028332800000003</v>
      </c>
      <c r="Y50">
        <v>0</v>
      </c>
      <c r="Z50">
        <v>-4.3539674032142797</v>
      </c>
      <c r="AA50">
        <v>-4.4697665365999999</v>
      </c>
      <c r="AB50">
        <v>1</v>
      </c>
      <c r="AC50">
        <v>-4.5717066303846101</v>
      </c>
      <c r="AD50">
        <v>-4.7071922915714204</v>
      </c>
      <c r="AE50">
        <v>1</v>
      </c>
      <c r="AF50">
        <v>-5.7679238724999999</v>
      </c>
      <c r="AG50">
        <v>-5.7482203661538396</v>
      </c>
      <c r="AH50">
        <v>0</v>
      </c>
      <c r="AI50">
        <v>-5.9477182844444396</v>
      </c>
      <c r="AJ50">
        <v>-5.8326530700000001</v>
      </c>
      <c r="AK50">
        <v>0</v>
      </c>
      <c r="AL50">
        <v>-6.1479262444444398</v>
      </c>
      <c r="AM50">
        <v>-5.8942409159999896</v>
      </c>
      <c r="AN50">
        <v>0</v>
      </c>
      <c r="AO50">
        <v>-3.3973282177142798</v>
      </c>
      <c r="AP50">
        <v>-3.5960735295999902</v>
      </c>
      <c r="AQ50">
        <v>1</v>
      </c>
      <c r="AR50">
        <v>-3.3855816315384599</v>
      </c>
      <c r="AS50">
        <v>-3.6329453881428502</v>
      </c>
      <c r="AT50">
        <v>1</v>
      </c>
      <c r="AU50">
        <v>-4.1300616666666601</v>
      </c>
      <c r="AV50">
        <v>-4.1823288307692303</v>
      </c>
      <c r="AW50">
        <v>1</v>
      </c>
      <c r="AX50">
        <v>-3.62915134333333</v>
      </c>
      <c r="AY50">
        <v>-4.0441056069999997</v>
      </c>
      <c r="AZ50">
        <v>1</v>
      </c>
      <c r="BA50">
        <v>-3.9835897444444401</v>
      </c>
      <c r="BB50">
        <v>-4.0227271399999998</v>
      </c>
      <c r="BC50">
        <v>1</v>
      </c>
      <c r="BD50">
        <v>-4.7199713909999996</v>
      </c>
      <c r="BE50">
        <v>-4.7931134039333303</v>
      </c>
      <c r="BF50">
        <v>1</v>
      </c>
      <c r="BG50">
        <v>-4.85566695638461</v>
      </c>
      <c r="BH50">
        <v>-5.0253476145000002</v>
      </c>
      <c r="BI50">
        <v>1</v>
      </c>
      <c r="BJ50">
        <v>-5.8123768583333302</v>
      </c>
      <c r="BK50">
        <v>-5.8936643215384601</v>
      </c>
      <c r="BL50">
        <v>1</v>
      </c>
      <c r="BM50">
        <v>-6.1411017811111099</v>
      </c>
      <c r="BN50">
        <v>-6.11690556599999</v>
      </c>
      <c r="BO50">
        <v>0</v>
      </c>
      <c r="BP50">
        <v>-6.4758898800000004</v>
      </c>
      <c r="BQ50">
        <v>-6.2179578470000001</v>
      </c>
      <c r="BR50">
        <v>0</v>
      </c>
    </row>
    <row r="51" spans="1:70" x14ac:dyDescent="0.35">
      <c r="A51" t="s">
        <v>79</v>
      </c>
      <c r="B51" t="s">
        <v>78</v>
      </c>
      <c r="C51" t="s">
        <v>523</v>
      </c>
      <c r="D51">
        <v>1</v>
      </c>
      <c r="E51" t="s">
        <v>163</v>
      </c>
      <c r="F51" t="str">
        <f>INDEX([1]train_xl!$H:$H,MATCH(E51,[1]train_xl!$G:$G,0))</f>
        <v>as-as</v>
      </c>
      <c r="G51" t="str">
        <f>INDEX([1]train_xl!$I:$I,MATCH(E51,[1]train_xl!$G:$G,0))</f>
        <v>sim</v>
      </c>
      <c r="H51" t="str">
        <f>INDEX([1]train_xl!$V:$V,MATCH(E51,[1]train_xl!$G:$G,0))</f>
        <v>antonym</v>
      </c>
      <c r="I51" t="str">
        <f>INDEX([2]Sheet1!$L:$L,MATCH(E51,[2]Sheet1!$I:$I,0))</f>
        <v>neg</v>
      </c>
      <c r="K51">
        <v>-3.5136852521428499</v>
      </c>
      <c r="L51">
        <v>-3.08582740166666</v>
      </c>
      <c r="M51">
        <v>1</v>
      </c>
      <c r="N51">
        <v>-3.5350741663076901</v>
      </c>
      <c r="O51">
        <v>-3.1778519084999899</v>
      </c>
      <c r="P51">
        <v>1</v>
      </c>
      <c r="Q51">
        <v>-4.2932316311666598</v>
      </c>
      <c r="R51">
        <v>-3.9574813758461498</v>
      </c>
      <c r="S51">
        <v>1</v>
      </c>
      <c r="T51">
        <v>-3.9998472711111099</v>
      </c>
      <c r="U51">
        <v>-3.9441530669999998</v>
      </c>
      <c r="V51">
        <v>1</v>
      </c>
      <c r="W51">
        <v>-4.2277022155555501</v>
      </c>
      <c r="X51">
        <v>-4.2246286199999901</v>
      </c>
      <c r="Y51">
        <v>1</v>
      </c>
      <c r="Z51">
        <v>-4.5529244378571398</v>
      </c>
      <c r="AA51">
        <v>-3.9869089039999999</v>
      </c>
      <c r="AB51">
        <v>1</v>
      </c>
      <c r="AC51">
        <v>-4.6806150534615298</v>
      </c>
      <c r="AD51">
        <v>-4.1792758677857096</v>
      </c>
      <c r="AE51">
        <v>1</v>
      </c>
      <c r="AF51">
        <v>-5.7035630879166597</v>
      </c>
      <c r="AG51">
        <v>-5.1566935776923</v>
      </c>
      <c r="AH51">
        <v>1</v>
      </c>
      <c r="AI51">
        <v>-5.6705537666666599</v>
      </c>
      <c r="AJ51">
        <v>-5.3936825400000004</v>
      </c>
      <c r="AK51">
        <v>1</v>
      </c>
      <c r="AL51">
        <v>-5.8202472733333304</v>
      </c>
      <c r="AM51">
        <v>-5.5857598849999999</v>
      </c>
      <c r="AN51">
        <v>1</v>
      </c>
      <c r="AO51">
        <v>-3.2912660599999901</v>
      </c>
      <c r="AP51">
        <v>-2.7923454686666598</v>
      </c>
      <c r="AQ51">
        <v>1</v>
      </c>
      <c r="AR51">
        <v>-3.2668034727692299</v>
      </c>
      <c r="AS51">
        <v>-2.9154226649999901</v>
      </c>
      <c r="AT51">
        <v>1</v>
      </c>
      <c r="AU51">
        <v>-3.9390090666666602</v>
      </c>
      <c r="AV51">
        <v>-3.51598870999999</v>
      </c>
      <c r="AW51">
        <v>1</v>
      </c>
      <c r="AX51">
        <v>-3.4351259266666601</v>
      </c>
      <c r="AY51">
        <v>-3.3951020000000001</v>
      </c>
      <c r="AZ51">
        <v>1</v>
      </c>
      <c r="BA51">
        <v>-3.5894957655555499</v>
      </c>
      <c r="BB51">
        <v>-3.5885354700000001</v>
      </c>
      <c r="BC51">
        <v>1</v>
      </c>
      <c r="BD51">
        <v>-4.64440557928571</v>
      </c>
      <c r="BE51">
        <v>-4.0843035313333296</v>
      </c>
      <c r="BF51">
        <v>1</v>
      </c>
      <c r="BG51">
        <v>-4.8115683957692301</v>
      </c>
      <c r="BH51">
        <v>-4.2860544550000004</v>
      </c>
      <c r="BI51">
        <v>1</v>
      </c>
      <c r="BJ51">
        <v>-5.7671300341666596</v>
      </c>
      <c r="BK51">
        <v>-5.1784239930769198</v>
      </c>
      <c r="BL51">
        <v>1</v>
      </c>
      <c r="BM51">
        <v>-5.9210384744444404</v>
      </c>
      <c r="BN51">
        <v>-5.6392058650000001</v>
      </c>
      <c r="BO51">
        <v>1</v>
      </c>
      <c r="BP51">
        <v>-6.0396632955555498</v>
      </c>
      <c r="BQ51">
        <v>-5.7553698960000004</v>
      </c>
      <c r="BR51">
        <v>1</v>
      </c>
    </row>
    <row r="52" spans="1:70" x14ac:dyDescent="0.35">
      <c r="A52" t="s">
        <v>11</v>
      </c>
      <c r="B52" t="s">
        <v>524</v>
      </c>
      <c r="C52" t="s">
        <v>12</v>
      </c>
      <c r="D52">
        <v>0</v>
      </c>
      <c r="E52" t="s">
        <v>164</v>
      </c>
      <c r="F52" t="str">
        <f>INDEX([1]train_xl!$H:$H,MATCH(E52,[1]train_xl!$G:$G,0))</f>
        <v>as-as</v>
      </c>
      <c r="G52" t="str">
        <f>INDEX([1]train_xl!$I:$I,MATCH(E52,[1]train_xl!$G:$G,0))</f>
        <v>sim</v>
      </c>
      <c r="H52" t="str">
        <f>INDEX([1]train_xl!$V:$V,MATCH(E52,[1]train_xl!$G:$G,0))</f>
        <v>antonym</v>
      </c>
      <c r="I52" t="str">
        <f>INDEX([2]Sheet1!$L:$L,MATCH(E52,[2]Sheet1!$I:$I,0))</f>
        <v>neg</v>
      </c>
      <c r="K52">
        <v>-4.2463941482142804</v>
      </c>
      <c r="L52">
        <v>-4.9354442273076904</v>
      </c>
      <c r="M52">
        <v>1</v>
      </c>
      <c r="N52">
        <v>-4.6094305088846097</v>
      </c>
      <c r="O52">
        <v>-5.3338530386666596</v>
      </c>
      <c r="P52">
        <v>1</v>
      </c>
      <c r="Q52">
        <v>-5.4830014816666601</v>
      </c>
      <c r="R52">
        <v>-6.3516030002727204</v>
      </c>
      <c r="S52">
        <v>1</v>
      </c>
      <c r="T52">
        <v>-5.7949518711111097</v>
      </c>
      <c r="U52">
        <v>-7.0417835325000002</v>
      </c>
      <c r="V52">
        <v>1</v>
      </c>
      <c r="W52">
        <v>-6.3938238044444402</v>
      </c>
      <c r="X52">
        <v>-7.2629319824999996</v>
      </c>
      <c r="Y52">
        <v>1</v>
      </c>
      <c r="Z52">
        <v>-3.3119342168571402</v>
      </c>
      <c r="AA52">
        <v>-3.8614915950769202</v>
      </c>
      <c r="AB52">
        <v>1</v>
      </c>
      <c r="AC52">
        <v>-3.47083984492307</v>
      </c>
      <c r="AD52">
        <v>-4.0672952169999999</v>
      </c>
      <c r="AE52">
        <v>1</v>
      </c>
      <c r="AF52">
        <v>-4.4402257408333297</v>
      </c>
      <c r="AG52">
        <v>-4.91217087181818</v>
      </c>
      <c r="AH52">
        <v>1</v>
      </c>
      <c r="AI52">
        <v>-4.5177919333333296</v>
      </c>
      <c r="AJ52">
        <v>-5.2177750124999998</v>
      </c>
      <c r="AK52">
        <v>1</v>
      </c>
      <c r="AL52">
        <v>-5.0531108777777698</v>
      </c>
      <c r="AM52">
        <v>-5.6797750125000004</v>
      </c>
      <c r="AN52">
        <v>1</v>
      </c>
      <c r="AO52">
        <v>-5.8691337292857098</v>
      </c>
      <c r="AP52">
        <v>-6.5121331846153803</v>
      </c>
      <c r="AQ52">
        <v>1</v>
      </c>
      <c r="AR52">
        <v>-6.04466767615384</v>
      </c>
      <c r="AS52">
        <v>-6.8039705849999903</v>
      </c>
      <c r="AT52">
        <v>1</v>
      </c>
      <c r="AU52">
        <v>-7.1071068608333299</v>
      </c>
      <c r="AV52">
        <v>-8.0293164709090892</v>
      </c>
      <c r="AW52">
        <v>1</v>
      </c>
      <c r="AX52">
        <v>-8.0101721333333291</v>
      </c>
      <c r="AY52">
        <v>-9.3225970875000002</v>
      </c>
      <c r="AZ52">
        <v>1</v>
      </c>
      <c r="BA52">
        <v>-8.2520971555555498</v>
      </c>
      <c r="BB52">
        <v>-9.4158147324999995</v>
      </c>
      <c r="BC52">
        <v>1</v>
      </c>
      <c r="BD52">
        <v>-2.9612840378571401</v>
      </c>
      <c r="BE52">
        <v>-3.43632488461538</v>
      </c>
      <c r="BF52">
        <v>1</v>
      </c>
      <c r="BG52">
        <v>-3.24164790923076</v>
      </c>
      <c r="BH52">
        <v>-3.7003293428333301</v>
      </c>
      <c r="BI52">
        <v>1</v>
      </c>
      <c r="BJ52">
        <v>-4.02779476666666</v>
      </c>
      <c r="BK52">
        <v>-4.7723053554545398</v>
      </c>
      <c r="BL52">
        <v>1</v>
      </c>
      <c r="BM52">
        <v>-3.90085335555555</v>
      </c>
      <c r="BN52">
        <v>-4.674106525</v>
      </c>
      <c r="BO52">
        <v>1</v>
      </c>
      <c r="BP52">
        <v>-4.42350276666666</v>
      </c>
      <c r="BQ52">
        <v>-4.9636274875000002</v>
      </c>
      <c r="BR52">
        <v>1</v>
      </c>
    </row>
    <row r="53" spans="1:70" x14ac:dyDescent="0.35">
      <c r="A53" t="s">
        <v>525</v>
      </c>
      <c r="B53" t="s">
        <v>524</v>
      </c>
      <c r="C53" t="s">
        <v>12</v>
      </c>
      <c r="D53">
        <v>1</v>
      </c>
      <c r="E53" t="s">
        <v>165</v>
      </c>
      <c r="F53" t="str">
        <f>INDEX([1]train_xl!$H:$H,MATCH(E53,[1]train_xl!$G:$G,0))</f>
        <v>as-as</v>
      </c>
      <c r="G53" t="str">
        <f>INDEX([1]train_xl!$I:$I,MATCH(E53,[1]train_xl!$G:$G,0))</f>
        <v>sim</v>
      </c>
      <c r="H53" t="str">
        <f>INDEX([1]train_xl!$V:$V,MATCH(E53,[1]train_xl!$G:$G,0))</f>
        <v>antonym</v>
      </c>
      <c r="I53" t="str">
        <f>INDEX([2]Sheet1!$L:$L,MATCH(E53,[2]Sheet1!$I:$I,0))</f>
        <v>intens</v>
      </c>
      <c r="K53">
        <v>-4.8722693483571398</v>
      </c>
      <c r="L53">
        <v>-4.96218631846153</v>
      </c>
      <c r="M53">
        <v>0</v>
      </c>
      <c r="N53">
        <v>-5.3352393088461501</v>
      </c>
      <c r="O53">
        <v>-5.4651895750833299</v>
      </c>
      <c r="P53">
        <v>0</v>
      </c>
      <c r="Q53">
        <v>-6.3826772694166598</v>
      </c>
      <c r="R53">
        <v>-6.6112071749090902</v>
      </c>
      <c r="S53">
        <v>0</v>
      </c>
      <c r="T53">
        <v>-6.7676176888888904</v>
      </c>
      <c r="U53">
        <v>-6.4884530749999998</v>
      </c>
      <c r="V53">
        <v>1</v>
      </c>
      <c r="W53">
        <v>-7.0078978111111097</v>
      </c>
      <c r="X53">
        <v>-7.2311344875000003</v>
      </c>
      <c r="Y53">
        <v>0</v>
      </c>
      <c r="Z53">
        <v>-3.620976126</v>
      </c>
      <c r="AA53">
        <v>-3.5690524323076902</v>
      </c>
      <c r="AB53">
        <v>1</v>
      </c>
      <c r="AC53">
        <v>-4.0286033723076899</v>
      </c>
      <c r="AD53">
        <v>-4.0705144830000002</v>
      </c>
      <c r="AE53">
        <v>0</v>
      </c>
      <c r="AF53">
        <v>-4.9184314591666602</v>
      </c>
      <c r="AG53">
        <v>-5.1570695459999998</v>
      </c>
      <c r="AH53">
        <v>0</v>
      </c>
      <c r="AI53">
        <v>-4.8939045111111099</v>
      </c>
      <c r="AJ53">
        <v>-4.8794890749999897</v>
      </c>
      <c r="AK53">
        <v>1</v>
      </c>
      <c r="AL53">
        <v>-5.2886309222222199</v>
      </c>
      <c r="AM53">
        <v>-5.4684005624999896</v>
      </c>
      <c r="AN53">
        <v>0</v>
      </c>
      <c r="AO53">
        <v>-6.30694623571428</v>
      </c>
      <c r="AP53">
        <v>-6.3379044930769197</v>
      </c>
      <c r="AQ53">
        <v>0</v>
      </c>
      <c r="AR53">
        <v>-6.5251096023076904</v>
      </c>
      <c r="AS53">
        <v>-6.6320236963333299</v>
      </c>
      <c r="AT53">
        <v>0</v>
      </c>
      <c r="AU53">
        <v>-7.7028156708333304</v>
      </c>
      <c r="AV53">
        <v>-7.9517787899999997</v>
      </c>
      <c r="AW53">
        <v>0</v>
      </c>
      <c r="AX53">
        <v>-8.6113022333333298</v>
      </c>
      <c r="AY53">
        <v>-8.6082128000000004</v>
      </c>
      <c r="AZ53">
        <v>1</v>
      </c>
      <c r="BA53">
        <v>-8.7285128966666594</v>
      </c>
      <c r="BB53">
        <v>-9.1090209375000004</v>
      </c>
      <c r="BC53">
        <v>0</v>
      </c>
      <c r="BD53">
        <v>-3.4394186782857101</v>
      </c>
      <c r="BE53">
        <v>-3.3797058689230699</v>
      </c>
      <c r="BF53">
        <v>1</v>
      </c>
      <c r="BG53">
        <v>-3.7573278261538401</v>
      </c>
      <c r="BH53">
        <v>-3.77498737775</v>
      </c>
      <c r="BI53">
        <v>0</v>
      </c>
      <c r="BJ53">
        <v>-4.6247640033333299</v>
      </c>
      <c r="BK53">
        <v>-4.7140908236363597</v>
      </c>
      <c r="BL53">
        <v>0</v>
      </c>
      <c r="BM53">
        <v>-4.4891253666666602</v>
      </c>
      <c r="BN53">
        <v>-4.1946104249999996</v>
      </c>
      <c r="BO53">
        <v>1</v>
      </c>
      <c r="BP53">
        <v>-4.8184969111111098</v>
      </c>
      <c r="BQ53">
        <v>-4.7734239249999897</v>
      </c>
      <c r="BR53">
        <v>1</v>
      </c>
    </row>
    <row r="54" spans="1:70" x14ac:dyDescent="0.35">
      <c r="A54" t="s">
        <v>526</v>
      </c>
      <c r="B54" t="s">
        <v>13</v>
      </c>
      <c r="C54" t="s">
        <v>527</v>
      </c>
      <c r="D54">
        <v>0</v>
      </c>
      <c r="E54" t="s">
        <v>166</v>
      </c>
      <c r="F54" t="str">
        <f>INDEX([1]train_xl!$H:$H,MATCH(E54,[1]train_xl!$G:$G,0))</f>
        <v>as-as</v>
      </c>
      <c r="G54" t="str">
        <f>INDEX([1]train_xl!$I:$I,MATCH(E54,[1]train_xl!$G:$G,0))</f>
        <v>sim</v>
      </c>
      <c r="H54" t="str">
        <f>INDEX([1]train_xl!$V:$V,MATCH(E54,[1]train_xl!$G:$G,0))</f>
        <v>not</v>
      </c>
      <c r="I54" t="str">
        <f>INDEX([2]Sheet1!$L:$L,MATCH(E54,[2]Sheet1!$I:$I,0))</f>
        <v>intens</v>
      </c>
      <c r="K54">
        <v>-3.7573291788928498</v>
      </c>
      <c r="L54">
        <v>-3.8112967548999901</v>
      </c>
      <c r="M54">
        <v>1</v>
      </c>
      <c r="N54">
        <v>-3.86837177938461</v>
      </c>
      <c r="O54">
        <v>-3.9042849170714198</v>
      </c>
      <c r="P54">
        <v>1</v>
      </c>
      <c r="Q54">
        <v>-4.6676746066666599</v>
      </c>
      <c r="R54">
        <v>-4.6129451917692297</v>
      </c>
      <c r="S54">
        <v>0</v>
      </c>
      <c r="T54">
        <v>-4.9029038188888796</v>
      </c>
      <c r="U54">
        <v>-4.8359577600000003</v>
      </c>
      <c r="V54">
        <v>0</v>
      </c>
      <c r="W54">
        <v>-5.2687347666666602</v>
      </c>
      <c r="X54">
        <v>-5.0452927000000001</v>
      </c>
      <c r="Y54">
        <v>0</v>
      </c>
      <c r="Z54">
        <v>-4.8896058187142799</v>
      </c>
      <c r="AA54">
        <v>-4.8608457941333301</v>
      </c>
      <c r="AB54">
        <v>0</v>
      </c>
      <c r="AC54">
        <v>-5.1041869450769202</v>
      </c>
      <c r="AD54">
        <v>-5.0882118792857103</v>
      </c>
      <c r="AE54">
        <v>0</v>
      </c>
      <c r="AF54">
        <v>-5.9253273283333296</v>
      </c>
      <c r="AG54">
        <v>-5.84620085276923</v>
      </c>
      <c r="AH54">
        <v>0</v>
      </c>
      <c r="AI54">
        <v>-6.7064113822222202</v>
      </c>
      <c r="AJ54">
        <v>-6.4316773149999902</v>
      </c>
      <c r="AK54">
        <v>0</v>
      </c>
      <c r="AL54">
        <v>-6.7127315444444404</v>
      </c>
      <c r="AM54">
        <v>-6.3859199499999999</v>
      </c>
      <c r="AN54">
        <v>0</v>
      </c>
      <c r="AO54">
        <v>-3.5152367542857101</v>
      </c>
      <c r="AP54">
        <v>-3.64840590866666</v>
      </c>
      <c r="AQ54">
        <v>1</v>
      </c>
      <c r="AR54">
        <v>-3.70443953315384</v>
      </c>
      <c r="AS54">
        <v>-3.8125608003571401</v>
      </c>
      <c r="AT54">
        <v>1</v>
      </c>
      <c r="AU54">
        <v>-4.1913791554166604</v>
      </c>
      <c r="AV54">
        <v>-4.3411074369230702</v>
      </c>
      <c r="AW54">
        <v>1</v>
      </c>
      <c r="AX54">
        <v>-4.6768974666666603</v>
      </c>
      <c r="AY54">
        <v>-4.5728244799999898</v>
      </c>
      <c r="AZ54">
        <v>0</v>
      </c>
      <c r="BA54">
        <v>-4.6269706777777699</v>
      </c>
      <c r="BB54">
        <v>-4.4954904359999999</v>
      </c>
      <c r="BC54">
        <v>0</v>
      </c>
      <c r="BD54">
        <v>-4.8292718661428502</v>
      </c>
      <c r="BE54">
        <v>-4.7795756356666601</v>
      </c>
      <c r="BF54">
        <v>0</v>
      </c>
      <c r="BG54">
        <v>-5.1249737826153803</v>
      </c>
      <c r="BH54">
        <v>-5.0606339671428504</v>
      </c>
      <c r="BI54">
        <v>0</v>
      </c>
      <c r="BJ54">
        <v>-5.80788384916666</v>
      </c>
      <c r="BK54">
        <v>-5.7334111184615297</v>
      </c>
      <c r="BL54">
        <v>0</v>
      </c>
      <c r="BM54">
        <v>-6.63856782777777</v>
      </c>
      <c r="BN54">
        <v>-6.3491433999999902</v>
      </c>
      <c r="BO54">
        <v>0</v>
      </c>
      <c r="BP54">
        <v>-6.7746649666666601</v>
      </c>
      <c r="BQ54">
        <v>-6.5375620799999998</v>
      </c>
      <c r="BR54">
        <v>0</v>
      </c>
    </row>
    <row r="55" spans="1:70" x14ac:dyDescent="0.35">
      <c r="A55" t="s">
        <v>528</v>
      </c>
      <c r="B55" t="s">
        <v>13</v>
      </c>
      <c r="C55" t="s">
        <v>527</v>
      </c>
      <c r="D55">
        <v>1</v>
      </c>
      <c r="E55" t="s">
        <v>167</v>
      </c>
      <c r="F55" t="str">
        <f>INDEX([1]train_xl!$H:$H,MATCH(E55,[1]train_xl!$G:$G,0))</f>
        <v>as-as</v>
      </c>
      <c r="G55" t="str">
        <f>INDEX([1]train_xl!$I:$I,MATCH(E55,[1]train_xl!$G:$G,0))</f>
        <v>sim</v>
      </c>
      <c r="H55" t="str">
        <f>INDEX([1]train_xl!$V:$V,MATCH(E55,[1]train_xl!$G:$G,0))</f>
        <v>not</v>
      </c>
      <c r="I55" t="str">
        <f>INDEX([2]Sheet1!$L:$L,MATCH(E55,[2]Sheet1!$I:$I,0))</f>
        <v>neg</v>
      </c>
      <c r="K55">
        <v>-3.9775732853071402</v>
      </c>
      <c r="L55">
        <v>-3.5519604672866598</v>
      </c>
      <c r="M55">
        <v>1</v>
      </c>
      <c r="N55">
        <v>-4.1695160944615299</v>
      </c>
      <c r="O55">
        <v>-3.6899918823571398</v>
      </c>
      <c r="P55">
        <v>1</v>
      </c>
      <c r="Q55">
        <v>-4.8902884398333297</v>
      </c>
      <c r="R55">
        <v>-4.3764656744615298</v>
      </c>
      <c r="S55">
        <v>1</v>
      </c>
      <c r="T55">
        <v>-4.8986116333333296</v>
      </c>
      <c r="U55">
        <v>-4.7277133659999997</v>
      </c>
      <c r="V55">
        <v>1</v>
      </c>
      <c r="W55">
        <v>-5.2236273555555499</v>
      </c>
      <c r="X55">
        <v>-4.9999579599999997</v>
      </c>
      <c r="Y55">
        <v>1</v>
      </c>
      <c r="Z55">
        <v>-4.9299548822142798</v>
      </c>
      <c r="AA55">
        <v>-4.5255415398666603</v>
      </c>
      <c r="AB55">
        <v>1</v>
      </c>
      <c r="AC55">
        <v>-5.2005293469230702</v>
      </c>
      <c r="AD55">
        <v>-4.7191825207142797</v>
      </c>
      <c r="AE55">
        <v>1</v>
      </c>
      <c r="AF55">
        <v>-5.9520361999999896</v>
      </c>
      <c r="AG55">
        <v>-5.3832857380769203</v>
      </c>
      <c r="AH55">
        <v>1</v>
      </c>
      <c r="AI55">
        <v>-6.51220531111111</v>
      </c>
      <c r="AJ55">
        <v>-6.1426515839999896</v>
      </c>
      <c r="AK55">
        <v>1</v>
      </c>
      <c r="AL55">
        <v>-6.5183421999999904</v>
      </c>
      <c r="AM55">
        <v>-6.15619947999999</v>
      </c>
      <c r="AN55">
        <v>1</v>
      </c>
      <c r="AO55">
        <v>-3.8219195142857099</v>
      </c>
      <c r="AP55">
        <v>-3.4407455235333302</v>
      </c>
      <c r="AQ55">
        <v>1</v>
      </c>
      <c r="AR55">
        <v>-3.9919339634615301</v>
      </c>
      <c r="AS55">
        <v>-3.5418013585714201</v>
      </c>
      <c r="AT55">
        <v>1</v>
      </c>
      <c r="AU55">
        <v>-4.4227890875</v>
      </c>
      <c r="AV55">
        <v>-3.9827471569230699</v>
      </c>
      <c r="AW55">
        <v>1</v>
      </c>
      <c r="AX55">
        <v>-4.7748738444444401</v>
      </c>
      <c r="AY55">
        <v>-4.4835446699999997</v>
      </c>
      <c r="AZ55">
        <v>1</v>
      </c>
      <c r="BA55">
        <v>-4.6606552222222204</v>
      </c>
      <c r="BB55">
        <v>-4.3772737969999902</v>
      </c>
      <c r="BC55">
        <v>1</v>
      </c>
      <c r="BD55">
        <v>-5.0016128688214199</v>
      </c>
      <c r="BE55">
        <v>-4.5662578422666602</v>
      </c>
      <c r="BF55">
        <v>1</v>
      </c>
      <c r="BG55">
        <v>-5.3318429365384601</v>
      </c>
      <c r="BH55">
        <v>-4.75477380107142</v>
      </c>
      <c r="BI55">
        <v>1</v>
      </c>
      <c r="BJ55">
        <v>-5.8973485950000004</v>
      </c>
      <c r="BK55">
        <v>-5.3936969892307696</v>
      </c>
      <c r="BL55">
        <v>1</v>
      </c>
      <c r="BM55">
        <v>-6.6804128588888796</v>
      </c>
      <c r="BN55">
        <v>-6.2828015699999904</v>
      </c>
      <c r="BO55">
        <v>1</v>
      </c>
      <c r="BP55">
        <v>-6.6999729888888799</v>
      </c>
      <c r="BQ55">
        <v>-6.2753037699999901</v>
      </c>
      <c r="BR55">
        <v>1</v>
      </c>
    </row>
    <row r="56" spans="1:70" x14ac:dyDescent="0.35">
      <c r="A56" t="s">
        <v>529</v>
      </c>
      <c r="B56" t="s">
        <v>530</v>
      </c>
      <c r="C56" t="s">
        <v>531</v>
      </c>
      <c r="D56">
        <v>0</v>
      </c>
      <c r="E56" t="s">
        <v>168</v>
      </c>
      <c r="F56" t="str">
        <f>INDEX([1]train_xl!$H:$H,MATCH(E56,[1]train_xl!$G:$G,0))</f>
        <v>like</v>
      </c>
      <c r="G56" t="str">
        <f>INDEX([1]train_xl!$I:$I,MATCH(E56,[1]train_xl!$G:$G,0))</f>
        <v>sim</v>
      </c>
      <c r="H56" t="str">
        <f>INDEX([1]train_xl!$V:$V,MATCH(E56,[1]train_xl!$G:$G,0))</f>
        <v>not</v>
      </c>
      <c r="I56" t="str">
        <f>INDEX([2]Sheet1!$L:$L,MATCH(E56,[2]Sheet1!$I:$I,0))</f>
        <v>intens</v>
      </c>
      <c r="K56">
        <v>-2.81541569047058</v>
      </c>
      <c r="L56">
        <v>-2.6937520356842102</v>
      </c>
      <c r="M56">
        <v>0</v>
      </c>
      <c r="N56">
        <v>-2.90647256315625</v>
      </c>
      <c r="O56">
        <v>-2.84474732558333</v>
      </c>
      <c r="P56">
        <v>0</v>
      </c>
      <c r="Q56">
        <v>-3.5610173448666602</v>
      </c>
      <c r="R56">
        <v>-3.36174574623529</v>
      </c>
      <c r="S56">
        <v>0</v>
      </c>
      <c r="T56">
        <v>-3.0922220004166601</v>
      </c>
      <c r="U56">
        <v>-3.1237503039285701</v>
      </c>
      <c r="V56">
        <v>1</v>
      </c>
      <c r="W56">
        <v>-3.4680666087499898</v>
      </c>
      <c r="X56">
        <v>-3.1538928182142798</v>
      </c>
      <c r="Y56">
        <v>0</v>
      </c>
      <c r="Z56">
        <v>-3.3428672141176401</v>
      </c>
      <c r="AA56">
        <v>-3.1979864736842001</v>
      </c>
      <c r="AB56">
        <v>0</v>
      </c>
      <c r="AC56">
        <v>-3.3843030668749998</v>
      </c>
      <c r="AD56">
        <v>-3.2548524752222199</v>
      </c>
      <c r="AE56">
        <v>0</v>
      </c>
      <c r="AF56">
        <v>-4.0661297257999998</v>
      </c>
      <c r="AG56">
        <v>-3.8238532205882301</v>
      </c>
      <c r="AH56">
        <v>0</v>
      </c>
      <c r="AI56">
        <v>-3.8587665383333301</v>
      </c>
      <c r="AJ56">
        <v>-3.7433127114285698</v>
      </c>
      <c r="AK56">
        <v>0</v>
      </c>
      <c r="AL56">
        <v>-4.2715053799999998</v>
      </c>
      <c r="AM56">
        <v>-3.9647896399999998</v>
      </c>
      <c r="AN56">
        <v>0</v>
      </c>
      <c r="AO56">
        <v>-4.6323294205882304</v>
      </c>
      <c r="AP56">
        <v>-4.3296826957894696</v>
      </c>
      <c r="AQ56">
        <v>0</v>
      </c>
      <c r="AR56">
        <v>-4.8026125993750002</v>
      </c>
      <c r="AS56">
        <v>-4.5624988183333297</v>
      </c>
      <c r="AT56">
        <v>0</v>
      </c>
      <c r="AU56">
        <v>-5.61310126733333</v>
      </c>
      <c r="AV56">
        <v>-5.25079736529411</v>
      </c>
      <c r="AW56">
        <v>0</v>
      </c>
      <c r="AX56">
        <v>-5.6373988300000004</v>
      </c>
      <c r="AY56">
        <v>-5.2751982399999999</v>
      </c>
      <c r="AZ56">
        <v>0</v>
      </c>
      <c r="BA56">
        <v>-5.9441008216666598</v>
      </c>
      <c r="BB56">
        <v>-5.3049674092857098</v>
      </c>
      <c r="BC56">
        <v>0</v>
      </c>
      <c r="BD56">
        <v>-3.2058571135294098</v>
      </c>
      <c r="BE56">
        <v>-3.1022990699999902</v>
      </c>
      <c r="BF56">
        <v>0</v>
      </c>
      <c r="BG56">
        <v>-3.2676249053124899</v>
      </c>
      <c r="BH56">
        <v>-3.1542160158333301</v>
      </c>
      <c r="BI56">
        <v>0</v>
      </c>
      <c r="BJ56">
        <v>-3.9178799197333301</v>
      </c>
      <c r="BK56">
        <v>-3.6900855564705801</v>
      </c>
      <c r="BL56">
        <v>0</v>
      </c>
      <c r="BM56">
        <v>-3.6344139766666599</v>
      </c>
      <c r="BN56">
        <v>-3.5123780678571399</v>
      </c>
      <c r="BO56">
        <v>0</v>
      </c>
      <c r="BP56">
        <v>-4.0385117966666604</v>
      </c>
      <c r="BQ56">
        <v>-3.72248112142857</v>
      </c>
      <c r="BR56">
        <v>0</v>
      </c>
    </row>
    <row r="57" spans="1:70" x14ac:dyDescent="0.35">
      <c r="A57" t="s">
        <v>532</v>
      </c>
      <c r="B57" t="s">
        <v>530</v>
      </c>
      <c r="C57" t="s">
        <v>531</v>
      </c>
      <c r="D57">
        <v>1</v>
      </c>
      <c r="E57" t="s">
        <v>169</v>
      </c>
      <c r="F57" t="str">
        <f>INDEX([1]train_xl!$H:$H,MATCH(E57,[1]train_xl!$G:$G,0))</f>
        <v>like</v>
      </c>
      <c r="G57" t="str">
        <f>INDEX([1]train_xl!$I:$I,MATCH(E57,[1]train_xl!$G:$G,0))</f>
        <v>sim</v>
      </c>
      <c r="H57" t="str">
        <f>INDEX([1]train_xl!$V:$V,MATCH(E57,[1]train_xl!$G:$G,0))</f>
        <v>not</v>
      </c>
      <c r="I57" t="str">
        <f>INDEX([2]Sheet1!$L:$L,MATCH(E57,[2]Sheet1!$I:$I,0))</f>
        <v>neg</v>
      </c>
      <c r="K57">
        <v>-2.7888345162062498</v>
      </c>
      <c r="L57">
        <v>-2.3352199044055499</v>
      </c>
      <c r="M57">
        <v>1</v>
      </c>
      <c r="N57">
        <v>-2.87787068749333</v>
      </c>
      <c r="O57">
        <v>-2.4636452101176398</v>
      </c>
      <c r="P57">
        <v>1</v>
      </c>
      <c r="Q57">
        <v>-3.6740771679285702</v>
      </c>
      <c r="R57">
        <v>-3.1453064789374898</v>
      </c>
      <c r="S57">
        <v>1</v>
      </c>
      <c r="T57">
        <v>-3.1616548636363602</v>
      </c>
      <c r="U57">
        <v>-2.4713964473076899</v>
      </c>
      <c r="V57">
        <v>1</v>
      </c>
      <c r="W57">
        <v>-3.3210544181818098</v>
      </c>
      <c r="X57">
        <v>-2.8842833376922998</v>
      </c>
      <c r="Y57">
        <v>1</v>
      </c>
      <c r="Z57">
        <v>-3.4117217431875</v>
      </c>
      <c r="AA57">
        <v>-2.90677446716666</v>
      </c>
      <c r="AB57">
        <v>1</v>
      </c>
      <c r="AC57">
        <v>-3.50316932466666</v>
      </c>
      <c r="AD57">
        <v>-3.0448579455882299</v>
      </c>
      <c r="AE57">
        <v>1</v>
      </c>
      <c r="AF57">
        <v>-4.2611442068571401</v>
      </c>
      <c r="AG57">
        <v>-3.6688158460000002</v>
      </c>
      <c r="AH57">
        <v>1</v>
      </c>
      <c r="AI57">
        <v>-4.1278958090908997</v>
      </c>
      <c r="AJ57">
        <v>-3.3868608407692302</v>
      </c>
      <c r="AK57">
        <v>1</v>
      </c>
      <c r="AL57">
        <v>-4.3410643545454501</v>
      </c>
      <c r="AM57">
        <v>-3.7359451923076898</v>
      </c>
      <c r="AN57">
        <v>1</v>
      </c>
      <c r="AO57">
        <v>-4.6103999878749997</v>
      </c>
      <c r="AP57">
        <v>-4.1217513592222197</v>
      </c>
      <c r="AQ57">
        <v>1</v>
      </c>
      <c r="AR57">
        <v>-4.99021412173333</v>
      </c>
      <c r="AS57">
        <v>-4.3239109517646996</v>
      </c>
      <c r="AT57">
        <v>1</v>
      </c>
      <c r="AU57">
        <v>-5.7531354871428499</v>
      </c>
      <c r="AV57">
        <v>-5.0820386606249999</v>
      </c>
      <c r="AW57">
        <v>1</v>
      </c>
      <c r="AX57">
        <v>-5.9788514727272704</v>
      </c>
      <c r="AY57">
        <v>-4.8866930084615303</v>
      </c>
      <c r="AZ57">
        <v>1</v>
      </c>
      <c r="BA57">
        <v>-6.2287578363636298</v>
      </c>
      <c r="BB57">
        <v>-5.2974186799999998</v>
      </c>
      <c r="BC57">
        <v>1</v>
      </c>
      <c r="BD57">
        <v>-3.0480624218749899</v>
      </c>
      <c r="BE57">
        <v>-2.5928616444444401</v>
      </c>
      <c r="BF57">
        <v>1</v>
      </c>
      <c r="BG57">
        <v>-3.1909450364</v>
      </c>
      <c r="BH57">
        <v>-2.7489176245882301</v>
      </c>
      <c r="BI57">
        <v>1</v>
      </c>
      <c r="BJ57">
        <v>-3.9158517912142798</v>
      </c>
      <c r="BK57">
        <v>-3.2893111642499999</v>
      </c>
      <c r="BL57">
        <v>1</v>
      </c>
      <c r="BM57">
        <v>-3.6880450181818101</v>
      </c>
      <c r="BN57">
        <v>-2.9384003853846101</v>
      </c>
      <c r="BO57">
        <v>1</v>
      </c>
      <c r="BP57">
        <v>-3.8629290090908999</v>
      </c>
      <c r="BQ57">
        <v>-3.2802433553846102</v>
      </c>
      <c r="BR57">
        <v>1</v>
      </c>
    </row>
    <row r="58" spans="1:70" x14ac:dyDescent="0.35">
      <c r="A58" t="s">
        <v>533</v>
      </c>
      <c r="B58" t="s">
        <v>534</v>
      </c>
      <c r="C58" t="s">
        <v>535</v>
      </c>
      <c r="D58">
        <v>0</v>
      </c>
      <c r="E58" t="s">
        <v>170</v>
      </c>
      <c r="F58" t="str">
        <f>INDEX([1]train_xl!$H:$H,MATCH(E58,[1]train_xl!$G:$G,0))</f>
        <v>as-as</v>
      </c>
      <c r="G58" t="str">
        <f>INDEX([1]train_xl!$I:$I,MATCH(E58,[1]train_xl!$G:$G,0))</f>
        <v>sim</v>
      </c>
      <c r="H58" t="str">
        <f>INDEX([1]train_xl!$V:$V,MATCH(E58,[1]train_xl!$G:$G,0))</f>
        <v>not</v>
      </c>
      <c r="I58" t="str">
        <f>INDEX([2]Sheet1!$L:$L,MATCH(E58,[2]Sheet1!$I:$I,0))</f>
        <v>neg</v>
      </c>
      <c r="K58">
        <v>-4.0604495133076899</v>
      </c>
      <c r="L58">
        <v>-4.0655547878333298</v>
      </c>
      <c r="M58">
        <v>1</v>
      </c>
      <c r="N58">
        <v>-4.2662787855833297</v>
      </c>
      <c r="O58">
        <v>-4.5102949072727201</v>
      </c>
      <c r="P58">
        <v>1</v>
      </c>
      <c r="Q58">
        <v>-5.36501882381818</v>
      </c>
      <c r="R58">
        <v>-5.6642252514999996</v>
      </c>
      <c r="S58">
        <v>1</v>
      </c>
      <c r="T58">
        <v>-5.6663137025000001</v>
      </c>
      <c r="U58">
        <v>-5.3229260908571403</v>
      </c>
      <c r="V58">
        <v>0</v>
      </c>
      <c r="W58">
        <v>-5.7535659412499998</v>
      </c>
      <c r="X58">
        <v>-6.0149521571428499</v>
      </c>
      <c r="Y58">
        <v>1</v>
      </c>
      <c r="Z58">
        <v>-3.6307397186923001</v>
      </c>
      <c r="AA58">
        <v>-3.880186369</v>
      </c>
      <c r="AB58">
        <v>1</v>
      </c>
      <c r="AC58">
        <v>-3.7789193433333299</v>
      </c>
      <c r="AD58">
        <v>-3.8649063018181802</v>
      </c>
      <c r="AE58">
        <v>1</v>
      </c>
      <c r="AF58">
        <v>-4.8136873872727204</v>
      </c>
      <c r="AG58">
        <v>-4.7520593419999999</v>
      </c>
      <c r="AH58">
        <v>0</v>
      </c>
      <c r="AI58">
        <v>-4.9161981375000003</v>
      </c>
      <c r="AJ58">
        <v>-4.5381479871428496</v>
      </c>
      <c r="AK58">
        <v>0</v>
      </c>
      <c r="AL58">
        <v>-4.9829407750000003</v>
      </c>
      <c r="AM58">
        <v>-5.1117171771428502</v>
      </c>
      <c r="AN58">
        <v>1</v>
      </c>
      <c r="AO58">
        <v>-5.70253467323076</v>
      </c>
      <c r="AP58">
        <v>-5.9366404649999902</v>
      </c>
      <c r="AQ58">
        <v>1</v>
      </c>
      <c r="AR58">
        <v>-5.7053808695833297</v>
      </c>
      <c r="AS58">
        <v>-6.0589132599999997</v>
      </c>
      <c r="AT58">
        <v>1</v>
      </c>
      <c r="AU58">
        <v>-6.9008491999999997</v>
      </c>
      <c r="AV58">
        <v>-7.4117256439999899</v>
      </c>
      <c r="AW58">
        <v>1</v>
      </c>
      <c r="AX58">
        <v>-8.4565358199999991</v>
      </c>
      <c r="AY58">
        <v>-8.9472898528571392</v>
      </c>
      <c r="AZ58">
        <v>1</v>
      </c>
      <c r="BA58">
        <v>-8.3485977874999993</v>
      </c>
      <c r="BB58">
        <v>-9.5736360285714195</v>
      </c>
      <c r="BC58">
        <v>1</v>
      </c>
      <c r="BD58">
        <v>-4.0504440521538401</v>
      </c>
      <c r="BE58">
        <v>-3.9645446064166601</v>
      </c>
      <c r="BF58">
        <v>0</v>
      </c>
      <c r="BG58">
        <v>-4.1549653075000004</v>
      </c>
      <c r="BH58">
        <v>-4.3104055163636303</v>
      </c>
      <c r="BI58">
        <v>1</v>
      </c>
      <c r="BJ58">
        <v>-5.0029837563636299</v>
      </c>
      <c r="BK58">
        <v>-5.1625029729999996</v>
      </c>
      <c r="BL58">
        <v>1</v>
      </c>
      <c r="BM58">
        <v>-5.3848280549999998</v>
      </c>
      <c r="BN58">
        <v>-5.1040620971428501</v>
      </c>
      <c r="BO58">
        <v>0</v>
      </c>
      <c r="BP58">
        <v>-5.6236051624999996</v>
      </c>
      <c r="BQ58">
        <v>-6.1629529471428501</v>
      </c>
      <c r="BR58">
        <v>1</v>
      </c>
    </row>
    <row r="59" spans="1:70" x14ac:dyDescent="0.35">
      <c r="A59" t="s">
        <v>536</v>
      </c>
      <c r="B59" t="s">
        <v>534</v>
      </c>
      <c r="C59" t="s">
        <v>535</v>
      </c>
      <c r="D59">
        <v>1</v>
      </c>
      <c r="E59" t="s">
        <v>171</v>
      </c>
      <c r="F59" t="str">
        <f>INDEX([1]train_xl!$H:$H,MATCH(E59,[1]train_xl!$G:$G,0))</f>
        <v>as-as</v>
      </c>
      <c r="G59" t="str">
        <f>INDEX([1]train_xl!$I:$I,MATCH(E59,[1]train_xl!$G:$G,0))</f>
        <v>sim</v>
      </c>
      <c r="H59" t="str">
        <f>INDEX([1]train_xl!$V:$V,MATCH(E59,[1]train_xl!$G:$G,0))</f>
        <v>not</v>
      </c>
      <c r="I59" t="str">
        <f>INDEX([2]Sheet1!$L:$L,MATCH(E59,[2]Sheet1!$I:$I,0))</f>
        <v>intens</v>
      </c>
      <c r="K59">
        <v>-3.6705640667666599</v>
      </c>
      <c r="L59">
        <v>-3.19564756117857</v>
      </c>
      <c r="M59">
        <v>1</v>
      </c>
      <c r="N59">
        <v>-3.7089927260357101</v>
      </c>
      <c r="O59">
        <v>-3.3124187933461502</v>
      </c>
      <c r="P59">
        <v>1</v>
      </c>
      <c r="Q59">
        <v>-4.7315020516538402</v>
      </c>
      <c r="R59">
        <v>-4.3358698245416596</v>
      </c>
      <c r="S59">
        <v>1</v>
      </c>
      <c r="T59">
        <v>-4.4505142310499899</v>
      </c>
      <c r="U59">
        <v>-3.9362482628333302</v>
      </c>
      <c r="V59">
        <v>1</v>
      </c>
      <c r="W59">
        <v>-4.6082056490500003</v>
      </c>
      <c r="X59">
        <v>-4.6357977443888796</v>
      </c>
      <c r="Y59">
        <v>0</v>
      </c>
      <c r="Z59">
        <v>-3.6914207344666599</v>
      </c>
      <c r="AA59">
        <v>-3.5089771478571401</v>
      </c>
      <c r="AB59">
        <v>1</v>
      </c>
      <c r="AC59">
        <v>-3.8700670382857099</v>
      </c>
      <c r="AD59">
        <v>-3.5980271912307602</v>
      </c>
      <c r="AE59">
        <v>1</v>
      </c>
      <c r="AF59">
        <v>-4.6733480932307696</v>
      </c>
      <c r="AG59">
        <v>-4.3658617946666602</v>
      </c>
      <c r="AH59">
        <v>1</v>
      </c>
      <c r="AI59">
        <v>-4.6000704145999904</v>
      </c>
      <c r="AJ59">
        <v>-4.37960700799999</v>
      </c>
      <c r="AK59">
        <v>1</v>
      </c>
      <c r="AL59">
        <v>-4.8082288595999998</v>
      </c>
      <c r="AM59">
        <v>-4.9133127857777703</v>
      </c>
      <c r="AN59">
        <v>0</v>
      </c>
      <c r="AO59">
        <v>-5.1605069523999996</v>
      </c>
      <c r="AP59">
        <v>-5.0721062106714196</v>
      </c>
      <c r="AQ59">
        <v>1</v>
      </c>
      <c r="AR59">
        <v>-5.43768975174285</v>
      </c>
      <c r="AS59">
        <v>-5.3706494989230702</v>
      </c>
      <c r="AT59">
        <v>1</v>
      </c>
      <c r="AU59">
        <v>-6.29519396738461</v>
      </c>
      <c r="AV59">
        <v>-6.2877755507000002</v>
      </c>
      <c r="AW59">
        <v>1</v>
      </c>
      <c r="AX59">
        <v>-6.8708659054399996</v>
      </c>
      <c r="AY59">
        <v>-6.8601669195555504</v>
      </c>
      <c r="AZ59">
        <v>1</v>
      </c>
      <c r="BA59">
        <v>-7.0136157314399998</v>
      </c>
      <c r="BB59">
        <v>-7.4034669706666598</v>
      </c>
      <c r="BC59">
        <v>0</v>
      </c>
      <c r="BD59">
        <v>-4.0597913126666603</v>
      </c>
      <c r="BE59">
        <v>-3.84104773280714</v>
      </c>
      <c r="BF59">
        <v>1</v>
      </c>
      <c r="BG59">
        <v>-4.2173658303785704</v>
      </c>
      <c r="BH59">
        <v>-3.9765679342307698</v>
      </c>
      <c r="BI59">
        <v>1</v>
      </c>
      <c r="BJ59">
        <v>-5.1829337951230698</v>
      </c>
      <c r="BK59">
        <v>-4.69401694541666</v>
      </c>
      <c r="BL59">
        <v>1</v>
      </c>
      <c r="BM59">
        <v>-5.0944967385299904</v>
      </c>
      <c r="BN59">
        <v>-4.8345624861111096</v>
      </c>
      <c r="BO59">
        <v>1</v>
      </c>
      <c r="BP59">
        <v>-5.3206981535299898</v>
      </c>
      <c r="BQ59">
        <v>-5.6914241759222204</v>
      </c>
      <c r="BR59">
        <v>0</v>
      </c>
    </row>
    <row r="60" spans="1:70" x14ac:dyDescent="0.35">
      <c r="A60" t="s">
        <v>537</v>
      </c>
      <c r="B60" t="s">
        <v>538</v>
      </c>
      <c r="C60" t="s">
        <v>14</v>
      </c>
      <c r="D60">
        <v>0</v>
      </c>
      <c r="E60" t="s">
        <v>172</v>
      </c>
      <c r="F60" t="str">
        <f>INDEX([1]train_xl!$H:$H,MATCH(E60,[1]train_xl!$G:$G,0))</f>
        <v>the-of</v>
      </c>
      <c r="G60" t="str">
        <f>INDEX([1]train_xl!$I:$I,MATCH(E60,[1]train_xl!$G:$G,0))</f>
        <v>sim</v>
      </c>
      <c r="H60" t="str">
        <f>INDEX([1]train_xl!$V:$V,MATCH(E60,[1]train_xl!$G:$G,0))</f>
        <v>not</v>
      </c>
      <c r="I60" t="str">
        <f>INDEX([2]Sheet1!$L:$L,MATCH(E60,[2]Sheet1!$I:$I,0))</f>
        <v>neg</v>
      </c>
      <c r="K60">
        <v>-3.8383574447058799</v>
      </c>
      <c r="L60">
        <v>-4.1689546702499998</v>
      </c>
      <c r="M60">
        <v>1</v>
      </c>
      <c r="N60">
        <v>-3.79551647874999</v>
      </c>
      <c r="O60">
        <v>-4.2567288643333301</v>
      </c>
      <c r="P60">
        <v>1</v>
      </c>
      <c r="Q60">
        <v>-4.6757240106666602</v>
      </c>
      <c r="R60">
        <v>-5.24323666928571</v>
      </c>
      <c r="S60">
        <v>1</v>
      </c>
      <c r="T60">
        <v>-4.6086003708333303</v>
      </c>
      <c r="U60">
        <v>-5.00369827545454</v>
      </c>
      <c r="V60">
        <v>1</v>
      </c>
      <c r="W60">
        <v>-4.8819672616666603</v>
      </c>
      <c r="X60">
        <v>-5.1147350181818103</v>
      </c>
      <c r="Y60">
        <v>1</v>
      </c>
      <c r="Z60">
        <v>-3.8539996288235301</v>
      </c>
      <c r="AA60">
        <v>-4.2070599406250002</v>
      </c>
      <c r="AB60">
        <v>1</v>
      </c>
      <c r="AC60">
        <v>-3.8593776746874902</v>
      </c>
      <c r="AD60">
        <v>-4.2755526717333296</v>
      </c>
      <c r="AE60">
        <v>1</v>
      </c>
      <c r="AF60">
        <v>-4.805697704</v>
      </c>
      <c r="AG60">
        <v>-5.2523952999999901</v>
      </c>
      <c r="AH60">
        <v>1</v>
      </c>
      <c r="AI60">
        <v>-4.7390870208333302</v>
      </c>
      <c r="AJ60">
        <v>-5.0881495509090904</v>
      </c>
      <c r="AK60">
        <v>1</v>
      </c>
      <c r="AL60">
        <v>-4.97384879333333</v>
      </c>
      <c r="AM60">
        <v>-5.2648814527272698</v>
      </c>
      <c r="AN60">
        <v>1</v>
      </c>
      <c r="AO60">
        <v>-3.7793634147058799</v>
      </c>
      <c r="AP60">
        <v>-4.1121840349999896</v>
      </c>
      <c r="AQ60">
        <v>1</v>
      </c>
      <c r="AR60">
        <v>-3.6080952475000001</v>
      </c>
      <c r="AS60">
        <v>-3.98374520066666</v>
      </c>
      <c r="AT60">
        <v>1</v>
      </c>
      <c r="AU60">
        <v>-4.3068220986666601</v>
      </c>
      <c r="AV60">
        <v>-4.7228650711428504</v>
      </c>
      <c r="AW60">
        <v>1</v>
      </c>
      <c r="AX60">
        <v>-4.2666744966666599</v>
      </c>
      <c r="AY60">
        <v>-4.6396094181818102</v>
      </c>
      <c r="AZ60">
        <v>1</v>
      </c>
      <c r="BA60">
        <v>-4.4297661833333297</v>
      </c>
      <c r="BB60">
        <v>-4.6685372390908997</v>
      </c>
      <c r="BC60">
        <v>1</v>
      </c>
      <c r="BD60">
        <v>-3.8866468094117601</v>
      </c>
      <c r="BE60">
        <v>-4.2185774449999904</v>
      </c>
      <c r="BF60">
        <v>1</v>
      </c>
      <c r="BG60">
        <v>-3.8912737424999899</v>
      </c>
      <c r="BH60">
        <v>-4.3166831803333299</v>
      </c>
      <c r="BI60">
        <v>1</v>
      </c>
      <c r="BJ60">
        <v>-4.8246294846666604</v>
      </c>
      <c r="BK60">
        <v>-5.3073437999999902</v>
      </c>
      <c r="BL60">
        <v>1</v>
      </c>
      <c r="BM60">
        <v>-4.8382387241666596</v>
      </c>
      <c r="BN60">
        <v>-5.1441590418181802</v>
      </c>
      <c r="BO60">
        <v>1</v>
      </c>
      <c r="BP60">
        <v>-5.1126200416666601</v>
      </c>
      <c r="BQ60">
        <v>-5.36898978181818</v>
      </c>
      <c r="BR60">
        <v>1</v>
      </c>
    </row>
    <row r="61" spans="1:70" x14ac:dyDescent="0.35">
      <c r="A61" t="s">
        <v>539</v>
      </c>
      <c r="B61" t="s">
        <v>538</v>
      </c>
      <c r="C61" t="s">
        <v>14</v>
      </c>
      <c r="D61">
        <v>1</v>
      </c>
      <c r="E61" t="s">
        <v>173</v>
      </c>
      <c r="F61" t="str">
        <f>INDEX([1]train_xl!$H:$H,MATCH(E61,[1]train_xl!$G:$G,0))</f>
        <v>the-of</v>
      </c>
      <c r="G61" t="str">
        <f>INDEX([1]train_xl!$I:$I,MATCH(E61,[1]train_xl!$G:$G,0))</f>
        <v>sim</v>
      </c>
      <c r="H61" t="str">
        <f>INDEX([1]train_xl!$V:$V,MATCH(E61,[1]train_xl!$G:$G,0))</f>
        <v>not</v>
      </c>
      <c r="I61" t="str">
        <f>INDEX([2]Sheet1!$L:$L,MATCH(E61,[2]Sheet1!$I:$I,0))</f>
        <v>intens</v>
      </c>
      <c r="K61">
        <v>-3.4160744178</v>
      </c>
      <c r="L61">
        <v>-3.4604199451052602</v>
      </c>
      <c r="M61">
        <v>0</v>
      </c>
      <c r="N61">
        <v>-3.4284264342631499</v>
      </c>
      <c r="O61">
        <v>-3.3829115537222201</v>
      </c>
      <c r="P61">
        <v>1</v>
      </c>
      <c r="Q61">
        <v>-4.0978470711666599</v>
      </c>
      <c r="R61">
        <v>-4.09515063294117</v>
      </c>
      <c r="S61">
        <v>1</v>
      </c>
      <c r="T61">
        <v>-3.8265040853333301</v>
      </c>
      <c r="U61">
        <v>-3.90043732428571</v>
      </c>
      <c r="V61">
        <v>0</v>
      </c>
      <c r="W61">
        <v>-3.9221415239999899</v>
      </c>
      <c r="X61">
        <v>-4.1367400357142801</v>
      </c>
      <c r="Y61">
        <v>0</v>
      </c>
      <c r="Z61">
        <v>-3.3687847688499999</v>
      </c>
      <c r="AA61">
        <v>-3.4093241939999901</v>
      </c>
      <c r="AB61">
        <v>0</v>
      </c>
      <c r="AC61">
        <v>-3.40412047605263</v>
      </c>
      <c r="AD61">
        <v>-3.3757092557222199</v>
      </c>
      <c r="AE61">
        <v>1</v>
      </c>
      <c r="AF61">
        <v>-4.1105591536666601</v>
      </c>
      <c r="AG61">
        <v>-4.0616714438235197</v>
      </c>
      <c r="AH61">
        <v>1</v>
      </c>
      <c r="AI61">
        <v>-3.8556714786666602</v>
      </c>
      <c r="AJ61">
        <v>-3.9332032385714202</v>
      </c>
      <c r="AK61">
        <v>0</v>
      </c>
      <c r="AL61">
        <v>-3.9802688846666601</v>
      </c>
      <c r="AM61">
        <v>-4.1651715785714201</v>
      </c>
      <c r="AN61">
        <v>0</v>
      </c>
      <c r="AO61">
        <v>-3.34139791299999</v>
      </c>
      <c r="AP61">
        <v>-3.1308227665263102</v>
      </c>
      <c r="AQ61">
        <v>1</v>
      </c>
      <c r="AR61">
        <v>-3.3829944426315701</v>
      </c>
      <c r="AS61">
        <v>-3.14404292833333</v>
      </c>
      <c r="AT61">
        <v>1</v>
      </c>
      <c r="AU61">
        <v>-3.8480115849999899</v>
      </c>
      <c r="AV61">
        <v>-3.6265817205882298</v>
      </c>
      <c r="AW61">
        <v>1</v>
      </c>
      <c r="AX61">
        <v>-3.6608832033333298</v>
      </c>
      <c r="AY61">
        <v>-3.6578562492857101</v>
      </c>
      <c r="AZ61">
        <v>1</v>
      </c>
      <c r="BA61">
        <v>-3.7749034979999898</v>
      </c>
      <c r="BB61">
        <v>-3.8342169121428502</v>
      </c>
      <c r="BC61">
        <v>0</v>
      </c>
      <c r="BD61">
        <v>-3.4945201824000001</v>
      </c>
      <c r="BE61">
        <v>-3.54754279710526</v>
      </c>
      <c r="BF61">
        <v>0</v>
      </c>
      <c r="BG61">
        <v>-3.5652363349473601</v>
      </c>
      <c r="BH61">
        <v>-3.54585256127777</v>
      </c>
      <c r="BI61">
        <v>1</v>
      </c>
      <c r="BJ61">
        <v>-4.1658436718888803</v>
      </c>
      <c r="BK61">
        <v>-4.1559702072941098</v>
      </c>
      <c r="BL61">
        <v>1</v>
      </c>
      <c r="BM61">
        <v>-4.0341955413333297</v>
      </c>
      <c r="BN61">
        <v>-4.0979549999999998</v>
      </c>
      <c r="BO61">
        <v>0</v>
      </c>
      <c r="BP61">
        <v>-4.2231950353333296</v>
      </c>
      <c r="BQ61">
        <v>-4.3377394892857097</v>
      </c>
      <c r="BR61">
        <v>0</v>
      </c>
    </row>
    <row r="62" spans="1:70" x14ac:dyDescent="0.35">
      <c r="A62" t="s">
        <v>540</v>
      </c>
      <c r="B62" t="s">
        <v>15</v>
      </c>
      <c r="C62" t="s">
        <v>541</v>
      </c>
      <c r="D62">
        <v>0</v>
      </c>
      <c r="E62" t="s">
        <v>174</v>
      </c>
      <c r="F62" t="str">
        <f>INDEX([1]train_xl!$H:$H,MATCH(E62,[1]train_xl!$G:$G,0))</f>
        <v>as-as</v>
      </c>
      <c r="G62" t="str">
        <f>INDEX([1]train_xl!$I:$I,MATCH(E62,[1]train_xl!$G:$G,0))</f>
        <v>sim</v>
      </c>
      <c r="H62" t="str">
        <f>INDEX([1]train_xl!$V:$V,MATCH(E62,[1]train_xl!$G:$G,0))</f>
        <v>antonym</v>
      </c>
      <c r="I62" t="str">
        <f>INDEX([2]Sheet1!$L:$L,MATCH(E62,[2]Sheet1!$I:$I,0))</f>
        <v>intens</v>
      </c>
      <c r="K62">
        <v>-4.5128567207857104</v>
      </c>
      <c r="L62">
        <v>-4.2855454861800002</v>
      </c>
      <c r="M62">
        <v>0</v>
      </c>
      <c r="N62">
        <v>-4.7976152536538397</v>
      </c>
      <c r="O62">
        <v>-4.3856856345285697</v>
      </c>
      <c r="P62">
        <v>0</v>
      </c>
      <c r="Q62">
        <v>-5.6468880015833296</v>
      </c>
      <c r="R62">
        <v>-5.1302688162307604</v>
      </c>
      <c r="S62">
        <v>0</v>
      </c>
      <c r="T62">
        <v>-5.6556124733333304</v>
      </c>
      <c r="U62">
        <v>-5.57624899999999</v>
      </c>
      <c r="V62">
        <v>0</v>
      </c>
      <c r="W62">
        <v>-6.0415349188888801</v>
      </c>
      <c r="X62">
        <v>-6.0461094039999903</v>
      </c>
      <c r="Y62">
        <v>1</v>
      </c>
      <c r="Z62">
        <v>-4.9169093965714197</v>
      </c>
      <c r="AA62">
        <v>-4.4314515590000001</v>
      </c>
      <c r="AB62">
        <v>0</v>
      </c>
      <c r="AC62">
        <v>-5.2144302961538402</v>
      </c>
      <c r="AD62">
        <v>-4.8043630442857097</v>
      </c>
      <c r="AE62">
        <v>0</v>
      </c>
      <c r="AF62">
        <v>-5.99574033166666</v>
      </c>
      <c r="AG62">
        <v>-5.5216083138461496</v>
      </c>
      <c r="AH62">
        <v>0</v>
      </c>
      <c r="AI62">
        <v>-6.3659017633333299</v>
      </c>
      <c r="AJ62">
        <v>-6.1851375830000004</v>
      </c>
      <c r="AK62">
        <v>0</v>
      </c>
      <c r="AL62">
        <v>-6.7914636355555498</v>
      </c>
      <c r="AM62">
        <v>-6.6203267029999902</v>
      </c>
      <c r="AN62">
        <v>0</v>
      </c>
      <c r="AO62">
        <v>-4.1013306814285704</v>
      </c>
      <c r="AP62">
        <v>-3.8453263499999899</v>
      </c>
      <c r="AQ62">
        <v>0</v>
      </c>
      <c r="AR62">
        <v>-4.1083539923076904</v>
      </c>
      <c r="AS62">
        <v>-3.8076579221428499</v>
      </c>
      <c r="AT62">
        <v>0</v>
      </c>
      <c r="AU62">
        <v>-4.6825906733333298</v>
      </c>
      <c r="AV62">
        <v>-4.3704291969230704</v>
      </c>
      <c r="AW62">
        <v>0</v>
      </c>
      <c r="AX62">
        <v>-4.7620624888888896</v>
      </c>
      <c r="AY62">
        <v>-4.5330077260000001</v>
      </c>
      <c r="AZ62">
        <v>0</v>
      </c>
      <c r="BA62">
        <v>-4.8770244055555496</v>
      </c>
      <c r="BB62">
        <v>-4.8651625139999997</v>
      </c>
      <c r="BC62">
        <v>0</v>
      </c>
      <c r="BD62">
        <v>-4.7553403969285704</v>
      </c>
      <c r="BE62">
        <v>-4.4475392713333299</v>
      </c>
      <c r="BF62">
        <v>0</v>
      </c>
      <c r="BG62">
        <v>-4.9806221533846102</v>
      </c>
      <c r="BH62">
        <v>-4.6168973724999898</v>
      </c>
      <c r="BI62">
        <v>0</v>
      </c>
      <c r="BJ62">
        <v>-5.8398561041666603</v>
      </c>
      <c r="BK62">
        <v>-5.1774735469230704</v>
      </c>
      <c r="BL62">
        <v>0</v>
      </c>
      <c r="BM62">
        <v>-6.0762392911111096</v>
      </c>
      <c r="BN62">
        <v>-5.9408148999999897</v>
      </c>
      <c r="BO62">
        <v>0</v>
      </c>
      <c r="BP62">
        <v>-6.4843486266666597</v>
      </c>
      <c r="BQ62">
        <v>-6.3740565440000001</v>
      </c>
      <c r="BR62">
        <v>0</v>
      </c>
    </row>
    <row r="63" spans="1:70" x14ac:dyDescent="0.35">
      <c r="A63" t="s">
        <v>542</v>
      </c>
      <c r="B63" t="s">
        <v>15</v>
      </c>
      <c r="C63" t="s">
        <v>541</v>
      </c>
      <c r="D63">
        <v>1</v>
      </c>
      <c r="E63" t="s">
        <v>175</v>
      </c>
      <c r="F63" t="str">
        <f>INDEX([1]train_xl!$H:$H,MATCH(E63,[1]train_xl!$G:$G,0))</f>
        <v>as-as</v>
      </c>
      <c r="G63" t="str">
        <f>INDEX([1]train_xl!$I:$I,MATCH(E63,[1]train_xl!$G:$G,0))</f>
        <v>sim</v>
      </c>
      <c r="H63" t="str">
        <f>INDEX([1]train_xl!$V:$V,MATCH(E63,[1]train_xl!$G:$G,0))</f>
        <v>antonym</v>
      </c>
      <c r="I63" t="str">
        <f>INDEX([2]Sheet1!$L:$L,MATCH(E63,[2]Sheet1!$I:$I,0))</f>
        <v>neg</v>
      </c>
      <c r="K63">
        <v>-4.3197457204285703</v>
      </c>
      <c r="L63">
        <v>-4.5125480213333304</v>
      </c>
      <c r="M63">
        <v>0</v>
      </c>
      <c r="N63">
        <v>-4.4902627834076903</v>
      </c>
      <c r="O63">
        <v>-4.7633819036857101</v>
      </c>
      <c r="P63">
        <v>0</v>
      </c>
      <c r="Q63">
        <v>-5.2373333673333304</v>
      </c>
      <c r="R63">
        <v>-5.4322645276153798</v>
      </c>
      <c r="S63">
        <v>0</v>
      </c>
      <c r="T63">
        <v>-5.3520185822222199</v>
      </c>
      <c r="U63">
        <v>-5.7067437200000004</v>
      </c>
      <c r="V63">
        <v>0</v>
      </c>
      <c r="W63">
        <v>-5.6661320066666603</v>
      </c>
      <c r="X63">
        <v>-6.2304779269999901</v>
      </c>
      <c r="Y63">
        <v>0</v>
      </c>
      <c r="Z63">
        <v>-4.8009264564285701</v>
      </c>
      <c r="AA63">
        <v>-4.7303579753333302</v>
      </c>
      <c r="AB63">
        <v>1</v>
      </c>
      <c r="AC63">
        <v>-5.0728536961538397</v>
      </c>
      <c r="AD63">
        <v>-5.1942649021428497</v>
      </c>
      <c r="AE63">
        <v>0</v>
      </c>
      <c r="AF63">
        <v>-5.9313776374999998</v>
      </c>
      <c r="AG63">
        <v>-5.98142421184615</v>
      </c>
      <c r="AH63">
        <v>0</v>
      </c>
      <c r="AI63">
        <v>-6.0580344999999998</v>
      </c>
      <c r="AJ63">
        <v>-6.3053519729999996</v>
      </c>
      <c r="AK63">
        <v>0</v>
      </c>
      <c r="AL63">
        <v>-6.5334803622222202</v>
      </c>
      <c r="AM63">
        <v>-6.6968100059999998</v>
      </c>
      <c r="AN63">
        <v>0</v>
      </c>
      <c r="AO63">
        <v>-3.7483723942857101</v>
      </c>
      <c r="AP63">
        <v>-3.91210713933333</v>
      </c>
      <c r="AQ63">
        <v>0</v>
      </c>
      <c r="AR63">
        <v>-3.7509052366153801</v>
      </c>
      <c r="AS63">
        <v>-3.96132660321428</v>
      </c>
      <c r="AT63">
        <v>0</v>
      </c>
      <c r="AU63">
        <v>-4.5200966591666596</v>
      </c>
      <c r="AV63">
        <v>-4.5758663123076904</v>
      </c>
      <c r="AW63">
        <v>0</v>
      </c>
      <c r="AX63">
        <v>-4.2814329499999904</v>
      </c>
      <c r="AY63">
        <v>-4.6779954539999897</v>
      </c>
      <c r="AZ63">
        <v>0</v>
      </c>
      <c r="BA63">
        <v>-4.5053708166666597</v>
      </c>
      <c r="BB63">
        <v>-4.816401902</v>
      </c>
      <c r="BC63">
        <v>0</v>
      </c>
      <c r="BD63">
        <v>-4.6112934074999998</v>
      </c>
      <c r="BE63">
        <v>-4.7142411373333299</v>
      </c>
      <c r="BF63">
        <v>0</v>
      </c>
      <c r="BG63">
        <v>-4.8461590823076897</v>
      </c>
      <c r="BH63">
        <v>-4.9824940885714204</v>
      </c>
      <c r="BI63">
        <v>0</v>
      </c>
      <c r="BJ63">
        <v>-5.8495046558333303</v>
      </c>
      <c r="BK63">
        <v>-5.6892337246153799</v>
      </c>
      <c r="BL63">
        <v>1</v>
      </c>
      <c r="BM63">
        <v>-5.6341935444444404</v>
      </c>
      <c r="BN63">
        <v>-5.9861308500000003</v>
      </c>
      <c r="BO63">
        <v>0</v>
      </c>
      <c r="BP63">
        <v>-6.1229278588888896</v>
      </c>
      <c r="BQ63">
        <v>-6.3576434070000003</v>
      </c>
      <c r="BR63">
        <v>0</v>
      </c>
    </row>
    <row r="64" spans="1:70" x14ac:dyDescent="0.35">
      <c r="A64" t="s">
        <v>543</v>
      </c>
      <c r="B64" t="s">
        <v>544</v>
      </c>
      <c r="C64" t="s">
        <v>16</v>
      </c>
      <c r="D64">
        <v>0</v>
      </c>
      <c r="E64" t="s">
        <v>176</v>
      </c>
      <c r="F64" t="str">
        <f>INDEX([1]train_xl!$H:$H,MATCH(E64,[1]train_xl!$G:$G,0))</f>
        <v>as-as</v>
      </c>
      <c r="G64" t="str">
        <f>INDEX([1]train_xl!$I:$I,MATCH(E64,[1]train_xl!$G:$G,0))</f>
        <v>sim</v>
      </c>
      <c r="H64" t="str">
        <f>INDEX([1]train_xl!$V:$V,MATCH(E64,[1]train_xl!$G:$G,0))</f>
        <v>not</v>
      </c>
      <c r="I64" t="str">
        <f>INDEX([2]Sheet1!$L:$L,MATCH(E64,[2]Sheet1!$I:$I,0))</f>
        <v>intens</v>
      </c>
      <c r="K64">
        <v>-3.86624190585714</v>
      </c>
      <c r="L64">
        <v>-3.8935279571999901</v>
      </c>
      <c r="M64">
        <v>1</v>
      </c>
      <c r="N64">
        <v>-3.9001021513076899</v>
      </c>
      <c r="O64">
        <v>-4.1457669824999996</v>
      </c>
      <c r="P64">
        <v>1</v>
      </c>
      <c r="Q64">
        <v>-4.6538867354999898</v>
      </c>
      <c r="R64">
        <v>-4.8280233627692297</v>
      </c>
      <c r="S64">
        <v>1</v>
      </c>
      <c r="T64">
        <v>-4.8636587133333302</v>
      </c>
      <c r="U64">
        <v>-4.8995363330000004</v>
      </c>
      <c r="V64">
        <v>1</v>
      </c>
      <c r="W64">
        <v>-5.4299374833333296</v>
      </c>
      <c r="X64">
        <v>-5.1903849089999996</v>
      </c>
      <c r="Y64">
        <v>0</v>
      </c>
      <c r="Z64">
        <v>-4.2624254497142804</v>
      </c>
      <c r="AA64">
        <v>-4.1390075682666598</v>
      </c>
      <c r="AB64">
        <v>0</v>
      </c>
      <c r="AC64">
        <v>-4.3175353350769203</v>
      </c>
      <c r="AD64">
        <v>-4.4300938247142803</v>
      </c>
      <c r="AE64">
        <v>1</v>
      </c>
      <c r="AF64">
        <v>-5.0952120979166597</v>
      </c>
      <c r="AG64">
        <v>-5.1709162649999998</v>
      </c>
      <c r="AH64">
        <v>1</v>
      </c>
      <c r="AI64">
        <v>-5.6813032577777696</v>
      </c>
      <c r="AJ64">
        <v>-5.5938507729999998</v>
      </c>
      <c r="AK64">
        <v>0</v>
      </c>
      <c r="AL64">
        <v>-6.31509692222222</v>
      </c>
      <c r="AM64">
        <v>-5.9355152869999896</v>
      </c>
      <c r="AN64">
        <v>0</v>
      </c>
      <c r="AO64">
        <v>-3.56459983664285</v>
      </c>
      <c r="AP64">
        <v>-3.5991898046666599</v>
      </c>
      <c r="AQ64">
        <v>1</v>
      </c>
      <c r="AR64">
        <v>-3.28688617923076</v>
      </c>
      <c r="AS64">
        <v>-3.50759288571428</v>
      </c>
      <c r="AT64">
        <v>1</v>
      </c>
      <c r="AU64">
        <v>-3.9486674083333302</v>
      </c>
      <c r="AV64">
        <v>-4.0162479261538397</v>
      </c>
      <c r="AW64">
        <v>1</v>
      </c>
      <c r="AX64">
        <v>-4.06734834444444</v>
      </c>
      <c r="AY64">
        <v>-4.2503416899999902</v>
      </c>
      <c r="AZ64">
        <v>1</v>
      </c>
      <c r="BA64">
        <v>-4.5037776044444398</v>
      </c>
      <c r="BB64">
        <v>-4.4247763899999999</v>
      </c>
      <c r="BC64">
        <v>0</v>
      </c>
      <c r="BD64">
        <v>-4.1435884466428501</v>
      </c>
      <c r="BE64">
        <v>-4.1805408181999999</v>
      </c>
      <c r="BF64">
        <v>1</v>
      </c>
      <c r="BG64">
        <v>-4.0988272761538402</v>
      </c>
      <c r="BH64">
        <v>-4.2655798742857103</v>
      </c>
      <c r="BI64">
        <v>1</v>
      </c>
      <c r="BJ64">
        <v>-5.0750367199999999</v>
      </c>
      <c r="BK64">
        <v>-5.0667193876922996</v>
      </c>
      <c r="BL64">
        <v>0</v>
      </c>
      <c r="BM64">
        <v>-5.4916265044444401</v>
      </c>
      <c r="BN64">
        <v>-5.5039808600000004</v>
      </c>
      <c r="BO64">
        <v>1</v>
      </c>
      <c r="BP64">
        <v>-6.2012020666666601</v>
      </c>
      <c r="BQ64">
        <v>-5.8520235500000002</v>
      </c>
      <c r="BR64">
        <v>0</v>
      </c>
    </row>
    <row r="65" spans="1:70" x14ac:dyDescent="0.35">
      <c r="A65" t="s">
        <v>545</v>
      </c>
      <c r="B65" t="s">
        <v>544</v>
      </c>
      <c r="C65" t="s">
        <v>16</v>
      </c>
      <c r="D65">
        <v>1</v>
      </c>
      <c r="E65" t="s">
        <v>177</v>
      </c>
      <c r="F65" t="str">
        <f>INDEX([1]train_xl!$H:$H,MATCH(E65,[1]train_xl!$G:$G,0))</f>
        <v>as-as</v>
      </c>
      <c r="G65" t="str">
        <f>INDEX([1]train_xl!$I:$I,MATCH(E65,[1]train_xl!$G:$G,0))</f>
        <v>sim</v>
      </c>
      <c r="H65" t="str">
        <f>INDEX([1]train_xl!$V:$V,MATCH(E65,[1]train_xl!$G:$G,0))</f>
        <v>not</v>
      </c>
      <c r="I65" t="str">
        <f>INDEX([2]Sheet1!$L:$L,MATCH(E65,[2]Sheet1!$I:$I,0))</f>
        <v>neg</v>
      </c>
      <c r="K65">
        <v>-3.9245148950000002</v>
      </c>
      <c r="L65">
        <v>-3.4503394826</v>
      </c>
      <c r="M65">
        <v>1</v>
      </c>
      <c r="N65">
        <v>-4.1773491093846102</v>
      </c>
      <c r="O65">
        <v>-3.661316217</v>
      </c>
      <c r="P65">
        <v>1</v>
      </c>
      <c r="Q65">
        <v>-5.0368803044999897</v>
      </c>
      <c r="R65">
        <v>-4.3730371838461499</v>
      </c>
      <c r="S65">
        <v>1</v>
      </c>
      <c r="T65">
        <v>-4.6454103277777703</v>
      </c>
      <c r="U65">
        <v>-4.4859780939999903</v>
      </c>
      <c r="V65">
        <v>1</v>
      </c>
      <c r="W65">
        <v>-5.1229515599999997</v>
      </c>
      <c r="X65">
        <v>-4.9089971800000001</v>
      </c>
      <c r="Y65">
        <v>1</v>
      </c>
      <c r="Z65">
        <v>-4.2881440771428503</v>
      </c>
      <c r="AA65">
        <v>-3.88050405126666</v>
      </c>
      <c r="AB65">
        <v>1</v>
      </c>
      <c r="AC65">
        <v>-4.5364072406923004</v>
      </c>
      <c r="AD65">
        <v>-4.11398820214285</v>
      </c>
      <c r="AE65">
        <v>1</v>
      </c>
      <c r="AF65">
        <v>-5.26147872833333</v>
      </c>
      <c r="AG65">
        <v>-4.58829830076923</v>
      </c>
      <c r="AH65">
        <v>1</v>
      </c>
      <c r="AI65">
        <v>-5.5103338844444396</v>
      </c>
      <c r="AJ65">
        <v>-5.1550785450000003</v>
      </c>
      <c r="AK65">
        <v>1</v>
      </c>
      <c r="AL65">
        <v>-5.8056082633333297</v>
      </c>
      <c r="AM65">
        <v>-5.3876041460000001</v>
      </c>
      <c r="AN65">
        <v>1</v>
      </c>
      <c r="AO65">
        <v>-3.5767933956428499</v>
      </c>
      <c r="AP65">
        <v>-3.21339659726666</v>
      </c>
      <c r="AQ65">
        <v>1</v>
      </c>
      <c r="AR65">
        <v>-3.7187041366153801</v>
      </c>
      <c r="AS65">
        <v>-3.2876194207142801</v>
      </c>
      <c r="AT65">
        <v>1</v>
      </c>
      <c r="AU65">
        <v>-4.3063981783333301</v>
      </c>
      <c r="AV65">
        <v>-3.8743385176923</v>
      </c>
      <c r="AW65">
        <v>1</v>
      </c>
      <c r="AX65">
        <v>-4.0726742066666599</v>
      </c>
      <c r="AY65">
        <v>-4.0282356000000004</v>
      </c>
      <c r="AZ65">
        <v>1</v>
      </c>
      <c r="BA65">
        <v>-4.3415447033333301</v>
      </c>
      <c r="BB65">
        <v>-4.1518698260000004</v>
      </c>
      <c r="BC65">
        <v>1</v>
      </c>
      <c r="BD65">
        <v>-4.2443265012142799</v>
      </c>
      <c r="BE65">
        <v>-3.9114091291999999</v>
      </c>
      <c r="BF65">
        <v>1</v>
      </c>
      <c r="BG65">
        <v>-4.4453340146153799</v>
      </c>
      <c r="BH65">
        <v>-4.04338290714285</v>
      </c>
      <c r="BI65">
        <v>1</v>
      </c>
      <c r="BJ65">
        <v>-5.4624401100000002</v>
      </c>
      <c r="BK65">
        <v>-4.6920211684615296</v>
      </c>
      <c r="BL65">
        <v>1</v>
      </c>
      <c r="BM65">
        <v>-5.4829465822222199</v>
      </c>
      <c r="BN65">
        <v>-5.1790237399999999</v>
      </c>
      <c r="BO65">
        <v>1</v>
      </c>
      <c r="BP65">
        <v>-5.8014407444444398</v>
      </c>
      <c r="BQ65">
        <v>-5.4388668199999897</v>
      </c>
      <c r="BR65">
        <v>1</v>
      </c>
    </row>
    <row r="66" spans="1:70" x14ac:dyDescent="0.35">
      <c r="A66" t="s">
        <v>546</v>
      </c>
      <c r="B66" t="s">
        <v>547</v>
      </c>
      <c r="C66" t="s">
        <v>548</v>
      </c>
      <c r="D66">
        <v>0</v>
      </c>
      <c r="E66" t="s">
        <v>178</v>
      </c>
      <c r="F66" t="str">
        <f>INDEX([1]train_xl!$H:$H,MATCH(E66,[1]train_xl!$G:$G,0))</f>
        <v>the-of</v>
      </c>
      <c r="G66" t="str">
        <f>INDEX([1]train_xl!$I:$I,MATCH(E66,[1]train_xl!$G:$G,0))</f>
        <v>sim</v>
      </c>
      <c r="H66" t="str">
        <f>INDEX([1]train_xl!$V:$V,MATCH(E66,[1]train_xl!$G:$G,0))</f>
        <v>not</v>
      </c>
      <c r="I66" t="str">
        <f>INDEX([2]Sheet1!$L:$L,MATCH(E66,[2]Sheet1!$I:$I,0))</f>
        <v>intens</v>
      </c>
      <c r="K66">
        <v>-3.9948488082</v>
      </c>
      <c r="L66">
        <v>-3.8692353725625002</v>
      </c>
      <c r="M66">
        <v>0</v>
      </c>
      <c r="N66">
        <v>-4.0139667712142799</v>
      </c>
      <c r="O66">
        <v>-3.9438227948199902</v>
      </c>
      <c r="P66">
        <v>0</v>
      </c>
      <c r="Q66">
        <v>-4.8460268358461498</v>
      </c>
      <c r="R66">
        <v>-4.7194718207142801</v>
      </c>
      <c r="S66">
        <v>0</v>
      </c>
      <c r="T66">
        <v>-4.8943262570000003</v>
      </c>
      <c r="U66">
        <v>-4.8732677090909098</v>
      </c>
      <c r="V66">
        <v>0</v>
      </c>
      <c r="W66">
        <v>-5.4867800459999998</v>
      </c>
      <c r="X66">
        <v>-5.2590731854545396</v>
      </c>
      <c r="Y66">
        <v>0</v>
      </c>
      <c r="Z66">
        <v>-4.2594703479999998</v>
      </c>
      <c r="AA66">
        <v>-4.1368877926875003</v>
      </c>
      <c r="AB66">
        <v>0</v>
      </c>
      <c r="AC66">
        <v>-4.4168699553571402</v>
      </c>
      <c r="AD66">
        <v>-4.4706715666666597</v>
      </c>
      <c r="AE66">
        <v>1</v>
      </c>
      <c r="AF66">
        <v>-5.1916016689999998</v>
      </c>
      <c r="AG66">
        <v>-5.10863778428571</v>
      </c>
      <c r="AH66">
        <v>0</v>
      </c>
      <c r="AI66">
        <v>-5.4315947499999897</v>
      </c>
      <c r="AJ66">
        <v>-5.5361387454545401</v>
      </c>
      <c r="AK66">
        <v>1</v>
      </c>
      <c r="AL66">
        <v>-5.8734001299999896</v>
      </c>
      <c r="AM66">
        <v>-5.6663539754545402</v>
      </c>
      <c r="AN66">
        <v>0</v>
      </c>
      <c r="AO66">
        <v>-3.7205990386666601</v>
      </c>
      <c r="AP66">
        <v>-3.706739115</v>
      </c>
      <c r="AQ66">
        <v>0</v>
      </c>
      <c r="AR66">
        <v>-3.6282333121428501</v>
      </c>
      <c r="AS66">
        <v>-3.6933329471333298</v>
      </c>
      <c r="AT66">
        <v>1</v>
      </c>
      <c r="AU66">
        <v>-4.4892652969230697</v>
      </c>
      <c r="AV66">
        <v>-4.3885209157142802</v>
      </c>
      <c r="AW66">
        <v>0</v>
      </c>
      <c r="AX66">
        <v>-4.37094968999999</v>
      </c>
      <c r="AY66">
        <v>-4.4912938909090903</v>
      </c>
      <c r="AZ66">
        <v>1</v>
      </c>
      <c r="BA66">
        <v>-4.6227662249999897</v>
      </c>
      <c r="BB66">
        <v>-4.4416268090909004</v>
      </c>
      <c r="BC66">
        <v>0</v>
      </c>
      <c r="BD66">
        <v>-4.3317781131333302</v>
      </c>
      <c r="BE66">
        <v>-4.3158549849999996</v>
      </c>
      <c r="BF66">
        <v>0</v>
      </c>
      <c r="BG66">
        <v>-4.4711505514285701</v>
      </c>
      <c r="BH66">
        <v>-4.4729527309999897</v>
      </c>
      <c r="BI66">
        <v>1</v>
      </c>
      <c r="BJ66">
        <v>-5.2573911126153803</v>
      </c>
      <c r="BK66">
        <v>-5.2020892385714204</v>
      </c>
      <c r="BL66">
        <v>0</v>
      </c>
      <c r="BM66">
        <v>-5.4677142199999897</v>
      </c>
      <c r="BN66">
        <v>-5.57976924545454</v>
      </c>
      <c r="BO66">
        <v>1</v>
      </c>
      <c r="BP66">
        <v>-5.9213920599999996</v>
      </c>
      <c r="BQ66">
        <v>-5.68034319090909</v>
      </c>
      <c r="BR66">
        <v>0</v>
      </c>
    </row>
    <row r="67" spans="1:70" x14ac:dyDescent="0.35">
      <c r="A67" t="s">
        <v>549</v>
      </c>
      <c r="B67" t="s">
        <v>547</v>
      </c>
      <c r="C67" t="s">
        <v>548</v>
      </c>
      <c r="D67">
        <v>1</v>
      </c>
      <c r="E67" t="s">
        <v>179</v>
      </c>
      <c r="F67" t="str">
        <f>INDEX([1]train_xl!$H:$H,MATCH(E67,[1]train_xl!$G:$G,0))</f>
        <v>the-of</v>
      </c>
      <c r="G67" t="str">
        <f>INDEX([1]train_xl!$I:$I,MATCH(E67,[1]train_xl!$G:$G,0))</f>
        <v>sim</v>
      </c>
      <c r="H67" t="str">
        <f>INDEX([1]train_xl!$V:$V,MATCH(E67,[1]train_xl!$G:$G,0))</f>
        <v>not</v>
      </c>
      <c r="I67" t="str">
        <f>INDEX([2]Sheet1!$L:$L,MATCH(E67,[2]Sheet1!$I:$I,0))</f>
        <v>neg</v>
      </c>
      <c r="K67">
        <v>-4.11510820353333</v>
      </c>
      <c r="L67">
        <v>-3.6868270825937399</v>
      </c>
      <c r="M67">
        <v>1</v>
      </c>
      <c r="N67">
        <v>-4.2044124618214198</v>
      </c>
      <c r="O67">
        <v>-3.72288804819999</v>
      </c>
      <c r="P67">
        <v>1</v>
      </c>
      <c r="Q67">
        <v>-4.9214845776153799</v>
      </c>
      <c r="R67">
        <v>-4.4145342710714202</v>
      </c>
      <c r="S67">
        <v>1</v>
      </c>
      <c r="T67">
        <v>-5.2173274840000001</v>
      </c>
      <c r="U67">
        <v>-4.5361649863636302</v>
      </c>
      <c r="V67">
        <v>1</v>
      </c>
      <c r="W67">
        <v>-5.4845257800000002</v>
      </c>
      <c r="X67">
        <v>-5.0411742945454501</v>
      </c>
      <c r="Y67">
        <v>1</v>
      </c>
      <c r="Z67">
        <v>-4.3987753314000004</v>
      </c>
      <c r="AA67">
        <v>-4.0668898253750001</v>
      </c>
      <c r="AB67">
        <v>1</v>
      </c>
      <c r="AC67">
        <v>-4.5777387346428497</v>
      </c>
      <c r="AD67">
        <v>-4.1537397082666603</v>
      </c>
      <c r="AE67">
        <v>1</v>
      </c>
      <c r="AF67">
        <v>-5.2509412646153804</v>
      </c>
      <c r="AG67">
        <v>-4.8476396399999997</v>
      </c>
      <c r="AH67">
        <v>1</v>
      </c>
      <c r="AI67">
        <v>-5.9018837499999997</v>
      </c>
      <c r="AJ67">
        <v>-5.1069242490909001</v>
      </c>
      <c r="AK67">
        <v>1</v>
      </c>
      <c r="AL67">
        <v>-5.8041219499999999</v>
      </c>
      <c r="AM67">
        <v>-5.38112074272727</v>
      </c>
      <c r="AN67">
        <v>1</v>
      </c>
      <c r="AO67">
        <v>-3.75347793706666</v>
      </c>
      <c r="AP67">
        <v>-3.46658586337499</v>
      </c>
      <c r="AQ67">
        <v>1</v>
      </c>
      <c r="AR67">
        <v>-3.8701766414285701</v>
      </c>
      <c r="AS67">
        <v>-3.4278288880000001</v>
      </c>
      <c r="AT67">
        <v>1</v>
      </c>
      <c r="AU67">
        <v>-4.4891758661538397</v>
      </c>
      <c r="AV67">
        <v>-4.06174706821428</v>
      </c>
      <c r="AW67">
        <v>1</v>
      </c>
      <c r="AX67">
        <v>-4.6098956150000001</v>
      </c>
      <c r="AY67">
        <v>-4.0568001036363599</v>
      </c>
      <c r="AZ67">
        <v>1</v>
      </c>
      <c r="BA67">
        <v>-4.7385048319999896</v>
      </c>
      <c r="BB67">
        <v>-4.3874722763636296</v>
      </c>
      <c r="BC67">
        <v>1</v>
      </c>
      <c r="BD67">
        <v>-4.4672473801333297</v>
      </c>
      <c r="BE67">
        <v>-4.1547565110000004</v>
      </c>
      <c r="BF67">
        <v>1</v>
      </c>
      <c r="BG67">
        <v>-4.6380630149999904</v>
      </c>
      <c r="BH67">
        <v>-4.2041339206666599</v>
      </c>
      <c r="BI67">
        <v>1</v>
      </c>
      <c r="BJ67">
        <v>-5.2830462046153803</v>
      </c>
      <c r="BK67">
        <v>-4.8916934599999999</v>
      </c>
      <c r="BL67">
        <v>1</v>
      </c>
      <c r="BM67">
        <v>-5.9238783399999999</v>
      </c>
      <c r="BN67">
        <v>-5.1700739272727203</v>
      </c>
      <c r="BO67">
        <v>1</v>
      </c>
      <c r="BP67">
        <v>-5.8946952000000001</v>
      </c>
      <c r="BQ67">
        <v>-5.4447669636363596</v>
      </c>
      <c r="BR67">
        <v>1</v>
      </c>
    </row>
    <row r="68" spans="1:70" x14ac:dyDescent="0.35">
      <c r="A68" t="s">
        <v>550</v>
      </c>
      <c r="B68" t="s">
        <v>551</v>
      </c>
      <c r="C68" t="s">
        <v>552</v>
      </c>
      <c r="D68">
        <v>0</v>
      </c>
      <c r="E68" t="s">
        <v>180</v>
      </c>
      <c r="F68" t="str">
        <f>INDEX([1]train_xl!$H:$H,MATCH(E68,[1]train_xl!$G:$G,0))</f>
        <v>as-as</v>
      </c>
      <c r="G68" t="str">
        <f>INDEX([1]train_xl!$I:$I,MATCH(E68,[1]train_xl!$G:$G,0))</f>
        <v>sim</v>
      </c>
      <c r="H68" t="str">
        <f>INDEX([1]train_xl!$V:$V,MATCH(E68,[1]train_xl!$G:$G,0))</f>
        <v>antonym</v>
      </c>
      <c r="I68" t="str">
        <f>INDEX([2]Sheet1!$L:$L,MATCH(E68,[2]Sheet1!$I:$I,0))</f>
        <v>intens</v>
      </c>
      <c r="K68">
        <v>-3.3699718651166601</v>
      </c>
      <c r="L68">
        <v>-3.4365728272307599</v>
      </c>
      <c r="M68">
        <v>1</v>
      </c>
      <c r="N68">
        <v>-3.8417396723636301</v>
      </c>
      <c r="O68">
        <v>-3.86544359908333</v>
      </c>
      <c r="P68">
        <v>1</v>
      </c>
      <c r="Q68">
        <v>-4.8965524426</v>
      </c>
      <c r="R68">
        <v>-4.9769162299999996</v>
      </c>
      <c r="S68">
        <v>1</v>
      </c>
      <c r="T68">
        <v>-3.69186378142857</v>
      </c>
      <c r="U68">
        <v>-4.7725560587500002</v>
      </c>
      <c r="V68">
        <v>1</v>
      </c>
      <c r="W68">
        <v>-4.9612814142857102</v>
      </c>
      <c r="X68">
        <v>-5.0122956162499896</v>
      </c>
      <c r="Y68">
        <v>1</v>
      </c>
      <c r="Z68">
        <v>-3.7137035988333298</v>
      </c>
      <c r="AA68">
        <v>-3.71728497107692</v>
      </c>
      <c r="AB68">
        <v>1</v>
      </c>
      <c r="AC68">
        <v>-4.1776082754545403</v>
      </c>
      <c r="AD68">
        <v>-4.1347117441666601</v>
      </c>
      <c r="AE68">
        <v>0</v>
      </c>
      <c r="AF68">
        <v>-5.2102391179999996</v>
      </c>
      <c r="AG68">
        <v>-5.14123071363636</v>
      </c>
      <c r="AH68">
        <v>0</v>
      </c>
      <c r="AI68">
        <v>-4.3363934142857099</v>
      </c>
      <c r="AJ68">
        <v>-4.9932324625</v>
      </c>
      <c r="AK68">
        <v>1</v>
      </c>
      <c r="AL68">
        <v>-4.9377327857142799</v>
      </c>
      <c r="AM68">
        <v>-4.9755321500000003</v>
      </c>
      <c r="AN68">
        <v>1</v>
      </c>
      <c r="AO68">
        <v>-4.6223287745833304</v>
      </c>
      <c r="AP68">
        <v>-4.6996163333076897</v>
      </c>
      <c r="AQ68">
        <v>1</v>
      </c>
      <c r="AR68">
        <v>-4.8121955563636298</v>
      </c>
      <c r="AS68">
        <v>-4.8683539816666599</v>
      </c>
      <c r="AT68">
        <v>1</v>
      </c>
      <c r="AU68">
        <v>-5.9860738819999897</v>
      </c>
      <c r="AV68">
        <v>-5.91525220363636</v>
      </c>
      <c r="AW68">
        <v>0</v>
      </c>
      <c r="AX68">
        <v>-6.28662795285714</v>
      </c>
      <c r="AY68">
        <v>-6.6940837374999997</v>
      </c>
      <c r="AZ68">
        <v>1</v>
      </c>
      <c r="BA68">
        <v>-6.4485622714285702</v>
      </c>
      <c r="BB68">
        <v>-6.3192852999999998</v>
      </c>
      <c r="BC68">
        <v>0</v>
      </c>
      <c r="BD68">
        <v>-3.8548378937500001</v>
      </c>
      <c r="BE68">
        <v>-3.8188609146153798</v>
      </c>
      <c r="BF68">
        <v>0</v>
      </c>
      <c r="BG68">
        <v>-4.3285322718181796</v>
      </c>
      <c r="BH68">
        <v>-4.2936679658333299</v>
      </c>
      <c r="BI68">
        <v>0</v>
      </c>
      <c r="BJ68">
        <v>-5.3689103149999999</v>
      </c>
      <c r="BK68">
        <v>-5.3354741309090903</v>
      </c>
      <c r="BL68">
        <v>0</v>
      </c>
      <c r="BM68">
        <v>-4.5085387757142801</v>
      </c>
      <c r="BN68">
        <v>-5.2090353624999999</v>
      </c>
      <c r="BO68">
        <v>1</v>
      </c>
      <c r="BP68">
        <v>-5.6928918285714198</v>
      </c>
      <c r="BQ68">
        <v>-5.4631608375000003</v>
      </c>
      <c r="BR68">
        <v>0</v>
      </c>
    </row>
    <row r="69" spans="1:70" x14ac:dyDescent="0.35">
      <c r="A69" t="s">
        <v>553</v>
      </c>
      <c r="B69" t="s">
        <v>551</v>
      </c>
      <c r="C69" t="s">
        <v>552</v>
      </c>
      <c r="D69">
        <v>1</v>
      </c>
      <c r="E69" t="s">
        <v>181</v>
      </c>
      <c r="F69" t="str">
        <f>INDEX([1]train_xl!$H:$H,MATCH(E69,[1]train_xl!$G:$G,0))</f>
        <v>as-as</v>
      </c>
      <c r="G69" t="str">
        <f>INDEX([1]train_xl!$I:$I,MATCH(E69,[1]train_xl!$G:$G,0))</f>
        <v>sim</v>
      </c>
      <c r="H69" t="str">
        <f>INDEX([1]train_xl!$V:$V,MATCH(E69,[1]train_xl!$G:$G,0))</f>
        <v>antonym</v>
      </c>
      <c r="I69" t="str">
        <f>INDEX([2]Sheet1!$L:$L,MATCH(E69,[2]Sheet1!$I:$I,0))</f>
        <v>neg</v>
      </c>
      <c r="K69">
        <v>-3.9364211439166601</v>
      </c>
      <c r="L69">
        <v>-3.5737640627384599</v>
      </c>
      <c r="M69">
        <v>1</v>
      </c>
      <c r="N69">
        <v>-4.2048208197272698</v>
      </c>
      <c r="O69">
        <v>-3.9247261043333301</v>
      </c>
      <c r="P69">
        <v>1</v>
      </c>
      <c r="Q69">
        <v>-5.2781326308000001</v>
      </c>
      <c r="R69">
        <v>-4.8244998629090903</v>
      </c>
      <c r="S69">
        <v>1</v>
      </c>
      <c r="T69">
        <v>-4.6382790985714202</v>
      </c>
      <c r="U69">
        <v>-4.4861698724999997</v>
      </c>
      <c r="V69">
        <v>1</v>
      </c>
      <c r="W69">
        <v>-5.2101946000000003</v>
      </c>
      <c r="X69">
        <v>-5.0945108699999997</v>
      </c>
      <c r="Y69">
        <v>1</v>
      </c>
      <c r="Z69">
        <v>-4.1033847967499897</v>
      </c>
      <c r="AA69">
        <v>-3.8116194229999998</v>
      </c>
      <c r="AB69">
        <v>1</v>
      </c>
      <c r="AC69">
        <v>-4.3154312099999999</v>
      </c>
      <c r="AD69">
        <v>-4.0760672016666604</v>
      </c>
      <c r="AE69">
        <v>1</v>
      </c>
      <c r="AF69">
        <v>-5.5274851159999896</v>
      </c>
      <c r="AG69">
        <v>-5.1006449627272703</v>
      </c>
      <c r="AH69">
        <v>1</v>
      </c>
      <c r="AI69">
        <v>-5.1310129142857104</v>
      </c>
      <c r="AJ69">
        <v>-4.7879547499999902</v>
      </c>
      <c r="AK69">
        <v>1</v>
      </c>
      <c r="AL69">
        <v>-5.4039188285714204</v>
      </c>
      <c r="AM69">
        <v>-5.2922666874999997</v>
      </c>
      <c r="AN69">
        <v>1</v>
      </c>
      <c r="AO69">
        <v>-5.0750168460833303</v>
      </c>
      <c r="AP69">
        <v>-4.8424853695384602</v>
      </c>
      <c r="AQ69">
        <v>1</v>
      </c>
      <c r="AR69">
        <v>-5.2542074027272703</v>
      </c>
      <c r="AS69">
        <v>-4.9236433458333302</v>
      </c>
      <c r="AT69">
        <v>1</v>
      </c>
      <c r="AU69">
        <v>-6.7216072129999898</v>
      </c>
      <c r="AV69">
        <v>-6.1824270636363599</v>
      </c>
      <c r="AW69">
        <v>1</v>
      </c>
      <c r="AX69">
        <v>-7.3475800571428502</v>
      </c>
      <c r="AY69">
        <v>-6.6131113624999998</v>
      </c>
      <c r="AZ69">
        <v>1</v>
      </c>
      <c r="BA69">
        <v>-7.2546547199999996</v>
      </c>
      <c r="BB69">
        <v>-6.5987215749999999</v>
      </c>
      <c r="BC69">
        <v>1</v>
      </c>
      <c r="BD69">
        <v>-4.30366757025</v>
      </c>
      <c r="BE69">
        <v>-4.0244397174615303</v>
      </c>
      <c r="BF69">
        <v>1</v>
      </c>
      <c r="BG69">
        <v>-4.6258805454545397</v>
      </c>
      <c r="BH69">
        <v>-4.3700550391666599</v>
      </c>
      <c r="BI69">
        <v>1</v>
      </c>
      <c r="BJ69">
        <v>-5.6419515259999997</v>
      </c>
      <c r="BK69">
        <v>-5.2438640863636303</v>
      </c>
      <c r="BL69">
        <v>1</v>
      </c>
      <c r="BM69">
        <v>-5.5529657857142798</v>
      </c>
      <c r="BN69">
        <v>-5.1911004125</v>
      </c>
      <c r="BO69">
        <v>1</v>
      </c>
      <c r="BP69">
        <v>-5.9116784428571396</v>
      </c>
      <c r="BQ69">
        <v>-5.7017123749999996</v>
      </c>
      <c r="BR69">
        <v>1</v>
      </c>
    </row>
    <row r="70" spans="1:70" x14ac:dyDescent="0.35">
      <c r="A70" t="s">
        <v>554</v>
      </c>
      <c r="B70" t="s">
        <v>555</v>
      </c>
      <c r="C70" t="s">
        <v>556</v>
      </c>
      <c r="D70">
        <v>0</v>
      </c>
      <c r="E70" t="s">
        <v>182</v>
      </c>
      <c r="F70" t="str">
        <f>INDEX([1]train_xl!$H:$H,MATCH(E70,[1]train_xl!$G:$G,0))</f>
        <v>as-as</v>
      </c>
      <c r="G70" t="str">
        <f>INDEX([1]train_xl!$I:$I,MATCH(E70,[1]train_xl!$G:$G,0))</f>
        <v>sim</v>
      </c>
      <c r="H70" t="str">
        <f>INDEX([1]train_xl!$V:$V,MATCH(E70,[1]train_xl!$G:$G,0))</f>
        <v>not</v>
      </c>
      <c r="I70" t="str">
        <f>INDEX([2]Sheet1!$L:$L,MATCH(E70,[2]Sheet1!$I:$I,0))</f>
        <v>intens</v>
      </c>
      <c r="K70">
        <v>-3.9777690958937399</v>
      </c>
      <c r="L70">
        <v>-4.43400194137058</v>
      </c>
      <c r="M70">
        <v>1</v>
      </c>
      <c r="N70">
        <v>-4.0547457153066597</v>
      </c>
      <c r="O70">
        <v>-4.6451260574875004</v>
      </c>
      <c r="P70">
        <v>1</v>
      </c>
      <c r="Q70">
        <v>-4.6885371618785703</v>
      </c>
      <c r="R70">
        <v>-5.21609575466666</v>
      </c>
      <c r="S70">
        <v>1</v>
      </c>
      <c r="T70">
        <v>-4.5450822839909</v>
      </c>
      <c r="U70">
        <v>-5.1985585461500001</v>
      </c>
      <c r="V70">
        <v>1</v>
      </c>
      <c r="W70">
        <v>-5.0025825577454501</v>
      </c>
      <c r="X70">
        <v>-5.3429648741333304</v>
      </c>
      <c r="Y70">
        <v>1</v>
      </c>
      <c r="Z70">
        <v>-3.8016158840249998</v>
      </c>
      <c r="AA70">
        <v>-4.0509284247058801</v>
      </c>
      <c r="AB70">
        <v>1</v>
      </c>
      <c r="AC70">
        <v>-3.98881295455999</v>
      </c>
      <c r="AD70">
        <v>-4.2905890426250002</v>
      </c>
      <c r="AE70">
        <v>1</v>
      </c>
      <c r="AF70">
        <v>-4.3482385611071397</v>
      </c>
      <c r="AG70">
        <v>-4.6473519499199902</v>
      </c>
      <c r="AH70">
        <v>1</v>
      </c>
      <c r="AI70">
        <v>-4.3743322961545399</v>
      </c>
      <c r="AJ70">
        <v>-4.7582544958333299</v>
      </c>
      <c r="AK70">
        <v>1</v>
      </c>
      <c r="AL70">
        <v>-4.7068060308545396</v>
      </c>
      <c r="AM70">
        <v>-4.7992799206083303</v>
      </c>
      <c r="AN70">
        <v>1</v>
      </c>
      <c r="AO70">
        <v>-3.467351060525</v>
      </c>
      <c r="AP70">
        <v>-3.8506823974294102</v>
      </c>
      <c r="AQ70">
        <v>1</v>
      </c>
      <c r="AR70">
        <v>-3.1069568082400001</v>
      </c>
      <c r="AS70">
        <v>-3.607454497275</v>
      </c>
      <c r="AT70">
        <v>1</v>
      </c>
      <c r="AU70">
        <v>-3.67326435153571</v>
      </c>
      <c r="AV70">
        <v>-4.0607204610133296</v>
      </c>
      <c r="AW70">
        <v>1</v>
      </c>
      <c r="AX70">
        <v>-3.5044319538636302</v>
      </c>
      <c r="AY70">
        <v>-4.1095202731416602</v>
      </c>
      <c r="AZ70">
        <v>1</v>
      </c>
      <c r="BA70">
        <v>-3.8465048652090901</v>
      </c>
      <c r="BB70">
        <v>-4.3227291628333298</v>
      </c>
      <c r="BC70">
        <v>1</v>
      </c>
      <c r="BD70">
        <v>-3.7496437287937501</v>
      </c>
      <c r="BE70">
        <v>-4.0302619787294098</v>
      </c>
      <c r="BF70">
        <v>1</v>
      </c>
      <c r="BG70">
        <v>-4.0196791984093299</v>
      </c>
      <c r="BH70">
        <v>-4.35680921200625</v>
      </c>
      <c r="BI70">
        <v>1</v>
      </c>
      <c r="BJ70">
        <v>-4.1004283543714202</v>
      </c>
      <c r="BK70">
        <v>-4.5465793594466604</v>
      </c>
      <c r="BL70">
        <v>1</v>
      </c>
      <c r="BM70">
        <v>-4.2935134453636303</v>
      </c>
      <c r="BN70">
        <v>-4.6876033344166599</v>
      </c>
      <c r="BO70">
        <v>1</v>
      </c>
      <c r="BP70">
        <v>-4.8631760302454499</v>
      </c>
      <c r="BQ70">
        <v>-4.8935795261666604</v>
      </c>
      <c r="BR70">
        <v>1</v>
      </c>
    </row>
    <row r="71" spans="1:70" x14ac:dyDescent="0.35">
      <c r="A71" t="s">
        <v>557</v>
      </c>
      <c r="B71" t="s">
        <v>555</v>
      </c>
      <c r="C71" t="s">
        <v>556</v>
      </c>
      <c r="D71">
        <v>1</v>
      </c>
      <c r="E71" t="s">
        <v>183</v>
      </c>
      <c r="F71" t="str">
        <f>INDEX([1]train_xl!$H:$H,MATCH(E71,[1]train_xl!$G:$G,0))</f>
        <v>as-as</v>
      </c>
      <c r="G71" t="str">
        <f>INDEX([1]train_xl!$I:$I,MATCH(E71,[1]train_xl!$G:$G,0))</f>
        <v>sim</v>
      </c>
      <c r="H71" t="str">
        <f>INDEX([1]train_xl!$V:$V,MATCH(E71,[1]train_xl!$G:$G,0))</f>
        <v>not</v>
      </c>
      <c r="I71" t="str">
        <f>INDEX([2]Sheet1!$L:$L,MATCH(E71,[2]Sheet1!$I:$I,0))</f>
        <v>neg</v>
      </c>
      <c r="K71">
        <v>-3.8502793400588202</v>
      </c>
      <c r="L71">
        <v>-4.0283051221666604</v>
      </c>
      <c r="M71">
        <v>0</v>
      </c>
      <c r="N71">
        <v>-3.8356138406562499</v>
      </c>
      <c r="O71">
        <v>-4.01809112502941</v>
      </c>
      <c r="P71">
        <v>0</v>
      </c>
      <c r="Q71">
        <v>-4.4252422450666602</v>
      </c>
      <c r="R71">
        <v>-4.5933925145812404</v>
      </c>
      <c r="S71">
        <v>0</v>
      </c>
      <c r="T71">
        <v>-4.1466003449999898</v>
      </c>
      <c r="U71">
        <v>-4.5197160673538397</v>
      </c>
      <c r="V71">
        <v>0</v>
      </c>
      <c r="W71">
        <v>-4.5266767991666601</v>
      </c>
      <c r="X71">
        <v>-4.7874678572692302</v>
      </c>
      <c r="Y71">
        <v>0</v>
      </c>
      <c r="Z71">
        <v>-3.9589409564705802</v>
      </c>
      <c r="AA71">
        <v>-4.0543922977222202</v>
      </c>
      <c r="AB71">
        <v>0</v>
      </c>
      <c r="AC71">
        <v>-4.1874518706249901</v>
      </c>
      <c r="AD71">
        <v>-4.1023772300805801</v>
      </c>
      <c r="AE71">
        <v>1</v>
      </c>
      <c r="AF71">
        <v>-4.4847886833333304</v>
      </c>
      <c r="AG71">
        <v>-4.4110085699425001</v>
      </c>
      <c r="AH71">
        <v>1</v>
      </c>
      <c r="AI71">
        <v>-4.4417022975</v>
      </c>
      <c r="AJ71">
        <v>-4.6420275062307601</v>
      </c>
      <c r="AK71">
        <v>0</v>
      </c>
      <c r="AL71">
        <v>-4.7763747024583303</v>
      </c>
      <c r="AM71">
        <v>-4.87036083107692</v>
      </c>
      <c r="AN71">
        <v>0</v>
      </c>
      <c r="AO71">
        <v>-3.33181895482352</v>
      </c>
      <c r="AP71">
        <v>-3.6056505090000002</v>
      </c>
      <c r="AQ71">
        <v>0</v>
      </c>
      <c r="AR71">
        <v>-3.3186816568749902</v>
      </c>
      <c r="AS71">
        <v>-3.37073422914058</v>
      </c>
      <c r="AT71">
        <v>0</v>
      </c>
      <c r="AU71">
        <v>-3.6371185858000001</v>
      </c>
      <c r="AV71">
        <v>-3.6683764869512498</v>
      </c>
      <c r="AW71">
        <v>0</v>
      </c>
      <c r="AX71">
        <v>-3.58458566674999</v>
      </c>
      <c r="AY71">
        <v>-4.0103095105038404</v>
      </c>
      <c r="AZ71">
        <v>0</v>
      </c>
      <c r="BA71">
        <v>-3.9615540766666602</v>
      </c>
      <c r="BB71">
        <v>-4.2366400107307598</v>
      </c>
      <c r="BC71">
        <v>0</v>
      </c>
      <c r="BD71">
        <v>-3.8721898321764701</v>
      </c>
      <c r="BE71">
        <v>-3.8756228551111098</v>
      </c>
      <c r="BF71">
        <v>0</v>
      </c>
      <c r="BG71">
        <v>-4.0879511624999996</v>
      </c>
      <c r="BH71">
        <v>-4.0047408385752901</v>
      </c>
      <c r="BI71">
        <v>1</v>
      </c>
      <c r="BJ71">
        <v>-4.4065650459999999</v>
      </c>
      <c r="BK71">
        <v>-4.3585690059412503</v>
      </c>
      <c r="BL71">
        <v>1</v>
      </c>
      <c r="BM71">
        <v>-4.2719622666666597</v>
      </c>
      <c r="BN71">
        <v>-4.4759010395769199</v>
      </c>
      <c r="BO71">
        <v>0</v>
      </c>
      <c r="BP71">
        <v>-4.6768978214999901</v>
      </c>
      <c r="BQ71">
        <v>-4.71997448008461</v>
      </c>
      <c r="BR71">
        <v>0</v>
      </c>
    </row>
    <row r="72" spans="1:70" x14ac:dyDescent="0.35">
      <c r="A72" t="s">
        <v>558</v>
      </c>
      <c r="B72" t="s">
        <v>559</v>
      </c>
      <c r="C72" t="s">
        <v>560</v>
      </c>
      <c r="D72">
        <v>0</v>
      </c>
      <c r="E72" t="s">
        <v>184</v>
      </c>
      <c r="F72" t="str">
        <f>INDEX([1]train_xl!$H:$H,MATCH(E72,[1]train_xl!$G:$G,0))</f>
        <v>the-of</v>
      </c>
      <c r="G72" t="str">
        <f>INDEX([1]train_xl!$I:$I,MATCH(E72,[1]train_xl!$G:$G,0))</f>
        <v>sim</v>
      </c>
      <c r="H72" t="str">
        <f>INDEX([1]train_xl!$V:$V,MATCH(E72,[1]train_xl!$G:$G,0))</f>
        <v>not</v>
      </c>
      <c r="I72" t="str">
        <f>INDEX([2]Sheet1!$L:$L,MATCH(E72,[2]Sheet1!$I:$I,0))</f>
        <v>neg</v>
      </c>
      <c r="K72">
        <v>-4.2738854303999902</v>
      </c>
      <c r="L72">
        <v>-4.7042850633333302</v>
      </c>
      <c r="M72">
        <v>1</v>
      </c>
      <c r="N72">
        <v>-4.3003692366842099</v>
      </c>
      <c r="O72">
        <v>-4.7360762704705799</v>
      </c>
      <c r="P72">
        <v>1</v>
      </c>
      <c r="Q72">
        <v>-5.1313022404444402</v>
      </c>
      <c r="R72">
        <v>-5.6822906602499996</v>
      </c>
      <c r="S72">
        <v>1</v>
      </c>
      <c r="T72">
        <v>-5.2045286982666603</v>
      </c>
      <c r="U72">
        <v>-5.6420241615384601</v>
      </c>
      <c r="V72">
        <v>1</v>
      </c>
      <c r="W72">
        <v>-5.3673439271999897</v>
      </c>
      <c r="X72">
        <v>-5.94930308461538</v>
      </c>
      <c r="Y72">
        <v>1</v>
      </c>
      <c r="Z72">
        <v>-4.2662138336500002</v>
      </c>
      <c r="AA72">
        <v>-4.6560886916666604</v>
      </c>
      <c r="AB72">
        <v>1</v>
      </c>
      <c r="AC72">
        <v>-4.2642555900000003</v>
      </c>
      <c r="AD72">
        <v>-4.7145720520588199</v>
      </c>
      <c r="AE72">
        <v>1</v>
      </c>
      <c r="AF72">
        <v>-5.0612336927222197</v>
      </c>
      <c r="AG72">
        <v>-5.56732854968749</v>
      </c>
      <c r="AH72">
        <v>1</v>
      </c>
      <c r="AI72">
        <v>-5.0719067406666598</v>
      </c>
      <c r="AJ72">
        <v>-5.5498008615384604</v>
      </c>
      <c r="AK72">
        <v>1</v>
      </c>
      <c r="AL72">
        <v>-5.1841027891333296</v>
      </c>
      <c r="AM72">
        <v>-5.7795175384615298</v>
      </c>
      <c r="AN72">
        <v>1</v>
      </c>
      <c r="AO72">
        <v>-3.8778738161000001</v>
      </c>
      <c r="AP72">
        <v>-4.1831284233333301</v>
      </c>
      <c r="AQ72">
        <v>1</v>
      </c>
      <c r="AR72">
        <v>-3.9132098343157802</v>
      </c>
      <c r="AS72">
        <v>-4.2096354994117604</v>
      </c>
      <c r="AT72">
        <v>1</v>
      </c>
      <c r="AU72">
        <v>-4.4598166294444397</v>
      </c>
      <c r="AV72">
        <v>-4.8394318168749999</v>
      </c>
      <c r="AW72">
        <v>1</v>
      </c>
      <c r="AX72">
        <v>-4.5755685504666603</v>
      </c>
      <c r="AY72">
        <v>-5.0619194692307596</v>
      </c>
      <c r="AZ72">
        <v>1</v>
      </c>
      <c r="BA72">
        <v>-4.5527519273333299</v>
      </c>
      <c r="BB72">
        <v>-5.0665685461538397</v>
      </c>
      <c r="BC72">
        <v>1</v>
      </c>
      <c r="BD72">
        <v>-4.3840583880999997</v>
      </c>
      <c r="BE72">
        <v>-4.8419228800000003</v>
      </c>
      <c r="BF72">
        <v>1</v>
      </c>
      <c r="BG72">
        <v>-4.4031808064210498</v>
      </c>
      <c r="BH72">
        <v>-4.8895245531764697</v>
      </c>
      <c r="BI72">
        <v>1</v>
      </c>
      <c r="BJ72">
        <v>-5.1557106185555499</v>
      </c>
      <c r="BK72">
        <v>-5.6887028597499896</v>
      </c>
      <c r="BL72">
        <v>1</v>
      </c>
      <c r="BM72">
        <v>-5.2529757925333298</v>
      </c>
      <c r="BN72">
        <v>-5.8466208153846102</v>
      </c>
      <c r="BO72">
        <v>1</v>
      </c>
      <c r="BP72">
        <v>-5.3184562261999897</v>
      </c>
      <c r="BQ72">
        <v>-5.9408654615384604</v>
      </c>
      <c r="BR72">
        <v>1</v>
      </c>
    </row>
    <row r="73" spans="1:70" x14ac:dyDescent="0.35">
      <c r="A73" t="s">
        <v>561</v>
      </c>
      <c r="B73" t="s">
        <v>559</v>
      </c>
      <c r="C73" t="s">
        <v>560</v>
      </c>
      <c r="D73">
        <v>1</v>
      </c>
      <c r="E73" t="s">
        <v>185</v>
      </c>
      <c r="F73" t="str">
        <f>INDEX([1]train_xl!$H:$H,MATCH(E73,[1]train_xl!$G:$G,0))</f>
        <v>the-of</v>
      </c>
      <c r="G73" t="str">
        <f>INDEX([1]train_xl!$I:$I,MATCH(E73,[1]train_xl!$G:$G,0))</f>
        <v>sim</v>
      </c>
      <c r="H73" t="str">
        <f>INDEX([1]train_xl!$V:$V,MATCH(E73,[1]train_xl!$G:$G,0))</f>
        <v>not</v>
      </c>
      <c r="I73" t="str">
        <f>INDEX([2]Sheet1!$L:$L,MATCH(E73,[2]Sheet1!$I:$I,0))</f>
        <v>intens</v>
      </c>
      <c r="K73">
        <v>-4.3307897246999998</v>
      </c>
      <c r="L73">
        <v>-4.3440475435555497</v>
      </c>
      <c r="M73">
        <v>0</v>
      </c>
      <c r="N73">
        <v>-4.3384920451052604</v>
      </c>
      <c r="O73">
        <v>-4.3289052860000004</v>
      </c>
      <c r="P73">
        <v>1</v>
      </c>
      <c r="Q73">
        <v>-5.1837513540555502</v>
      </c>
      <c r="R73">
        <v>-5.2811221876874903</v>
      </c>
      <c r="S73">
        <v>0</v>
      </c>
      <c r="T73">
        <v>-4.9164707133333296</v>
      </c>
      <c r="U73">
        <v>-5.20975302076923</v>
      </c>
      <c r="V73">
        <v>0</v>
      </c>
      <c r="W73">
        <v>-5.1097263617999999</v>
      </c>
      <c r="X73">
        <v>-5.4777340307692297</v>
      </c>
      <c r="Y73">
        <v>0</v>
      </c>
      <c r="Z73">
        <v>-4.2492879924999896</v>
      </c>
      <c r="AA73">
        <v>-4.3682011888888796</v>
      </c>
      <c r="AB73">
        <v>0</v>
      </c>
      <c r="AC73">
        <v>-4.26169522105263</v>
      </c>
      <c r="AD73">
        <v>-4.3452531623529396</v>
      </c>
      <c r="AE73">
        <v>0</v>
      </c>
      <c r="AF73">
        <v>-4.9693756535555504</v>
      </c>
      <c r="AG73">
        <v>-5.1910147499999999</v>
      </c>
      <c r="AH73">
        <v>0</v>
      </c>
      <c r="AI73">
        <v>-4.8456981955999998</v>
      </c>
      <c r="AJ73">
        <v>-5.1981930461538397</v>
      </c>
      <c r="AK73">
        <v>0</v>
      </c>
      <c r="AL73">
        <v>-4.9343688297333301</v>
      </c>
      <c r="AM73">
        <v>-5.3521958538461503</v>
      </c>
      <c r="AN73">
        <v>0</v>
      </c>
      <c r="AO73">
        <v>-3.98100544699999</v>
      </c>
      <c r="AP73">
        <v>-3.95664127277777</v>
      </c>
      <c r="AQ73">
        <v>1</v>
      </c>
      <c r="AR73">
        <v>-3.9852649742105202</v>
      </c>
      <c r="AS73">
        <v>-3.9798267035294099</v>
      </c>
      <c r="AT73">
        <v>1</v>
      </c>
      <c r="AU73">
        <v>-4.5012060613333302</v>
      </c>
      <c r="AV73">
        <v>-4.5902454343749897</v>
      </c>
      <c r="AW73">
        <v>0</v>
      </c>
      <c r="AX73">
        <v>-4.5105911706666602</v>
      </c>
      <c r="AY73">
        <v>-4.8026525153846098</v>
      </c>
      <c r="AZ73">
        <v>0</v>
      </c>
      <c r="BA73">
        <v>-4.4137134643999998</v>
      </c>
      <c r="BB73">
        <v>-4.7592617123076897</v>
      </c>
      <c r="BC73">
        <v>0</v>
      </c>
      <c r="BD73">
        <v>-4.4194242145000002</v>
      </c>
      <c r="BE73">
        <v>-4.51027783388888</v>
      </c>
      <c r="BF73">
        <v>0</v>
      </c>
      <c r="BG73">
        <v>-4.3996899318420999</v>
      </c>
      <c r="BH73">
        <v>-4.4939207185294103</v>
      </c>
      <c r="BI73">
        <v>0</v>
      </c>
      <c r="BJ73">
        <v>-5.1720993227777701</v>
      </c>
      <c r="BK73">
        <v>-5.3593273931249996</v>
      </c>
      <c r="BL73">
        <v>0</v>
      </c>
      <c r="BM73">
        <v>-5.0516005434666598</v>
      </c>
      <c r="BN73">
        <v>-5.4390442199999898</v>
      </c>
      <c r="BO73">
        <v>0</v>
      </c>
      <c r="BP73">
        <v>-5.0971176825333302</v>
      </c>
      <c r="BQ73">
        <v>-5.5505324999999903</v>
      </c>
      <c r="BR73">
        <v>0</v>
      </c>
    </row>
    <row r="74" spans="1:70" x14ac:dyDescent="0.35">
      <c r="A74" t="s">
        <v>562</v>
      </c>
      <c r="B74" t="s">
        <v>563</v>
      </c>
      <c r="C74" t="s">
        <v>564</v>
      </c>
      <c r="D74">
        <v>0</v>
      </c>
      <c r="E74" t="s">
        <v>186</v>
      </c>
      <c r="F74" t="str">
        <f>INDEX([1]train_xl!$H:$H,MATCH(E74,[1]train_xl!$G:$G,0))</f>
        <v>as-as</v>
      </c>
      <c r="G74" t="str">
        <f>INDEX([1]train_xl!$I:$I,MATCH(E74,[1]train_xl!$G:$G,0))</f>
        <v>sim</v>
      </c>
      <c r="H74" t="str">
        <f>INDEX([1]train_xl!$V:$V,MATCH(E74,[1]train_xl!$G:$G,0))</f>
        <v>not</v>
      </c>
      <c r="I74" t="str">
        <f>INDEX([2]Sheet1!$L:$L,MATCH(E74,[2]Sheet1!$I:$I,0))</f>
        <v>neg</v>
      </c>
      <c r="K74">
        <v>-3.6487522141363602</v>
      </c>
      <c r="L74">
        <v>-3.7377384516190402</v>
      </c>
      <c r="M74">
        <v>1</v>
      </c>
      <c r="N74">
        <v>-3.6622198485714201</v>
      </c>
      <c r="O74">
        <v>-3.7786952913</v>
      </c>
      <c r="P74">
        <v>1</v>
      </c>
      <c r="Q74">
        <v>-4.1460293440499996</v>
      </c>
      <c r="R74">
        <v>-4.26637876973684</v>
      </c>
      <c r="S74">
        <v>1</v>
      </c>
      <c r="T74">
        <v>-4.1967932918823498</v>
      </c>
      <c r="U74">
        <v>-4.0877081018124999</v>
      </c>
      <c r="V74">
        <v>0</v>
      </c>
      <c r="W74">
        <v>-4.4943082510588201</v>
      </c>
      <c r="X74">
        <v>-4.3534336156249998</v>
      </c>
      <c r="Y74">
        <v>0</v>
      </c>
      <c r="Z74">
        <v>-3.9583677472272698</v>
      </c>
      <c r="AA74">
        <v>-4.0673528859523804</v>
      </c>
      <c r="AB74">
        <v>1</v>
      </c>
      <c r="AC74">
        <v>-4.0281847764761904</v>
      </c>
      <c r="AD74">
        <v>-4.2444959493000001</v>
      </c>
      <c r="AE74">
        <v>1</v>
      </c>
      <c r="AF74">
        <v>-4.4552410745</v>
      </c>
      <c r="AG74">
        <v>-4.6670827843684197</v>
      </c>
      <c r="AH74">
        <v>1</v>
      </c>
      <c r="AI74">
        <v>-4.4990418017647</v>
      </c>
      <c r="AJ74">
        <v>-4.6422719499999996</v>
      </c>
      <c r="AK74">
        <v>1</v>
      </c>
      <c r="AL74">
        <v>-4.6640844067058804</v>
      </c>
      <c r="AM74">
        <v>-4.7848084403749898</v>
      </c>
      <c r="AN74">
        <v>1</v>
      </c>
      <c r="AO74">
        <v>-3.4245428952272698</v>
      </c>
      <c r="AP74">
        <v>-3.5646396045714202</v>
      </c>
      <c r="AQ74">
        <v>1</v>
      </c>
      <c r="AR74">
        <v>-3.5986767885714199</v>
      </c>
      <c r="AS74">
        <v>-3.7424861697499998</v>
      </c>
      <c r="AT74">
        <v>1</v>
      </c>
      <c r="AU74">
        <v>-3.9358369463499998</v>
      </c>
      <c r="AV74">
        <v>-4.0189092805263096</v>
      </c>
      <c r="AW74">
        <v>1</v>
      </c>
      <c r="AX74">
        <v>-3.98334288470588</v>
      </c>
      <c r="AY74">
        <v>-4.0919216128124898</v>
      </c>
      <c r="AZ74">
        <v>1</v>
      </c>
      <c r="BA74">
        <v>-4.0986737962941104</v>
      </c>
      <c r="BB74">
        <v>-4.1093188353125001</v>
      </c>
      <c r="BC74">
        <v>1</v>
      </c>
      <c r="BD74">
        <v>-3.9905971377272702</v>
      </c>
      <c r="BE74">
        <v>-4.1753565119999996</v>
      </c>
      <c r="BF74">
        <v>1</v>
      </c>
      <c r="BG74">
        <v>-4.0798358945238098</v>
      </c>
      <c r="BH74">
        <v>-4.2631444959999998</v>
      </c>
      <c r="BI74">
        <v>1</v>
      </c>
      <c r="BJ74">
        <v>-4.4307338317499996</v>
      </c>
      <c r="BK74">
        <v>-4.7207816178947297</v>
      </c>
      <c r="BL74">
        <v>1</v>
      </c>
      <c r="BM74">
        <v>-4.5847760444117602</v>
      </c>
      <c r="BN74">
        <v>-4.6699614274999997</v>
      </c>
      <c r="BO74">
        <v>1</v>
      </c>
      <c r="BP74">
        <v>-4.7660051038235203</v>
      </c>
      <c r="BQ74">
        <v>-4.8805177340624901</v>
      </c>
      <c r="BR74">
        <v>1</v>
      </c>
    </row>
    <row r="75" spans="1:70" x14ac:dyDescent="0.35">
      <c r="A75" t="s">
        <v>565</v>
      </c>
      <c r="B75" t="s">
        <v>563</v>
      </c>
      <c r="C75" t="s">
        <v>564</v>
      </c>
      <c r="D75">
        <v>1</v>
      </c>
      <c r="E75" t="s">
        <v>187</v>
      </c>
      <c r="F75" t="str">
        <f>INDEX([1]train_xl!$H:$H,MATCH(E75,[1]train_xl!$G:$G,0))</f>
        <v>as-as</v>
      </c>
      <c r="G75" t="str">
        <f>INDEX([1]train_xl!$I:$I,MATCH(E75,[1]train_xl!$G:$G,0))</f>
        <v>sim</v>
      </c>
      <c r="H75" t="str">
        <f>INDEX([1]train_xl!$V:$V,MATCH(E75,[1]train_xl!$G:$G,0))</f>
        <v>not</v>
      </c>
      <c r="I75" t="str">
        <f>INDEX([2]Sheet1!$L:$L,MATCH(E75,[2]Sheet1!$I:$I,0))</f>
        <v>intens</v>
      </c>
      <c r="K75">
        <v>-4.0569769455050002</v>
      </c>
      <c r="L75">
        <v>-3.7936995661999902</v>
      </c>
      <c r="M75">
        <v>1</v>
      </c>
      <c r="N75">
        <v>-4.0371147176421003</v>
      </c>
      <c r="O75">
        <v>-3.8678913942833302</v>
      </c>
      <c r="P75">
        <v>1</v>
      </c>
      <c r="Q75">
        <v>-4.5411359488388801</v>
      </c>
      <c r="R75">
        <v>-4.3680282920117603</v>
      </c>
      <c r="S75">
        <v>1</v>
      </c>
      <c r="T75">
        <v>-4.5080430896066597</v>
      </c>
      <c r="U75">
        <v>-4.1336430094571401</v>
      </c>
      <c r="V75">
        <v>1</v>
      </c>
      <c r="W75">
        <v>-4.73566411934</v>
      </c>
      <c r="X75">
        <v>-4.3866956928142802</v>
      </c>
      <c r="Y75">
        <v>1</v>
      </c>
      <c r="Z75">
        <v>-4.1903690730999896</v>
      </c>
      <c r="AA75">
        <v>-4.0299031343684204</v>
      </c>
      <c r="AB75">
        <v>1</v>
      </c>
      <c r="AC75">
        <v>-4.3034620421052603</v>
      </c>
      <c r="AD75">
        <v>-4.1762473807777702</v>
      </c>
      <c r="AE75">
        <v>1</v>
      </c>
      <c r="AF75">
        <v>-4.69535616838888</v>
      </c>
      <c r="AG75">
        <v>-4.5817117770588203</v>
      </c>
      <c r="AH75">
        <v>1</v>
      </c>
      <c r="AI75">
        <v>-4.7551149545333304</v>
      </c>
      <c r="AJ75">
        <v>-4.6548369281428501</v>
      </c>
      <c r="AK75">
        <v>1</v>
      </c>
      <c r="AL75">
        <v>-4.9202162712000002</v>
      </c>
      <c r="AM75">
        <v>-4.7574506010000004</v>
      </c>
      <c r="AN75">
        <v>1</v>
      </c>
      <c r="AO75">
        <v>-3.6773468933000002</v>
      </c>
      <c r="AP75">
        <v>-3.4923971970526302</v>
      </c>
      <c r="AQ75">
        <v>1</v>
      </c>
      <c r="AR75">
        <v>-3.6926743924210501</v>
      </c>
      <c r="AS75">
        <v>-3.5834593426111101</v>
      </c>
      <c r="AT75">
        <v>1</v>
      </c>
      <c r="AU75">
        <v>-4.1703983444444397</v>
      </c>
      <c r="AV75">
        <v>-4.0825200131764703</v>
      </c>
      <c r="AW75">
        <v>1</v>
      </c>
      <c r="AX75">
        <v>-4.24149943023333</v>
      </c>
      <c r="AY75">
        <v>-4.0598937865714202</v>
      </c>
      <c r="AZ75">
        <v>1</v>
      </c>
      <c r="BA75">
        <v>-4.3400411108999997</v>
      </c>
      <c r="BB75">
        <v>-4.0486530056428496</v>
      </c>
      <c r="BC75">
        <v>1</v>
      </c>
      <c r="BD75">
        <v>-4.1880716722999898</v>
      </c>
      <c r="BE75">
        <v>-3.96033642521052</v>
      </c>
      <c r="BF75">
        <v>1</v>
      </c>
      <c r="BG75">
        <v>-4.2910253254210504</v>
      </c>
      <c r="BH75">
        <v>-4.0704104252777702</v>
      </c>
      <c r="BI75">
        <v>1</v>
      </c>
      <c r="BJ75">
        <v>-4.6525175563888901</v>
      </c>
      <c r="BK75">
        <v>-4.4022634361764696</v>
      </c>
      <c r="BL75">
        <v>1</v>
      </c>
      <c r="BM75">
        <v>-4.8284003652000003</v>
      </c>
      <c r="BN75">
        <v>-4.69739534035714</v>
      </c>
      <c r="BO75">
        <v>1</v>
      </c>
      <c r="BP75">
        <v>-4.9311358392000004</v>
      </c>
      <c r="BQ75">
        <v>-4.7742459060714202</v>
      </c>
      <c r="BR75">
        <v>1</v>
      </c>
    </row>
    <row r="76" spans="1:70" x14ac:dyDescent="0.35">
      <c r="A76" t="s">
        <v>566</v>
      </c>
      <c r="B76" t="s">
        <v>17</v>
      </c>
      <c r="C76" t="s">
        <v>18</v>
      </c>
      <c r="D76">
        <v>0</v>
      </c>
      <c r="E76" t="s">
        <v>188</v>
      </c>
      <c r="F76" t="str">
        <f>INDEX([1]train_xl!$H:$H,MATCH(E76,[1]train_xl!$G:$G,0))</f>
        <v>as-as</v>
      </c>
      <c r="G76" t="str">
        <f>INDEX([1]train_xl!$I:$I,MATCH(E76,[1]train_xl!$G:$G,0))</f>
        <v>sim</v>
      </c>
      <c r="H76" t="str">
        <f>INDEX([1]train_xl!$V:$V,MATCH(E76,[1]train_xl!$G:$G,0))</f>
        <v>not</v>
      </c>
      <c r="I76" t="str">
        <f>INDEX([2]Sheet1!$L:$L,MATCH(E76,[2]Sheet1!$I:$I,0))</f>
        <v>intens</v>
      </c>
      <c r="K76">
        <v>-4.6591303344166599</v>
      </c>
      <c r="L76">
        <v>-4.91256310615384</v>
      </c>
      <c r="M76">
        <v>1</v>
      </c>
      <c r="N76">
        <v>-4.9818702337272702</v>
      </c>
      <c r="O76">
        <v>-5.2294203272499997</v>
      </c>
      <c r="P76">
        <v>1</v>
      </c>
      <c r="Q76">
        <v>-6.1090306081999897</v>
      </c>
      <c r="R76">
        <v>-6.3537635058181801</v>
      </c>
      <c r="S76">
        <v>1</v>
      </c>
      <c r="T76">
        <v>-6.7064240571428497</v>
      </c>
      <c r="U76">
        <v>-6.8525262724999996</v>
      </c>
      <c r="V76">
        <v>1</v>
      </c>
      <c r="W76">
        <v>-7.6302259142857096</v>
      </c>
      <c r="X76">
        <v>-6.9671587949999996</v>
      </c>
      <c r="Y76">
        <v>0</v>
      </c>
      <c r="Z76">
        <v>-3.3296709799999999</v>
      </c>
      <c r="AA76">
        <v>-3.4536840084615301</v>
      </c>
      <c r="AB76">
        <v>1</v>
      </c>
      <c r="AC76">
        <v>-3.48080770454545</v>
      </c>
      <c r="AD76">
        <v>-3.7631223649999899</v>
      </c>
      <c r="AE76">
        <v>1</v>
      </c>
      <c r="AF76">
        <v>-4.3751247605000003</v>
      </c>
      <c r="AG76">
        <v>-4.6034272190909098</v>
      </c>
      <c r="AH76">
        <v>1</v>
      </c>
      <c r="AI76">
        <v>-4.3389000285714197</v>
      </c>
      <c r="AJ76">
        <v>-4.5472817374999996</v>
      </c>
      <c r="AK76">
        <v>1</v>
      </c>
      <c r="AL76">
        <v>-4.8952630142857103</v>
      </c>
      <c r="AM76">
        <v>-4.7003858200000002</v>
      </c>
      <c r="AN76">
        <v>0</v>
      </c>
      <c r="AO76">
        <v>-5.8160871824999996</v>
      </c>
      <c r="AP76">
        <v>-5.6936603207692302</v>
      </c>
      <c r="AQ76">
        <v>0</v>
      </c>
      <c r="AR76">
        <v>-5.9396277513636297</v>
      </c>
      <c r="AS76">
        <v>-6.0147595933333298</v>
      </c>
      <c r="AT76">
        <v>1</v>
      </c>
      <c r="AU76">
        <v>-7.1848621875000003</v>
      </c>
      <c r="AV76">
        <v>-7.0880785781818103</v>
      </c>
      <c r="AW76">
        <v>0</v>
      </c>
      <c r="AX76">
        <v>-8.5957358285714296</v>
      </c>
      <c r="AY76">
        <v>-8.2807148124999994</v>
      </c>
      <c r="AZ76">
        <v>0</v>
      </c>
      <c r="BA76">
        <v>-9.3341970857142798</v>
      </c>
      <c r="BB76">
        <v>-8.5265839625000002</v>
      </c>
      <c r="BC76">
        <v>0</v>
      </c>
      <c r="BD76">
        <v>-3.3580106999999901</v>
      </c>
      <c r="BE76">
        <v>-3.4821405369230698</v>
      </c>
      <c r="BF76">
        <v>1</v>
      </c>
      <c r="BG76">
        <v>-3.60815900054545</v>
      </c>
      <c r="BH76">
        <v>-3.84363497916666</v>
      </c>
      <c r="BI76">
        <v>1</v>
      </c>
      <c r="BJ76">
        <v>-4.4400156926000003</v>
      </c>
      <c r="BK76">
        <v>-4.6348531178181798</v>
      </c>
      <c r="BL76">
        <v>1</v>
      </c>
      <c r="BM76">
        <v>-4.4978147857142803</v>
      </c>
      <c r="BN76">
        <v>-4.7277050125000004</v>
      </c>
      <c r="BO76">
        <v>1</v>
      </c>
      <c r="BP76">
        <v>-5.2681255142857104</v>
      </c>
      <c r="BQ76">
        <v>-4.9337799425000002</v>
      </c>
      <c r="BR76">
        <v>0</v>
      </c>
    </row>
    <row r="77" spans="1:70" x14ac:dyDescent="0.35">
      <c r="A77" t="s">
        <v>567</v>
      </c>
      <c r="B77" t="s">
        <v>17</v>
      </c>
      <c r="C77" t="s">
        <v>18</v>
      </c>
      <c r="D77">
        <v>1</v>
      </c>
      <c r="E77" t="s">
        <v>189</v>
      </c>
      <c r="F77" t="str">
        <f>INDEX([1]train_xl!$H:$H,MATCH(E77,[1]train_xl!$G:$G,0))</f>
        <v>as-as</v>
      </c>
      <c r="G77" t="str">
        <f>INDEX([1]train_xl!$I:$I,MATCH(E77,[1]train_xl!$G:$G,0))</f>
        <v>sim</v>
      </c>
      <c r="H77" t="str">
        <f>INDEX([1]train_xl!$V:$V,MATCH(E77,[1]train_xl!$G:$G,0))</f>
        <v>not</v>
      </c>
      <c r="I77" t="str">
        <f>INDEX([2]Sheet1!$L:$L,MATCH(E77,[2]Sheet1!$I:$I,0))</f>
        <v>neg</v>
      </c>
      <c r="K77">
        <v>-5.3894172019499997</v>
      </c>
      <c r="L77">
        <v>-5.0839106352307599</v>
      </c>
      <c r="M77">
        <v>1</v>
      </c>
      <c r="N77">
        <v>-5.6209528260908996</v>
      </c>
      <c r="O77">
        <v>-5.2536201195833296</v>
      </c>
      <c r="P77">
        <v>1</v>
      </c>
      <c r="Q77">
        <v>-7.0180840827999997</v>
      </c>
      <c r="R77">
        <v>-6.49678988099999</v>
      </c>
      <c r="S77">
        <v>1</v>
      </c>
      <c r="T77">
        <v>-7.5830081785714203</v>
      </c>
      <c r="U77">
        <v>-6.853363785</v>
      </c>
      <c r="V77">
        <v>1</v>
      </c>
      <c r="W77">
        <v>-8.0651721428571399</v>
      </c>
      <c r="X77">
        <v>-7.4712913662499902</v>
      </c>
      <c r="Y77">
        <v>1</v>
      </c>
      <c r="Z77">
        <v>-3.7098493657499998</v>
      </c>
      <c r="AA77">
        <v>-3.4480934521538402</v>
      </c>
      <c r="AB77">
        <v>1</v>
      </c>
      <c r="AC77">
        <v>-3.9273664981818102</v>
      </c>
      <c r="AD77">
        <v>-3.5863040441666598</v>
      </c>
      <c r="AE77">
        <v>1</v>
      </c>
      <c r="AF77">
        <v>-5.00494211</v>
      </c>
      <c r="AG77">
        <v>-4.6289072518181804</v>
      </c>
      <c r="AH77">
        <v>1</v>
      </c>
      <c r="AI77">
        <v>-4.9157611328571402</v>
      </c>
      <c r="AJ77">
        <v>-4.3909481750000001</v>
      </c>
      <c r="AK77">
        <v>1</v>
      </c>
      <c r="AL77">
        <v>-5.2675601571428503</v>
      </c>
      <c r="AM77">
        <v>-4.9189679499999999</v>
      </c>
      <c r="AN77">
        <v>1</v>
      </c>
      <c r="AO77">
        <v>-6.0437541439166598</v>
      </c>
      <c r="AP77">
        <v>-5.6698660034615402</v>
      </c>
      <c r="AQ77">
        <v>1</v>
      </c>
      <c r="AR77">
        <v>-6.4748119490909097</v>
      </c>
      <c r="AS77">
        <v>-5.8599323249999999</v>
      </c>
      <c r="AT77">
        <v>1</v>
      </c>
      <c r="AU77">
        <v>-7.816870432</v>
      </c>
      <c r="AV77">
        <v>-7.2495213572727204</v>
      </c>
      <c r="AW77">
        <v>1</v>
      </c>
      <c r="AX77">
        <v>-9.6926380142857091</v>
      </c>
      <c r="AY77">
        <v>-8.4603659462500005</v>
      </c>
      <c r="AZ77">
        <v>1</v>
      </c>
      <c r="BA77">
        <v>-9.8548546428571395</v>
      </c>
      <c r="BB77">
        <v>-8.7967045437499998</v>
      </c>
      <c r="BC77">
        <v>1</v>
      </c>
      <c r="BD77">
        <v>-3.8309610513333299</v>
      </c>
      <c r="BE77">
        <v>-3.6058343704615301</v>
      </c>
      <c r="BF77">
        <v>1</v>
      </c>
      <c r="BG77">
        <v>-4.0804138672727204</v>
      </c>
      <c r="BH77">
        <v>-3.7526154808333301</v>
      </c>
      <c r="BI77">
        <v>1</v>
      </c>
      <c r="BJ77">
        <v>-5.178918414</v>
      </c>
      <c r="BK77">
        <v>-4.8017927977272699</v>
      </c>
      <c r="BL77">
        <v>1</v>
      </c>
      <c r="BM77">
        <v>-5.0886266285714203</v>
      </c>
      <c r="BN77">
        <v>-4.59632397499999</v>
      </c>
      <c r="BO77">
        <v>1</v>
      </c>
      <c r="BP77">
        <v>-5.6708578571428498</v>
      </c>
      <c r="BQ77">
        <v>-5.2358111624999903</v>
      </c>
      <c r="BR77">
        <v>1</v>
      </c>
    </row>
    <row r="78" spans="1:70" x14ac:dyDescent="0.35">
      <c r="A78" t="s">
        <v>568</v>
      </c>
      <c r="B78" t="s">
        <v>569</v>
      </c>
      <c r="C78" t="s">
        <v>19</v>
      </c>
      <c r="D78">
        <v>0</v>
      </c>
      <c r="E78" t="s">
        <v>190</v>
      </c>
      <c r="F78" t="str">
        <f>INDEX([1]train_xl!$H:$H,MATCH(E78,[1]train_xl!$G:$G,0))</f>
        <v>as-as</v>
      </c>
      <c r="G78" t="str">
        <f>INDEX([1]train_xl!$I:$I,MATCH(E78,[1]train_xl!$G:$G,0))</f>
        <v>sim</v>
      </c>
      <c r="H78" t="str">
        <f>INDEX([1]train_xl!$V:$V,MATCH(E78,[1]train_xl!$G:$G,0))</f>
        <v>not</v>
      </c>
      <c r="I78" t="str">
        <f>INDEX([2]Sheet1!$L:$L,MATCH(E78,[2]Sheet1!$I:$I,0))</f>
        <v>intens</v>
      </c>
      <c r="K78">
        <v>-3.6365052798833299</v>
      </c>
      <c r="L78">
        <v>-3.4585975887999898</v>
      </c>
      <c r="M78">
        <v>0</v>
      </c>
      <c r="N78">
        <v>-3.7470468644090902</v>
      </c>
      <c r="O78">
        <v>-3.8505454113333299</v>
      </c>
      <c r="P78">
        <v>1</v>
      </c>
      <c r="Q78">
        <v>-4.9824922542999897</v>
      </c>
      <c r="R78">
        <v>-4.8634389360909003</v>
      </c>
      <c r="S78">
        <v>0</v>
      </c>
      <c r="T78">
        <v>-4.50995418571428</v>
      </c>
      <c r="U78">
        <v>-4.94852837</v>
      </c>
      <c r="V78">
        <v>1</v>
      </c>
      <c r="W78">
        <v>-5.59920999571428</v>
      </c>
      <c r="X78">
        <v>-5.2541760325000002</v>
      </c>
      <c r="Y78">
        <v>0</v>
      </c>
      <c r="Z78">
        <v>-3.3605113284999999</v>
      </c>
      <c r="AA78">
        <v>-3.2774627699230701</v>
      </c>
      <c r="AB78">
        <v>0</v>
      </c>
      <c r="AC78">
        <v>-3.65304894054545</v>
      </c>
      <c r="AD78">
        <v>-3.6284982600000002</v>
      </c>
      <c r="AE78">
        <v>0</v>
      </c>
      <c r="AF78">
        <v>-4.7287106939999903</v>
      </c>
      <c r="AG78">
        <v>-4.5231684590908996</v>
      </c>
      <c r="AH78">
        <v>0</v>
      </c>
      <c r="AI78">
        <v>-4.4652250042857098</v>
      </c>
      <c r="AJ78">
        <v>-4.6185501124999897</v>
      </c>
      <c r="AK78">
        <v>1</v>
      </c>
      <c r="AL78">
        <v>-5.0936912571428499</v>
      </c>
      <c r="AM78">
        <v>-4.7565496375</v>
      </c>
      <c r="AN78">
        <v>0</v>
      </c>
      <c r="AO78">
        <v>-5.6553166949999998</v>
      </c>
      <c r="AP78">
        <v>-5.4336024836153802</v>
      </c>
      <c r="AQ78">
        <v>0</v>
      </c>
      <c r="AR78">
        <v>-5.9491354772727201</v>
      </c>
      <c r="AS78">
        <v>-5.9304100941666604</v>
      </c>
      <c r="AT78">
        <v>0</v>
      </c>
      <c r="AU78">
        <v>-7.3874120029999997</v>
      </c>
      <c r="AV78">
        <v>-7.0680491227272704</v>
      </c>
      <c r="AW78">
        <v>0</v>
      </c>
      <c r="AX78">
        <v>-8.7378531228571408</v>
      </c>
      <c r="AY78">
        <v>-8.6102899124999901</v>
      </c>
      <c r="AZ78">
        <v>0</v>
      </c>
      <c r="BA78">
        <v>-8.97671627142857</v>
      </c>
      <c r="BB78">
        <v>-8.4484177124999995</v>
      </c>
      <c r="BC78">
        <v>0</v>
      </c>
      <c r="BD78">
        <v>-3.7989823941666598</v>
      </c>
      <c r="BE78">
        <v>-3.6242625407692302</v>
      </c>
      <c r="BF78">
        <v>0</v>
      </c>
      <c r="BG78">
        <v>-4.2993834698181796</v>
      </c>
      <c r="BH78">
        <v>-4.0726646137499998</v>
      </c>
      <c r="BI78">
        <v>0</v>
      </c>
      <c r="BJ78">
        <v>-5.1806859620000001</v>
      </c>
      <c r="BK78">
        <v>-4.9516585690909096</v>
      </c>
      <c r="BL78">
        <v>0</v>
      </c>
      <c r="BM78">
        <v>-5.1487837999999897</v>
      </c>
      <c r="BN78">
        <v>-5.1924608749999903</v>
      </c>
      <c r="BO78">
        <v>1</v>
      </c>
      <c r="BP78">
        <v>-5.9403116285714201</v>
      </c>
      <c r="BQ78">
        <v>-5.5216316374999996</v>
      </c>
      <c r="BR78">
        <v>0</v>
      </c>
    </row>
    <row r="79" spans="1:70" x14ac:dyDescent="0.35">
      <c r="A79" t="s">
        <v>570</v>
      </c>
      <c r="B79" t="s">
        <v>569</v>
      </c>
      <c r="C79" t="s">
        <v>19</v>
      </c>
      <c r="D79">
        <v>1</v>
      </c>
      <c r="E79" t="s">
        <v>191</v>
      </c>
      <c r="F79" t="str">
        <f>INDEX([1]train_xl!$H:$H,MATCH(E79,[1]train_xl!$G:$G,0))</f>
        <v>as-as</v>
      </c>
      <c r="G79" t="str">
        <f>INDEX([1]train_xl!$I:$I,MATCH(E79,[1]train_xl!$G:$G,0))</f>
        <v>sim</v>
      </c>
      <c r="H79" t="str">
        <f>INDEX([1]train_xl!$V:$V,MATCH(E79,[1]train_xl!$G:$G,0))</f>
        <v>not</v>
      </c>
      <c r="I79" t="str">
        <f>INDEX([2]Sheet1!$L:$L,MATCH(E79,[2]Sheet1!$I:$I,0))</f>
        <v>neg</v>
      </c>
      <c r="K79">
        <v>-3.4756634201666601</v>
      </c>
      <c r="L79">
        <v>-3.0314471977692299</v>
      </c>
      <c r="M79">
        <v>1</v>
      </c>
      <c r="N79">
        <v>-3.7288001157272701</v>
      </c>
      <c r="O79">
        <v>-3.28872876925</v>
      </c>
      <c r="P79">
        <v>1</v>
      </c>
      <c r="Q79">
        <v>-4.6832565549999901</v>
      </c>
      <c r="R79">
        <v>-4.1278653054545398</v>
      </c>
      <c r="S79">
        <v>1</v>
      </c>
      <c r="T79">
        <v>-4.5763491900000002</v>
      </c>
      <c r="U79">
        <v>-3.7426125625000002</v>
      </c>
      <c r="V79">
        <v>1</v>
      </c>
      <c r="W79">
        <v>-5.0662684571428498</v>
      </c>
      <c r="X79">
        <v>-4.3835601100000003</v>
      </c>
      <c r="Y79">
        <v>1</v>
      </c>
      <c r="Z79">
        <v>-3.3905593891666599</v>
      </c>
      <c r="AA79">
        <v>-3.1961713557692302</v>
      </c>
      <c r="AB79">
        <v>1</v>
      </c>
      <c r="AC79">
        <v>-3.6552701481818102</v>
      </c>
      <c r="AD79">
        <v>-3.2265391166666602</v>
      </c>
      <c r="AE79">
        <v>1</v>
      </c>
      <c r="AF79">
        <v>-4.4339628199999996</v>
      </c>
      <c r="AG79">
        <v>-3.93657860727272</v>
      </c>
      <c r="AH79">
        <v>1</v>
      </c>
      <c r="AI79">
        <v>-4.5860203371428501</v>
      </c>
      <c r="AJ79">
        <v>-3.8387988049999899</v>
      </c>
      <c r="AK79">
        <v>1</v>
      </c>
      <c r="AL79">
        <v>-4.93901458571428</v>
      </c>
      <c r="AM79">
        <v>-4.1706105500000001</v>
      </c>
      <c r="AN79">
        <v>1</v>
      </c>
      <c r="AO79">
        <v>-5.5588424725000003</v>
      </c>
      <c r="AP79">
        <v>-5.0403624069230704</v>
      </c>
      <c r="AQ79">
        <v>1</v>
      </c>
      <c r="AR79">
        <v>-6.0544707832727198</v>
      </c>
      <c r="AS79">
        <v>-5.3621295295833296</v>
      </c>
      <c r="AT79">
        <v>1</v>
      </c>
      <c r="AU79">
        <v>-7.3646332269999997</v>
      </c>
      <c r="AV79">
        <v>-6.5231666381818103</v>
      </c>
      <c r="AW79">
        <v>1</v>
      </c>
      <c r="AX79">
        <v>-8.8961124285714295</v>
      </c>
      <c r="AY79">
        <v>-7.4656382174999996</v>
      </c>
      <c r="AZ79">
        <v>1</v>
      </c>
      <c r="BA79">
        <v>-9.0696763571428498</v>
      </c>
      <c r="BB79">
        <v>-7.8832618874999998</v>
      </c>
      <c r="BC79">
        <v>1</v>
      </c>
      <c r="BD79">
        <v>-4.0337658263333296</v>
      </c>
      <c r="BE79">
        <v>-3.5616857319999999</v>
      </c>
      <c r="BF79">
        <v>1</v>
      </c>
      <c r="BG79">
        <v>-4.2604984876363599</v>
      </c>
      <c r="BH79">
        <v>-3.7858918958333301</v>
      </c>
      <c r="BI79">
        <v>1</v>
      </c>
      <c r="BJ79">
        <v>-5.169598068</v>
      </c>
      <c r="BK79">
        <v>-4.4849617999999998</v>
      </c>
      <c r="BL79">
        <v>1</v>
      </c>
      <c r="BM79">
        <v>-5.3124839857142803</v>
      </c>
      <c r="BN79">
        <v>-4.4937662437499997</v>
      </c>
      <c r="BO79">
        <v>1</v>
      </c>
      <c r="BP79">
        <v>-5.9313053071428499</v>
      </c>
      <c r="BQ79">
        <v>-5.0136564124999996</v>
      </c>
      <c r="BR79">
        <v>1</v>
      </c>
    </row>
    <row r="80" spans="1:70" x14ac:dyDescent="0.35">
      <c r="A80" t="s">
        <v>571</v>
      </c>
      <c r="B80" t="s">
        <v>20</v>
      </c>
      <c r="C80" t="s">
        <v>21</v>
      </c>
      <c r="D80">
        <v>0</v>
      </c>
      <c r="E80" t="s">
        <v>192</v>
      </c>
      <c r="F80" t="str">
        <f>INDEX([1]train_xl!$H:$H,MATCH(E80,[1]train_xl!$G:$G,0))</f>
        <v>the-of</v>
      </c>
      <c r="G80" t="str">
        <f>INDEX([1]train_xl!$I:$I,MATCH(E80,[1]train_xl!$G:$G,0))</f>
        <v>sim</v>
      </c>
      <c r="H80" t="str">
        <f>INDEX([1]train_xl!$V:$V,MATCH(E80,[1]train_xl!$G:$G,0))</f>
        <v>not</v>
      </c>
      <c r="I80" t="str">
        <f>INDEX([2]Sheet1!$L:$L,MATCH(E80,[2]Sheet1!$I:$I,0))</f>
        <v>intens</v>
      </c>
      <c r="K80">
        <v>-3.6328939353625</v>
      </c>
      <c r="L80">
        <v>-3.8467450040705802</v>
      </c>
      <c r="M80">
        <v>1</v>
      </c>
      <c r="N80">
        <v>-3.66377547811333</v>
      </c>
      <c r="O80">
        <v>-3.9018171021249999</v>
      </c>
      <c r="P80">
        <v>1</v>
      </c>
      <c r="Q80">
        <v>-4.3366656697999897</v>
      </c>
      <c r="R80">
        <v>-4.5064827535133301</v>
      </c>
      <c r="S80">
        <v>1</v>
      </c>
      <c r="T80">
        <v>-4.6380237732454503</v>
      </c>
      <c r="U80">
        <v>-4.6977452412666603</v>
      </c>
      <c r="V80">
        <v>1</v>
      </c>
      <c r="W80">
        <v>-4.9187436823363599</v>
      </c>
      <c r="X80">
        <v>-4.7947351012666601</v>
      </c>
      <c r="Y80">
        <v>0</v>
      </c>
      <c r="Z80">
        <v>-4.1039717239125002</v>
      </c>
      <c r="AA80">
        <v>-3.9084667308852898</v>
      </c>
      <c r="AB80">
        <v>0</v>
      </c>
      <c r="AC80">
        <v>-3.87916120531</v>
      </c>
      <c r="AD80">
        <v>-4.0308027862281204</v>
      </c>
      <c r="AE80">
        <v>1</v>
      </c>
      <c r="AF80">
        <v>-4.5688010471178497</v>
      </c>
      <c r="AG80">
        <v>-5.0721504372399897</v>
      </c>
      <c r="AH80">
        <v>1</v>
      </c>
      <c r="AI80">
        <v>-4.9271908626954497</v>
      </c>
      <c r="AJ80">
        <v>-5.0162866574708298</v>
      </c>
      <c r="AK80">
        <v>1</v>
      </c>
      <c r="AL80">
        <v>-5.6780393058636296</v>
      </c>
      <c r="AM80">
        <v>-5.1334097491374999</v>
      </c>
      <c r="AN80">
        <v>0</v>
      </c>
      <c r="AO80">
        <v>-3.2010846057500002</v>
      </c>
      <c r="AP80">
        <v>-3.4355494006423499</v>
      </c>
      <c r="AQ80">
        <v>1</v>
      </c>
      <c r="AR80">
        <v>-3.30171469740666</v>
      </c>
      <c r="AS80">
        <v>-3.5442985679375001</v>
      </c>
      <c r="AT80">
        <v>1</v>
      </c>
      <c r="AU80">
        <v>-3.9672098504628499</v>
      </c>
      <c r="AV80">
        <v>-4.0867253718733298</v>
      </c>
      <c r="AW80">
        <v>1</v>
      </c>
      <c r="AX80">
        <v>-4.0293409584718098</v>
      </c>
      <c r="AY80">
        <v>-4.2635200080399898</v>
      </c>
      <c r="AZ80">
        <v>1</v>
      </c>
      <c r="BA80">
        <v>-4.1825479859181796</v>
      </c>
      <c r="BB80">
        <v>-4.1876160880399897</v>
      </c>
      <c r="BC80">
        <v>1</v>
      </c>
      <c r="BD80">
        <v>-4.1968930146424999</v>
      </c>
      <c r="BE80">
        <v>-4.3438770526047001</v>
      </c>
      <c r="BF80">
        <v>1</v>
      </c>
      <c r="BG80">
        <v>-4.3259866186426601</v>
      </c>
      <c r="BH80">
        <v>-4.4842162504549998</v>
      </c>
      <c r="BI80">
        <v>1</v>
      </c>
      <c r="BJ80">
        <v>-4.9132687366285701</v>
      </c>
      <c r="BK80">
        <v>-5.0724494135199896</v>
      </c>
      <c r="BL80">
        <v>1</v>
      </c>
      <c r="BM80">
        <v>-5.42193515778545</v>
      </c>
      <c r="BN80">
        <v>-5.50545335297</v>
      </c>
      <c r="BO80">
        <v>1</v>
      </c>
      <c r="BP80">
        <v>-5.6353694577854503</v>
      </c>
      <c r="BQ80">
        <v>-5.5983406363033303</v>
      </c>
      <c r="BR80">
        <v>0</v>
      </c>
    </row>
    <row r="81" spans="1:70" x14ac:dyDescent="0.35">
      <c r="A81" t="s">
        <v>572</v>
      </c>
      <c r="B81" t="s">
        <v>20</v>
      </c>
      <c r="C81" t="s">
        <v>21</v>
      </c>
      <c r="D81">
        <v>1</v>
      </c>
      <c r="E81" t="s">
        <v>193</v>
      </c>
      <c r="F81" t="str">
        <f>INDEX([1]train_xl!$H:$H,MATCH(E81,[1]train_xl!$G:$G,0))</f>
        <v>the-of</v>
      </c>
      <c r="G81" t="str">
        <f>INDEX([1]train_xl!$I:$I,MATCH(E81,[1]train_xl!$G:$G,0))</f>
        <v>sim</v>
      </c>
      <c r="H81" t="str">
        <f>INDEX([1]train_xl!$V:$V,MATCH(E81,[1]train_xl!$G:$G,0))</f>
        <v>not</v>
      </c>
      <c r="I81" t="str">
        <f>INDEX([2]Sheet1!$L:$L,MATCH(E81,[2]Sheet1!$I:$I,0))</f>
        <v>neg</v>
      </c>
      <c r="K81">
        <v>-4.0833311934666598</v>
      </c>
      <c r="L81">
        <v>-3.9056063464124899</v>
      </c>
      <c r="M81">
        <v>1</v>
      </c>
      <c r="N81">
        <v>-4.22228854794285</v>
      </c>
      <c r="O81">
        <v>-3.9914066479733301</v>
      </c>
      <c r="P81">
        <v>1</v>
      </c>
      <c r="Q81">
        <v>-4.9028668651538396</v>
      </c>
      <c r="R81">
        <v>-4.6040076840714201</v>
      </c>
      <c r="S81">
        <v>1</v>
      </c>
      <c r="T81">
        <v>-5.1416193999999997</v>
      </c>
      <c r="U81">
        <v>-5.1077954318181797</v>
      </c>
      <c r="V81">
        <v>1</v>
      </c>
      <c r="W81">
        <v>-5.4709318700000003</v>
      </c>
      <c r="X81">
        <v>-5.3520760699999999</v>
      </c>
      <c r="Y81">
        <v>1</v>
      </c>
      <c r="Z81">
        <v>-4.3077475198999897</v>
      </c>
      <c r="AA81">
        <v>-4.0627862685312497</v>
      </c>
      <c r="AB81">
        <v>1</v>
      </c>
      <c r="AC81">
        <v>-4.8396723030000004</v>
      </c>
      <c r="AD81">
        <v>-4.1866005053333302</v>
      </c>
      <c r="AE81">
        <v>1</v>
      </c>
      <c r="AF81">
        <v>-5.0787495315384596</v>
      </c>
      <c r="AG81">
        <v>-4.79260592107142</v>
      </c>
      <c r="AH81">
        <v>1</v>
      </c>
      <c r="AI81">
        <v>-5.5365998799999998</v>
      </c>
      <c r="AJ81">
        <v>-5.47043526363636</v>
      </c>
      <c r="AK81">
        <v>1</v>
      </c>
      <c r="AL81">
        <v>-5.7189238999999903</v>
      </c>
      <c r="AM81">
        <v>-5.60247243181818</v>
      </c>
      <c r="AN81">
        <v>1</v>
      </c>
      <c r="AO81">
        <v>-3.7749447054666598</v>
      </c>
      <c r="AP81">
        <v>-3.6215121903125</v>
      </c>
      <c r="AQ81">
        <v>1</v>
      </c>
      <c r="AR81">
        <v>-3.9562350875714198</v>
      </c>
      <c r="AS81">
        <v>-3.7117811006666601</v>
      </c>
      <c r="AT81">
        <v>1</v>
      </c>
      <c r="AU81">
        <v>-4.4607521341538403</v>
      </c>
      <c r="AV81">
        <v>-4.1479967803571398</v>
      </c>
      <c r="AW81">
        <v>1</v>
      </c>
      <c r="AX81">
        <v>-4.77892516</v>
      </c>
      <c r="AY81">
        <v>-4.6052969627272704</v>
      </c>
      <c r="AZ81">
        <v>1</v>
      </c>
      <c r="BA81">
        <v>-4.7914291799999997</v>
      </c>
      <c r="BB81">
        <v>-4.6256439618181799</v>
      </c>
      <c r="BC81">
        <v>1</v>
      </c>
      <c r="BD81">
        <v>-4.65088290233333</v>
      </c>
      <c r="BE81">
        <v>-4.362902230625</v>
      </c>
      <c r="BF81">
        <v>1</v>
      </c>
      <c r="BG81">
        <v>-4.9153407265714204</v>
      </c>
      <c r="BH81">
        <v>-4.5742193501999999</v>
      </c>
      <c r="BI81">
        <v>1</v>
      </c>
      <c r="BJ81">
        <v>-5.4544288584615304</v>
      </c>
      <c r="BK81">
        <v>-5.0283845242857099</v>
      </c>
      <c r="BL81">
        <v>1</v>
      </c>
      <c r="BM81">
        <v>-6.1650957699999998</v>
      </c>
      <c r="BN81">
        <v>-6.0201312818181796</v>
      </c>
      <c r="BO81">
        <v>1</v>
      </c>
      <c r="BP81">
        <v>-6.3312064399999999</v>
      </c>
      <c r="BQ81">
        <v>-6.1524514272727204</v>
      </c>
      <c r="BR81">
        <v>1</v>
      </c>
    </row>
    <row r="82" spans="1:70" x14ac:dyDescent="0.35">
      <c r="A82" t="s">
        <v>573</v>
      </c>
      <c r="B82" t="s">
        <v>574</v>
      </c>
      <c r="C82" t="s">
        <v>75</v>
      </c>
      <c r="D82">
        <v>0</v>
      </c>
      <c r="E82" t="s">
        <v>194</v>
      </c>
      <c r="F82" t="str">
        <f>INDEX([1]train_xl!$H:$H,MATCH(E82,[1]train_xl!$G:$G,0))</f>
        <v>as-as</v>
      </c>
      <c r="G82" t="str">
        <f>INDEX([1]train_xl!$I:$I,MATCH(E82,[1]train_xl!$G:$G,0))</f>
        <v>sim</v>
      </c>
      <c r="H82" t="str">
        <f>INDEX([1]train_xl!$V:$V,MATCH(E82,[1]train_xl!$G:$G,0))</f>
        <v>not</v>
      </c>
      <c r="I82" t="str">
        <f>INDEX([2]Sheet1!$L:$L,MATCH(E82,[2]Sheet1!$I:$I,0))</f>
        <v>neg</v>
      </c>
      <c r="K82">
        <v>-4.0011020683071399</v>
      </c>
      <c r="L82">
        <v>-4.0822916015538402</v>
      </c>
      <c r="M82">
        <v>1</v>
      </c>
      <c r="N82">
        <v>-4.2284830136615303</v>
      </c>
      <c r="O82">
        <v>-4.3952275500833302</v>
      </c>
      <c r="P82">
        <v>1</v>
      </c>
      <c r="Q82">
        <v>-5.1912069250000004</v>
      </c>
      <c r="R82">
        <v>-5.4282577813090898</v>
      </c>
      <c r="S82">
        <v>1</v>
      </c>
      <c r="T82">
        <v>-5.03898103777777</v>
      </c>
      <c r="U82">
        <v>-5.6058650874999998</v>
      </c>
      <c r="V82">
        <v>1</v>
      </c>
      <c r="W82">
        <v>-5.71391740111111</v>
      </c>
      <c r="X82">
        <v>-5.8770708124999897</v>
      </c>
      <c r="Y82">
        <v>1</v>
      </c>
      <c r="Z82">
        <v>-4.1465466296428497</v>
      </c>
      <c r="AA82">
        <v>-4.1213375373076904</v>
      </c>
      <c r="AB82">
        <v>0</v>
      </c>
      <c r="AC82">
        <v>-4.26440670753846</v>
      </c>
      <c r="AD82">
        <v>-4.3891543689999999</v>
      </c>
      <c r="AE82">
        <v>1</v>
      </c>
      <c r="AF82">
        <v>-5.2733698914999998</v>
      </c>
      <c r="AG82">
        <v>-5.3806664598181797</v>
      </c>
      <c r="AH82">
        <v>1</v>
      </c>
      <c r="AI82">
        <v>-5.3784720066666596</v>
      </c>
      <c r="AJ82">
        <v>-5.6344273249999999</v>
      </c>
      <c r="AK82">
        <v>1</v>
      </c>
      <c r="AL82">
        <v>-5.8944946999999903</v>
      </c>
      <c r="AM82">
        <v>-5.9713336499999903</v>
      </c>
      <c r="AN82">
        <v>1</v>
      </c>
      <c r="AO82">
        <v>-3.9057525321428499</v>
      </c>
      <c r="AP82">
        <v>-3.7742730139615301</v>
      </c>
      <c r="AQ82">
        <v>0</v>
      </c>
      <c r="AR82">
        <v>-3.97232501207692</v>
      </c>
      <c r="AS82">
        <v>-4.0726821368333299</v>
      </c>
      <c r="AT82">
        <v>1</v>
      </c>
      <c r="AU82">
        <v>-4.8660183549999996</v>
      </c>
      <c r="AV82">
        <v>-5.01155430681818</v>
      </c>
      <c r="AW82">
        <v>1</v>
      </c>
      <c r="AX82">
        <v>-4.9395992</v>
      </c>
      <c r="AY82">
        <v>-5.3982243374999896</v>
      </c>
      <c r="AZ82">
        <v>1</v>
      </c>
      <c r="BA82">
        <v>-5.60867733666666</v>
      </c>
      <c r="BB82">
        <v>-5.4095705250000004</v>
      </c>
      <c r="BC82">
        <v>0</v>
      </c>
      <c r="BD82">
        <v>-4.1687742319999899</v>
      </c>
      <c r="BE82">
        <v>-4.0854134786538401</v>
      </c>
      <c r="BF82">
        <v>0</v>
      </c>
      <c r="BG82">
        <v>-4.2672059600769199</v>
      </c>
      <c r="BH82">
        <v>-4.2920278664166602</v>
      </c>
      <c r="BI82">
        <v>1</v>
      </c>
      <c r="BJ82">
        <v>-5.2205478605</v>
      </c>
      <c r="BK82">
        <v>-5.2805329750908996</v>
      </c>
      <c r="BL82">
        <v>1</v>
      </c>
      <c r="BM82">
        <v>-5.33905645555555</v>
      </c>
      <c r="BN82">
        <v>-5.4936142874999998</v>
      </c>
      <c r="BO82">
        <v>1</v>
      </c>
      <c r="BP82">
        <v>-5.81328251444444</v>
      </c>
      <c r="BQ82">
        <v>-5.8517718875</v>
      </c>
      <c r="BR82">
        <v>1</v>
      </c>
    </row>
    <row r="83" spans="1:70" x14ac:dyDescent="0.35">
      <c r="A83" t="s">
        <v>575</v>
      </c>
      <c r="B83" t="s">
        <v>574</v>
      </c>
      <c r="C83" t="s">
        <v>75</v>
      </c>
      <c r="D83">
        <v>1</v>
      </c>
      <c r="E83" t="s">
        <v>195</v>
      </c>
      <c r="F83" t="str">
        <f>INDEX([1]train_xl!$H:$H,MATCH(E83,[1]train_xl!$G:$G,0))</f>
        <v>as-as</v>
      </c>
      <c r="G83" t="str">
        <f>INDEX([1]train_xl!$I:$I,MATCH(E83,[1]train_xl!$G:$G,0))</f>
        <v>sim</v>
      </c>
      <c r="H83" t="str">
        <f>INDEX([1]train_xl!$V:$V,MATCH(E83,[1]train_xl!$G:$G,0))</f>
        <v>not</v>
      </c>
      <c r="I83" t="str">
        <f>INDEX([2]Sheet1!$L:$L,MATCH(E83,[2]Sheet1!$I:$I,0))</f>
        <v>intens</v>
      </c>
      <c r="K83">
        <v>-4.3643142198857099</v>
      </c>
      <c r="L83">
        <v>-3.3833006760000002</v>
      </c>
      <c r="M83">
        <v>1</v>
      </c>
      <c r="N83">
        <v>-4.5709077297999903</v>
      </c>
      <c r="O83">
        <v>-3.5037168978833302</v>
      </c>
      <c r="P83">
        <v>1</v>
      </c>
      <c r="Q83">
        <v>-5.4377154310833298</v>
      </c>
      <c r="R83">
        <v>-4.4426279366363604</v>
      </c>
      <c r="S83">
        <v>1</v>
      </c>
      <c r="T83">
        <v>-5.6833591333333304</v>
      </c>
      <c r="U83">
        <v>-4.2670947124999996</v>
      </c>
      <c r="V83">
        <v>1</v>
      </c>
      <c r="W83">
        <v>-5.9402665466666598</v>
      </c>
      <c r="X83">
        <v>-5.0851840125000001</v>
      </c>
      <c r="Y83">
        <v>1</v>
      </c>
      <c r="Z83">
        <v>-4.4341135524285704</v>
      </c>
      <c r="AA83">
        <v>-3.6535468461538398</v>
      </c>
      <c r="AB83">
        <v>1</v>
      </c>
      <c r="AC83">
        <v>-4.6880192049230702</v>
      </c>
      <c r="AD83">
        <v>-3.7429051874999999</v>
      </c>
      <c r="AE83">
        <v>1</v>
      </c>
      <c r="AF83">
        <v>-5.5341117354999998</v>
      </c>
      <c r="AG83">
        <v>-4.6437540565454496</v>
      </c>
      <c r="AH83">
        <v>1</v>
      </c>
      <c r="AI83">
        <v>-5.9396054722222198</v>
      </c>
      <c r="AJ83">
        <v>-4.7921619250000003</v>
      </c>
      <c r="AK83">
        <v>1</v>
      </c>
      <c r="AL83">
        <v>-6.1637822288888797</v>
      </c>
      <c r="AM83">
        <v>-5.4750108624999996</v>
      </c>
      <c r="AN83">
        <v>1</v>
      </c>
      <c r="AO83">
        <v>-4.0490424309285702</v>
      </c>
      <c r="AP83">
        <v>-3.1953300248461498</v>
      </c>
      <c r="AQ83">
        <v>1</v>
      </c>
      <c r="AR83">
        <v>-4.1546722215384602</v>
      </c>
      <c r="AS83">
        <v>-3.2091102108333298</v>
      </c>
      <c r="AT83">
        <v>1</v>
      </c>
      <c r="AU83">
        <v>-4.9248974241666597</v>
      </c>
      <c r="AV83">
        <v>-4.0671792399999998</v>
      </c>
      <c r="AW83">
        <v>1</v>
      </c>
      <c r="AX83">
        <v>-5.19031136666666</v>
      </c>
      <c r="AY83">
        <v>-3.9704322875</v>
      </c>
      <c r="AZ83">
        <v>1</v>
      </c>
      <c r="BA83">
        <v>-5.4263463955555498</v>
      </c>
      <c r="BB83">
        <v>-4.5287527250000004</v>
      </c>
      <c r="BC83">
        <v>1</v>
      </c>
      <c r="BD83">
        <v>-4.3373489318571403</v>
      </c>
      <c r="BE83">
        <v>-3.53065538430769</v>
      </c>
      <c r="BF83">
        <v>1</v>
      </c>
      <c r="BG83">
        <v>-4.5564660697692299</v>
      </c>
      <c r="BH83">
        <v>-3.62584677725</v>
      </c>
      <c r="BI83">
        <v>1</v>
      </c>
      <c r="BJ83">
        <v>-5.3886333726666598</v>
      </c>
      <c r="BK83">
        <v>-4.4874184025454502</v>
      </c>
      <c r="BL83">
        <v>1</v>
      </c>
      <c r="BM83">
        <v>-5.7185597222222198</v>
      </c>
      <c r="BN83">
        <v>-4.4831558124999997</v>
      </c>
      <c r="BO83">
        <v>1</v>
      </c>
      <c r="BP83">
        <v>-5.8939100188888798</v>
      </c>
      <c r="BQ83">
        <v>-5.1749107249999904</v>
      </c>
      <c r="BR83">
        <v>1</v>
      </c>
    </row>
    <row r="84" spans="1:70" x14ac:dyDescent="0.35">
      <c r="A84" t="s">
        <v>576</v>
      </c>
      <c r="B84" t="s">
        <v>22</v>
      </c>
      <c r="C84" t="s">
        <v>577</v>
      </c>
      <c r="D84">
        <v>0</v>
      </c>
      <c r="E84" t="s">
        <v>196</v>
      </c>
      <c r="F84" t="str">
        <f>INDEX([1]train_xl!$H:$H,MATCH(E84,[1]train_xl!$G:$G,0))</f>
        <v>the-of</v>
      </c>
      <c r="G84" t="str">
        <f>INDEX([1]train_xl!$I:$I,MATCH(E84,[1]train_xl!$G:$G,0))</f>
        <v>sim</v>
      </c>
      <c r="H84" t="str">
        <f>INDEX([1]train_xl!$V:$V,MATCH(E84,[1]train_xl!$G:$G,0))</f>
        <v>not</v>
      </c>
      <c r="I84" t="str">
        <f>INDEX([2]Sheet1!$L:$L,MATCH(E84,[2]Sheet1!$I:$I,0))</f>
        <v>intens</v>
      </c>
      <c r="K84">
        <v>-3.5544168146470501</v>
      </c>
      <c r="L84">
        <v>-3.5393008788947302</v>
      </c>
      <c r="M84">
        <v>0</v>
      </c>
      <c r="N84">
        <v>-3.5908543707375</v>
      </c>
      <c r="O84">
        <v>-3.54176224882222</v>
      </c>
      <c r="P84">
        <v>0</v>
      </c>
      <c r="Q84">
        <v>-4.4503723480333299</v>
      </c>
      <c r="R84">
        <v>-4.2647141347058799</v>
      </c>
      <c r="S84">
        <v>0</v>
      </c>
      <c r="T84">
        <v>-4.5420516141666596</v>
      </c>
      <c r="U84">
        <v>-4.2902611410000002</v>
      </c>
      <c r="V84">
        <v>0</v>
      </c>
      <c r="W84">
        <v>-4.8617019916666599</v>
      </c>
      <c r="X84">
        <v>-4.4993508930714201</v>
      </c>
      <c r="Y84">
        <v>0</v>
      </c>
      <c r="Z84">
        <v>-3.5306434382352898</v>
      </c>
      <c r="AA84">
        <v>-3.5367650539473598</v>
      </c>
      <c r="AB84">
        <v>1</v>
      </c>
      <c r="AC84">
        <v>-3.8964537959999999</v>
      </c>
      <c r="AD84">
        <v>-3.5795525505555501</v>
      </c>
      <c r="AE84">
        <v>0</v>
      </c>
      <c r="AF84">
        <v>-4.3616062922666599</v>
      </c>
      <c r="AG84">
        <v>-4.1727187104117602</v>
      </c>
      <c r="AH84">
        <v>0</v>
      </c>
      <c r="AI84">
        <v>-4.4326614524999997</v>
      </c>
      <c r="AJ84">
        <v>-4.2940382928571399</v>
      </c>
      <c r="AK84">
        <v>0</v>
      </c>
      <c r="AL84">
        <v>-4.8256519583333297</v>
      </c>
      <c r="AM84">
        <v>-4.4701835971428503</v>
      </c>
      <c r="AN84">
        <v>0</v>
      </c>
      <c r="AO84">
        <v>-4.6318386149999897</v>
      </c>
      <c r="AP84">
        <v>-4.6000586181052601</v>
      </c>
      <c r="AQ84">
        <v>0</v>
      </c>
      <c r="AR84">
        <v>-4.7410219045000002</v>
      </c>
      <c r="AS84">
        <v>-4.7877389662222196</v>
      </c>
      <c r="AT84">
        <v>1</v>
      </c>
      <c r="AU84">
        <v>-5.6520202646666604</v>
      </c>
      <c r="AV84">
        <v>-5.4879764373529403</v>
      </c>
      <c r="AW84">
        <v>0</v>
      </c>
      <c r="AX84">
        <v>-6.0967581549999998</v>
      </c>
      <c r="AY84">
        <v>-5.84836589785714</v>
      </c>
      <c r="AZ84">
        <v>0</v>
      </c>
      <c r="BA84">
        <v>-6.4758469558333296</v>
      </c>
      <c r="BB84">
        <v>-5.9801758121428499</v>
      </c>
      <c r="BC84">
        <v>0</v>
      </c>
      <c r="BD84">
        <v>-3.5623198007646999</v>
      </c>
      <c r="BE84">
        <v>-3.6158915865789401</v>
      </c>
      <c r="BF84">
        <v>1</v>
      </c>
      <c r="BG84">
        <v>-3.5803162464375</v>
      </c>
      <c r="BH84">
        <v>-3.7021010166111101</v>
      </c>
      <c r="BI84">
        <v>1</v>
      </c>
      <c r="BJ84">
        <v>-4.4833455975333303</v>
      </c>
      <c r="BK84">
        <v>-4.2261072611764696</v>
      </c>
      <c r="BL84">
        <v>0</v>
      </c>
      <c r="BM84">
        <v>-4.2902692908333302</v>
      </c>
      <c r="BN84">
        <v>-4.2870308214285702</v>
      </c>
      <c r="BO84">
        <v>0</v>
      </c>
      <c r="BP84">
        <v>-4.6962624916666602</v>
      </c>
      <c r="BQ84">
        <v>-4.4490866742857103</v>
      </c>
      <c r="BR84">
        <v>0</v>
      </c>
    </row>
    <row r="85" spans="1:70" x14ac:dyDescent="0.35">
      <c r="A85" t="s">
        <v>578</v>
      </c>
      <c r="B85" t="s">
        <v>22</v>
      </c>
      <c r="C85" t="s">
        <v>577</v>
      </c>
      <c r="D85">
        <v>1</v>
      </c>
      <c r="E85" t="s">
        <v>197</v>
      </c>
      <c r="F85" t="str">
        <f>INDEX([1]train_xl!$H:$H,MATCH(E85,[1]train_xl!$G:$G,0))</f>
        <v>the-of</v>
      </c>
      <c r="G85" t="str">
        <f>INDEX([1]train_xl!$I:$I,MATCH(E85,[1]train_xl!$G:$G,0))</f>
        <v>sim</v>
      </c>
      <c r="H85" t="str">
        <f>INDEX([1]train_xl!$V:$V,MATCH(E85,[1]train_xl!$G:$G,0))</f>
        <v>not</v>
      </c>
      <c r="I85" t="str">
        <f>INDEX([2]Sheet1!$L:$L,MATCH(E85,[2]Sheet1!$I:$I,0))</f>
        <v>neg</v>
      </c>
      <c r="K85">
        <v>-3.3868854909411699</v>
      </c>
      <c r="L85">
        <v>-2.81231883321052</v>
      </c>
      <c r="M85">
        <v>1</v>
      </c>
      <c r="N85">
        <v>-3.3067253833499901</v>
      </c>
      <c r="O85">
        <v>-2.7359119481444401</v>
      </c>
      <c r="P85">
        <v>1</v>
      </c>
      <c r="Q85">
        <v>-4.0929357966</v>
      </c>
      <c r="R85">
        <v>-3.48782817317647</v>
      </c>
      <c r="S85">
        <v>1</v>
      </c>
      <c r="T85">
        <v>-4.1561988497499902</v>
      </c>
      <c r="U85">
        <v>-3.25293029828571</v>
      </c>
      <c r="V85">
        <v>1</v>
      </c>
      <c r="W85">
        <v>-4.2802369418333299</v>
      </c>
      <c r="X85">
        <v>-3.5206569921428499</v>
      </c>
      <c r="Y85">
        <v>1</v>
      </c>
      <c r="Z85">
        <v>-3.2566450951176402</v>
      </c>
      <c r="AA85">
        <v>-2.8084893998421001</v>
      </c>
      <c r="AB85">
        <v>1</v>
      </c>
      <c r="AC85">
        <v>-3.2504475785624898</v>
      </c>
      <c r="AD85">
        <v>-2.8016572959444401</v>
      </c>
      <c r="AE85">
        <v>1</v>
      </c>
      <c r="AF85">
        <v>-3.9726346155333299</v>
      </c>
      <c r="AG85">
        <v>-3.43691836252941</v>
      </c>
      <c r="AH85">
        <v>1</v>
      </c>
      <c r="AI85">
        <v>-4.0375813655000004</v>
      </c>
      <c r="AJ85">
        <v>-3.3056497214285701</v>
      </c>
      <c r="AK85">
        <v>1</v>
      </c>
      <c r="AL85">
        <v>-4.1896808624999897</v>
      </c>
      <c r="AM85">
        <v>-3.5486207349999899</v>
      </c>
      <c r="AN85">
        <v>1</v>
      </c>
      <c r="AO85">
        <v>-4.51248776717647</v>
      </c>
      <c r="AP85">
        <v>-4.0085475555789403</v>
      </c>
      <c r="AQ85">
        <v>1</v>
      </c>
      <c r="AR85">
        <v>-4.6463603420624997</v>
      </c>
      <c r="AS85">
        <v>-4.0168599090555501</v>
      </c>
      <c r="AT85">
        <v>1</v>
      </c>
      <c r="AU85">
        <v>-5.4940945726666603</v>
      </c>
      <c r="AV85">
        <v>-4.7175662607058797</v>
      </c>
      <c r="AW85">
        <v>1</v>
      </c>
      <c r="AX85">
        <v>-5.8520471291666603</v>
      </c>
      <c r="AY85">
        <v>-4.9202075807142798</v>
      </c>
      <c r="AZ85">
        <v>1</v>
      </c>
      <c r="BA85">
        <v>-6.0018400074999896</v>
      </c>
      <c r="BB85">
        <v>-5.1176650064285703</v>
      </c>
      <c r="BC85">
        <v>1</v>
      </c>
      <c r="BD85">
        <v>-3.4289657745294102</v>
      </c>
      <c r="BE85">
        <v>-2.9621367856315701</v>
      </c>
      <c r="BF85">
        <v>1</v>
      </c>
      <c r="BG85">
        <v>-3.3105491756249901</v>
      </c>
      <c r="BH85">
        <v>-3.0028935163333301</v>
      </c>
      <c r="BI85">
        <v>1</v>
      </c>
      <c r="BJ85">
        <v>-4.0233668330666603</v>
      </c>
      <c r="BK85">
        <v>-3.4879013254705802</v>
      </c>
      <c r="BL85">
        <v>1</v>
      </c>
      <c r="BM85">
        <v>-4.0914653683333304</v>
      </c>
      <c r="BN85">
        <v>-3.5186576839285699</v>
      </c>
      <c r="BO85">
        <v>1</v>
      </c>
      <c r="BP85">
        <v>-4.2184124216666596</v>
      </c>
      <c r="BQ85">
        <v>-3.5087954721428498</v>
      </c>
      <c r="BR85">
        <v>1</v>
      </c>
    </row>
    <row r="86" spans="1:70" x14ac:dyDescent="0.35">
      <c r="A86" t="s">
        <v>579</v>
      </c>
      <c r="B86" t="s">
        <v>580</v>
      </c>
      <c r="C86" t="s">
        <v>23</v>
      </c>
      <c r="D86">
        <v>0</v>
      </c>
      <c r="E86" t="s">
        <v>198</v>
      </c>
      <c r="F86" t="str">
        <f>INDEX([1]train_xl!$H:$H,MATCH(E86,[1]train_xl!$G:$G,0))</f>
        <v>the-of</v>
      </c>
      <c r="G86" t="str">
        <f>INDEX([1]train_xl!$I:$I,MATCH(E86,[1]train_xl!$G:$G,0))</f>
        <v>sim</v>
      </c>
      <c r="H86" t="str">
        <f>INDEX([1]train_xl!$V:$V,MATCH(E86,[1]train_xl!$G:$G,0))</f>
        <v>not</v>
      </c>
      <c r="I86" t="str">
        <f>INDEX([2]Sheet1!$L:$L,MATCH(E86,[2]Sheet1!$I:$I,0))</f>
        <v>intens</v>
      </c>
      <c r="K86">
        <v>-3.39104961994444</v>
      </c>
      <c r="L86">
        <v>-3.4083730622999999</v>
      </c>
      <c r="M86">
        <v>1</v>
      </c>
      <c r="N86">
        <v>-3.4032520237411701</v>
      </c>
      <c r="O86">
        <v>-3.36273207507368</v>
      </c>
      <c r="P86">
        <v>0</v>
      </c>
      <c r="Q86">
        <v>-4.40565887548125</v>
      </c>
      <c r="R86">
        <v>-4.2844127979277697</v>
      </c>
      <c r="S86">
        <v>0</v>
      </c>
      <c r="T86">
        <v>-4.2963880533615297</v>
      </c>
      <c r="U86">
        <v>-4.0940911759800001</v>
      </c>
      <c r="V86">
        <v>0</v>
      </c>
      <c r="W86">
        <v>-4.4348312251307602</v>
      </c>
      <c r="X86">
        <v>-4.0025196320266598</v>
      </c>
      <c r="Y86">
        <v>0</v>
      </c>
      <c r="Z86">
        <v>-4.1824936407222202</v>
      </c>
      <c r="AA86">
        <v>-4.1062198825499996</v>
      </c>
      <c r="AB86">
        <v>0</v>
      </c>
      <c r="AC86">
        <v>-4.2659175973823498</v>
      </c>
      <c r="AD86">
        <v>-4.1421259226052598</v>
      </c>
      <c r="AE86">
        <v>0</v>
      </c>
      <c r="AF86">
        <v>-5.2887023738124999</v>
      </c>
      <c r="AG86">
        <v>-5.0893427900555501</v>
      </c>
      <c r="AH86">
        <v>0</v>
      </c>
      <c r="AI86">
        <v>-5.1554127694615302</v>
      </c>
      <c r="AJ86">
        <v>-4.8575632678666603</v>
      </c>
      <c r="AK86">
        <v>0</v>
      </c>
      <c r="AL86">
        <v>-5.2779865400769204</v>
      </c>
      <c r="AM86">
        <v>-4.7982817070666597</v>
      </c>
      <c r="AN86">
        <v>0</v>
      </c>
      <c r="AO86">
        <v>-3.3329690158888798</v>
      </c>
      <c r="AP86">
        <v>-3.4099544932749999</v>
      </c>
      <c r="AQ86">
        <v>1</v>
      </c>
      <c r="AR86">
        <v>-3.38088604517647</v>
      </c>
      <c r="AS86">
        <v>-3.4061955446157799</v>
      </c>
      <c r="AT86">
        <v>1</v>
      </c>
      <c r="AU86">
        <v>-4.3705555645874998</v>
      </c>
      <c r="AV86">
        <v>-4.3427228116833296</v>
      </c>
      <c r="AW86">
        <v>0</v>
      </c>
      <c r="AX86">
        <v>-3.9264570859230701</v>
      </c>
      <c r="AY86">
        <v>-4.1379134076666597</v>
      </c>
      <c r="AZ86">
        <v>1</v>
      </c>
      <c r="BA86">
        <v>-4.1465520186153801</v>
      </c>
      <c r="BB86">
        <v>-4.1017899307333296</v>
      </c>
      <c r="BC86">
        <v>0</v>
      </c>
      <c r="BD86">
        <v>-4.2133965448333299</v>
      </c>
      <c r="BE86">
        <v>-4.0887446080999901</v>
      </c>
      <c r="BF86">
        <v>0</v>
      </c>
      <c r="BG86">
        <v>-4.2789160030294102</v>
      </c>
      <c r="BH86">
        <v>-4.1158386499999997</v>
      </c>
      <c r="BI86">
        <v>0</v>
      </c>
      <c r="BJ86">
        <v>-5.0465516969374997</v>
      </c>
      <c r="BK86">
        <v>-5.0560014721666597</v>
      </c>
      <c r="BL86">
        <v>1</v>
      </c>
      <c r="BM86">
        <v>-5.1937313722615297</v>
      </c>
      <c r="BN86">
        <v>-4.76582291806666</v>
      </c>
      <c r="BO86">
        <v>0</v>
      </c>
      <c r="BP86">
        <v>-5.3016450347692299</v>
      </c>
      <c r="BQ86">
        <v>-4.7911316875333299</v>
      </c>
      <c r="BR86">
        <v>0</v>
      </c>
    </row>
    <row r="87" spans="1:70" x14ac:dyDescent="0.35">
      <c r="A87" t="s">
        <v>581</v>
      </c>
      <c r="B87" t="s">
        <v>580</v>
      </c>
      <c r="C87" t="s">
        <v>23</v>
      </c>
      <c r="D87">
        <v>1</v>
      </c>
      <c r="E87" t="s">
        <v>199</v>
      </c>
      <c r="F87" t="str">
        <f>INDEX([1]train_xl!$H:$H,MATCH(E87,[1]train_xl!$G:$G,0))</f>
        <v>the-of</v>
      </c>
      <c r="G87" t="str">
        <f>INDEX([1]train_xl!$I:$I,MATCH(E87,[1]train_xl!$G:$G,0))</f>
        <v>sim</v>
      </c>
      <c r="H87" t="str">
        <f>INDEX([1]train_xl!$V:$V,MATCH(E87,[1]train_xl!$G:$G,0))</f>
        <v>not</v>
      </c>
      <c r="I87" t="str">
        <f>INDEX([2]Sheet1!$L:$L,MATCH(E87,[2]Sheet1!$I:$I,0))</f>
        <v>neg</v>
      </c>
      <c r="K87">
        <v>-3.76332926411111</v>
      </c>
      <c r="L87">
        <v>-3.1066411086999999</v>
      </c>
      <c r="M87">
        <v>1</v>
      </c>
      <c r="N87">
        <v>-3.8199037524294099</v>
      </c>
      <c r="O87">
        <v>-3.0486429500578902</v>
      </c>
      <c r="P87">
        <v>1</v>
      </c>
      <c r="Q87">
        <v>-4.7510790398437504</v>
      </c>
      <c r="R87">
        <v>-3.8506865726888799</v>
      </c>
      <c r="S87">
        <v>1</v>
      </c>
      <c r="T87">
        <v>-4.6674646355</v>
      </c>
      <c r="U87">
        <v>-3.6760616010466598</v>
      </c>
      <c r="V87">
        <v>1</v>
      </c>
      <c r="W87">
        <v>-4.6892655594230703</v>
      </c>
      <c r="X87">
        <v>-3.9630600450400002</v>
      </c>
      <c r="Y87">
        <v>1</v>
      </c>
      <c r="Z87">
        <v>-4.4604572747777702</v>
      </c>
      <c r="AA87">
        <v>-3.85798588795</v>
      </c>
      <c r="AB87">
        <v>1</v>
      </c>
      <c r="AC87">
        <v>-4.4495056423176402</v>
      </c>
      <c r="AD87">
        <v>-3.8209614200473601</v>
      </c>
      <c r="AE87">
        <v>1</v>
      </c>
      <c r="AF87">
        <v>-5.3992747987499996</v>
      </c>
      <c r="AG87">
        <v>-4.6287849116111097</v>
      </c>
      <c r="AH87">
        <v>1</v>
      </c>
      <c r="AI87">
        <v>-5.4491332048461496</v>
      </c>
      <c r="AJ87">
        <v>-4.5515761739666596</v>
      </c>
      <c r="AK87">
        <v>1</v>
      </c>
      <c r="AL87">
        <v>-5.61049973692307</v>
      </c>
      <c r="AM87">
        <v>-4.91306738013333</v>
      </c>
      <c r="AN87">
        <v>1</v>
      </c>
      <c r="AO87">
        <v>-3.59212492738888</v>
      </c>
      <c r="AP87">
        <v>-3.0488571519500001</v>
      </c>
      <c r="AQ87">
        <v>1</v>
      </c>
      <c r="AR87">
        <v>-3.6742342838235298</v>
      </c>
      <c r="AS87">
        <v>-3.0510960137052598</v>
      </c>
      <c r="AT87">
        <v>1</v>
      </c>
      <c r="AU87">
        <v>-4.4539498105000002</v>
      </c>
      <c r="AV87">
        <v>-3.7109881852222202</v>
      </c>
      <c r="AW87">
        <v>1</v>
      </c>
      <c r="AX87">
        <v>-4.2629983639999898</v>
      </c>
      <c r="AY87">
        <v>-3.54053750896666</v>
      </c>
      <c r="AZ87">
        <v>1</v>
      </c>
      <c r="BA87">
        <v>-4.4100944398461497</v>
      </c>
      <c r="BB87">
        <v>-3.8343407601999902</v>
      </c>
      <c r="BC87">
        <v>1</v>
      </c>
      <c r="BD87">
        <v>-4.5331811397777697</v>
      </c>
      <c r="BE87">
        <v>-3.8974345626499902</v>
      </c>
      <c r="BF87">
        <v>1</v>
      </c>
      <c r="BG87">
        <v>-4.5901883058764703</v>
      </c>
      <c r="BH87">
        <v>-3.8975464478842099</v>
      </c>
      <c r="BI87">
        <v>1</v>
      </c>
      <c r="BJ87">
        <v>-5.5080768081874902</v>
      </c>
      <c r="BK87">
        <v>-4.6809402692222202</v>
      </c>
      <c r="BL87">
        <v>1</v>
      </c>
      <c r="BM87">
        <v>-5.5725825732307603</v>
      </c>
      <c r="BN87">
        <v>-4.5826226635333303</v>
      </c>
      <c r="BO87">
        <v>1</v>
      </c>
      <c r="BP87">
        <v>-5.6661237486923</v>
      </c>
      <c r="BQ87">
        <v>-4.9787845987333297</v>
      </c>
      <c r="BR87">
        <v>1</v>
      </c>
    </row>
    <row r="88" spans="1:70" x14ac:dyDescent="0.35">
      <c r="A88" t="s">
        <v>582</v>
      </c>
      <c r="B88" t="s">
        <v>583</v>
      </c>
      <c r="C88" t="s">
        <v>584</v>
      </c>
      <c r="D88">
        <v>0</v>
      </c>
      <c r="E88" t="s">
        <v>200</v>
      </c>
      <c r="F88" t="str">
        <f>INDEX([1]train_xl!$H:$H,MATCH(E88,[1]train_xl!$G:$G,0))</f>
        <v>as-as</v>
      </c>
      <c r="G88" t="str">
        <f>INDEX([1]train_xl!$I:$I,MATCH(E88,[1]train_xl!$G:$G,0))</f>
        <v>sim</v>
      </c>
      <c r="H88" t="str">
        <f>INDEX([1]train_xl!$V:$V,MATCH(E88,[1]train_xl!$G:$G,0))</f>
        <v>not</v>
      </c>
      <c r="I88" t="str">
        <f>INDEX([2]Sheet1!$L:$L,MATCH(E88,[2]Sheet1!$I:$I,0))</f>
        <v>intens</v>
      </c>
      <c r="K88">
        <v>-3.9318223418562401</v>
      </c>
      <c r="L88">
        <v>-4.0523874154294104</v>
      </c>
      <c r="M88">
        <v>1</v>
      </c>
      <c r="N88">
        <v>-3.92299188093333</v>
      </c>
      <c r="O88">
        <v>-4.0357876489375002</v>
      </c>
      <c r="P88">
        <v>1</v>
      </c>
      <c r="Q88">
        <v>-4.735365475</v>
      </c>
      <c r="R88">
        <v>-4.8359284458999996</v>
      </c>
      <c r="S88">
        <v>1</v>
      </c>
      <c r="T88">
        <v>-5.1235088272727198</v>
      </c>
      <c r="U88">
        <v>-4.9228514480000003</v>
      </c>
      <c r="V88">
        <v>0</v>
      </c>
      <c r="W88">
        <v>-5.42316182727272</v>
      </c>
      <c r="X88">
        <v>-5.1010512233333296</v>
      </c>
      <c r="Y88">
        <v>0</v>
      </c>
      <c r="Z88">
        <v>-4.1672015756874998</v>
      </c>
      <c r="AA88">
        <v>-4.2305200646882302</v>
      </c>
      <c r="AB88">
        <v>1</v>
      </c>
      <c r="AC88">
        <v>-4.3802448230666604</v>
      </c>
      <c r="AD88">
        <v>-4.313900280625</v>
      </c>
      <c r="AE88">
        <v>0</v>
      </c>
      <c r="AF88">
        <v>-5.1109336921428499</v>
      </c>
      <c r="AG88">
        <v>-5.1685167959999996</v>
      </c>
      <c r="AH88">
        <v>1</v>
      </c>
      <c r="AI88">
        <v>-5.3815547545454496</v>
      </c>
      <c r="AJ88">
        <v>-5.3468922583333303</v>
      </c>
      <c r="AK88">
        <v>0</v>
      </c>
      <c r="AL88">
        <v>-5.7741148000000004</v>
      </c>
      <c r="AM88">
        <v>-5.4400889408333297</v>
      </c>
      <c r="AN88">
        <v>0</v>
      </c>
      <c r="AO88">
        <v>-3.7487155316499998</v>
      </c>
      <c r="AP88">
        <v>-3.78733768817647</v>
      </c>
      <c r="AQ88">
        <v>1</v>
      </c>
      <c r="AR88">
        <v>-3.8361241350666599</v>
      </c>
      <c r="AS88">
        <v>-3.876413790625</v>
      </c>
      <c r="AT88">
        <v>1</v>
      </c>
      <c r="AU88">
        <v>-4.5281483064285704</v>
      </c>
      <c r="AV88">
        <v>-4.4538530666666603</v>
      </c>
      <c r="AW88">
        <v>0</v>
      </c>
      <c r="AX88">
        <v>-4.6939288636363603</v>
      </c>
      <c r="AY88">
        <v>-4.6084207416666603</v>
      </c>
      <c r="AZ88">
        <v>0</v>
      </c>
      <c r="BA88">
        <v>-4.8091644054545402</v>
      </c>
      <c r="BB88">
        <v>-4.5855735150000001</v>
      </c>
      <c r="BC88">
        <v>0</v>
      </c>
      <c r="BD88">
        <v>-4.2001983129062497</v>
      </c>
      <c r="BE88">
        <v>-4.3009628981764703</v>
      </c>
      <c r="BF88">
        <v>1</v>
      </c>
      <c r="BG88">
        <v>-4.4158577560666599</v>
      </c>
      <c r="BH88">
        <v>-4.4738469819374904</v>
      </c>
      <c r="BI88">
        <v>1</v>
      </c>
      <c r="BJ88">
        <v>-5.1517249454285698</v>
      </c>
      <c r="BK88">
        <v>-5.2078449386666597</v>
      </c>
      <c r="BL88">
        <v>1</v>
      </c>
      <c r="BM88">
        <v>-5.5056802818181803</v>
      </c>
      <c r="BN88">
        <v>-5.5224426316666602</v>
      </c>
      <c r="BO88">
        <v>1</v>
      </c>
      <c r="BP88">
        <v>-5.8922526454545396</v>
      </c>
      <c r="BQ88">
        <v>-5.6874723224999997</v>
      </c>
      <c r="BR88">
        <v>0</v>
      </c>
    </row>
    <row r="89" spans="1:70" x14ac:dyDescent="0.35">
      <c r="A89" t="s">
        <v>585</v>
      </c>
      <c r="B89" t="s">
        <v>583</v>
      </c>
      <c r="C89" t="s">
        <v>584</v>
      </c>
      <c r="D89">
        <v>1</v>
      </c>
      <c r="E89" t="s">
        <v>201</v>
      </c>
      <c r="F89" t="str">
        <f>INDEX([1]train_xl!$H:$H,MATCH(E89,[1]train_xl!$G:$G,0))</f>
        <v>as-as</v>
      </c>
      <c r="G89" t="str">
        <f>INDEX([1]train_xl!$I:$I,MATCH(E89,[1]train_xl!$G:$G,0))</f>
        <v>sim</v>
      </c>
      <c r="H89" t="str">
        <f>INDEX([1]train_xl!$V:$V,MATCH(E89,[1]train_xl!$G:$G,0))</f>
        <v>not</v>
      </c>
      <c r="I89" t="str">
        <f>INDEX([2]Sheet1!$L:$L,MATCH(E89,[2]Sheet1!$I:$I,0))</f>
        <v>neg</v>
      </c>
      <c r="K89">
        <v>-4.09634312302666</v>
      </c>
      <c r="L89">
        <v>-3.7991116172187498</v>
      </c>
      <c r="M89">
        <v>1</v>
      </c>
      <c r="N89">
        <v>-4.1765988501928497</v>
      </c>
      <c r="O89">
        <v>-3.7855512490666601</v>
      </c>
      <c r="P89">
        <v>1</v>
      </c>
      <c r="Q89">
        <v>-5.0124595583846103</v>
      </c>
      <c r="R89">
        <v>-4.66987261457143</v>
      </c>
      <c r="S89">
        <v>1</v>
      </c>
      <c r="T89">
        <v>-5.2273833599999904</v>
      </c>
      <c r="U89">
        <v>-4.7381319436363603</v>
      </c>
      <c r="V89">
        <v>1</v>
      </c>
      <c r="W89">
        <v>-5.5082893100000003</v>
      </c>
      <c r="X89">
        <v>-5.1181947223636302</v>
      </c>
      <c r="Y89">
        <v>1</v>
      </c>
      <c r="Z89">
        <v>-4.5542574879666597</v>
      </c>
      <c r="AA89">
        <v>-4.0890687561875003</v>
      </c>
      <c r="AB89">
        <v>1</v>
      </c>
      <c r="AC89">
        <v>-4.6524509028571401</v>
      </c>
      <c r="AD89">
        <v>-4.1713653706666598</v>
      </c>
      <c r="AE89">
        <v>1</v>
      </c>
      <c r="AF89">
        <v>-5.5790704246153799</v>
      </c>
      <c r="AG89">
        <v>-5.0154262742857103</v>
      </c>
      <c r="AH89">
        <v>1</v>
      </c>
      <c r="AI89">
        <v>-5.7884009099999902</v>
      </c>
      <c r="AJ89">
        <v>-5.2026064690908997</v>
      </c>
      <c r="AK89">
        <v>1</v>
      </c>
      <c r="AL89">
        <v>-6.1737870399999997</v>
      </c>
      <c r="AM89">
        <v>-5.6205611700000002</v>
      </c>
      <c r="AN89">
        <v>1</v>
      </c>
      <c r="AO89">
        <v>-3.9458664051999901</v>
      </c>
      <c r="AP89">
        <v>-3.5139629553749998</v>
      </c>
      <c r="AQ89">
        <v>1</v>
      </c>
      <c r="AR89">
        <v>-3.91515188142857</v>
      </c>
      <c r="AS89">
        <v>-3.4721240253333301</v>
      </c>
      <c r="AT89">
        <v>1</v>
      </c>
      <c r="AU89">
        <v>-4.7725266307692298</v>
      </c>
      <c r="AV89">
        <v>-4.2047662364285703</v>
      </c>
      <c r="AW89">
        <v>1</v>
      </c>
      <c r="AX89">
        <v>-4.7968606500000002</v>
      </c>
      <c r="AY89">
        <v>-4.0680165945454503</v>
      </c>
      <c r="AZ89">
        <v>1</v>
      </c>
      <c r="BA89">
        <v>-4.892028152</v>
      </c>
      <c r="BB89">
        <v>-4.3376291927272703</v>
      </c>
      <c r="BC89">
        <v>1</v>
      </c>
      <c r="BD89">
        <v>-4.5132397642333304</v>
      </c>
      <c r="BE89">
        <v>-4.1235457061874996</v>
      </c>
      <c r="BF89">
        <v>1</v>
      </c>
      <c r="BG89">
        <v>-4.6963180335714201</v>
      </c>
      <c r="BH89">
        <v>-4.1995596853333303</v>
      </c>
      <c r="BI89">
        <v>1</v>
      </c>
      <c r="BJ89">
        <v>-5.5677409153846096</v>
      </c>
      <c r="BK89">
        <v>-5.0849044107142802</v>
      </c>
      <c r="BL89">
        <v>1</v>
      </c>
      <c r="BM89">
        <v>-6.0734851900000004</v>
      </c>
      <c r="BN89">
        <v>-5.2588149636363601</v>
      </c>
      <c r="BO89">
        <v>1</v>
      </c>
      <c r="BP89">
        <v>-6.4043930199999997</v>
      </c>
      <c r="BQ89">
        <v>-5.80018273636363</v>
      </c>
      <c r="BR89">
        <v>1</v>
      </c>
    </row>
    <row r="90" spans="1:70" x14ac:dyDescent="0.35">
      <c r="A90" t="s">
        <v>586</v>
      </c>
      <c r="B90" t="s">
        <v>587</v>
      </c>
      <c r="C90" t="s">
        <v>588</v>
      </c>
      <c r="D90">
        <v>0</v>
      </c>
      <c r="E90" t="s">
        <v>202</v>
      </c>
      <c r="F90" t="str">
        <f>INDEX([1]train_xl!$H:$H,MATCH(E90,[1]train_xl!$G:$G,0))</f>
        <v>as-as</v>
      </c>
      <c r="G90" t="str">
        <f>INDEX([1]train_xl!$I:$I,MATCH(E90,[1]train_xl!$G:$G,0))</f>
        <v>sim</v>
      </c>
      <c r="H90" t="str">
        <f>INDEX([1]train_xl!$V:$V,MATCH(E90,[1]train_xl!$G:$G,0))</f>
        <v>not</v>
      </c>
      <c r="I90" t="str">
        <f>INDEX([2]Sheet1!$L:$L,MATCH(E90,[2]Sheet1!$I:$I,0))</f>
        <v>intens</v>
      </c>
      <c r="K90">
        <v>-3.3318816799411701</v>
      </c>
      <c r="L90">
        <v>-3.171956481</v>
      </c>
      <c r="M90">
        <v>0</v>
      </c>
      <c r="N90">
        <v>-3.5724979825624898</v>
      </c>
      <c r="O90">
        <v>-3.2752699661666602</v>
      </c>
      <c r="P90">
        <v>0</v>
      </c>
      <c r="Q90">
        <v>-4.0789499630666599</v>
      </c>
      <c r="R90">
        <v>-3.7849841761176402</v>
      </c>
      <c r="S90">
        <v>0</v>
      </c>
      <c r="T90">
        <v>-4.0417497191666598</v>
      </c>
      <c r="U90">
        <v>-3.5087813449999898</v>
      </c>
      <c r="V90">
        <v>0</v>
      </c>
      <c r="W90">
        <v>-3.9718863108333302</v>
      </c>
      <c r="X90">
        <v>-3.65226104</v>
      </c>
      <c r="Y90">
        <v>0</v>
      </c>
      <c r="Z90">
        <v>-3.5221210041176398</v>
      </c>
      <c r="AA90">
        <v>-3.1693340794736802</v>
      </c>
      <c r="AB90">
        <v>0</v>
      </c>
      <c r="AC90">
        <v>-3.687392461875</v>
      </c>
      <c r="AD90">
        <v>-3.3899854311111102</v>
      </c>
      <c r="AE90">
        <v>0</v>
      </c>
      <c r="AF90">
        <v>-4.1522423243333302</v>
      </c>
      <c r="AG90">
        <v>-3.9014480270588199</v>
      </c>
      <c r="AH90">
        <v>0</v>
      </c>
      <c r="AI90">
        <v>-4.2276946874999899</v>
      </c>
      <c r="AJ90">
        <v>-3.6593040749999899</v>
      </c>
      <c r="AK90">
        <v>0</v>
      </c>
      <c r="AL90">
        <v>-4.08761249583333</v>
      </c>
      <c r="AM90">
        <v>-3.7663752799999899</v>
      </c>
      <c r="AN90">
        <v>0</v>
      </c>
      <c r="AO90">
        <v>-3.1959195094117598</v>
      </c>
      <c r="AP90">
        <v>-3.0809080044210502</v>
      </c>
      <c r="AQ90">
        <v>0</v>
      </c>
      <c r="AR90">
        <v>-3.3592148503749999</v>
      </c>
      <c r="AS90">
        <v>-3.17091195477777</v>
      </c>
      <c r="AT90">
        <v>0</v>
      </c>
      <c r="AU90">
        <v>-3.7373880580000001</v>
      </c>
      <c r="AV90">
        <v>-3.5670257162352899</v>
      </c>
      <c r="AW90">
        <v>0</v>
      </c>
      <c r="AX90">
        <v>-3.6676341183333299</v>
      </c>
      <c r="AY90">
        <v>-3.3597559085714201</v>
      </c>
      <c r="AZ90">
        <v>0</v>
      </c>
      <c r="BA90">
        <v>-3.6145065466666599</v>
      </c>
      <c r="BB90">
        <v>-3.3770223864285702</v>
      </c>
      <c r="BC90">
        <v>0</v>
      </c>
      <c r="BD90">
        <v>-3.6764806117647</v>
      </c>
      <c r="BE90">
        <v>-3.5380717286315702</v>
      </c>
      <c r="BF90">
        <v>0</v>
      </c>
      <c r="BG90">
        <v>-3.852910236</v>
      </c>
      <c r="BH90">
        <v>-3.5838827153333299</v>
      </c>
      <c r="BI90">
        <v>0</v>
      </c>
      <c r="BJ90">
        <v>-4.2691030477333296</v>
      </c>
      <c r="BK90">
        <v>-4.0881818111764696</v>
      </c>
      <c r="BL90">
        <v>0</v>
      </c>
      <c r="BM90">
        <v>-4.5276242674999896</v>
      </c>
      <c r="BN90">
        <v>-3.9788441402857102</v>
      </c>
      <c r="BO90">
        <v>0</v>
      </c>
      <c r="BP90">
        <v>-4.3346548675000003</v>
      </c>
      <c r="BQ90">
        <v>-4.0102948300000003</v>
      </c>
      <c r="BR90">
        <v>0</v>
      </c>
    </row>
    <row r="91" spans="1:70" x14ac:dyDescent="0.35">
      <c r="A91" t="s">
        <v>589</v>
      </c>
      <c r="B91" t="s">
        <v>587</v>
      </c>
      <c r="C91" t="s">
        <v>588</v>
      </c>
      <c r="D91">
        <v>1</v>
      </c>
      <c r="E91" t="s">
        <v>203</v>
      </c>
      <c r="F91" t="str">
        <f>INDEX([1]train_xl!$H:$H,MATCH(E91,[1]train_xl!$G:$G,0))</f>
        <v>as-as</v>
      </c>
      <c r="G91" t="str">
        <f>INDEX([1]train_xl!$I:$I,MATCH(E91,[1]train_xl!$G:$G,0))</f>
        <v>sim</v>
      </c>
      <c r="H91" t="str">
        <f>INDEX([1]train_xl!$V:$V,MATCH(E91,[1]train_xl!$G:$G,0))</f>
        <v>not</v>
      </c>
      <c r="I91" t="str">
        <f>INDEX([2]Sheet1!$L:$L,MATCH(E91,[2]Sheet1!$I:$I,0))</f>
        <v>neg</v>
      </c>
      <c r="K91">
        <v>-4.0912356303999999</v>
      </c>
      <c r="L91">
        <v>-3.6405613635294101</v>
      </c>
      <c r="M91">
        <v>1</v>
      </c>
      <c r="N91">
        <v>-4.4675950665000004</v>
      </c>
      <c r="O91">
        <v>-3.9341272173749902</v>
      </c>
      <c r="P91">
        <v>1</v>
      </c>
      <c r="Q91">
        <v>-5.1309532207692303</v>
      </c>
      <c r="R91">
        <v>-4.5020922646666603</v>
      </c>
      <c r="S91">
        <v>1</v>
      </c>
      <c r="T91">
        <v>-5.1949548999999999</v>
      </c>
      <c r="U91">
        <v>-4.4178270116666596</v>
      </c>
      <c r="V91">
        <v>1</v>
      </c>
      <c r="W91">
        <v>-5.2821920299999903</v>
      </c>
      <c r="X91">
        <v>-4.6744331458333299</v>
      </c>
      <c r="Y91">
        <v>1</v>
      </c>
      <c r="Z91">
        <v>-4.37298616333333</v>
      </c>
      <c r="AA91">
        <v>-3.8524526905882301</v>
      </c>
      <c r="AB91">
        <v>1</v>
      </c>
      <c r="AC91">
        <v>-4.6467166200000003</v>
      </c>
      <c r="AD91">
        <v>-3.9739708937499998</v>
      </c>
      <c r="AE91">
        <v>1</v>
      </c>
      <c r="AF91">
        <v>-5.1791231484615299</v>
      </c>
      <c r="AG91">
        <v>-4.5788420746666603</v>
      </c>
      <c r="AH91">
        <v>1</v>
      </c>
      <c r="AI91">
        <v>-5.5797719699999897</v>
      </c>
      <c r="AJ91">
        <v>-4.62138355</v>
      </c>
      <c r="AK91">
        <v>1</v>
      </c>
      <c r="AL91">
        <v>-5.3559805200000001</v>
      </c>
      <c r="AM91">
        <v>-4.5699973841666601</v>
      </c>
      <c r="AN91">
        <v>1</v>
      </c>
      <c r="AO91">
        <v>-4.1757611566666597</v>
      </c>
      <c r="AP91">
        <v>-3.7241032035294102</v>
      </c>
      <c r="AQ91">
        <v>1</v>
      </c>
      <c r="AR91">
        <v>-4.1893699928571397</v>
      </c>
      <c r="AS91">
        <v>-3.6216545083749998</v>
      </c>
      <c r="AT91">
        <v>1</v>
      </c>
      <c r="AU91">
        <v>-4.8430622392307603</v>
      </c>
      <c r="AV91">
        <v>-4.2087863626666602</v>
      </c>
      <c r="AW91">
        <v>1</v>
      </c>
      <c r="AX91">
        <v>-4.9513359799999996</v>
      </c>
      <c r="AY91">
        <v>-4.1950027250000002</v>
      </c>
      <c r="AZ91">
        <v>1</v>
      </c>
      <c r="BA91">
        <v>-4.8210137599999996</v>
      </c>
      <c r="BB91">
        <v>-4.2023275025000002</v>
      </c>
      <c r="BC91">
        <v>1</v>
      </c>
      <c r="BD91">
        <v>-4.3966783513333301</v>
      </c>
      <c r="BE91">
        <v>-3.8671316635294102</v>
      </c>
      <c r="BF91">
        <v>1</v>
      </c>
      <c r="BG91">
        <v>-4.6760156707142801</v>
      </c>
      <c r="BH91">
        <v>-4.0068703868749997</v>
      </c>
      <c r="BI91">
        <v>1</v>
      </c>
      <c r="BJ91">
        <v>-5.17377932807692</v>
      </c>
      <c r="BK91">
        <v>-4.4720643086666598</v>
      </c>
      <c r="BL91">
        <v>1</v>
      </c>
      <c r="BM91">
        <v>-5.5406595599999999</v>
      </c>
      <c r="BN91">
        <v>-4.6271551000000004</v>
      </c>
      <c r="BO91">
        <v>1</v>
      </c>
      <c r="BP91">
        <v>-5.3776473400000002</v>
      </c>
      <c r="BQ91">
        <v>-4.6681137016666598</v>
      </c>
      <c r="BR91">
        <v>1</v>
      </c>
    </row>
    <row r="92" spans="1:70" x14ac:dyDescent="0.35">
      <c r="A92" t="s">
        <v>590</v>
      </c>
      <c r="B92" t="s">
        <v>591</v>
      </c>
      <c r="C92" t="s">
        <v>592</v>
      </c>
      <c r="D92">
        <v>0</v>
      </c>
      <c r="E92" t="s">
        <v>204</v>
      </c>
      <c r="F92" t="str">
        <f>INDEX([1]train_xl!$H:$H,MATCH(E92,[1]train_xl!$G:$G,0))</f>
        <v>the-of</v>
      </c>
      <c r="G92" t="str">
        <f>INDEX([1]train_xl!$I:$I,MATCH(E92,[1]train_xl!$G:$G,0))</f>
        <v>sim</v>
      </c>
      <c r="H92" t="str">
        <f>INDEX([1]train_xl!$V:$V,MATCH(E92,[1]train_xl!$G:$G,0))</f>
        <v>not</v>
      </c>
      <c r="I92" t="str">
        <f>INDEX([2]Sheet1!$L:$L,MATCH(E92,[2]Sheet1!$I:$I,0))</f>
        <v>intens</v>
      </c>
      <c r="K92">
        <v>-4.0927394334999896</v>
      </c>
      <c r="L92">
        <v>-4.0419758116562496</v>
      </c>
      <c r="M92">
        <v>0</v>
      </c>
      <c r="N92">
        <v>-4.1458210572142802</v>
      </c>
      <c r="O92">
        <v>-4.1585234617333304</v>
      </c>
      <c r="P92">
        <v>1</v>
      </c>
      <c r="Q92">
        <v>-4.9141471741538396</v>
      </c>
      <c r="R92">
        <v>-4.8571984737142797</v>
      </c>
      <c r="S92">
        <v>0</v>
      </c>
      <c r="T92">
        <v>-5.2753543129999896</v>
      </c>
      <c r="U92">
        <v>-5.2252477454545403</v>
      </c>
      <c r="V92">
        <v>0</v>
      </c>
      <c r="W92">
        <v>-5.7656300399999996</v>
      </c>
      <c r="X92">
        <v>-5.5964398363636301</v>
      </c>
      <c r="Y92">
        <v>0</v>
      </c>
      <c r="Z92">
        <v>-4.2885945133333303</v>
      </c>
      <c r="AA92">
        <v>-4.2535896321250002</v>
      </c>
      <c r="AB92">
        <v>0</v>
      </c>
      <c r="AC92">
        <v>-4.29704584857142</v>
      </c>
      <c r="AD92">
        <v>-4.3581013357333296</v>
      </c>
      <c r="AE92">
        <v>1</v>
      </c>
      <c r="AF92">
        <v>-4.9679372088461502</v>
      </c>
      <c r="AG92">
        <v>-4.9051152235714204</v>
      </c>
      <c r="AH92">
        <v>0</v>
      </c>
      <c r="AI92">
        <v>-5.4427203100000003</v>
      </c>
      <c r="AJ92">
        <v>-5.3835523727272703</v>
      </c>
      <c r="AK92">
        <v>0</v>
      </c>
      <c r="AL92">
        <v>-5.7004505400000003</v>
      </c>
      <c r="AM92">
        <v>-5.5230006363636299</v>
      </c>
      <c r="AN92">
        <v>0</v>
      </c>
      <c r="AO92">
        <v>-3.88719017493333</v>
      </c>
      <c r="AP92">
        <v>-3.99894337918749</v>
      </c>
      <c r="AQ92">
        <v>1</v>
      </c>
      <c r="AR92">
        <v>-3.8972385564285701</v>
      </c>
      <c r="AS92">
        <v>-3.9866129641333301</v>
      </c>
      <c r="AT92">
        <v>1</v>
      </c>
      <c r="AU92">
        <v>-4.4857641435384599</v>
      </c>
      <c r="AV92">
        <v>-4.5356999421428501</v>
      </c>
      <c r="AW92">
        <v>1</v>
      </c>
      <c r="AX92">
        <v>-5.00513165</v>
      </c>
      <c r="AY92">
        <v>-5.0179760545454499</v>
      </c>
      <c r="AZ92">
        <v>1</v>
      </c>
      <c r="BA92">
        <v>-5.1379615300000001</v>
      </c>
      <c r="BB92">
        <v>-5.0997360909090901</v>
      </c>
      <c r="BC92">
        <v>0</v>
      </c>
      <c r="BD92">
        <v>-4.1053086184666601</v>
      </c>
      <c r="BE92">
        <v>-4.1310712622187404</v>
      </c>
      <c r="BF92">
        <v>1</v>
      </c>
      <c r="BG92">
        <v>-4.21669786928571</v>
      </c>
      <c r="BH92">
        <v>-4.2367082060000003</v>
      </c>
      <c r="BI92">
        <v>1</v>
      </c>
      <c r="BJ92">
        <v>-4.7854457815384599</v>
      </c>
      <c r="BK92">
        <v>-4.7925661757142803</v>
      </c>
      <c r="BL92">
        <v>1</v>
      </c>
      <c r="BM92">
        <v>-5.0568944299999901</v>
      </c>
      <c r="BN92">
        <v>-5.2357698636363601</v>
      </c>
      <c r="BO92">
        <v>1</v>
      </c>
      <c r="BP92">
        <v>-5.4148950600000001</v>
      </c>
      <c r="BQ92">
        <v>-5.33757698181818</v>
      </c>
      <c r="BR92">
        <v>0</v>
      </c>
    </row>
    <row r="93" spans="1:70" x14ac:dyDescent="0.35">
      <c r="A93" t="s">
        <v>593</v>
      </c>
      <c r="B93" t="s">
        <v>591</v>
      </c>
      <c r="C93" t="s">
        <v>592</v>
      </c>
      <c r="D93">
        <v>1</v>
      </c>
      <c r="E93" t="s">
        <v>205</v>
      </c>
      <c r="F93" t="str">
        <f>INDEX([1]train_xl!$H:$H,MATCH(E93,[1]train_xl!$G:$G,0))</f>
        <v>the-of</v>
      </c>
      <c r="G93" t="str">
        <f>INDEX([1]train_xl!$I:$I,MATCH(E93,[1]train_xl!$G:$G,0))</f>
        <v>sim</v>
      </c>
      <c r="H93" t="str">
        <f>INDEX([1]train_xl!$V:$V,MATCH(E93,[1]train_xl!$G:$G,0))</f>
        <v>not</v>
      </c>
      <c r="I93" t="str">
        <f>INDEX([2]Sheet1!$L:$L,MATCH(E93,[2]Sheet1!$I:$I,0))</f>
        <v>neg</v>
      </c>
      <c r="K93">
        <v>-3.90566370912941</v>
      </c>
      <c r="L93">
        <v>-3.5250545730722198</v>
      </c>
      <c r="M93">
        <v>1</v>
      </c>
      <c r="N93">
        <v>-3.9864131818562498</v>
      </c>
      <c r="O93">
        <v>-3.5596678481411699</v>
      </c>
      <c r="P93">
        <v>1</v>
      </c>
      <c r="Q93">
        <v>-4.6599085911999998</v>
      </c>
      <c r="R93">
        <v>-4.2057999890624904</v>
      </c>
      <c r="S93">
        <v>1</v>
      </c>
      <c r="T93">
        <v>-4.6992855794166601</v>
      </c>
      <c r="U93">
        <v>-4.3284840052307603</v>
      </c>
      <c r="V93">
        <v>1</v>
      </c>
      <c r="W93">
        <v>-4.8478547077499998</v>
      </c>
      <c r="X93">
        <v>-4.5334564744615298</v>
      </c>
      <c r="Y93">
        <v>1</v>
      </c>
      <c r="Z93">
        <v>-3.9491323432941101</v>
      </c>
      <c r="AA93">
        <v>-3.5613408089999998</v>
      </c>
      <c r="AB93">
        <v>1</v>
      </c>
      <c r="AC93">
        <v>-4.0491905826250001</v>
      </c>
      <c r="AD93">
        <v>-3.6232553437647002</v>
      </c>
      <c r="AE93">
        <v>1</v>
      </c>
      <c r="AF93">
        <v>-4.6879303295333301</v>
      </c>
      <c r="AG93">
        <v>-4.2695212385624997</v>
      </c>
      <c r="AH93">
        <v>1</v>
      </c>
      <c r="AI93">
        <v>-5.0811632949999996</v>
      </c>
      <c r="AJ93">
        <v>-4.36751913946153</v>
      </c>
      <c r="AK93">
        <v>1</v>
      </c>
      <c r="AL93">
        <v>-4.9601728449999998</v>
      </c>
      <c r="AM93">
        <v>-4.575937401</v>
      </c>
      <c r="AN93">
        <v>1</v>
      </c>
      <c r="AO93">
        <v>-3.7180426266</v>
      </c>
      <c r="AP93">
        <v>-3.32479189507777</v>
      </c>
      <c r="AQ93">
        <v>1</v>
      </c>
      <c r="AR93">
        <v>-3.9176352561250001</v>
      </c>
      <c r="AS93">
        <v>-3.5121510704705798</v>
      </c>
      <c r="AT93">
        <v>1</v>
      </c>
      <c r="AU93">
        <v>-4.49264573753333</v>
      </c>
      <c r="AV93">
        <v>-4.1136699148750004</v>
      </c>
      <c r="AW93">
        <v>1</v>
      </c>
      <c r="AX93">
        <v>-4.4869585153333302</v>
      </c>
      <c r="AY93">
        <v>-4.2311393523076903</v>
      </c>
      <c r="AZ93">
        <v>1</v>
      </c>
      <c r="BA93">
        <v>-4.4160788819999999</v>
      </c>
      <c r="BB93">
        <v>-4.1360221753846096</v>
      </c>
      <c r="BC93">
        <v>1</v>
      </c>
      <c r="BD93">
        <v>-3.7634462945294098</v>
      </c>
      <c r="BE93">
        <v>-3.3964007194444399</v>
      </c>
      <c r="BF93">
        <v>1</v>
      </c>
      <c r="BG93">
        <v>-3.8161208504375002</v>
      </c>
      <c r="BH93">
        <v>-3.4380049076470498</v>
      </c>
      <c r="BI93">
        <v>1</v>
      </c>
      <c r="BJ93">
        <v>-4.3790500241999997</v>
      </c>
      <c r="BK93">
        <v>-3.98268109462499</v>
      </c>
      <c r="BL93">
        <v>1</v>
      </c>
      <c r="BM93">
        <v>-4.5240677058333301</v>
      </c>
      <c r="BN93">
        <v>-4.0551457769230703</v>
      </c>
      <c r="BO93">
        <v>1</v>
      </c>
      <c r="BP93">
        <v>-4.7354590808333299</v>
      </c>
      <c r="BQ93">
        <v>-4.3446803446153801</v>
      </c>
      <c r="BR93">
        <v>1</v>
      </c>
    </row>
    <row r="94" spans="1:70" x14ac:dyDescent="0.35">
      <c r="A94" t="s">
        <v>594</v>
      </c>
      <c r="B94" t="s">
        <v>24</v>
      </c>
      <c r="C94" t="s">
        <v>25</v>
      </c>
      <c r="D94">
        <v>0</v>
      </c>
      <c r="E94" t="s">
        <v>206</v>
      </c>
      <c r="F94" t="str">
        <f>INDEX([1]train_xl!$H:$H,MATCH(E94,[1]train_xl!$G:$G,0))</f>
        <v>as-as</v>
      </c>
      <c r="G94" t="str">
        <f>INDEX([1]train_xl!$I:$I,MATCH(E94,[1]train_xl!$G:$G,0))</f>
        <v>sim</v>
      </c>
      <c r="H94" t="str">
        <f>INDEX([1]train_xl!$V:$V,MATCH(E94,[1]train_xl!$G:$G,0))</f>
        <v>not</v>
      </c>
      <c r="I94" t="str">
        <f>INDEX([2]Sheet1!$L:$L,MATCH(E94,[2]Sheet1!$I:$I,0))</f>
        <v>neg</v>
      </c>
      <c r="K94">
        <v>-3.45650050593333</v>
      </c>
      <c r="L94">
        <v>-3.8990072854285698</v>
      </c>
      <c r="M94">
        <v>1</v>
      </c>
      <c r="N94">
        <v>-3.5669314722857099</v>
      </c>
      <c r="O94">
        <v>-4.2071107346153802</v>
      </c>
      <c r="P94">
        <v>1</v>
      </c>
      <c r="Q94">
        <v>-4.3240877310769203</v>
      </c>
      <c r="R94">
        <v>-5.1161986008333296</v>
      </c>
      <c r="S94">
        <v>1</v>
      </c>
      <c r="T94">
        <v>-4.7695089917999898</v>
      </c>
      <c r="U94">
        <v>-4.8639330157777696</v>
      </c>
      <c r="V94">
        <v>1</v>
      </c>
      <c r="W94">
        <v>-5.0765511249999999</v>
      </c>
      <c r="X94">
        <v>-5.2678790555555501</v>
      </c>
      <c r="Y94">
        <v>1</v>
      </c>
      <c r="Z94">
        <v>-4.6624637530666604</v>
      </c>
      <c r="AA94">
        <v>-5.0876305102142796</v>
      </c>
      <c r="AB94">
        <v>1</v>
      </c>
      <c r="AC94">
        <v>-4.7600899885714201</v>
      </c>
      <c r="AD94">
        <v>-5.3668719303076902</v>
      </c>
      <c r="AE94">
        <v>1</v>
      </c>
      <c r="AF94">
        <v>-5.6131692046153798</v>
      </c>
      <c r="AG94">
        <v>-6.2861729333333303</v>
      </c>
      <c r="AH94">
        <v>1</v>
      </c>
      <c r="AI94">
        <v>-6.472461375</v>
      </c>
      <c r="AJ94">
        <v>-6.7235834655555502</v>
      </c>
      <c r="AK94">
        <v>1</v>
      </c>
      <c r="AL94">
        <v>-6.5882441920000003</v>
      </c>
      <c r="AM94">
        <v>-7.0788199044444404</v>
      </c>
      <c r="AN94">
        <v>1</v>
      </c>
      <c r="AO94">
        <v>-3.1991060280000001</v>
      </c>
      <c r="AP94">
        <v>-3.3399544878571401</v>
      </c>
      <c r="AQ94">
        <v>1</v>
      </c>
      <c r="AR94">
        <v>-3.16159890257142</v>
      </c>
      <c r="AS94">
        <v>-3.3444862204615302</v>
      </c>
      <c r="AT94">
        <v>1</v>
      </c>
      <c r="AU94">
        <v>-3.7226902220000002</v>
      </c>
      <c r="AV94">
        <v>-3.91096629083333</v>
      </c>
      <c r="AW94">
        <v>1</v>
      </c>
      <c r="AX94">
        <v>-4.1206170059999998</v>
      </c>
      <c r="AY94">
        <v>-4.1135359677777696</v>
      </c>
      <c r="AZ94">
        <v>0</v>
      </c>
      <c r="BA94">
        <v>-4.1843006949999904</v>
      </c>
      <c r="BB94">
        <v>-4.3026730400000002</v>
      </c>
      <c r="BC94">
        <v>1</v>
      </c>
      <c r="BD94">
        <v>-4.6688404435999997</v>
      </c>
      <c r="BE94">
        <v>-5.2143157535714204</v>
      </c>
      <c r="BF94">
        <v>1</v>
      </c>
      <c r="BG94">
        <v>-4.74355896285714</v>
      </c>
      <c r="BH94">
        <v>-5.4085176584615304</v>
      </c>
      <c r="BI94">
        <v>1</v>
      </c>
      <c r="BJ94">
        <v>-5.7243424607692202</v>
      </c>
      <c r="BK94">
        <v>-6.3636026370833303</v>
      </c>
      <c r="BL94">
        <v>1</v>
      </c>
      <c r="BM94">
        <v>-6.5376124529999897</v>
      </c>
      <c r="BN94">
        <v>-6.7438824799999999</v>
      </c>
      <c r="BO94">
        <v>1</v>
      </c>
      <c r="BP94">
        <v>-6.7781361640000002</v>
      </c>
      <c r="BQ94">
        <v>-7.2219309977777701</v>
      </c>
      <c r="BR94">
        <v>1</v>
      </c>
    </row>
    <row r="95" spans="1:70" x14ac:dyDescent="0.35">
      <c r="A95" t="s">
        <v>595</v>
      </c>
      <c r="B95" t="s">
        <v>24</v>
      </c>
      <c r="C95" t="s">
        <v>25</v>
      </c>
      <c r="D95">
        <v>1</v>
      </c>
      <c r="E95" t="s">
        <v>207</v>
      </c>
      <c r="F95" t="str">
        <f>INDEX([1]train_xl!$H:$H,MATCH(E95,[1]train_xl!$G:$G,0))</f>
        <v>as-as</v>
      </c>
      <c r="G95" t="str">
        <f>INDEX([1]train_xl!$I:$I,MATCH(E95,[1]train_xl!$G:$G,0))</f>
        <v>sim</v>
      </c>
      <c r="H95" t="str">
        <f>INDEX([1]train_xl!$V:$V,MATCH(E95,[1]train_xl!$G:$G,0))</f>
        <v>not</v>
      </c>
      <c r="I95" t="str">
        <f>INDEX([2]Sheet1!$L:$L,MATCH(E95,[2]Sheet1!$I:$I,0))</f>
        <v>intens</v>
      </c>
      <c r="K95">
        <v>-3.11353068223666</v>
      </c>
      <c r="L95">
        <v>-3.2678457138714201</v>
      </c>
      <c r="M95">
        <v>0</v>
      </c>
      <c r="N95">
        <v>-3.6899188486428498</v>
      </c>
      <c r="O95">
        <v>-3.5333139518076901</v>
      </c>
      <c r="P95">
        <v>1</v>
      </c>
      <c r="Q95">
        <v>-4.1805859297692303</v>
      </c>
      <c r="R95">
        <v>-4.3197429158333298</v>
      </c>
      <c r="S95">
        <v>0</v>
      </c>
      <c r="T95">
        <v>-4.3697798513999997</v>
      </c>
      <c r="U95">
        <v>-4.3692924366666599</v>
      </c>
      <c r="V95">
        <v>1</v>
      </c>
      <c r="W95">
        <v>-4.517122949</v>
      </c>
      <c r="X95">
        <v>-4.7656787899999902</v>
      </c>
      <c r="Y95">
        <v>0</v>
      </c>
      <c r="Z95">
        <v>-4.3813887970599996</v>
      </c>
      <c r="AA95">
        <v>-4.5218432521357101</v>
      </c>
      <c r="AB95">
        <v>0</v>
      </c>
      <c r="AC95">
        <v>-5.05197290928571</v>
      </c>
      <c r="AD95">
        <v>-4.8882911615384597</v>
      </c>
      <c r="AE95">
        <v>1</v>
      </c>
      <c r="AF95">
        <v>-5.5813645884615299</v>
      </c>
      <c r="AG95">
        <v>-5.63360645499999</v>
      </c>
      <c r="AH95">
        <v>0</v>
      </c>
      <c r="AI95">
        <v>-6.0794406560000001</v>
      </c>
      <c r="AJ95">
        <v>-6.2296111644444396</v>
      </c>
      <c r="AK95">
        <v>0</v>
      </c>
      <c r="AL95">
        <v>-6.1847793229999999</v>
      </c>
      <c r="AM95">
        <v>-6.5578276155555502</v>
      </c>
      <c r="AN95">
        <v>0</v>
      </c>
      <c r="AO95">
        <v>-2.7244778876</v>
      </c>
      <c r="AP95">
        <v>-2.73965381878571</v>
      </c>
      <c r="AQ95">
        <v>0</v>
      </c>
      <c r="AR95">
        <v>-3.0198654271428498</v>
      </c>
      <c r="AS95">
        <v>-2.77980949461538</v>
      </c>
      <c r="AT95">
        <v>1</v>
      </c>
      <c r="AU95">
        <v>-3.5425409049230701</v>
      </c>
      <c r="AV95">
        <v>-3.3813101920833302</v>
      </c>
      <c r="AW95">
        <v>1</v>
      </c>
      <c r="AX95">
        <v>-3.7781747019999998</v>
      </c>
      <c r="AY95">
        <v>-3.4426509466666602</v>
      </c>
      <c r="AZ95">
        <v>1</v>
      </c>
      <c r="BA95">
        <v>-3.8738124839999899</v>
      </c>
      <c r="BB95">
        <v>-3.9535114244444398</v>
      </c>
      <c r="BC95">
        <v>0</v>
      </c>
      <c r="BD95">
        <v>-4.4254533097933297</v>
      </c>
      <c r="BE95">
        <v>-4.5911841960714197</v>
      </c>
      <c r="BF95">
        <v>0</v>
      </c>
      <c r="BG95">
        <v>-5.2009152257142803</v>
      </c>
      <c r="BH95">
        <v>-4.99507104076923</v>
      </c>
      <c r="BI95">
        <v>1</v>
      </c>
      <c r="BJ95">
        <v>-5.7830527576922997</v>
      </c>
      <c r="BK95">
        <v>-5.5958342316666601</v>
      </c>
      <c r="BL95">
        <v>1</v>
      </c>
      <c r="BM95">
        <v>-6.2152296209999998</v>
      </c>
      <c r="BN95">
        <v>-6.3725903288888803</v>
      </c>
      <c r="BO95">
        <v>0</v>
      </c>
      <c r="BP95">
        <v>-6.350510806</v>
      </c>
      <c r="BQ95">
        <v>-6.7723311577777698</v>
      </c>
      <c r="BR95">
        <v>0</v>
      </c>
    </row>
    <row r="96" spans="1:70" x14ac:dyDescent="0.35">
      <c r="A96" t="s">
        <v>596</v>
      </c>
      <c r="B96" t="s">
        <v>26</v>
      </c>
      <c r="C96" t="s">
        <v>27</v>
      </c>
      <c r="D96">
        <v>0</v>
      </c>
      <c r="E96" t="s">
        <v>208</v>
      </c>
      <c r="F96" t="str">
        <f>INDEX([1]train_xl!$H:$H,MATCH(E96,[1]train_xl!$G:$G,0))</f>
        <v>as-as</v>
      </c>
      <c r="G96" t="str">
        <f>INDEX([1]train_xl!$I:$I,MATCH(E96,[1]train_xl!$G:$G,0))</f>
        <v>sim</v>
      </c>
      <c r="H96" t="str">
        <f>INDEX([1]train_xl!$V:$V,MATCH(E96,[1]train_xl!$G:$G,0))</f>
        <v>not</v>
      </c>
      <c r="I96" t="str">
        <f>INDEX([2]Sheet1!$L:$L,MATCH(E96,[2]Sheet1!$I:$I,0))</f>
        <v>intens</v>
      </c>
      <c r="K96">
        <v>-3.45302611073333</v>
      </c>
      <c r="L96">
        <v>-3.5680203394999901</v>
      </c>
      <c r="M96">
        <v>1</v>
      </c>
      <c r="N96">
        <v>-3.5854820762142801</v>
      </c>
      <c r="O96">
        <v>-3.75106379413333</v>
      </c>
      <c r="P96">
        <v>1</v>
      </c>
      <c r="Q96">
        <v>-4.3868207844615297</v>
      </c>
      <c r="R96">
        <v>-4.4742302790714197</v>
      </c>
      <c r="S96">
        <v>1</v>
      </c>
      <c r="T96">
        <v>-3.9442622600999901</v>
      </c>
      <c r="U96">
        <v>-3.9759814510909002</v>
      </c>
      <c r="V96">
        <v>1</v>
      </c>
      <c r="W96">
        <v>-4.3788798546000001</v>
      </c>
      <c r="X96">
        <v>-4.3254475592727202</v>
      </c>
      <c r="Y96">
        <v>0</v>
      </c>
      <c r="Z96">
        <v>-4.2757159099333304</v>
      </c>
      <c r="AA96">
        <v>-4.4141567769999996</v>
      </c>
      <c r="AB96">
        <v>1</v>
      </c>
      <c r="AC96">
        <v>-4.3489759997142796</v>
      </c>
      <c r="AD96">
        <v>-4.4964348893999997</v>
      </c>
      <c r="AE96">
        <v>1</v>
      </c>
      <c r="AF96">
        <v>-5.2773370103846098</v>
      </c>
      <c r="AG96">
        <v>-5.39083083214285</v>
      </c>
      <c r="AH96">
        <v>1</v>
      </c>
      <c r="AI96">
        <v>-5.3228128829999903</v>
      </c>
      <c r="AJ96">
        <v>-5.29171189954545</v>
      </c>
      <c r="AK96">
        <v>0</v>
      </c>
      <c r="AL96">
        <v>-5.6636969749999997</v>
      </c>
      <c r="AM96">
        <v>-5.4749244822727201</v>
      </c>
      <c r="AN96">
        <v>0</v>
      </c>
      <c r="AO96">
        <v>-2.9596939513999998</v>
      </c>
      <c r="AP96">
        <v>-3.1362343791249998</v>
      </c>
      <c r="AQ96">
        <v>1</v>
      </c>
      <c r="AR96">
        <v>-3.1453118549999899</v>
      </c>
      <c r="AS96">
        <v>-3.3506083385333301</v>
      </c>
      <c r="AT96">
        <v>1</v>
      </c>
      <c r="AU96">
        <v>-3.8226249538461499</v>
      </c>
      <c r="AV96">
        <v>-3.9403312214285702</v>
      </c>
      <c r="AW96">
        <v>1</v>
      </c>
      <c r="AX96">
        <v>-3.5211364679999901</v>
      </c>
      <c r="AY96">
        <v>-3.6290412993636298</v>
      </c>
      <c r="AZ96">
        <v>1</v>
      </c>
      <c r="BA96">
        <v>-3.83355443299999</v>
      </c>
      <c r="BB96">
        <v>-3.85369656481818</v>
      </c>
      <c r="BC96">
        <v>1</v>
      </c>
      <c r="BD96">
        <v>-4.0416712678666604</v>
      </c>
      <c r="BE96">
        <v>-4.2603246548749896</v>
      </c>
      <c r="BF96">
        <v>1</v>
      </c>
      <c r="BG96">
        <v>-4.1344610719999997</v>
      </c>
      <c r="BH96">
        <v>-4.4367850495333299</v>
      </c>
      <c r="BI96">
        <v>1</v>
      </c>
      <c r="BJ96">
        <v>-5.0785851784615303</v>
      </c>
      <c r="BK96">
        <v>-5.2832453614285697</v>
      </c>
      <c r="BL96">
        <v>1</v>
      </c>
      <c r="BM96">
        <v>-5.0696443699999998</v>
      </c>
      <c r="BN96">
        <v>-5.4181672309090896</v>
      </c>
      <c r="BO96">
        <v>1</v>
      </c>
      <c r="BP96">
        <v>-5.4952008079999901</v>
      </c>
      <c r="BQ96">
        <v>-5.3094752199999897</v>
      </c>
      <c r="BR96">
        <v>0</v>
      </c>
    </row>
    <row r="97" spans="1:70" x14ac:dyDescent="0.35">
      <c r="A97" t="s">
        <v>52</v>
      </c>
      <c r="B97" t="s">
        <v>26</v>
      </c>
      <c r="C97" t="s">
        <v>27</v>
      </c>
      <c r="D97">
        <v>1</v>
      </c>
      <c r="E97" t="s">
        <v>209</v>
      </c>
      <c r="F97" t="str">
        <f>INDEX([1]train_xl!$H:$H,MATCH(E97,[1]train_xl!$G:$G,0))</f>
        <v>as-as</v>
      </c>
      <c r="G97" t="str">
        <f>INDEX([1]train_xl!$I:$I,MATCH(E97,[1]train_xl!$G:$G,0))</f>
        <v>sim</v>
      </c>
      <c r="H97" t="str">
        <f>INDEX([1]train_xl!$V:$V,MATCH(E97,[1]train_xl!$G:$G,0))</f>
        <v>not</v>
      </c>
      <c r="I97" t="str">
        <f>INDEX([2]Sheet1!$L:$L,MATCH(E97,[2]Sheet1!$I:$I,0))</f>
        <v>neg</v>
      </c>
      <c r="K97">
        <v>-3.4689965667857101</v>
      </c>
      <c r="L97">
        <v>-3.0079488841333299</v>
      </c>
      <c r="M97">
        <v>1</v>
      </c>
      <c r="N97">
        <v>-3.7552655552307601</v>
      </c>
      <c r="O97">
        <v>-3.2426620533571402</v>
      </c>
      <c r="P97">
        <v>1</v>
      </c>
      <c r="Q97">
        <v>-4.4300699216666599</v>
      </c>
      <c r="R97">
        <v>-4.0108289055384603</v>
      </c>
      <c r="S97">
        <v>1</v>
      </c>
      <c r="T97">
        <v>-3.82761932033333</v>
      </c>
      <c r="U97">
        <v>-3.8153522693999999</v>
      </c>
      <c r="V97">
        <v>1</v>
      </c>
      <c r="W97">
        <v>-4.1420430948888898</v>
      </c>
      <c r="X97">
        <v>-4.1956440736999996</v>
      </c>
      <c r="Y97">
        <v>0</v>
      </c>
      <c r="Z97">
        <v>-4.4698858664285703</v>
      </c>
      <c r="AA97">
        <v>-3.9480700286666601</v>
      </c>
      <c r="AB97">
        <v>1</v>
      </c>
      <c r="AC97">
        <v>-4.8598876103076902</v>
      </c>
      <c r="AD97">
        <v>-4.2629715988571402</v>
      </c>
      <c r="AE97">
        <v>1</v>
      </c>
      <c r="AF97">
        <v>-5.7459849275000003</v>
      </c>
      <c r="AG97">
        <v>-5.0858057546153796</v>
      </c>
      <c r="AH97">
        <v>1</v>
      </c>
      <c r="AI97">
        <v>-5.5035735277777702</v>
      </c>
      <c r="AJ97">
        <v>-5.2698193179999997</v>
      </c>
      <c r="AK97">
        <v>1</v>
      </c>
      <c r="AL97">
        <v>-5.65978473888888</v>
      </c>
      <c r="AM97">
        <v>-5.3974089179999902</v>
      </c>
      <c r="AN97">
        <v>1</v>
      </c>
      <c r="AO97">
        <v>-3.244753915</v>
      </c>
      <c r="AP97">
        <v>-2.9236870659999998</v>
      </c>
      <c r="AQ97">
        <v>1</v>
      </c>
      <c r="AR97">
        <v>-3.3894340653846098</v>
      </c>
      <c r="AS97">
        <v>-2.8965667278571399</v>
      </c>
      <c r="AT97">
        <v>1</v>
      </c>
      <c r="AU97">
        <v>-4.16966736416666</v>
      </c>
      <c r="AV97">
        <v>-3.6828713438461498</v>
      </c>
      <c r="AW97">
        <v>1</v>
      </c>
      <c r="AX97">
        <v>-3.44447418999999</v>
      </c>
      <c r="AY97">
        <v>-3.3960077399999902</v>
      </c>
      <c r="AZ97">
        <v>1</v>
      </c>
      <c r="BA97">
        <v>-3.6731511033333302</v>
      </c>
      <c r="BB97">
        <v>-3.6142223979999999</v>
      </c>
      <c r="BC97">
        <v>1</v>
      </c>
      <c r="BD97">
        <v>-4.6007385249999997</v>
      </c>
      <c r="BE97">
        <v>-4.0458246786666603</v>
      </c>
      <c r="BF97">
        <v>1</v>
      </c>
      <c r="BG97">
        <v>-4.9760953650769197</v>
      </c>
      <c r="BH97">
        <v>-4.3394927242857104</v>
      </c>
      <c r="BI97">
        <v>1</v>
      </c>
      <c r="BJ97">
        <v>-5.7212879541666597</v>
      </c>
      <c r="BK97">
        <v>-5.0829432411538402</v>
      </c>
      <c r="BL97">
        <v>1</v>
      </c>
      <c r="BM97">
        <v>-5.5052066211111104</v>
      </c>
      <c r="BN97">
        <v>-5.3200892169999996</v>
      </c>
      <c r="BO97">
        <v>1</v>
      </c>
      <c r="BP97">
        <v>-5.8141438900000004</v>
      </c>
      <c r="BQ97">
        <v>-5.5316791439999902</v>
      </c>
      <c r="BR97">
        <v>1</v>
      </c>
    </row>
    <row r="98" spans="1:70" x14ac:dyDescent="0.35">
      <c r="A98" t="s">
        <v>597</v>
      </c>
      <c r="B98" t="s">
        <v>28</v>
      </c>
      <c r="C98" t="s">
        <v>29</v>
      </c>
      <c r="D98">
        <v>0</v>
      </c>
      <c r="E98" t="s">
        <v>210</v>
      </c>
      <c r="F98" t="str">
        <f>INDEX([1]train_xl!$H:$H,MATCH(E98,[1]train_xl!$G:$G,0))</f>
        <v>as-as</v>
      </c>
      <c r="G98" t="str">
        <f>INDEX([1]train_xl!$I:$I,MATCH(E98,[1]train_xl!$G:$G,0))</f>
        <v>sim</v>
      </c>
      <c r="H98" t="str">
        <f>INDEX([1]train_xl!$V:$V,MATCH(E98,[1]train_xl!$G:$G,0))</f>
        <v>not</v>
      </c>
      <c r="I98" t="str">
        <f>INDEX([2]Sheet1!$L:$L,MATCH(E98,[2]Sheet1!$I:$I,0))</f>
        <v>intens</v>
      </c>
      <c r="K98">
        <v>-4.2257029619133304</v>
      </c>
      <c r="L98">
        <v>-4.1249487077125</v>
      </c>
      <c r="M98">
        <v>0</v>
      </c>
      <c r="N98">
        <v>-4.4678021654285702</v>
      </c>
      <c r="O98">
        <v>-4.2859176435333302</v>
      </c>
      <c r="P98">
        <v>0</v>
      </c>
      <c r="Q98">
        <v>-5.2652979742307604</v>
      </c>
      <c r="R98">
        <v>-5.0389734852857098</v>
      </c>
      <c r="S98">
        <v>0</v>
      </c>
      <c r="T98">
        <v>-5.6029421399999997</v>
      </c>
      <c r="U98">
        <v>-5.3393336545454497</v>
      </c>
      <c r="V98">
        <v>0</v>
      </c>
      <c r="W98">
        <v>-5.8340878399999996</v>
      </c>
      <c r="X98">
        <v>-5.6390411272727201</v>
      </c>
      <c r="Y98">
        <v>0</v>
      </c>
      <c r="Z98">
        <v>-4.8375500141999996</v>
      </c>
      <c r="AA98">
        <v>-4.7177119526875</v>
      </c>
      <c r="AB98">
        <v>0</v>
      </c>
      <c r="AC98">
        <v>-5.0839951757142803</v>
      </c>
      <c r="AD98">
        <v>-4.9585014513333299</v>
      </c>
      <c r="AE98">
        <v>0</v>
      </c>
      <c r="AF98">
        <v>-5.9462020884615301</v>
      </c>
      <c r="AG98">
        <v>-5.7428687571428503</v>
      </c>
      <c r="AH98">
        <v>0</v>
      </c>
      <c r="AI98">
        <v>-6.6050843299999897</v>
      </c>
      <c r="AJ98">
        <v>-6.2294977636363598</v>
      </c>
      <c r="AK98">
        <v>0</v>
      </c>
      <c r="AL98">
        <v>-6.7416441499999999</v>
      </c>
      <c r="AM98">
        <v>-6.29527395090909</v>
      </c>
      <c r="AN98">
        <v>0</v>
      </c>
      <c r="AO98">
        <v>-4.2141513884000004</v>
      </c>
      <c r="AP98">
        <v>-4.0840354010624997</v>
      </c>
      <c r="AQ98">
        <v>0</v>
      </c>
      <c r="AR98">
        <v>-3.98796415142857</v>
      </c>
      <c r="AS98">
        <v>-3.8300955697333299</v>
      </c>
      <c r="AT98">
        <v>0</v>
      </c>
      <c r="AU98">
        <v>-4.7071445523076898</v>
      </c>
      <c r="AV98">
        <v>-4.4854000164285699</v>
      </c>
      <c r="AW98">
        <v>0</v>
      </c>
      <c r="AX98">
        <v>-5.0595801699999896</v>
      </c>
      <c r="AY98">
        <v>-4.9004159545454504</v>
      </c>
      <c r="AZ98">
        <v>0</v>
      </c>
      <c r="BA98">
        <v>-5.1206091540000003</v>
      </c>
      <c r="BB98">
        <v>-4.8547197972727201</v>
      </c>
      <c r="BC98">
        <v>0</v>
      </c>
      <c r="BD98">
        <v>-5.0505910364666597</v>
      </c>
      <c r="BE98">
        <v>-4.9568269287499902</v>
      </c>
      <c r="BF98">
        <v>0</v>
      </c>
      <c r="BG98">
        <v>-5.35586963857142</v>
      </c>
      <c r="BH98">
        <v>-5.2246455893333303</v>
      </c>
      <c r="BI98">
        <v>0</v>
      </c>
      <c r="BJ98">
        <v>-6.11283509615384</v>
      </c>
      <c r="BK98">
        <v>-5.9192127892857096</v>
      </c>
      <c r="BL98">
        <v>0</v>
      </c>
      <c r="BM98">
        <v>-6.9429441199999999</v>
      </c>
      <c r="BN98">
        <v>-6.6672015272727201</v>
      </c>
      <c r="BO98">
        <v>0</v>
      </c>
      <c r="BP98">
        <v>-7.1358786299999997</v>
      </c>
      <c r="BQ98">
        <v>-6.7503044999999897</v>
      </c>
      <c r="BR98">
        <v>0</v>
      </c>
    </row>
    <row r="99" spans="1:70" x14ac:dyDescent="0.35">
      <c r="A99" t="s">
        <v>598</v>
      </c>
      <c r="B99" t="s">
        <v>28</v>
      </c>
      <c r="C99" t="s">
        <v>29</v>
      </c>
      <c r="D99">
        <v>1</v>
      </c>
      <c r="E99" t="s">
        <v>211</v>
      </c>
      <c r="F99" t="str">
        <f>INDEX([1]train_xl!$H:$H,MATCH(E99,[1]train_xl!$G:$G,0))</f>
        <v>as-as</v>
      </c>
      <c r="G99" t="str">
        <f>INDEX([1]train_xl!$I:$I,MATCH(E99,[1]train_xl!$G:$G,0))</f>
        <v>sim</v>
      </c>
      <c r="H99" t="str">
        <f>INDEX([1]train_xl!$V:$V,MATCH(E99,[1]train_xl!$G:$G,0))</f>
        <v>not</v>
      </c>
      <c r="I99" t="str">
        <f>INDEX([2]Sheet1!$L:$L,MATCH(E99,[2]Sheet1!$I:$I,0))</f>
        <v>neg</v>
      </c>
      <c r="K99">
        <v>-4.4228177355333296</v>
      </c>
      <c r="L99">
        <v>-4.0598244364375002</v>
      </c>
      <c r="M99">
        <v>1</v>
      </c>
      <c r="N99">
        <v>-4.5798272198571404</v>
      </c>
      <c r="O99">
        <v>-4.0794644755333298</v>
      </c>
      <c r="P99">
        <v>1</v>
      </c>
      <c r="Q99">
        <v>-5.4006566400000002</v>
      </c>
      <c r="R99">
        <v>-4.8508381692857103</v>
      </c>
      <c r="S99">
        <v>1</v>
      </c>
      <c r="T99">
        <v>-5.7618994600000004</v>
      </c>
      <c r="U99">
        <v>-5.1079982218181801</v>
      </c>
      <c r="V99">
        <v>1</v>
      </c>
      <c r="W99">
        <v>-5.9795345470000001</v>
      </c>
      <c r="X99">
        <v>-5.4017295772727199</v>
      </c>
      <c r="Y99">
        <v>1</v>
      </c>
      <c r="Z99">
        <v>-4.8697519668666596</v>
      </c>
      <c r="AA99">
        <v>-4.3950182865625003</v>
      </c>
      <c r="AB99">
        <v>1</v>
      </c>
      <c r="AC99">
        <v>-4.9841543483571398</v>
      </c>
      <c r="AD99">
        <v>-4.7395450153333298</v>
      </c>
      <c r="AE99">
        <v>1</v>
      </c>
      <c r="AF99">
        <v>-5.9552146923076901</v>
      </c>
      <c r="AG99">
        <v>-5.29761954642857</v>
      </c>
      <c r="AH99">
        <v>1</v>
      </c>
      <c r="AI99">
        <v>-6.5901486770000002</v>
      </c>
      <c r="AJ99">
        <v>-5.8859682963636297</v>
      </c>
      <c r="AK99">
        <v>1</v>
      </c>
      <c r="AL99">
        <v>-6.7480570540000002</v>
      </c>
      <c r="AM99">
        <v>-6.0158563709090904</v>
      </c>
      <c r="AN99">
        <v>1</v>
      </c>
      <c r="AO99">
        <v>-4.2852733590666601</v>
      </c>
      <c r="AP99">
        <v>-4.0049878740624996</v>
      </c>
      <c r="AQ99">
        <v>1</v>
      </c>
      <c r="AR99">
        <v>-4.1215047682142796</v>
      </c>
      <c r="AS99">
        <v>-3.7816720823333299</v>
      </c>
      <c r="AT99">
        <v>1</v>
      </c>
      <c r="AU99">
        <v>-4.7244017430769203</v>
      </c>
      <c r="AV99">
        <v>-4.3751972500000003</v>
      </c>
      <c r="AW99">
        <v>1</v>
      </c>
      <c r="AX99">
        <v>-5.1031804449999996</v>
      </c>
      <c r="AY99">
        <v>-4.6653433999999896</v>
      </c>
      <c r="AZ99">
        <v>1</v>
      </c>
      <c r="BA99">
        <v>-5.1771510769999898</v>
      </c>
      <c r="BB99">
        <v>-4.7492013209090898</v>
      </c>
      <c r="BC99">
        <v>1</v>
      </c>
      <c r="BD99">
        <v>-5.0478829751999896</v>
      </c>
      <c r="BE99">
        <v>-4.5964418470624997</v>
      </c>
      <c r="BF99">
        <v>1</v>
      </c>
      <c r="BG99">
        <v>-5.2205636435714204</v>
      </c>
      <c r="BH99">
        <v>-4.6978476766666599</v>
      </c>
      <c r="BI99">
        <v>1</v>
      </c>
      <c r="BJ99">
        <v>-6.1067676915384599</v>
      </c>
      <c r="BK99">
        <v>-5.4686718835714201</v>
      </c>
      <c r="BL99">
        <v>1</v>
      </c>
      <c r="BM99">
        <v>-6.9213423399999998</v>
      </c>
      <c r="BN99">
        <v>-6.2043899318181799</v>
      </c>
      <c r="BO99">
        <v>1</v>
      </c>
      <c r="BP99">
        <v>-7.0621505249999998</v>
      </c>
      <c r="BQ99">
        <v>-6.3346226181818102</v>
      </c>
      <c r="BR99">
        <v>1</v>
      </c>
    </row>
    <row r="100" spans="1:70" x14ac:dyDescent="0.35">
      <c r="A100" t="s">
        <v>599</v>
      </c>
      <c r="B100" t="s">
        <v>30</v>
      </c>
      <c r="C100" t="s">
        <v>31</v>
      </c>
      <c r="D100">
        <v>0</v>
      </c>
      <c r="E100" t="s">
        <v>212</v>
      </c>
      <c r="F100" t="str">
        <f>INDEX([1]train_xl!$H:$H,MATCH(E100,[1]train_xl!$G:$G,0))</f>
        <v>as-as</v>
      </c>
      <c r="G100" t="str">
        <f>INDEX([1]train_xl!$I:$I,MATCH(E100,[1]train_xl!$G:$G,0))</f>
        <v>sim</v>
      </c>
      <c r="H100" t="str">
        <f>INDEX([1]train_xl!$V:$V,MATCH(E100,[1]train_xl!$G:$G,0))</f>
        <v>not</v>
      </c>
      <c r="I100" t="str">
        <f>INDEX([2]Sheet1!$L:$L,MATCH(E100,[2]Sheet1!$I:$I,0))</f>
        <v>intens</v>
      </c>
      <c r="K100">
        <v>-3.5815183084125</v>
      </c>
      <c r="L100">
        <v>-3.5860458040470502</v>
      </c>
      <c r="M100">
        <v>1</v>
      </c>
      <c r="N100">
        <v>-3.9052765384533301</v>
      </c>
      <c r="O100">
        <v>-3.9320365793749898</v>
      </c>
      <c r="P100">
        <v>1</v>
      </c>
      <c r="Q100">
        <v>-4.5618313080214197</v>
      </c>
      <c r="R100">
        <v>-4.5906399612533297</v>
      </c>
      <c r="S100">
        <v>1</v>
      </c>
      <c r="T100">
        <v>-4.0387778091636299</v>
      </c>
      <c r="U100">
        <v>-4.2590579985249999</v>
      </c>
      <c r="V100">
        <v>1</v>
      </c>
      <c r="W100">
        <v>-4.5918155109818102</v>
      </c>
      <c r="X100">
        <v>-4.7265483445249998</v>
      </c>
      <c r="Y100">
        <v>1</v>
      </c>
      <c r="Z100">
        <v>-3.6936787424687498</v>
      </c>
      <c r="AA100">
        <v>-3.8404126389411699</v>
      </c>
      <c r="AB100">
        <v>1</v>
      </c>
      <c r="AC100">
        <v>-3.9026537664666598</v>
      </c>
      <c r="AD100">
        <v>-4.0420888548124996</v>
      </c>
      <c r="AE100">
        <v>1</v>
      </c>
      <c r="AF100">
        <v>-4.50849287478571</v>
      </c>
      <c r="AG100">
        <v>-4.62302809446666</v>
      </c>
      <c r="AH100">
        <v>1</v>
      </c>
      <c r="AI100">
        <v>-4.3403724679090896</v>
      </c>
      <c r="AJ100">
        <v>-4.5363161239166603</v>
      </c>
      <c r="AK100">
        <v>1</v>
      </c>
      <c r="AL100">
        <v>-4.8027360597272697</v>
      </c>
      <c r="AM100">
        <v>-4.7851208855833303</v>
      </c>
      <c r="AN100">
        <v>0</v>
      </c>
      <c r="AO100">
        <v>-3.4189405730125002</v>
      </c>
      <c r="AP100">
        <v>-3.5102222820647002</v>
      </c>
      <c r="AQ100">
        <v>1</v>
      </c>
      <c r="AR100">
        <v>-3.6104673580400002</v>
      </c>
      <c r="AS100">
        <v>-3.7232631257</v>
      </c>
      <c r="AT100">
        <v>1</v>
      </c>
      <c r="AU100">
        <v>-4.0861498920928501</v>
      </c>
      <c r="AV100">
        <v>-4.0570932733733303</v>
      </c>
      <c r="AW100">
        <v>0</v>
      </c>
      <c r="AX100">
        <v>-3.9938878027818099</v>
      </c>
      <c r="AY100">
        <v>-4.3079682416083296</v>
      </c>
      <c r="AZ100">
        <v>1</v>
      </c>
      <c r="BA100">
        <v>-4.2322747500545397</v>
      </c>
      <c r="BB100">
        <v>-4.3240052219416603</v>
      </c>
      <c r="BC100">
        <v>1</v>
      </c>
      <c r="BD100">
        <v>-3.8443604095250001</v>
      </c>
      <c r="BE100">
        <v>-3.8735080277588199</v>
      </c>
      <c r="BF100">
        <v>1</v>
      </c>
      <c r="BG100">
        <v>-3.8355000129533301</v>
      </c>
      <c r="BH100">
        <v>-4.0478797911875004</v>
      </c>
      <c r="BI100">
        <v>1</v>
      </c>
      <c r="BJ100">
        <v>-4.3762081115142797</v>
      </c>
      <c r="BK100">
        <v>-4.6067453164466601</v>
      </c>
      <c r="BL100">
        <v>1</v>
      </c>
      <c r="BM100">
        <v>-4.3553530434090897</v>
      </c>
      <c r="BN100">
        <v>-4.5645928897916601</v>
      </c>
      <c r="BO100">
        <v>1</v>
      </c>
      <c r="BP100">
        <v>-4.9383012855636297</v>
      </c>
      <c r="BQ100">
        <v>-4.9401020950999897</v>
      </c>
      <c r="BR100">
        <v>1</v>
      </c>
    </row>
    <row r="101" spans="1:70" x14ac:dyDescent="0.35">
      <c r="A101" t="s">
        <v>600</v>
      </c>
      <c r="B101" t="s">
        <v>30</v>
      </c>
      <c r="C101" t="s">
        <v>31</v>
      </c>
      <c r="D101">
        <v>1</v>
      </c>
      <c r="E101" t="s">
        <v>213</v>
      </c>
      <c r="F101" t="str">
        <f>INDEX([1]train_xl!$H:$H,MATCH(E101,[1]train_xl!$G:$G,0))</f>
        <v>as-as</v>
      </c>
      <c r="G101" t="str">
        <f>INDEX([1]train_xl!$I:$I,MATCH(E101,[1]train_xl!$G:$G,0))</f>
        <v>sim</v>
      </c>
      <c r="H101" t="str">
        <f>INDEX([1]train_xl!$V:$V,MATCH(E101,[1]train_xl!$G:$G,0))</f>
        <v>not</v>
      </c>
      <c r="I101" t="str">
        <f>INDEX([2]Sheet1!$L:$L,MATCH(E101,[2]Sheet1!$I:$I,0))</f>
        <v>neg</v>
      </c>
      <c r="K101">
        <v>-3.7221692126428501</v>
      </c>
      <c r="L101">
        <v>-3.3725741504666602</v>
      </c>
      <c r="M101">
        <v>1</v>
      </c>
      <c r="N101">
        <v>-4.0948600169538398</v>
      </c>
      <c r="O101">
        <v>-3.6244541989285701</v>
      </c>
      <c r="P101">
        <v>1</v>
      </c>
      <c r="Q101">
        <v>-4.8435376113333302</v>
      </c>
      <c r="R101">
        <v>-4.4682782155384597</v>
      </c>
      <c r="S101">
        <v>1</v>
      </c>
      <c r="T101">
        <v>-4.4854378511111097</v>
      </c>
      <c r="U101">
        <v>-4.2316817414000001</v>
      </c>
      <c r="V101">
        <v>1</v>
      </c>
      <c r="W101">
        <v>-5.2085397826666604</v>
      </c>
      <c r="X101">
        <v>-4.9375895449999998</v>
      </c>
      <c r="Y101">
        <v>1</v>
      </c>
      <c r="Z101">
        <v>-4.5747359740000002</v>
      </c>
      <c r="AA101">
        <v>-4.2455004699999996</v>
      </c>
      <c r="AB101">
        <v>1</v>
      </c>
      <c r="AC101">
        <v>-4.9744102889230701</v>
      </c>
      <c r="AD101">
        <v>-4.4914654754285701</v>
      </c>
      <c r="AE101">
        <v>1</v>
      </c>
      <c r="AF101">
        <v>-5.6193203724999998</v>
      </c>
      <c r="AG101">
        <v>-5.2749710853846103</v>
      </c>
      <c r="AH101">
        <v>1</v>
      </c>
      <c r="AI101">
        <v>-5.6993759555555501</v>
      </c>
      <c r="AJ101">
        <v>-5.3666839799999897</v>
      </c>
      <c r="AK101">
        <v>1</v>
      </c>
      <c r="AL101">
        <v>-6.2165866066666604</v>
      </c>
      <c r="AM101">
        <v>-5.7778023549999897</v>
      </c>
      <c r="AN101">
        <v>1</v>
      </c>
      <c r="AO101">
        <v>-3.7790961104285699</v>
      </c>
      <c r="AP101">
        <v>-3.39683600066666</v>
      </c>
      <c r="AQ101">
        <v>1</v>
      </c>
      <c r="AR101">
        <v>-3.9362013792307602</v>
      </c>
      <c r="AS101">
        <v>-3.47175614214285</v>
      </c>
      <c r="AT101">
        <v>1</v>
      </c>
      <c r="AU101">
        <v>-4.53101290166666</v>
      </c>
      <c r="AV101">
        <v>-4.1368405823076904</v>
      </c>
      <c r="AW101">
        <v>1</v>
      </c>
      <c r="AX101">
        <v>-4.2129033711111097</v>
      </c>
      <c r="AY101">
        <v>-3.95881053</v>
      </c>
      <c r="AZ101">
        <v>1</v>
      </c>
      <c r="BA101">
        <v>-4.7663932288888899</v>
      </c>
      <c r="BB101">
        <v>-4.5568178269999997</v>
      </c>
      <c r="BC101">
        <v>1</v>
      </c>
      <c r="BD101">
        <v>-4.5737163777142804</v>
      </c>
      <c r="BE101">
        <v>-4.1600809205333302</v>
      </c>
      <c r="BF101">
        <v>1</v>
      </c>
      <c r="BG101">
        <v>-5.0104428353846098</v>
      </c>
      <c r="BH101">
        <v>-4.4577403442857104</v>
      </c>
      <c r="BI101">
        <v>1</v>
      </c>
      <c r="BJ101">
        <v>-5.6932845408333304</v>
      </c>
      <c r="BK101">
        <v>-5.1964438776922997</v>
      </c>
      <c r="BL101">
        <v>1</v>
      </c>
      <c r="BM101">
        <v>-5.7476212833333298</v>
      </c>
      <c r="BN101">
        <v>-5.2918718099999902</v>
      </c>
      <c r="BO101">
        <v>1</v>
      </c>
      <c r="BP101">
        <v>-6.4530485333333303</v>
      </c>
      <c r="BQ101">
        <v>-5.9403885599999997</v>
      </c>
      <c r="BR101">
        <v>1</v>
      </c>
    </row>
    <row r="102" spans="1:70" x14ac:dyDescent="0.35">
      <c r="A102" t="s">
        <v>601</v>
      </c>
      <c r="B102" t="s">
        <v>32</v>
      </c>
      <c r="C102" t="s">
        <v>33</v>
      </c>
      <c r="D102">
        <v>0</v>
      </c>
      <c r="E102" t="s">
        <v>214</v>
      </c>
      <c r="F102" t="str">
        <f>INDEX([1]train_xl!$H:$H,MATCH(E102,[1]train_xl!$G:$G,0))</f>
        <v>as-as</v>
      </c>
      <c r="G102" t="str">
        <f>INDEX([1]train_xl!$I:$I,MATCH(E102,[1]train_xl!$G:$G,0))</f>
        <v>sim</v>
      </c>
      <c r="H102" t="str">
        <f>INDEX([1]train_xl!$V:$V,MATCH(E102,[1]train_xl!$G:$G,0))</f>
        <v>not</v>
      </c>
      <c r="I102" t="str">
        <f>INDEX([2]Sheet1!$L:$L,MATCH(E102,[2]Sheet1!$I:$I,0))</f>
        <v>intens</v>
      </c>
      <c r="K102">
        <v>-3.6567167112857102</v>
      </c>
      <c r="L102">
        <v>-3.7179829766666601</v>
      </c>
      <c r="M102">
        <v>1</v>
      </c>
      <c r="N102">
        <v>-3.7723073026153799</v>
      </c>
      <c r="O102">
        <v>-3.81763812685714</v>
      </c>
      <c r="P102">
        <v>1</v>
      </c>
      <c r="Q102">
        <v>-4.77128064966666</v>
      </c>
      <c r="R102">
        <v>-4.79132325630769</v>
      </c>
      <c r="S102">
        <v>1</v>
      </c>
      <c r="T102">
        <v>-4.46407567111111</v>
      </c>
      <c r="U102">
        <v>-4.68886761</v>
      </c>
      <c r="V102">
        <v>1</v>
      </c>
      <c r="W102">
        <v>-5.2535403144444404</v>
      </c>
      <c r="X102">
        <v>-5.2261331919999998</v>
      </c>
      <c r="Y102">
        <v>0</v>
      </c>
      <c r="Z102">
        <v>-4.6523096275714204</v>
      </c>
      <c r="AA102">
        <v>-4.6709345636666599</v>
      </c>
      <c r="AB102">
        <v>1</v>
      </c>
      <c r="AC102">
        <v>-5.0120513358461496</v>
      </c>
      <c r="AD102">
        <v>-4.9693986712857097</v>
      </c>
      <c r="AE102">
        <v>0</v>
      </c>
      <c r="AF102">
        <v>-5.8609147058333297</v>
      </c>
      <c r="AG102">
        <v>-5.8598080599999998</v>
      </c>
      <c r="AH102">
        <v>0</v>
      </c>
      <c r="AI102">
        <v>-6.0160233444444398</v>
      </c>
      <c r="AJ102">
        <v>-5.9000009929999999</v>
      </c>
      <c r="AK102">
        <v>0</v>
      </c>
      <c r="AL102">
        <v>-6.5331667666666604</v>
      </c>
      <c r="AM102">
        <v>-6.2322497500000003</v>
      </c>
      <c r="AN102">
        <v>0</v>
      </c>
      <c r="AO102">
        <v>-3.2484534924999999</v>
      </c>
      <c r="AP102">
        <v>-3.3016625491333298</v>
      </c>
      <c r="AQ102">
        <v>1</v>
      </c>
      <c r="AR102">
        <v>-3.3120488661538401</v>
      </c>
      <c r="AS102">
        <v>-3.4581846182142799</v>
      </c>
      <c r="AT102">
        <v>1</v>
      </c>
      <c r="AU102">
        <v>-3.8475826583333301</v>
      </c>
      <c r="AV102">
        <v>-3.9045173484615301</v>
      </c>
      <c r="AW102">
        <v>1</v>
      </c>
      <c r="AX102">
        <v>-3.5663877444444401</v>
      </c>
      <c r="AY102">
        <v>-3.9131392900000002</v>
      </c>
      <c r="AZ102">
        <v>1</v>
      </c>
      <c r="BA102">
        <v>-4.0572139622222201</v>
      </c>
      <c r="BB102">
        <v>-4.1113635799999999</v>
      </c>
      <c r="BC102">
        <v>1</v>
      </c>
      <c r="BD102">
        <v>-4.5191235913571397</v>
      </c>
      <c r="BE102">
        <v>-4.5566217813333303</v>
      </c>
      <c r="BF102">
        <v>1</v>
      </c>
      <c r="BG102">
        <v>-4.8252221307692302</v>
      </c>
      <c r="BH102">
        <v>-4.8082682335714297</v>
      </c>
      <c r="BI102">
        <v>0</v>
      </c>
      <c r="BJ102">
        <v>-5.6404500000000004</v>
      </c>
      <c r="BK102">
        <v>-5.6454239676922997</v>
      </c>
      <c r="BL102">
        <v>1</v>
      </c>
      <c r="BM102">
        <v>-5.8044041177777697</v>
      </c>
      <c r="BN102">
        <v>-5.762846337</v>
      </c>
      <c r="BO102">
        <v>0</v>
      </c>
      <c r="BP102">
        <v>-6.3950004844444397</v>
      </c>
      <c r="BQ102">
        <v>-6.1158578659999998</v>
      </c>
      <c r="BR102">
        <v>0</v>
      </c>
    </row>
    <row r="103" spans="1:70" x14ac:dyDescent="0.35">
      <c r="A103" t="s">
        <v>602</v>
      </c>
      <c r="B103" t="s">
        <v>32</v>
      </c>
      <c r="C103" t="s">
        <v>33</v>
      </c>
      <c r="D103">
        <v>1</v>
      </c>
      <c r="E103" t="s">
        <v>215</v>
      </c>
      <c r="F103" t="str">
        <f>INDEX([1]train_xl!$H:$H,MATCH(E103,[1]train_xl!$G:$G,0))</f>
        <v>as-as</v>
      </c>
      <c r="G103" t="str">
        <f>INDEX([1]train_xl!$I:$I,MATCH(E103,[1]train_xl!$G:$G,0))</f>
        <v>sim</v>
      </c>
      <c r="H103" t="str">
        <f>INDEX([1]train_xl!$V:$V,MATCH(E103,[1]train_xl!$G:$G,0))</f>
        <v>not</v>
      </c>
      <c r="I103" t="str">
        <f>INDEX([2]Sheet1!$L:$L,MATCH(E103,[2]Sheet1!$I:$I,0))</f>
        <v>neg</v>
      </c>
      <c r="K103">
        <v>-3.81758723421428</v>
      </c>
      <c r="L103">
        <v>-3.2028080832666599</v>
      </c>
      <c r="M103">
        <v>1</v>
      </c>
      <c r="N103">
        <v>-4.0999089433538396</v>
      </c>
      <c r="O103">
        <v>-3.4341266672357098</v>
      </c>
      <c r="P103">
        <v>1</v>
      </c>
      <c r="Q103">
        <v>-4.9965270825000001</v>
      </c>
      <c r="R103">
        <v>-4.2456910721538401</v>
      </c>
      <c r="S103">
        <v>1</v>
      </c>
      <c r="T103">
        <v>-4.6207130622222197</v>
      </c>
      <c r="U103">
        <v>-4.4113576639999996</v>
      </c>
      <c r="V103">
        <v>1</v>
      </c>
      <c r="W103">
        <v>-5.15863341555555</v>
      </c>
      <c r="X103">
        <v>-4.911262367</v>
      </c>
      <c r="Y103">
        <v>1</v>
      </c>
      <c r="Z103">
        <v>-4.8396071097857103</v>
      </c>
      <c r="AA103">
        <v>-4.1525869485333304</v>
      </c>
      <c r="AB103">
        <v>1</v>
      </c>
      <c r="AC103">
        <v>-5.0845681010000003</v>
      </c>
      <c r="AD103">
        <v>-4.4075095285714196</v>
      </c>
      <c r="AE103">
        <v>1</v>
      </c>
      <c r="AF103">
        <v>-5.8531878566666604</v>
      </c>
      <c r="AG103">
        <v>-5.1101087169230697</v>
      </c>
      <c r="AH103">
        <v>1</v>
      </c>
      <c r="AI103">
        <v>-5.9145773811111102</v>
      </c>
      <c r="AJ103">
        <v>-5.6331244099999997</v>
      </c>
      <c r="AK103">
        <v>1</v>
      </c>
      <c r="AL103">
        <v>-6.2545176933333302</v>
      </c>
      <c r="AM103">
        <v>-5.7482505699999997</v>
      </c>
      <c r="AN103">
        <v>1</v>
      </c>
      <c r="AO103">
        <v>-3.2667254712142801</v>
      </c>
      <c r="AP103">
        <v>-2.9165212155999898</v>
      </c>
      <c r="AQ103">
        <v>1</v>
      </c>
      <c r="AR103">
        <v>-3.4426052692307598</v>
      </c>
      <c r="AS103">
        <v>-2.9104022078571399</v>
      </c>
      <c r="AT103">
        <v>1</v>
      </c>
      <c r="AU103">
        <v>-4.3238021599999996</v>
      </c>
      <c r="AV103">
        <v>-3.9084152138461499</v>
      </c>
      <c r="AW103">
        <v>1</v>
      </c>
      <c r="AX103">
        <v>-3.6404965366666602</v>
      </c>
      <c r="AY103">
        <v>-3.7013783469999999</v>
      </c>
      <c r="AZ103">
        <v>0</v>
      </c>
      <c r="BA103">
        <v>-4.1206465666666601</v>
      </c>
      <c r="BB103">
        <v>-4.0002848320000002</v>
      </c>
      <c r="BC103">
        <v>1</v>
      </c>
      <c r="BD103">
        <v>-4.6428434359285697</v>
      </c>
      <c r="BE103">
        <v>-4.0062273086666602</v>
      </c>
      <c r="BF103">
        <v>1</v>
      </c>
      <c r="BG103">
        <v>-4.9896200726922997</v>
      </c>
      <c r="BH103">
        <v>-4.33303533535714</v>
      </c>
      <c r="BI103">
        <v>1</v>
      </c>
      <c r="BJ103">
        <v>-5.6231187408333296</v>
      </c>
      <c r="BK103">
        <v>-4.9006199584615304</v>
      </c>
      <c r="BL103">
        <v>1</v>
      </c>
      <c r="BM103">
        <v>-5.6707043666666603</v>
      </c>
      <c r="BN103">
        <v>-5.4165176500000003</v>
      </c>
      <c r="BO103">
        <v>1</v>
      </c>
      <c r="BP103">
        <v>-6.1980317111111098</v>
      </c>
      <c r="BQ103">
        <v>-5.6552436899999998</v>
      </c>
      <c r="BR103">
        <v>1</v>
      </c>
    </row>
    <row r="104" spans="1:70" x14ac:dyDescent="0.35">
      <c r="A104" t="s">
        <v>603</v>
      </c>
      <c r="B104" t="s">
        <v>604</v>
      </c>
      <c r="C104" t="s">
        <v>605</v>
      </c>
      <c r="D104">
        <v>0</v>
      </c>
      <c r="E104" t="s">
        <v>216</v>
      </c>
      <c r="F104" t="str">
        <f>INDEX([1]train_xl!$H:$H,MATCH(E104,[1]train_xl!$G:$G,0))</f>
        <v>as-as</v>
      </c>
      <c r="G104" t="str">
        <f>INDEX([1]train_xl!$I:$I,MATCH(E104,[1]train_xl!$G:$G,0))</f>
        <v>sim</v>
      </c>
      <c r="H104" t="str">
        <f>INDEX([1]train_xl!$V:$V,MATCH(E104,[1]train_xl!$G:$G,0))</f>
        <v>not</v>
      </c>
      <c r="I104" t="str">
        <f>INDEX([2]Sheet1!$L:$L,MATCH(E104,[2]Sheet1!$I:$I,0))</f>
        <v>intens</v>
      </c>
      <c r="K104">
        <v>-3.0430874167142798</v>
      </c>
      <c r="L104">
        <v>-3.2632714322666598</v>
      </c>
      <c r="M104">
        <v>1</v>
      </c>
      <c r="N104">
        <v>-3.1223450883076902</v>
      </c>
      <c r="O104">
        <v>-3.4282651456000002</v>
      </c>
      <c r="P104">
        <v>1</v>
      </c>
      <c r="Q104">
        <v>-4.16246351166666</v>
      </c>
      <c r="R104">
        <v>-4.4546558846153799</v>
      </c>
      <c r="S104">
        <v>1</v>
      </c>
      <c r="T104">
        <v>-3.98620545333333</v>
      </c>
      <c r="U104">
        <v>-3.8888628600000001</v>
      </c>
      <c r="V104">
        <v>0</v>
      </c>
      <c r="W104">
        <v>-4.3392609244444396</v>
      </c>
      <c r="X104">
        <v>-4.1163387199999999</v>
      </c>
      <c r="Y104">
        <v>0</v>
      </c>
      <c r="Z104">
        <v>-4.9965581331428499</v>
      </c>
      <c r="AA104">
        <v>-5.05964799599999</v>
      </c>
      <c r="AB104">
        <v>1</v>
      </c>
      <c r="AC104">
        <v>-5.2741254118461498</v>
      </c>
      <c r="AD104">
        <v>-5.3575150630000001</v>
      </c>
      <c r="AE104">
        <v>1</v>
      </c>
      <c r="AF104">
        <v>-6.2905274229999897</v>
      </c>
      <c r="AG104">
        <v>-6.3395796376923004</v>
      </c>
      <c r="AH104">
        <v>1</v>
      </c>
      <c r="AI104">
        <v>-7.0189460111111099</v>
      </c>
      <c r="AJ104">
        <v>-6.6006329800000003</v>
      </c>
      <c r="AK104">
        <v>0</v>
      </c>
      <c r="AL104">
        <v>-7.2217091922222201</v>
      </c>
      <c r="AM104">
        <v>-6.7740308840000001</v>
      </c>
      <c r="AN104">
        <v>0</v>
      </c>
      <c r="AO104">
        <v>-3.0560339321428498</v>
      </c>
      <c r="AP104">
        <v>-3.2188406703999899</v>
      </c>
      <c r="AQ104">
        <v>1</v>
      </c>
      <c r="AR104">
        <v>-3.0360391791538399</v>
      </c>
      <c r="AS104">
        <v>-3.2442714843571401</v>
      </c>
      <c r="AT104">
        <v>1</v>
      </c>
      <c r="AU104">
        <v>-3.7997427846666598</v>
      </c>
      <c r="AV104">
        <v>-3.9477900976922999</v>
      </c>
      <c r="AW104">
        <v>1</v>
      </c>
      <c r="AX104">
        <v>-3.6574179333333299</v>
      </c>
      <c r="AY104">
        <v>-3.7531681840000002</v>
      </c>
      <c r="AZ104">
        <v>1</v>
      </c>
      <c r="BA104">
        <v>-3.9954961033333301</v>
      </c>
      <c r="BB104">
        <v>-3.9669684900000002</v>
      </c>
      <c r="BC104">
        <v>0</v>
      </c>
      <c r="BD104">
        <v>-5.0658383097857103</v>
      </c>
      <c r="BE104">
        <v>-5.0382528038666603</v>
      </c>
      <c r="BF104">
        <v>0</v>
      </c>
      <c r="BG104">
        <v>-5.2818800895384603</v>
      </c>
      <c r="BH104">
        <v>-5.54187132457142</v>
      </c>
      <c r="BI104">
        <v>1</v>
      </c>
      <c r="BJ104">
        <v>-6.3320831070833297</v>
      </c>
      <c r="BK104">
        <v>-6.3940681212307702</v>
      </c>
      <c r="BL104">
        <v>1</v>
      </c>
      <c r="BM104">
        <v>-6.8964015266666596</v>
      </c>
      <c r="BN104">
        <v>-6.5298484800000001</v>
      </c>
      <c r="BO104">
        <v>0</v>
      </c>
      <c r="BP104">
        <v>-7.2859061599999997</v>
      </c>
      <c r="BQ104">
        <v>-6.6985016980000003</v>
      </c>
      <c r="BR104">
        <v>0</v>
      </c>
    </row>
    <row r="105" spans="1:70" x14ac:dyDescent="0.35">
      <c r="A105" t="s">
        <v>606</v>
      </c>
      <c r="B105" t="s">
        <v>604</v>
      </c>
      <c r="C105" t="s">
        <v>605</v>
      </c>
      <c r="D105">
        <v>1</v>
      </c>
      <c r="E105" t="s">
        <v>217</v>
      </c>
      <c r="F105" t="str">
        <f>INDEX([1]train_xl!$H:$H,MATCH(E105,[1]train_xl!$G:$G,0))</f>
        <v>as-as</v>
      </c>
      <c r="G105" t="str">
        <f>INDEX([1]train_xl!$I:$I,MATCH(E105,[1]train_xl!$G:$G,0))</f>
        <v>sim</v>
      </c>
      <c r="H105" t="str">
        <f>INDEX([1]train_xl!$V:$V,MATCH(E105,[1]train_xl!$G:$G,0))</f>
        <v>not</v>
      </c>
      <c r="I105" t="str">
        <f>INDEX([2]Sheet1!$L:$L,MATCH(E105,[2]Sheet1!$I:$I,0))</f>
        <v>neg</v>
      </c>
      <c r="K105">
        <v>-3.5226922528357099</v>
      </c>
      <c r="L105">
        <v>-2.9580617983800002</v>
      </c>
      <c r="M105">
        <v>1</v>
      </c>
      <c r="N105">
        <v>-3.6021482978230699</v>
      </c>
      <c r="O105">
        <v>-3.0365498896785699</v>
      </c>
      <c r="P105">
        <v>1</v>
      </c>
      <c r="Q105">
        <v>-4.66850593725</v>
      </c>
      <c r="R105">
        <v>-3.9868558361538402</v>
      </c>
      <c r="S105">
        <v>1</v>
      </c>
      <c r="T105">
        <v>-4.19169494444444</v>
      </c>
      <c r="U105">
        <v>-3.79778492999999</v>
      </c>
      <c r="V105">
        <v>1</v>
      </c>
      <c r="W105">
        <v>-4.2992029811111099</v>
      </c>
      <c r="X105">
        <v>-4.1536790850000003</v>
      </c>
      <c r="Y105">
        <v>1</v>
      </c>
      <c r="Z105">
        <v>-5.6422233198571403</v>
      </c>
      <c r="AA105">
        <v>-4.8326192787999904</v>
      </c>
      <c r="AB105">
        <v>1</v>
      </c>
      <c r="AC105">
        <v>-5.8390764963076904</v>
      </c>
      <c r="AD105">
        <v>-5.1285424945000004</v>
      </c>
      <c r="AE105">
        <v>1</v>
      </c>
      <c r="AF105">
        <v>-6.9050349333333303</v>
      </c>
      <c r="AG105">
        <v>-6.1884175553846097</v>
      </c>
      <c r="AH105">
        <v>1</v>
      </c>
      <c r="AI105">
        <v>-7.3991990666666601</v>
      </c>
      <c r="AJ105">
        <v>-6.7457300529999999</v>
      </c>
      <c r="AK105">
        <v>1</v>
      </c>
      <c r="AL105">
        <v>-7.5983388333333304</v>
      </c>
      <c r="AM105">
        <v>-7.0614412939999998</v>
      </c>
      <c r="AN105">
        <v>1</v>
      </c>
      <c r="AO105">
        <v>-3.42832557714285</v>
      </c>
      <c r="AP105">
        <v>-3.0806241966666601</v>
      </c>
      <c r="AQ105">
        <v>1</v>
      </c>
      <c r="AR105">
        <v>-3.4936503342307601</v>
      </c>
      <c r="AS105">
        <v>-3.1165584665714201</v>
      </c>
      <c r="AT105">
        <v>1</v>
      </c>
      <c r="AU105">
        <v>-4.1029290749999996</v>
      </c>
      <c r="AV105">
        <v>-3.7882057923076902</v>
      </c>
      <c r="AW105">
        <v>1</v>
      </c>
      <c r="AX105">
        <v>-4.0884502699999903</v>
      </c>
      <c r="AY105">
        <v>-3.8834074250000001</v>
      </c>
      <c r="AZ105">
        <v>1</v>
      </c>
      <c r="BA105">
        <v>-4.1323552233333301</v>
      </c>
      <c r="BB105">
        <v>-4.056788826</v>
      </c>
      <c r="BC105">
        <v>1</v>
      </c>
      <c r="BD105">
        <v>-5.4450249947857099</v>
      </c>
      <c r="BE105">
        <v>-4.8390647311333304</v>
      </c>
      <c r="BF105">
        <v>1</v>
      </c>
      <c r="BG105">
        <v>-5.8889799166922998</v>
      </c>
      <c r="BH105">
        <v>-5.2533296654285699</v>
      </c>
      <c r="BI105">
        <v>1</v>
      </c>
      <c r="BJ105">
        <v>-6.8747481499999896</v>
      </c>
      <c r="BK105">
        <v>-6.1906927330769204</v>
      </c>
      <c r="BL105">
        <v>1</v>
      </c>
      <c r="BM105">
        <v>-7.3211821211111099</v>
      </c>
      <c r="BN105">
        <v>-6.5070705499999901</v>
      </c>
      <c r="BO105">
        <v>1</v>
      </c>
      <c r="BP105">
        <v>-7.6148153444444402</v>
      </c>
      <c r="BQ105">
        <v>-7.1320354299999904</v>
      </c>
      <c r="BR105">
        <v>1</v>
      </c>
    </row>
    <row r="106" spans="1:70" x14ac:dyDescent="0.35">
      <c r="A106" t="s">
        <v>607</v>
      </c>
      <c r="B106" t="s">
        <v>608</v>
      </c>
      <c r="C106" t="s">
        <v>609</v>
      </c>
      <c r="D106">
        <v>0</v>
      </c>
      <c r="E106" t="s">
        <v>218</v>
      </c>
      <c r="F106" t="str">
        <f>INDEX([1]train_xl!$H:$H,MATCH(E106,[1]train_xl!$G:$G,0))</f>
        <v>the-of</v>
      </c>
      <c r="G106" t="str">
        <f>INDEX([1]train_xl!$I:$I,MATCH(E106,[1]train_xl!$G:$G,0))</f>
        <v>sim</v>
      </c>
      <c r="H106" t="str">
        <f>INDEX([1]train_xl!$V:$V,MATCH(E106,[1]train_xl!$G:$G,0))</f>
        <v>not</v>
      </c>
      <c r="I106" t="str">
        <f>INDEX([2]Sheet1!$L:$L,MATCH(E106,[2]Sheet1!$I:$I,0))</f>
        <v>intens</v>
      </c>
      <c r="K106">
        <v>-3.57938710032857</v>
      </c>
      <c r="L106">
        <v>-3.6756215833533301</v>
      </c>
      <c r="M106">
        <v>1</v>
      </c>
      <c r="N106">
        <v>-3.7096759864615301</v>
      </c>
      <c r="O106">
        <v>-3.8765888762142802</v>
      </c>
      <c r="P106">
        <v>1</v>
      </c>
      <c r="Q106">
        <v>-4.6700725800000003</v>
      </c>
      <c r="R106">
        <v>-4.7380376636153798</v>
      </c>
      <c r="S106">
        <v>1</v>
      </c>
      <c r="T106">
        <v>-4.5159392333333299</v>
      </c>
      <c r="U106">
        <v>-4.738217766</v>
      </c>
      <c r="V106">
        <v>1</v>
      </c>
      <c r="W106">
        <v>-4.7675332744444399</v>
      </c>
      <c r="X106">
        <v>-4.6717320769999997</v>
      </c>
      <c r="Y106">
        <v>0</v>
      </c>
      <c r="Z106">
        <v>-4.3998674849999997</v>
      </c>
      <c r="AA106">
        <v>-4.4611089573333302</v>
      </c>
      <c r="AB106">
        <v>1</v>
      </c>
      <c r="AC106">
        <v>-4.57468453923076</v>
      </c>
      <c r="AD106">
        <v>-4.6876766271428503</v>
      </c>
      <c r="AE106">
        <v>1</v>
      </c>
      <c r="AF106">
        <v>-5.4929659658333296</v>
      </c>
      <c r="AG106">
        <v>-5.5931041792307603</v>
      </c>
      <c r="AH106">
        <v>1</v>
      </c>
      <c r="AI106">
        <v>-5.9887874333333304</v>
      </c>
      <c r="AJ106">
        <v>-6.0795344999999896</v>
      </c>
      <c r="AK106">
        <v>1</v>
      </c>
      <c r="AL106">
        <v>-6.21637504</v>
      </c>
      <c r="AM106">
        <v>-6.0255314599999901</v>
      </c>
      <c r="AN106">
        <v>0</v>
      </c>
      <c r="AO106">
        <v>-4.3293471228571399</v>
      </c>
      <c r="AP106">
        <v>-4.4553925777333303</v>
      </c>
      <c r="AQ106">
        <v>1</v>
      </c>
      <c r="AR106">
        <v>-4.5863028592307602</v>
      </c>
      <c r="AS106">
        <v>-4.7771729578571396</v>
      </c>
      <c r="AT106">
        <v>1</v>
      </c>
      <c r="AU106">
        <v>-5.4746740391666604</v>
      </c>
      <c r="AV106">
        <v>-5.5260273499999997</v>
      </c>
      <c r="AW106">
        <v>1</v>
      </c>
      <c r="AX106">
        <v>-5.6747895888888804</v>
      </c>
      <c r="AY106">
        <v>-6.1460886539999997</v>
      </c>
      <c r="AZ106">
        <v>1</v>
      </c>
      <c r="BA106">
        <v>-6.2878344811111102</v>
      </c>
      <c r="BB106">
        <v>-6.1196504999999997</v>
      </c>
      <c r="BC106">
        <v>0</v>
      </c>
      <c r="BD106">
        <v>-4.1265522174285696</v>
      </c>
      <c r="BE106">
        <v>-4.22606870666666</v>
      </c>
      <c r="BF106">
        <v>1</v>
      </c>
      <c r="BG106">
        <v>-4.3854999438461499</v>
      </c>
      <c r="BH106">
        <v>-4.5487566271428497</v>
      </c>
      <c r="BI106">
        <v>1</v>
      </c>
      <c r="BJ106">
        <v>-5.2141371983333302</v>
      </c>
      <c r="BK106">
        <v>-5.3580771030769201</v>
      </c>
      <c r="BL106">
        <v>1</v>
      </c>
      <c r="BM106">
        <v>-5.4524139399999996</v>
      </c>
      <c r="BN106">
        <v>-5.5522758300000001</v>
      </c>
      <c r="BO106">
        <v>1</v>
      </c>
      <c r="BP106">
        <v>-5.69682713333333</v>
      </c>
      <c r="BQ106">
        <v>-5.5015023339999898</v>
      </c>
      <c r="BR106">
        <v>0</v>
      </c>
    </row>
    <row r="107" spans="1:70" x14ac:dyDescent="0.35">
      <c r="A107" t="s">
        <v>610</v>
      </c>
      <c r="B107" t="s">
        <v>608</v>
      </c>
      <c r="C107" t="s">
        <v>609</v>
      </c>
      <c r="D107">
        <v>1</v>
      </c>
      <c r="E107" t="s">
        <v>219</v>
      </c>
      <c r="F107" t="str">
        <f>INDEX([1]train_xl!$H:$H,MATCH(E107,[1]train_xl!$G:$G,0))</f>
        <v>the-of</v>
      </c>
      <c r="G107" t="str">
        <f>INDEX([1]train_xl!$I:$I,MATCH(E107,[1]train_xl!$G:$G,0))</f>
        <v>sim</v>
      </c>
      <c r="H107" t="str">
        <f>INDEX([1]train_xl!$V:$V,MATCH(E107,[1]train_xl!$G:$G,0))</f>
        <v>not</v>
      </c>
      <c r="I107" t="str">
        <f>INDEX([2]Sheet1!$L:$L,MATCH(E107,[2]Sheet1!$I:$I,0))</f>
        <v>neg</v>
      </c>
      <c r="K107">
        <v>-3.7221364069642799</v>
      </c>
      <c r="L107">
        <v>-3.40134353161999</v>
      </c>
      <c r="M107">
        <v>1</v>
      </c>
      <c r="N107">
        <v>-4.1617401046923002</v>
      </c>
      <c r="O107">
        <v>-3.7250310178571402</v>
      </c>
      <c r="P107">
        <v>1</v>
      </c>
      <c r="Q107">
        <v>-4.9965275885000002</v>
      </c>
      <c r="R107">
        <v>-4.4093093349230701</v>
      </c>
      <c r="S107">
        <v>1</v>
      </c>
      <c r="T107">
        <v>-5.0960037944444396</v>
      </c>
      <c r="U107">
        <v>-4.5106066849999999</v>
      </c>
      <c r="V107">
        <v>1</v>
      </c>
      <c r="W107">
        <v>-4.8914988622222202</v>
      </c>
      <c r="X107">
        <v>-4.6756588399999996</v>
      </c>
      <c r="Y107">
        <v>1</v>
      </c>
      <c r="Z107">
        <v>-4.8597527933571403</v>
      </c>
      <c r="AA107">
        <v>-4.4256593685333296</v>
      </c>
      <c r="AB107">
        <v>1</v>
      </c>
      <c r="AC107">
        <v>-5.26956722923076</v>
      </c>
      <c r="AD107">
        <v>-4.7922801264285697</v>
      </c>
      <c r="AE107">
        <v>1</v>
      </c>
      <c r="AF107">
        <v>-6.2172342599999997</v>
      </c>
      <c r="AG107">
        <v>-5.6376331766153802</v>
      </c>
      <c r="AH107">
        <v>1</v>
      </c>
      <c r="AI107">
        <v>-6.8629004522222203</v>
      </c>
      <c r="AJ107">
        <v>-6.0649458100000002</v>
      </c>
      <c r="AK107">
        <v>1</v>
      </c>
      <c r="AL107">
        <v>-6.8747828666666599</v>
      </c>
      <c r="AM107">
        <v>-6.3856944899999997</v>
      </c>
      <c r="AN107">
        <v>1</v>
      </c>
      <c r="AO107">
        <v>-4.6607404417857099</v>
      </c>
      <c r="AP107">
        <v>-4.2895883071999998</v>
      </c>
      <c r="AQ107">
        <v>1</v>
      </c>
      <c r="AR107">
        <v>-4.9796699999999996</v>
      </c>
      <c r="AS107">
        <v>-4.4422918549999997</v>
      </c>
      <c r="AT107">
        <v>1</v>
      </c>
      <c r="AU107">
        <v>-5.8522893366666597</v>
      </c>
      <c r="AV107">
        <v>-5.3200106558461497</v>
      </c>
      <c r="AW107">
        <v>1</v>
      </c>
      <c r="AX107">
        <v>-6.4420499144444401</v>
      </c>
      <c r="AY107">
        <v>-5.6336876900000004</v>
      </c>
      <c r="AZ107">
        <v>1</v>
      </c>
      <c r="BA107">
        <v>-6.6207877222222198</v>
      </c>
      <c r="BB107">
        <v>-6.1191642660000003</v>
      </c>
      <c r="BC107">
        <v>1</v>
      </c>
      <c r="BD107">
        <v>-4.3341445612499996</v>
      </c>
      <c r="BE107">
        <v>-3.9289518543000002</v>
      </c>
      <c r="BF107">
        <v>1</v>
      </c>
      <c r="BG107">
        <v>-4.7234009953846101</v>
      </c>
      <c r="BH107">
        <v>-4.2296697871428499</v>
      </c>
      <c r="BI107">
        <v>1</v>
      </c>
      <c r="BJ107">
        <v>-5.5629894725</v>
      </c>
      <c r="BK107">
        <v>-4.9962332207692297</v>
      </c>
      <c r="BL107">
        <v>1</v>
      </c>
      <c r="BM107">
        <v>-6.0196219222222203</v>
      </c>
      <c r="BN107">
        <v>-5.6556261900000004</v>
      </c>
      <c r="BO107">
        <v>1</v>
      </c>
      <c r="BP107">
        <v>-6.4287231666666598</v>
      </c>
      <c r="BQ107">
        <v>-5.6278570299999897</v>
      </c>
      <c r="BR107">
        <v>1</v>
      </c>
    </row>
    <row r="108" spans="1:70" x14ac:dyDescent="0.35">
      <c r="A108" t="s">
        <v>611</v>
      </c>
      <c r="B108" t="s">
        <v>34</v>
      </c>
      <c r="C108" t="s">
        <v>35</v>
      </c>
      <c r="D108">
        <v>0</v>
      </c>
      <c r="E108" t="s">
        <v>220</v>
      </c>
      <c r="F108" t="str">
        <f>INDEX([1]train_xl!$H:$H,MATCH(E108,[1]train_xl!$G:$G,0))</f>
        <v>the-of</v>
      </c>
      <c r="G108" t="str">
        <f>INDEX([1]train_xl!$I:$I,MATCH(E108,[1]train_xl!$G:$G,0))</f>
        <v>sim</v>
      </c>
      <c r="H108" t="str">
        <f>INDEX([1]train_xl!$V:$V,MATCH(E108,[1]train_xl!$G:$G,0))</f>
        <v>not</v>
      </c>
      <c r="I108" t="str">
        <f>INDEX([2]Sheet1!$L:$L,MATCH(E108,[2]Sheet1!$I:$I,0))</f>
        <v>neg</v>
      </c>
      <c r="K108">
        <v>-3.4400950824999899</v>
      </c>
      <c r="L108">
        <v>-3.6165327547222201</v>
      </c>
      <c r="M108">
        <v>1</v>
      </c>
      <c r="N108">
        <v>-3.4613296042352899</v>
      </c>
      <c r="O108">
        <v>-3.6417355430588199</v>
      </c>
      <c r="P108">
        <v>1</v>
      </c>
      <c r="Q108">
        <v>-4.0979364519374997</v>
      </c>
      <c r="R108">
        <v>-4.2813457019375001</v>
      </c>
      <c r="S108">
        <v>1</v>
      </c>
      <c r="T108">
        <v>-4.2091755430769204</v>
      </c>
      <c r="U108">
        <v>-3.8368776453846101</v>
      </c>
      <c r="V108">
        <v>0</v>
      </c>
      <c r="W108">
        <v>-4.61333048923077</v>
      </c>
      <c r="X108">
        <v>-4.2699087276923002</v>
      </c>
      <c r="Y108">
        <v>0</v>
      </c>
      <c r="Z108">
        <v>-3.8357432151111102</v>
      </c>
      <c r="AA108">
        <v>-4.0207996373333303</v>
      </c>
      <c r="AB108">
        <v>1</v>
      </c>
      <c r="AC108">
        <v>-3.9158011730588198</v>
      </c>
      <c r="AD108">
        <v>-4.0385093907058804</v>
      </c>
      <c r="AE108">
        <v>1</v>
      </c>
      <c r="AF108">
        <v>-4.5178978543749899</v>
      </c>
      <c r="AG108">
        <v>-4.6385541293749899</v>
      </c>
      <c r="AH108">
        <v>1</v>
      </c>
      <c r="AI108">
        <v>-4.7429746000000002</v>
      </c>
      <c r="AJ108">
        <v>-4.6117392492307596</v>
      </c>
      <c r="AK108">
        <v>0</v>
      </c>
      <c r="AL108">
        <v>-4.9480687799999998</v>
      </c>
      <c r="AM108">
        <v>-4.7234483799999998</v>
      </c>
      <c r="AN108">
        <v>0</v>
      </c>
      <c r="AO108">
        <v>-3.2526998631666602</v>
      </c>
      <c r="AP108">
        <v>-3.4300959353888798</v>
      </c>
      <c r="AQ108">
        <v>1</v>
      </c>
      <c r="AR108">
        <v>-3.37193983794117</v>
      </c>
      <c r="AS108">
        <v>-3.4272877967647002</v>
      </c>
      <c r="AT108">
        <v>1</v>
      </c>
      <c r="AU108">
        <v>-3.7700783274999998</v>
      </c>
      <c r="AV108">
        <v>-3.8315798774999998</v>
      </c>
      <c r="AW108">
        <v>1</v>
      </c>
      <c r="AX108">
        <v>-3.7924648584615301</v>
      </c>
      <c r="AY108">
        <v>-3.7677276123076902</v>
      </c>
      <c r="AZ108">
        <v>0</v>
      </c>
      <c r="BA108">
        <v>-3.9605081661538399</v>
      </c>
      <c r="BB108">
        <v>-3.7994531584615299</v>
      </c>
      <c r="BC108">
        <v>0</v>
      </c>
      <c r="BD108">
        <v>-4.2607277427777701</v>
      </c>
      <c r="BE108">
        <v>-4.43598257561111</v>
      </c>
      <c r="BF108">
        <v>1</v>
      </c>
      <c r="BG108">
        <v>-4.2919402917646998</v>
      </c>
      <c r="BH108">
        <v>-4.4438971505882296</v>
      </c>
      <c r="BI108">
        <v>1</v>
      </c>
      <c r="BJ108">
        <v>-4.9455428866875</v>
      </c>
      <c r="BK108">
        <v>-5.0489565529374998</v>
      </c>
      <c r="BL108">
        <v>1</v>
      </c>
      <c r="BM108">
        <v>-5.0448144923076903</v>
      </c>
      <c r="BN108">
        <v>-5.1747726076923</v>
      </c>
      <c r="BO108">
        <v>1</v>
      </c>
      <c r="BP108">
        <v>-5.5205082307692299</v>
      </c>
      <c r="BQ108">
        <v>-5.31050371538461</v>
      </c>
      <c r="BR108">
        <v>0</v>
      </c>
    </row>
    <row r="109" spans="1:70" x14ac:dyDescent="0.35">
      <c r="A109" t="s">
        <v>612</v>
      </c>
      <c r="B109" t="s">
        <v>34</v>
      </c>
      <c r="C109" t="s">
        <v>35</v>
      </c>
      <c r="D109">
        <v>1</v>
      </c>
      <c r="E109" t="s">
        <v>221</v>
      </c>
      <c r="F109" t="str">
        <f>INDEX([1]train_xl!$H:$H,MATCH(E109,[1]train_xl!$G:$G,0))</f>
        <v>the-of</v>
      </c>
      <c r="G109" t="str">
        <f>INDEX([1]train_xl!$I:$I,MATCH(E109,[1]train_xl!$G:$G,0))</f>
        <v>sim</v>
      </c>
      <c r="H109" t="str">
        <f>INDEX([1]train_xl!$V:$V,MATCH(E109,[1]train_xl!$G:$G,0))</f>
        <v>not</v>
      </c>
      <c r="I109" t="str">
        <f>INDEX([2]Sheet1!$L:$L,MATCH(E109,[2]Sheet1!$I:$I,0))</f>
        <v>intens</v>
      </c>
      <c r="K109">
        <v>-3.6276378194999999</v>
      </c>
      <c r="L109">
        <v>-3.33553907172222</v>
      </c>
      <c r="M109">
        <v>1</v>
      </c>
      <c r="N109">
        <v>-3.7894031685294101</v>
      </c>
      <c r="O109">
        <v>-3.4926543861764698</v>
      </c>
      <c r="P109">
        <v>1</v>
      </c>
      <c r="Q109">
        <v>-4.4671865904374997</v>
      </c>
      <c r="R109">
        <v>-4.1755270873125001</v>
      </c>
      <c r="S109">
        <v>1</v>
      </c>
      <c r="T109">
        <v>-4.29024205846153</v>
      </c>
      <c r="U109">
        <v>-3.8586574869230699</v>
      </c>
      <c r="V109">
        <v>1</v>
      </c>
      <c r="W109">
        <v>-4.6421809015384596</v>
      </c>
      <c r="X109">
        <v>-4.1900897276922997</v>
      </c>
      <c r="Y109">
        <v>1</v>
      </c>
      <c r="Z109">
        <v>-4.0492009544444398</v>
      </c>
      <c r="AA109">
        <v>-3.7853423099999901</v>
      </c>
      <c r="AB109">
        <v>1</v>
      </c>
      <c r="AC109">
        <v>-4.1692245423529402</v>
      </c>
      <c r="AD109">
        <v>-3.9031719129411702</v>
      </c>
      <c r="AE109">
        <v>1</v>
      </c>
      <c r="AF109">
        <v>-4.7205087068749902</v>
      </c>
      <c r="AG109">
        <v>-4.4842888387499897</v>
      </c>
      <c r="AH109">
        <v>1</v>
      </c>
      <c r="AI109">
        <v>-4.9158741646153796</v>
      </c>
      <c r="AJ109">
        <v>-4.5421126146153803</v>
      </c>
      <c r="AK109">
        <v>1</v>
      </c>
      <c r="AL109">
        <v>-5.0479311646153802</v>
      </c>
      <c r="AM109">
        <v>-4.7190879261538399</v>
      </c>
      <c r="AN109">
        <v>1</v>
      </c>
      <c r="AO109">
        <v>-3.4694578066666599</v>
      </c>
      <c r="AP109">
        <v>-3.1928721066666599</v>
      </c>
      <c r="AQ109">
        <v>1</v>
      </c>
      <c r="AR109">
        <v>-3.6348907697646999</v>
      </c>
      <c r="AS109">
        <v>-3.2824251285882302</v>
      </c>
      <c r="AT109">
        <v>1</v>
      </c>
      <c r="AU109">
        <v>-4.0146759262499998</v>
      </c>
      <c r="AV109">
        <v>-3.7084553887499898</v>
      </c>
      <c r="AW109">
        <v>1</v>
      </c>
      <c r="AX109">
        <v>-4.1454626584615299</v>
      </c>
      <c r="AY109">
        <v>-3.6904456123076899</v>
      </c>
      <c r="AZ109">
        <v>1</v>
      </c>
      <c r="BA109">
        <v>-4.0871973123076897</v>
      </c>
      <c r="BB109">
        <v>-3.80442366615384</v>
      </c>
      <c r="BC109">
        <v>1</v>
      </c>
      <c r="BD109">
        <v>-4.5065920647777702</v>
      </c>
      <c r="BE109">
        <v>-4.22893343922222</v>
      </c>
      <c r="BF109">
        <v>1</v>
      </c>
      <c r="BG109">
        <v>-4.5863530951764702</v>
      </c>
      <c r="BH109">
        <v>-4.33306878929411</v>
      </c>
      <c r="BI109">
        <v>1</v>
      </c>
      <c r="BJ109">
        <v>-5.1903485876874997</v>
      </c>
      <c r="BK109">
        <v>-4.9332958439374996</v>
      </c>
      <c r="BL109">
        <v>1</v>
      </c>
      <c r="BM109">
        <v>-5.5701721807692302</v>
      </c>
      <c r="BN109">
        <v>-4.9754825307692299</v>
      </c>
      <c r="BO109">
        <v>1</v>
      </c>
      <c r="BP109">
        <v>-5.6527588307692298</v>
      </c>
      <c r="BQ109">
        <v>-5.3418021846153803</v>
      </c>
      <c r="BR109">
        <v>1</v>
      </c>
    </row>
    <row r="110" spans="1:70" x14ac:dyDescent="0.35">
      <c r="A110" t="s">
        <v>613</v>
      </c>
      <c r="B110" t="s">
        <v>614</v>
      </c>
      <c r="C110" t="s">
        <v>615</v>
      </c>
      <c r="D110">
        <v>0</v>
      </c>
      <c r="E110" t="s">
        <v>222</v>
      </c>
      <c r="F110" t="str">
        <f>INDEX([1]train_xl!$H:$H,MATCH(E110,[1]train_xl!$G:$G,0))</f>
        <v>as-as</v>
      </c>
      <c r="G110" t="str">
        <f>INDEX([1]train_xl!$I:$I,MATCH(E110,[1]train_xl!$G:$G,0))</f>
        <v>sim</v>
      </c>
      <c r="H110" t="str">
        <f>INDEX([1]train_xl!$V:$V,MATCH(E110,[1]train_xl!$G:$G,0))</f>
        <v>not</v>
      </c>
      <c r="I110" t="str">
        <f>INDEX([2]Sheet1!$L:$L,MATCH(E110,[2]Sheet1!$I:$I,0))</f>
        <v>intens</v>
      </c>
      <c r="K110">
        <v>-3.3892399413333298</v>
      </c>
      <c r="L110">
        <v>-3.3580970663124998</v>
      </c>
      <c r="M110">
        <v>0</v>
      </c>
      <c r="N110">
        <v>-3.5119473366071401</v>
      </c>
      <c r="O110">
        <v>-3.5007820700666601</v>
      </c>
      <c r="P110">
        <v>0</v>
      </c>
      <c r="Q110">
        <v>-4.4423343629999996</v>
      </c>
      <c r="R110">
        <v>-4.2679964712857101</v>
      </c>
      <c r="S110">
        <v>0</v>
      </c>
      <c r="T110">
        <v>-4.0802512010000003</v>
      </c>
      <c r="U110">
        <v>-4.0585255040909001</v>
      </c>
      <c r="V110">
        <v>0</v>
      </c>
      <c r="W110">
        <v>-4.5275887169999898</v>
      </c>
      <c r="X110">
        <v>-4.3206211849999896</v>
      </c>
      <c r="Y110">
        <v>0</v>
      </c>
      <c r="Z110">
        <v>-3.7460438496666599</v>
      </c>
      <c r="AA110">
        <v>-3.7440587947499901</v>
      </c>
      <c r="AB110">
        <v>0</v>
      </c>
      <c r="AC110">
        <v>-3.8241800621428501</v>
      </c>
      <c r="AD110">
        <v>-3.8938413446666602</v>
      </c>
      <c r="AE110">
        <v>1</v>
      </c>
      <c r="AF110">
        <v>-4.7175100369230698</v>
      </c>
      <c r="AG110">
        <v>-4.6781247157142802</v>
      </c>
      <c r="AH110">
        <v>0</v>
      </c>
      <c r="AI110">
        <v>-4.5593361779999997</v>
      </c>
      <c r="AJ110">
        <v>-4.4533008918181798</v>
      </c>
      <c r="AK110">
        <v>0</v>
      </c>
      <c r="AL110">
        <v>-4.5619159069999897</v>
      </c>
      <c r="AM110">
        <v>-4.3185881654545399</v>
      </c>
      <c r="AN110">
        <v>0</v>
      </c>
      <c r="AO110">
        <v>-3.3886180326666602</v>
      </c>
      <c r="AP110">
        <v>-3.4483132675000001</v>
      </c>
      <c r="AQ110">
        <v>1</v>
      </c>
      <c r="AR110">
        <v>-3.4582802949999998</v>
      </c>
      <c r="AS110">
        <v>-3.5604065092666599</v>
      </c>
      <c r="AT110">
        <v>1</v>
      </c>
      <c r="AU110">
        <v>-4.0656941053846101</v>
      </c>
      <c r="AV110">
        <v>-4.0752943457142798</v>
      </c>
      <c r="AW110">
        <v>1</v>
      </c>
      <c r="AX110">
        <v>-3.9953725950000001</v>
      </c>
      <c r="AY110">
        <v>-3.98383951181818</v>
      </c>
      <c r="AZ110">
        <v>0</v>
      </c>
      <c r="BA110">
        <v>-4.2262896359999997</v>
      </c>
      <c r="BB110">
        <v>-4.1502418836363599</v>
      </c>
      <c r="BC110">
        <v>0</v>
      </c>
      <c r="BD110">
        <v>-5.4336928493333296</v>
      </c>
      <c r="BE110">
        <v>-5.3858938719999898</v>
      </c>
      <c r="BF110">
        <v>0</v>
      </c>
      <c r="BG110">
        <v>-5.5496009646428499</v>
      </c>
      <c r="BH110">
        <v>-5.4898207249333302</v>
      </c>
      <c r="BI110">
        <v>0</v>
      </c>
      <c r="BJ110">
        <v>-6.5924362846153803</v>
      </c>
      <c r="BK110">
        <v>-6.3944482642857103</v>
      </c>
      <c r="BL110">
        <v>0</v>
      </c>
      <c r="BM110">
        <v>-6.9178587019999904</v>
      </c>
      <c r="BN110">
        <v>-6.5557458018181798</v>
      </c>
      <c r="BO110">
        <v>0</v>
      </c>
      <c r="BP110">
        <v>-7.0021196389999902</v>
      </c>
      <c r="BQ110">
        <v>-6.5251816327272696</v>
      </c>
      <c r="BR110">
        <v>0</v>
      </c>
    </row>
    <row r="111" spans="1:70" x14ac:dyDescent="0.35">
      <c r="A111" t="s">
        <v>616</v>
      </c>
      <c r="B111" t="s">
        <v>614</v>
      </c>
      <c r="C111" t="s">
        <v>615</v>
      </c>
      <c r="D111">
        <v>1</v>
      </c>
      <c r="E111" t="s">
        <v>223</v>
      </c>
      <c r="F111" t="str">
        <f>INDEX([1]train_xl!$H:$H,MATCH(E111,[1]train_xl!$G:$G,0))</f>
        <v>as-as</v>
      </c>
      <c r="G111" t="str">
        <f>INDEX([1]train_xl!$I:$I,MATCH(E111,[1]train_xl!$G:$G,0))</f>
        <v>sim</v>
      </c>
      <c r="H111" t="str">
        <f>INDEX([1]train_xl!$V:$V,MATCH(E111,[1]train_xl!$G:$G,0))</f>
        <v>not</v>
      </c>
      <c r="I111" t="str">
        <f>INDEX([2]Sheet1!$L:$L,MATCH(E111,[2]Sheet1!$I:$I,0))</f>
        <v>neg</v>
      </c>
      <c r="K111">
        <v>-4.0499034915714196</v>
      </c>
      <c r="L111">
        <v>-3.3878547677333302</v>
      </c>
      <c r="M111">
        <v>1</v>
      </c>
      <c r="N111">
        <v>-4.21461233576923</v>
      </c>
      <c r="O111">
        <v>-3.5549325736428501</v>
      </c>
      <c r="P111">
        <v>1</v>
      </c>
      <c r="Q111">
        <v>-5.1930336056666597</v>
      </c>
      <c r="R111">
        <v>-4.4273971996153803</v>
      </c>
      <c r="S111">
        <v>1</v>
      </c>
      <c r="T111">
        <v>-4.9065803077777703</v>
      </c>
      <c r="U111">
        <v>-4.363060183</v>
      </c>
      <c r="V111">
        <v>1</v>
      </c>
      <c r="W111">
        <v>-5.3526818111111103</v>
      </c>
      <c r="X111">
        <v>-4.8531150949999997</v>
      </c>
      <c r="Y111">
        <v>1</v>
      </c>
      <c r="Z111">
        <v>-4.1307638732857104</v>
      </c>
      <c r="AA111">
        <v>-3.5416299076</v>
      </c>
      <c r="AB111">
        <v>1</v>
      </c>
      <c r="AC111">
        <v>-4.3370775246153803</v>
      </c>
      <c r="AD111">
        <v>-3.6835769964285698</v>
      </c>
      <c r="AE111">
        <v>1</v>
      </c>
      <c r="AF111">
        <v>-4.9904287933333302</v>
      </c>
      <c r="AG111">
        <v>-4.2705807776922997</v>
      </c>
      <c r="AH111">
        <v>1</v>
      </c>
      <c r="AI111">
        <v>-4.8246255555555502</v>
      </c>
      <c r="AJ111">
        <v>-4.3500613699999997</v>
      </c>
      <c r="AK111">
        <v>1</v>
      </c>
      <c r="AL111">
        <v>-4.9702623555555503</v>
      </c>
      <c r="AM111">
        <v>-4.5604121199999996</v>
      </c>
      <c r="AN111">
        <v>1</v>
      </c>
      <c r="AO111">
        <v>-3.9190107571428499</v>
      </c>
      <c r="AP111">
        <v>-3.35046926133333</v>
      </c>
      <c r="AQ111">
        <v>1</v>
      </c>
      <c r="AR111">
        <v>-4.2250854053846103</v>
      </c>
      <c r="AS111">
        <v>-3.5588295649999999</v>
      </c>
      <c r="AT111">
        <v>1</v>
      </c>
      <c r="AU111">
        <v>-4.6437040883333296</v>
      </c>
      <c r="AV111">
        <v>-3.99151873030769</v>
      </c>
      <c r="AW111">
        <v>1</v>
      </c>
      <c r="AX111">
        <v>-4.6595924588888797</v>
      </c>
      <c r="AY111">
        <v>-4.1495015799999901</v>
      </c>
      <c r="AZ111">
        <v>1</v>
      </c>
      <c r="BA111">
        <v>-4.70931181</v>
      </c>
      <c r="BB111">
        <v>-4.306233808</v>
      </c>
      <c r="BC111">
        <v>1</v>
      </c>
      <c r="BD111">
        <v>-5.6328555557142801</v>
      </c>
      <c r="BE111">
        <v>-4.3298559975333299</v>
      </c>
      <c r="BF111">
        <v>1</v>
      </c>
      <c r="BG111">
        <v>-5.9560757135384597</v>
      </c>
      <c r="BH111">
        <v>-5.1831262850000002</v>
      </c>
      <c r="BI111">
        <v>1</v>
      </c>
      <c r="BJ111">
        <v>-6.9411061283333302</v>
      </c>
      <c r="BK111">
        <v>-5.9588007146153803</v>
      </c>
      <c r="BL111">
        <v>1</v>
      </c>
      <c r="BM111">
        <v>-7.3248852444444399</v>
      </c>
      <c r="BN111">
        <v>-6.7392727199999998</v>
      </c>
      <c r="BO111">
        <v>1</v>
      </c>
      <c r="BP111">
        <v>-7.7506490955555503</v>
      </c>
      <c r="BQ111">
        <v>-6.9826302220000001</v>
      </c>
      <c r="BR111">
        <v>1</v>
      </c>
    </row>
    <row r="112" spans="1:70" x14ac:dyDescent="0.35">
      <c r="A112" t="s">
        <v>617</v>
      </c>
      <c r="B112" t="s">
        <v>36</v>
      </c>
      <c r="C112" t="s">
        <v>37</v>
      </c>
      <c r="D112">
        <v>0</v>
      </c>
      <c r="E112" t="s">
        <v>224</v>
      </c>
      <c r="F112" t="str">
        <f>INDEX([1]train_xl!$H:$H,MATCH(E112,[1]train_xl!$G:$G,0))</f>
        <v>the-of</v>
      </c>
      <c r="G112" t="str">
        <f>INDEX([1]train_xl!$I:$I,MATCH(E112,[1]train_xl!$G:$G,0))</f>
        <v>sim</v>
      </c>
      <c r="H112" t="str">
        <f>INDEX([1]train_xl!$V:$V,MATCH(E112,[1]train_xl!$G:$G,0))</f>
        <v>not</v>
      </c>
      <c r="I112" t="str">
        <f>INDEX([2]Sheet1!$L:$L,MATCH(E112,[2]Sheet1!$I:$I,0))</f>
        <v>intens</v>
      </c>
      <c r="K112">
        <v>-4.6703950588571397</v>
      </c>
      <c r="L112">
        <v>-4.4307663526249996</v>
      </c>
      <c r="M112">
        <v>0</v>
      </c>
      <c r="N112">
        <v>-4.70433250630769</v>
      </c>
      <c r="O112">
        <v>-4.4744943254666598</v>
      </c>
      <c r="P112">
        <v>0</v>
      </c>
      <c r="Q112">
        <v>-5.7324129901666598</v>
      </c>
      <c r="R112">
        <v>-5.2265108522857098</v>
      </c>
      <c r="S112">
        <v>0</v>
      </c>
      <c r="T112">
        <v>-5.8933088444444399</v>
      </c>
      <c r="U112">
        <v>-5.3210771045454504</v>
      </c>
      <c r="V112">
        <v>0</v>
      </c>
      <c r="W112">
        <v>-6.2188352822222202</v>
      </c>
      <c r="X112">
        <v>-5.6190145090909001</v>
      </c>
      <c r="Y112">
        <v>0</v>
      </c>
      <c r="Z112">
        <v>-5.1454330090714198</v>
      </c>
      <c r="AA112">
        <v>-4.8018785371875001</v>
      </c>
      <c r="AB112">
        <v>0</v>
      </c>
      <c r="AC112">
        <v>-5.3086042572307601</v>
      </c>
      <c r="AD112">
        <v>-4.9516412062666602</v>
      </c>
      <c r="AE112">
        <v>0</v>
      </c>
      <c r="AF112">
        <v>-6.5135105933333302</v>
      </c>
      <c r="AG112">
        <v>-5.8668032400000003</v>
      </c>
      <c r="AH112">
        <v>0</v>
      </c>
      <c r="AI112">
        <v>-7.0252176000000004</v>
      </c>
      <c r="AJ112">
        <v>-6.2406277590909101</v>
      </c>
      <c r="AK112">
        <v>0</v>
      </c>
      <c r="AL112">
        <v>-7.0934694888888803</v>
      </c>
      <c r="AM112">
        <v>-6.1687486427272704</v>
      </c>
      <c r="AN112">
        <v>0</v>
      </c>
      <c r="AO112">
        <v>-3.8558468543571398</v>
      </c>
      <c r="AP112">
        <v>-3.9149052629999899</v>
      </c>
      <c r="AQ112">
        <v>1</v>
      </c>
      <c r="AR112">
        <v>-3.7898097707692302</v>
      </c>
      <c r="AS112">
        <v>-3.8044683784000002</v>
      </c>
      <c r="AT112">
        <v>1</v>
      </c>
      <c r="AU112">
        <v>-4.7898869299999998</v>
      </c>
      <c r="AV112">
        <v>-4.5646942885714203</v>
      </c>
      <c r="AW112">
        <v>0</v>
      </c>
      <c r="AX112">
        <v>-4.6739576444444397</v>
      </c>
      <c r="AY112">
        <v>-4.9571696909090903</v>
      </c>
      <c r="AZ112">
        <v>1</v>
      </c>
      <c r="BA112">
        <v>-4.9311820444444399</v>
      </c>
      <c r="BB112">
        <v>-4.5136144181818096</v>
      </c>
      <c r="BC112">
        <v>0</v>
      </c>
      <c r="BD112">
        <v>-4.9353254283571397</v>
      </c>
      <c r="BE112">
        <v>-4.6391922160624901</v>
      </c>
      <c r="BF112">
        <v>0</v>
      </c>
      <c r="BG112">
        <v>-5.0643438203076903</v>
      </c>
      <c r="BH112">
        <v>-4.7628415615999904</v>
      </c>
      <c r="BI112">
        <v>0</v>
      </c>
      <c r="BJ112">
        <v>-6.2405103461666602</v>
      </c>
      <c r="BK112">
        <v>-5.6605926609999999</v>
      </c>
      <c r="BL112">
        <v>0</v>
      </c>
      <c r="BM112">
        <v>-6.4495495666666596</v>
      </c>
      <c r="BN112">
        <v>-5.9443979999999996</v>
      </c>
      <c r="BO112">
        <v>0</v>
      </c>
      <c r="BP112">
        <v>-7.3924459888888903</v>
      </c>
      <c r="BQ112">
        <v>-5.9877449154545399</v>
      </c>
      <c r="BR112">
        <v>0</v>
      </c>
    </row>
    <row r="113" spans="1:70" x14ac:dyDescent="0.35">
      <c r="A113" t="s">
        <v>618</v>
      </c>
      <c r="B113" t="s">
        <v>36</v>
      </c>
      <c r="C113" t="s">
        <v>37</v>
      </c>
      <c r="D113">
        <v>1</v>
      </c>
      <c r="E113" t="s">
        <v>225</v>
      </c>
      <c r="F113" t="str">
        <f>INDEX([1]train_xl!$H:$H,MATCH(E113,[1]train_xl!$G:$G,0))</f>
        <v>the-of</v>
      </c>
      <c r="G113" t="str">
        <f>INDEX([1]train_xl!$I:$I,MATCH(E113,[1]train_xl!$G:$G,0))</f>
        <v>sim</v>
      </c>
      <c r="H113" t="str">
        <f>INDEX([1]train_xl!$V:$V,MATCH(E113,[1]train_xl!$G:$G,0))</f>
        <v>not</v>
      </c>
      <c r="I113" t="str">
        <f>INDEX([2]Sheet1!$L:$L,MATCH(E113,[2]Sheet1!$I:$I,0))</f>
        <v>neg</v>
      </c>
      <c r="K113">
        <v>-5.0483288128928496</v>
      </c>
      <c r="L113">
        <v>-4.3143964526499996</v>
      </c>
      <c r="M113">
        <v>1</v>
      </c>
      <c r="N113">
        <v>-5.1691996576922996</v>
      </c>
      <c r="O113">
        <v>-4.24436778033333</v>
      </c>
      <c r="P113">
        <v>1</v>
      </c>
      <c r="Q113">
        <v>-6.0731123049999898</v>
      </c>
      <c r="R113">
        <v>-5.0136308469999999</v>
      </c>
      <c r="S113">
        <v>1</v>
      </c>
      <c r="T113">
        <v>-6.3982795777777701</v>
      </c>
      <c r="U113">
        <v>-5.2501028118181798</v>
      </c>
      <c r="V113">
        <v>1</v>
      </c>
      <c r="W113">
        <v>-6.5574106333333297</v>
      </c>
      <c r="X113">
        <v>-5.6056092072727202</v>
      </c>
      <c r="Y113">
        <v>1</v>
      </c>
      <c r="Z113">
        <v>-5.4548950869999997</v>
      </c>
      <c r="AA113">
        <v>-4.6699744969374999</v>
      </c>
      <c r="AB113">
        <v>1</v>
      </c>
      <c r="AC113">
        <v>-5.5753360746153797</v>
      </c>
      <c r="AD113">
        <v>-4.6191299366666598</v>
      </c>
      <c r="AE113">
        <v>1</v>
      </c>
      <c r="AF113">
        <v>-6.5793385091666599</v>
      </c>
      <c r="AG113">
        <v>-5.5104052149999996</v>
      </c>
      <c r="AH113">
        <v>1</v>
      </c>
      <c r="AI113">
        <v>-7.1674741666666604</v>
      </c>
      <c r="AJ113">
        <v>-5.8851468309090897</v>
      </c>
      <c r="AK113">
        <v>1</v>
      </c>
      <c r="AL113">
        <v>-7.3661306444444401</v>
      </c>
      <c r="AM113">
        <v>-6.1281500318181799</v>
      </c>
      <c r="AN113">
        <v>1</v>
      </c>
      <c r="AO113">
        <v>-4.37159683285714</v>
      </c>
      <c r="AP113">
        <v>-3.5842022993749998</v>
      </c>
      <c r="AQ113">
        <v>1</v>
      </c>
      <c r="AR113">
        <v>-4.2535875206153797</v>
      </c>
      <c r="AS113">
        <v>-3.4466554707333299</v>
      </c>
      <c r="AT113">
        <v>1</v>
      </c>
      <c r="AU113">
        <v>-5.0217321579999901</v>
      </c>
      <c r="AV113">
        <v>-4.0549131457857097</v>
      </c>
      <c r="AW113">
        <v>1</v>
      </c>
      <c r="AX113">
        <v>-5.1198642555555498</v>
      </c>
      <c r="AY113">
        <v>-4.81899224545454</v>
      </c>
      <c r="AZ113">
        <v>1</v>
      </c>
      <c r="BA113">
        <v>-5.1960859444444401</v>
      </c>
      <c r="BB113">
        <v>-4.3603203154545396</v>
      </c>
      <c r="BC113">
        <v>1</v>
      </c>
      <c r="BD113">
        <v>-5.2757938777857101</v>
      </c>
      <c r="BE113">
        <v>-4.3993040308749896</v>
      </c>
      <c r="BF113">
        <v>1</v>
      </c>
      <c r="BG113">
        <v>-5.31595335723076</v>
      </c>
      <c r="BH113">
        <v>-4.3670082833333304</v>
      </c>
      <c r="BI113">
        <v>1</v>
      </c>
      <c r="BJ113">
        <v>-6.2802274483333296</v>
      </c>
      <c r="BK113">
        <v>-5.2400122532142799</v>
      </c>
      <c r="BL113">
        <v>1</v>
      </c>
      <c r="BM113">
        <v>-6.9204462333333296</v>
      </c>
      <c r="BN113">
        <v>-5.6909693909090899</v>
      </c>
      <c r="BO113">
        <v>1</v>
      </c>
      <c r="BP113">
        <v>-7.0438862777777702</v>
      </c>
      <c r="BQ113">
        <v>-5.9014023490909002</v>
      </c>
      <c r="BR113">
        <v>1</v>
      </c>
    </row>
    <row r="114" spans="1:70" x14ac:dyDescent="0.35">
      <c r="A114" t="s">
        <v>619</v>
      </c>
      <c r="B114" t="s">
        <v>620</v>
      </c>
      <c r="C114" t="s">
        <v>621</v>
      </c>
      <c r="D114">
        <v>0</v>
      </c>
      <c r="E114" t="s">
        <v>226</v>
      </c>
      <c r="F114" t="str">
        <f>INDEX([1]train_xl!$H:$H,MATCH(E114,[1]train_xl!$G:$G,0))</f>
        <v>the-of</v>
      </c>
      <c r="G114" t="str">
        <f>INDEX([1]train_xl!$I:$I,MATCH(E114,[1]train_xl!$G:$G,0))</f>
        <v>sim</v>
      </c>
      <c r="H114" t="str">
        <f>INDEX([1]train_xl!$V:$V,MATCH(E114,[1]train_xl!$G:$G,0))</f>
        <v>not</v>
      </c>
      <c r="I114" t="str">
        <f>INDEX([2]Sheet1!$L:$L,MATCH(E114,[2]Sheet1!$I:$I,0))</f>
        <v>intens</v>
      </c>
      <c r="K114">
        <v>-4.0170590606933301</v>
      </c>
      <c r="L114">
        <v>-4.0056905453312499</v>
      </c>
      <c r="M114">
        <v>0</v>
      </c>
      <c r="N114">
        <v>-3.9634638010428498</v>
      </c>
      <c r="O114">
        <v>-3.90538166804666</v>
      </c>
      <c r="P114">
        <v>0</v>
      </c>
      <c r="Q114">
        <v>-4.7075034956153798</v>
      </c>
      <c r="R114">
        <v>-4.6279801428571403</v>
      </c>
      <c r="S114">
        <v>0</v>
      </c>
      <c r="T114">
        <v>-5.0005548099999997</v>
      </c>
      <c r="U114">
        <v>-4.9443522581818096</v>
      </c>
      <c r="V114">
        <v>0</v>
      </c>
      <c r="W114">
        <v>-5.0905585299999903</v>
      </c>
      <c r="X114">
        <v>-5.02774067272727</v>
      </c>
      <c r="Y114">
        <v>0</v>
      </c>
      <c r="Z114">
        <v>-4.9072109458466597</v>
      </c>
      <c r="AA114">
        <v>-4.8678678693875002</v>
      </c>
      <c r="AB114">
        <v>0</v>
      </c>
      <c r="AC114">
        <v>-4.82381339242857</v>
      </c>
      <c r="AD114">
        <v>-4.7985754466666597</v>
      </c>
      <c r="AE114">
        <v>0</v>
      </c>
      <c r="AF114">
        <v>-5.5735322892307604</v>
      </c>
      <c r="AG114">
        <v>-5.5055854528571402</v>
      </c>
      <c r="AH114">
        <v>0</v>
      </c>
      <c r="AI114">
        <v>-6.0708709000000001</v>
      </c>
      <c r="AJ114">
        <v>-5.8722877409090897</v>
      </c>
      <c r="AK114">
        <v>0</v>
      </c>
      <c r="AL114">
        <v>-6.1727496400000001</v>
      </c>
      <c r="AM114">
        <v>-5.9557963909090903</v>
      </c>
      <c r="AN114">
        <v>0</v>
      </c>
      <c r="AO114">
        <v>-3.6523148380000001</v>
      </c>
      <c r="AP114">
        <v>-3.6767214468749998</v>
      </c>
      <c r="AQ114">
        <v>1</v>
      </c>
      <c r="AR114">
        <v>-3.6261569149999899</v>
      </c>
      <c r="AS114">
        <v>-3.6779430273333298</v>
      </c>
      <c r="AT114">
        <v>1</v>
      </c>
      <c r="AU114">
        <v>-4.27868374384615</v>
      </c>
      <c r="AV114">
        <v>-4.2705498750000004</v>
      </c>
      <c r="AW114">
        <v>0</v>
      </c>
      <c r="AX114">
        <v>-4.5326767800000001</v>
      </c>
      <c r="AY114">
        <v>-4.4265209727272703</v>
      </c>
      <c r="AZ114">
        <v>0</v>
      </c>
      <c r="BA114">
        <v>-4.57085398999999</v>
      </c>
      <c r="BB114">
        <v>-4.4645127881818096</v>
      </c>
      <c r="BC114">
        <v>0</v>
      </c>
      <c r="BD114">
        <v>-4.5872481484666601</v>
      </c>
      <c r="BE114">
        <v>-4.5673779194374999</v>
      </c>
      <c r="BF114">
        <v>0</v>
      </c>
      <c r="BG114">
        <v>-4.6319299821428501</v>
      </c>
      <c r="BH114">
        <v>-4.6587579359999998</v>
      </c>
      <c r="BI114">
        <v>1</v>
      </c>
      <c r="BJ114">
        <v>-5.27332907307692</v>
      </c>
      <c r="BK114">
        <v>-5.3073191550000001</v>
      </c>
      <c r="BL114">
        <v>1</v>
      </c>
      <c r="BM114">
        <v>-5.6350292670000002</v>
      </c>
      <c r="BN114">
        <v>-5.4688820272727199</v>
      </c>
      <c r="BO114">
        <v>0</v>
      </c>
      <c r="BP114">
        <v>-5.9372090200000001</v>
      </c>
      <c r="BQ114">
        <v>-5.7069042272727204</v>
      </c>
      <c r="BR114">
        <v>0</v>
      </c>
    </row>
    <row r="115" spans="1:70" x14ac:dyDescent="0.35">
      <c r="A115" t="s">
        <v>622</v>
      </c>
      <c r="B115" t="s">
        <v>620</v>
      </c>
      <c r="C115" t="s">
        <v>621</v>
      </c>
      <c r="D115">
        <v>1</v>
      </c>
      <c r="E115" t="s">
        <v>227</v>
      </c>
      <c r="F115" t="str">
        <f>INDEX([1]train_xl!$H:$H,MATCH(E115,[1]train_xl!$G:$G,0))</f>
        <v>the-of</v>
      </c>
      <c r="G115" t="str">
        <f>INDEX([1]train_xl!$I:$I,MATCH(E115,[1]train_xl!$G:$G,0))</f>
        <v>sim</v>
      </c>
      <c r="H115" t="str">
        <f>INDEX([1]train_xl!$V:$V,MATCH(E115,[1]train_xl!$G:$G,0))</f>
        <v>not</v>
      </c>
      <c r="I115" t="str">
        <f>INDEX([2]Sheet1!$L:$L,MATCH(E115,[2]Sheet1!$I:$I,0))</f>
        <v>neg</v>
      </c>
      <c r="K115">
        <v>-4.2669369750533299</v>
      </c>
      <c r="L115">
        <v>-3.7076274314437501</v>
      </c>
      <c r="M115">
        <v>1</v>
      </c>
      <c r="N115">
        <v>-4.2829171642142798</v>
      </c>
      <c r="O115">
        <v>-3.6554069496666601</v>
      </c>
      <c r="P115">
        <v>1</v>
      </c>
      <c r="Q115">
        <v>-4.9854267086153801</v>
      </c>
      <c r="R115">
        <v>-4.3283090795000003</v>
      </c>
      <c r="S115">
        <v>1</v>
      </c>
      <c r="T115">
        <v>-5.1110305049999996</v>
      </c>
      <c r="U115">
        <v>-4.53835098181818</v>
      </c>
      <c r="V115">
        <v>1</v>
      </c>
      <c r="W115">
        <v>-5.2206359499999904</v>
      </c>
      <c r="X115">
        <v>-4.61294210909091</v>
      </c>
      <c r="Y115">
        <v>1</v>
      </c>
      <c r="Z115">
        <v>-5.0378301564666597</v>
      </c>
      <c r="AA115">
        <v>-4.3956670864999996</v>
      </c>
      <c r="AB115">
        <v>1</v>
      </c>
      <c r="AC115">
        <v>-5.0188513085714197</v>
      </c>
      <c r="AD115">
        <v>-4.3959794966666603</v>
      </c>
      <c r="AE115">
        <v>1</v>
      </c>
      <c r="AF115">
        <v>-5.5472690092307699</v>
      </c>
      <c r="AG115">
        <v>-4.9061490657142803</v>
      </c>
      <c r="AH115">
        <v>1</v>
      </c>
      <c r="AI115">
        <v>-6.0452500799999997</v>
      </c>
      <c r="AJ115">
        <v>-5.4810172272727202</v>
      </c>
      <c r="AK115">
        <v>1</v>
      </c>
      <c r="AL115">
        <v>-6.15696449</v>
      </c>
      <c r="AM115">
        <v>-5.5709564727272696</v>
      </c>
      <c r="AN115">
        <v>1</v>
      </c>
      <c r="AO115">
        <v>-4.0322548888666603</v>
      </c>
      <c r="AP115">
        <v>-3.4745585189375001</v>
      </c>
      <c r="AQ115">
        <v>1</v>
      </c>
      <c r="AR115">
        <v>-3.9637510071428501</v>
      </c>
      <c r="AS115">
        <v>-3.4283463293333298</v>
      </c>
      <c r="AT115">
        <v>1</v>
      </c>
      <c r="AU115">
        <v>-4.6655849615384604</v>
      </c>
      <c r="AV115">
        <v>-4.1047820978571403</v>
      </c>
      <c r="AW115">
        <v>1</v>
      </c>
      <c r="AX115">
        <v>-4.6382428569999998</v>
      </c>
      <c r="AY115">
        <v>-4.2026548090908999</v>
      </c>
      <c r="AZ115">
        <v>1</v>
      </c>
      <c r="BA115">
        <v>-4.7583316729999998</v>
      </c>
      <c r="BB115">
        <v>-4.2665536545454499</v>
      </c>
      <c r="BC115">
        <v>1</v>
      </c>
      <c r="BD115">
        <v>-4.8397448929333304</v>
      </c>
      <c r="BE115">
        <v>-4.1757180850625</v>
      </c>
      <c r="BF115">
        <v>1</v>
      </c>
      <c r="BG115">
        <v>-4.83351559678571</v>
      </c>
      <c r="BH115">
        <v>-4.2036914269333296</v>
      </c>
      <c r="BI115">
        <v>1</v>
      </c>
      <c r="BJ115">
        <v>-5.3940681181538404</v>
      </c>
      <c r="BK115">
        <v>-4.7071067628571397</v>
      </c>
      <c r="BL115">
        <v>1</v>
      </c>
      <c r="BM115">
        <v>-5.7477970429999896</v>
      </c>
      <c r="BN115">
        <v>-5.1494644818181801</v>
      </c>
      <c r="BO115">
        <v>1</v>
      </c>
      <c r="BP115">
        <v>-6.0181777099999998</v>
      </c>
      <c r="BQ115">
        <v>-5.4123488727272697</v>
      </c>
      <c r="BR115">
        <v>1</v>
      </c>
    </row>
    <row r="116" spans="1:70" x14ac:dyDescent="0.35">
      <c r="A116" t="s">
        <v>623</v>
      </c>
      <c r="B116" t="s">
        <v>624</v>
      </c>
      <c r="C116" t="s">
        <v>625</v>
      </c>
      <c r="D116">
        <v>0</v>
      </c>
      <c r="E116" t="s">
        <v>228</v>
      </c>
      <c r="F116" t="str">
        <f>INDEX([1]train_xl!$H:$H,MATCH(E116,[1]train_xl!$G:$G,0))</f>
        <v>as-as</v>
      </c>
      <c r="G116" t="str">
        <f>INDEX([1]train_xl!$I:$I,MATCH(E116,[1]train_xl!$G:$G,0))</f>
        <v>sim</v>
      </c>
      <c r="H116" t="str">
        <f>INDEX([1]train_xl!$V:$V,MATCH(E116,[1]train_xl!$G:$G,0))</f>
        <v>not</v>
      </c>
      <c r="I116" t="str">
        <f>INDEX([2]Sheet1!$L:$L,MATCH(E116,[2]Sheet1!$I:$I,0))</f>
        <v>intens</v>
      </c>
      <c r="K116">
        <v>-3.6507157521571401</v>
      </c>
      <c r="L116">
        <v>-3.9950853352000002</v>
      </c>
      <c r="M116">
        <v>1</v>
      </c>
      <c r="N116">
        <v>-3.7823152263846098</v>
      </c>
      <c r="O116">
        <v>-4.1626279842857103</v>
      </c>
      <c r="P116">
        <v>1</v>
      </c>
      <c r="Q116">
        <v>-4.6562049391666598</v>
      </c>
      <c r="R116">
        <v>-4.9370916095384603</v>
      </c>
      <c r="S116">
        <v>1</v>
      </c>
      <c r="T116">
        <v>-5.08637298888888</v>
      </c>
      <c r="U116">
        <v>-4.9115612559999997</v>
      </c>
      <c r="V116">
        <v>0</v>
      </c>
      <c r="W116">
        <v>-5.5906283811111104</v>
      </c>
      <c r="X116">
        <v>-5.1656044579999998</v>
      </c>
      <c r="Y116">
        <v>0</v>
      </c>
      <c r="Z116">
        <v>-3.9861975404285701</v>
      </c>
      <c r="AA116">
        <v>-4.1793564358399999</v>
      </c>
      <c r="AB116">
        <v>1</v>
      </c>
      <c r="AC116">
        <v>-4.0988800276923003</v>
      </c>
      <c r="AD116">
        <v>-4.2841233208571401</v>
      </c>
      <c r="AE116">
        <v>1</v>
      </c>
      <c r="AF116">
        <v>-5.0212222191666598</v>
      </c>
      <c r="AG116">
        <v>-5.08716220692307</v>
      </c>
      <c r="AH116">
        <v>1</v>
      </c>
      <c r="AI116">
        <v>-5.6114323844444396</v>
      </c>
      <c r="AJ116">
        <v>-5.3835299399999998</v>
      </c>
      <c r="AK116">
        <v>0</v>
      </c>
      <c r="AL116">
        <v>-5.7857675999999998</v>
      </c>
      <c r="AM116">
        <v>-5.3834824000000001</v>
      </c>
      <c r="AN116">
        <v>0</v>
      </c>
      <c r="AO116">
        <v>-3.5757058154785701</v>
      </c>
      <c r="AP116">
        <v>-3.8480783554466602</v>
      </c>
      <c r="AQ116">
        <v>1</v>
      </c>
      <c r="AR116">
        <v>-3.5020131107692301</v>
      </c>
      <c r="AS116">
        <v>-3.81395941014285</v>
      </c>
      <c r="AT116">
        <v>1</v>
      </c>
      <c r="AU116">
        <v>-4.1110855661666603</v>
      </c>
      <c r="AV116">
        <v>-4.1554729430769202</v>
      </c>
      <c r="AW116">
        <v>1</v>
      </c>
      <c r="AX116">
        <v>-4.3112477955555502</v>
      </c>
      <c r="AY116">
        <v>-4.295439505</v>
      </c>
      <c r="AZ116">
        <v>0</v>
      </c>
      <c r="BA116">
        <v>-4.6750681388888804</v>
      </c>
      <c r="BB116">
        <v>-4.4478056019999999</v>
      </c>
      <c r="BC116">
        <v>0</v>
      </c>
      <c r="BD116">
        <v>-4.0295731099785703</v>
      </c>
      <c r="BE116">
        <v>-4.1701839583066604</v>
      </c>
      <c r="BF116">
        <v>1</v>
      </c>
      <c r="BG116">
        <v>-4.24160730338461</v>
      </c>
      <c r="BH116">
        <v>-4.4163776842142797</v>
      </c>
      <c r="BI116">
        <v>1</v>
      </c>
      <c r="BJ116">
        <v>-5.0389415424999999</v>
      </c>
      <c r="BK116">
        <v>-5.1352636126922997</v>
      </c>
      <c r="BL116">
        <v>1</v>
      </c>
      <c r="BM116">
        <v>-5.7333048</v>
      </c>
      <c r="BN116">
        <v>-5.4941640500000002</v>
      </c>
      <c r="BO116">
        <v>0</v>
      </c>
      <c r="BP116">
        <v>-6.1801577888888897</v>
      </c>
      <c r="BQ116">
        <v>-5.7115377199999999</v>
      </c>
      <c r="BR116">
        <v>0</v>
      </c>
    </row>
    <row r="117" spans="1:70" x14ac:dyDescent="0.35">
      <c r="A117" t="s">
        <v>626</v>
      </c>
      <c r="B117" t="s">
        <v>624</v>
      </c>
      <c r="C117" t="s">
        <v>625</v>
      </c>
      <c r="D117">
        <v>1</v>
      </c>
      <c r="E117" t="s">
        <v>229</v>
      </c>
      <c r="F117" t="str">
        <f>INDEX([1]train_xl!$H:$H,MATCH(E117,[1]train_xl!$G:$G,0))</f>
        <v>as-as</v>
      </c>
      <c r="G117" t="str">
        <f>INDEX([1]train_xl!$I:$I,MATCH(E117,[1]train_xl!$G:$G,0))</f>
        <v>sim</v>
      </c>
      <c r="H117" t="str">
        <f>INDEX([1]train_xl!$V:$V,MATCH(E117,[1]train_xl!$G:$G,0))</f>
        <v>not</v>
      </c>
      <c r="I117" t="str">
        <f>INDEX([2]Sheet1!$L:$L,MATCH(E117,[2]Sheet1!$I:$I,0))</f>
        <v>neg</v>
      </c>
      <c r="K117">
        <v>-4.0448111289571402</v>
      </c>
      <c r="L117">
        <v>-3.59805123728666</v>
      </c>
      <c r="M117">
        <v>1</v>
      </c>
      <c r="N117">
        <v>-4.2998228736922997</v>
      </c>
      <c r="O117">
        <v>-3.9213865925357099</v>
      </c>
      <c r="P117">
        <v>1</v>
      </c>
      <c r="Q117">
        <v>-5.1814677374999896</v>
      </c>
      <c r="R117">
        <v>-4.6255560723846099</v>
      </c>
      <c r="S117">
        <v>1</v>
      </c>
      <c r="T117">
        <v>-4.7654423777777701</v>
      </c>
      <c r="U117">
        <v>-4.7446606249999999</v>
      </c>
      <c r="V117">
        <v>1</v>
      </c>
      <c r="W117">
        <v>-5.3647120399999997</v>
      </c>
      <c r="X117">
        <v>-5.2504072619999897</v>
      </c>
      <c r="Y117">
        <v>1</v>
      </c>
      <c r="Z117">
        <v>-4.4027417658571402</v>
      </c>
      <c r="AA117">
        <v>-3.8801818082933299</v>
      </c>
      <c r="AB117">
        <v>1</v>
      </c>
      <c r="AC117">
        <v>-4.4868288763076896</v>
      </c>
      <c r="AD117">
        <v>-4.1211016987142797</v>
      </c>
      <c r="AE117">
        <v>1</v>
      </c>
      <c r="AF117">
        <v>-5.3998174758333297</v>
      </c>
      <c r="AG117">
        <v>-4.8243056984615302</v>
      </c>
      <c r="AH117">
        <v>1</v>
      </c>
      <c r="AI117">
        <v>-5.3756940666666599</v>
      </c>
      <c r="AJ117">
        <v>-5.1300591099999897</v>
      </c>
      <c r="AK117">
        <v>1</v>
      </c>
      <c r="AL117">
        <v>-5.4866031822222201</v>
      </c>
      <c r="AM117">
        <v>-5.2772814829999897</v>
      </c>
      <c r="AN117">
        <v>1</v>
      </c>
      <c r="AO117">
        <v>-3.69811571792857</v>
      </c>
      <c r="AP117">
        <v>-3.56896582959999</v>
      </c>
      <c r="AQ117">
        <v>1</v>
      </c>
      <c r="AR117">
        <v>-3.7570681161538402</v>
      </c>
      <c r="AS117">
        <v>-3.6119062866428502</v>
      </c>
      <c r="AT117">
        <v>1</v>
      </c>
      <c r="AU117">
        <v>-4.3372882558333297</v>
      </c>
      <c r="AV117">
        <v>-4.0059059069230702</v>
      </c>
      <c r="AW117">
        <v>1</v>
      </c>
      <c r="AX117">
        <v>-4.1229762811111099</v>
      </c>
      <c r="AY117">
        <v>-3.93202594299999</v>
      </c>
      <c r="AZ117">
        <v>1</v>
      </c>
      <c r="BA117">
        <v>-4.2957861555555503</v>
      </c>
      <c r="BB117">
        <v>-4.1883859959999903</v>
      </c>
      <c r="BC117">
        <v>1</v>
      </c>
      <c r="BD117">
        <v>-4.41438575925</v>
      </c>
      <c r="BE117">
        <v>-3.9843930412200002</v>
      </c>
      <c r="BF117">
        <v>1</v>
      </c>
      <c r="BG117">
        <v>-4.7150502430769201</v>
      </c>
      <c r="BH117">
        <v>-4.3242199183571399</v>
      </c>
      <c r="BI117">
        <v>1</v>
      </c>
      <c r="BJ117">
        <v>-5.4917341587499999</v>
      </c>
      <c r="BK117">
        <v>-4.9568196869230698</v>
      </c>
      <c r="BL117">
        <v>1</v>
      </c>
      <c r="BM117">
        <v>-5.5530297288888804</v>
      </c>
      <c r="BN117">
        <v>-5.3975142829999996</v>
      </c>
      <c r="BO117">
        <v>1</v>
      </c>
      <c r="BP117">
        <v>-5.9291639388888804</v>
      </c>
      <c r="BQ117">
        <v>-5.44427314</v>
      </c>
      <c r="BR117">
        <v>1</v>
      </c>
    </row>
    <row r="118" spans="1:70" x14ac:dyDescent="0.35">
      <c r="A118" t="s">
        <v>627</v>
      </c>
      <c r="B118" t="s">
        <v>71</v>
      </c>
      <c r="C118" t="s">
        <v>72</v>
      </c>
      <c r="D118">
        <v>0</v>
      </c>
      <c r="E118" t="s">
        <v>230</v>
      </c>
      <c r="F118" t="str">
        <f>INDEX([1]train_xl!$H:$H,MATCH(E118,[1]train_xl!$G:$G,0))</f>
        <v>as-as</v>
      </c>
      <c r="G118" t="str">
        <f>INDEX([1]train_xl!$I:$I,MATCH(E118,[1]train_xl!$G:$G,0))</f>
        <v>sim</v>
      </c>
      <c r="H118" t="str">
        <f>INDEX([1]train_xl!$V:$V,MATCH(E118,[1]train_xl!$G:$G,0))</f>
        <v>not</v>
      </c>
      <c r="I118" t="str">
        <f>INDEX([2]Sheet1!$L:$L,MATCH(E118,[2]Sheet1!$I:$I,0))</f>
        <v>intens</v>
      </c>
      <c r="K118">
        <v>-4.3333308955333303</v>
      </c>
      <c r="L118">
        <v>-4.3074906989375004</v>
      </c>
      <c r="M118">
        <v>0</v>
      </c>
      <c r="N118">
        <v>-4.5177906871428499</v>
      </c>
      <c r="O118">
        <v>-4.4565944011666598</v>
      </c>
      <c r="P118">
        <v>0</v>
      </c>
      <c r="Q118">
        <v>-5.4929494211538401</v>
      </c>
      <c r="R118">
        <v>-5.26511302628571</v>
      </c>
      <c r="S118">
        <v>0</v>
      </c>
      <c r="T118">
        <v>-5.0876057899999996</v>
      </c>
      <c r="U118">
        <v>-4.9247424727272699</v>
      </c>
      <c r="V118">
        <v>0</v>
      </c>
      <c r="W118">
        <v>-5.3775868600000001</v>
      </c>
      <c r="X118">
        <v>-5.0581864090908999</v>
      </c>
      <c r="Y118">
        <v>0</v>
      </c>
      <c r="Z118">
        <v>-3.7057525170000001</v>
      </c>
      <c r="AA118">
        <v>-3.6884139510625</v>
      </c>
      <c r="AB118">
        <v>0</v>
      </c>
      <c r="AC118">
        <v>-3.80334267785714</v>
      </c>
      <c r="AD118">
        <v>-3.8459523625999998</v>
      </c>
      <c r="AE118">
        <v>1</v>
      </c>
      <c r="AF118">
        <v>-4.7223349311538403</v>
      </c>
      <c r="AG118">
        <v>-4.5612704971428499</v>
      </c>
      <c r="AH118">
        <v>0</v>
      </c>
      <c r="AI118">
        <v>-4.2485441699999997</v>
      </c>
      <c r="AJ118">
        <v>-4.14056869090909</v>
      </c>
      <c r="AK118">
        <v>0</v>
      </c>
      <c r="AL118">
        <v>-4.6389229099999998</v>
      </c>
      <c r="AM118">
        <v>-4.3762104636363599</v>
      </c>
      <c r="AN118">
        <v>0</v>
      </c>
      <c r="AO118">
        <v>-5.1273987457999999</v>
      </c>
      <c r="AP118">
        <v>-5.2002730598125</v>
      </c>
      <c r="AQ118">
        <v>1</v>
      </c>
      <c r="AR118">
        <v>-5.0142233357142798</v>
      </c>
      <c r="AS118">
        <v>-5.0907243853333304</v>
      </c>
      <c r="AT118">
        <v>1</v>
      </c>
      <c r="AU118">
        <v>-6.12933592307692</v>
      </c>
      <c r="AV118">
        <v>-6.1668362545714199</v>
      </c>
      <c r="AW118">
        <v>1</v>
      </c>
      <c r="AX118">
        <v>-5.6759455699999997</v>
      </c>
      <c r="AY118">
        <v>-5.6506918090909002</v>
      </c>
      <c r="AZ118">
        <v>0</v>
      </c>
      <c r="BA118">
        <v>-6.0444195499999998</v>
      </c>
      <c r="BB118">
        <v>-5.7195582509090901</v>
      </c>
      <c r="BC118">
        <v>0</v>
      </c>
      <c r="BD118">
        <v>-3.9195794166</v>
      </c>
      <c r="BE118">
        <v>-3.9518646102499901</v>
      </c>
      <c r="BF118">
        <v>1</v>
      </c>
      <c r="BG118">
        <v>-4.0835506692857102</v>
      </c>
      <c r="BH118">
        <v>-4.0844100209333298</v>
      </c>
      <c r="BI118">
        <v>1</v>
      </c>
      <c r="BJ118">
        <v>-4.8957175738461496</v>
      </c>
      <c r="BK118">
        <v>-4.77606018928571</v>
      </c>
      <c r="BL118">
        <v>0</v>
      </c>
      <c r="BM118">
        <v>-4.4564951500000003</v>
      </c>
      <c r="BN118">
        <v>-4.4183873909090901</v>
      </c>
      <c r="BO118">
        <v>0</v>
      </c>
      <c r="BP118">
        <v>-4.8638024399999997</v>
      </c>
      <c r="BQ118">
        <v>-4.6123244090908999</v>
      </c>
      <c r="BR118">
        <v>0</v>
      </c>
    </row>
    <row r="119" spans="1:70" x14ac:dyDescent="0.35">
      <c r="A119" t="s">
        <v>628</v>
      </c>
      <c r="B119" t="s">
        <v>71</v>
      </c>
      <c r="C119" t="s">
        <v>72</v>
      </c>
      <c r="D119">
        <v>1</v>
      </c>
      <c r="E119" t="s">
        <v>231</v>
      </c>
      <c r="F119" t="str">
        <f>INDEX([1]train_xl!$H:$H,MATCH(E119,[1]train_xl!$G:$G,0))</f>
        <v>as-as</v>
      </c>
      <c r="G119" t="str">
        <f>INDEX([1]train_xl!$I:$I,MATCH(E119,[1]train_xl!$G:$G,0))</f>
        <v>sim</v>
      </c>
      <c r="H119" t="str">
        <f>INDEX([1]train_xl!$V:$V,MATCH(E119,[1]train_xl!$G:$G,0))</f>
        <v>not</v>
      </c>
      <c r="I119" t="str">
        <f>INDEX([2]Sheet1!$L:$L,MATCH(E119,[2]Sheet1!$I:$I,0))</f>
        <v>neg</v>
      </c>
      <c r="K119">
        <v>-4.6853747685333298</v>
      </c>
      <c r="L119">
        <v>-4.3098025366249999</v>
      </c>
      <c r="M119">
        <v>1</v>
      </c>
      <c r="N119">
        <v>-4.96935558735714</v>
      </c>
      <c r="O119">
        <v>-4.5389315224000004</v>
      </c>
      <c r="P119">
        <v>1</v>
      </c>
      <c r="Q119">
        <v>-6.11168735730769</v>
      </c>
      <c r="R119">
        <v>-5.5710749053571398</v>
      </c>
      <c r="S119">
        <v>1</v>
      </c>
      <c r="T119">
        <v>-5.2928654899999996</v>
      </c>
      <c r="U119">
        <v>-4.7606300209090904</v>
      </c>
      <c r="V119">
        <v>1</v>
      </c>
      <c r="W119">
        <v>-5.7697424000000002</v>
      </c>
      <c r="X119">
        <v>-5.2047361999999904</v>
      </c>
      <c r="Y119">
        <v>1</v>
      </c>
      <c r="Z119">
        <v>-3.9351478925333301</v>
      </c>
      <c r="AA119">
        <v>-3.5829555625624998</v>
      </c>
      <c r="AB119">
        <v>1</v>
      </c>
      <c r="AC119">
        <v>-4.3037897149999997</v>
      </c>
      <c r="AD119">
        <v>-3.9285054153333299</v>
      </c>
      <c r="AE119">
        <v>1</v>
      </c>
      <c r="AF119">
        <v>-5.2827544330769198</v>
      </c>
      <c r="AG119">
        <v>-4.8303057399999902</v>
      </c>
      <c r="AH119">
        <v>1</v>
      </c>
      <c r="AI119">
        <v>-4.1744198999999904</v>
      </c>
      <c r="AJ119">
        <v>-3.7171543402727201</v>
      </c>
      <c r="AK119">
        <v>1</v>
      </c>
      <c r="AL119">
        <v>-4.9326767499999997</v>
      </c>
      <c r="AM119">
        <v>-4.3899190954545402</v>
      </c>
      <c r="AN119">
        <v>1</v>
      </c>
      <c r="AO119">
        <v>-5.4223369819333298</v>
      </c>
      <c r="AP119">
        <v>-5.2198725226875</v>
      </c>
      <c r="AQ119">
        <v>1</v>
      </c>
      <c r="AR119">
        <v>-5.3979353571428499</v>
      </c>
      <c r="AS119">
        <v>-5.0133727203333303</v>
      </c>
      <c r="AT119">
        <v>1</v>
      </c>
      <c r="AU119">
        <v>-6.7993267569230698</v>
      </c>
      <c r="AV119">
        <v>-6.3561113907142799</v>
      </c>
      <c r="AW119">
        <v>1</v>
      </c>
      <c r="AX119">
        <v>-5.9836272199999998</v>
      </c>
      <c r="AY119">
        <v>-5.5331144690908998</v>
      </c>
      <c r="AZ119">
        <v>1</v>
      </c>
      <c r="BA119">
        <v>-6.2448503099999897</v>
      </c>
      <c r="BB119">
        <v>-5.78588710818181</v>
      </c>
      <c r="BC119">
        <v>1</v>
      </c>
      <c r="BD119">
        <v>-4.0523183696</v>
      </c>
      <c r="BE119">
        <v>-3.6867007704999901</v>
      </c>
      <c r="BF119">
        <v>1</v>
      </c>
      <c r="BG119">
        <v>-4.5599748550000001</v>
      </c>
      <c r="BH119">
        <v>-4.2070807439999998</v>
      </c>
      <c r="BI119">
        <v>1</v>
      </c>
      <c r="BJ119">
        <v>-5.3790457946153802</v>
      </c>
      <c r="BK119">
        <v>-4.9343024664285702</v>
      </c>
      <c r="BL119">
        <v>1</v>
      </c>
      <c r="BM119">
        <v>-4.4053078330000002</v>
      </c>
      <c r="BN119">
        <v>-3.9797373942727199</v>
      </c>
      <c r="BO119">
        <v>1</v>
      </c>
      <c r="BP119">
        <v>-5.1486702600000003</v>
      </c>
      <c r="BQ119">
        <v>-4.5927781209090899</v>
      </c>
      <c r="BR119">
        <v>1</v>
      </c>
    </row>
    <row r="120" spans="1:70" x14ac:dyDescent="0.35">
      <c r="A120" t="s">
        <v>629</v>
      </c>
      <c r="B120" t="s">
        <v>630</v>
      </c>
      <c r="C120" t="s">
        <v>631</v>
      </c>
      <c r="D120">
        <v>0</v>
      </c>
      <c r="E120" t="s">
        <v>232</v>
      </c>
      <c r="F120" t="str">
        <f>INDEX([1]train_xl!$H:$H,MATCH(E120,[1]train_xl!$G:$G,0))</f>
        <v>the-of</v>
      </c>
      <c r="G120" t="str">
        <f>INDEX([1]train_xl!$I:$I,MATCH(E120,[1]train_xl!$G:$G,0))</f>
        <v>sim</v>
      </c>
      <c r="H120" t="str">
        <f>INDEX([1]train_xl!$V:$V,MATCH(E120,[1]train_xl!$G:$G,0))</f>
        <v>not</v>
      </c>
      <c r="I120" t="str">
        <f>INDEX([2]Sheet1!$L:$L,MATCH(E120,[2]Sheet1!$I:$I,0))</f>
        <v>neg</v>
      </c>
      <c r="K120">
        <v>-4.5836467011866597</v>
      </c>
      <c r="L120">
        <v>-5.3721607314285702</v>
      </c>
      <c r="M120">
        <v>1</v>
      </c>
      <c r="N120">
        <v>-4.8808856229128503</v>
      </c>
      <c r="O120">
        <v>-5.5725839245384599</v>
      </c>
      <c r="P120">
        <v>1</v>
      </c>
      <c r="Q120">
        <v>-5.8168801580076899</v>
      </c>
      <c r="R120">
        <v>-6.60992542583333</v>
      </c>
      <c r="S120">
        <v>1</v>
      </c>
      <c r="T120">
        <v>-5.9785865481595</v>
      </c>
      <c r="U120">
        <v>-6.9952301775555501</v>
      </c>
      <c r="V120">
        <v>1</v>
      </c>
      <c r="W120">
        <v>-6.5269347450593997</v>
      </c>
      <c r="X120">
        <v>-7.3694040994444396</v>
      </c>
      <c r="Y120">
        <v>1</v>
      </c>
      <c r="Z120">
        <v>-3.01349067879999</v>
      </c>
      <c r="AA120">
        <v>-3.5984401174285701</v>
      </c>
      <c r="AB120">
        <v>1</v>
      </c>
      <c r="AC120">
        <v>-3.1875451674428499</v>
      </c>
      <c r="AD120">
        <v>-3.69465998961538</v>
      </c>
      <c r="AE120">
        <v>1</v>
      </c>
      <c r="AF120">
        <v>-4.2075736286923</v>
      </c>
      <c r="AG120">
        <v>-4.7621354433333298</v>
      </c>
      <c r="AH120">
        <v>1</v>
      </c>
      <c r="AI120">
        <v>-3.6950556640299999</v>
      </c>
      <c r="AJ120">
        <v>-4.2865663288888802</v>
      </c>
      <c r="AK120">
        <v>1</v>
      </c>
      <c r="AL120">
        <v>-4.0400921447</v>
      </c>
      <c r="AM120">
        <v>-4.4706606105555498</v>
      </c>
      <c r="AN120">
        <v>1</v>
      </c>
      <c r="AO120">
        <v>-5.5568870521999996</v>
      </c>
      <c r="AP120">
        <v>-6.3064241582857097</v>
      </c>
      <c r="AQ120">
        <v>1</v>
      </c>
      <c r="AR120">
        <v>-5.8811288911099897</v>
      </c>
      <c r="AS120">
        <v>-6.5564823592307597</v>
      </c>
      <c r="AT120">
        <v>1</v>
      </c>
      <c r="AU120">
        <v>-6.6652897644430702</v>
      </c>
      <c r="AV120">
        <v>-7.3452467504166599</v>
      </c>
      <c r="AW120">
        <v>1</v>
      </c>
      <c r="AX120">
        <v>-7.5366989711959897</v>
      </c>
      <c r="AY120">
        <v>-8.6371143588888799</v>
      </c>
      <c r="AZ120">
        <v>1</v>
      </c>
      <c r="BA120">
        <v>-7.7472709535569999</v>
      </c>
      <c r="BB120">
        <v>-8.6831913114444408</v>
      </c>
      <c r="BC120">
        <v>1</v>
      </c>
      <c r="BD120">
        <v>-3.6460445697333301</v>
      </c>
      <c r="BE120">
        <v>-4.2700096649999999</v>
      </c>
      <c r="BF120">
        <v>1</v>
      </c>
      <c r="BG120">
        <v>-3.9045237415357099</v>
      </c>
      <c r="BH120">
        <v>-4.5145300976923002</v>
      </c>
      <c r="BI120">
        <v>1</v>
      </c>
      <c r="BJ120">
        <v>-4.7806031906153796</v>
      </c>
      <c r="BK120">
        <v>-5.4516330750000002</v>
      </c>
      <c r="BL120">
        <v>1</v>
      </c>
      <c r="BM120">
        <v>-4.69440325079999</v>
      </c>
      <c r="BN120">
        <v>-5.34871785666666</v>
      </c>
      <c r="BO120">
        <v>1</v>
      </c>
      <c r="BP120">
        <v>-5.0505336430399996</v>
      </c>
      <c r="BQ120">
        <v>-5.5887441584444399</v>
      </c>
      <c r="BR120">
        <v>1</v>
      </c>
    </row>
    <row r="121" spans="1:70" x14ac:dyDescent="0.35">
      <c r="A121" t="s">
        <v>632</v>
      </c>
      <c r="B121" t="s">
        <v>630</v>
      </c>
      <c r="C121" t="s">
        <v>631</v>
      </c>
      <c r="D121">
        <v>1</v>
      </c>
      <c r="E121" t="s">
        <v>233</v>
      </c>
      <c r="F121" t="str">
        <f>INDEX([1]train_xl!$H:$H,MATCH(E121,[1]train_xl!$G:$G,0))</f>
        <v>the-of</v>
      </c>
      <c r="G121" t="str">
        <f>INDEX([1]train_xl!$I:$I,MATCH(E121,[1]train_xl!$G:$G,0))</f>
        <v>sim</v>
      </c>
      <c r="H121" t="str">
        <f>INDEX([1]train_xl!$V:$V,MATCH(E121,[1]train_xl!$G:$G,0))</f>
        <v>not</v>
      </c>
      <c r="I121" t="str">
        <f>INDEX([2]Sheet1!$L:$L,MATCH(E121,[2]Sheet1!$I:$I,0))</f>
        <v>intens</v>
      </c>
      <c r="K121">
        <v>-5.0844389042857099</v>
      </c>
      <c r="L121">
        <v>-5.1320200730430701</v>
      </c>
      <c r="M121">
        <v>0</v>
      </c>
      <c r="N121">
        <v>-5.5102460119999996</v>
      </c>
      <c r="O121">
        <v>-5.5188342580416601</v>
      </c>
      <c r="P121">
        <v>0</v>
      </c>
      <c r="Q121">
        <v>-6.4696562726666604</v>
      </c>
      <c r="R121">
        <v>-6.6002442135545403</v>
      </c>
      <c r="S121">
        <v>0</v>
      </c>
      <c r="T121">
        <v>-6.9333577012222198</v>
      </c>
      <c r="U121">
        <v>-7.0687371610499996</v>
      </c>
      <c r="V121">
        <v>0</v>
      </c>
      <c r="W121">
        <v>-7.2166003123822202</v>
      </c>
      <c r="X121">
        <v>-7.8054091963643701</v>
      </c>
      <c r="Y121">
        <v>0</v>
      </c>
      <c r="Z121">
        <v>-3.8140560628571398</v>
      </c>
      <c r="AA121">
        <v>-3.7147232324615298</v>
      </c>
      <c r="AB121">
        <v>1</v>
      </c>
      <c r="AC121">
        <v>-3.9942076099999899</v>
      </c>
      <c r="AD121">
        <v>-3.9218096297249998</v>
      </c>
      <c r="AE121">
        <v>1</v>
      </c>
      <c r="AF121">
        <v>-4.8420576316666599</v>
      </c>
      <c r="AG121">
        <v>-4.8650588530908996</v>
      </c>
      <c r="AH121">
        <v>0</v>
      </c>
      <c r="AI121">
        <v>-4.7815316224444402</v>
      </c>
      <c r="AJ121">
        <v>-4.7620186356250001</v>
      </c>
      <c r="AK121">
        <v>1</v>
      </c>
      <c r="AL121">
        <v>-3.8886365250666599</v>
      </c>
      <c r="AM121">
        <v>-4.1223087380000001</v>
      </c>
      <c r="AN121">
        <v>0</v>
      </c>
      <c r="AO121">
        <v>-6.2655826835714201</v>
      </c>
      <c r="AP121">
        <v>-6.4662917420000001</v>
      </c>
      <c r="AQ121">
        <v>0</v>
      </c>
      <c r="AR121">
        <v>-6.5879505076923</v>
      </c>
      <c r="AS121">
        <v>-6.5391708914583297</v>
      </c>
      <c r="AT121">
        <v>1</v>
      </c>
      <c r="AU121">
        <v>-7.4054588121666596</v>
      </c>
      <c r="AV121">
        <v>-7.5815095302272697</v>
      </c>
      <c r="AW121">
        <v>0</v>
      </c>
      <c r="AX121">
        <v>-8.8631852977777701</v>
      </c>
      <c r="AY121">
        <v>-9.2234729435374998</v>
      </c>
      <c r="AZ121">
        <v>0</v>
      </c>
      <c r="BA121">
        <v>-8.898609853</v>
      </c>
      <c r="BB121">
        <v>-9.6070321148124993</v>
      </c>
      <c r="BC121">
        <v>0</v>
      </c>
      <c r="BD121">
        <v>-3.6715987182857099</v>
      </c>
      <c r="BE121">
        <v>-3.6025652811922999</v>
      </c>
      <c r="BF121">
        <v>1</v>
      </c>
      <c r="BG121">
        <v>-3.9315305438461499</v>
      </c>
      <c r="BH121">
        <v>-3.8521612041666602</v>
      </c>
      <c r="BI121">
        <v>1</v>
      </c>
      <c r="BJ121">
        <v>-4.7455856299999901</v>
      </c>
      <c r="BK121">
        <v>-4.69918657836363</v>
      </c>
      <c r="BL121">
        <v>1</v>
      </c>
      <c r="BM121">
        <v>-4.7202094844444398</v>
      </c>
      <c r="BN121">
        <v>-4.5958862423750002</v>
      </c>
      <c r="BO121">
        <v>1</v>
      </c>
      <c r="BP121">
        <v>-4.4590315913333303</v>
      </c>
      <c r="BQ121">
        <v>-4.7792690039999997</v>
      </c>
      <c r="BR121">
        <v>0</v>
      </c>
    </row>
    <row r="122" spans="1:70" x14ac:dyDescent="0.35">
      <c r="A122" t="s">
        <v>633</v>
      </c>
      <c r="B122" t="s">
        <v>38</v>
      </c>
      <c r="C122" t="s">
        <v>634</v>
      </c>
      <c r="D122">
        <v>0</v>
      </c>
      <c r="E122" t="s">
        <v>234</v>
      </c>
      <c r="F122" t="str">
        <f>INDEX([1]train_xl!$H:$H,MATCH(E122,[1]train_xl!$G:$G,0))</f>
        <v>the-of</v>
      </c>
      <c r="G122" t="str">
        <f>INDEX([1]train_xl!$I:$I,MATCH(E122,[1]train_xl!$G:$G,0))</f>
        <v>sim</v>
      </c>
      <c r="H122" t="str">
        <f>INDEX([1]train_xl!$V:$V,MATCH(E122,[1]train_xl!$G:$G,0))</f>
        <v>not</v>
      </c>
      <c r="I122" t="str">
        <f>INDEX([2]Sheet1!$L:$L,MATCH(E122,[2]Sheet1!$I:$I,0))</f>
        <v>intens</v>
      </c>
      <c r="K122">
        <v>-3.8729619743749999</v>
      </c>
      <c r="L122">
        <v>-4.08159842188235</v>
      </c>
      <c r="M122">
        <v>1</v>
      </c>
      <c r="N122">
        <v>-3.8765798998666599</v>
      </c>
      <c r="O122">
        <v>-4.0852180405</v>
      </c>
      <c r="P122">
        <v>1</v>
      </c>
      <c r="Q122">
        <v>-4.8704190384285697</v>
      </c>
      <c r="R122">
        <v>-4.90156996826666</v>
      </c>
      <c r="S122">
        <v>1</v>
      </c>
      <c r="T122">
        <v>-5.1481980436363601</v>
      </c>
      <c r="U122">
        <v>-5.1206647277499897</v>
      </c>
      <c r="V122">
        <v>0</v>
      </c>
      <c r="W122">
        <v>-5.3967748431818103</v>
      </c>
      <c r="X122">
        <v>-5.3058282700000001</v>
      </c>
      <c r="Y122">
        <v>0</v>
      </c>
      <c r="Z122">
        <v>-3.8533451583125</v>
      </c>
      <c r="AA122">
        <v>-4.1069977554117596</v>
      </c>
      <c r="AB122">
        <v>1</v>
      </c>
      <c r="AC122">
        <v>-3.8737833812</v>
      </c>
      <c r="AD122">
        <v>-4.1531505709375001</v>
      </c>
      <c r="AE122">
        <v>1</v>
      </c>
      <c r="AF122">
        <v>-4.8539434464285698</v>
      </c>
      <c r="AG122">
        <v>-5.0406081220000001</v>
      </c>
      <c r="AH122">
        <v>1</v>
      </c>
      <c r="AI122">
        <v>-5.0991988872727196</v>
      </c>
      <c r="AJ122">
        <v>-5.1763688033333297</v>
      </c>
      <c r="AK122">
        <v>1</v>
      </c>
      <c r="AL122">
        <v>-5.2194691972727201</v>
      </c>
      <c r="AM122">
        <v>-5.1475061074999999</v>
      </c>
      <c r="AN122">
        <v>0</v>
      </c>
      <c r="AO122">
        <v>-3.4183450368749999</v>
      </c>
      <c r="AP122">
        <v>-3.7760741876470498</v>
      </c>
      <c r="AQ122">
        <v>1</v>
      </c>
      <c r="AR122">
        <v>-3.49743776273333</v>
      </c>
      <c r="AS122">
        <v>-3.8917097835624999</v>
      </c>
      <c r="AT122">
        <v>1</v>
      </c>
      <c r="AU122">
        <v>-4.2889633057142804</v>
      </c>
      <c r="AV122">
        <v>-4.5672068609333296</v>
      </c>
      <c r="AW122">
        <v>1</v>
      </c>
      <c r="AX122">
        <v>-4.3602945581818098</v>
      </c>
      <c r="AY122">
        <v>-4.5983237083333304</v>
      </c>
      <c r="AZ122">
        <v>1</v>
      </c>
      <c r="BA122">
        <v>-4.4732571354545403</v>
      </c>
      <c r="BB122">
        <v>-4.5356124933333302</v>
      </c>
      <c r="BC122">
        <v>1</v>
      </c>
      <c r="BD122">
        <v>-4.0688733421249896</v>
      </c>
      <c r="BE122">
        <v>-4.3243146194705799</v>
      </c>
      <c r="BF122">
        <v>1</v>
      </c>
      <c r="BG122">
        <v>-4.1700805821333304</v>
      </c>
      <c r="BH122">
        <v>-4.3883425770000004</v>
      </c>
      <c r="BI122">
        <v>1</v>
      </c>
      <c r="BJ122">
        <v>-5.0852162342857099</v>
      </c>
      <c r="BK122">
        <v>-5.2538214886666603</v>
      </c>
      <c r="BL122">
        <v>1</v>
      </c>
      <c r="BM122">
        <v>-5.5371058527272696</v>
      </c>
      <c r="BN122">
        <v>-5.5739100016666603</v>
      </c>
      <c r="BO122">
        <v>1</v>
      </c>
      <c r="BP122">
        <v>-5.6352573027272701</v>
      </c>
      <c r="BQ122">
        <v>-5.6107433816666603</v>
      </c>
      <c r="BR122">
        <v>0</v>
      </c>
    </row>
    <row r="123" spans="1:70" x14ac:dyDescent="0.35">
      <c r="A123" t="s">
        <v>635</v>
      </c>
      <c r="B123" t="s">
        <v>38</v>
      </c>
      <c r="C123" t="s">
        <v>634</v>
      </c>
      <c r="D123">
        <v>1</v>
      </c>
      <c r="E123" t="s">
        <v>235</v>
      </c>
      <c r="F123" t="str">
        <f>INDEX([1]train_xl!$H:$H,MATCH(E123,[1]train_xl!$G:$G,0))</f>
        <v>the-of</v>
      </c>
      <c r="G123" t="str">
        <f>INDEX([1]train_xl!$I:$I,MATCH(E123,[1]train_xl!$G:$G,0))</f>
        <v>sim</v>
      </c>
      <c r="H123" t="str">
        <f>INDEX([1]train_xl!$V:$V,MATCH(E123,[1]train_xl!$G:$G,0))</f>
        <v>not</v>
      </c>
      <c r="I123" t="str">
        <f>INDEX([2]Sheet1!$L:$L,MATCH(E123,[2]Sheet1!$I:$I,0))</f>
        <v>neg</v>
      </c>
      <c r="K123">
        <v>-4.1234353773125001</v>
      </c>
      <c r="L123">
        <v>-3.9453750567058798</v>
      </c>
      <c r="M123">
        <v>1</v>
      </c>
      <c r="N123">
        <v>-4.2215703313999997</v>
      </c>
      <c r="O123">
        <v>-3.99769130590624</v>
      </c>
      <c r="P123">
        <v>1</v>
      </c>
      <c r="Q123">
        <v>-5.19273774878571</v>
      </c>
      <c r="R123">
        <v>-4.8429584360666604</v>
      </c>
      <c r="S123">
        <v>1</v>
      </c>
      <c r="T123">
        <v>-5.00258282909091</v>
      </c>
      <c r="U123">
        <v>-5.1802740849999998</v>
      </c>
      <c r="V123">
        <v>0</v>
      </c>
      <c r="W123">
        <v>-5.3076999013636303</v>
      </c>
      <c r="X123">
        <v>-5.4392803005000001</v>
      </c>
      <c r="Y123">
        <v>0</v>
      </c>
      <c r="Z123">
        <v>-4.1125701243749999</v>
      </c>
      <c r="AA123">
        <v>-3.9712025399411699</v>
      </c>
      <c r="AB123">
        <v>1</v>
      </c>
      <c r="AC123">
        <v>-4.2110946463333301</v>
      </c>
      <c r="AD123">
        <v>-4.0353886893749999</v>
      </c>
      <c r="AE123">
        <v>1</v>
      </c>
      <c r="AF123">
        <v>-5.1674681235714202</v>
      </c>
      <c r="AG123">
        <v>-4.9036743940000003</v>
      </c>
      <c r="AH123">
        <v>1</v>
      </c>
      <c r="AI123">
        <v>-4.8241831181818098</v>
      </c>
      <c r="AJ123">
        <v>-4.9404992874999998</v>
      </c>
      <c r="AK123">
        <v>0</v>
      </c>
      <c r="AL123">
        <v>-5.0660138390908998</v>
      </c>
      <c r="AM123">
        <v>-5.0735370466666598</v>
      </c>
      <c r="AN123">
        <v>0</v>
      </c>
      <c r="AO123">
        <v>-3.6076925174999999</v>
      </c>
      <c r="AP123">
        <v>-3.5968176441176398</v>
      </c>
      <c r="AQ123">
        <v>1</v>
      </c>
      <c r="AR123">
        <v>-3.5963527447333301</v>
      </c>
      <c r="AS123">
        <v>-3.5646718366250001</v>
      </c>
      <c r="AT123">
        <v>1</v>
      </c>
      <c r="AU123">
        <v>-4.3236302283571399</v>
      </c>
      <c r="AV123">
        <v>-4.2733090038666601</v>
      </c>
      <c r="AW123">
        <v>1</v>
      </c>
      <c r="AX123">
        <v>-3.8544351354545401</v>
      </c>
      <c r="AY123">
        <v>-4.2301349224999996</v>
      </c>
      <c r="AZ123">
        <v>0</v>
      </c>
      <c r="BA123">
        <v>-3.9728503663636299</v>
      </c>
      <c r="BB123">
        <v>-4.3448165063333297</v>
      </c>
      <c r="BC123">
        <v>0</v>
      </c>
      <c r="BD123">
        <v>-4.3842127484375002</v>
      </c>
      <c r="BE123">
        <v>-4.2689834198823498</v>
      </c>
      <c r="BF123">
        <v>1</v>
      </c>
      <c r="BG123">
        <v>-4.5365023070000001</v>
      </c>
      <c r="BH123">
        <v>-4.3761494115625004</v>
      </c>
      <c r="BI123">
        <v>1</v>
      </c>
      <c r="BJ123">
        <v>-5.4858177892857096</v>
      </c>
      <c r="BK123">
        <v>-5.2641102639999904</v>
      </c>
      <c r="BL123">
        <v>1</v>
      </c>
      <c r="BM123">
        <v>-5.1392146054545398</v>
      </c>
      <c r="BN123">
        <v>-5.2771995291666602</v>
      </c>
      <c r="BO123">
        <v>0</v>
      </c>
      <c r="BP123">
        <v>-5.4845056909090903</v>
      </c>
      <c r="BQ123">
        <v>-5.5157722274999896</v>
      </c>
      <c r="BR123">
        <v>0</v>
      </c>
    </row>
    <row r="124" spans="1:70" x14ac:dyDescent="0.35">
      <c r="A124" t="s">
        <v>80</v>
      </c>
      <c r="B124" t="s">
        <v>636</v>
      </c>
      <c r="C124" t="s">
        <v>637</v>
      </c>
      <c r="D124">
        <v>0</v>
      </c>
      <c r="E124" t="s">
        <v>236</v>
      </c>
      <c r="F124" t="str">
        <f>INDEX([1]train_xl!$H:$H,MATCH(E124,[1]train_xl!$G:$G,0))</f>
        <v>as-as</v>
      </c>
      <c r="G124" t="str">
        <f>INDEX([1]train_xl!$I:$I,MATCH(E124,[1]train_xl!$G:$G,0))</f>
        <v>sim</v>
      </c>
      <c r="H124" t="str">
        <f>INDEX([1]train_xl!$V:$V,MATCH(E124,[1]train_xl!$G:$G,0))</f>
        <v>not</v>
      </c>
      <c r="I124" t="str">
        <f>INDEX([2]Sheet1!$L:$L,MATCH(E124,[2]Sheet1!$I:$I,0))</f>
        <v>intens</v>
      </c>
      <c r="K124">
        <v>-2.6731273913347802</v>
      </c>
      <c r="L124">
        <v>-2.7647608402519901</v>
      </c>
      <c r="M124">
        <v>1</v>
      </c>
      <c r="N124">
        <v>-2.6952612031136298</v>
      </c>
      <c r="O124">
        <v>-2.7695775497541599</v>
      </c>
      <c r="P124">
        <v>1</v>
      </c>
      <c r="Q124">
        <v>-3.25393397328904</v>
      </c>
      <c r="R124">
        <v>-3.2571024674552098</v>
      </c>
      <c r="S124">
        <v>1</v>
      </c>
      <c r="T124">
        <v>-3.0573167031277699</v>
      </c>
      <c r="U124">
        <v>-3.2119010732899902</v>
      </c>
      <c r="V124">
        <v>1</v>
      </c>
      <c r="W124">
        <v>-3.2636002487499902</v>
      </c>
      <c r="X124">
        <v>-3.2767191222399998</v>
      </c>
      <c r="Y124">
        <v>1</v>
      </c>
      <c r="Z124">
        <v>-3.0965838007608699</v>
      </c>
      <c r="AA124">
        <v>-3.1434893558559902</v>
      </c>
      <c r="AB124">
        <v>1</v>
      </c>
      <c r="AC124">
        <v>-3.13746389954545</v>
      </c>
      <c r="AD124">
        <v>-3.1941012215</v>
      </c>
      <c r="AE124">
        <v>1</v>
      </c>
      <c r="AF124">
        <v>-3.8467223850000001</v>
      </c>
      <c r="AG124">
        <v>-3.8173047404782601</v>
      </c>
      <c r="AH124">
        <v>0</v>
      </c>
      <c r="AI124">
        <v>-3.6557014564999899</v>
      </c>
      <c r="AJ124">
        <v>-3.5885235954499999</v>
      </c>
      <c r="AK124">
        <v>0</v>
      </c>
      <c r="AL124">
        <v>-3.71301624305555</v>
      </c>
      <c r="AM124">
        <v>-3.5944599234499899</v>
      </c>
      <c r="AN124">
        <v>0</v>
      </c>
      <c r="AO124">
        <v>-2.38687245677826</v>
      </c>
      <c r="AP124">
        <v>-2.461639969308</v>
      </c>
      <c r="AQ124">
        <v>1</v>
      </c>
      <c r="AR124">
        <v>-2.1893726725318099</v>
      </c>
      <c r="AS124">
        <v>-2.3201914157374999</v>
      </c>
      <c r="AT124">
        <v>1</v>
      </c>
      <c r="AU124">
        <v>-2.6781929222952301</v>
      </c>
      <c r="AV124">
        <v>-2.7314941348347799</v>
      </c>
      <c r="AW124">
        <v>1</v>
      </c>
      <c r="AX124">
        <v>-2.4028108852944401</v>
      </c>
      <c r="AY124">
        <v>-2.5101980414399998</v>
      </c>
      <c r="AZ124">
        <v>1</v>
      </c>
      <c r="BA124">
        <v>-2.5430708129055501</v>
      </c>
      <c r="BB124">
        <v>-2.5269227082399999</v>
      </c>
      <c r="BC124">
        <v>0</v>
      </c>
      <c r="BD124">
        <v>-3.2833724164565199</v>
      </c>
      <c r="BE124">
        <v>-3.3485404720240002</v>
      </c>
      <c r="BF124">
        <v>1</v>
      </c>
      <c r="BG124">
        <v>-3.3497047025818101</v>
      </c>
      <c r="BH124">
        <v>-3.3717446021583299</v>
      </c>
      <c r="BI124">
        <v>1</v>
      </c>
      <c r="BJ124">
        <v>-4.0072931149523798</v>
      </c>
      <c r="BK124">
        <v>-3.9755530840739102</v>
      </c>
      <c r="BL124">
        <v>0</v>
      </c>
      <c r="BM124">
        <v>-3.8898452556500001</v>
      </c>
      <c r="BN124">
        <v>-3.8907339479649998</v>
      </c>
      <c r="BO124">
        <v>1</v>
      </c>
      <c r="BP124">
        <v>-3.91202222148888</v>
      </c>
      <c r="BQ124">
        <v>-3.8150152579099998</v>
      </c>
      <c r="BR124">
        <v>0</v>
      </c>
    </row>
    <row r="125" spans="1:70" x14ac:dyDescent="0.35">
      <c r="A125" t="s">
        <v>638</v>
      </c>
      <c r="B125" t="s">
        <v>636</v>
      </c>
      <c r="C125" t="s">
        <v>637</v>
      </c>
      <c r="D125">
        <v>1</v>
      </c>
      <c r="E125" t="s">
        <v>237</v>
      </c>
      <c r="F125" t="str">
        <f>INDEX([1]train_xl!$H:$H,MATCH(E125,[1]train_xl!$G:$G,0))</f>
        <v>as-as</v>
      </c>
      <c r="G125" t="str">
        <f>INDEX([1]train_xl!$I:$I,MATCH(E125,[1]train_xl!$G:$G,0))</f>
        <v>sim</v>
      </c>
      <c r="H125" t="str">
        <f>INDEX([1]train_xl!$V:$V,MATCH(E125,[1]train_xl!$G:$G,0))</f>
        <v>not</v>
      </c>
      <c r="I125" t="str">
        <f>INDEX([2]Sheet1!$L:$L,MATCH(E125,[2]Sheet1!$I:$I,0))</f>
        <v>neg</v>
      </c>
      <c r="K125">
        <v>-3.1842799015043401</v>
      </c>
      <c r="L125">
        <v>-2.7214937769279999</v>
      </c>
      <c r="M125">
        <v>1</v>
      </c>
      <c r="N125">
        <v>-3.1899559242363602</v>
      </c>
      <c r="O125">
        <v>-2.7080049559125001</v>
      </c>
      <c r="P125">
        <v>1</v>
      </c>
      <c r="Q125">
        <v>-3.8533788832047602</v>
      </c>
      <c r="R125">
        <v>-3.3170205137978201</v>
      </c>
      <c r="S125">
        <v>1</v>
      </c>
      <c r="T125">
        <v>-3.5760092234277701</v>
      </c>
      <c r="U125">
        <v>-3.3080293516949899</v>
      </c>
      <c r="V125">
        <v>1</v>
      </c>
      <c r="W125">
        <v>-3.7662309077610998</v>
      </c>
      <c r="X125">
        <v>-3.5703092987549998</v>
      </c>
      <c r="Y125">
        <v>1</v>
      </c>
      <c r="Z125">
        <v>-3.6438455288086899</v>
      </c>
      <c r="AA125">
        <v>-3.243913800104</v>
      </c>
      <c r="AB125">
        <v>1</v>
      </c>
      <c r="AC125">
        <v>-3.6944143323772698</v>
      </c>
      <c r="AD125">
        <v>-3.2290958952625002</v>
      </c>
      <c r="AE125">
        <v>1</v>
      </c>
      <c r="AF125">
        <v>-4.3716337928095204</v>
      </c>
      <c r="AG125">
        <v>-3.8393288477391301</v>
      </c>
      <c r="AH125">
        <v>1</v>
      </c>
      <c r="AI125">
        <v>-4.1641723843888796</v>
      </c>
      <c r="AJ125">
        <v>-3.8072197460499901</v>
      </c>
      <c r="AK125">
        <v>1</v>
      </c>
      <c r="AL125">
        <v>-4.0837160537777697</v>
      </c>
      <c r="AM125">
        <v>-3.78498242045</v>
      </c>
      <c r="AN125">
        <v>1</v>
      </c>
      <c r="AO125">
        <v>-2.8104181346347801</v>
      </c>
      <c r="AP125">
        <v>-2.409051561504</v>
      </c>
      <c r="AQ125">
        <v>1</v>
      </c>
      <c r="AR125">
        <v>-2.6758031556090902</v>
      </c>
      <c r="AS125">
        <v>-2.2749714918916601</v>
      </c>
      <c r="AT125">
        <v>1</v>
      </c>
      <c r="AU125">
        <v>-3.16424356038095</v>
      </c>
      <c r="AV125">
        <v>-2.7363462389565201</v>
      </c>
      <c r="AW125">
        <v>1</v>
      </c>
      <c r="AX125">
        <v>-2.90314264830555</v>
      </c>
      <c r="AY125">
        <v>-2.6013833530250001</v>
      </c>
      <c r="AZ125">
        <v>1</v>
      </c>
      <c r="BA125">
        <v>-2.8664978418644398</v>
      </c>
      <c r="BB125">
        <v>-2.68810837270799</v>
      </c>
      <c r="BC125">
        <v>1</v>
      </c>
      <c r="BD125">
        <v>-3.8513200001304302</v>
      </c>
      <c r="BE125">
        <v>-3.3924698298399898</v>
      </c>
      <c r="BF125">
        <v>1</v>
      </c>
      <c r="BG125">
        <v>-3.90233131781818</v>
      </c>
      <c r="BH125">
        <v>-3.4077644908583302</v>
      </c>
      <c r="BI125">
        <v>1</v>
      </c>
      <c r="BJ125">
        <v>-4.6135159278095204</v>
      </c>
      <c r="BK125">
        <v>-4.0867451128043397</v>
      </c>
      <c r="BL125">
        <v>1</v>
      </c>
      <c r="BM125">
        <v>-4.4490741246388801</v>
      </c>
      <c r="BN125">
        <v>-4.0124869786949899</v>
      </c>
      <c r="BO125">
        <v>1</v>
      </c>
      <c r="BP125">
        <v>-4.4399454448111104</v>
      </c>
      <c r="BQ125">
        <v>-4.0178402427499904</v>
      </c>
      <c r="BR125">
        <v>1</v>
      </c>
    </row>
    <row r="126" spans="1:70" x14ac:dyDescent="0.35">
      <c r="A126" t="s">
        <v>639</v>
      </c>
      <c r="B126" t="s">
        <v>39</v>
      </c>
      <c r="C126" t="s">
        <v>640</v>
      </c>
      <c r="D126">
        <v>0</v>
      </c>
      <c r="E126" t="s">
        <v>238</v>
      </c>
      <c r="F126" t="str">
        <f>INDEX([1]train_xl!$H:$H,MATCH(E126,[1]train_xl!$G:$G,0))</f>
        <v>the-of</v>
      </c>
      <c r="G126" t="str">
        <f>INDEX([1]train_xl!$I:$I,MATCH(E126,[1]train_xl!$G:$G,0))</f>
        <v>sim</v>
      </c>
      <c r="H126" t="str">
        <f>INDEX([1]train_xl!$V:$V,MATCH(E126,[1]train_xl!$G:$G,0))</f>
        <v>not</v>
      </c>
      <c r="I126" t="str">
        <f>INDEX([2]Sheet1!$L:$L,MATCH(E126,[2]Sheet1!$I:$I,0))</f>
        <v>neg</v>
      </c>
      <c r="K126">
        <v>-4.3616112338166602</v>
      </c>
      <c r="L126">
        <v>-4.5268735394117599</v>
      </c>
      <c r="M126">
        <v>1</v>
      </c>
      <c r="N126">
        <v>-4.4041532092352904</v>
      </c>
      <c r="O126">
        <v>-4.6094912020000001</v>
      </c>
      <c r="P126">
        <v>1</v>
      </c>
      <c r="Q126">
        <v>-5.1450358866249903</v>
      </c>
      <c r="R126">
        <v>-5.3483267797333296</v>
      </c>
      <c r="S126">
        <v>1</v>
      </c>
      <c r="T126">
        <v>-5.3026740369230696</v>
      </c>
      <c r="U126">
        <v>-5.4706985533333299</v>
      </c>
      <c r="V126">
        <v>1</v>
      </c>
      <c r="W126">
        <v>-5.5473355184615301</v>
      </c>
      <c r="X126">
        <v>-5.62885135916666</v>
      </c>
      <c r="Y126">
        <v>1</v>
      </c>
      <c r="Z126">
        <v>-4.4165790095555497</v>
      </c>
      <c r="AA126">
        <v>-4.6357216805882304</v>
      </c>
      <c r="AB126">
        <v>1</v>
      </c>
      <c r="AC126">
        <v>-4.4527288358823496</v>
      </c>
      <c r="AD126">
        <v>-4.74439624625</v>
      </c>
      <c r="AE126">
        <v>1</v>
      </c>
      <c r="AF126">
        <v>-5.1555407899999999</v>
      </c>
      <c r="AG126">
        <v>-5.5026304346666599</v>
      </c>
      <c r="AH126">
        <v>1</v>
      </c>
      <c r="AI126">
        <v>-5.6075412846153796</v>
      </c>
      <c r="AJ126">
        <v>-5.8003364199999901</v>
      </c>
      <c r="AK126">
        <v>1</v>
      </c>
      <c r="AL126">
        <v>-5.6234535661538398</v>
      </c>
      <c r="AM126">
        <v>-5.8164161183333301</v>
      </c>
      <c r="AN126">
        <v>1</v>
      </c>
      <c r="AO126">
        <v>-4.3781705741666599</v>
      </c>
      <c r="AP126">
        <v>-4.4800511531764702</v>
      </c>
      <c r="AQ126">
        <v>1</v>
      </c>
      <c r="AR126">
        <v>-4.0581812155882302</v>
      </c>
      <c r="AS126">
        <v>-4.30752132775</v>
      </c>
      <c r="AT126">
        <v>1</v>
      </c>
      <c r="AU126">
        <v>-4.8925031477500003</v>
      </c>
      <c r="AV126">
        <v>-5.13025786066666</v>
      </c>
      <c r="AW126">
        <v>1</v>
      </c>
      <c r="AX126">
        <v>-4.8245856192307599</v>
      </c>
      <c r="AY126">
        <v>-4.95323286333333</v>
      </c>
      <c r="AZ126">
        <v>1</v>
      </c>
      <c r="BA126">
        <v>-4.9465788807692297</v>
      </c>
      <c r="BB126">
        <v>-4.9364819041666603</v>
      </c>
      <c r="BC126">
        <v>0</v>
      </c>
      <c r="BD126">
        <v>-4.5641300608333299</v>
      </c>
      <c r="BE126">
        <v>-4.7827312758235196</v>
      </c>
      <c r="BF126">
        <v>1</v>
      </c>
      <c r="BG126">
        <v>-4.6059048188235199</v>
      </c>
      <c r="BH126">
        <v>-4.8588493941874997</v>
      </c>
      <c r="BI126">
        <v>1</v>
      </c>
      <c r="BJ126">
        <v>-5.2717777206249998</v>
      </c>
      <c r="BK126">
        <v>-5.6022838373333297</v>
      </c>
      <c r="BL126">
        <v>1</v>
      </c>
      <c r="BM126">
        <v>-5.7464775961538397</v>
      </c>
      <c r="BN126">
        <v>-5.7570263333333296</v>
      </c>
      <c r="BO126">
        <v>1</v>
      </c>
      <c r="BP126">
        <v>-5.8329389876922999</v>
      </c>
      <c r="BQ126">
        <v>-6.0417053000000003</v>
      </c>
      <c r="BR126">
        <v>1</v>
      </c>
    </row>
    <row r="127" spans="1:70" x14ac:dyDescent="0.35">
      <c r="A127" t="s">
        <v>641</v>
      </c>
      <c r="B127" t="s">
        <v>39</v>
      </c>
      <c r="C127" t="s">
        <v>40</v>
      </c>
      <c r="D127">
        <v>1</v>
      </c>
      <c r="E127" t="s">
        <v>239</v>
      </c>
      <c r="F127" t="str">
        <f>INDEX([1]train_xl!$H:$H,MATCH(E127,[1]train_xl!$G:$G,0))</f>
        <v>the-of</v>
      </c>
      <c r="G127" t="str">
        <f>INDEX([1]train_xl!$I:$I,MATCH(E127,[1]train_xl!$G:$G,0))</f>
        <v>sim</v>
      </c>
      <c r="H127" t="str">
        <f>INDEX([1]train_xl!$V:$V,MATCH(E127,[1]train_xl!$G:$G,0))</f>
        <v>not</v>
      </c>
      <c r="I127" t="str">
        <f>INDEX([2]Sheet1!$L:$L,MATCH(E127,[2]Sheet1!$I:$I,0))</f>
        <v>intens</v>
      </c>
      <c r="K127">
        <v>-4.5266832627647</v>
      </c>
      <c r="L127">
        <v>-4.1990954339411699</v>
      </c>
      <c r="M127">
        <v>1</v>
      </c>
      <c r="N127">
        <v>-4.5417629533249997</v>
      </c>
      <c r="O127">
        <v>-4.3100072464499997</v>
      </c>
      <c r="P127">
        <v>1</v>
      </c>
      <c r="Q127">
        <v>-5.3382128856</v>
      </c>
      <c r="R127">
        <v>-5.0823554822666601</v>
      </c>
      <c r="S127">
        <v>1</v>
      </c>
      <c r="T127">
        <v>-5.65706618033333</v>
      </c>
      <c r="U127">
        <v>-5.1437269333333298</v>
      </c>
      <c r="V127">
        <v>1</v>
      </c>
      <c r="W127">
        <v>-5.9149450483333297</v>
      </c>
      <c r="X127">
        <v>-5.1323193799999904</v>
      </c>
      <c r="Y127">
        <v>1</v>
      </c>
      <c r="Z127">
        <v>-4.6693946418235202</v>
      </c>
      <c r="AA127">
        <v>-4.26199706829411</v>
      </c>
      <c r="AB127">
        <v>1</v>
      </c>
      <c r="AC127">
        <v>-4.6356892708749999</v>
      </c>
      <c r="AD127">
        <v>-4.3667238447500001</v>
      </c>
      <c r="AE127">
        <v>1</v>
      </c>
      <c r="AF127">
        <v>-5.2635033233333299</v>
      </c>
      <c r="AG127">
        <v>-5.0726042059999896</v>
      </c>
      <c r="AH127">
        <v>1</v>
      </c>
      <c r="AI127">
        <v>-5.8045187616666603</v>
      </c>
      <c r="AJ127">
        <v>-5.4609156416666602</v>
      </c>
      <c r="AK127">
        <v>1</v>
      </c>
      <c r="AL127">
        <v>-5.7066940974999998</v>
      </c>
      <c r="AM127">
        <v>-5.2753890033333297</v>
      </c>
      <c r="AN127">
        <v>1</v>
      </c>
      <c r="AO127">
        <v>-4.2903080814705801</v>
      </c>
      <c r="AP127">
        <v>-3.8925051632352901</v>
      </c>
      <c r="AQ127">
        <v>1</v>
      </c>
      <c r="AR127">
        <v>-4.1370916675</v>
      </c>
      <c r="AS127">
        <v>-3.78254475249999</v>
      </c>
      <c r="AT127">
        <v>1</v>
      </c>
      <c r="AU127">
        <v>-4.8293366557333304</v>
      </c>
      <c r="AV127">
        <v>-4.5065617623999996</v>
      </c>
      <c r="AW127">
        <v>1</v>
      </c>
      <c r="AX127">
        <v>-4.7040590708333303</v>
      </c>
      <c r="AY127">
        <v>-4.3075887541666598</v>
      </c>
      <c r="AZ127">
        <v>1</v>
      </c>
      <c r="BA127">
        <v>-4.9207967449999996</v>
      </c>
      <c r="BB127">
        <v>-4.4351416449999999</v>
      </c>
      <c r="BC127">
        <v>1</v>
      </c>
      <c r="BD127">
        <v>-4.6203834702588198</v>
      </c>
      <c r="BE127">
        <v>-4.2756090808058804</v>
      </c>
      <c r="BF127">
        <v>1</v>
      </c>
      <c r="BG127">
        <v>-4.4463777185</v>
      </c>
      <c r="BH127">
        <v>-4.4044453353125004</v>
      </c>
      <c r="BI127">
        <v>1</v>
      </c>
      <c r="BJ127">
        <v>-5.3207488109333303</v>
      </c>
      <c r="BK127">
        <v>-5.0561928109333296</v>
      </c>
      <c r="BL127">
        <v>1</v>
      </c>
      <c r="BM127">
        <v>-5.7713366766666603</v>
      </c>
      <c r="BN127">
        <v>-5.4871788691666596</v>
      </c>
      <c r="BO127">
        <v>1</v>
      </c>
      <c r="BP127">
        <v>-5.7540701291666601</v>
      </c>
      <c r="BQ127">
        <v>-5.5086586300000002</v>
      </c>
      <c r="BR127">
        <v>1</v>
      </c>
    </row>
    <row r="128" spans="1:70" x14ac:dyDescent="0.35">
      <c r="A128" t="s">
        <v>642</v>
      </c>
      <c r="B128" t="s">
        <v>643</v>
      </c>
      <c r="C128" t="s">
        <v>644</v>
      </c>
      <c r="D128">
        <v>0</v>
      </c>
      <c r="E128" t="s">
        <v>240</v>
      </c>
      <c r="F128" t="str">
        <f>INDEX([1]train_xl!$H:$H,MATCH(E128,[1]train_xl!$G:$G,0))</f>
        <v>the-of</v>
      </c>
      <c r="G128" t="str">
        <f>INDEX([1]train_xl!$I:$I,MATCH(E128,[1]train_xl!$G:$G,0))</f>
        <v>sim</v>
      </c>
      <c r="H128" t="str">
        <f>INDEX([1]train_xl!$V:$V,MATCH(E128,[1]train_xl!$G:$G,0))</f>
        <v>not</v>
      </c>
      <c r="I128" t="str">
        <f>INDEX([2]Sheet1!$L:$L,MATCH(E128,[2]Sheet1!$I:$I,0))</f>
        <v>neg</v>
      </c>
      <c r="K128">
        <v>-5.34894267823333</v>
      </c>
      <c r="L128">
        <v>-4.6862391271000003</v>
      </c>
      <c r="M128">
        <v>0</v>
      </c>
      <c r="N128">
        <v>-5.3893047549285704</v>
      </c>
      <c r="O128">
        <v>-4.7340325875384597</v>
      </c>
      <c r="P128">
        <v>0</v>
      </c>
      <c r="Q128">
        <v>-6.4981701448461502</v>
      </c>
      <c r="R128">
        <v>-5.7286914612500004</v>
      </c>
      <c r="S128">
        <v>0</v>
      </c>
      <c r="T128">
        <v>-6.9211103759999997</v>
      </c>
      <c r="U128">
        <v>-5.98512293888888</v>
      </c>
      <c r="V128">
        <v>0</v>
      </c>
      <c r="W128">
        <v>-7.1650765199999897</v>
      </c>
      <c r="X128">
        <v>-5.8364890444444404</v>
      </c>
      <c r="Y128">
        <v>0</v>
      </c>
      <c r="Z128">
        <v>-5.8120641952666601</v>
      </c>
      <c r="AA128">
        <v>-5.2876723840000004</v>
      </c>
      <c r="AB128">
        <v>0</v>
      </c>
      <c r="AC128">
        <v>-6.0356941203571397</v>
      </c>
      <c r="AD128">
        <v>-5.5170692315384597</v>
      </c>
      <c r="AE128">
        <v>0</v>
      </c>
      <c r="AF128">
        <v>-7.1997669984615298</v>
      </c>
      <c r="AG128">
        <v>-6.6106255024999996</v>
      </c>
      <c r="AH128">
        <v>0</v>
      </c>
      <c r="AI128">
        <v>-7.6900390299999897</v>
      </c>
      <c r="AJ128">
        <v>-6.9752843733333298</v>
      </c>
      <c r="AK128">
        <v>0</v>
      </c>
      <c r="AL128">
        <v>-7.7906557699999999</v>
      </c>
      <c r="AM128">
        <v>-6.8514837222222198</v>
      </c>
      <c r="AN128">
        <v>0</v>
      </c>
      <c r="AO128">
        <v>-4.5551264110666603</v>
      </c>
      <c r="AP128">
        <v>-4.0733103467142797</v>
      </c>
      <c r="AQ128">
        <v>0</v>
      </c>
      <c r="AR128">
        <v>-4.7623710785714204</v>
      </c>
      <c r="AS128">
        <v>-4.0574008984615304</v>
      </c>
      <c r="AT128">
        <v>0</v>
      </c>
      <c r="AU128">
        <v>-5.6660298576923003</v>
      </c>
      <c r="AV128">
        <v>-5.0094754166666604</v>
      </c>
      <c r="AW128">
        <v>0</v>
      </c>
      <c r="AX128">
        <v>-5.9752130230000002</v>
      </c>
      <c r="AY128">
        <v>-5.1211212555555496</v>
      </c>
      <c r="AZ128">
        <v>0</v>
      </c>
      <c r="BA128">
        <v>-5.88078901</v>
      </c>
      <c r="BB128">
        <v>-4.8972445222222198</v>
      </c>
      <c r="BC128">
        <v>0</v>
      </c>
      <c r="BD128">
        <v>-5.9348040083999898</v>
      </c>
      <c r="BE128">
        <v>-5.27435052271428</v>
      </c>
      <c r="BF128">
        <v>0</v>
      </c>
      <c r="BG128">
        <v>-6.1178194585714198</v>
      </c>
      <c r="BH128">
        <v>-5.5106042865384604</v>
      </c>
      <c r="BI128">
        <v>0</v>
      </c>
      <c r="BJ128">
        <v>-7.2605010469230704</v>
      </c>
      <c r="BK128">
        <v>-6.6431583625000004</v>
      </c>
      <c r="BL128">
        <v>0</v>
      </c>
      <c r="BM128">
        <v>-7.8145178</v>
      </c>
      <c r="BN128">
        <v>-7.13987024777777</v>
      </c>
      <c r="BO128">
        <v>0</v>
      </c>
      <c r="BP128">
        <v>-7.9988750299999998</v>
      </c>
      <c r="BQ128">
        <v>-6.9425703777777699</v>
      </c>
      <c r="BR128">
        <v>0</v>
      </c>
    </row>
    <row r="129" spans="1:70" x14ac:dyDescent="0.35">
      <c r="A129" t="s">
        <v>645</v>
      </c>
      <c r="B129" t="s">
        <v>643</v>
      </c>
      <c r="C129" t="s">
        <v>644</v>
      </c>
      <c r="D129">
        <v>1</v>
      </c>
      <c r="E129" t="s">
        <v>241</v>
      </c>
      <c r="F129" t="str">
        <f>INDEX([1]train_xl!$H:$H,MATCH(E129,[1]train_xl!$G:$G,0))</f>
        <v>the-of</v>
      </c>
      <c r="G129" t="str">
        <f>INDEX([1]train_xl!$I:$I,MATCH(E129,[1]train_xl!$G:$G,0))</f>
        <v>sim</v>
      </c>
      <c r="H129" t="str">
        <f>INDEX([1]train_xl!$V:$V,MATCH(E129,[1]train_xl!$G:$G,0))</f>
        <v>not</v>
      </c>
      <c r="I129" t="str">
        <f>INDEX([2]Sheet1!$L:$L,MATCH(E129,[2]Sheet1!$I:$I,0))</f>
        <v>intens</v>
      </c>
      <c r="K129">
        <v>-5.5506136069999998</v>
      </c>
      <c r="L129">
        <v>-5.0980719969428501</v>
      </c>
      <c r="M129">
        <v>1</v>
      </c>
      <c r="N129">
        <v>-5.6417960667857097</v>
      </c>
      <c r="O129">
        <v>-5.054319875</v>
      </c>
      <c r="P129">
        <v>1</v>
      </c>
      <c r="Q129">
        <v>-6.62722385415384</v>
      </c>
      <c r="R129">
        <v>-5.9130603256666596</v>
      </c>
      <c r="S129">
        <v>1</v>
      </c>
      <c r="T129">
        <v>-7.0512730100000001</v>
      </c>
      <c r="U129">
        <v>-6.3300024077777701</v>
      </c>
      <c r="V129">
        <v>1</v>
      </c>
      <c r="W129">
        <v>-7.34641217999999</v>
      </c>
      <c r="X129">
        <v>-6.2539956666666603</v>
      </c>
      <c r="Y129">
        <v>1</v>
      </c>
      <c r="Z129">
        <v>-6.0318658286666604</v>
      </c>
      <c r="AA129">
        <v>-5.6094208918571402</v>
      </c>
      <c r="AB129">
        <v>1</v>
      </c>
      <c r="AC129">
        <v>-6.3512550247142796</v>
      </c>
      <c r="AD129">
        <v>-6.1433238138461501</v>
      </c>
      <c r="AE129">
        <v>1</v>
      </c>
      <c r="AF129">
        <v>-7.3027926135384602</v>
      </c>
      <c r="AG129">
        <v>-6.7387190788333298</v>
      </c>
      <c r="AH129">
        <v>1</v>
      </c>
      <c r="AI129">
        <v>-7.98180917</v>
      </c>
      <c r="AJ129">
        <v>-7.34209723555555</v>
      </c>
      <c r="AK129">
        <v>1</v>
      </c>
      <c r="AL129">
        <v>-8.2226228999999993</v>
      </c>
      <c r="AM129">
        <v>-7.48252012222222</v>
      </c>
      <c r="AN129">
        <v>1</v>
      </c>
      <c r="AO129">
        <v>-4.8290042386666601</v>
      </c>
      <c r="AP129">
        <v>-4.3268212097142804</v>
      </c>
      <c r="AQ129">
        <v>1</v>
      </c>
      <c r="AR129">
        <v>-5.0168206450000001</v>
      </c>
      <c r="AS129">
        <v>-4.2859537764615299</v>
      </c>
      <c r="AT129">
        <v>1</v>
      </c>
      <c r="AU129">
        <v>-5.7829319815384599</v>
      </c>
      <c r="AV129">
        <v>-5.1169325316666603</v>
      </c>
      <c r="AW129">
        <v>1</v>
      </c>
      <c r="AX129">
        <v>-6.2437259200000002</v>
      </c>
      <c r="AY129">
        <v>-5.3161758488888804</v>
      </c>
      <c r="AZ129">
        <v>1</v>
      </c>
      <c r="BA129">
        <v>-6.1800907299999901</v>
      </c>
      <c r="BB129">
        <v>-5.2786425777777701</v>
      </c>
      <c r="BC129">
        <v>1</v>
      </c>
      <c r="BD129">
        <v>-6.1811719883333298</v>
      </c>
      <c r="BE129">
        <v>-5.6425791367857103</v>
      </c>
      <c r="BF129">
        <v>1</v>
      </c>
      <c r="BG129">
        <v>-6.3902492561428499</v>
      </c>
      <c r="BH129">
        <v>-5.8683403046153799</v>
      </c>
      <c r="BI129">
        <v>1</v>
      </c>
      <c r="BJ129">
        <v>-7.3027234346153804</v>
      </c>
      <c r="BK129">
        <v>-6.73639599083333</v>
      </c>
      <c r="BL129">
        <v>1</v>
      </c>
      <c r="BM129">
        <v>-8.0422008699999896</v>
      </c>
      <c r="BN129">
        <v>-7.4453081299999901</v>
      </c>
      <c r="BO129">
        <v>1</v>
      </c>
      <c r="BP129">
        <v>-8.4205265300000001</v>
      </c>
      <c r="BQ129">
        <v>-7.5893020444444401</v>
      </c>
      <c r="BR129">
        <v>1</v>
      </c>
    </row>
    <row r="130" spans="1:70" x14ac:dyDescent="0.35">
      <c r="A130" t="s">
        <v>646</v>
      </c>
      <c r="B130" t="s">
        <v>41</v>
      </c>
      <c r="C130" t="s">
        <v>42</v>
      </c>
      <c r="D130">
        <v>0</v>
      </c>
      <c r="E130" t="s">
        <v>242</v>
      </c>
      <c r="F130" t="str">
        <f>INDEX([1]train_xl!$H:$H,MATCH(E130,[1]train_xl!$G:$G,0))</f>
        <v>the-of</v>
      </c>
      <c r="G130" t="str">
        <f>INDEX([1]train_xl!$I:$I,MATCH(E130,[1]train_xl!$G:$G,0))</f>
        <v>sim</v>
      </c>
      <c r="H130" t="str">
        <f>INDEX([1]train_xl!$V:$V,MATCH(E130,[1]train_xl!$G:$G,0))</f>
        <v>not</v>
      </c>
      <c r="I130" t="str">
        <f>INDEX([2]Sheet1!$L:$L,MATCH(E130,[2]Sheet1!$I:$I,0))</f>
        <v>neg</v>
      </c>
      <c r="K130">
        <v>-2.62146541855352</v>
      </c>
      <c r="L130">
        <v>-2.8907294142928399</v>
      </c>
      <c r="M130">
        <v>1</v>
      </c>
      <c r="N130">
        <v>-2.74441798660835</v>
      </c>
      <c r="O130">
        <v>-3.1307129702815</v>
      </c>
      <c r="P130">
        <v>1</v>
      </c>
      <c r="Q130">
        <v>-3.3424925443981</v>
      </c>
      <c r="R130">
        <v>-3.7672600683272899</v>
      </c>
      <c r="S130">
        <v>1</v>
      </c>
      <c r="T130">
        <v>-2.97950728290418</v>
      </c>
      <c r="U130">
        <v>-3.2266150138950001</v>
      </c>
      <c r="V130">
        <v>1</v>
      </c>
      <c r="W130">
        <v>-3.1428763814229299</v>
      </c>
      <c r="X130">
        <v>-3.43147139425214</v>
      </c>
      <c r="Y130">
        <v>1</v>
      </c>
      <c r="Z130">
        <v>-2.3930151510814199</v>
      </c>
      <c r="AA130">
        <v>-2.7010624962478902</v>
      </c>
      <c r="AB130">
        <v>1</v>
      </c>
      <c r="AC130">
        <v>-2.444764426406</v>
      </c>
      <c r="AD130">
        <v>-2.8625097727038802</v>
      </c>
      <c r="AE130">
        <v>1</v>
      </c>
      <c r="AF130">
        <v>-3.1198817263794698</v>
      </c>
      <c r="AG130">
        <v>-3.5337559834535202</v>
      </c>
      <c r="AH130">
        <v>1</v>
      </c>
      <c r="AI130">
        <v>-2.6526260315700001</v>
      </c>
      <c r="AJ130">
        <v>-3.0048873309228501</v>
      </c>
      <c r="AK130">
        <v>1</v>
      </c>
      <c r="AL130">
        <v>-2.7525681465443701</v>
      </c>
      <c r="AM130">
        <v>-3.1538856602799998</v>
      </c>
      <c r="AN130">
        <v>1</v>
      </c>
      <c r="AO130">
        <v>-2.46222203440619</v>
      </c>
      <c r="AP130">
        <v>-2.7676655094278901</v>
      </c>
      <c r="AQ130">
        <v>1</v>
      </c>
      <c r="AR130">
        <v>-2.4761629725669998</v>
      </c>
      <c r="AS130">
        <v>-2.88579522157444</v>
      </c>
      <c r="AT130">
        <v>1</v>
      </c>
      <c r="AU130">
        <v>-2.9135244122331501</v>
      </c>
      <c r="AV130">
        <v>-3.3678655893570499</v>
      </c>
      <c r="AW130">
        <v>1</v>
      </c>
      <c r="AX130">
        <v>-2.77769489595874</v>
      </c>
      <c r="AY130">
        <v>-3.437551074435</v>
      </c>
      <c r="AZ130">
        <v>1</v>
      </c>
      <c r="BA130">
        <v>-2.99549650179625</v>
      </c>
      <c r="BB130">
        <v>-3.2604996134349999</v>
      </c>
      <c r="BC130">
        <v>1</v>
      </c>
      <c r="BD130">
        <v>-2.9518703789457099</v>
      </c>
      <c r="BE130">
        <v>-3.2755989536926302</v>
      </c>
      <c r="BF130">
        <v>1</v>
      </c>
      <c r="BG130">
        <v>-3.0645671449499998</v>
      </c>
      <c r="BH130">
        <v>-3.4939290898555502</v>
      </c>
      <c r="BI130">
        <v>1</v>
      </c>
      <c r="BJ130">
        <v>-3.7185253466557899</v>
      </c>
      <c r="BK130">
        <v>-4.2237965433035196</v>
      </c>
      <c r="BL130">
        <v>1</v>
      </c>
      <c r="BM130">
        <v>-3.4660161147437498</v>
      </c>
      <c r="BN130">
        <v>-3.86638980022571</v>
      </c>
      <c r="BO130">
        <v>1</v>
      </c>
      <c r="BP130">
        <v>-3.4875858848037402</v>
      </c>
      <c r="BQ130">
        <v>-3.9235631848285699</v>
      </c>
      <c r="BR130">
        <v>1</v>
      </c>
    </row>
    <row r="131" spans="1:70" x14ac:dyDescent="0.35">
      <c r="A131" t="s">
        <v>647</v>
      </c>
      <c r="B131" t="s">
        <v>41</v>
      </c>
      <c r="C131" t="s">
        <v>42</v>
      </c>
      <c r="D131">
        <v>1</v>
      </c>
      <c r="E131" t="s">
        <v>243</v>
      </c>
      <c r="F131" t="str">
        <f>INDEX([1]train_xl!$H:$H,MATCH(E131,[1]train_xl!$G:$G,0))</f>
        <v>the-of</v>
      </c>
      <c r="G131" t="str">
        <f>INDEX([1]train_xl!$I:$I,MATCH(E131,[1]train_xl!$G:$G,0))</f>
        <v>sim</v>
      </c>
      <c r="H131" t="str">
        <f>INDEX([1]train_xl!$V:$V,MATCH(E131,[1]train_xl!$G:$G,0))</f>
        <v>not</v>
      </c>
      <c r="I131" t="str">
        <f>INDEX([2]Sheet1!$L:$L,MATCH(E131,[2]Sheet1!$I:$I,0))</f>
        <v>intens</v>
      </c>
      <c r="K131">
        <v>-3.3234157742368402</v>
      </c>
      <c r="L131">
        <v>-3.07704533351176</v>
      </c>
      <c r="M131">
        <v>1</v>
      </c>
      <c r="N131">
        <v>-3.4935603577777701</v>
      </c>
      <c r="O131">
        <v>-3.2138979804793699</v>
      </c>
      <c r="P131">
        <v>1</v>
      </c>
      <c r="Q131">
        <v>-4.2407882668823502</v>
      </c>
      <c r="R131">
        <v>-4.0566224619066604</v>
      </c>
      <c r="S131">
        <v>1</v>
      </c>
      <c r="T131">
        <v>-3.8956069421428499</v>
      </c>
      <c r="U131">
        <v>-3.7456617927999898</v>
      </c>
      <c r="V131">
        <v>1</v>
      </c>
      <c r="W131">
        <v>-4.12487415815714</v>
      </c>
      <c r="X131">
        <v>-4.0827471225833296</v>
      </c>
      <c r="Y131">
        <v>1</v>
      </c>
      <c r="Z131">
        <v>-2.9470659019999998</v>
      </c>
      <c r="AA131">
        <v>-2.7883696888529399</v>
      </c>
      <c r="AB131">
        <v>1</v>
      </c>
      <c r="AC131">
        <v>-3.0334031524999898</v>
      </c>
      <c r="AD131">
        <v>-2.7883332038750002</v>
      </c>
      <c r="AE131">
        <v>1</v>
      </c>
      <c r="AF131">
        <v>-3.7032973562352902</v>
      </c>
      <c r="AG131">
        <v>-3.6020058098000001</v>
      </c>
      <c r="AH131">
        <v>1</v>
      </c>
      <c r="AI131">
        <v>-3.4924773459285698</v>
      </c>
      <c r="AJ131">
        <v>-3.3412875609999899</v>
      </c>
      <c r="AK131">
        <v>1</v>
      </c>
      <c r="AL131">
        <v>-3.5665893762857102</v>
      </c>
      <c r="AM131">
        <v>-3.5965664815</v>
      </c>
      <c r="AN131">
        <v>0</v>
      </c>
      <c r="AO131">
        <v>-3.3774789787894699</v>
      </c>
      <c r="AP131">
        <v>-3.13529341878235</v>
      </c>
      <c r="AQ131">
        <v>1</v>
      </c>
      <c r="AR131">
        <v>-3.2436740910555502</v>
      </c>
      <c r="AS131">
        <v>-3.00652945543749</v>
      </c>
      <c r="AT131">
        <v>1</v>
      </c>
      <c r="AU131">
        <v>-3.6551409217647</v>
      </c>
      <c r="AV131">
        <v>-3.43102823150666</v>
      </c>
      <c r="AW131">
        <v>1</v>
      </c>
      <c r="AX131">
        <v>-3.6649664997142799</v>
      </c>
      <c r="AY131">
        <v>-3.4579788420000002</v>
      </c>
      <c r="AZ131">
        <v>1</v>
      </c>
      <c r="BA131">
        <v>-3.8870362164285699</v>
      </c>
      <c r="BB131">
        <v>-3.8879501676666601</v>
      </c>
      <c r="BC131">
        <v>0</v>
      </c>
      <c r="BD131">
        <v>-3.3682213822105198</v>
      </c>
      <c r="BE131">
        <v>-3.1769004885294101</v>
      </c>
      <c r="BF131">
        <v>1</v>
      </c>
      <c r="BG131">
        <v>-3.5445091503333299</v>
      </c>
      <c r="BH131">
        <v>-3.2667753377687498</v>
      </c>
      <c r="BI131">
        <v>1</v>
      </c>
      <c r="BJ131">
        <v>-4.2760613339411702</v>
      </c>
      <c r="BK131">
        <v>-4.1303172474666603</v>
      </c>
      <c r="BL131">
        <v>1</v>
      </c>
      <c r="BM131">
        <v>-3.9598625633571398</v>
      </c>
      <c r="BN131">
        <v>-4.0179348935833303</v>
      </c>
      <c r="BO131">
        <v>0</v>
      </c>
      <c r="BP131">
        <v>-4.16181556857142</v>
      </c>
      <c r="BQ131">
        <v>-4.2719403773333298</v>
      </c>
      <c r="BR131">
        <v>0</v>
      </c>
    </row>
    <row r="132" spans="1:70" x14ac:dyDescent="0.35">
      <c r="A132" t="s">
        <v>648</v>
      </c>
      <c r="B132" t="s">
        <v>43</v>
      </c>
      <c r="C132" t="s">
        <v>649</v>
      </c>
      <c r="D132">
        <v>0</v>
      </c>
      <c r="E132" t="s">
        <v>244</v>
      </c>
      <c r="F132" t="str">
        <f>INDEX([1]train_xl!$H:$H,MATCH(E132,[1]train_xl!$G:$G,0))</f>
        <v>as-as</v>
      </c>
      <c r="G132" t="str">
        <f>INDEX([1]train_xl!$I:$I,MATCH(E132,[1]train_xl!$G:$G,0))</f>
        <v>sim</v>
      </c>
      <c r="H132" t="str">
        <f>INDEX([1]train_xl!$V:$V,MATCH(E132,[1]train_xl!$G:$G,0))</f>
        <v>not</v>
      </c>
      <c r="I132" t="str">
        <f>INDEX([2]Sheet1!$L:$L,MATCH(E132,[2]Sheet1!$I:$I,0))</f>
        <v>neg</v>
      </c>
      <c r="K132">
        <v>-3.9819166538124899</v>
      </c>
      <c r="L132">
        <v>-4.63589874486666</v>
      </c>
      <c r="M132">
        <v>1</v>
      </c>
      <c r="N132">
        <v>-4.1088666597066599</v>
      </c>
      <c r="O132">
        <v>-4.6939629993142802</v>
      </c>
      <c r="P132">
        <v>1</v>
      </c>
      <c r="Q132">
        <v>-4.9676474151428502</v>
      </c>
      <c r="R132">
        <v>-5.7057416024615302</v>
      </c>
      <c r="S132">
        <v>1</v>
      </c>
      <c r="T132">
        <v>-4.8682845041818101</v>
      </c>
      <c r="U132">
        <v>-5.7973607914</v>
      </c>
      <c r="V132">
        <v>1</v>
      </c>
      <c r="W132">
        <v>-5.3374417769090901</v>
      </c>
      <c r="X132">
        <v>-5.8907294113999997</v>
      </c>
      <c r="Y132">
        <v>1</v>
      </c>
      <c r="Z132">
        <v>-3.5358389873124998</v>
      </c>
      <c r="AA132">
        <v>-4.0108112786666599</v>
      </c>
      <c r="AB132">
        <v>1</v>
      </c>
      <c r="AC132">
        <v>-3.6700593583333299</v>
      </c>
      <c r="AD132">
        <v>-4.2108666028571404</v>
      </c>
      <c r="AE132">
        <v>1</v>
      </c>
      <c r="AF132">
        <v>-4.4046880285714201</v>
      </c>
      <c r="AG132">
        <v>-5.0107423553846102</v>
      </c>
      <c r="AH132">
        <v>1</v>
      </c>
      <c r="AI132">
        <v>-4.4317070272727204</v>
      </c>
      <c r="AJ132">
        <v>-5.1835514229999999</v>
      </c>
      <c r="AK132">
        <v>1</v>
      </c>
      <c r="AL132">
        <v>-4.6416444999999902</v>
      </c>
      <c r="AM132">
        <v>-5.0786092799999896</v>
      </c>
      <c r="AN132">
        <v>1</v>
      </c>
      <c r="AO132">
        <v>-4.4172956320000001</v>
      </c>
      <c r="AP132">
        <v>-4.8317795037333298</v>
      </c>
      <c r="AQ132">
        <v>1</v>
      </c>
      <c r="AR132">
        <v>-4.4256845656000001</v>
      </c>
      <c r="AS132">
        <v>-5.0677638004285699</v>
      </c>
      <c r="AT132">
        <v>1</v>
      </c>
      <c r="AU132">
        <v>-5.2387611123571398</v>
      </c>
      <c r="AV132">
        <v>-5.9415484051538403</v>
      </c>
      <c r="AW132">
        <v>1</v>
      </c>
      <c r="AX132">
        <v>-5.7751492191818103</v>
      </c>
      <c r="AY132">
        <v>-6.7224639540000002</v>
      </c>
      <c r="AZ132">
        <v>1</v>
      </c>
      <c r="BA132">
        <v>-5.7176066828181797</v>
      </c>
      <c r="BB132">
        <v>-6.1599020839999996</v>
      </c>
      <c r="BC132">
        <v>1</v>
      </c>
      <c r="BD132">
        <v>-3.7333186189999998</v>
      </c>
      <c r="BE132">
        <v>-4.2101060295333301</v>
      </c>
      <c r="BF132">
        <v>1</v>
      </c>
      <c r="BG132">
        <v>-3.8648167053333302</v>
      </c>
      <c r="BH132">
        <v>-4.4149112285714196</v>
      </c>
      <c r="BI132">
        <v>1</v>
      </c>
      <c r="BJ132">
        <v>-4.4629191228571399</v>
      </c>
      <c r="BK132">
        <v>-5.09287504</v>
      </c>
      <c r="BL132">
        <v>1</v>
      </c>
      <c r="BM132">
        <v>-4.8253071799999896</v>
      </c>
      <c r="BN132">
        <v>-5.5658729190000003</v>
      </c>
      <c r="BO132">
        <v>1</v>
      </c>
      <c r="BP132">
        <v>-4.8148770072727203</v>
      </c>
      <c r="BQ132">
        <v>-5.2020391589999999</v>
      </c>
      <c r="BR132">
        <v>1</v>
      </c>
    </row>
    <row r="133" spans="1:70" x14ac:dyDescent="0.35">
      <c r="A133" t="s">
        <v>650</v>
      </c>
      <c r="B133" t="s">
        <v>43</v>
      </c>
      <c r="C133" t="s">
        <v>649</v>
      </c>
      <c r="D133">
        <v>1</v>
      </c>
      <c r="E133" t="s">
        <v>245</v>
      </c>
      <c r="F133" t="str">
        <f>INDEX([1]train_xl!$H:$H,MATCH(E133,[1]train_xl!$G:$G,0))</f>
        <v>as-as</v>
      </c>
      <c r="G133" t="str">
        <f>INDEX([1]train_xl!$I:$I,MATCH(E133,[1]train_xl!$G:$G,0))</f>
        <v>sim</v>
      </c>
      <c r="H133" t="str">
        <f>INDEX([1]train_xl!$V:$V,MATCH(E133,[1]train_xl!$G:$G,0))</f>
        <v>not</v>
      </c>
      <c r="I133" t="str">
        <f>INDEX([2]Sheet1!$L:$L,MATCH(E133,[2]Sheet1!$I:$I,0))</f>
        <v>intens</v>
      </c>
      <c r="K133">
        <v>-4.3295623479062497</v>
      </c>
      <c r="L133">
        <v>-4.26045484853333</v>
      </c>
      <c r="M133">
        <v>1</v>
      </c>
      <c r="N133">
        <v>-4.3903005923333298</v>
      </c>
      <c r="O133">
        <v>-4.3514775175928504</v>
      </c>
      <c r="P133">
        <v>1</v>
      </c>
      <c r="Q133">
        <v>-5.1702498282499896</v>
      </c>
      <c r="R133">
        <v>-5.2120578417922996</v>
      </c>
      <c r="S133">
        <v>0</v>
      </c>
      <c r="T133">
        <v>-5.6626827914545403</v>
      </c>
      <c r="U133">
        <v>-5.5336499243999997</v>
      </c>
      <c r="V133">
        <v>1</v>
      </c>
      <c r="W133">
        <v>-5.7719448859999902</v>
      </c>
      <c r="X133">
        <v>-5.8636516714000004</v>
      </c>
      <c r="Y133">
        <v>0</v>
      </c>
      <c r="Z133">
        <v>-3.8249273991874899</v>
      </c>
      <c r="AA133">
        <v>-3.7526529651999998</v>
      </c>
      <c r="AB133">
        <v>1</v>
      </c>
      <c r="AC133">
        <v>-4.15022423426666</v>
      </c>
      <c r="AD133">
        <v>-3.9585297371428498</v>
      </c>
      <c r="AE133">
        <v>1</v>
      </c>
      <c r="AF133">
        <v>-4.7694176542857099</v>
      </c>
      <c r="AG133">
        <v>-4.7720811992307599</v>
      </c>
      <c r="AH133">
        <v>0</v>
      </c>
      <c r="AI133">
        <v>-4.9774748245454496</v>
      </c>
      <c r="AJ133">
        <v>-4.8242033099999997</v>
      </c>
      <c r="AK133">
        <v>1</v>
      </c>
      <c r="AL133">
        <v>-5.1165217727272703</v>
      </c>
      <c r="AM133">
        <v>-5.1250748729999902</v>
      </c>
      <c r="AN133">
        <v>0</v>
      </c>
      <c r="AO133">
        <v>-4.6672986398124996</v>
      </c>
      <c r="AP133">
        <v>-4.64743034693333</v>
      </c>
      <c r="AQ133">
        <v>1</v>
      </c>
      <c r="AR133">
        <v>-4.6796124089333304</v>
      </c>
      <c r="AS133">
        <v>-4.6208926300000002</v>
      </c>
      <c r="AT133">
        <v>1</v>
      </c>
      <c r="AU133">
        <v>-5.4175917099999999</v>
      </c>
      <c r="AV133">
        <v>-5.5117815299999897</v>
      </c>
      <c r="AW133">
        <v>0</v>
      </c>
      <c r="AX133">
        <v>-5.9977622009999996</v>
      </c>
      <c r="AY133">
        <v>-6.0082127439999997</v>
      </c>
      <c r="AZ133">
        <v>0</v>
      </c>
      <c r="BA133">
        <v>-6.0029868646363598</v>
      </c>
      <c r="BB133">
        <v>-6.1739821040000002</v>
      </c>
      <c r="BC133">
        <v>0</v>
      </c>
      <c r="BD133">
        <v>-4.10102305825</v>
      </c>
      <c r="BE133">
        <v>-4.0218571146000004</v>
      </c>
      <c r="BF133">
        <v>1</v>
      </c>
      <c r="BG133">
        <v>-4.2465390059999999</v>
      </c>
      <c r="BH133">
        <v>-4.1666846999999896</v>
      </c>
      <c r="BI133">
        <v>1</v>
      </c>
      <c r="BJ133">
        <v>-4.91528619071428</v>
      </c>
      <c r="BK133">
        <v>-4.8580356223076899</v>
      </c>
      <c r="BL133">
        <v>1</v>
      </c>
      <c r="BM133">
        <v>-5.2763440800000003</v>
      </c>
      <c r="BN133">
        <v>-5.1461606489999996</v>
      </c>
      <c r="BO133">
        <v>1</v>
      </c>
      <c r="BP133">
        <v>-5.3738275800000004</v>
      </c>
      <c r="BQ133">
        <v>-5.3545963280000004</v>
      </c>
      <c r="BR133">
        <v>1</v>
      </c>
    </row>
    <row r="134" spans="1:70" x14ac:dyDescent="0.35">
      <c r="A134" t="s">
        <v>651</v>
      </c>
      <c r="B134" t="s">
        <v>652</v>
      </c>
      <c r="C134" t="s">
        <v>653</v>
      </c>
      <c r="D134">
        <v>0</v>
      </c>
      <c r="E134" t="s">
        <v>246</v>
      </c>
      <c r="F134" t="str">
        <f>INDEX([1]train_xl!$H:$H,MATCH(E134,[1]train_xl!$G:$G,0))</f>
        <v>as-as</v>
      </c>
      <c r="G134" t="str">
        <f>INDEX([1]train_xl!$I:$I,MATCH(E134,[1]train_xl!$G:$G,0))</f>
        <v>sim</v>
      </c>
      <c r="H134" t="str">
        <f>INDEX([1]train_xl!$V:$V,MATCH(E134,[1]train_xl!$G:$G,0))</f>
        <v>not</v>
      </c>
      <c r="I134" t="str">
        <f>INDEX([2]Sheet1!$L:$L,MATCH(E134,[2]Sheet1!$I:$I,0))</f>
        <v>intens</v>
      </c>
      <c r="K134">
        <v>-3.3274686659374999</v>
      </c>
      <c r="L134">
        <v>-3.4971974914705801</v>
      </c>
      <c r="M134">
        <v>1</v>
      </c>
      <c r="N134">
        <v>-3.6149647709333301</v>
      </c>
      <c r="O134">
        <v>-3.7978703947499999</v>
      </c>
      <c r="P134">
        <v>1</v>
      </c>
      <c r="Q134">
        <v>-4.5008033978571396</v>
      </c>
      <c r="R134">
        <v>-4.6357698239999996</v>
      </c>
      <c r="S134">
        <v>1</v>
      </c>
      <c r="T134">
        <v>-4.4518488545454504</v>
      </c>
      <c r="U134">
        <v>-4.3688410749999997</v>
      </c>
      <c r="V134">
        <v>0</v>
      </c>
      <c r="W134">
        <v>-4.7627229</v>
      </c>
      <c r="X134">
        <v>-4.6835074666666596</v>
      </c>
      <c r="Y134">
        <v>0</v>
      </c>
      <c r="Z134">
        <v>-3.1154540738124998</v>
      </c>
      <c r="AA134">
        <v>-3.2672926590588198</v>
      </c>
      <c r="AB134">
        <v>1</v>
      </c>
      <c r="AC134">
        <v>-3.1654083797333299</v>
      </c>
      <c r="AD134">
        <v>-3.3815101730000001</v>
      </c>
      <c r="AE134">
        <v>1</v>
      </c>
      <c r="AF134">
        <v>-4.07037325642857</v>
      </c>
      <c r="AG134">
        <v>-4.2211202439999997</v>
      </c>
      <c r="AH134">
        <v>1</v>
      </c>
      <c r="AI134">
        <v>-4.04842099090909</v>
      </c>
      <c r="AJ134">
        <v>-3.98304043333333</v>
      </c>
      <c r="AK134">
        <v>0</v>
      </c>
      <c r="AL134">
        <v>-4.1561733181818097</v>
      </c>
      <c r="AM134">
        <v>-4.1134177166666603</v>
      </c>
      <c r="AN134">
        <v>0</v>
      </c>
      <c r="AO134">
        <v>-4.7507995468750002</v>
      </c>
      <c r="AP134">
        <v>-4.7848959167647003</v>
      </c>
      <c r="AQ134">
        <v>1</v>
      </c>
      <c r="AR134">
        <v>-4.52300481593333</v>
      </c>
      <c r="AS134">
        <v>-4.7261580743750002</v>
      </c>
      <c r="AT134">
        <v>1</v>
      </c>
      <c r="AU134">
        <v>-5.1595427742857103</v>
      </c>
      <c r="AV134">
        <v>-5.3500035453333297</v>
      </c>
      <c r="AW134">
        <v>1</v>
      </c>
      <c r="AX134">
        <v>-5.7787491454545403</v>
      </c>
      <c r="AY134">
        <v>-5.6498081999999998</v>
      </c>
      <c r="AZ134">
        <v>0</v>
      </c>
      <c r="BA134">
        <v>-5.9172636045454503</v>
      </c>
      <c r="BB134">
        <v>-5.72661738833333</v>
      </c>
      <c r="BC134">
        <v>0</v>
      </c>
      <c r="BD134">
        <v>-4.4059884168750001</v>
      </c>
      <c r="BE134">
        <v>-4.4496764141764702</v>
      </c>
      <c r="BF134">
        <v>1</v>
      </c>
      <c r="BG134">
        <v>-4.55094787606666</v>
      </c>
      <c r="BH134">
        <v>-4.6442780456249997</v>
      </c>
      <c r="BI134">
        <v>1</v>
      </c>
      <c r="BJ134">
        <v>-5.5024192914285699</v>
      </c>
      <c r="BK134">
        <v>-5.5508731153333297</v>
      </c>
      <c r="BL134">
        <v>1</v>
      </c>
      <c r="BM134">
        <v>-5.9048566181818103</v>
      </c>
      <c r="BN134">
        <v>-5.7206343449999997</v>
      </c>
      <c r="BO134">
        <v>0</v>
      </c>
      <c r="BP134">
        <v>-6.17447405454545</v>
      </c>
      <c r="BQ134">
        <v>-5.9185619000000003</v>
      </c>
      <c r="BR134">
        <v>0</v>
      </c>
    </row>
    <row r="135" spans="1:70" x14ac:dyDescent="0.35">
      <c r="A135" t="s">
        <v>654</v>
      </c>
      <c r="B135" t="s">
        <v>652</v>
      </c>
      <c r="C135" t="s">
        <v>653</v>
      </c>
      <c r="D135">
        <v>1</v>
      </c>
      <c r="E135" t="s">
        <v>247</v>
      </c>
      <c r="F135" t="str">
        <f>INDEX([1]train_xl!$H:$H,MATCH(E135,[1]train_xl!$G:$G,0))</f>
        <v>as-as</v>
      </c>
      <c r="G135" t="str">
        <f>INDEX([1]train_xl!$I:$I,MATCH(E135,[1]train_xl!$G:$G,0))</f>
        <v>sim</v>
      </c>
      <c r="H135" t="str">
        <f>INDEX([1]train_xl!$V:$V,MATCH(E135,[1]train_xl!$G:$G,0))</f>
        <v>not</v>
      </c>
      <c r="I135" t="str">
        <f>INDEX([2]Sheet1!$L:$L,MATCH(E135,[2]Sheet1!$I:$I,0))</f>
        <v>neg</v>
      </c>
      <c r="K135">
        <v>-3.7953578376750001</v>
      </c>
      <c r="L135">
        <v>-3.3346547923764698</v>
      </c>
      <c r="M135">
        <v>1</v>
      </c>
      <c r="N135">
        <v>-4.1554142455733301</v>
      </c>
      <c r="O135">
        <v>-3.5259160513749999</v>
      </c>
      <c r="P135">
        <v>1</v>
      </c>
      <c r="Q135">
        <v>-4.9518902399999902</v>
      </c>
      <c r="R135">
        <v>-4.2658185016000001</v>
      </c>
      <c r="S135">
        <v>1</v>
      </c>
      <c r="T135">
        <v>-5.0141649363636303</v>
      </c>
      <c r="U135">
        <v>-4.3945463416666604</v>
      </c>
      <c r="V135">
        <v>1</v>
      </c>
      <c r="W135">
        <v>-5.0747060181818098</v>
      </c>
      <c r="X135">
        <v>-4.6380703250000002</v>
      </c>
      <c r="Y135">
        <v>1</v>
      </c>
      <c r="Z135">
        <v>-3.5281486375625</v>
      </c>
      <c r="AA135">
        <v>-3.1685779951764701</v>
      </c>
      <c r="AB135">
        <v>1</v>
      </c>
      <c r="AC135">
        <v>-3.7511959873333298</v>
      </c>
      <c r="AD135">
        <v>-3.29495479999999</v>
      </c>
      <c r="AE135">
        <v>1</v>
      </c>
      <c r="AF135">
        <v>-4.3974248307142796</v>
      </c>
      <c r="AG135">
        <v>-3.90781119666666</v>
      </c>
      <c r="AH135">
        <v>1</v>
      </c>
      <c r="AI135">
        <v>-4.50545088181818</v>
      </c>
      <c r="AJ135">
        <v>-4.0840933000000001</v>
      </c>
      <c r="AK135">
        <v>1</v>
      </c>
      <c r="AL135">
        <v>-4.3495010181818099</v>
      </c>
      <c r="AM135">
        <v>-4.0278687333333298</v>
      </c>
      <c r="AN135">
        <v>1</v>
      </c>
      <c r="AO135">
        <v>-5.1781336498749999</v>
      </c>
      <c r="AP135">
        <v>-4.6988899831176401</v>
      </c>
      <c r="AQ135">
        <v>1</v>
      </c>
      <c r="AR135">
        <v>-5.1361618519999999</v>
      </c>
      <c r="AS135">
        <v>-4.7121074018750004</v>
      </c>
      <c r="AT135">
        <v>1</v>
      </c>
      <c r="AU135">
        <v>-5.5625481189285697</v>
      </c>
      <c r="AV135">
        <v>-4.9699497480000003</v>
      </c>
      <c r="AW135">
        <v>1</v>
      </c>
      <c r="AX135">
        <v>-6.0945719090908996</v>
      </c>
      <c r="AY135">
        <v>-5.5710493750000003</v>
      </c>
      <c r="AZ135">
        <v>1</v>
      </c>
      <c r="BA135">
        <v>-6.3086736818181803</v>
      </c>
      <c r="BB135">
        <v>-5.7882601333333303</v>
      </c>
      <c r="BC135">
        <v>1</v>
      </c>
      <c r="BD135">
        <v>-4.8387893776874904</v>
      </c>
      <c r="BE135">
        <v>-4.4357608687647003</v>
      </c>
      <c r="BF135">
        <v>1</v>
      </c>
      <c r="BG135">
        <v>-5.1550848236000002</v>
      </c>
      <c r="BH135">
        <v>-4.6028588422499999</v>
      </c>
      <c r="BI135">
        <v>1</v>
      </c>
      <c r="BJ135">
        <v>-5.9877825835714198</v>
      </c>
      <c r="BK135">
        <v>-5.3162133840000001</v>
      </c>
      <c r="BL135">
        <v>1</v>
      </c>
      <c r="BM135">
        <v>-6.5105247636363597</v>
      </c>
      <c r="BN135">
        <v>-5.9003955999999897</v>
      </c>
      <c r="BO135">
        <v>1</v>
      </c>
      <c r="BP135">
        <v>-6.3923146727272702</v>
      </c>
      <c r="BQ135">
        <v>-5.8285089000000001</v>
      </c>
      <c r="BR135">
        <v>1</v>
      </c>
    </row>
    <row r="136" spans="1:70" x14ac:dyDescent="0.35">
      <c r="A136" t="s">
        <v>655</v>
      </c>
      <c r="B136" t="s">
        <v>44</v>
      </c>
      <c r="C136" t="s">
        <v>45</v>
      </c>
      <c r="D136">
        <v>0</v>
      </c>
      <c r="E136" t="s">
        <v>248</v>
      </c>
      <c r="F136" t="str">
        <f>INDEX([1]train_xl!$H:$H,MATCH(E136,[1]train_xl!$G:$G,0))</f>
        <v>like</v>
      </c>
      <c r="G136" t="str">
        <f>INDEX([1]train_xl!$I:$I,MATCH(E136,[1]train_xl!$G:$G,0))</f>
        <v>sim</v>
      </c>
      <c r="H136" t="str">
        <f>INDEX([1]train_xl!$V:$V,MATCH(E136,[1]train_xl!$G:$G,0))</f>
        <v>not</v>
      </c>
      <c r="I136" t="str">
        <f>INDEX([2]Sheet1!$L:$L,MATCH(E136,[2]Sheet1!$I:$I,0))</f>
        <v>intens</v>
      </c>
      <c r="K136">
        <v>-3.3830744319361101</v>
      </c>
      <c r="L136">
        <v>-3.1511020514421002</v>
      </c>
      <c r="M136">
        <v>0</v>
      </c>
      <c r="N136">
        <v>-3.3586682160235202</v>
      </c>
      <c r="O136">
        <v>-3.1656533417611099</v>
      </c>
      <c r="P136">
        <v>0</v>
      </c>
      <c r="Q136">
        <v>-3.9312819599125</v>
      </c>
      <c r="R136">
        <v>-3.60674096293529</v>
      </c>
      <c r="S136">
        <v>0</v>
      </c>
      <c r="T136">
        <v>-3.7333466639461501</v>
      </c>
      <c r="U136">
        <v>-3.72840349621428</v>
      </c>
      <c r="V136">
        <v>0</v>
      </c>
      <c r="W136">
        <v>-4.1601154930846098</v>
      </c>
      <c r="X136">
        <v>-4.1388313918285702</v>
      </c>
      <c r="Y136">
        <v>0</v>
      </c>
      <c r="Z136">
        <v>-3.0999219766777699</v>
      </c>
      <c r="AA136">
        <v>-2.9571268964578898</v>
      </c>
      <c r="AB136">
        <v>0</v>
      </c>
      <c r="AC136">
        <v>-3.25197660835294</v>
      </c>
      <c r="AD136">
        <v>-3.1229186947777698</v>
      </c>
      <c r="AE136">
        <v>0</v>
      </c>
      <c r="AF136">
        <v>-3.6575279688687399</v>
      </c>
      <c r="AG136">
        <v>-3.4749626531117599</v>
      </c>
      <c r="AH136">
        <v>0</v>
      </c>
      <c r="AI136">
        <v>-3.5145496456923002</v>
      </c>
      <c r="AJ136">
        <v>-3.6023024251928502</v>
      </c>
      <c r="AK136">
        <v>1</v>
      </c>
      <c r="AL136">
        <v>-3.7726516708846098</v>
      </c>
      <c r="AM136">
        <v>-3.7992687858285699</v>
      </c>
      <c r="AN136">
        <v>1</v>
      </c>
      <c r="AO136">
        <v>-3.1651057454611098</v>
      </c>
      <c r="AP136">
        <v>-2.9874552121442099</v>
      </c>
      <c r="AQ136">
        <v>0</v>
      </c>
      <c r="AR136">
        <v>-3.4556205585058799</v>
      </c>
      <c r="AS136">
        <v>-3.30504336257777</v>
      </c>
      <c r="AT136">
        <v>0</v>
      </c>
      <c r="AU136">
        <v>-3.8805865369062502</v>
      </c>
      <c r="AV136">
        <v>-3.70861446478823</v>
      </c>
      <c r="AW136">
        <v>0</v>
      </c>
      <c r="AX136">
        <v>-3.5752833166692302</v>
      </c>
      <c r="AY136">
        <v>-3.4911265604999899</v>
      </c>
      <c r="AZ136">
        <v>0</v>
      </c>
      <c r="BA136">
        <v>-4.0379996365769202</v>
      </c>
      <c r="BB136">
        <v>-3.9536927440571401</v>
      </c>
      <c r="BC136">
        <v>0</v>
      </c>
      <c r="BD136">
        <v>-3.8707140867888801</v>
      </c>
      <c r="BE136">
        <v>-3.67995937919473</v>
      </c>
      <c r="BF136">
        <v>0</v>
      </c>
      <c r="BG136">
        <v>-3.9808994648470502</v>
      </c>
      <c r="BH136">
        <v>-3.8059452721444398</v>
      </c>
      <c r="BI136">
        <v>0</v>
      </c>
      <c r="BJ136">
        <v>-4.4697246317187496</v>
      </c>
      <c r="BK136">
        <v>-4.2250363838235296</v>
      </c>
      <c r="BL136">
        <v>0</v>
      </c>
      <c r="BM136">
        <v>-4.6373858981538403</v>
      </c>
      <c r="BN136">
        <v>-4.5784968564285702</v>
      </c>
      <c r="BO136">
        <v>0</v>
      </c>
      <c r="BP136">
        <v>-4.9596661746153803</v>
      </c>
      <c r="BQ136">
        <v>-4.8483122843285704</v>
      </c>
      <c r="BR136">
        <v>0</v>
      </c>
    </row>
    <row r="137" spans="1:70" x14ac:dyDescent="0.35">
      <c r="A137" t="s">
        <v>656</v>
      </c>
      <c r="B137" t="s">
        <v>44</v>
      </c>
      <c r="C137" t="s">
        <v>45</v>
      </c>
      <c r="D137">
        <v>1</v>
      </c>
      <c r="E137" t="s">
        <v>249</v>
      </c>
      <c r="F137" t="str">
        <f>INDEX([1]train_xl!$H:$H,MATCH(E137,[1]train_xl!$G:$G,0))</f>
        <v>like</v>
      </c>
      <c r="G137" t="str">
        <f>INDEX([1]train_xl!$I:$I,MATCH(E137,[1]train_xl!$G:$G,0))</f>
        <v>sim</v>
      </c>
      <c r="H137" t="str">
        <f>INDEX([1]train_xl!$V:$V,MATCH(E137,[1]train_xl!$G:$G,0))</f>
        <v>not</v>
      </c>
      <c r="I137" t="str">
        <f>INDEX([2]Sheet1!$L:$L,MATCH(E137,[2]Sheet1!$I:$I,0))</f>
        <v>neg</v>
      </c>
      <c r="K137">
        <v>-3.37852534309999</v>
      </c>
      <c r="L137">
        <v>-3.2490439591563098</v>
      </c>
      <c r="M137">
        <v>1</v>
      </c>
      <c r="N137">
        <v>-3.3758577258999898</v>
      </c>
      <c r="O137">
        <v>-3.2705132726555499</v>
      </c>
      <c r="P137">
        <v>1</v>
      </c>
      <c r="Q137">
        <v>-3.92422364220625</v>
      </c>
      <c r="R137">
        <v>-3.8196990486117599</v>
      </c>
      <c r="S137">
        <v>1</v>
      </c>
      <c r="T137">
        <v>-3.8726759312999999</v>
      </c>
      <c r="U137">
        <v>-3.9573403083285701</v>
      </c>
      <c r="V137">
        <v>0</v>
      </c>
      <c r="W137">
        <v>-4.2570401752615297</v>
      </c>
      <c r="X137">
        <v>-4.2864378783357102</v>
      </c>
      <c r="Y137">
        <v>0</v>
      </c>
      <c r="Z137">
        <v>-3.1357023118166598</v>
      </c>
      <c r="AA137">
        <v>-3.0463257477105201</v>
      </c>
      <c r="AB137">
        <v>1</v>
      </c>
      <c r="AC137">
        <v>-3.3031446512529401</v>
      </c>
      <c r="AD137">
        <v>-3.1636954184777699</v>
      </c>
      <c r="AE137">
        <v>1</v>
      </c>
      <c r="AF137">
        <v>-3.7184098620312498</v>
      </c>
      <c r="AG137">
        <v>-3.6150546812470501</v>
      </c>
      <c r="AH137">
        <v>1</v>
      </c>
      <c r="AI137">
        <v>-3.5881962453076901</v>
      </c>
      <c r="AJ137">
        <v>-3.6978491804999898</v>
      </c>
      <c r="AK137">
        <v>0</v>
      </c>
      <c r="AL137">
        <v>-3.8743550619384601</v>
      </c>
      <c r="AM137">
        <v>-3.9123483540428499</v>
      </c>
      <c r="AN137">
        <v>0</v>
      </c>
      <c r="AO137">
        <v>-3.4112170846188801</v>
      </c>
      <c r="AP137">
        <v>-3.2859915579563101</v>
      </c>
      <c r="AQ137">
        <v>1</v>
      </c>
      <c r="AR137">
        <v>-3.5113480460941102</v>
      </c>
      <c r="AS137">
        <v>-3.36488171363888</v>
      </c>
      <c r="AT137">
        <v>1</v>
      </c>
      <c r="AU137">
        <v>-3.9559092657649901</v>
      </c>
      <c r="AV137">
        <v>-3.8039598911588199</v>
      </c>
      <c r="AW137">
        <v>1</v>
      </c>
      <c r="AX137">
        <v>-3.6977073093999899</v>
      </c>
      <c r="AY137">
        <v>-3.6879398426214198</v>
      </c>
      <c r="AZ137">
        <v>1</v>
      </c>
      <c r="BA137">
        <v>-4.1567646378922998</v>
      </c>
      <c r="BB137">
        <v>-4.08020038986428</v>
      </c>
      <c r="BC137">
        <v>1</v>
      </c>
      <c r="BD137">
        <v>-3.92496695286111</v>
      </c>
      <c r="BE137">
        <v>-3.7546680824210501</v>
      </c>
      <c r="BF137">
        <v>1</v>
      </c>
      <c r="BG137">
        <v>-4.1419219003529397</v>
      </c>
      <c r="BH137">
        <v>-3.9577509202944401</v>
      </c>
      <c r="BI137">
        <v>1</v>
      </c>
      <c r="BJ137">
        <v>-4.5487549218999996</v>
      </c>
      <c r="BK137">
        <v>-4.44121207535294</v>
      </c>
      <c r="BL137">
        <v>1</v>
      </c>
      <c r="BM137">
        <v>-4.7608018758461501</v>
      </c>
      <c r="BN137">
        <v>-4.7409584912499998</v>
      </c>
      <c r="BO137">
        <v>1</v>
      </c>
      <c r="BP137">
        <v>-5.0838168508461496</v>
      </c>
      <c r="BQ137">
        <v>-5.0547780120999999</v>
      </c>
      <c r="BR137">
        <v>1</v>
      </c>
    </row>
    <row r="138" spans="1:70" x14ac:dyDescent="0.35">
      <c r="A138" t="s">
        <v>657</v>
      </c>
      <c r="B138" t="s">
        <v>658</v>
      </c>
      <c r="C138" t="s">
        <v>659</v>
      </c>
      <c r="D138">
        <v>0</v>
      </c>
      <c r="E138" t="s">
        <v>250</v>
      </c>
      <c r="F138" t="str">
        <f>INDEX([1]train_xl!$H:$H,MATCH(E138,[1]train_xl!$G:$G,0))</f>
        <v>like</v>
      </c>
      <c r="G138" t="str">
        <f>INDEX([1]train_xl!$I:$I,MATCH(E138,[1]train_xl!$G:$G,0))</f>
        <v>sim</v>
      </c>
      <c r="H138" t="str">
        <f>INDEX([1]train_xl!$V:$V,MATCH(E138,[1]train_xl!$G:$G,0))</f>
        <v>not</v>
      </c>
      <c r="I138" t="str">
        <f>INDEX([2]Sheet1!$L:$L,MATCH(E138,[2]Sheet1!$I:$I,0))</f>
        <v>intens</v>
      </c>
      <c r="K138">
        <v>-3.87141357885714</v>
      </c>
      <c r="L138">
        <v>-4.3831643403999996</v>
      </c>
      <c r="M138">
        <v>1</v>
      </c>
      <c r="N138">
        <v>-4.0293893023076901</v>
      </c>
      <c r="O138">
        <v>-4.5966038657857098</v>
      </c>
      <c r="P138">
        <v>1</v>
      </c>
      <c r="Q138">
        <v>-5.0569102734999998</v>
      </c>
      <c r="R138">
        <v>-5.5219626703846103</v>
      </c>
      <c r="S138">
        <v>1</v>
      </c>
      <c r="T138">
        <v>-4.9330739688888796</v>
      </c>
      <c r="U138">
        <v>-5.6555215489999897</v>
      </c>
      <c r="V138">
        <v>1</v>
      </c>
      <c r="W138">
        <v>-5.4791202333333304</v>
      </c>
      <c r="X138">
        <v>-6.0547387050000001</v>
      </c>
      <c r="Y138">
        <v>1</v>
      </c>
      <c r="Z138">
        <v>-3.46378362314285</v>
      </c>
      <c r="AA138">
        <v>-3.83482169733333</v>
      </c>
      <c r="AB138">
        <v>1</v>
      </c>
      <c r="AC138">
        <v>-3.7357003572307601</v>
      </c>
      <c r="AD138">
        <v>-3.9875517907142801</v>
      </c>
      <c r="AE138">
        <v>1</v>
      </c>
      <c r="AF138">
        <v>-4.5600380249999999</v>
      </c>
      <c r="AG138">
        <v>-4.90644093576923</v>
      </c>
      <c r="AH138">
        <v>1</v>
      </c>
      <c r="AI138">
        <v>-4.12646119444444</v>
      </c>
      <c r="AJ138">
        <v>-4.8926533299999999</v>
      </c>
      <c r="AK138">
        <v>1</v>
      </c>
      <c r="AL138">
        <v>-4.4613656311111098</v>
      </c>
      <c r="AM138">
        <v>-4.8551449299999998</v>
      </c>
      <c r="AN138">
        <v>1</v>
      </c>
      <c r="AO138">
        <v>-4.5141498327142804</v>
      </c>
      <c r="AP138">
        <v>-4.7428066776666604</v>
      </c>
      <c r="AQ138">
        <v>1</v>
      </c>
      <c r="AR138">
        <v>-4.3437316253846099</v>
      </c>
      <c r="AS138">
        <v>-4.80056718071428</v>
      </c>
      <c r="AT138">
        <v>1</v>
      </c>
      <c r="AU138">
        <v>-5.9311900024999904</v>
      </c>
      <c r="AV138">
        <v>-6.2402518938461498</v>
      </c>
      <c r="AW138">
        <v>1</v>
      </c>
      <c r="AX138">
        <v>-6.2106816244444403</v>
      </c>
      <c r="AY138">
        <v>-6.6393985100000004</v>
      </c>
      <c r="AZ138">
        <v>1</v>
      </c>
      <c r="BA138">
        <v>-5.8454522688888799</v>
      </c>
      <c r="BB138">
        <v>-6.1167290000000003</v>
      </c>
      <c r="BC138">
        <v>1</v>
      </c>
      <c r="BD138">
        <v>-3.5758782978571402</v>
      </c>
      <c r="BE138">
        <v>-3.9470639806666599</v>
      </c>
      <c r="BF138">
        <v>1</v>
      </c>
      <c r="BG138">
        <v>-3.8483265138461502</v>
      </c>
      <c r="BH138">
        <v>-4.2629459828571399</v>
      </c>
      <c r="BI138">
        <v>1</v>
      </c>
      <c r="BJ138">
        <v>-4.6955065558333304</v>
      </c>
      <c r="BK138">
        <v>-5.0151364592307601</v>
      </c>
      <c r="BL138">
        <v>1</v>
      </c>
      <c r="BM138">
        <v>-4.4142198966666601</v>
      </c>
      <c r="BN138">
        <v>-5.0962996349999896</v>
      </c>
      <c r="BO138">
        <v>1</v>
      </c>
      <c r="BP138">
        <v>-4.8414285533333299</v>
      </c>
      <c r="BQ138">
        <v>-5.2741178389999996</v>
      </c>
      <c r="BR138">
        <v>1</v>
      </c>
    </row>
    <row r="139" spans="1:70" x14ac:dyDescent="0.35">
      <c r="A139" t="s">
        <v>660</v>
      </c>
      <c r="B139" t="s">
        <v>658</v>
      </c>
      <c r="C139" t="s">
        <v>659</v>
      </c>
      <c r="D139">
        <v>1</v>
      </c>
      <c r="E139" t="s">
        <v>251</v>
      </c>
      <c r="F139" t="str">
        <f>INDEX([1]train_xl!$H:$H,MATCH(E139,[1]train_xl!$G:$G,0))</f>
        <v>like</v>
      </c>
      <c r="G139" t="str">
        <f>INDEX([1]train_xl!$I:$I,MATCH(E139,[1]train_xl!$G:$G,0))</f>
        <v>sim</v>
      </c>
      <c r="H139" t="str">
        <f>INDEX([1]train_xl!$V:$V,MATCH(E139,[1]train_xl!$G:$G,0))</f>
        <v>not</v>
      </c>
      <c r="I139" t="str">
        <f>INDEX([2]Sheet1!$L:$L,MATCH(E139,[2]Sheet1!$I:$I,0))</f>
        <v>neg</v>
      </c>
      <c r="K139">
        <v>-4.1524874011428503</v>
      </c>
      <c r="L139">
        <v>-4.1181572036666596</v>
      </c>
      <c r="M139">
        <v>1</v>
      </c>
      <c r="N139">
        <v>-4.31046315984615</v>
      </c>
      <c r="O139">
        <v>-4.3049027352857099</v>
      </c>
      <c r="P139">
        <v>1</v>
      </c>
      <c r="Q139">
        <v>-5.3575977943333299</v>
      </c>
      <c r="R139">
        <v>-5.2611362000000002</v>
      </c>
      <c r="S139">
        <v>1</v>
      </c>
      <c r="T139">
        <v>-5.4066043977777696</v>
      </c>
      <c r="U139">
        <v>-5.3781074813999901</v>
      </c>
      <c r="V139">
        <v>1</v>
      </c>
      <c r="W139">
        <v>-5.74232636666666</v>
      </c>
      <c r="X139">
        <v>-5.8390231479999999</v>
      </c>
      <c r="Y139">
        <v>0</v>
      </c>
      <c r="Z139">
        <v>-3.89482797342857</v>
      </c>
      <c r="AA139">
        <v>-3.9808164530000001</v>
      </c>
      <c r="AB139">
        <v>0</v>
      </c>
      <c r="AC139">
        <v>-4.0018682746153802</v>
      </c>
      <c r="AD139">
        <v>-3.89221979542857</v>
      </c>
      <c r="AE139">
        <v>1</v>
      </c>
      <c r="AF139">
        <v>-5.0523342083333302</v>
      </c>
      <c r="AG139">
        <v>-5.0014756938461504</v>
      </c>
      <c r="AH139">
        <v>1</v>
      </c>
      <c r="AI139">
        <v>-4.7047398411111097</v>
      </c>
      <c r="AJ139">
        <v>-4.834611153</v>
      </c>
      <c r="AK139">
        <v>0</v>
      </c>
      <c r="AL139">
        <v>-4.6554009722222203</v>
      </c>
      <c r="AM139">
        <v>-4.8709929299999999</v>
      </c>
      <c r="AN139">
        <v>0</v>
      </c>
      <c r="AO139">
        <v>-4.6493212485714199</v>
      </c>
      <c r="AP139">
        <v>-4.4769804719999904</v>
      </c>
      <c r="AQ139">
        <v>1</v>
      </c>
      <c r="AR139">
        <v>-4.5994429692307701</v>
      </c>
      <c r="AS139">
        <v>-4.4324575789285703</v>
      </c>
      <c r="AT139">
        <v>1</v>
      </c>
      <c r="AU139">
        <v>-6.2231007058333301</v>
      </c>
      <c r="AV139">
        <v>-5.9417220653846101</v>
      </c>
      <c r="AW139">
        <v>1</v>
      </c>
      <c r="AX139">
        <v>-6.5918697688888797</v>
      </c>
      <c r="AY139">
        <v>-6.3185099239999998</v>
      </c>
      <c r="AZ139">
        <v>1</v>
      </c>
      <c r="BA139">
        <v>-6.0902192466666598</v>
      </c>
      <c r="BB139">
        <v>-6.0336348839999996</v>
      </c>
      <c r="BC139">
        <v>1</v>
      </c>
      <c r="BD139">
        <v>-3.7353414214285698</v>
      </c>
      <c r="BE139">
        <v>-3.8321217833333301</v>
      </c>
      <c r="BF139">
        <v>0</v>
      </c>
      <c r="BG139">
        <v>-3.9439611119230702</v>
      </c>
      <c r="BH139">
        <v>-3.918975605</v>
      </c>
      <c r="BI139">
        <v>1</v>
      </c>
      <c r="BJ139">
        <v>-4.9609599174999897</v>
      </c>
      <c r="BK139">
        <v>-4.8741385838461504</v>
      </c>
      <c r="BL139">
        <v>1</v>
      </c>
      <c r="BM139">
        <v>-4.7758261822222199</v>
      </c>
      <c r="BN139">
        <v>-4.7842358320000002</v>
      </c>
      <c r="BO139">
        <v>0</v>
      </c>
      <c r="BP139">
        <v>-5.0729944144444401</v>
      </c>
      <c r="BQ139">
        <v>-5.1766588299999903</v>
      </c>
      <c r="BR139">
        <v>0</v>
      </c>
    </row>
    <row r="140" spans="1:70" x14ac:dyDescent="0.35">
      <c r="A140" t="s">
        <v>661</v>
      </c>
      <c r="B140" t="s">
        <v>662</v>
      </c>
      <c r="C140" t="s">
        <v>663</v>
      </c>
      <c r="D140">
        <v>1</v>
      </c>
      <c r="E140" t="s">
        <v>253</v>
      </c>
      <c r="F140" t="str">
        <f>INDEX([1]train_xl!$H:$H,MATCH(E140,[1]train_xl!$G:$G,0))</f>
        <v>as-as</v>
      </c>
      <c r="G140" t="str">
        <f>INDEX([1]train_xl!$I:$I,MATCH(E140,[1]train_xl!$G:$G,0))</f>
        <v>sim</v>
      </c>
      <c r="H140" t="str">
        <f>INDEX([1]train_xl!$V:$V,MATCH(E140,[1]train_xl!$G:$G,0))</f>
        <v>antonym</v>
      </c>
      <c r="I140" t="str">
        <f>INDEX([2]Sheet1!$L:$L,MATCH(E140,[2]Sheet1!$I:$I,0))</f>
        <v>intens</v>
      </c>
      <c r="K140">
        <v>-3.7401384560333302</v>
      </c>
      <c r="L140">
        <v>-3.53841235012142</v>
      </c>
      <c r="M140">
        <v>1</v>
      </c>
      <c r="N140">
        <v>-3.8212040502857101</v>
      </c>
      <c r="O140">
        <v>-3.6268702519230702</v>
      </c>
      <c r="P140">
        <v>1</v>
      </c>
      <c r="Q140">
        <v>-4.5475803474615297</v>
      </c>
      <c r="R140">
        <v>-4.5113590295833301</v>
      </c>
      <c r="S140">
        <v>1</v>
      </c>
      <c r="T140">
        <v>-4.3387918154999996</v>
      </c>
      <c r="U140">
        <v>-4.2797545777777701</v>
      </c>
      <c r="V140">
        <v>1</v>
      </c>
      <c r="W140">
        <v>-4.6222783344999998</v>
      </c>
      <c r="X140">
        <v>-4.6068791444444397</v>
      </c>
      <c r="Y140">
        <v>1</v>
      </c>
      <c r="Z140">
        <v>-4.2163307679999997</v>
      </c>
      <c r="AA140">
        <v>-4.2241511309285702</v>
      </c>
      <c r="AB140">
        <v>0</v>
      </c>
      <c r="AC140">
        <v>-4.2414562457142804</v>
      </c>
      <c r="AD140">
        <v>-4.2098560784615398</v>
      </c>
      <c r="AE140">
        <v>1</v>
      </c>
      <c r="AF140">
        <v>-4.9736441766153803</v>
      </c>
      <c r="AG140">
        <v>-5.0658270258333298</v>
      </c>
      <c r="AH140">
        <v>0</v>
      </c>
      <c r="AI140">
        <v>-5.0515724839999896</v>
      </c>
      <c r="AJ140">
        <v>-5.27292067777777</v>
      </c>
      <c r="AK140">
        <v>0</v>
      </c>
      <c r="AL140">
        <v>-5.2273150449999903</v>
      </c>
      <c r="AM140">
        <v>-5.54388635555555</v>
      </c>
      <c r="AN140">
        <v>0</v>
      </c>
      <c r="AO140">
        <v>-3.42439734133333</v>
      </c>
      <c r="AP140">
        <v>-3.25976326242857</v>
      </c>
      <c r="AQ140">
        <v>1</v>
      </c>
      <c r="AR140">
        <v>-3.3240242318571398</v>
      </c>
      <c r="AS140">
        <v>-3.20658815153846</v>
      </c>
      <c r="AT140">
        <v>1</v>
      </c>
      <c r="AU140">
        <v>-4.1089847646153803</v>
      </c>
      <c r="AV140">
        <v>-4.07588269166666</v>
      </c>
      <c r="AW140">
        <v>1</v>
      </c>
      <c r="AX140">
        <v>-3.8082520999999998</v>
      </c>
      <c r="AY140">
        <v>-3.71324325888888</v>
      </c>
      <c r="AZ140">
        <v>1</v>
      </c>
      <c r="BA140">
        <v>-3.8417316260000001</v>
      </c>
      <c r="BB140">
        <v>-4.0278401088888796</v>
      </c>
      <c r="BC140">
        <v>0</v>
      </c>
      <c r="BD140">
        <v>-4.1896690973333301</v>
      </c>
      <c r="BE140">
        <v>-4.1816068437142802</v>
      </c>
      <c r="BF140">
        <v>1</v>
      </c>
      <c r="BG140">
        <v>-4.2408299714285702</v>
      </c>
      <c r="BH140">
        <v>-4.1088277519230703</v>
      </c>
      <c r="BI140">
        <v>1</v>
      </c>
      <c r="BJ140">
        <v>-5.0767744169230697</v>
      </c>
      <c r="BK140">
        <v>-5.2061246099999998</v>
      </c>
      <c r="BL140">
        <v>0</v>
      </c>
      <c r="BM140">
        <v>-5.0896168050000004</v>
      </c>
      <c r="BN140">
        <v>-5.2780020844444397</v>
      </c>
      <c r="BO140">
        <v>0</v>
      </c>
      <c r="BP140">
        <v>-5.3802234199999903</v>
      </c>
      <c r="BQ140">
        <v>-5.6438990777777702</v>
      </c>
      <c r="BR140">
        <v>0</v>
      </c>
    </row>
    <row r="141" spans="1:70" x14ac:dyDescent="0.35">
      <c r="A141" t="s">
        <v>664</v>
      </c>
      <c r="B141" t="s">
        <v>662</v>
      </c>
      <c r="C141" t="s">
        <v>663</v>
      </c>
      <c r="D141">
        <v>0</v>
      </c>
      <c r="E141" t="s">
        <v>252</v>
      </c>
      <c r="F141" t="str">
        <f>INDEX([1]train_xl!$H:$H,MATCH(E141,[1]train_xl!$G:$G,0))</f>
        <v>as-as</v>
      </c>
      <c r="G141" t="str">
        <f>INDEX([1]train_xl!$I:$I,MATCH(E141,[1]train_xl!$G:$G,0))</f>
        <v>sim</v>
      </c>
      <c r="H141" t="str">
        <f>INDEX([1]train_xl!$V:$V,MATCH(E141,[1]train_xl!$G:$G,0))</f>
        <v>antonym</v>
      </c>
      <c r="I141" t="str">
        <f>INDEX([2]Sheet1!$L:$L,MATCH(E141,[2]Sheet1!$I:$I,0))</f>
        <v>neg</v>
      </c>
      <c r="K141">
        <v>-3.74912472033333</v>
      </c>
      <c r="L141">
        <v>-3.9813908261428499</v>
      </c>
      <c r="M141">
        <v>1</v>
      </c>
      <c r="N141">
        <v>-3.8108941174285702</v>
      </c>
      <c r="O141">
        <v>-4.0271160103076902</v>
      </c>
      <c r="P141">
        <v>1</v>
      </c>
      <c r="Q141">
        <v>-4.7132769246153803</v>
      </c>
      <c r="R141">
        <v>-5.0784482627500003</v>
      </c>
      <c r="S141">
        <v>1</v>
      </c>
      <c r="T141">
        <v>-4.5758757470000004</v>
      </c>
      <c r="U141">
        <v>-4.5664320732222201</v>
      </c>
      <c r="V141">
        <v>0</v>
      </c>
      <c r="W141">
        <v>-4.991982814</v>
      </c>
      <c r="X141">
        <v>-5.31327248888888</v>
      </c>
      <c r="Y141">
        <v>1</v>
      </c>
      <c r="Z141">
        <v>-4.0395745720666598</v>
      </c>
      <c r="AA141">
        <v>-4.4475071445714196</v>
      </c>
      <c r="AB141">
        <v>1</v>
      </c>
      <c r="AC141">
        <v>-4.1066136592857099</v>
      </c>
      <c r="AD141">
        <v>-4.5388640323076901</v>
      </c>
      <c r="AE141">
        <v>1</v>
      </c>
      <c r="AF141">
        <v>-4.9581579276922998</v>
      </c>
      <c r="AG141">
        <v>-5.4654072949999897</v>
      </c>
      <c r="AH141">
        <v>1</v>
      </c>
      <c r="AI141">
        <v>-5.1216208080000003</v>
      </c>
      <c r="AJ141">
        <v>-5.3884356194444401</v>
      </c>
      <c r="AK141">
        <v>1</v>
      </c>
      <c r="AL141">
        <v>-5.3669215670000003</v>
      </c>
      <c r="AM141">
        <v>-5.7830425666666603</v>
      </c>
      <c r="AN141">
        <v>1</v>
      </c>
      <c r="AO141">
        <v>-3.5603519684</v>
      </c>
      <c r="AP141">
        <v>-3.8911337159285702</v>
      </c>
      <c r="AQ141">
        <v>1</v>
      </c>
      <c r="AR141">
        <v>-3.38003405642857</v>
      </c>
      <c r="AS141">
        <v>-3.8343526030769199</v>
      </c>
      <c r="AT141">
        <v>1</v>
      </c>
      <c r="AU141">
        <v>-4.1205996430769201</v>
      </c>
      <c r="AV141">
        <v>-4.5597586100000003</v>
      </c>
      <c r="AW141">
        <v>1</v>
      </c>
      <c r="AX141">
        <v>-3.9979786079999999</v>
      </c>
      <c r="AY141">
        <v>-4.1227768494444401</v>
      </c>
      <c r="AZ141">
        <v>1</v>
      </c>
      <c r="BA141">
        <v>-4.2682249899999896</v>
      </c>
      <c r="BB141">
        <v>-4.5182047333333299</v>
      </c>
      <c r="BC141">
        <v>1</v>
      </c>
      <c r="BD141">
        <v>-3.9572376186666598</v>
      </c>
      <c r="BE141">
        <v>-4.3554633347142797</v>
      </c>
      <c r="BF141">
        <v>1</v>
      </c>
      <c r="BG141">
        <v>-4.0875468592857098</v>
      </c>
      <c r="BH141">
        <v>-4.5064063896922999</v>
      </c>
      <c r="BI141">
        <v>1</v>
      </c>
      <c r="BJ141">
        <v>-4.6961279515384602</v>
      </c>
      <c r="BK141">
        <v>-5.207386165</v>
      </c>
      <c r="BL141">
        <v>1</v>
      </c>
      <c r="BM141">
        <v>-5.0305055169999999</v>
      </c>
      <c r="BN141">
        <v>-5.2805088572222196</v>
      </c>
      <c r="BO141">
        <v>1</v>
      </c>
      <c r="BP141">
        <v>-5.3810325539999999</v>
      </c>
      <c r="BQ141">
        <v>-5.7998192355555496</v>
      </c>
      <c r="BR141">
        <v>1</v>
      </c>
    </row>
    <row r="142" spans="1:70" x14ac:dyDescent="0.35">
      <c r="A142" t="s">
        <v>665</v>
      </c>
      <c r="B142" t="s">
        <v>666</v>
      </c>
      <c r="C142" t="s">
        <v>46</v>
      </c>
      <c r="D142">
        <v>0</v>
      </c>
      <c r="E142" t="s">
        <v>254</v>
      </c>
      <c r="F142" t="str">
        <f>INDEX([1]train_xl!$H:$H,MATCH(E142,[1]train_xl!$G:$G,0))</f>
        <v>the-of</v>
      </c>
      <c r="G142" t="str">
        <f>INDEX([1]train_xl!$I:$I,MATCH(E142,[1]train_xl!$G:$G,0))</f>
        <v>sim</v>
      </c>
      <c r="H142" t="str">
        <f>INDEX([1]train_xl!$V:$V,MATCH(E142,[1]train_xl!$G:$G,0))</f>
        <v>not</v>
      </c>
      <c r="I142" t="str">
        <f>INDEX([2]Sheet1!$L:$L,MATCH(E142,[2]Sheet1!$I:$I,0))</f>
        <v>intens</v>
      </c>
      <c r="K142">
        <v>-3.3720684942666601</v>
      </c>
      <c r="L142">
        <v>-3.4727524803124998</v>
      </c>
      <c r="M142">
        <v>1</v>
      </c>
      <c r="N142">
        <v>-3.4305226903571402</v>
      </c>
      <c r="O142">
        <v>-3.5609874473333298</v>
      </c>
      <c r="P142">
        <v>1</v>
      </c>
      <c r="Q142">
        <v>-4.4300834672307596</v>
      </c>
      <c r="R142">
        <v>-4.4632416296428499</v>
      </c>
      <c r="S142">
        <v>1</v>
      </c>
      <c r="T142">
        <v>-4.0182159960000003</v>
      </c>
      <c r="U142">
        <v>-4.1581278036363596</v>
      </c>
      <c r="V142">
        <v>1</v>
      </c>
      <c r="W142">
        <v>-4.5407993949999899</v>
      </c>
      <c r="X142">
        <v>-4.4797091136363596</v>
      </c>
      <c r="Y142">
        <v>0</v>
      </c>
      <c r="Z142">
        <v>-3.7221780666666602</v>
      </c>
      <c r="AA142">
        <v>-3.81463048025</v>
      </c>
      <c r="AB142">
        <v>1</v>
      </c>
      <c r="AC142">
        <v>-3.7964096851428502</v>
      </c>
      <c r="AD142">
        <v>-3.9700807970000001</v>
      </c>
      <c r="AE142">
        <v>1</v>
      </c>
      <c r="AF142">
        <v>-4.7874096892307696</v>
      </c>
      <c r="AG142">
        <v>-4.8530571589999996</v>
      </c>
      <c r="AH142">
        <v>1</v>
      </c>
      <c r="AI142">
        <v>-4.6474512035999904</v>
      </c>
      <c r="AJ142">
        <v>-4.71068072</v>
      </c>
      <c r="AK142">
        <v>1</v>
      </c>
      <c r="AL142">
        <v>-4.8659067135999896</v>
      </c>
      <c r="AM142">
        <v>-4.8598956763636298</v>
      </c>
      <c r="AN142">
        <v>0</v>
      </c>
      <c r="AO142">
        <v>-3.14118554066666</v>
      </c>
      <c r="AP142">
        <v>-3.3873225487499998</v>
      </c>
      <c r="AQ142">
        <v>1</v>
      </c>
      <c r="AR142">
        <v>-3.3094771209999898</v>
      </c>
      <c r="AS142">
        <v>-3.5928759293333301</v>
      </c>
      <c r="AT142">
        <v>1</v>
      </c>
      <c r="AU142">
        <v>-3.8248996469230701</v>
      </c>
      <c r="AV142">
        <v>-4.0515686371428501</v>
      </c>
      <c r="AW142">
        <v>1</v>
      </c>
      <c r="AX142">
        <v>-3.70776824699999</v>
      </c>
      <c r="AY142">
        <v>-3.9436339636363602</v>
      </c>
      <c r="AZ142">
        <v>1</v>
      </c>
      <c r="BA142">
        <v>-3.9700883409999901</v>
      </c>
      <c r="BB142">
        <v>-4.1444701200000003</v>
      </c>
      <c r="BC142">
        <v>1</v>
      </c>
      <c r="BD142">
        <v>-3.7684565283999998</v>
      </c>
      <c r="BE142">
        <v>-3.870570753125</v>
      </c>
      <c r="BF142">
        <v>1</v>
      </c>
      <c r="BG142">
        <v>-3.7891910324999998</v>
      </c>
      <c r="BH142">
        <v>-4.0163814389999999</v>
      </c>
      <c r="BI142">
        <v>1</v>
      </c>
      <c r="BJ142">
        <v>-4.7072128626153802</v>
      </c>
      <c r="BK142">
        <v>-4.81009430557142</v>
      </c>
      <c r="BL142">
        <v>1</v>
      </c>
      <c r="BM142">
        <v>-4.6233614650000003</v>
      </c>
      <c r="BN142">
        <v>-4.6927596149090904</v>
      </c>
      <c r="BO142">
        <v>1</v>
      </c>
      <c r="BP142">
        <v>-4.9364330163999997</v>
      </c>
      <c r="BQ142">
        <v>-4.8579800909090904</v>
      </c>
      <c r="BR142">
        <v>0</v>
      </c>
    </row>
    <row r="143" spans="1:70" x14ac:dyDescent="0.35">
      <c r="A143" t="s">
        <v>667</v>
      </c>
      <c r="B143" t="s">
        <v>666</v>
      </c>
      <c r="C143" t="s">
        <v>46</v>
      </c>
      <c r="D143">
        <v>1</v>
      </c>
      <c r="E143" t="s">
        <v>255</v>
      </c>
      <c r="F143" t="str">
        <f>INDEX([1]train_xl!$H:$H,MATCH(E143,[1]train_xl!$G:$G,0))</f>
        <v>the-of</v>
      </c>
      <c r="G143" t="str">
        <f>INDEX([1]train_xl!$I:$I,MATCH(E143,[1]train_xl!$G:$G,0))</f>
        <v>sim</v>
      </c>
      <c r="H143" t="str">
        <f>INDEX([1]train_xl!$V:$V,MATCH(E143,[1]train_xl!$G:$G,0))</f>
        <v>not</v>
      </c>
      <c r="I143" t="str">
        <f>INDEX([2]Sheet1!$L:$L,MATCH(E143,[2]Sheet1!$I:$I,0))</f>
        <v>neg</v>
      </c>
      <c r="K143">
        <v>-4.0946800653571396</v>
      </c>
      <c r="L143">
        <v>-3.5870513943533302</v>
      </c>
      <c r="M143">
        <v>1</v>
      </c>
      <c r="N143">
        <v>-4.4489087949230699</v>
      </c>
      <c r="O143">
        <v>-3.83489735095</v>
      </c>
      <c r="P143">
        <v>1</v>
      </c>
      <c r="Q143">
        <v>-5.4727865121666603</v>
      </c>
      <c r="R143">
        <v>-4.6977318625384603</v>
      </c>
      <c r="S143">
        <v>1</v>
      </c>
      <c r="T143">
        <v>-5.0198777111111097</v>
      </c>
      <c r="U143">
        <v>-4.5111552999999898</v>
      </c>
      <c r="V143">
        <v>1</v>
      </c>
      <c r="W143">
        <v>-5.4504468755555502</v>
      </c>
      <c r="X143">
        <v>-5.0833687400000001</v>
      </c>
      <c r="Y143">
        <v>1</v>
      </c>
      <c r="Z143">
        <v>-4.4419960731428496</v>
      </c>
      <c r="AA143">
        <v>-3.99245685913333</v>
      </c>
      <c r="AB143">
        <v>1</v>
      </c>
      <c r="AC143">
        <v>-4.8220623384615298</v>
      </c>
      <c r="AD143">
        <v>-4.2707391502857099</v>
      </c>
      <c r="AE143">
        <v>1</v>
      </c>
      <c r="AF143">
        <v>-5.7169648383333298</v>
      </c>
      <c r="AG143">
        <v>-5.0498278053846102</v>
      </c>
      <c r="AH143">
        <v>1</v>
      </c>
      <c r="AI143">
        <v>-5.5950103611111102</v>
      </c>
      <c r="AJ143">
        <v>-5.1946026379999903</v>
      </c>
      <c r="AK143">
        <v>1</v>
      </c>
      <c r="AL143">
        <v>-5.9097582933333301</v>
      </c>
      <c r="AM143">
        <v>-5.6013830640000002</v>
      </c>
      <c r="AN143">
        <v>1</v>
      </c>
      <c r="AO143">
        <v>-3.9961347571428498</v>
      </c>
      <c r="AP143">
        <v>-3.6371689577333299</v>
      </c>
      <c r="AQ143">
        <v>1</v>
      </c>
      <c r="AR143">
        <v>-4.22430811538461</v>
      </c>
      <c r="AS143">
        <v>-3.7781159614285702</v>
      </c>
      <c r="AT143">
        <v>1</v>
      </c>
      <c r="AU143">
        <v>-4.8680684183333298</v>
      </c>
      <c r="AV143">
        <v>-4.4465217542307602</v>
      </c>
      <c r="AW143">
        <v>1</v>
      </c>
      <c r="AX143">
        <v>-4.77683615222222</v>
      </c>
      <c r="AY143">
        <v>-4.3147010659999996</v>
      </c>
      <c r="AZ143">
        <v>1</v>
      </c>
      <c r="BA143">
        <v>-4.9879913499999899</v>
      </c>
      <c r="BB143">
        <v>-4.7560213779999998</v>
      </c>
      <c r="BC143">
        <v>1</v>
      </c>
      <c r="BD143">
        <v>-4.2341118469285703</v>
      </c>
      <c r="BE143">
        <v>-3.7812587863333298</v>
      </c>
      <c r="BF143">
        <v>1</v>
      </c>
      <c r="BG143">
        <v>-4.5963452307692299</v>
      </c>
      <c r="BH143">
        <v>-4.0562380214285696</v>
      </c>
      <c r="BI143">
        <v>1</v>
      </c>
      <c r="BJ143">
        <v>-5.4290968416666603</v>
      </c>
      <c r="BK143">
        <v>-4.7907761461538403</v>
      </c>
      <c r="BL143">
        <v>1</v>
      </c>
      <c r="BM143">
        <v>-5.1358253644444396</v>
      </c>
      <c r="BN143">
        <v>-4.7985122439999897</v>
      </c>
      <c r="BO143">
        <v>1</v>
      </c>
      <c r="BP143">
        <v>-5.5860175611111096</v>
      </c>
      <c r="BQ143">
        <v>-5.2515092649999904</v>
      </c>
      <c r="BR143">
        <v>1</v>
      </c>
    </row>
    <row r="144" spans="1:70" x14ac:dyDescent="0.35">
      <c r="A144" t="s">
        <v>668</v>
      </c>
      <c r="B144" t="s">
        <v>76</v>
      </c>
      <c r="C144" t="s">
        <v>669</v>
      </c>
      <c r="D144">
        <v>0</v>
      </c>
      <c r="E144" t="s">
        <v>256</v>
      </c>
      <c r="F144" t="str">
        <f>INDEX([1]train_xl!$H:$H,MATCH(E144,[1]train_xl!$G:$G,0))</f>
        <v>as-as</v>
      </c>
      <c r="G144" t="str">
        <f>INDEX([1]train_xl!$I:$I,MATCH(E144,[1]train_xl!$G:$G,0))</f>
        <v>sim</v>
      </c>
      <c r="H144" t="str">
        <f>INDEX([1]train_xl!$V:$V,MATCH(E144,[1]train_xl!$G:$G,0))</f>
        <v>antonym</v>
      </c>
      <c r="I144" t="str">
        <f>INDEX([2]Sheet1!$L:$L,MATCH(E144,[2]Sheet1!$I:$I,0))</f>
        <v>intens</v>
      </c>
      <c r="K144">
        <v>-3.5033231717857101</v>
      </c>
      <c r="L144">
        <v>-3.6782445678666602</v>
      </c>
      <c r="M144">
        <v>1</v>
      </c>
      <c r="N144">
        <v>-3.6956843112307598</v>
      </c>
      <c r="O144">
        <v>-3.8875487700357101</v>
      </c>
      <c r="P144">
        <v>1</v>
      </c>
      <c r="Q144">
        <v>-4.3897197310833302</v>
      </c>
      <c r="R144">
        <v>-4.4911306316923003</v>
      </c>
      <c r="S144">
        <v>1</v>
      </c>
      <c r="T144">
        <v>-4.8553225999999903</v>
      </c>
      <c r="U144">
        <v>-4.8214746599999998</v>
      </c>
      <c r="V144">
        <v>0</v>
      </c>
      <c r="W144">
        <v>-5.1027725777777704</v>
      </c>
      <c r="X144">
        <v>-5.0246217099999999</v>
      </c>
      <c r="Y144">
        <v>0</v>
      </c>
      <c r="Z144">
        <v>-4.57282019142857</v>
      </c>
      <c r="AA144">
        <v>-4.27737225233333</v>
      </c>
      <c r="AB144">
        <v>0</v>
      </c>
      <c r="AC144">
        <v>-4.7186294130769202</v>
      </c>
      <c r="AD144">
        <v>-4.4024252849999899</v>
      </c>
      <c r="AE144">
        <v>0</v>
      </c>
      <c r="AF144">
        <v>-5.1809303174999899</v>
      </c>
      <c r="AG144">
        <v>-5.12387178076923</v>
      </c>
      <c r="AH144">
        <v>0</v>
      </c>
      <c r="AI144">
        <v>-5.66803548888889</v>
      </c>
      <c r="AJ144">
        <v>-5.5223946799999997</v>
      </c>
      <c r="AK144">
        <v>0</v>
      </c>
      <c r="AL144">
        <v>-5.6618052777777699</v>
      </c>
      <c r="AM144">
        <v>-5.4309370929999998</v>
      </c>
      <c r="AN144">
        <v>0</v>
      </c>
      <c r="AO144">
        <v>-5.4879931339285699</v>
      </c>
      <c r="AP144">
        <v>-5.4971098359999999</v>
      </c>
      <c r="AQ144">
        <v>1</v>
      </c>
      <c r="AR144">
        <v>-5.53138910315384</v>
      </c>
      <c r="AS144">
        <v>-5.5315472428571404</v>
      </c>
      <c r="AT144">
        <v>1</v>
      </c>
      <c r="AU144">
        <v>-6.2878059474999999</v>
      </c>
      <c r="AV144">
        <v>-6.1795917738461501</v>
      </c>
      <c r="AW144">
        <v>0</v>
      </c>
      <c r="AX144">
        <v>-7.2034110888888803</v>
      </c>
      <c r="AY144">
        <v>-7.0419985299999999</v>
      </c>
      <c r="AZ144">
        <v>0</v>
      </c>
      <c r="BA144">
        <v>-7.1571679177777696</v>
      </c>
      <c r="BB144">
        <v>-6.9551018449999997</v>
      </c>
      <c r="BC144">
        <v>0</v>
      </c>
      <c r="BD144">
        <v>-4.5846451557142798</v>
      </c>
      <c r="BE144">
        <v>-4.59452048333333</v>
      </c>
      <c r="BF144">
        <v>1</v>
      </c>
      <c r="BG144">
        <v>-4.7503026441538401</v>
      </c>
      <c r="BH144">
        <v>-4.7589304478571401</v>
      </c>
      <c r="BI144">
        <v>1</v>
      </c>
      <c r="BJ144">
        <v>-5.5267287808333299</v>
      </c>
      <c r="BK144">
        <v>-5.3633790523076899</v>
      </c>
      <c r="BL144">
        <v>0</v>
      </c>
      <c r="BM144">
        <v>-6.1996416777777696</v>
      </c>
      <c r="BN144">
        <v>-5.9910438999999904</v>
      </c>
      <c r="BO144">
        <v>0</v>
      </c>
      <c r="BP144">
        <v>-6.3427395333333303</v>
      </c>
      <c r="BQ144">
        <v>-6.0457272499999997</v>
      </c>
      <c r="BR144">
        <v>0</v>
      </c>
    </row>
    <row r="145" spans="1:70" x14ac:dyDescent="0.35">
      <c r="A145" t="s">
        <v>670</v>
      </c>
      <c r="B145" t="s">
        <v>76</v>
      </c>
      <c r="C145" t="s">
        <v>669</v>
      </c>
      <c r="D145">
        <v>1</v>
      </c>
      <c r="E145" t="s">
        <v>257</v>
      </c>
      <c r="F145" t="str">
        <f>INDEX([1]train_xl!$H:$H,MATCH(E145,[1]train_xl!$G:$G,0))</f>
        <v>as-as</v>
      </c>
      <c r="G145" t="str">
        <f>INDEX([1]train_xl!$I:$I,MATCH(E145,[1]train_xl!$G:$G,0))</f>
        <v>sim</v>
      </c>
      <c r="H145" t="str">
        <f>INDEX([1]train_xl!$V:$V,MATCH(E145,[1]train_xl!$G:$G,0))</f>
        <v>antonym</v>
      </c>
      <c r="I145" t="str">
        <f>INDEX([2]Sheet1!$L:$L,MATCH(E145,[2]Sheet1!$I:$I,0))</f>
        <v>neg</v>
      </c>
      <c r="K145">
        <v>-3.5636782199999999</v>
      </c>
      <c r="L145">
        <v>-3.0571800763999999</v>
      </c>
      <c r="M145">
        <v>1</v>
      </c>
      <c r="N145">
        <v>-3.8183146640769201</v>
      </c>
      <c r="O145">
        <v>-3.3147338077142798</v>
      </c>
      <c r="P145">
        <v>1</v>
      </c>
      <c r="Q145">
        <v>-4.5515237883333297</v>
      </c>
      <c r="R145">
        <v>-4.0525593125384596</v>
      </c>
      <c r="S145">
        <v>1</v>
      </c>
      <c r="T145">
        <v>-4.6389138777777701</v>
      </c>
      <c r="U145">
        <v>-4.1541361060000002</v>
      </c>
      <c r="V145">
        <v>1</v>
      </c>
      <c r="W145">
        <v>-4.9733626444444399</v>
      </c>
      <c r="X145">
        <v>-4.5000059400000003</v>
      </c>
      <c r="Y145">
        <v>1</v>
      </c>
      <c r="Z145">
        <v>-4.3433380257142797</v>
      </c>
      <c r="AA145">
        <v>-3.7565843753333299</v>
      </c>
      <c r="AB145">
        <v>1</v>
      </c>
      <c r="AC145">
        <v>-4.8719173807692302</v>
      </c>
      <c r="AD145">
        <v>-4.0990153178571402</v>
      </c>
      <c r="AE145">
        <v>1</v>
      </c>
      <c r="AF145">
        <v>-5.2879023666666596</v>
      </c>
      <c r="AG145">
        <v>-4.6541426799999996</v>
      </c>
      <c r="AH145">
        <v>1</v>
      </c>
      <c r="AI145">
        <v>-5.74509416666666</v>
      </c>
      <c r="AJ145">
        <v>-5.2130625400000001</v>
      </c>
      <c r="AK145">
        <v>1</v>
      </c>
      <c r="AL145">
        <v>-5.6266276</v>
      </c>
      <c r="AM145">
        <v>-5.0585654499999997</v>
      </c>
      <c r="AN145">
        <v>1</v>
      </c>
      <c r="AO145">
        <v>-5.5111020438571403</v>
      </c>
      <c r="AP145">
        <v>-4.9457683109333299</v>
      </c>
      <c r="AQ145">
        <v>1</v>
      </c>
      <c r="AR145">
        <v>-5.5003699403076904</v>
      </c>
      <c r="AS145">
        <v>-4.9739075111428503</v>
      </c>
      <c r="AT145">
        <v>1</v>
      </c>
      <c r="AU145">
        <v>-6.6028501925</v>
      </c>
      <c r="AV145">
        <v>-5.9818698738461498</v>
      </c>
      <c r="AW145">
        <v>1</v>
      </c>
      <c r="AX145">
        <v>-7.1014361555555503</v>
      </c>
      <c r="AY145">
        <v>-6.5009591759999896</v>
      </c>
      <c r="AZ145">
        <v>1</v>
      </c>
      <c r="BA145">
        <v>-7.1598212711111104</v>
      </c>
      <c r="BB145">
        <v>-6.5991636729999996</v>
      </c>
      <c r="BC145">
        <v>1</v>
      </c>
      <c r="BD145">
        <v>-4.4290301435714197</v>
      </c>
      <c r="BE145">
        <v>-3.8901240593333299</v>
      </c>
      <c r="BF145">
        <v>1</v>
      </c>
      <c r="BG145">
        <v>-4.6625237358461504</v>
      </c>
      <c r="BH145">
        <v>-4.1910977496428501</v>
      </c>
      <c r="BI145">
        <v>1</v>
      </c>
      <c r="BJ145">
        <v>-5.3165944366666604</v>
      </c>
      <c r="BK145">
        <v>-4.6941403976923004</v>
      </c>
      <c r="BL145">
        <v>1</v>
      </c>
      <c r="BM145">
        <v>-5.79750162222222</v>
      </c>
      <c r="BN145">
        <v>-5.2864603069999996</v>
      </c>
      <c r="BO145">
        <v>1</v>
      </c>
      <c r="BP145">
        <v>-6.13238563333333</v>
      </c>
      <c r="BQ145">
        <v>-5.4601670399999902</v>
      </c>
      <c r="BR145">
        <v>1</v>
      </c>
    </row>
    <row r="146" spans="1:70" x14ac:dyDescent="0.35">
      <c r="A146" t="s">
        <v>671</v>
      </c>
      <c r="B146" t="s">
        <v>672</v>
      </c>
      <c r="C146" t="s">
        <v>673</v>
      </c>
      <c r="D146">
        <v>0</v>
      </c>
      <c r="E146" t="s">
        <v>258</v>
      </c>
      <c r="F146" t="str">
        <f>INDEX([1]train_xl!$H:$H,MATCH(E146,[1]train_xl!$G:$G,0))</f>
        <v>as-as</v>
      </c>
      <c r="G146" t="str">
        <f>INDEX([1]train_xl!$I:$I,MATCH(E146,[1]train_xl!$G:$G,0))</f>
        <v>sim</v>
      </c>
      <c r="H146" t="str">
        <f>INDEX([1]train_xl!$V:$V,MATCH(E146,[1]train_xl!$G:$G,0))</f>
        <v>not</v>
      </c>
      <c r="I146" t="str">
        <f>INDEX([2]Sheet1!$L:$L,MATCH(E146,[2]Sheet1!$I:$I,0))</f>
        <v>neg</v>
      </c>
      <c r="K146">
        <v>-2.85017011673333</v>
      </c>
      <c r="L146">
        <v>-3.2902979724285699</v>
      </c>
      <c r="M146">
        <v>1</v>
      </c>
      <c r="N146">
        <v>-2.88348829621428</v>
      </c>
      <c r="O146">
        <v>-3.4036960960769198</v>
      </c>
      <c r="P146">
        <v>1</v>
      </c>
      <c r="Q146">
        <v>-3.59395212746153</v>
      </c>
      <c r="R146">
        <v>-4.0748632730833299</v>
      </c>
      <c r="S146">
        <v>1</v>
      </c>
      <c r="T146">
        <v>-3.657998123</v>
      </c>
      <c r="U146">
        <v>-4.1816566133333302</v>
      </c>
      <c r="V146">
        <v>1</v>
      </c>
      <c r="W146">
        <v>-4.2408331380000002</v>
      </c>
      <c r="X146">
        <v>-4.5481038277777701</v>
      </c>
      <c r="Y146">
        <v>1</v>
      </c>
      <c r="Z146">
        <v>-3.3263314399333299</v>
      </c>
      <c r="AA146">
        <v>-3.6499572642857099</v>
      </c>
      <c r="AB146">
        <v>1</v>
      </c>
      <c r="AC146">
        <v>-3.4059688465</v>
      </c>
      <c r="AD146">
        <v>-3.7994478191538401</v>
      </c>
      <c r="AE146">
        <v>1</v>
      </c>
      <c r="AF146">
        <v>-4.0736430300000004</v>
      </c>
      <c r="AG146">
        <v>-4.4096752066666598</v>
      </c>
      <c r="AH146">
        <v>1</v>
      </c>
      <c r="AI146">
        <v>-4.3083316739999997</v>
      </c>
      <c r="AJ146">
        <v>-4.7581190666666604</v>
      </c>
      <c r="AK146">
        <v>1</v>
      </c>
      <c r="AL146">
        <v>-4.6719390860000001</v>
      </c>
      <c r="AM146">
        <v>-4.9136297333333303</v>
      </c>
      <c r="AN146">
        <v>1</v>
      </c>
      <c r="AO146">
        <v>-5.19748911266666</v>
      </c>
      <c r="AP146">
        <v>-5.8517646521428599</v>
      </c>
      <c r="AQ146">
        <v>1</v>
      </c>
      <c r="AR146">
        <v>-5.2630970471428498</v>
      </c>
      <c r="AS146">
        <v>-6.1035580400000002</v>
      </c>
      <c r="AT146">
        <v>1</v>
      </c>
      <c r="AU146">
        <v>-6.1000435123076899</v>
      </c>
      <c r="AV146">
        <v>-6.9455433354166596</v>
      </c>
      <c r="AW146">
        <v>1</v>
      </c>
      <c r="AX146">
        <v>-7.3663612660000002</v>
      </c>
      <c r="AY146">
        <v>-8.5842154777777697</v>
      </c>
      <c r="AZ146">
        <v>1</v>
      </c>
      <c r="BA146">
        <v>-7.6162617199999998</v>
      </c>
      <c r="BB146">
        <v>-8.3744019777777794</v>
      </c>
      <c r="BC146">
        <v>1</v>
      </c>
      <c r="BD146">
        <v>-3.3959654683333298</v>
      </c>
      <c r="BE146">
        <v>-3.6917730887857099</v>
      </c>
      <c r="BF146">
        <v>1</v>
      </c>
      <c r="BG146">
        <v>-3.4636345892857099</v>
      </c>
      <c r="BH146">
        <v>-3.8080484626922999</v>
      </c>
      <c r="BI146">
        <v>1</v>
      </c>
      <c r="BJ146">
        <v>-4.0821468423076901</v>
      </c>
      <c r="BK146">
        <v>-4.47013121666666</v>
      </c>
      <c r="BL146">
        <v>1</v>
      </c>
      <c r="BM146">
        <v>-4.4277555929999997</v>
      </c>
      <c r="BN146">
        <v>-4.81116628888888</v>
      </c>
      <c r="BO146">
        <v>1</v>
      </c>
      <c r="BP146">
        <v>-4.8377671600000003</v>
      </c>
      <c r="BQ146">
        <v>-5.0871326999999997</v>
      </c>
      <c r="BR146">
        <v>1</v>
      </c>
    </row>
    <row r="147" spans="1:70" x14ac:dyDescent="0.35">
      <c r="A147" t="s">
        <v>674</v>
      </c>
      <c r="B147" t="s">
        <v>672</v>
      </c>
      <c r="C147" t="s">
        <v>673</v>
      </c>
      <c r="D147">
        <v>1</v>
      </c>
      <c r="E147" t="s">
        <v>259</v>
      </c>
      <c r="F147" t="str">
        <f>INDEX([1]train_xl!$H:$H,MATCH(E147,[1]train_xl!$G:$G,0))</f>
        <v>as-as</v>
      </c>
      <c r="G147" t="str">
        <f>INDEX([1]train_xl!$I:$I,MATCH(E147,[1]train_xl!$G:$G,0))</f>
        <v>sim</v>
      </c>
      <c r="H147" t="str">
        <f>INDEX([1]train_xl!$V:$V,MATCH(E147,[1]train_xl!$G:$G,0))</f>
        <v>not</v>
      </c>
      <c r="I147" t="str">
        <f>INDEX([2]Sheet1!$L:$L,MATCH(E147,[2]Sheet1!$I:$I,0))</f>
        <v>intens</v>
      </c>
      <c r="K147">
        <v>-3.21444514739999</v>
      </c>
      <c r="L147">
        <v>-3.04801297578571</v>
      </c>
      <c r="M147">
        <v>1</v>
      </c>
      <c r="N147">
        <v>-3.3631797629642799</v>
      </c>
      <c r="O147">
        <v>-3.0960425960230702</v>
      </c>
      <c r="P147">
        <v>1</v>
      </c>
      <c r="Q147">
        <v>-4.1181350746538401</v>
      </c>
      <c r="R147">
        <v>-3.8915275330000001</v>
      </c>
      <c r="S147">
        <v>1</v>
      </c>
      <c r="T147">
        <v>-4.1856630729999997</v>
      </c>
      <c r="U147">
        <v>-3.6651733155555499</v>
      </c>
      <c r="V147">
        <v>1</v>
      </c>
      <c r="W147">
        <v>-4.5132419300000004</v>
      </c>
      <c r="X147">
        <v>-4.4009101777777699</v>
      </c>
      <c r="Y147">
        <v>1</v>
      </c>
      <c r="Z147">
        <v>-3.5207009596000001</v>
      </c>
      <c r="AA147">
        <v>-3.48456532121428</v>
      </c>
      <c r="AB147">
        <v>1</v>
      </c>
      <c r="AC147">
        <v>-3.70226719171428</v>
      </c>
      <c r="AD147">
        <v>-3.5517382826153798</v>
      </c>
      <c r="AE147">
        <v>1</v>
      </c>
      <c r="AF147">
        <v>-4.37910634923076</v>
      </c>
      <c r="AG147">
        <v>-4.3249617599999999</v>
      </c>
      <c r="AH147">
        <v>1</v>
      </c>
      <c r="AI147">
        <v>-4.6584535440000003</v>
      </c>
      <c r="AJ147">
        <v>-4.4194240877777702</v>
      </c>
      <c r="AK147">
        <v>1</v>
      </c>
      <c r="AL147">
        <v>-4.7698941599999998</v>
      </c>
      <c r="AM147">
        <v>-4.8099088955555498</v>
      </c>
      <c r="AN147">
        <v>0</v>
      </c>
      <c r="AO147">
        <v>-5.4080572042666599</v>
      </c>
      <c r="AP147">
        <v>-5.3873060749999997</v>
      </c>
      <c r="AQ147">
        <v>1</v>
      </c>
      <c r="AR147">
        <v>-5.7116758007142803</v>
      </c>
      <c r="AS147">
        <v>-5.5890893303846099</v>
      </c>
      <c r="AT147">
        <v>1</v>
      </c>
      <c r="AU147">
        <v>-6.6542464249230697</v>
      </c>
      <c r="AV147">
        <v>-6.5878863866666597</v>
      </c>
      <c r="AW147">
        <v>1</v>
      </c>
      <c r="AX147">
        <v>-7.6432567799999998</v>
      </c>
      <c r="AY147">
        <v>-7.8013104388888896</v>
      </c>
      <c r="AZ147">
        <v>0</v>
      </c>
      <c r="BA147">
        <v>-7.7453852100000002</v>
      </c>
      <c r="BB147">
        <v>-7.9812869555555501</v>
      </c>
      <c r="BC147">
        <v>0</v>
      </c>
      <c r="BD147">
        <v>-3.5914803640000001</v>
      </c>
      <c r="BE147">
        <v>-3.5423659288571399</v>
      </c>
      <c r="BF147">
        <v>1</v>
      </c>
      <c r="BG147">
        <v>-3.6596347545714201</v>
      </c>
      <c r="BH147">
        <v>-3.5905657979230701</v>
      </c>
      <c r="BI147">
        <v>1</v>
      </c>
      <c r="BJ147">
        <v>-4.3654888423076903</v>
      </c>
      <c r="BK147">
        <v>-4.3467936874999902</v>
      </c>
      <c r="BL147">
        <v>1</v>
      </c>
      <c r="BM147">
        <v>-4.6611122699999896</v>
      </c>
      <c r="BN147">
        <v>-4.4436383966666604</v>
      </c>
      <c r="BO147">
        <v>1</v>
      </c>
      <c r="BP147">
        <v>-4.8712260049999996</v>
      </c>
      <c r="BQ147">
        <v>-4.9087607555555497</v>
      </c>
      <c r="BR147">
        <v>0</v>
      </c>
    </row>
    <row r="148" spans="1:70" x14ac:dyDescent="0.35">
      <c r="A148" t="s">
        <v>675</v>
      </c>
      <c r="B148" t="s">
        <v>676</v>
      </c>
      <c r="C148" t="s">
        <v>677</v>
      </c>
      <c r="D148">
        <v>0</v>
      </c>
      <c r="E148" t="s">
        <v>260</v>
      </c>
      <c r="F148" t="str">
        <f>INDEX([1]train_xl!$H:$H,MATCH(E148,[1]train_xl!$G:$G,0))</f>
        <v>as-as</v>
      </c>
      <c r="G148" t="str">
        <f>INDEX([1]train_xl!$I:$I,MATCH(E148,[1]train_xl!$G:$G,0))</f>
        <v>sim</v>
      </c>
      <c r="H148" t="str">
        <f>INDEX([1]train_xl!$V:$V,MATCH(E148,[1]train_xl!$G:$G,0))</f>
        <v>not</v>
      </c>
      <c r="I148" t="str">
        <f>INDEX([2]Sheet1!$L:$L,MATCH(E148,[2]Sheet1!$I:$I,0))</f>
        <v>intens</v>
      </c>
      <c r="K148">
        <v>-3.5331438121428498</v>
      </c>
      <c r="L148">
        <v>-3.6031564517333301</v>
      </c>
      <c r="M148">
        <v>1</v>
      </c>
      <c r="N148">
        <v>-3.7562531122307599</v>
      </c>
      <c r="O148">
        <v>-3.7596144287142801</v>
      </c>
      <c r="P148">
        <v>1</v>
      </c>
      <c r="Q148">
        <v>-4.6249294959166596</v>
      </c>
      <c r="R148">
        <v>-4.6336515724615301</v>
      </c>
      <c r="S148">
        <v>1</v>
      </c>
      <c r="T148">
        <v>-4.8939388777777699</v>
      </c>
      <c r="U148">
        <v>-4.6045701499999998</v>
      </c>
      <c r="V148">
        <v>0</v>
      </c>
      <c r="W148">
        <v>-5.1571468333333303</v>
      </c>
      <c r="X148">
        <v>-4.8505637529999897</v>
      </c>
      <c r="Y148">
        <v>0</v>
      </c>
      <c r="Z148">
        <v>-3.87069359785714</v>
      </c>
      <c r="AA148">
        <v>-3.8631908846666598</v>
      </c>
      <c r="AB148">
        <v>0</v>
      </c>
      <c r="AC148">
        <v>-4.0349526723076901</v>
      </c>
      <c r="AD148">
        <v>-4.0310751632857098</v>
      </c>
      <c r="AE148">
        <v>0</v>
      </c>
      <c r="AF148">
        <v>-5.0308910616666598</v>
      </c>
      <c r="AG148">
        <v>-4.8972987461538402</v>
      </c>
      <c r="AH148">
        <v>0</v>
      </c>
      <c r="AI148">
        <v>-5.1948411744444396</v>
      </c>
      <c r="AJ148">
        <v>-4.9215439439999997</v>
      </c>
      <c r="AK148">
        <v>0</v>
      </c>
      <c r="AL148">
        <v>-5.4962924666666604</v>
      </c>
      <c r="AM148">
        <v>-5.1592592059999998</v>
      </c>
      <c r="AN148">
        <v>0</v>
      </c>
      <c r="AO148">
        <v>-7.32150861357142</v>
      </c>
      <c r="AP148">
        <v>-7.0841126426666596</v>
      </c>
      <c r="AQ148">
        <v>0</v>
      </c>
      <c r="AR148">
        <v>-7.5777805446153801</v>
      </c>
      <c r="AS148">
        <v>-7.2670741739285702</v>
      </c>
      <c r="AT148">
        <v>0</v>
      </c>
      <c r="AU148">
        <v>-8.9261600866666608</v>
      </c>
      <c r="AV148">
        <v>-8.4634291007692308</v>
      </c>
      <c r="AW148">
        <v>0</v>
      </c>
      <c r="AX148">
        <v>-10.155774188888801</v>
      </c>
      <c r="AY148">
        <v>-9.4580933999999992</v>
      </c>
      <c r="AZ148">
        <v>0</v>
      </c>
      <c r="BA148">
        <v>-10.3465754333333</v>
      </c>
      <c r="BB148">
        <v>-9.5348815099999893</v>
      </c>
      <c r="BC148">
        <v>0</v>
      </c>
      <c r="BD148">
        <v>-3.7726024864285699</v>
      </c>
      <c r="BE148">
        <v>-3.7913643920000002</v>
      </c>
      <c r="BF148">
        <v>1</v>
      </c>
      <c r="BG148">
        <v>-3.85604062230769</v>
      </c>
      <c r="BH148">
        <v>-3.8576793207142801</v>
      </c>
      <c r="BI148">
        <v>1</v>
      </c>
      <c r="BJ148">
        <v>-4.7080837066666597</v>
      </c>
      <c r="BK148">
        <v>-4.6299849984615298</v>
      </c>
      <c r="BL148">
        <v>0</v>
      </c>
      <c r="BM148">
        <v>-4.9626359777777704</v>
      </c>
      <c r="BN148">
        <v>-4.7130964299999896</v>
      </c>
      <c r="BO148">
        <v>0</v>
      </c>
      <c r="BP148">
        <v>-5.2111431222222198</v>
      </c>
      <c r="BQ148">
        <v>-4.9399138530000002</v>
      </c>
      <c r="BR148">
        <v>0</v>
      </c>
    </row>
    <row r="149" spans="1:70" x14ac:dyDescent="0.35">
      <c r="A149" t="s">
        <v>678</v>
      </c>
      <c r="B149" t="s">
        <v>676</v>
      </c>
      <c r="C149" t="s">
        <v>677</v>
      </c>
      <c r="D149">
        <v>1</v>
      </c>
      <c r="E149" t="s">
        <v>261</v>
      </c>
      <c r="F149" t="str">
        <f>INDEX([1]train_xl!$H:$H,MATCH(E149,[1]train_xl!$G:$G,0))</f>
        <v>as-as</v>
      </c>
      <c r="G149" t="str">
        <f>INDEX([1]train_xl!$I:$I,MATCH(E149,[1]train_xl!$G:$G,0))</f>
        <v>sim</v>
      </c>
      <c r="H149" t="str">
        <f>INDEX([1]train_xl!$V:$V,MATCH(E149,[1]train_xl!$G:$G,0))</f>
        <v>not</v>
      </c>
      <c r="I149" t="str">
        <f>INDEX([2]Sheet1!$L:$L,MATCH(E149,[2]Sheet1!$I:$I,0))</f>
        <v>neg</v>
      </c>
      <c r="K149">
        <v>-3.7594005878285701</v>
      </c>
      <c r="L149">
        <v>-3.3137131232933301</v>
      </c>
      <c r="M149">
        <v>1</v>
      </c>
      <c r="N149">
        <v>-4.0433928520000002</v>
      </c>
      <c r="O149">
        <v>-3.4739747319285699</v>
      </c>
      <c r="P149">
        <v>1</v>
      </c>
      <c r="Q149">
        <v>-4.9698530969999997</v>
      </c>
      <c r="R149">
        <v>-4.3692439290769203</v>
      </c>
      <c r="S149">
        <v>1</v>
      </c>
      <c r="T149">
        <v>-5.01688554444444</v>
      </c>
      <c r="U149">
        <v>-4.4275397999999999</v>
      </c>
      <c r="V149">
        <v>1</v>
      </c>
      <c r="W149">
        <v>-4.9035529555555497</v>
      </c>
      <c r="X149">
        <v>-4.4720839699999999</v>
      </c>
      <c r="Y149">
        <v>1</v>
      </c>
      <c r="Z149">
        <v>-4.2512420414285703</v>
      </c>
      <c r="AA149">
        <v>-3.7689887302666598</v>
      </c>
      <c r="AB149">
        <v>1</v>
      </c>
      <c r="AC149">
        <v>-4.4824372226153804</v>
      </c>
      <c r="AD149">
        <v>-3.94495087428571</v>
      </c>
      <c r="AE149">
        <v>1</v>
      </c>
      <c r="AF149">
        <v>-5.4404049649999902</v>
      </c>
      <c r="AG149">
        <v>-4.87691142615384</v>
      </c>
      <c r="AH149">
        <v>1</v>
      </c>
      <c r="AI149">
        <v>-5.7199652555555502</v>
      </c>
      <c r="AJ149">
        <v>-5.07767576</v>
      </c>
      <c r="AK149">
        <v>1</v>
      </c>
      <c r="AL149">
        <v>-5.6214080555555501</v>
      </c>
      <c r="AM149">
        <v>-5.0042103899999901</v>
      </c>
      <c r="AN149">
        <v>1</v>
      </c>
      <c r="AO149">
        <v>-7.5005453467142802</v>
      </c>
      <c r="AP149">
        <v>-6.8885778579999997</v>
      </c>
      <c r="AQ149">
        <v>1</v>
      </c>
      <c r="AR149">
        <v>-7.8219355926923004</v>
      </c>
      <c r="AS149">
        <v>-7.0768222914285701</v>
      </c>
      <c r="AT149">
        <v>1</v>
      </c>
      <c r="AU149">
        <v>-9.0371195400000008</v>
      </c>
      <c r="AV149">
        <v>-8.2542890576923007</v>
      </c>
      <c r="AW149">
        <v>1</v>
      </c>
      <c r="AX149">
        <v>-10.4195807666666</v>
      </c>
      <c r="AY149">
        <v>-9.3556931799999994</v>
      </c>
      <c r="AZ149">
        <v>1</v>
      </c>
      <c r="BA149">
        <v>-10.554642055555499</v>
      </c>
      <c r="BB149">
        <v>-9.4666326499999993</v>
      </c>
      <c r="BC149">
        <v>1</v>
      </c>
      <c r="BD149">
        <v>-4.1884384842857099</v>
      </c>
      <c r="BE149">
        <v>-3.6942074291333298</v>
      </c>
      <c r="BF149">
        <v>1</v>
      </c>
      <c r="BG149">
        <v>-4.3522627146153798</v>
      </c>
      <c r="BH149">
        <v>-3.8226138278571402</v>
      </c>
      <c r="BI149">
        <v>1</v>
      </c>
      <c r="BJ149">
        <v>-5.2440727416666597</v>
      </c>
      <c r="BK149">
        <v>-4.6570095999999896</v>
      </c>
      <c r="BL149">
        <v>1</v>
      </c>
      <c r="BM149">
        <v>-5.4644553111111103</v>
      </c>
      <c r="BN149">
        <v>-4.8587665599999896</v>
      </c>
      <c r="BO149">
        <v>1</v>
      </c>
      <c r="BP149">
        <v>-5.4625168444444396</v>
      </c>
      <c r="BQ149">
        <v>-4.8793378399999998</v>
      </c>
      <c r="BR149">
        <v>1</v>
      </c>
    </row>
    <row r="150" spans="1:70" x14ac:dyDescent="0.35">
      <c r="A150" t="s">
        <v>679</v>
      </c>
      <c r="B150" t="s">
        <v>680</v>
      </c>
      <c r="C150" t="s">
        <v>681</v>
      </c>
      <c r="D150">
        <v>0</v>
      </c>
      <c r="E150" t="s">
        <v>262</v>
      </c>
      <c r="F150" t="str">
        <f>INDEX([1]train_xl!$H:$H,MATCH(E150,[1]train_xl!$G:$G,0))</f>
        <v>like</v>
      </c>
      <c r="G150" t="str">
        <f>INDEX([1]train_xl!$I:$I,MATCH(E150,[1]train_xl!$G:$G,0))</f>
        <v>sim</v>
      </c>
      <c r="H150" t="str">
        <f>INDEX([1]train_xl!$V:$V,MATCH(E150,[1]train_xl!$G:$G,0))</f>
        <v>not</v>
      </c>
      <c r="I150" t="str">
        <f>INDEX([2]Sheet1!$L:$L,MATCH(E150,[2]Sheet1!$I:$I,0))</f>
        <v>neg</v>
      </c>
      <c r="K150">
        <v>-2.8969765809444401</v>
      </c>
      <c r="L150">
        <v>-3.3313932166470499</v>
      </c>
      <c r="M150">
        <v>1</v>
      </c>
      <c r="N150">
        <v>-2.9452578090588202</v>
      </c>
      <c r="O150">
        <v>-3.4094236500875001</v>
      </c>
      <c r="P150">
        <v>1</v>
      </c>
      <c r="Q150">
        <v>-3.5632570692749899</v>
      </c>
      <c r="R150">
        <v>-4.0244031736666601</v>
      </c>
      <c r="S150">
        <v>1</v>
      </c>
      <c r="T150">
        <v>-3.6813916692307602</v>
      </c>
      <c r="U150">
        <v>-4.21640026166666</v>
      </c>
      <c r="V150">
        <v>1</v>
      </c>
      <c r="W150">
        <v>-4.3341420461538398</v>
      </c>
      <c r="X150">
        <v>-4.6329234033333302</v>
      </c>
      <c r="Y150">
        <v>1</v>
      </c>
      <c r="Z150">
        <v>-3.5240091521111099</v>
      </c>
      <c r="AA150">
        <v>-3.951966214</v>
      </c>
      <c r="AB150">
        <v>1</v>
      </c>
      <c r="AC150">
        <v>-3.3835331000000002</v>
      </c>
      <c r="AD150">
        <v>-4.0166454156249998</v>
      </c>
      <c r="AE150">
        <v>1</v>
      </c>
      <c r="AF150">
        <v>-4.1581960537500002</v>
      </c>
      <c r="AG150">
        <v>-4.5739830624</v>
      </c>
      <c r="AH150">
        <v>1</v>
      </c>
      <c r="AI150">
        <v>-4.5168991384615396</v>
      </c>
      <c r="AJ150">
        <v>-5.0720394000000004</v>
      </c>
      <c r="AK150">
        <v>1</v>
      </c>
      <c r="AL150">
        <v>-4.6662993153846104</v>
      </c>
      <c r="AM150">
        <v>-5.0144247249999996</v>
      </c>
      <c r="AN150">
        <v>1</v>
      </c>
      <c r="AO150">
        <v>-2.9533111571666599</v>
      </c>
      <c r="AP150">
        <v>-3.32143717570588</v>
      </c>
      <c r="AQ150">
        <v>1</v>
      </c>
      <c r="AR150">
        <v>-2.9511363870588201</v>
      </c>
      <c r="AS150">
        <v>-3.3549339831249898</v>
      </c>
      <c r="AT150">
        <v>1</v>
      </c>
      <c r="AU150">
        <v>-3.4102077391250001</v>
      </c>
      <c r="AV150">
        <v>-3.7431941800000001</v>
      </c>
      <c r="AW150">
        <v>1</v>
      </c>
      <c r="AX150">
        <v>-3.85619043846153</v>
      </c>
      <c r="AY150">
        <v>-4.3596065499999996</v>
      </c>
      <c r="AZ150">
        <v>1</v>
      </c>
      <c r="BA150">
        <v>-3.86886763076923</v>
      </c>
      <c r="BB150">
        <v>-4.1212700499999997</v>
      </c>
      <c r="BC150">
        <v>1</v>
      </c>
      <c r="BD150">
        <v>-3.9200671066944399</v>
      </c>
      <c r="BE150">
        <v>-4.4011721915882296</v>
      </c>
      <c r="BF150">
        <v>1</v>
      </c>
      <c r="BG150">
        <v>-3.9487631388235198</v>
      </c>
      <c r="BH150">
        <v>-4.5080368912499997</v>
      </c>
      <c r="BI150">
        <v>1</v>
      </c>
      <c r="BJ150">
        <v>-4.5693851031249997</v>
      </c>
      <c r="BK150">
        <v>-5.0830386935333296</v>
      </c>
      <c r="BL150">
        <v>1</v>
      </c>
      <c r="BM150">
        <v>-5.1029519307692297</v>
      </c>
      <c r="BN150">
        <v>-5.7370323583333303</v>
      </c>
      <c r="BO150">
        <v>1</v>
      </c>
      <c r="BP150">
        <v>-5.3651472923076904</v>
      </c>
      <c r="BQ150">
        <v>-5.8062311416666601</v>
      </c>
      <c r="BR150">
        <v>1</v>
      </c>
    </row>
    <row r="151" spans="1:70" x14ac:dyDescent="0.35">
      <c r="A151" t="s">
        <v>682</v>
      </c>
      <c r="B151" t="s">
        <v>680</v>
      </c>
      <c r="C151" t="s">
        <v>681</v>
      </c>
      <c r="D151">
        <v>1</v>
      </c>
      <c r="E151" t="s">
        <v>263</v>
      </c>
      <c r="F151" t="str">
        <f>INDEX([1]train_xl!$H:$H,MATCH(E151,[1]train_xl!$G:$G,0))</f>
        <v>like</v>
      </c>
      <c r="G151" t="str">
        <f>INDEX([1]train_xl!$I:$I,MATCH(E151,[1]train_xl!$G:$G,0))</f>
        <v>sim</v>
      </c>
      <c r="H151" t="str">
        <f>INDEX([1]train_xl!$V:$V,MATCH(E151,[1]train_xl!$G:$G,0))</f>
        <v>not</v>
      </c>
      <c r="I151" t="str">
        <f>INDEX([2]Sheet1!$L:$L,MATCH(E151,[2]Sheet1!$I:$I,0))</f>
        <v>intens</v>
      </c>
      <c r="K151">
        <v>-3.3584381058333301</v>
      </c>
      <c r="L151">
        <v>-3.4977738820588198</v>
      </c>
      <c r="M151">
        <v>0</v>
      </c>
      <c r="N151">
        <v>-3.4944301781058802</v>
      </c>
      <c r="O151">
        <v>-3.4849751872749999</v>
      </c>
      <c r="P151">
        <v>1</v>
      </c>
      <c r="Q151">
        <v>-4.1066359059374999</v>
      </c>
      <c r="R151">
        <v>-4.1348228373999998</v>
      </c>
      <c r="S151">
        <v>0</v>
      </c>
      <c r="T151">
        <v>-4.39085065076923</v>
      </c>
      <c r="U151">
        <v>-4.4727057683333298</v>
      </c>
      <c r="V151">
        <v>0</v>
      </c>
      <c r="W151">
        <v>-4.7609132076923002</v>
      </c>
      <c r="X151">
        <v>-5.019867445</v>
      </c>
      <c r="Y151">
        <v>0</v>
      </c>
      <c r="Z151">
        <v>-3.9078336623055501</v>
      </c>
      <c r="AA151">
        <v>-3.9574861791764699</v>
      </c>
      <c r="AB151">
        <v>0</v>
      </c>
      <c r="AC151">
        <v>-4.0225715858823499</v>
      </c>
      <c r="AD151">
        <v>-4.0568281774999999</v>
      </c>
      <c r="AE151">
        <v>0</v>
      </c>
      <c r="AF151">
        <v>-4.6411629349999997</v>
      </c>
      <c r="AG151">
        <v>-4.66580754933333</v>
      </c>
      <c r="AH151">
        <v>0</v>
      </c>
      <c r="AI151">
        <v>-4.9859120823076903</v>
      </c>
      <c r="AJ151">
        <v>-5.0259911199999996</v>
      </c>
      <c r="AK151">
        <v>0</v>
      </c>
      <c r="AL151">
        <v>-5.0302347461538401</v>
      </c>
      <c r="AM151">
        <v>-5.2494201666666598</v>
      </c>
      <c r="AN151">
        <v>0</v>
      </c>
      <c r="AO151">
        <v>-3.18441179333333</v>
      </c>
      <c r="AP151">
        <v>-3.15109996570588</v>
      </c>
      <c r="AQ151">
        <v>1</v>
      </c>
      <c r="AR151">
        <v>-3.44017999335294</v>
      </c>
      <c r="AS151">
        <v>-3.2415598752500001</v>
      </c>
      <c r="AT151">
        <v>1</v>
      </c>
      <c r="AU151">
        <v>-3.9662869906249898</v>
      </c>
      <c r="AV151">
        <v>-3.8387106679999898</v>
      </c>
      <c r="AW151">
        <v>1</v>
      </c>
      <c r="AX151">
        <v>-4.1923783999999999</v>
      </c>
      <c r="AY151">
        <v>-4.0754145416666603</v>
      </c>
      <c r="AZ151">
        <v>1</v>
      </c>
      <c r="BA151">
        <v>-4.15387491538461</v>
      </c>
      <c r="BB151">
        <v>-4.2195444083333298</v>
      </c>
      <c r="BC151">
        <v>0</v>
      </c>
      <c r="BD151">
        <v>-4.3446181267222199</v>
      </c>
      <c r="BE151">
        <v>-4.4450976167058798</v>
      </c>
      <c r="BF151">
        <v>0</v>
      </c>
      <c r="BG151">
        <v>-4.4947543834117596</v>
      </c>
      <c r="BH151">
        <v>-4.5189156209999997</v>
      </c>
      <c r="BI151">
        <v>0</v>
      </c>
      <c r="BJ151">
        <v>-5.0644906453124996</v>
      </c>
      <c r="BK151">
        <v>-5.0575432846666599</v>
      </c>
      <c r="BL151">
        <v>1</v>
      </c>
      <c r="BM151">
        <v>-5.5999128330769201</v>
      </c>
      <c r="BN151">
        <v>-5.6269738116666597</v>
      </c>
      <c r="BO151">
        <v>0</v>
      </c>
      <c r="BP151">
        <v>-5.6612029615384598</v>
      </c>
      <c r="BQ151">
        <v>-5.897592575</v>
      </c>
      <c r="BR151">
        <v>0</v>
      </c>
    </row>
    <row r="152" spans="1:70" x14ac:dyDescent="0.35">
      <c r="A152" t="s">
        <v>683</v>
      </c>
      <c r="B152" t="s">
        <v>684</v>
      </c>
      <c r="C152" t="s">
        <v>685</v>
      </c>
      <c r="D152">
        <v>0</v>
      </c>
      <c r="E152" t="s">
        <v>264</v>
      </c>
      <c r="F152" t="str">
        <f>INDEX([1]train_xl!$H:$H,MATCH(E152,[1]train_xl!$G:$G,0))</f>
        <v>as-as</v>
      </c>
      <c r="G152" t="str">
        <f>INDEX([1]train_xl!$I:$I,MATCH(E152,[1]train_xl!$G:$G,0))</f>
        <v>sim</v>
      </c>
      <c r="H152" t="str">
        <f>INDEX([1]train_xl!$V:$V,MATCH(E152,[1]train_xl!$G:$G,0))</f>
        <v>antonym</v>
      </c>
      <c r="I152" t="str">
        <f>INDEX([2]Sheet1!$L:$L,MATCH(E152,[2]Sheet1!$I:$I,0))</f>
        <v>neg</v>
      </c>
      <c r="K152">
        <v>-2.9065255128666601</v>
      </c>
      <c r="L152">
        <v>-3.2301712614285698</v>
      </c>
      <c r="M152">
        <v>1</v>
      </c>
      <c r="N152">
        <v>-3.2206896310714201</v>
      </c>
      <c r="O152">
        <v>-3.6284591237692299</v>
      </c>
      <c r="P152">
        <v>1</v>
      </c>
      <c r="Q152">
        <v>-3.8381277956923001</v>
      </c>
      <c r="R152">
        <v>-4.3511387194166602</v>
      </c>
      <c r="S152">
        <v>1</v>
      </c>
      <c r="T152">
        <v>-3.93660697599999</v>
      </c>
      <c r="U152">
        <v>-4.1277137827777697</v>
      </c>
      <c r="V152">
        <v>1</v>
      </c>
      <c r="W152">
        <v>-4.3649470384000004</v>
      </c>
      <c r="X152">
        <v>-4.8178627946666603</v>
      </c>
      <c r="Y152">
        <v>1</v>
      </c>
      <c r="Z152">
        <v>-3.7548705682666599</v>
      </c>
      <c r="AA152">
        <v>-4.0877282367142804</v>
      </c>
      <c r="AB152">
        <v>1</v>
      </c>
      <c r="AC152">
        <v>-4.0371469592857103</v>
      </c>
      <c r="AD152">
        <v>-4.4536998423076897</v>
      </c>
      <c r="AE152">
        <v>1</v>
      </c>
      <c r="AF152">
        <v>-4.4519818746153801</v>
      </c>
      <c r="AG152">
        <v>-4.9545953916666603</v>
      </c>
      <c r="AH152">
        <v>1</v>
      </c>
      <c r="AI152">
        <v>-4.9823611000000003</v>
      </c>
      <c r="AJ152">
        <v>-5.26979088888889</v>
      </c>
      <c r="AK152">
        <v>1</v>
      </c>
      <c r="AL152">
        <v>-4.8419807930000003</v>
      </c>
      <c r="AM152">
        <v>-5.2785703588888797</v>
      </c>
      <c r="AN152">
        <v>1</v>
      </c>
      <c r="AO152">
        <v>-2.7417910513333301</v>
      </c>
      <c r="AP152">
        <v>-3.0381355849999898</v>
      </c>
      <c r="AQ152">
        <v>1</v>
      </c>
      <c r="AR152">
        <v>-2.90134505178571</v>
      </c>
      <c r="AS152">
        <v>-3.306103335</v>
      </c>
      <c r="AT152">
        <v>1</v>
      </c>
      <c r="AU152">
        <v>-3.4692297323076899</v>
      </c>
      <c r="AV152">
        <v>-3.8856522016666601</v>
      </c>
      <c r="AW152">
        <v>1</v>
      </c>
      <c r="AX152">
        <v>-3.3815642270000001</v>
      </c>
      <c r="AY152">
        <v>-3.3075088366666598</v>
      </c>
      <c r="AZ152">
        <v>0</v>
      </c>
      <c r="BA152">
        <v>-3.70721126999999</v>
      </c>
      <c r="BB152">
        <v>-3.9020966322222201</v>
      </c>
      <c r="BC152">
        <v>1</v>
      </c>
      <c r="BD152">
        <v>-3.3995429001333299</v>
      </c>
      <c r="BE152">
        <v>-3.74519320764285</v>
      </c>
      <c r="BF152">
        <v>1</v>
      </c>
      <c r="BG152">
        <v>-3.75178108742857</v>
      </c>
      <c r="BH152">
        <v>-4.1290618653846103</v>
      </c>
      <c r="BI152">
        <v>1</v>
      </c>
      <c r="BJ152">
        <v>-4.1231714892307698</v>
      </c>
      <c r="BK152">
        <v>-4.7307200066666599</v>
      </c>
      <c r="BL152">
        <v>1</v>
      </c>
      <c r="BM152">
        <v>-4.5481269329999998</v>
      </c>
      <c r="BN152">
        <v>-4.7233171011111104</v>
      </c>
      <c r="BO152">
        <v>1</v>
      </c>
      <c r="BP152">
        <v>-4.890632321</v>
      </c>
      <c r="BQ152">
        <v>-5.3616941199999903</v>
      </c>
      <c r="BR152">
        <v>1</v>
      </c>
    </row>
    <row r="153" spans="1:70" x14ac:dyDescent="0.35">
      <c r="A153" t="s">
        <v>686</v>
      </c>
      <c r="B153" t="s">
        <v>684</v>
      </c>
      <c r="C153" t="s">
        <v>685</v>
      </c>
      <c r="D153">
        <v>1</v>
      </c>
      <c r="E153" t="s">
        <v>265</v>
      </c>
      <c r="F153" t="str">
        <f>INDEX([1]train_xl!$H:$H,MATCH(E153,[1]train_xl!$G:$G,0))</f>
        <v>as-as</v>
      </c>
      <c r="G153" t="str">
        <f>INDEX([1]train_xl!$I:$I,MATCH(E153,[1]train_xl!$G:$G,0))</f>
        <v>sim</v>
      </c>
      <c r="H153" t="str">
        <f>INDEX([1]train_xl!$V:$V,MATCH(E153,[1]train_xl!$G:$G,0))</f>
        <v>antonym</v>
      </c>
      <c r="I153" t="str">
        <f>INDEX([2]Sheet1!$L:$L,MATCH(E153,[2]Sheet1!$I:$I,0))</f>
        <v>intens</v>
      </c>
      <c r="K153">
        <v>-3.4197171579066601</v>
      </c>
      <c r="L153">
        <v>-3.2167760266071399</v>
      </c>
      <c r="M153">
        <v>1</v>
      </c>
      <c r="N153">
        <v>-3.7901942384071399</v>
      </c>
      <c r="O153">
        <v>-3.5453653855384601</v>
      </c>
      <c r="P153">
        <v>1</v>
      </c>
      <c r="Q153">
        <v>-4.3144709285384604</v>
      </c>
      <c r="R153">
        <v>-4.2347939889166604</v>
      </c>
      <c r="S153">
        <v>1</v>
      </c>
      <c r="T153">
        <v>-4.44167110059999</v>
      </c>
      <c r="U153">
        <v>-4.2590974299999997</v>
      </c>
      <c r="V153">
        <v>1</v>
      </c>
      <c r="W153">
        <v>-4.6457337689999996</v>
      </c>
      <c r="X153">
        <v>-4.7688073133333297</v>
      </c>
      <c r="Y153">
        <v>0</v>
      </c>
      <c r="Z153">
        <v>-3.8475054253333298</v>
      </c>
      <c r="AA153">
        <v>-3.7362520817857101</v>
      </c>
      <c r="AB153">
        <v>1</v>
      </c>
      <c r="AC153">
        <v>-4.1897778628571398</v>
      </c>
      <c r="AD153">
        <v>-4.0795672535384604</v>
      </c>
      <c r="AE153">
        <v>1</v>
      </c>
      <c r="AF153">
        <v>-4.8268387376922997</v>
      </c>
      <c r="AG153">
        <v>-4.8013615658333304</v>
      </c>
      <c r="AH153">
        <v>1</v>
      </c>
      <c r="AI153">
        <v>-4.9946573030000003</v>
      </c>
      <c r="AJ153">
        <v>-4.8580064377777701</v>
      </c>
      <c r="AK153">
        <v>1</v>
      </c>
      <c r="AL153">
        <v>-5.2024694629999999</v>
      </c>
      <c r="AM153">
        <v>-5.36240941111111</v>
      </c>
      <c r="AN153">
        <v>0</v>
      </c>
      <c r="AO153">
        <v>-3.0290176301999998</v>
      </c>
      <c r="AP153">
        <v>-3.0044773440714199</v>
      </c>
      <c r="AQ153">
        <v>1</v>
      </c>
      <c r="AR153">
        <v>-3.4560601035714198</v>
      </c>
      <c r="AS153">
        <v>-3.1882540135384598</v>
      </c>
      <c r="AT153">
        <v>1</v>
      </c>
      <c r="AU153">
        <v>-4.0885427646153802</v>
      </c>
      <c r="AV153">
        <v>-3.9974987633333301</v>
      </c>
      <c r="AW153">
        <v>1</v>
      </c>
      <c r="AX153">
        <v>-3.8606047129999999</v>
      </c>
      <c r="AY153">
        <v>-3.4935414488888799</v>
      </c>
      <c r="AZ153">
        <v>1</v>
      </c>
      <c r="BA153">
        <v>-4.1344505899999904</v>
      </c>
      <c r="BB153">
        <v>-4.0920620033333304</v>
      </c>
      <c r="BC153">
        <v>1</v>
      </c>
      <c r="BD153">
        <v>-3.6632075963999999</v>
      </c>
      <c r="BE153">
        <v>-3.5636892437857099</v>
      </c>
      <c r="BF153">
        <v>1</v>
      </c>
      <c r="BG153">
        <v>-4.15460704714285</v>
      </c>
      <c r="BH153">
        <v>-3.93418403384615</v>
      </c>
      <c r="BI153">
        <v>1</v>
      </c>
      <c r="BJ153">
        <v>-4.6738514230769201</v>
      </c>
      <c r="BK153">
        <v>-4.56794441333333</v>
      </c>
      <c r="BL153">
        <v>1</v>
      </c>
      <c r="BM153">
        <v>-4.841727305</v>
      </c>
      <c r="BN153">
        <v>-4.6128203822222202</v>
      </c>
      <c r="BO153">
        <v>1</v>
      </c>
      <c r="BP153">
        <v>-5.0901088750000003</v>
      </c>
      <c r="BQ153">
        <v>-5.2378145499999897</v>
      </c>
      <c r="BR153">
        <v>0</v>
      </c>
    </row>
    <row r="154" spans="1:70" x14ac:dyDescent="0.35">
      <c r="A154" t="s">
        <v>687</v>
      </c>
      <c r="B154" t="s">
        <v>688</v>
      </c>
      <c r="C154" t="s">
        <v>689</v>
      </c>
      <c r="D154">
        <v>0</v>
      </c>
      <c r="E154" t="s">
        <v>266</v>
      </c>
      <c r="F154" t="str">
        <f>INDEX([1]train_xl!$H:$H,MATCH(E154,[1]train_xl!$G:$G,0))</f>
        <v>as-as</v>
      </c>
      <c r="G154" t="str">
        <f>INDEX([1]train_xl!$I:$I,MATCH(E154,[1]train_xl!$G:$G,0))</f>
        <v>sim</v>
      </c>
      <c r="H154" t="str">
        <f>INDEX([1]train_xl!$V:$V,MATCH(E154,[1]train_xl!$G:$G,0))</f>
        <v>not</v>
      </c>
      <c r="I154" t="str">
        <f>INDEX([2]Sheet1!$L:$L,MATCH(E154,[2]Sheet1!$I:$I,0))</f>
        <v>intens</v>
      </c>
      <c r="K154">
        <v>-4.1641015722937498</v>
      </c>
      <c r="L154">
        <v>-4.1843555749941101</v>
      </c>
      <c r="M154">
        <v>1</v>
      </c>
      <c r="N154">
        <v>-4.2450668579999897</v>
      </c>
      <c r="O154">
        <v>-4.3131681904187502</v>
      </c>
      <c r="P154">
        <v>1</v>
      </c>
      <c r="Q154">
        <v>-4.9250529609285696</v>
      </c>
      <c r="R154">
        <v>-4.9374332751999903</v>
      </c>
      <c r="S154">
        <v>1</v>
      </c>
      <c r="T154">
        <v>-5.1449532999999903</v>
      </c>
      <c r="U154">
        <v>-5.0520870166666603</v>
      </c>
      <c r="V154">
        <v>0</v>
      </c>
      <c r="W154">
        <v>-5.8335709272727199</v>
      </c>
      <c r="X154">
        <v>-5.5426963499999999</v>
      </c>
      <c r="Y154">
        <v>0</v>
      </c>
      <c r="Z154">
        <v>-4.1746997273437501</v>
      </c>
      <c r="AA154">
        <v>-4.2039241598235302</v>
      </c>
      <c r="AB154">
        <v>1</v>
      </c>
      <c r="AC154">
        <v>-4.2544424715333298</v>
      </c>
      <c r="AD154">
        <v>-4.3310327328125</v>
      </c>
      <c r="AE154">
        <v>1</v>
      </c>
      <c r="AF154">
        <v>-5.0059109271428497</v>
      </c>
      <c r="AG154">
        <v>-5.01174182426666</v>
      </c>
      <c r="AH154">
        <v>1</v>
      </c>
      <c r="AI154">
        <v>-5.2271653545454502</v>
      </c>
      <c r="AJ154">
        <v>-5.0676755866666596</v>
      </c>
      <c r="AK154">
        <v>0</v>
      </c>
      <c r="AL154">
        <v>-5.5033002363636303</v>
      </c>
      <c r="AM154">
        <v>-5.24920575583333</v>
      </c>
      <c r="AN154">
        <v>0</v>
      </c>
      <c r="AO154">
        <v>-4.2567036419374897</v>
      </c>
      <c r="AP154">
        <v>-4.2450791474117597</v>
      </c>
      <c r="AQ154">
        <v>0</v>
      </c>
      <c r="AR154">
        <v>-4.0226323826666599</v>
      </c>
      <c r="AS154">
        <v>-4.0598185249374996</v>
      </c>
      <c r="AT154">
        <v>1</v>
      </c>
      <c r="AU154">
        <v>-4.5803078557142802</v>
      </c>
      <c r="AV154">
        <v>-4.4539174060000004</v>
      </c>
      <c r="AW154">
        <v>0</v>
      </c>
      <c r="AX154">
        <v>-4.7795612090909003</v>
      </c>
      <c r="AY154">
        <v>-4.7121716999999999</v>
      </c>
      <c r="AZ154">
        <v>0</v>
      </c>
      <c r="BA154">
        <v>-5.0137256227272697</v>
      </c>
      <c r="BB154">
        <v>-4.88030631666666</v>
      </c>
      <c r="BC154">
        <v>0</v>
      </c>
      <c r="BD154">
        <v>-4.4073290209374996</v>
      </c>
      <c r="BE154">
        <v>-4.4474665549705801</v>
      </c>
      <c r="BF154">
        <v>1</v>
      </c>
      <c r="BG154">
        <v>-4.5037948569999999</v>
      </c>
      <c r="BH154">
        <v>-4.5887143846875</v>
      </c>
      <c r="BI154">
        <v>1</v>
      </c>
      <c r="BJ154">
        <v>-5.1932961885714199</v>
      </c>
      <c r="BK154">
        <v>-5.1933004416666604</v>
      </c>
      <c r="BL154">
        <v>1</v>
      </c>
      <c r="BM154">
        <v>-5.5659091272727199</v>
      </c>
      <c r="BN154">
        <v>-5.3855817249999998</v>
      </c>
      <c r="BO154">
        <v>0</v>
      </c>
      <c r="BP154">
        <v>-5.8368040363636302</v>
      </c>
      <c r="BQ154">
        <v>-5.5675400000000002</v>
      </c>
      <c r="BR154">
        <v>0</v>
      </c>
    </row>
    <row r="155" spans="1:70" x14ac:dyDescent="0.35">
      <c r="A155" t="s">
        <v>690</v>
      </c>
      <c r="B155" t="s">
        <v>688</v>
      </c>
      <c r="C155" t="s">
        <v>689</v>
      </c>
      <c r="D155">
        <v>1</v>
      </c>
      <c r="E155" t="s">
        <v>267</v>
      </c>
      <c r="F155" t="str">
        <f>INDEX([1]train_xl!$H:$H,MATCH(E155,[1]train_xl!$G:$G,0))</f>
        <v>as-as</v>
      </c>
      <c r="G155" t="str">
        <f>INDEX([1]train_xl!$I:$I,MATCH(E155,[1]train_xl!$G:$G,0))</f>
        <v>sim</v>
      </c>
      <c r="H155" t="str">
        <f>INDEX([1]train_xl!$V:$V,MATCH(E155,[1]train_xl!$G:$G,0))</f>
        <v>not</v>
      </c>
      <c r="I155" t="str">
        <f>INDEX([2]Sheet1!$L:$L,MATCH(E155,[2]Sheet1!$I:$I,0))</f>
        <v>neg</v>
      </c>
      <c r="K155">
        <v>-4.35298766114117</v>
      </c>
      <c r="L155">
        <v>-4.0227902812222203</v>
      </c>
      <c r="M155">
        <v>1</v>
      </c>
      <c r="N155">
        <v>-4.5148098036562496</v>
      </c>
      <c r="O155">
        <v>-4.10970349155882</v>
      </c>
      <c r="P155">
        <v>1</v>
      </c>
      <c r="Q155">
        <v>-5.2485433965333304</v>
      </c>
      <c r="R155">
        <v>-4.6528150219999898</v>
      </c>
      <c r="S155">
        <v>1</v>
      </c>
      <c r="T155">
        <v>-5.1564792583333299</v>
      </c>
      <c r="U155">
        <v>-4.8215505746153804</v>
      </c>
      <c r="V155">
        <v>1</v>
      </c>
      <c r="W155">
        <v>-5.6143177366666599</v>
      </c>
      <c r="X155">
        <v>-5.2787336899999904</v>
      </c>
      <c r="Y155">
        <v>1</v>
      </c>
      <c r="Z155">
        <v>-4.2926556709705803</v>
      </c>
      <c r="AA155">
        <v>-3.982454696</v>
      </c>
      <c r="AB155">
        <v>1</v>
      </c>
      <c r="AC155">
        <v>-4.4327463827500004</v>
      </c>
      <c r="AD155">
        <v>-4.0689137514705802</v>
      </c>
      <c r="AE155">
        <v>1</v>
      </c>
      <c r="AF155">
        <v>-5.0295450097333303</v>
      </c>
      <c r="AG155">
        <v>-4.5592511299999998</v>
      </c>
      <c r="AH155">
        <v>1</v>
      </c>
      <c r="AI155">
        <v>-5.1797023749999997</v>
      </c>
      <c r="AJ155">
        <v>-4.8478943769230698</v>
      </c>
      <c r="AK155">
        <v>1</v>
      </c>
      <c r="AL155">
        <v>-5.29510280833333</v>
      </c>
      <c r="AM155">
        <v>-4.90604672307692</v>
      </c>
      <c r="AN155">
        <v>1</v>
      </c>
      <c r="AO155">
        <v>-4.3324613001764698</v>
      </c>
      <c r="AP155">
        <v>-4.0341920213333298</v>
      </c>
      <c r="AQ155">
        <v>1</v>
      </c>
      <c r="AR155">
        <v>-4.1036894749999897</v>
      </c>
      <c r="AS155">
        <v>-3.6959092400000002</v>
      </c>
      <c r="AT155">
        <v>1</v>
      </c>
      <c r="AU155">
        <v>-4.6379040633333304</v>
      </c>
      <c r="AV155">
        <v>-4.260484049375</v>
      </c>
      <c r="AW155">
        <v>1</v>
      </c>
      <c r="AX155">
        <v>-4.8465284583333297</v>
      </c>
      <c r="AY155">
        <v>-4.4787664846153801</v>
      </c>
      <c r="AZ155">
        <v>1</v>
      </c>
      <c r="BA155">
        <v>-4.88110736916666</v>
      </c>
      <c r="BB155">
        <v>-4.5145899346153797</v>
      </c>
      <c r="BC155">
        <v>1</v>
      </c>
      <c r="BD155">
        <v>-4.5091163985882297</v>
      </c>
      <c r="BE155">
        <v>-4.1613124449444401</v>
      </c>
      <c r="BF155">
        <v>1</v>
      </c>
      <c r="BG155">
        <v>-4.6444921612499996</v>
      </c>
      <c r="BH155">
        <v>-4.2267105282352899</v>
      </c>
      <c r="BI155">
        <v>1</v>
      </c>
      <c r="BJ155">
        <v>-5.24207368999999</v>
      </c>
      <c r="BK155">
        <v>-4.7656597781249896</v>
      </c>
      <c r="BL155">
        <v>1</v>
      </c>
      <c r="BM155">
        <v>-5.5053436416666601</v>
      </c>
      <c r="BN155">
        <v>-5.0915033261538403</v>
      </c>
      <c r="BO155">
        <v>1</v>
      </c>
      <c r="BP155">
        <v>-5.65349026666666</v>
      </c>
      <c r="BQ155">
        <v>-5.1950219999999998</v>
      </c>
      <c r="BR155">
        <v>1</v>
      </c>
    </row>
    <row r="156" spans="1:70" x14ac:dyDescent="0.35">
      <c r="A156" t="s">
        <v>691</v>
      </c>
      <c r="B156" t="s">
        <v>692</v>
      </c>
      <c r="C156" t="s">
        <v>693</v>
      </c>
      <c r="D156">
        <v>0</v>
      </c>
      <c r="E156" t="s">
        <v>268</v>
      </c>
      <c r="F156" t="str">
        <f>INDEX([1]train_xl!$H:$H,MATCH(E156,[1]train_xl!$G:$G,0))</f>
        <v>as-as</v>
      </c>
      <c r="G156" t="str">
        <f>INDEX([1]train_xl!$I:$I,MATCH(E156,[1]train_xl!$G:$G,0))</f>
        <v>sim</v>
      </c>
      <c r="H156" t="str">
        <f>INDEX([1]train_xl!$V:$V,MATCH(E156,[1]train_xl!$G:$G,0))</f>
        <v>antonym</v>
      </c>
      <c r="I156" t="str">
        <f>INDEX([2]Sheet1!$L:$L,MATCH(E156,[2]Sheet1!$I:$I,0))</f>
        <v>intens</v>
      </c>
      <c r="K156">
        <v>-4.95472372392857</v>
      </c>
      <c r="L156">
        <v>-4.8751787593333296</v>
      </c>
      <c r="M156">
        <v>0</v>
      </c>
      <c r="N156">
        <v>-4.9810121554615296</v>
      </c>
      <c r="O156">
        <v>-4.8909743604785696</v>
      </c>
      <c r="P156">
        <v>0</v>
      </c>
      <c r="Q156">
        <v>-5.975548071125</v>
      </c>
      <c r="R156">
        <v>-5.8073230450769202</v>
      </c>
      <c r="S156">
        <v>0</v>
      </c>
      <c r="T156">
        <v>-6.0484711611111104</v>
      </c>
      <c r="U156">
        <v>-6.0073349199999999</v>
      </c>
      <c r="V156">
        <v>0</v>
      </c>
      <c r="W156">
        <v>-6.4032051888888804</v>
      </c>
      <c r="X156">
        <v>-6.1048574200000001</v>
      </c>
      <c r="Y156">
        <v>0</v>
      </c>
      <c r="Z156">
        <v>-5.4228712242857098</v>
      </c>
      <c r="AA156">
        <v>-5.3303436906666599</v>
      </c>
      <c r="AB156">
        <v>0</v>
      </c>
      <c r="AC156">
        <v>-5.5027709112307601</v>
      </c>
      <c r="AD156">
        <v>-5.3786463778571401</v>
      </c>
      <c r="AE156">
        <v>0</v>
      </c>
      <c r="AF156">
        <v>-6.5100175311666604</v>
      </c>
      <c r="AG156">
        <v>-6.3228544596922998</v>
      </c>
      <c r="AH156">
        <v>0</v>
      </c>
      <c r="AI156">
        <v>-6.9708976033333299</v>
      </c>
      <c r="AJ156">
        <v>-6.765065484</v>
      </c>
      <c r="AK156">
        <v>0</v>
      </c>
      <c r="AL156">
        <v>-7.1042675777777697</v>
      </c>
      <c r="AM156">
        <v>-6.8131487499999999</v>
      </c>
      <c r="AN156">
        <v>0</v>
      </c>
      <c r="AO156">
        <v>-3.7638551585714199</v>
      </c>
      <c r="AP156">
        <v>-3.82614122999999</v>
      </c>
      <c r="AQ156">
        <v>1</v>
      </c>
      <c r="AR156">
        <v>-3.9602328426922999</v>
      </c>
      <c r="AS156">
        <v>-3.9977903321428498</v>
      </c>
      <c r="AT156">
        <v>1</v>
      </c>
      <c r="AU156">
        <v>-5.0667780461666601</v>
      </c>
      <c r="AV156">
        <v>-5.0450634872307596</v>
      </c>
      <c r="AW156">
        <v>0</v>
      </c>
      <c r="AX156">
        <v>-4.8752908666666599</v>
      </c>
      <c r="AY156">
        <v>-4.9797948700000001</v>
      </c>
      <c r="AZ156">
        <v>1</v>
      </c>
      <c r="BA156">
        <v>-5.0372278888888804</v>
      </c>
      <c r="BB156">
        <v>-5.0514896899999897</v>
      </c>
      <c r="BC156">
        <v>1</v>
      </c>
      <c r="BD156">
        <v>-5.7899165185714203</v>
      </c>
      <c r="BE156">
        <v>-5.6837044539999901</v>
      </c>
      <c r="BF156">
        <v>0</v>
      </c>
      <c r="BG156">
        <v>-5.8652191430769198</v>
      </c>
      <c r="BH156">
        <v>-5.8711726911428501</v>
      </c>
      <c r="BI156">
        <v>1</v>
      </c>
      <c r="BJ156">
        <v>-6.9220087508333297</v>
      </c>
      <c r="BK156">
        <v>-6.7822256492307602</v>
      </c>
      <c r="BL156">
        <v>0</v>
      </c>
      <c r="BM156">
        <v>-7.5529092355555498</v>
      </c>
      <c r="BN156">
        <v>-7.2594139099999904</v>
      </c>
      <c r="BO156">
        <v>0</v>
      </c>
      <c r="BP156">
        <v>-7.7913037444444404</v>
      </c>
      <c r="BQ156">
        <v>-7.4098867200000003</v>
      </c>
      <c r="BR156">
        <v>0</v>
      </c>
    </row>
    <row r="157" spans="1:70" x14ac:dyDescent="0.35">
      <c r="A157" t="s">
        <v>694</v>
      </c>
      <c r="B157" t="s">
        <v>692</v>
      </c>
      <c r="C157" t="s">
        <v>693</v>
      </c>
      <c r="D157">
        <v>1</v>
      </c>
      <c r="E157" t="s">
        <v>269</v>
      </c>
      <c r="F157" t="str">
        <f>INDEX([1]train_xl!$H:$H,MATCH(E157,[1]train_xl!$G:$G,0))</f>
        <v>as-as</v>
      </c>
      <c r="G157" t="str">
        <f>INDEX([1]train_xl!$I:$I,MATCH(E157,[1]train_xl!$G:$G,0))</f>
        <v>sim</v>
      </c>
      <c r="H157" t="str">
        <f>INDEX([1]train_xl!$V:$V,MATCH(E157,[1]train_xl!$G:$G,0))</f>
        <v>antonym</v>
      </c>
      <c r="I157" t="str">
        <f>INDEX([2]Sheet1!$L:$L,MATCH(E157,[2]Sheet1!$I:$I,0))</f>
        <v>neg</v>
      </c>
      <c r="K157">
        <v>-4.64810618855625</v>
      </c>
      <c r="L157">
        <v>-4.2337506457529397</v>
      </c>
      <c r="M157">
        <v>1</v>
      </c>
      <c r="N157">
        <v>-4.7047910440866598</v>
      </c>
      <c r="O157">
        <v>-4.2418253701874997</v>
      </c>
      <c r="P157">
        <v>1</v>
      </c>
      <c r="Q157">
        <v>-5.4801392422142801</v>
      </c>
      <c r="R157">
        <v>-4.9713354937999998</v>
      </c>
      <c r="S157">
        <v>1</v>
      </c>
      <c r="T157">
        <v>-5.3487402739999999</v>
      </c>
      <c r="U157">
        <v>-5.0295732784166596</v>
      </c>
      <c r="V157">
        <v>1</v>
      </c>
      <c r="W157">
        <v>-5.5309749612727197</v>
      </c>
      <c r="X157">
        <v>-5.3030204925833297</v>
      </c>
      <c r="Y157">
        <v>1</v>
      </c>
      <c r="Z157">
        <v>-5.5332122918937499</v>
      </c>
      <c r="AA157">
        <v>-5.1233685357647003</v>
      </c>
      <c r="AB157">
        <v>1</v>
      </c>
      <c r="AC157">
        <v>-5.51091701550666</v>
      </c>
      <c r="AD157">
        <v>-5.1474765064562504</v>
      </c>
      <c r="AE157">
        <v>1</v>
      </c>
      <c r="AF157">
        <v>-6.2953928844</v>
      </c>
      <c r="AG157">
        <v>-5.8279259388399902</v>
      </c>
      <c r="AH157">
        <v>1</v>
      </c>
      <c r="AI157">
        <v>-6.7757522231454503</v>
      </c>
      <c r="AJ157">
        <v>-6.3738938395499902</v>
      </c>
      <c r="AK157">
        <v>1</v>
      </c>
      <c r="AL157">
        <v>-6.8072841004181797</v>
      </c>
      <c r="AM157">
        <v>-6.4252700337166599</v>
      </c>
      <c r="AN157">
        <v>1</v>
      </c>
      <c r="AO157">
        <v>-4.0939653493531196</v>
      </c>
      <c r="AP157">
        <v>-3.7001331007117599</v>
      </c>
      <c r="AQ157">
        <v>1</v>
      </c>
      <c r="AR157">
        <v>-4.1004912015166601</v>
      </c>
      <c r="AS157">
        <v>-3.7129291311656201</v>
      </c>
      <c r="AT157">
        <v>1</v>
      </c>
      <c r="AU157">
        <v>-4.6618498521785696</v>
      </c>
      <c r="AV157">
        <v>-4.2135556085833299</v>
      </c>
      <c r="AW157">
        <v>1</v>
      </c>
      <c r="AX157">
        <v>-4.6837849553408999</v>
      </c>
      <c r="AY157">
        <v>-4.3036777892083302</v>
      </c>
      <c r="AZ157">
        <v>1</v>
      </c>
      <c r="BA157">
        <v>-4.7231663735227203</v>
      </c>
      <c r="BB157">
        <v>-4.3569413308749896</v>
      </c>
      <c r="BC157">
        <v>1</v>
      </c>
      <c r="BD157">
        <v>-5.7383973263749999</v>
      </c>
      <c r="BE157">
        <v>-5.2418036562117596</v>
      </c>
      <c r="BF157">
        <v>1</v>
      </c>
      <c r="BG157">
        <v>-5.77876626226666</v>
      </c>
      <c r="BH157">
        <v>-5.2929033278124997</v>
      </c>
      <c r="BI157">
        <v>1</v>
      </c>
      <c r="BJ157">
        <v>-6.4118705804285696</v>
      </c>
      <c r="BK157">
        <v>-5.9915813895733301</v>
      </c>
      <c r="BL157">
        <v>1</v>
      </c>
      <c r="BM157">
        <v>-6.9454863796363604</v>
      </c>
      <c r="BN157">
        <v>-6.6127158086333298</v>
      </c>
      <c r="BO157">
        <v>1</v>
      </c>
      <c r="BP157">
        <v>-7.1424022292727196</v>
      </c>
      <c r="BQ157">
        <v>-6.7179004919666596</v>
      </c>
      <c r="BR157">
        <v>1</v>
      </c>
    </row>
    <row r="158" spans="1:70" x14ac:dyDescent="0.35">
      <c r="A158" t="s">
        <v>695</v>
      </c>
      <c r="B158" t="s">
        <v>47</v>
      </c>
      <c r="C158" t="s">
        <v>696</v>
      </c>
      <c r="D158">
        <v>0</v>
      </c>
      <c r="E158" t="s">
        <v>270</v>
      </c>
      <c r="F158" t="str">
        <f>INDEX([1]train_xl!$H:$H,MATCH(E158,[1]train_xl!$G:$G,0))</f>
        <v>as-as</v>
      </c>
      <c r="G158" t="str">
        <f>INDEX([1]train_xl!$I:$I,MATCH(E158,[1]train_xl!$G:$G,0))</f>
        <v>sim</v>
      </c>
      <c r="H158" t="str">
        <f>INDEX([1]train_xl!$V:$V,MATCH(E158,[1]train_xl!$G:$G,0))</f>
        <v>antonym</v>
      </c>
      <c r="I158" t="str">
        <f>INDEX([2]Sheet1!$L:$L,MATCH(E158,[2]Sheet1!$I:$I,0))</f>
        <v>intens</v>
      </c>
      <c r="K158">
        <v>-2.9875372733333299</v>
      </c>
      <c r="L158">
        <v>-3.170436535875</v>
      </c>
      <c r="M158">
        <v>1</v>
      </c>
      <c r="N158">
        <v>-3.1720093617857099</v>
      </c>
      <c r="O158">
        <v>-3.2530012447333299</v>
      </c>
      <c r="P158">
        <v>1</v>
      </c>
      <c r="Q158">
        <v>-3.8986689428461498</v>
      </c>
      <c r="R158">
        <v>-3.9427830097857099</v>
      </c>
      <c r="S158">
        <v>1</v>
      </c>
      <c r="T158">
        <v>-3.7286602099999899</v>
      </c>
      <c r="U158">
        <v>-3.9315891881818099</v>
      </c>
      <c r="V158">
        <v>1</v>
      </c>
      <c r="W158">
        <v>-3.9519564360000001</v>
      </c>
      <c r="X158">
        <v>-3.8806695309090902</v>
      </c>
      <c r="Y158">
        <v>0</v>
      </c>
      <c r="Z158">
        <v>-3.5595467753333301</v>
      </c>
      <c r="AA158">
        <v>-3.6329349746874899</v>
      </c>
      <c r="AB158">
        <v>1</v>
      </c>
      <c r="AC158">
        <v>-3.96564878</v>
      </c>
      <c r="AD158">
        <v>-3.84175520599999</v>
      </c>
      <c r="AE158">
        <v>0</v>
      </c>
      <c r="AF158">
        <v>-4.5386882207692301</v>
      </c>
      <c r="AG158">
        <v>-4.5355146128571402</v>
      </c>
      <c r="AH158">
        <v>0</v>
      </c>
      <c r="AI158">
        <v>-4.5766454300000001</v>
      </c>
      <c r="AJ158">
        <v>-4.5255636363636302</v>
      </c>
      <c r="AK158">
        <v>0</v>
      </c>
      <c r="AL158">
        <v>-4.65219703</v>
      </c>
      <c r="AM158">
        <v>-4.5557662545454498</v>
      </c>
      <c r="AN158">
        <v>0</v>
      </c>
      <c r="AO158">
        <v>-2.9168362793333298</v>
      </c>
      <c r="AP158">
        <v>-3.0651516774999998</v>
      </c>
      <c r="AQ158">
        <v>1</v>
      </c>
      <c r="AR158">
        <v>-2.8965606975</v>
      </c>
      <c r="AS158">
        <v>-3.1026292180000001</v>
      </c>
      <c r="AT158">
        <v>1</v>
      </c>
      <c r="AU158">
        <v>-3.4945167692307599</v>
      </c>
      <c r="AV158">
        <v>-3.6523002542857101</v>
      </c>
      <c r="AW158">
        <v>1</v>
      </c>
      <c r="AX158">
        <v>-3.4099493160000001</v>
      </c>
      <c r="AY158">
        <v>-3.59027134181818</v>
      </c>
      <c r="AZ158">
        <v>1</v>
      </c>
      <c r="BA158">
        <v>-3.6165453219999901</v>
      </c>
      <c r="BB158">
        <v>-3.6013366581818098</v>
      </c>
      <c r="BC158">
        <v>0</v>
      </c>
      <c r="BD158">
        <v>-3.4553055893333302</v>
      </c>
      <c r="BE158">
        <v>-3.5669344106249898</v>
      </c>
      <c r="BF158">
        <v>1</v>
      </c>
      <c r="BG158">
        <v>-3.90578740642857</v>
      </c>
      <c r="BH158">
        <v>-3.9847968659999999</v>
      </c>
      <c r="BI158">
        <v>1</v>
      </c>
      <c r="BJ158">
        <v>-4.3323665307692298</v>
      </c>
      <c r="BK158">
        <v>-4.4523480521428498</v>
      </c>
      <c r="BL158">
        <v>1</v>
      </c>
      <c r="BM158">
        <v>-4.56535581999999</v>
      </c>
      <c r="BN158">
        <v>-4.5692934000000003</v>
      </c>
      <c r="BO158">
        <v>1</v>
      </c>
      <c r="BP158">
        <v>-4.5774753559999999</v>
      </c>
      <c r="BQ158">
        <v>-4.4509844545454502</v>
      </c>
      <c r="BR158">
        <v>0</v>
      </c>
    </row>
    <row r="159" spans="1:70" x14ac:dyDescent="0.35">
      <c r="A159" t="s">
        <v>697</v>
      </c>
      <c r="B159" t="s">
        <v>47</v>
      </c>
      <c r="C159" t="s">
        <v>696</v>
      </c>
      <c r="D159">
        <v>1</v>
      </c>
      <c r="E159" t="s">
        <v>271</v>
      </c>
      <c r="F159" t="str">
        <f>INDEX([1]train_xl!$H:$H,MATCH(E159,[1]train_xl!$G:$G,0))</f>
        <v>as-as</v>
      </c>
      <c r="G159" t="str">
        <f>INDEX([1]train_xl!$I:$I,MATCH(E159,[1]train_xl!$G:$G,0))</f>
        <v>sim</v>
      </c>
      <c r="H159" t="str">
        <f>INDEX([1]train_xl!$V:$V,MATCH(E159,[1]train_xl!$G:$G,0))</f>
        <v>antonym</v>
      </c>
      <c r="I159" t="str">
        <f>INDEX([2]Sheet1!$L:$L,MATCH(E159,[2]Sheet1!$I:$I,0))</f>
        <v>neg</v>
      </c>
      <c r="K159">
        <v>-3.2070177721799999</v>
      </c>
      <c r="L159">
        <v>-2.89499258444999</v>
      </c>
      <c r="M159">
        <v>1</v>
      </c>
      <c r="N159">
        <v>-3.30511528471428</v>
      </c>
      <c r="O159">
        <v>-3.071034268</v>
      </c>
      <c r="P159">
        <v>1</v>
      </c>
      <c r="Q159">
        <v>-3.9529310061538401</v>
      </c>
      <c r="R159">
        <v>-3.6301427567857099</v>
      </c>
      <c r="S159">
        <v>1</v>
      </c>
      <c r="T159">
        <v>-3.6840480999999898</v>
      </c>
      <c r="U159">
        <v>-3.4721918000000001</v>
      </c>
      <c r="V159">
        <v>1</v>
      </c>
      <c r="W159">
        <v>-3.969681703</v>
      </c>
      <c r="X159">
        <v>-3.6648202818181801</v>
      </c>
      <c r="Y159">
        <v>1</v>
      </c>
      <c r="Z159">
        <v>-3.8954989711333301</v>
      </c>
      <c r="AA159">
        <v>-3.7994974229374998</v>
      </c>
      <c r="AB159">
        <v>1</v>
      </c>
      <c r="AC159">
        <v>-4.1398178514285702</v>
      </c>
      <c r="AD159">
        <v>-3.7828969046666598</v>
      </c>
      <c r="AE159">
        <v>1</v>
      </c>
      <c r="AF159">
        <v>-4.6283776007692303</v>
      </c>
      <c r="AG159">
        <v>-4.2288399578571401</v>
      </c>
      <c r="AH159">
        <v>1</v>
      </c>
      <c r="AI159">
        <v>-4.9534742659999997</v>
      </c>
      <c r="AJ159">
        <v>-4.5182131981818099</v>
      </c>
      <c r="AK159">
        <v>1</v>
      </c>
      <c r="AL159">
        <v>-4.8869333169999898</v>
      </c>
      <c r="AM159">
        <v>-4.4058668181818099</v>
      </c>
      <c r="AN159">
        <v>1</v>
      </c>
      <c r="AO159">
        <v>-3.0639701189333302</v>
      </c>
      <c r="AP159">
        <v>-2.8436387084374899</v>
      </c>
      <c r="AQ159">
        <v>1</v>
      </c>
      <c r="AR159">
        <v>-3.00180859428571</v>
      </c>
      <c r="AS159">
        <v>-2.74041935266666</v>
      </c>
      <c r="AT159">
        <v>1</v>
      </c>
      <c r="AU159">
        <v>-3.6388744346153801</v>
      </c>
      <c r="AV159">
        <v>-3.4079947578571401</v>
      </c>
      <c r="AW159">
        <v>1</v>
      </c>
      <c r="AX159">
        <v>-3.6190361109999998</v>
      </c>
      <c r="AY159">
        <v>-3.2615341827272699</v>
      </c>
      <c r="AZ159">
        <v>1</v>
      </c>
      <c r="BA159">
        <v>-3.6762830580000001</v>
      </c>
      <c r="BB159">
        <v>-3.42911707454545</v>
      </c>
      <c r="BC159">
        <v>1</v>
      </c>
      <c r="BD159">
        <v>-3.7719221511333298</v>
      </c>
      <c r="BE159">
        <v>-3.4157115797499999</v>
      </c>
      <c r="BF159">
        <v>1</v>
      </c>
      <c r="BG159">
        <v>-4.0952685578571399</v>
      </c>
      <c r="BH159">
        <v>-3.74422687666666</v>
      </c>
      <c r="BI159">
        <v>1</v>
      </c>
      <c r="BJ159">
        <v>-4.5974659315384603</v>
      </c>
      <c r="BK159">
        <v>-4.1572889407142801</v>
      </c>
      <c r="BL159">
        <v>1</v>
      </c>
      <c r="BM159">
        <v>-4.8230909539999898</v>
      </c>
      <c r="BN159">
        <v>-4.3797979872727204</v>
      </c>
      <c r="BO159">
        <v>1</v>
      </c>
      <c r="BP159">
        <v>-5.2868763799999998</v>
      </c>
      <c r="BQ159">
        <v>-4.6274319454545401</v>
      </c>
      <c r="BR159">
        <v>1</v>
      </c>
    </row>
    <row r="160" spans="1:70" x14ac:dyDescent="0.35">
      <c r="A160" t="s">
        <v>698</v>
      </c>
      <c r="B160" t="s">
        <v>699</v>
      </c>
      <c r="C160" t="s">
        <v>700</v>
      </c>
      <c r="D160">
        <v>0</v>
      </c>
      <c r="E160" t="s">
        <v>272</v>
      </c>
      <c r="F160" t="str">
        <f>INDEX([1]train_xl!$H:$H,MATCH(E160,[1]train_xl!$G:$G,0))</f>
        <v>as-as</v>
      </c>
      <c r="G160" t="str">
        <f>INDEX([1]train_xl!$I:$I,MATCH(E160,[1]train_xl!$G:$G,0))</f>
        <v>sim</v>
      </c>
      <c r="H160" t="str">
        <f>INDEX([1]train_xl!$V:$V,MATCH(E160,[1]train_xl!$G:$G,0))</f>
        <v>antonym</v>
      </c>
      <c r="I160" t="str">
        <f>INDEX([2]Sheet1!$L:$L,MATCH(E160,[2]Sheet1!$I:$I,0))</f>
        <v>intens</v>
      </c>
      <c r="K160">
        <v>-3.43692213649999</v>
      </c>
      <c r="L160">
        <v>-3.3083777018333298</v>
      </c>
      <c r="M160">
        <v>0</v>
      </c>
      <c r="N160">
        <v>-3.52861865805263</v>
      </c>
      <c r="O160">
        <v>-3.3681025518099998</v>
      </c>
      <c r="P160">
        <v>0</v>
      </c>
      <c r="Q160">
        <v>-4.1626145699444397</v>
      </c>
      <c r="R160">
        <v>-3.95186271151579</v>
      </c>
      <c r="S160">
        <v>0</v>
      </c>
      <c r="T160">
        <v>-3.86334491353333</v>
      </c>
      <c r="U160">
        <v>-3.5692452138749999</v>
      </c>
      <c r="V160">
        <v>0</v>
      </c>
      <c r="W160">
        <v>-4.0017799145333299</v>
      </c>
      <c r="X160">
        <v>-3.6893707121500001</v>
      </c>
      <c r="Y160">
        <v>0</v>
      </c>
      <c r="Z160">
        <v>-3.5604559029499998</v>
      </c>
      <c r="AA160">
        <v>-3.4224416551047598</v>
      </c>
      <c r="AB160">
        <v>0</v>
      </c>
      <c r="AC160">
        <v>-3.5674999234736799</v>
      </c>
      <c r="AD160">
        <v>-3.4361084693200001</v>
      </c>
      <c r="AE160">
        <v>0</v>
      </c>
      <c r="AF160">
        <v>-4.1502904694444398</v>
      </c>
      <c r="AG160">
        <v>-4.0165342928210501</v>
      </c>
      <c r="AH160">
        <v>0</v>
      </c>
      <c r="AI160">
        <v>-4.0751364375999897</v>
      </c>
      <c r="AJ160">
        <v>-3.88599519323125</v>
      </c>
      <c r="AK160">
        <v>0</v>
      </c>
      <c r="AL160">
        <v>-4.0424660650000002</v>
      </c>
      <c r="AM160">
        <v>-3.8014057029749999</v>
      </c>
      <c r="AN160">
        <v>0</v>
      </c>
      <c r="AO160">
        <v>-2.9233317538999999</v>
      </c>
      <c r="AP160">
        <v>-2.9270766656047602</v>
      </c>
      <c r="AQ160">
        <v>1</v>
      </c>
      <c r="AR160">
        <v>-2.7930400477894701</v>
      </c>
      <c r="AS160">
        <v>-2.7717699907000002</v>
      </c>
      <c r="AT160">
        <v>0</v>
      </c>
      <c r="AU160">
        <v>-3.13784096127777</v>
      </c>
      <c r="AV160">
        <v>-3.1285169175420999</v>
      </c>
      <c r="AW160">
        <v>0</v>
      </c>
      <c r="AX160">
        <v>-2.9460886764000001</v>
      </c>
      <c r="AY160">
        <v>-2.9189734783999901</v>
      </c>
      <c r="AZ160">
        <v>0</v>
      </c>
      <c r="BA160">
        <v>-3.11642476053333</v>
      </c>
      <c r="BB160">
        <v>-2.9061228371874899</v>
      </c>
      <c r="BC160">
        <v>0</v>
      </c>
      <c r="BD160">
        <v>-3.4858042798499902</v>
      </c>
      <c r="BE160">
        <v>-3.3705194426333298</v>
      </c>
      <c r="BF160">
        <v>0</v>
      </c>
      <c r="BG160">
        <v>-3.5804846393684202</v>
      </c>
      <c r="BH160">
        <v>-3.4628979544449998</v>
      </c>
      <c r="BI160">
        <v>0</v>
      </c>
      <c r="BJ160">
        <v>-4.1608427463888802</v>
      </c>
      <c r="BK160">
        <v>-4.0590254314526302</v>
      </c>
      <c r="BL160">
        <v>0</v>
      </c>
      <c r="BM160">
        <v>-4.094585736</v>
      </c>
      <c r="BN160">
        <v>-3.86213876356249</v>
      </c>
      <c r="BO160">
        <v>0</v>
      </c>
      <c r="BP160">
        <v>-4.1183534039999996</v>
      </c>
      <c r="BQ160">
        <v>-3.90231731208124</v>
      </c>
      <c r="BR160">
        <v>0</v>
      </c>
    </row>
    <row r="161" spans="1:70" x14ac:dyDescent="0.35">
      <c r="A161" t="s">
        <v>701</v>
      </c>
      <c r="B161" t="s">
        <v>699</v>
      </c>
      <c r="C161" t="s">
        <v>700</v>
      </c>
      <c r="D161">
        <v>1</v>
      </c>
      <c r="E161" t="s">
        <v>273</v>
      </c>
      <c r="F161" t="str">
        <f>INDEX([1]train_xl!$H:$H,MATCH(E161,[1]train_xl!$G:$G,0))</f>
        <v>as-as</v>
      </c>
      <c r="G161" t="str">
        <f>INDEX([1]train_xl!$I:$I,MATCH(E161,[1]train_xl!$G:$G,0))</f>
        <v>sim</v>
      </c>
      <c r="H161" t="str">
        <f>INDEX([1]train_xl!$V:$V,MATCH(E161,[1]train_xl!$G:$G,0))</f>
        <v>antonym</v>
      </c>
      <c r="I161" t="str">
        <f>INDEX([2]Sheet1!$L:$L,MATCH(E161,[2]Sheet1!$I:$I,0))</f>
        <v>neg</v>
      </c>
      <c r="K161">
        <v>-3.5609731944499998</v>
      </c>
      <c r="L161">
        <v>-3.31549752885714</v>
      </c>
      <c r="M161">
        <v>1</v>
      </c>
      <c r="N161">
        <v>-3.7180103385263101</v>
      </c>
      <c r="O161">
        <v>-3.3961978756749902</v>
      </c>
      <c r="P161">
        <v>1</v>
      </c>
      <c r="Q161">
        <v>-4.2584984723888804</v>
      </c>
      <c r="R161">
        <v>-3.92081737869999</v>
      </c>
      <c r="S161">
        <v>1</v>
      </c>
      <c r="T161">
        <v>-3.9795454906666601</v>
      </c>
      <c r="U161">
        <v>-3.59639388980625</v>
      </c>
      <c r="V161">
        <v>1</v>
      </c>
      <c r="W161">
        <v>-4.1120881866666599</v>
      </c>
      <c r="X161">
        <v>-3.7187661606062399</v>
      </c>
      <c r="Y161">
        <v>1</v>
      </c>
      <c r="Z161">
        <v>-3.6512913165000001</v>
      </c>
      <c r="AA161">
        <v>-3.3558370130666599</v>
      </c>
      <c r="AB161">
        <v>1</v>
      </c>
      <c r="AC161">
        <v>-3.7160819254736799</v>
      </c>
      <c r="AD161">
        <v>-3.4579891006349901</v>
      </c>
      <c r="AE161">
        <v>1</v>
      </c>
      <c r="AF161">
        <v>-4.1457105323333296</v>
      </c>
      <c r="AG161">
        <v>-3.8806042592368399</v>
      </c>
      <c r="AH161">
        <v>1</v>
      </c>
      <c r="AI161">
        <v>-4.2171330266666596</v>
      </c>
      <c r="AJ161">
        <v>-3.8031886510500001</v>
      </c>
      <c r="AK161">
        <v>1</v>
      </c>
      <c r="AL161">
        <v>-4.2403135279999997</v>
      </c>
      <c r="AM161">
        <v>-3.8638316755125</v>
      </c>
      <c r="AN161">
        <v>1</v>
      </c>
      <c r="AO161">
        <v>-3.0611439033000001</v>
      </c>
      <c r="AP161">
        <v>-2.8990626526000001</v>
      </c>
      <c r="AQ161">
        <v>1</v>
      </c>
      <c r="AR161">
        <v>-2.9352716549473601</v>
      </c>
      <c r="AS161">
        <v>-2.7343606682299999</v>
      </c>
      <c r="AT161">
        <v>1</v>
      </c>
      <c r="AU161">
        <v>-3.4027834566666599</v>
      </c>
      <c r="AV161">
        <v>-3.1770450574736802</v>
      </c>
      <c r="AW161">
        <v>1</v>
      </c>
      <c r="AX161">
        <v>-3.1983155733333302</v>
      </c>
      <c r="AY161">
        <v>-2.9484021295999998</v>
      </c>
      <c r="AZ161">
        <v>1</v>
      </c>
      <c r="BA161">
        <v>-3.2941162180000001</v>
      </c>
      <c r="BB161">
        <v>-3.0651809284687501</v>
      </c>
      <c r="BC161">
        <v>1</v>
      </c>
      <c r="BD161">
        <v>-3.77604650465</v>
      </c>
      <c r="BE161">
        <v>-3.5137770351904698</v>
      </c>
      <c r="BF161">
        <v>1</v>
      </c>
      <c r="BG161">
        <v>-3.8250097846842102</v>
      </c>
      <c r="BH161">
        <v>-3.5766046571449999</v>
      </c>
      <c r="BI161">
        <v>1</v>
      </c>
      <c r="BJ161">
        <v>-4.34576676944444</v>
      </c>
      <c r="BK161">
        <v>-3.9664658385631499</v>
      </c>
      <c r="BL161">
        <v>1</v>
      </c>
      <c r="BM161">
        <v>-4.18766366599999</v>
      </c>
      <c r="BN161">
        <v>-3.81074250183124</v>
      </c>
      <c r="BO161">
        <v>1</v>
      </c>
      <c r="BP161">
        <v>-4.33089441333333</v>
      </c>
      <c r="BQ161">
        <v>-3.9564763705187498</v>
      </c>
      <c r="BR161">
        <v>1</v>
      </c>
    </row>
    <row r="162" spans="1:70" x14ac:dyDescent="0.35">
      <c r="A162" t="s">
        <v>702</v>
      </c>
      <c r="B162" t="s">
        <v>48</v>
      </c>
      <c r="C162" t="s">
        <v>703</v>
      </c>
      <c r="D162">
        <v>0</v>
      </c>
      <c r="E162" t="s">
        <v>274</v>
      </c>
      <c r="F162" t="str">
        <f>INDEX([1]train_xl!$H:$H,MATCH(E162,[1]train_xl!$G:$G,0))</f>
        <v>like</v>
      </c>
      <c r="G162" t="str">
        <f>INDEX([1]train_xl!$I:$I,MATCH(E162,[1]train_xl!$G:$G,0))</f>
        <v>sim</v>
      </c>
      <c r="H162" t="str">
        <f>INDEX([1]train_xl!$V:$V,MATCH(E162,[1]train_xl!$G:$G,0))</f>
        <v>not</v>
      </c>
      <c r="I162" t="str">
        <f>INDEX([2]Sheet1!$L:$L,MATCH(E162,[2]Sheet1!$I:$I,0))</f>
        <v>intens</v>
      </c>
      <c r="K162">
        <v>-4.3410015061428497</v>
      </c>
      <c r="L162">
        <v>-4.2056456659375003</v>
      </c>
      <c r="M162">
        <v>0</v>
      </c>
      <c r="N162">
        <v>-4.6568777205769196</v>
      </c>
      <c r="O162">
        <v>-4.3803327178333298</v>
      </c>
      <c r="P162">
        <v>0</v>
      </c>
      <c r="Q162">
        <v>-5.8407679644166599</v>
      </c>
      <c r="R162">
        <v>-5.3541847552142796</v>
      </c>
      <c r="S162">
        <v>0</v>
      </c>
      <c r="T162">
        <v>-5.9540609</v>
      </c>
      <c r="U162">
        <v>-5.44836089272727</v>
      </c>
      <c r="V162">
        <v>0</v>
      </c>
      <c r="W162">
        <v>-6.5404566555555501</v>
      </c>
      <c r="X162">
        <v>-5.60645522</v>
      </c>
      <c r="Y162">
        <v>0</v>
      </c>
      <c r="Z162">
        <v>-3.0995258945000002</v>
      </c>
      <c r="AA162">
        <v>-3.0468875484375002</v>
      </c>
      <c r="AB162">
        <v>0</v>
      </c>
      <c r="AC162">
        <v>-3.2503990426153799</v>
      </c>
      <c r="AD162">
        <v>-3.1756642902666599</v>
      </c>
      <c r="AE162">
        <v>0</v>
      </c>
      <c r="AF162">
        <v>-4.2125111374999999</v>
      </c>
      <c r="AG162">
        <v>-4.10373565857142</v>
      </c>
      <c r="AH162">
        <v>0</v>
      </c>
      <c r="AI162">
        <v>-4.0889226666666598</v>
      </c>
      <c r="AJ162">
        <v>-3.5727257599999902</v>
      </c>
      <c r="AK162">
        <v>0</v>
      </c>
      <c r="AL162">
        <v>-4.5655946333333297</v>
      </c>
      <c r="AM162">
        <v>-3.8118938063636301</v>
      </c>
      <c r="AN162">
        <v>0</v>
      </c>
      <c r="AO162">
        <v>-5.4330824508571398</v>
      </c>
      <c r="AP162">
        <v>-5.1577512174999898</v>
      </c>
      <c r="AQ162">
        <v>0</v>
      </c>
      <c r="AR162">
        <v>-5.3814948384615304</v>
      </c>
      <c r="AS162">
        <v>-5.1034145086666598</v>
      </c>
      <c r="AT162">
        <v>0</v>
      </c>
      <c r="AU162">
        <v>-6.2595763900000003</v>
      </c>
      <c r="AV162">
        <v>-5.8108822342857103</v>
      </c>
      <c r="AW162">
        <v>0</v>
      </c>
      <c r="AX162">
        <v>-7.6439121588888801</v>
      </c>
      <c r="AY162">
        <v>-6.6671648354545399</v>
      </c>
      <c r="AZ162">
        <v>0</v>
      </c>
      <c r="BA162">
        <v>-7.4595410477777699</v>
      </c>
      <c r="BB162">
        <v>-6.3647339481818097</v>
      </c>
      <c r="BC162">
        <v>0</v>
      </c>
      <c r="BD162">
        <v>-3.0123030819285699</v>
      </c>
      <c r="BE162">
        <v>-3.02237055231249</v>
      </c>
      <c r="BF162">
        <v>1</v>
      </c>
      <c r="BG162">
        <v>-3.1979315807692301</v>
      </c>
      <c r="BH162">
        <v>-3.1861964949333301</v>
      </c>
      <c r="BI162">
        <v>0</v>
      </c>
      <c r="BJ162">
        <v>-4.0125556449999999</v>
      </c>
      <c r="BK162">
        <v>-3.9549859257142801</v>
      </c>
      <c r="BL162">
        <v>0</v>
      </c>
      <c r="BM162">
        <v>-3.9958171288888802</v>
      </c>
      <c r="BN162">
        <v>-3.51070502818181</v>
      </c>
      <c r="BO162">
        <v>0</v>
      </c>
      <c r="BP162">
        <v>-4.4394370844444397</v>
      </c>
      <c r="BQ162">
        <v>-3.7679567990909</v>
      </c>
      <c r="BR162">
        <v>0</v>
      </c>
    </row>
    <row r="163" spans="1:70" x14ac:dyDescent="0.35">
      <c r="A163" t="s">
        <v>704</v>
      </c>
      <c r="B163" t="s">
        <v>48</v>
      </c>
      <c r="C163" t="s">
        <v>703</v>
      </c>
      <c r="D163">
        <v>1</v>
      </c>
      <c r="E163" t="s">
        <v>275</v>
      </c>
      <c r="F163" t="str">
        <f>INDEX([1]train_xl!$H:$H,MATCH(E163,[1]train_xl!$G:$G,0))</f>
        <v>like</v>
      </c>
      <c r="G163" t="str">
        <f>INDEX([1]train_xl!$I:$I,MATCH(E163,[1]train_xl!$G:$G,0))</f>
        <v>sim</v>
      </c>
      <c r="H163" t="str">
        <f>INDEX([1]train_xl!$V:$V,MATCH(E163,[1]train_xl!$G:$G,0))</f>
        <v>not</v>
      </c>
      <c r="I163" t="str">
        <f>INDEX([2]Sheet1!$L:$L,MATCH(E163,[2]Sheet1!$I:$I,0))</f>
        <v>neg</v>
      </c>
      <c r="K163">
        <v>-4.9306114811428499</v>
      </c>
      <c r="L163">
        <v>-3.9726082737874999</v>
      </c>
      <c r="M163">
        <v>1</v>
      </c>
      <c r="N163">
        <v>-5.1450521077692297</v>
      </c>
      <c r="O163">
        <v>-4.0191671380666598</v>
      </c>
      <c r="P163">
        <v>1</v>
      </c>
      <c r="Q163">
        <v>-6.3092770917749998</v>
      </c>
      <c r="R163">
        <v>-5.0674030232357099</v>
      </c>
      <c r="S163">
        <v>1</v>
      </c>
      <c r="T163">
        <v>-6.8286969767777697</v>
      </c>
      <c r="U163">
        <v>-5.0227797337272699</v>
      </c>
      <c r="V163">
        <v>1</v>
      </c>
      <c r="W163">
        <v>-6.8768477323333297</v>
      </c>
      <c r="X163">
        <v>-5.4141988682727202</v>
      </c>
      <c r="Y163">
        <v>1</v>
      </c>
      <c r="Z163">
        <v>-3.8058278771428502</v>
      </c>
      <c r="AA163">
        <v>-3.0727511783125001</v>
      </c>
      <c r="AB163">
        <v>1</v>
      </c>
      <c r="AC163">
        <v>-3.9637012793076898</v>
      </c>
      <c r="AD163">
        <v>-3.10281481873333</v>
      </c>
      <c r="AE163">
        <v>1</v>
      </c>
      <c r="AF163">
        <v>-4.9613631641666602</v>
      </c>
      <c r="AG163">
        <v>-3.9774402264285702</v>
      </c>
      <c r="AH163">
        <v>1</v>
      </c>
      <c r="AI163">
        <v>-5.0442925423333298</v>
      </c>
      <c r="AJ163">
        <v>-3.73106723463636</v>
      </c>
      <c r="AK163">
        <v>1</v>
      </c>
      <c r="AL163">
        <v>-5.1432336534444403</v>
      </c>
      <c r="AM163">
        <v>-4.0544278037272701</v>
      </c>
      <c r="AN163">
        <v>1</v>
      </c>
      <c r="AO163">
        <v>-5.9163616818571398</v>
      </c>
      <c r="AP163">
        <v>-4.9324897248125001</v>
      </c>
      <c r="AQ163">
        <v>1</v>
      </c>
      <c r="AR163">
        <v>-5.9507785755384601</v>
      </c>
      <c r="AS163">
        <v>-4.78779256868666</v>
      </c>
      <c r="AT163">
        <v>1</v>
      </c>
      <c r="AU163">
        <v>-6.7532673496666602</v>
      </c>
      <c r="AV163">
        <v>-5.4024853697142801</v>
      </c>
      <c r="AW163">
        <v>1</v>
      </c>
      <c r="AX163">
        <v>-8.6365001163333304</v>
      </c>
      <c r="AY163">
        <v>-6.4870734133636301</v>
      </c>
      <c r="AZ163">
        <v>1</v>
      </c>
      <c r="BA163">
        <v>-7.8865272052222197</v>
      </c>
      <c r="BB163">
        <v>-6.3399307315454498</v>
      </c>
      <c r="BC163">
        <v>1</v>
      </c>
      <c r="BD163">
        <v>-3.6881029559285698</v>
      </c>
      <c r="BE163">
        <v>-2.9507449247499999</v>
      </c>
      <c r="BF163">
        <v>1</v>
      </c>
      <c r="BG163">
        <v>-3.8384202116922999</v>
      </c>
      <c r="BH163">
        <v>-3.0094738434666599</v>
      </c>
      <c r="BI163">
        <v>1</v>
      </c>
      <c r="BJ163">
        <v>-4.7985330182499997</v>
      </c>
      <c r="BK163">
        <v>-3.8197197292857101</v>
      </c>
      <c r="BL163">
        <v>1</v>
      </c>
      <c r="BM163">
        <v>-5.0356781342222199</v>
      </c>
      <c r="BN163">
        <v>-3.6951716098181802</v>
      </c>
      <c r="BO163">
        <v>1</v>
      </c>
      <c r="BP163">
        <v>-5.0762555897777704</v>
      </c>
      <c r="BQ163">
        <v>-3.9953515502727202</v>
      </c>
      <c r="BR163">
        <v>1</v>
      </c>
    </row>
    <row r="164" spans="1:70" x14ac:dyDescent="0.35">
      <c r="A164" t="s">
        <v>705</v>
      </c>
      <c r="B164" t="s">
        <v>706</v>
      </c>
      <c r="C164" t="s">
        <v>707</v>
      </c>
      <c r="D164">
        <v>0</v>
      </c>
      <c r="E164" t="s">
        <v>276</v>
      </c>
      <c r="F164" t="str">
        <f>INDEX([1]train_xl!$H:$H,MATCH(E164,[1]train_xl!$G:$G,0))</f>
        <v>as-as</v>
      </c>
      <c r="G164" t="str">
        <f>INDEX([1]train_xl!$I:$I,MATCH(E164,[1]train_xl!$G:$G,0))</f>
        <v>sim</v>
      </c>
      <c r="H164" t="str">
        <f>INDEX([1]train_xl!$V:$V,MATCH(E164,[1]train_xl!$G:$G,0))</f>
        <v>not</v>
      </c>
      <c r="I164" t="str">
        <f>INDEX([2]Sheet1!$L:$L,MATCH(E164,[2]Sheet1!$I:$I,0))</f>
        <v>neg</v>
      </c>
      <c r="K164">
        <v>-3.6218859638892802</v>
      </c>
      <c r="L164">
        <v>-4.2036485841038402</v>
      </c>
      <c r="M164">
        <v>1</v>
      </c>
      <c r="N164">
        <v>-3.78806361160769</v>
      </c>
      <c r="O164">
        <v>-4.3922835923541603</v>
      </c>
      <c r="P164">
        <v>1</v>
      </c>
      <c r="Q164">
        <v>-4.7499491033916597</v>
      </c>
      <c r="R164">
        <v>-5.3712630294999997</v>
      </c>
      <c r="S164">
        <v>1</v>
      </c>
      <c r="T164">
        <v>-4.6324680720922196</v>
      </c>
      <c r="U164">
        <v>-5.5607512534375001</v>
      </c>
      <c r="V164">
        <v>1</v>
      </c>
      <c r="W164">
        <v>-5.3354902872555501</v>
      </c>
      <c r="X164">
        <v>-5.7899611852000001</v>
      </c>
      <c r="Y164">
        <v>1</v>
      </c>
      <c r="Z164">
        <v>-3.0511998613928499</v>
      </c>
      <c r="AA164">
        <v>-3.5619657059153802</v>
      </c>
      <c r="AB164">
        <v>1</v>
      </c>
      <c r="AC164">
        <v>-3.1291022271692301</v>
      </c>
      <c r="AD164">
        <v>-3.7200712697083298</v>
      </c>
      <c r="AE164">
        <v>1</v>
      </c>
      <c r="AF164">
        <v>-4.0742579198749898</v>
      </c>
      <c r="AG164">
        <v>-4.6544326080363598</v>
      </c>
      <c r="AH164">
        <v>1</v>
      </c>
      <c r="AI164">
        <v>-3.7008028629999998</v>
      </c>
      <c r="AJ164">
        <v>-4.35369289189999</v>
      </c>
      <c r="AK164">
        <v>1</v>
      </c>
      <c r="AL164">
        <v>-4.2325797979999997</v>
      </c>
      <c r="AM164">
        <v>-4.6490768267749996</v>
      </c>
      <c r="AN164">
        <v>1</v>
      </c>
      <c r="AO164">
        <v>-4.10990643417857</v>
      </c>
      <c r="AP164">
        <v>-4.5686994160076901</v>
      </c>
      <c r="AQ164">
        <v>1</v>
      </c>
      <c r="AR164">
        <v>-4.2405869596153796</v>
      </c>
      <c r="AS164">
        <v>-4.9578026572916603</v>
      </c>
      <c r="AT164">
        <v>1</v>
      </c>
      <c r="AU164">
        <v>-5.2880804531916601</v>
      </c>
      <c r="AV164">
        <v>-5.91542893881818</v>
      </c>
      <c r="AW164">
        <v>1</v>
      </c>
      <c r="AX164">
        <v>-5.4817808365111098</v>
      </c>
      <c r="AY164">
        <v>-6.1660365937124899</v>
      </c>
      <c r="AZ164">
        <v>1</v>
      </c>
      <c r="BA164">
        <v>-5.7049575587222199</v>
      </c>
      <c r="BB164">
        <v>-6.7252403105462397</v>
      </c>
      <c r="BC164">
        <v>1</v>
      </c>
      <c r="BD164">
        <v>-3.2447549136321401</v>
      </c>
      <c r="BE164">
        <v>-3.7605907901230702</v>
      </c>
      <c r="BF164">
        <v>1</v>
      </c>
      <c r="BG164">
        <v>-3.3914069279307602</v>
      </c>
      <c r="BH164">
        <v>-4.0301378383333297</v>
      </c>
      <c r="BI164">
        <v>1</v>
      </c>
      <c r="BJ164">
        <v>-4.3519116103749997</v>
      </c>
      <c r="BK164">
        <v>-4.8687873517</v>
      </c>
      <c r="BL164">
        <v>1</v>
      </c>
      <c r="BM164">
        <v>-4.0654004002333304</v>
      </c>
      <c r="BN164">
        <v>-4.7109461987499897</v>
      </c>
      <c r="BO164">
        <v>1</v>
      </c>
      <c r="BP164">
        <v>-4.6518565388666602</v>
      </c>
      <c r="BQ164">
        <v>-5.1876207042999898</v>
      </c>
      <c r="BR164">
        <v>1</v>
      </c>
    </row>
    <row r="165" spans="1:70" x14ac:dyDescent="0.35">
      <c r="A165" t="s">
        <v>708</v>
      </c>
      <c r="B165" t="s">
        <v>706</v>
      </c>
      <c r="C165" t="s">
        <v>707</v>
      </c>
      <c r="D165">
        <v>1</v>
      </c>
      <c r="E165" t="s">
        <v>277</v>
      </c>
      <c r="F165" t="str">
        <f>INDEX([1]train_xl!$H:$H,MATCH(E165,[1]train_xl!$G:$G,0))</f>
        <v>as-as</v>
      </c>
      <c r="G165" t="str">
        <f>INDEX([1]train_xl!$I:$I,MATCH(E165,[1]train_xl!$G:$G,0))</f>
        <v>sim</v>
      </c>
      <c r="H165" t="str">
        <f>INDEX([1]train_xl!$V:$V,MATCH(E165,[1]train_xl!$G:$G,0))</f>
        <v>not</v>
      </c>
      <c r="I165" t="str">
        <f>INDEX([2]Sheet1!$L:$L,MATCH(E165,[2]Sheet1!$I:$I,0))</f>
        <v>intens</v>
      </c>
      <c r="K165">
        <v>-4.10051268465714</v>
      </c>
      <c r="L165">
        <v>-4.0796427432461497</v>
      </c>
      <c r="M165">
        <v>1</v>
      </c>
      <c r="N165">
        <v>-4.33025171315</v>
      </c>
      <c r="O165">
        <v>-4.2842699569941596</v>
      </c>
      <c r="P165">
        <v>1</v>
      </c>
      <c r="Q165">
        <v>-5.1948628290916599</v>
      </c>
      <c r="R165">
        <v>-5.2871811198399996</v>
      </c>
      <c r="S165">
        <v>0</v>
      </c>
      <c r="T165">
        <v>-5.3550442175888797</v>
      </c>
      <c r="U165">
        <v>-5.5204491223999996</v>
      </c>
      <c r="V165">
        <v>0</v>
      </c>
      <c r="W165">
        <v>-5.87295053477777</v>
      </c>
      <c r="X165">
        <v>-6.2303263110374996</v>
      </c>
      <c r="Y165">
        <v>0</v>
      </c>
      <c r="Z165">
        <v>-3.9835864465499902</v>
      </c>
      <c r="AA165">
        <v>-3.8842117902384601</v>
      </c>
      <c r="AB165">
        <v>1</v>
      </c>
      <c r="AC165">
        <v>-4.2450464279692302</v>
      </c>
      <c r="AD165">
        <v>-4.1249319705916596</v>
      </c>
      <c r="AE165">
        <v>1</v>
      </c>
      <c r="AF165">
        <v>-5.0679216265916596</v>
      </c>
      <c r="AG165">
        <v>-4.9634710156545401</v>
      </c>
      <c r="AH165">
        <v>1</v>
      </c>
      <c r="AI165">
        <v>-5.2300187078888802</v>
      </c>
      <c r="AJ165">
        <v>-5.1426033819374997</v>
      </c>
      <c r="AK165">
        <v>1</v>
      </c>
      <c r="AL165">
        <v>-5.0571440605777704</v>
      </c>
      <c r="AM165">
        <v>-5.2827917385875001</v>
      </c>
      <c r="AN165">
        <v>0</v>
      </c>
      <c r="AO165">
        <v>-4.4825865244999896</v>
      </c>
      <c r="AP165">
        <v>-4.3479031517538402</v>
      </c>
      <c r="AQ165">
        <v>1</v>
      </c>
      <c r="AR165">
        <v>-4.6733062362307702</v>
      </c>
      <c r="AS165">
        <v>-4.5432105698833301</v>
      </c>
      <c r="AT165">
        <v>1</v>
      </c>
      <c r="AU165">
        <v>-5.5403569317999901</v>
      </c>
      <c r="AV165">
        <v>-5.41822027823636</v>
      </c>
      <c r="AW165">
        <v>1</v>
      </c>
      <c r="AX165">
        <v>-5.8608159871999996</v>
      </c>
      <c r="AY165">
        <v>-5.7696119658249998</v>
      </c>
      <c r="AZ165">
        <v>1</v>
      </c>
      <c r="BA165">
        <v>-5.9673600945555503</v>
      </c>
      <c r="BB165">
        <v>-6.3555566941374897</v>
      </c>
      <c r="BC165">
        <v>0</v>
      </c>
      <c r="BD165">
        <v>-4.15378173428571</v>
      </c>
      <c r="BE165">
        <v>-4.0907693659923003</v>
      </c>
      <c r="BF165">
        <v>1</v>
      </c>
      <c r="BG165">
        <v>-4.31261927826153</v>
      </c>
      <c r="BH165">
        <v>-4.34831579263333</v>
      </c>
      <c r="BI165">
        <v>0</v>
      </c>
      <c r="BJ165">
        <v>-5.0399986846833302</v>
      </c>
      <c r="BK165">
        <v>-5.0867933009908999</v>
      </c>
      <c r="BL165">
        <v>0</v>
      </c>
      <c r="BM165">
        <v>-5.4040417977111099</v>
      </c>
      <c r="BN165">
        <v>-5.335573153875</v>
      </c>
      <c r="BO165">
        <v>1</v>
      </c>
      <c r="BP165">
        <v>-5.4695369035555501</v>
      </c>
      <c r="BQ165">
        <v>-5.7596501609375004</v>
      </c>
      <c r="BR165">
        <v>0</v>
      </c>
    </row>
    <row r="166" spans="1:70" x14ac:dyDescent="0.35">
      <c r="A166" t="s">
        <v>709</v>
      </c>
      <c r="B166" t="s">
        <v>49</v>
      </c>
      <c r="C166" t="s">
        <v>50</v>
      </c>
      <c r="D166">
        <v>0</v>
      </c>
      <c r="E166" t="s">
        <v>278</v>
      </c>
      <c r="F166" t="str">
        <f>INDEX([1]train_xl!$H:$H,MATCH(E166,[1]train_xl!$G:$G,0))</f>
        <v>as-as</v>
      </c>
      <c r="G166" t="str">
        <f>INDEX([1]train_xl!$I:$I,MATCH(E166,[1]train_xl!$G:$G,0))</f>
        <v>sim</v>
      </c>
      <c r="H166" t="str">
        <f>INDEX([1]train_xl!$V:$V,MATCH(E166,[1]train_xl!$G:$G,0))</f>
        <v>not</v>
      </c>
      <c r="I166" t="str">
        <f>INDEX([2]Sheet1!$L:$L,MATCH(E166,[2]Sheet1!$I:$I,0))</f>
        <v>intens</v>
      </c>
      <c r="K166">
        <v>-3.6151472039285699</v>
      </c>
      <c r="L166">
        <v>-3.5916962049333301</v>
      </c>
      <c r="M166">
        <v>0</v>
      </c>
      <c r="N166">
        <v>-3.7163853630000001</v>
      </c>
      <c r="O166">
        <v>-3.7761850285</v>
      </c>
      <c r="P166">
        <v>1</v>
      </c>
      <c r="Q166">
        <v>-4.6223518862499997</v>
      </c>
      <c r="R166">
        <v>-4.6071133281538401</v>
      </c>
      <c r="S166">
        <v>0</v>
      </c>
      <c r="T166">
        <v>-4.7876408688888796</v>
      </c>
      <c r="U166">
        <v>-4.5363611199999996</v>
      </c>
      <c r="V166">
        <v>0</v>
      </c>
      <c r="W166">
        <v>-5.0188974266666602</v>
      </c>
      <c r="X166">
        <v>-4.7186867459999897</v>
      </c>
      <c r="Y166">
        <v>0</v>
      </c>
      <c r="Z166">
        <v>-4.7813685814285698</v>
      </c>
      <c r="AA166">
        <v>-4.6236533782000002</v>
      </c>
      <c r="AB166">
        <v>0</v>
      </c>
      <c r="AC166">
        <v>-4.9255259723076898</v>
      </c>
      <c r="AD166">
        <v>-4.9407119599999998</v>
      </c>
      <c r="AE166">
        <v>1</v>
      </c>
      <c r="AF166">
        <v>-5.8713662008333296</v>
      </c>
      <c r="AG166">
        <v>-5.7475477046153802</v>
      </c>
      <c r="AH166">
        <v>0</v>
      </c>
      <c r="AI166">
        <v>-6.6084252555555496</v>
      </c>
      <c r="AJ166">
        <v>-6.0666984250000002</v>
      </c>
      <c r="AK166">
        <v>0</v>
      </c>
      <c r="AL166">
        <v>-6.8571573333333298</v>
      </c>
      <c r="AM166">
        <v>-6.2525766999999997</v>
      </c>
      <c r="AN166">
        <v>0</v>
      </c>
      <c r="AO166">
        <v>-3.9343076720714198</v>
      </c>
      <c r="AP166">
        <v>-3.8592289154666601</v>
      </c>
      <c r="AQ166">
        <v>0</v>
      </c>
      <c r="AR166">
        <v>-3.57218498923076</v>
      </c>
      <c r="AS166">
        <v>-3.5612331992857098</v>
      </c>
      <c r="AT166">
        <v>0</v>
      </c>
      <c r="AU166">
        <v>-4.2876049466666597</v>
      </c>
      <c r="AV166">
        <v>-4.1276131438461503</v>
      </c>
      <c r="AW166">
        <v>0</v>
      </c>
      <c r="AX166">
        <v>-4.4837801166666598</v>
      </c>
      <c r="AY166">
        <v>-4.3240482059999996</v>
      </c>
      <c r="AZ166">
        <v>0</v>
      </c>
      <c r="BA166">
        <v>-4.6140303888888798</v>
      </c>
      <c r="BB166">
        <v>-4.3466851999999996</v>
      </c>
      <c r="BC166">
        <v>0</v>
      </c>
      <c r="BD166">
        <v>-4.9673953907142803</v>
      </c>
      <c r="BE166">
        <v>-4.9129816688666601</v>
      </c>
      <c r="BF166">
        <v>0</v>
      </c>
      <c r="BG166">
        <v>-5.0078035123076896</v>
      </c>
      <c r="BH166">
        <v>-5.0733934449999998</v>
      </c>
      <c r="BI166">
        <v>1</v>
      </c>
      <c r="BJ166">
        <v>-5.9536814233333297</v>
      </c>
      <c r="BK166">
        <v>-5.7626164530769204</v>
      </c>
      <c r="BL166">
        <v>0</v>
      </c>
      <c r="BM166">
        <v>-6.8171098333333298</v>
      </c>
      <c r="BN166">
        <v>-6.2991313440000001</v>
      </c>
      <c r="BO166">
        <v>0</v>
      </c>
      <c r="BP166">
        <v>-6.9844833111111102</v>
      </c>
      <c r="BQ166">
        <v>-6.4614960200000002</v>
      </c>
      <c r="BR166">
        <v>0</v>
      </c>
    </row>
    <row r="167" spans="1:70" x14ac:dyDescent="0.35">
      <c r="A167" t="s">
        <v>710</v>
      </c>
      <c r="B167" t="s">
        <v>49</v>
      </c>
      <c r="C167" t="s">
        <v>50</v>
      </c>
      <c r="D167">
        <v>1</v>
      </c>
      <c r="E167" t="s">
        <v>279</v>
      </c>
      <c r="F167" t="str">
        <f>INDEX([1]train_xl!$H:$H,MATCH(E167,[1]train_xl!$G:$G,0))</f>
        <v>as-as</v>
      </c>
      <c r="G167" t="str">
        <f>INDEX([1]train_xl!$I:$I,MATCH(E167,[1]train_xl!$G:$G,0))</f>
        <v>sim</v>
      </c>
      <c r="H167" t="str">
        <f>INDEX([1]train_xl!$V:$V,MATCH(E167,[1]train_xl!$G:$G,0))</f>
        <v>not</v>
      </c>
      <c r="I167" t="str">
        <f>INDEX([2]Sheet1!$L:$L,MATCH(E167,[2]Sheet1!$I:$I,0))</f>
        <v>neg</v>
      </c>
      <c r="K167">
        <v>-3.9695967252857098</v>
      </c>
      <c r="L167">
        <v>-3.3103551995999898</v>
      </c>
      <c r="M167">
        <v>1</v>
      </c>
      <c r="N167">
        <v>-4.1275669847692296</v>
      </c>
      <c r="O167">
        <v>-3.4843360140714199</v>
      </c>
      <c r="P167">
        <v>1</v>
      </c>
      <c r="Q167">
        <v>-5.0046406121666598</v>
      </c>
      <c r="R167">
        <v>-4.2525078142307597</v>
      </c>
      <c r="S167">
        <v>1</v>
      </c>
      <c r="T167">
        <v>-4.5870825222222198</v>
      </c>
      <c r="U167">
        <v>-4.0595001389999901</v>
      </c>
      <c r="V167">
        <v>1</v>
      </c>
      <c r="W167">
        <v>-4.9619653133333301</v>
      </c>
      <c r="X167">
        <v>-4.4441036669999896</v>
      </c>
      <c r="Y167">
        <v>1</v>
      </c>
      <c r="Z167">
        <v>-4.9110835445714196</v>
      </c>
      <c r="AA167">
        <v>-4.2507540512000004</v>
      </c>
      <c r="AB167">
        <v>1</v>
      </c>
      <c r="AC167">
        <v>-5.1578997773846096</v>
      </c>
      <c r="AD167">
        <v>-4.4949984135714196</v>
      </c>
      <c r="AE167">
        <v>1</v>
      </c>
      <c r="AF167">
        <v>-6.1369865874999903</v>
      </c>
      <c r="AG167">
        <v>-5.3511241223076897</v>
      </c>
      <c r="AH167">
        <v>1</v>
      </c>
      <c r="AI167">
        <v>-6.1556121488888804</v>
      </c>
      <c r="AJ167">
        <v>-5.4350500889999998</v>
      </c>
      <c r="AK167">
        <v>1</v>
      </c>
      <c r="AL167">
        <v>-6.49888522</v>
      </c>
      <c r="AM167">
        <v>-5.7354560499999998</v>
      </c>
      <c r="AN167">
        <v>1</v>
      </c>
      <c r="AO167">
        <v>-4.23229760035714</v>
      </c>
      <c r="AP167">
        <v>-3.6264196868666598</v>
      </c>
      <c r="AQ167">
        <v>1</v>
      </c>
      <c r="AR167">
        <v>-3.9617936542307599</v>
      </c>
      <c r="AS167">
        <v>-3.3558192701428502</v>
      </c>
      <c r="AT167">
        <v>1</v>
      </c>
      <c r="AU167">
        <v>-4.7029905999999899</v>
      </c>
      <c r="AV167">
        <v>-4.0316366761538402</v>
      </c>
      <c r="AW167">
        <v>1</v>
      </c>
      <c r="AX167">
        <v>-4.5846682544444404</v>
      </c>
      <c r="AY167">
        <v>-4.029805004</v>
      </c>
      <c r="AZ167">
        <v>1</v>
      </c>
      <c r="BA167">
        <v>-4.6240654866666597</v>
      </c>
      <c r="BB167">
        <v>-4.1422966829999996</v>
      </c>
      <c r="BC167">
        <v>1</v>
      </c>
      <c r="BD167">
        <v>-5.3867855482142799</v>
      </c>
      <c r="BE167">
        <v>-4.6721668846666597</v>
      </c>
      <c r="BF167">
        <v>1</v>
      </c>
      <c r="BG167">
        <v>-5.4928580938461504</v>
      </c>
      <c r="BH167">
        <v>-4.8201841050000001</v>
      </c>
      <c r="BI167">
        <v>1</v>
      </c>
      <c r="BJ167">
        <v>-6.2170219066666599</v>
      </c>
      <c r="BK167">
        <v>-5.4014413653846098</v>
      </c>
      <c r="BL167">
        <v>1</v>
      </c>
      <c r="BM167">
        <v>-6.8909322266666599</v>
      </c>
      <c r="BN167">
        <v>-6.1207880759999904</v>
      </c>
      <c r="BO167">
        <v>1</v>
      </c>
      <c r="BP167">
        <v>-6.6982578111111097</v>
      </c>
      <c r="BQ167">
        <v>-5.9237966640000002</v>
      </c>
      <c r="BR167">
        <v>1</v>
      </c>
    </row>
    <row r="168" spans="1:70" x14ac:dyDescent="0.35">
      <c r="A168" t="s">
        <v>711</v>
      </c>
      <c r="B168" t="s">
        <v>712</v>
      </c>
      <c r="C168" t="s">
        <v>713</v>
      </c>
      <c r="D168">
        <v>0</v>
      </c>
      <c r="E168" t="s">
        <v>280</v>
      </c>
      <c r="F168" t="str">
        <f>INDEX([1]train_xl!$H:$H,MATCH(E168,[1]train_xl!$G:$G,0))</f>
        <v>the-of</v>
      </c>
      <c r="G168" t="str">
        <f>INDEX([1]train_xl!$I:$I,MATCH(E168,[1]train_xl!$G:$G,0))</f>
        <v>sim</v>
      </c>
      <c r="H168" t="str">
        <f>INDEX([1]train_xl!$V:$V,MATCH(E168,[1]train_xl!$G:$G,0))</f>
        <v>not</v>
      </c>
      <c r="I168" t="str">
        <f>INDEX([2]Sheet1!$L:$L,MATCH(E168,[2]Sheet1!$I:$I,0))</f>
        <v>neg</v>
      </c>
      <c r="K168">
        <v>-3.7858885750125002</v>
      </c>
      <c r="L168">
        <v>-4.2590571863133304</v>
      </c>
      <c r="M168">
        <v>1</v>
      </c>
      <c r="N168">
        <v>-3.7229466379999998</v>
      </c>
      <c r="O168">
        <v>-4.1055257554285696</v>
      </c>
      <c r="P168">
        <v>1</v>
      </c>
      <c r="Q168">
        <v>-4.4415399524285704</v>
      </c>
      <c r="R168">
        <v>-4.8997760594615301</v>
      </c>
      <c r="S168">
        <v>1</v>
      </c>
      <c r="T168">
        <v>-4.8714949045454503</v>
      </c>
      <c r="U168">
        <v>-5.2654295099999997</v>
      </c>
      <c r="V168">
        <v>1</v>
      </c>
      <c r="W168">
        <v>-5.1562876727272702</v>
      </c>
      <c r="X168">
        <v>-5.6089441999999998</v>
      </c>
      <c r="Y168">
        <v>1</v>
      </c>
      <c r="Z168">
        <v>-4.4415569101874901</v>
      </c>
      <c r="AA168">
        <v>-5.2444385115999896</v>
      </c>
      <c r="AB168">
        <v>1</v>
      </c>
      <c r="AC168">
        <v>-4.4391568439999904</v>
      </c>
      <c r="AD168">
        <v>-4.8794288449999996</v>
      </c>
      <c r="AE168">
        <v>1</v>
      </c>
      <c r="AF168">
        <v>-5.09966539857143</v>
      </c>
      <c r="AG168">
        <v>-5.67466457</v>
      </c>
      <c r="AH168">
        <v>1</v>
      </c>
      <c r="AI168">
        <v>-5.60398046727272</v>
      </c>
      <c r="AJ168">
        <v>-6.0975465099999999</v>
      </c>
      <c r="AK168">
        <v>1</v>
      </c>
      <c r="AL168">
        <v>-5.74535768181818</v>
      </c>
      <c r="AM168">
        <v>-6.2130512099999997</v>
      </c>
      <c r="AN168">
        <v>1</v>
      </c>
      <c r="AO168">
        <v>-3.775449493125</v>
      </c>
      <c r="AP168">
        <v>-4.2545349392666596</v>
      </c>
      <c r="AQ168">
        <v>1</v>
      </c>
      <c r="AR168">
        <v>-3.63361731526666</v>
      </c>
      <c r="AS168">
        <v>-4.0602008492857102</v>
      </c>
      <c r="AT168">
        <v>1</v>
      </c>
      <c r="AU168">
        <v>-4.19660682357142</v>
      </c>
      <c r="AV168">
        <v>-4.6499460153846099</v>
      </c>
      <c r="AW168">
        <v>1</v>
      </c>
      <c r="AX168">
        <v>-4.5839187945454496</v>
      </c>
      <c r="AY168">
        <v>-4.9265718700000001</v>
      </c>
      <c r="AZ168">
        <v>1</v>
      </c>
      <c r="BA168">
        <v>-4.7471224154545402</v>
      </c>
      <c r="BB168">
        <v>-5.0889264779999897</v>
      </c>
      <c r="BC168">
        <v>1</v>
      </c>
      <c r="BD168">
        <v>-4.5455890233125</v>
      </c>
      <c r="BE168">
        <v>-5.0550843935333303</v>
      </c>
      <c r="BF168">
        <v>1</v>
      </c>
      <c r="BG168">
        <v>-4.4018106057333304</v>
      </c>
      <c r="BH168">
        <v>-5.0593062314285699</v>
      </c>
      <c r="BI168">
        <v>1</v>
      </c>
      <c r="BJ168">
        <v>-5.1716669571428504</v>
      </c>
      <c r="BK168">
        <v>-5.8191658449999997</v>
      </c>
      <c r="BL168">
        <v>1</v>
      </c>
      <c r="BM168">
        <v>-5.8488933418181803</v>
      </c>
      <c r="BN168">
        <v>-6.4246238899999897</v>
      </c>
      <c r="BO168">
        <v>1</v>
      </c>
      <c r="BP168">
        <v>-6.0549326909090899</v>
      </c>
      <c r="BQ168">
        <v>-6.5306077799999898</v>
      </c>
      <c r="BR168">
        <v>1</v>
      </c>
    </row>
    <row r="169" spans="1:70" x14ac:dyDescent="0.35">
      <c r="A169" t="s">
        <v>714</v>
      </c>
      <c r="B169" t="s">
        <v>712</v>
      </c>
      <c r="C169" t="s">
        <v>713</v>
      </c>
      <c r="D169">
        <v>1</v>
      </c>
      <c r="E169" t="s">
        <v>281</v>
      </c>
      <c r="F169" t="str">
        <f>INDEX([1]train_xl!$H:$H,MATCH(E169,[1]train_xl!$G:$G,0))</f>
        <v>the-of</v>
      </c>
      <c r="G169" t="str">
        <f>INDEX([1]train_xl!$I:$I,MATCH(E169,[1]train_xl!$G:$G,0))</f>
        <v>sim</v>
      </c>
      <c r="H169" t="str">
        <f>INDEX([1]train_xl!$V:$V,MATCH(E169,[1]train_xl!$G:$G,0))</f>
        <v>not</v>
      </c>
      <c r="I169" t="str">
        <f>INDEX([2]Sheet1!$L:$L,MATCH(E169,[2]Sheet1!$I:$I,0))</f>
        <v>intens</v>
      </c>
      <c r="K169">
        <v>-4.2635349959999997</v>
      </c>
      <c r="L169">
        <v>-4.3180210319999999</v>
      </c>
      <c r="M169">
        <v>0</v>
      </c>
      <c r="N169">
        <v>-4.1964679273571397</v>
      </c>
      <c r="O169">
        <v>-4.1515206007692296</v>
      </c>
      <c r="P169">
        <v>1</v>
      </c>
      <c r="Q169">
        <v>-5.0007133507692298</v>
      </c>
      <c r="R169">
        <v>-5.0283959427499996</v>
      </c>
      <c r="S169">
        <v>0</v>
      </c>
      <c r="T169">
        <v>-5.2987661260000003</v>
      </c>
      <c r="U169">
        <v>-5.4336034888888802</v>
      </c>
      <c r="V169">
        <v>0</v>
      </c>
      <c r="W169">
        <v>-5.4741301299999998</v>
      </c>
      <c r="X169">
        <v>-5.7209267333333296</v>
      </c>
      <c r="Y169">
        <v>0</v>
      </c>
      <c r="Z169">
        <v>-4.7426306115333299</v>
      </c>
      <c r="AA169">
        <v>-5.0682726454285696</v>
      </c>
      <c r="AB169">
        <v>0</v>
      </c>
      <c r="AC169">
        <v>-4.7577896428571398</v>
      </c>
      <c r="AD169">
        <v>-4.99366938415384</v>
      </c>
      <c r="AE169">
        <v>0</v>
      </c>
      <c r="AF169">
        <v>-5.4945227007692301</v>
      </c>
      <c r="AG169">
        <v>-5.5970309508333296</v>
      </c>
      <c r="AH169">
        <v>0</v>
      </c>
      <c r="AI169">
        <v>-6.0314771999999897</v>
      </c>
      <c r="AJ169">
        <v>-6.1768877111111102</v>
      </c>
      <c r="AK169">
        <v>0</v>
      </c>
      <c r="AL169">
        <v>-6.1528110800000002</v>
      </c>
      <c r="AM169">
        <v>-6.5057151444444399</v>
      </c>
      <c r="AN169">
        <v>0</v>
      </c>
      <c r="AO169">
        <v>-4.03052875266666</v>
      </c>
      <c r="AP169">
        <v>-3.9562270207142798</v>
      </c>
      <c r="AQ169">
        <v>1</v>
      </c>
      <c r="AR169">
        <v>-3.7568650799999999</v>
      </c>
      <c r="AS169">
        <v>-3.66652730999999</v>
      </c>
      <c r="AT169">
        <v>1</v>
      </c>
      <c r="AU169">
        <v>-4.4227222861538404</v>
      </c>
      <c r="AV169">
        <v>-4.3837975583333302</v>
      </c>
      <c r="AW169">
        <v>1</v>
      </c>
      <c r="AX169">
        <v>-4.8474690199999904</v>
      </c>
      <c r="AY169">
        <v>-4.8117484722222201</v>
      </c>
      <c r="AZ169">
        <v>1</v>
      </c>
      <c r="BA169">
        <v>-4.826698253</v>
      </c>
      <c r="BB169">
        <v>-4.8674154300000003</v>
      </c>
      <c r="BC169">
        <v>0</v>
      </c>
      <c r="BD169">
        <v>-4.8293042968000002</v>
      </c>
      <c r="BE169">
        <v>-4.89720048414285</v>
      </c>
      <c r="BF169">
        <v>0</v>
      </c>
      <c r="BG169">
        <v>-4.8997761653571397</v>
      </c>
      <c r="BH169">
        <v>-4.9056761857692299</v>
      </c>
      <c r="BI169">
        <v>0</v>
      </c>
      <c r="BJ169">
        <v>-5.6216435307692301</v>
      </c>
      <c r="BK169">
        <v>-5.6440295075</v>
      </c>
      <c r="BL169">
        <v>0</v>
      </c>
      <c r="BM169">
        <v>-6.2571785649999896</v>
      </c>
      <c r="BN169">
        <v>-6.3490444333333302</v>
      </c>
      <c r="BO169">
        <v>0</v>
      </c>
      <c r="BP169">
        <v>-6.5774789399999998</v>
      </c>
      <c r="BQ169">
        <v>-6.2610169888888798</v>
      </c>
      <c r="BR169">
        <v>1</v>
      </c>
    </row>
    <row r="170" spans="1:70" x14ac:dyDescent="0.35">
      <c r="A170" t="s">
        <v>715</v>
      </c>
      <c r="B170" t="s">
        <v>716</v>
      </c>
      <c r="C170" t="s">
        <v>717</v>
      </c>
      <c r="D170">
        <v>0</v>
      </c>
      <c r="E170" t="s">
        <v>282</v>
      </c>
      <c r="F170" t="str">
        <f>INDEX([1]train_xl!$H:$H,MATCH(E170,[1]train_xl!$G:$G,0))</f>
        <v>as-as</v>
      </c>
      <c r="G170" t="str">
        <f>INDEX([1]train_xl!$I:$I,MATCH(E170,[1]train_xl!$G:$G,0))</f>
        <v>sim</v>
      </c>
      <c r="H170" t="str">
        <f>INDEX([1]train_xl!$V:$V,MATCH(E170,[1]train_xl!$G:$G,0))</f>
        <v>not</v>
      </c>
      <c r="I170" t="str">
        <f>INDEX([2]Sheet1!$L:$L,MATCH(E170,[2]Sheet1!$I:$I,0))</f>
        <v>intens</v>
      </c>
      <c r="K170">
        <v>-3.0362846519333302</v>
      </c>
      <c r="L170">
        <v>-3.282003214625</v>
      </c>
      <c r="M170">
        <v>1</v>
      </c>
      <c r="N170">
        <v>-3.08603726957142</v>
      </c>
      <c r="O170">
        <v>-3.3109156448666601</v>
      </c>
      <c r="P170">
        <v>1</v>
      </c>
      <c r="Q170">
        <v>-3.9467790869230699</v>
      </c>
      <c r="R170">
        <v>-4.1361425266428498</v>
      </c>
      <c r="S170">
        <v>1</v>
      </c>
      <c r="T170">
        <v>-3.8251895999999901</v>
      </c>
      <c r="U170">
        <v>-3.7944151627272702</v>
      </c>
      <c r="V170">
        <v>0</v>
      </c>
      <c r="W170">
        <v>-3.9992714930000002</v>
      </c>
      <c r="X170">
        <v>-3.9123429954545399</v>
      </c>
      <c r="Y170">
        <v>0</v>
      </c>
      <c r="Z170">
        <v>-4.2327664766666597</v>
      </c>
      <c r="AA170">
        <v>-4.3216243112499999</v>
      </c>
      <c r="AB170">
        <v>1</v>
      </c>
      <c r="AC170">
        <v>-4.5025999835714199</v>
      </c>
      <c r="AD170">
        <v>-4.5191890993333299</v>
      </c>
      <c r="AE170">
        <v>1</v>
      </c>
      <c r="AF170">
        <v>-5.2452462096922998</v>
      </c>
      <c r="AG170">
        <v>-5.3146359885714203</v>
      </c>
      <c r="AH170">
        <v>1</v>
      </c>
      <c r="AI170">
        <v>-5.6139471700000003</v>
      </c>
      <c r="AJ170">
        <v>-5.5424022999999902</v>
      </c>
      <c r="AK170">
        <v>0</v>
      </c>
      <c r="AL170">
        <v>-5.7280488199999997</v>
      </c>
      <c r="AM170">
        <v>-5.43295247</v>
      </c>
      <c r="AN170">
        <v>0</v>
      </c>
      <c r="AO170">
        <v>-3.8482210999999902</v>
      </c>
      <c r="AP170">
        <v>-3.9835773106249999</v>
      </c>
      <c r="AQ170">
        <v>1</v>
      </c>
      <c r="AR170">
        <v>-3.6878628710714199</v>
      </c>
      <c r="AS170">
        <v>-3.8519164437333302</v>
      </c>
      <c r="AT170">
        <v>1</v>
      </c>
      <c r="AU170">
        <v>-4.66733873230769</v>
      </c>
      <c r="AV170">
        <v>-4.8214324628571399</v>
      </c>
      <c r="AW170">
        <v>1</v>
      </c>
      <c r="AX170">
        <v>-4.7186616499999996</v>
      </c>
      <c r="AY170">
        <v>-4.5898966709090896</v>
      </c>
      <c r="AZ170">
        <v>0</v>
      </c>
      <c r="BA170">
        <v>-4.9056114900000001</v>
      </c>
      <c r="BB170">
        <v>-4.9237016236363598</v>
      </c>
      <c r="BC170">
        <v>1</v>
      </c>
      <c r="BD170">
        <v>-4.0135536253333299</v>
      </c>
      <c r="BE170">
        <v>-4.1273705018750002</v>
      </c>
      <c r="BF170">
        <v>1</v>
      </c>
      <c r="BG170">
        <v>-4.3033297007142801</v>
      </c>
      <c r="BH170">
        <v>-4.3148888582666602</v>
      </c>
      <c r="BI170">
        <v>1</v>
      </c>
      <c r="BJ170">
        <v>-5.0133884376923001</v>
      </c>
      <c r="BK170">
        <v>-5.0369710074285701</v>
      </c>
      <c r="BL170">
        <v>1</v>
      </c>
      <c r="BM170">
        <v>-5.1516561399999903</v>
      </c>
      <c r="BN170">
        <v>-5.12758641818181</v>
      </c>
      <c r="BO170">
        <v>0</v>
      </c>
      <c r="BP170">
        <v>-5.2723804499999902</v>
      </c>
      <c r="BQ170">
        <v>-5.0719995999999998</v>
      </c>
      <c r="BR170">
        <v>0</v>
      </c>
    </row>
    <row r="171" spans="1:70" x14ac:dyDescent="0.35">
      <c r="A171" t="s">
        <v>718</v>
      </c>
      <c r="B171" t="s">
        <v>716</v>
      </c>
      <c r="C171" t="s">
        <v>717</v>
      </c>
      <c r="D171">
        <v>1</v>
      </c>
      <c r="E171" t="s">
        <v>283</v>
      </c>
      <c r="F171" t="str">
        <f>INDEX([1]train_xl!$H:$H,MATCH(E171,[1]train_xl!$G:$G,0))</f>
        <v>as-as</v>
      </c>
      <c r="G171" t="str">
        <f>INDEX([1]train_xl!$I:$I,MATCH(E171,[1]train_xl!$G:$G,0))</f>
        <v>sim</v>
      </c>
      <c r="H171" t="str">
        <f>INDEX([1]train_xl!$V:$V,MATCH(E171,[1]train_xl!$G:$G,0))</f>
        <v>not</v>
      </c>
      <c r="I171" t="str">
        <f>INDEX([2]Sheet1!$L:$L,MATCH(E171,[2]Sheet1!$I:$I,0))</f>
        <v>neg</v>
      </c>
      <c r="K171">
        <v>-3.3542802025333298</v>
      </c>
      <c r="L171">
        <v>-3.0215687556250002</v>
      </c>
      <c r="M171">
        <v>1</v>
      </c>
      <c r="N171">
        <v>-3.6491256102142802</v>
      </c>
      <c r="O171">
        <v>-3.1091015523999901</v>
      </c>
      <c r="P171">
        <v>1</v>
      </c>
      <c r="Q171">
        <v>-4.4450048307692303</v>
      </c>
      <c r="R171">
        <v>-3.9644706608571401</v>
      </c>
      <c r="S171">
        <v>1</v>
      </c>
      <c r="T171">
        <v>-3.9768674849999899</v>
      </c>
      <c r="U171">
        <v>-3.5811779690908998</v>
      </c>
      <c r="V171">
        <v>1</v>
      </c>
      <c r="W171">
        <v>-4.2392242930000004</v>
      </c>
      <c r="X171">
        <v>-3.8451910790908999</v>
      </c>
      <c r="Y171">
        <v>1</v>
      </c>
      <c r="Z171">
        <v>-4.52012574133333</v>
      </c>
      <c r="AA171">
        <v>-4.0464514899999999</v>
      </c>
      <c r="AB171">
        <v>1</v>
      </c>
      <c r="AC171">
        <v>-4.7066741995714203</v>
      </c>
      <c r="AD171">
        <v>-4.1692904869999996</v>
      </c>
      <c r="AE171">
        <v>1</v>
      </c>
      <c r="AF171">
        <v>-5.5033781433846096</v>
      </c>
      <c r="AG171">
        <v>-5.04316250785714</v>
      </c>
      <c r="AH171">
        <v>1</v>
      </c>
      <c r="AI171">
        <v>-5.7686246900000002</v>
      </c>
      <c r="AJ171">
        <v>-5.2037481845454501</v>
      </c>
      <c r="AK171">
        <v>1</v>
      </c>
      <c r="AL171">
        <v>-5.8420131999999896</v>
      </c>
      <c r="AM171">
        <v>-5.2427881718181801</v>
      </c>
      <c r="AN171">
        <v>1</v>
      </c>
      <c r="AO171">
        <v>-3.9485535279999899</v>
      </c>
      <c r="AP171">
        <v>-3.6967639031249999</v>
      </c>
      <c r="AQ171">
        <v>1</v>
      </c>
      <c r="AR171">
        <v>-4.2436618221428501</v>
      </c>
      <c r="AS171">
        <v>-3.8125688169333301</v>
      </c>
      <c r="AT171">
        <v>1</v>
      </c>
      <c r="AU171">
        <v>-5.2007083376922996</v>
      </c>
      <c r="AV171">
        <v>-4.7419052414285696</v>
      </c>
      <c r="AW171">
        <v>1</v>
      </c>
      <c r="AX171">
        <v>-5.1127023099999898</v>
      </c>
      <c r="AY171">
        <v>-4.64320738454545</v>
      </c>
      <c r="AZ171">
        <v>1</v>
      </c>
      <c r="BA171">
        <v>-4.9834700400000003</v>
      </c>
      <c r="BB171">
        <v>-4.7728113754545403</v>
      </c>
      <c r="BC171">
        <v>1</v>
      </c>
      <c r="BD171">
        <v>-4.1997646753333298</v>
      </c>
      <c r="BE171">
        <v>-3.7918679050000001</v>
      </c>
      <c r="BF171">
        <v>1</v>
      </c>
      <c r="BG171">
        <v>-4.5961525025714298</v>
      </c>
      <c r="BH171">
        <v>-3.92343194</v>
      </c>
      <c r="BI171">
        <v>1</v>
      </c>
      <c r="BJ171">
        <v>-5.1866241561538402</v>
      </c>
      <c r="BK171">
        <v>-4.7053078759999902</v>
      </c>
      <c r="BL171">
        <v>1</v>
      </c>
      <c r="BM171">
        <v>-5.2143370459999998</v>
      </c>
      <c r="BN171">
        <v>-4.7184216118181803</v>
      </c>
      <c r="BO171">
        <v>1</v>
      </c>
      <c r="BP171">
        <v>-5.3345423299999997</v>
      </c>
      <c r="BQ171">
        <v>-4.8007442972727201</v>
      </c>
      <c r="BR171">
        <v>1</v>
      </c>
    </row>
    <row r="172" spans="1:70" x14ac:dyDescent="0.35">
      <c r="A172" t="s">
        <v>719</v>
      </c>
      <c r="B172" t="s">
        <v>720</v>
      </c>
      <c r="C172" t="s">
        <v>721</v>
      </c>
      <c r="D172">
        <v>0</v>
      </c>
      <c r="E172" t="s">
        <v>284</v>
      </c>
      <c r="F172" t="str">
        <f>INDEX([1]train_xl!$H:$H,MATCH(E172,[1]train_xl!$G:$G,0))</f>
        <v>as-as</v>
      </c>
      <c r="G172" t="str">
        <f>INDEX([1]train_xl!$I:$I,MATCH(E172,[1]train_xl!$G:$G,0))</f>
        <v>sim</v>
      </c>
      <c r="H172" t="str">
        <f>INDEX([1]train_xl!$V:$V,MATCH(E172,[1]train_xl!$G:$G,0))</f>
        <v>not</v>
      </c>
      <c r="I172" t="str">
        <f>INDEX([2]Sheet1!$L:$L,MATCH(E172,[2]Sheet1!$I:$I,0))</f>
        <v>intens</v>
      </c>
      <c r="K172">
        <v>-3.19676381033333</v>
      </c>
      <c r="L172">
        <v>-3.3357964302307601</v>
      </c>
      <c r="M172">
        <v>1</v>
      </c>
      <c r="N172">
        <v>-3.3438146495454499</v>
      </c>
      <c r="O172">
        <v>-3.5750191857083302</v>
      </c>
      <c r="P172">
        <v>1</v>
      </c>
      <c r="Q172">
        <v>-4.40636670299999</v>
      </c>
      <c r="R172">
        <v>-4.5008793684545401</v>
      </c>
      <c r="S172">
        <v>1</v>
      </c>
      <c r="T172">
        <v>-4.1346481714285703</v>
      </c>
      <c r="U172">
        <v>-4.4237306624999997</v>
      </c>
      <c r="V172">
        <v>1</v>
      </c>
      <c r="W172">
        <v>-4.9863479000000002</v>
      </c>
      <c r="X172">
        <v>-4.7658050124999898</v>
      </c>
      <c r="Y172">
        <v>0</v>
      </c>
      <c r="Z172">
        <v>-3.5056541812500002</v>
      </c>
      <c r="AA172">
        <v>-3.5789063692307601</v>
      </c>
      <c r="AB172">
        <v>1</v>
      </c>
      <c r="AC172">
        <v>-3.8292822454545399</v>
      </c>
      <c r="AD172">
        <v>-3.8689163500000001</v>
      </c>
      <c r="AE172">
        <v>1</v>
      </c>
      <c r="AF172">
        <v>-4.7694971070000003</v>
      </c>
      <c r="AG172">
        <v>-4.70673755454545</v>
      </c>
      <c r="AH172">
        <v>0</v>
      </c>
      <c r="AI172">
        <v>-4.8616786571428499</v>
      </c>
      <c r="AJ172">
        <v>-4.8194483374999999</v>
      </c>
      <c r="AK172">
        <v>0</v>
      </c>
      <c r="AL172">
        <v>-4.9479151142857098</v>
      </c>
      <c r="AM172">
        <v>-4.5987041749999999</v>
      </c>
      <c r="AN172">
        <v>0</v>
      </c>
      <c r="AO172">
        <v>-3.94915013541666</v>
      </c>
      <c r="AP172">
        <v>-3.97907061538461</v>
      </c>
      <c r="AQ172">
        <v>1</v>
      </c>
      <c r="AR172">
        <v>-3.73743770818181</v>
      </c>
      <c r="AS172">
        <v>-3.7731103400000001</v>
      </c>
      <c r="AT172">
        <v>1</v>
      </c>
      <c r="AU172">
        <v>-5.1208866479999999</v>
      </c>
      <c r="AV172">
        <v>-4.9754069518181803</v>
      </c>
      <c r="AW172">
        <v>0</v>
      </c>
      <c r="AX172">
        <v>-5.7246165428571398</v>
      </c>
      <c r="AY172">
        <v>-5.6303600624999897</v>
      </c>
      <c r="AZ172">
        <v>0</v>
      </c>
      <c r="BA172">
        <v>-6.4187974428571399</v>
      </c>
      <c r="BB172">
        <v>-5.8851448249999896</v>
      </c>
      <c r="BC172">
        <v>0</v>
      </c>
      <c r="BD172">
        <v>-3.6849145558333301</v>
      </c>
      <c r="BE172">
        <v>-3.65304253153846</v>
      </c>
      <c r="BF172">
        <v>0</v>
      </c>
      <c r="BG172">
        <v>-4.0152754327272699</v>
      </c>
      <c r="BH172">
        <v>-3.9151909866666599</v>
      </c>
      <c r="BI172">
        <v>0</v>
      </c>
      <c r="BJ172">
        <v>-4.9738603000000001</v>
      </c>
      <c r="BK172">
        <v>-4.8173160781818103</v>
      </c>
      <c r="BL172">
        <v>0</v>
      </c>
      <c r="BM172">
        <v>-5.0589319857142803</v>
      </c>
      <c r="BN172">
        <v>-4.9875860999999997</v>
      </c>
      <c r="BO172">
        <v>0</v>
      </c>
      <c r="BP172">
        <v>-5.9647483571428497</v>
      </c>
      <c r="BQ172">
        <v>-5.4641083249999998</v>
      </c>
      <c r="BR172">
        <v>0</v>
      </c>
    </row>
    <row r="173" spans="1:70" x14ac:dyDescent="0.35">
      <c r="A173" t="s">
        <v>722</v>
      </c>
      <c r="B173" t="s">
        <v>720</v>
      </c>
      <c r="C173" t="s">
        <v>721</v>
      </c>
      <c r="D173">
        <v>1</v>
      </c>
      <c r="E173" t="s">
        <v>285</v>
      </c>
      <c r="F173" t="str">
        <f>INDEX([1]train_xl!$H:$H,MATCH(E173,[1]train_xl!$G:$G,0))</f>
        <v>as-as</v>
      </c>
      <c r="G173" t="str">
        <f>INDEX([1]train_xl!$I:$I,MATCH(E173,[1]train_xl!$G:$G,0))</f>
        <v>sim</v>
      </c>
      <c r="H173" t="str">
        <f>INDEX([1]train_xl!$V:$V,MATCH(E173,[1]train_xl!$G:$G,0))</f>
        <v>not</v>
      </c>
      <c r="I173" t="str">
        <f>INDEX([2]Sheet1!$L:$L,MATCH(E173,[2]Sheet1!$I:$I,0))</f>
        <v>neg</v>
      </c>
      <c r="K173">
        <v>-3.6997986836666601</v>
      </c>
      <c r="L173">
        <v>-3.1639525783076898</v>
      </c>
      <c r="M173">
        <v>1</v>
      </c>
      <c r="N173">
        <v>-3.8513787945454498</v>
      </c>
      <c r="O173">
        <v>-3.3205210054166598</v>
      </c>
      <c r="P173">
        <v>1</v>
      </c>
      <c r="Q173">
        <v>-4.9343914289999997</v>
      </c>
      <c r="R173">
        <v>-4.3201498377272696</v>
      </c>
      <c r="S173">
        <v>1</v>
      </c>
      <c r="T173">
        <v>-4.9470257571428498</v>
      </c>
      <c r="U173">
        <v>-3.635614425</v>
      </c>
      <c r="V173">
        <v>1</v>
      </c>
      <c r="W173">
        <v>-5.0797611942857097</v>
      </c>
      <c r="X173">
        <v>-4.3984098625000003</v>
      </c>
      <c r="Y173">
        <v>1</v>
      </c>
      <c r="Z173">
        <v>-3.83763694666666</v>
      </c>
      <c r="AA173">
        <v>-3.4364654820769198</v>
      </c>
      <c r="AB173">
        <v>1</v>
      </c>
      <c r="AC173">
        <v>-4.1066925867272701</v>
      </c>
      <c r="AD173">
        <v>-3.64152493124999</v>
      </c>
      <c r="AE173">
        <v>1</v>
      </c>
      <c r="AF173">
        <v>-5.2532524999999897</v>
      </c>
      <c r="AG173">
        <v>-4.6922084318181803</v>
      </c>
      <c r="AH173">
        <v>1</v>
      </c>
      <c r="AI173">
        <v>-5.1572800714285698</v>
      </c>
      <c r="AJ173">
        <v>-4.1153386999999997</v>
      </c>
      <c r="AK173">
        <v>1</v>
      </c>
      <c r="AL173">
        <v>-5.37477358571428</v>
      </c>
      <c r="AM173">
        <v>-4.7381014124999998</v>
      </c>
      <c r="AN173">
        <v>1</v>
      </c>
      <c r="AO173">
        <v>-3.9503989638333299</v>
      </c>
      <c r="AP173">
        <v>-3.4855217707692301</v>
      </c>
      <c r="AQ173">
        <v>1</v>
      </c>
      <c r="AR173">
        <v>-3.8634388294545401</v>
      </c>
      <c r="AS173">
        <v>-3.3832842974999902</v>
      </c>
      <c r="AT173">
        <v>1</v>
      </c>
      <c r="AU173">
        <v>-5.2318010599999996</v>
      </c>
      <c r="AV173">
        <v>-4.4435038809090903</v>
      </c>
      <c r="AW173">
        <v>1</v>
      </c>
      <c r="AX173">
        <v>-6.0220877714285699</v>
      </c>
      <c r="AY173">
        <v>-4.6805743125000001</v>
      </c>
      <c r="AZ173">
        <v>1</v>
      </c>
      <c r="BA173">
        <v>-6.1638883857142801</v>
      </c>
      <c r="BB173">
        <v>-5.4452883249999902</v>
      </c>
      <c r="BC173">
        <v>1</v>
      </c>
      <c r="BD173">
        <v>-4.0923558798333302</v>
      </c>
      <c r="BE173">
        <v>-3.6336025663846101</v>
      </c>
      <c r="BF173">
        <v>1</v>
      </c>
      <c r="BG173">
        <v>-4.3969531863636302</v>
      </c>
      <c r="BH173">
        <v>-3.9760556483333298</v>
      </c>
      <c r="BI173">
        <v>1</v>
      </c>
      <c r="BJ173">
        <v>-5.5113677489999997</v>
      </c>
      <c r="BK173">
        <v>-4.8703707018181799</v>
      </c>
      <c r="BL173">
        <v>1</v>
      </c>
      <c r="BM173">
        <v>-5.5657104000000004</v>
      </c>
      <c r="BN173">
        <v>-4.4694023374999903</v>
      </c>
      <c r="BO173">
        <v>1</v>
      </c>
      <c r="BP173">
        <v>-5.9345051285714199</v>
      </c>
      <c r="BQ173">
        <v>-5.2543995875</v>
      </c>
      <c r="BR173">
        <v>1</v>
      </c>
    </row>
    <row r="174" spans="1:70" x14ac:dyDescent="0.35">
      <c r="A174" t="s">
        <v>723</v>
      </c>
      <c r="B174" t="s">
        <v>724</v>
      </c>
      <c r="C174" t="s">
        <v>725</v>
      </c>
      <c r="D174">
        <v>0</v>
      </c>
      <c r="E174" t="s">
        <v>286</v>
      </c>
      <c r="F174" t="str">
        <f>INDEX([1]train_xl!$H:$H,MATCH(E174,[1]train_xl!$G:$G,0))</f>
        <v>as-as</v>
      </c>
      <c r="G174" t="str">
        <f>INDEX([1]train_xl!$I:$I,MATCH(E174,[1]train_xl!$G:$G,0))</f>
        <v>sim</v>
      </c>
      <c r="H174" t="str">
        <f>INDEX([1]train_xl!$V:$V,MATCH(E174,[1]train_xl!$G:$G,0))</f>
        <v>not</v>
      </c>
      <c r="I174" t="str">
        <f>INDEX([2]Sheet1!$L:$L,MATCH(E174,[2]Sheet1!$I:$I,0))</f>
        <v>intens</v>
      </c>
      <c r="K174">
        <v>-4.0116676839999998</v>
      </c>
      <c r="L174">
        <v>-4.1259993875882301</v>
      </c>
      <c r="M174">
        <v>1</v>
      </c>
      <c r="N174">
        <v>-4.0275880850333303</v>
      </c>
      <c r="O174">
        <v>-4.2076807050999996</v>
      </c>
      <c r="P174">
        <v>1</v>
      </c>
      <c r="Q174">
        <v>-4.7521093676428503</v>
      </c>
      <c r="R174">
        <v>-4.9200649314666602</v>
      </c>
      <c r="S174">
        <v>1</v>
      </c>
      <c r="T174">
        <v>-4.7334052172727201</v>
      </c>
      <c r="U174">
        <v>-4.9148119750000001</v>
      </c>
      <c r="V174">
        <v>1</v>
      </c>
      <c r="W174">
        <v>-5.2068597463636301</v>
      </c>
      <c r="X174">
        <v>-5.1458524433333297</v>
      </c>
      <c r="Y174">
        <v>0</v>
      </c>
      <c r="Z174">
        <v>-4.0990062569374999</v>
      </c>
      <c r="AA174">
        <v>-4.1063810200588202</v>
      </c>
      <c r="AB174">
        <v>1</v>
      </c>
      <c r="AC174">
        <v>-4.2989946699999999</v>
      </c>
      <c r="AD174">
        <v>-4.4205328638124897</v>
      </c>
      <c r="AE174">
        <v>1</v>
      </c>
      <c r="AF174">
        <v>-4.7695897527857101</v>
      </c>
      <c r="AG174">
        <v>-4.8546125316666604</v>
      </c>
      <c r="AH174">
        <v>1</v>
      </c>
      <c r="AI174">
        <v>-4.9605260663636299</v>
      </c>
      <c r="AJ174">
        <v>-4.9736077583333298</v>
      </c>
      <c r="AK174">
        <v>1</v>
      </c>
      <c r="AL174">
        <v>-5.3022415409090904</v>
      </c>
      <c r="AM174">
        <v>-5.1942968599999997</v>
      </c>
      <c r="AN174">
        <v>0</v>
      </c>
      <c r="AO174">
        <v>-3.4186185794999999</v>
      </c>
      <c r="AP174">
        <v>-3.5647845394117601</v>
      </c>
      <c r="AQ174">
        <v>1</v>
      </c>
      <c r="AR174">
        <v>-3.3863476953333298</v>
      </c>
      <c r="AS174">
        <v>-3.52096292375</v>
      </c>
      <c r="AT174">
        <v>1</v>
      </c>
      <c r="AU174">
        <v>-3.7640520034642799</v>
      </c>
      <c r="AV174">
        <v>-3.9125269328666601</v>
      </c>
      <c r="AW174">
        <v>1</v>
      </c>
      <c r="AX174">
        <v>-3.8091236772727202</v>
      </c>
      <c r="AY174">
        <v>-4.0478893391666597</v>
      </c>
      <c r="AZ174">
        <v>1</v>
      </c>
      <c r="BA174">
        <v>-4.1435106109090896</v>
      </c>
      <c r="BB174">
        <v>-4.0605768775</v>
      </c>
      <c r="BC174">
        <v>0</v>
      </c>
      <c r="BD174">
        <v>-4.0919372721874998</v>
      </c>
      <c r="BE174">
        <v>-4.2782688821764596</v>
      </c>
      <c r="BF174">
        <v>1</v>
      </c>
      <c r="BG174">
        <v>-4.1703256951999998</v>
      </c>
      <c r="BH174">
        <v>-4.3776440288125</v>
      </c>
      <c r="BI174">
        <v>1</v>
      </c>
      <c r="BJ174">
        <v>-4.6232026347142803</v>
      </c>
      <c r="BK174">
        <v>-4.7807412405999896</v>
      </c>
      <c r="BL174">
        <v>1</v>
      </c>
      <c r="BM174">
        <v>-4.9854971290909003</v>
      </c>
      <c r="BN174">
        <v>-4.9711224466666604</v>
      </c>
      <c r="BO174">
        <v>0</v>
      </c>
      <c r="BP174">
        <v>-5.3197785009090897</v>
      </c>
      <c r="BQ174">
        <v>-5.25603736916666</v>
      </c>
      <c r="BR174">
        <v>0</v>
      </c>
    </row>
    <row r="175" spans="1:70" x14ac:dyDescent="0.35">
      <c r="A175" t="s">
        <v>726</v>
      </c>
      <c r="B175" t="s">
        <v>724</v>
      </c>
      <c r="C175" t="s">
        <v>725</v>
      </c>
      <c r="D175">
        <v>1</v>
      </c>
      <c r="E175" t="s">
        <v>287</v>
      </c>
      <c r="F175" t="str">
        <f>INDEX([1]train_xl!$H:$H,MATCH(E175,[1]train_xl!$G:$G,0))</f>
        <v>as-as</v>
      </c>
      <c r="G175" t="str">
        <f>INDEX([1]train_xl!$I:$I,MATCH(E175,[1]train_xl!$G:$G,0))</f>
        <v>sim</v>
      </c>
      <c r="H175" t="str">
        <f>INDEX([1]train_xl!$V:$V,MATCH(E175,[1]train_xl!$G:$G,0))</f>
        <v>not</v>
      </c>
      <c r="I175" t="str">
        <f>INDEX([2]Sheet1!$L:$L,MATCH(E175,[2]Sheet1!$I:$I,0))</f>
        <v>neg</v>
      </c>
      <c r="K175">
        <v>-4.1442690838888803</v>
      </c>
      <c r="L175">
        <v>-3.7316379318789399</v>
      </c>
      <c r="M175">
        <v>1</v>
      </c>
      <c r="N175">
        <v>-4.18889317888235</v>
      </c>
      <c r="O175">
        <v>-3.7819221458333301</v>
      </c>
      <c r="P175">
        <v>1</v>
      </c>
      <c r="Q175">
        <v>-4.9212689386874997</v>
      </c>
      <c r="R175">
        <v>-4.4481075902352902</v>
      </c>
      <c r="S175">
        <v>1</v>
      </c>
      <c r="T175">
        <v>-4.6077879253846099</v>
      </c>
      <c r="U175">
        <v>-4.2060480614285698</v>
      </c>
      <c r="V175">
        <v>1</v>
      </c>
      <c r="W175">
        <v>-4.9337681507692297</v>
      </c>
      <c r="X175">
        <v>-4.5240177807142796</v>
      </c>
      <c r="Y175">
        <v>1</v>
      </c>
      <c r="Z175">
        <v>-4.3228523074999998</v>
      </c>
      <c r="AA175">
        <v>-3.9054514152631499</v>
      </c>
      <c r="AB175">
        <v>1</v>
      </c>
      <c r="AC175">
        <v>-4.5790678988235296</v>
      </c>
      <c r="AD175">
        <v>-4.1803470960555504</v>
      </c>
      <c r="AE175">
        <v>1</v>
      </c>
      <c r="AF175">
        <v>-5.1955045872499896</v>
      </c>
      <c r="AG175">
        <v>-4.7514074057058799</v>
      </c>
      <c r="AH175">
        <v>1</v>
      </c>
      <c r="AI175">
        <v>-5.0712705399999898</v>
      </c>
      <c r="AJ175">
        <v>-4.6921705257142801</v>
      </c>
      <c r="AK175">
        <v>1</v>
      </c>
      <c r="AL175">
        <v>-5.2067332576923002</v>
      </c>
      <c r="AM175">
        <v>-4.7305648400000004</v>
      </c>
      <c r="AN175">
        <v>1</v>
      </c>
      <c r="AO175">
        <v>-3.6903288751111099</v>
      </c>
      <c r="AP175">
        <v>-3.3894107701578902</v>
      </c>
      <c r="AQ175">
        <v>1</v>
      </c>
      <c r="AR175">
        <v>-3.80437601370588</v>
      </c>
      <c r="AS175">
        <v>-3.4195935593333302</v>
      </c>
      <c r="AT175">
        <v>1</v>
      </c>
      <c r="AU175">
        <v>-4.2715130004999997</v>
      </c>
      <c r="AV175">
        <v>-3.8248741713529402</v>
      </c>
      <c r="AW175">
        <v>1</v>
      </c>
      <c r="AX175">
        <v>-4.1474374855384601</v>
      </c>
      <c r="AY175">
        <v>-3.75108106557142</v>
      </c>
      <c r="AZ175">
        <v>1</v>
      </c>
      <c r="BA175">
        <v>-4.1447635212307601</v>
      </c>
      <c r="BB175">
        <v>-3.7987132755714201</v>
      </c>
      <c r="BC175">
        <v>1</v>
      </c>
      <c r="BD175">
        <v>-4.4504698341666602</v>
      </c>
      <c r="BE175">
        <v>-4.0357957781052596</v>
      </c>
      <c r="BF175">
        <v>1</v>
      </c>
      <c r="BG175">
        <v>-4.44288087705882</v>
      </c>
      <c r="BH175">
        <v>-4.0223302171111097</v>
      </c>
      <c r="BI175">
        <v>1</v>
      </c>
      <c r="BJ175">
        <v>-5.2036597631874901</v>
      </c>
      <c r="BK175">
        <v>-4.7038496670588197</v>
      </c>
      <c r="BL175">
        <v>1</v>
      </c>
      <c r="BM175">
        <v>-5.0381095953846096</v>
      </c>
      <c r="BN175">
        <v>-4.6109564685714197</v>
      </c>
      <c r="BO175">
        <v>1</v>
      </c>
      <c r="BP175">
        <v>-5.2292112126153798</v>
      </c>
      <c r="BQ175">
        <v>-4.7073407407142804</v>
      </c>
      <c r="BR175">
        <v>1</v>
      </c>
    </row>
    <row r="176" spans="1:70" x14ac:dyDescent="0.35">
      <c r="A176" t="s">
        <v>727</v>
      </c>
      <c r="B176" t="s">
        <v>69</v>
      </c>
      <c r="C176" t="s">
        <v>728</v>
      </c>
      <c r="D176">
        <v>0</v>
      </c>
      <c r="E176" t="s">
        <v>288</v>
      </c>
      <c r="F176" t="str">
        <f>INDEX([1]train_xl!$H:$H,MATCH(E176,[1]train_xl!$G:$G,0))</f>
        <v>as-as</v>
      </c>
      <c r="G176" t="str">
        <f>INDEX([1]train_xl!$I:$I,MATCH(E176,[1]train_xl!$G:$G,0))</f>
        <v>sim</v>
      </c>
      <c r="H176" t="str">
        <f>INDEX([1]train_xl!$V:$V,MATCH(E176,[1]train_xl!$G:$G,0))</f>
        <v>not</v>
      </c>
      <c r="I176" t="str">
        <f>INDEX([2]Sheet1!$L:$L,MATCH(E176,[2]Sheet1!$I:$I,0))</f>
        <v>intens</v>
      </c>
      <c r="K176">
        <v>-3.3433787493562401</v>
      </c>
      <c r="L176">
        <v>-3.3919316106999902</v>
      </c>
      <c r="M176">
        <v>1</v>
      </c>
      <c r="N176">
        <v>-3.4753840059333299</v>
      </c>
      <c r="O176">
        <v>-3.5029032563687501</v>
      </c>
      <c r="P176">
        <v>1</v>
      </c>
      <c r="Q176">
        <v>-4.1593869348428498</v>
      </c>
      <c r="R176">
        <v>-4.0955573324666599</v>
      </c>
      <c r="S176">
        <v>0</v>
      </c>
      <c r="T176">
        <v>-3.9275023447272699</v>
      </c>
      <c r="U176">
        <v>-3.9532591373999999</v>
      </c>
      <c r="V176">
        <v>1</v>
      </c>
      <c r="W176">
        <v>-4.3658519188181799</v>
      </c>
      <c r="X176">
        <v>-4.2800537195666601</v>
      </c>
      <c r="Y176">
        <v>0</v>
      </c>
      <c r="Z176">
        <v>-4.1713144781249998</v>
      </c>
      <c r="AA176">
        <v>-4.2456901711764701</v>
      </c>
      <c r="AB176">
        <v>1</v>
      </c>
      <c r="AC176">
        <v>-4.1493060194666596</v>
      </c>
      <c r="AD176">
        <v>-4.0709552709374996</v>
      </c>
      <c r="AE176">
        <v>0</v>
      </c>
      <c r="AF176">
        <v>-4.9444775713785702</v>
      </c>
      <c r="AG176">
        <v>-4.9258727565333302</v>
      </c>
      <c r="AH176">
        <v>0</v>
      </c>
      <c r="AI176">
        <v>-5.0305240361818102</v>
      </c>
      <c r="AJ176">
        <v>-5.0255625716083303</v>
      </c>
      <c r="AK176">
        <v>0</v>
      </c>
      <c r="AL176">
        <v>-5.2054733707272698</v>
      </c>
      <c r="AM176">
        <v>-5.0548663149416599</v>
      </c>
      <c r="AN176">
        <v>0</v>
      </c>
      <c r="AO176">
        <v>-3.2700802132312501</v>
      </c>
      <c r="AP176">
        <v>-3.4589832579823501</v>
      </c>
      <c r="AQ176">
        <v>1</v>
      </c>
      <c r="AR176">
        <v>-3.3922600304266601</v>
      </c>
      <c r="AS176">
        <v>-3.6007869704500002</v>
      </c>
      <c r="AT176">
        <v>1</v>
      </c>
      <c r="AU176">
        <v>-3.9233943005185701</v>
      </c>
      <c r="AV176">
        <v>-4.1020543870933297</v>
      </c>
      <c r="AW176">
        <v>1</v>
      </c>
      <c r="AX176">
        <v>-3.7622626678545399</v>
      </c>
      <c r="AY176">
        <v>-4.01428277393833</v>
      </c>
      <c r="AZ176">
        <v>1</v>
      </c>
      <c r="BA176">
        <v>-4.0950436596727204</v>
      </c>
      <c r="BB176">
        <v>-4.1238545906050001</v>
      </c>
      <c r="BC176">
        <v>1</v>
      </c>
      <c r="BD176">
        <v>-3.9964525271187399</v>
      </c>
      <c r="BE176">
        <v>-4.2500562737882301</v>
      </c>
      <c r="BF176">
        <v>1</v>
      </c>
      <c r="BG176">
        <v>-3.9456561469466598</v>
      </c>
      <c r="BH176">
        <v>-4.2744566264000001</v>
      </c>
      <c r="BI176">
        <v>1</v>
      </c>
      <c r="BJ176">
        <v>-4.6720074446428503</v>
      </c>
      <c r="BK176">
        <v>-4.6503520508799996</v>
      </c>
      <c r="BL176">
        <v>0</v>
      </c>
      <c r="BM176">
        <v>-4.8590704908181799</v>
      </c>
      <c r="BN176">
        <v>-4.8720201640833301</v>
      </c>
      <c r="BO176">
        <v>1</v>
      </c>
      <c r="BP176">
        <v>-5.1703521239272696</v>
      </c>
      <c r="BQ176">
        <v>-5.0311876515833296</v>
      </c>
      <c r="BR176">
        <v>0</v>
      </c>
    </row>
    <row r="177" spans="1:70" x14ac:dyDescent="0.35">
      <c r="A177" t="s">
        <v>70</v>
      </c>
      <c r="B177" t="s">
        <v>69</v>
      </c>
      <c r="C177" t="s">
        <v>728</v>
      </c>
      <c r="D177">
        <v>1</v>
      </c>
      <c r="E177" t="s">
        <v>289</v>
      </c>
      <c r="F177" t="str">
        <f>INDEX([1]train_xl!$H:$H,MATCH(E177,[1]train_xl!$G:$G,0))</f>
        <v>as-as</v>
      </c>
      <c r="G177" t="str">
        <f>INDEX([1]train_xl!$I:$I,MATCH(E177,[1]train_xl!$G:$G,0))</f>
        <v>sim</v>
      </c>
      <c r="H177" t="str">
        <f>INDEX([1]train_xl!$V:$V,MATCH(E177,[1]train_xl!$G:$G,0))</f>
        <v>not</v>
      </c>
      <c r="I177" t="str">
        <f>INDEX([2]Sheet1!$L:$L,MATCH(E177,[2]Sheet1!$I:$I,0))</f>
        <v>neg</v>
      </c>
      <c r="K177">
        <v>-3.68713906242857</v>
      </c>
      <c r="L177">
        <v>-3.2462811443333299</v>
      </c>
      <c r="M177">
        <v>1</v>
      </c>
      <c r="N177">
        <v>-3.8730068257307599</v>
      </c>
      <c r="O177">
        <v>-3.2873163709285702</v>
      </c>
      <c r="P177">
        <v>1</v>
      </c>
      <c r="Q177">
        <v>-4.7541644382500001</v>
      </c>
      <c r="R177">
        <v>-4.1236905419999896</v>
      </c>
      <c r="S177">
        <v>1</v>
      </c>
      <c r="T177">
        <v>-4.30716873666666</v>
      </c>
      <c r="U177">
        <v>-4.0850018639999996</v>
      </c>
      <c r="V177">
        <v>1</v>
      </c>
      <c r="W177">
        <v>-4.5934117677777699</v>
      </c>
      <c r="X177">
        <v>-4.5020221709999904</v>
      </c>
      <c r="Y177">
        <v>1</v>
      </c>
      <c r="Z177">
        <v>-4.6976136341428498</v>
      </c>
      <c r="AA177">
        <v>-4.1790218062666602</v>
      </c>
      <c r="AB177">
        <v>1</v>
      </c>
      <c r="AC177">
        <v>-5.1097188600000001</v>
      </c>
      <c r="AD177">
        <v>-4.4874886911428504</v>
      </c>
      <c r="AE177">
        <v>1</v>
      </c>
      <c r="AF177">
        <v>-5.9359625391666597</v>
      </c>
      <c r="AG177">
        <v>-5.20319367923077</v>
      </c>
      <c r="AH177">
        <v>1</v>
      </c>
      <c r="AI177">
        <v>-6.1513240811111096</v>
      </c>
      <c r="AJ177">
        <v>-5.7430300059999997</v>
      </c>
      <c r="AK177">
        <v>1</v>
      </c>
      <c r="AL177">
        <v>-5.97070838444444</v>
      </c>
      <c r="AM177">
        <v>-5.875491233</v>
      </c>
      <c r="AN177">
        <v>1</v>
      </c>
      <c r="AO177">
        <v>-3.7247424807142799</v>
      </c>
      <c r="AP177">
        <v>-3.24266213533333</v>
      </c>
      <c r="AQ177">
        <v>1</v>
      </c>
      <c r="AR177">
        <v>-3.9684801415384601</v>
      </c>
      <c r="AS177">
        <v>-3.3334042828571402</v>
      </c>
      <c r="AT177">
        <v>1</v>
      </c>
      <c r="AU177">
        <v>-4.4222545774999897</v>
      </c>
      <c r="AV177">
        <v>-3.86241727384615</v>
      </c>
      <c r="AW177">
        <v>1</v>
      </c>
      <c r="AX177">
        <v>-4.2111111699999997</v>
      </c>
      <c r="AY177">
        <v>-3.98739824099999</v>
      </c>
      <c r="AZ177">
        <v>1</v>
      </c>
      <c r="BA177">
        <v>-4.3555035888888796</v>
      </c>
      <c r="BB177">
        <v>-4.2337481879999999</v>
      </c>
      <c r="BC177">
        <v>1</v>
      </c>
      <c r="BD177">
        <v>-4.7939163377142799</v>
      </c>
      <c r="BE177">
        <v>-4.2279127105333298</v>
      </c>
      <c r="BF177">
        <v>1</v>
      </c>
      <c r="BG177">
        <v>-5.5698795011538396</v>
      </c>
      <c r="BH177">
        <v>-4.50325192571428</v>
      </c>
      <c r="BI177">
        <v>1</v>
      </c>
      <c r="BJ177">
        <v>-5.7552516949999903</v>
      </c>
      <c r="BK177">
        <v>-4.9783978923076901</v>
      </c>
      <c r="BL177">
        <v>1</v>
      </c>
      <c r="BM177">
        <v>-5.7969699388888802</v>
      </c>
      <c r="BN177">
        <v>-5.4973149000000001</v>
      </c>
      <c r="BO177">
        <v>1</v>
      </c>
      <c r="BP177">
        <v>-6.3733886200000001</v>
      </c>
      <c r="BQ177">
        <v>-5.8948137349999996</v>
      </c>
      <c r="BR177">
        <v>1</v>
      </c>
    </row>
    <row r="178" spans="1:70" x14ac:dyDescent="0.35">
      <c r="A178" t="s">
        <v>729</v>
      </c>
      <c r="B178" t="s">
        <v>730</v>
      </c>
      <c r="C178" t="s">
        <v>731</v>
      </c>
      <c r="D178">
        <v>0</v>
      </c>
      <c r="E178" t="s">
        <v>290</v>
      </c>
      <c r="F178" t="str">
        <f>INDEX([1]train_xl!$H:$H,MATCH(E178,[1]train_xl!$G:$G,0))</f>
        <v>like</v>
      </c>
      <c r="G178" t="str">
        <f>INDEX([1]train_xl!$I:$I,MATCH(E178,[1]train_xl!$G:$G,0))</f>
        <v>sim</v>
      </c>
      <c r="H178" t="str">
        <f>INDEX([1]train_xl!$V:$V,MATCH(E178,[1]train_xl!$G:$G,0))</f>
        <v>not</v>
      </c>
      <c r="I178" t="str">
        <f>INDEX([2]Sheet1!$L:$L,MATCH(E178,[2]Sheet1!$I:$I,0))</f>
        <v>intens</v>
      </c>
      <c r="K178">
        <v>-4.4275814475214199</v>
      </c>
      <c r="L178">
        <v>-4.3949944955333304</v>
      </c>
      <c r="M178">
        <v>0</v>
      </c>
      <c r="N178">
        <v>-4.5975885333846103</v>
      </c>
      <c r="O178">
        <v>-4.54418071985714</v>
      </c>
      <c r="P178">
        <v>0</v>
      </c>
      <c r="Q178">
        <v>-5.5227183109166598</v>
      </c>
      <c r="R178">
        <v>-5.4447190975384601</v>
      </c>
      <c r="S178">
        <v>0</v>
      </c>
      <c r="T178">
        <v>-5.8915200777777699</v>
      </c>
      <c r="U178">
        <v>-5.8502493779999902</v>
      </c>
      <c r="V178">
        <v>0</v>
      </c>
      <c r="W178">
        <v>-6.2196759444444396</v>
      </c>
      <c r="X178">
        <v>-6.0686754249999897</v>
      </c>
      <c r="Y178">
        <v>0</v>
      </c>
      <c r="Z178">
        <v>-4.1404509095714204</v>
      </c>
      <c r="AA178">
        <v>-4.0658270869333304</v>
      </c>
      <c r="AB178">
        <v>0</v>
      </c>
      <c r="AC178">
        <v>-4.4400759099999902</v>
      </c>
      <c r="AD178">
        <v>-4.3133222990000002</v>
      </c>
      <c r="AE178">
        <v>0</v>
      </c>
      <c r="AF178">
        <v>-5.3559764462499997</v>
      </c>
      <c r="AG178">
        <v>-5.2056250611538397</v>
      </c>
      <c r="AH178">
        <v>0</v>
      </c>
      <c r="AI178">
        <v>-5.7235284444444403</v>
      </c>
      <c r="AJ178">
        <v>-5.5030279100000001</v>
      </c>
      <c r="AK178">
        <v>0</v>
      </c>
      <c r="AL178">
        <v>-6.0818580999999998</v>
      </c>
      <c r="AM178">
        <v>-5.7978249699999997</v>
      </c>
      <c r="AN178">
        <v>0</v>
      </c>
      <c r="AO178">
        <v>-4.38697828942857</v>
      </c>
      <c r="AP178">
        <v>-4.3280085446666599</v>
      </c>
      <c r="AQ178">
        <v>0</v>
      </c>
      <c r="AR178">
        <v>-4.4191730812307597</v>
      </c>
      <c r="AS178">
        <v>-4.4475509942857103</v>
      </c>
      <c r="AT178">
        <v>1</v>
      </c>
      <c r="AU178">
        <v>-5.3398267424999997</v>
      </c>
      <c r="AV178">
        <v>-5.3155768620000003</v>
      </c>
      <c r="AW178">
        <v>0</v>
      </c>
      <c r="AX178">
        <v>-6.0896324833333297</v>
      </c>
      <c r="AY178">
        <v>-6.1709921239999996</v>
      </c>
      <c r="AZ178">
        <v>1</v>
      </c>
      <c r="BA178">
        <v>-6.4009574888888796</v>
      </c>
      <c r="BB178">
        <v>-6.3277449299999997</v>
      </c>
      <c r="BC178">
        <v>0</v>
      </c>
      <c r="BD178">
        <v>-4.3461302978571403</v>
      </c>
      <c r="BE178">
        <v>-4.2023106611999896</v>
      </c>
      <c r="BF178">
        <v>0</v>
      </c>
      <c r="BG178">
        <v>-4.7871983826153803</v>
      </c>
      <c r="BH178">
        <v>-4.60503066242857</v>
      </c>
      <c r="BI178">
        <v>0</v>
      </c>
      <c r="BJ178">
        <v>-5.5861748441666599</v>
      </c>
      <c r="BK178">
        <v>-5.3812204696153803</v>
      </c>
      <c r="BL178">
        <v>0</v>
      </c>
      <c r="BM178">
        <v>-5.9824387111111097</v>
      </c>
      <c r="BN178">
        <v>-5.7960293799999896</v>
      </c>
      <c r="BO178">
        <v>0</v>
      </c>
      <c r="BP178">
        <v>-6.4092665777777702</v>
      </c>
      <c r="BQ178">
        <v>-6.1261300500000004</v>
      </c>
      <c r="BR178">
        <v>0</v>
      </c>
    </row>
    <row r="179" spans="1:70" x14ac:dyDescent="0.35">
      <c r="A179" t="s">
        <v>732</v>
      </c>
      <c r="B179" t="s">
        <v>730</v>
      </c>
      <c r="C179" t="s">
        <v>731</v>
      </c>
      <c r="D179">
        <v>1</v>
      </c>
      <c r="E179" t="s">
        <v>291</v>
      </c>
      <c r="F179" t="str">
        <f>INDEX([1]train_xl!$H:$H,MATCH(E179,[1]train_xl!$G:$G,0))</f>
        <v>like</v>
      </c>
      <c r="G179" t="str">
        <f>INDEX([1]train_xl!$I:$I,MATCH(E179,[1]train_xl!$G:$G,0))</f>
        <v>sim</v>
      </c>
      <c r="H179" t="str">
        <f>INDEX([1]train_xl!$V:$V,MATCH(E179,[1]train_xl!$G:$G,0))</f>
        <v>not</v>
      </c>
      <c r="I179" t="str">
        <f>INDEX([2]Sheet1!$L:$L,MATCH(E179,[2]Sheet1!$I:$I,0))</f>
        <v>neg</v>
      </c>
      <c r="K179">
        <v>-4.0922084644375003</v>
      </c>
      <c r="L179">
        <v>-3.5514461522529399</v>
      </c>
      <c r="M179">
        <v>1</v>
      </c>
      <c r="N179">
        <v>-4.19935123004666</v>
      </c>
      <c r="O179">
        <v>-3.6396883389187402</v>
      </c>
      <c r="P179">
        <v>1</v>
      </c>
      <c r="Q179">
        <v>-5.1119147294285696</v>
      </c>
      <c r="R179">
        <v>-4.4802340224666599</v>
      </c>
      <c r="S179">
        <v>1</v>
      </c>
      <c r="T179">
        <v>-5.3377447545454499</v>
      </c>
      <c r="U179">
        <v>-4.7633732999999996</v>
      </c>
      <c r="V179">
        <v>1</v>
      </c>
      <c r="W179">
        <v>-5.4922745818181804</v>
      </c>
      <c r="X179">
        <v>-5.0560406733333298</v>
      </c>
      <c r="Y179">
        <v>1</v>
      </c>
      <c r="Z179">
        <v>-4.3056339649374999</v>
      </c>
      <c r="AA179">
        <v>-3.8690588350588202</v>
      </c>
      <c r="AB179">
        <v>1</v>
      </c>
      <c r="AC179">
        <v>-4.4749603806666602</v>
      </c>
      <c r="AD179">
        <v>-3.8260858637499999</v>
      </c>
      <c r="AE179">
        <v>1</v>
      </c>
      <c r="AF179">
        <v>-5.3928690471428498</v>
      </c>
      <c r="AG179">
        <v>-4.8184137333333297</v>
      </c>
      <c r="AH179">
        <v>1</v>
      </c>
      <c r="AI179">
        <v>-5.5416547636363598</v>
      </c>
      <c r="AJ179">
        <v>-5.0866842808333299</v>
      </c>
      <c r="AK179">
        <v>1</v>
      </c>
      <c r="AL179">
        <v>-5.5502226090909001</v>
      </c>
      <c r="AM179">
        <v>-5.2361176583333302</v>
      </c>
      <c r="AN179">
        <v>1</v>
      </c>
      <c r="AO179">
        <v>-4.5580138372499901</v>
      </c>
      <c r="AP179">
        <v>-4.0695738926470497</v>
      </c>
      <c r="AQ179">
        <v>1</v>
      </c>
      <c r="AR179">
        <v>-4.5417957003333296</v>
      </c>
      <c r="AS179">
        <v>-4.0179499512499897</v>
      </c>
      <c r="AT179">
        <v>1</v>
      </c>
      <c r="AU179">
        <v>-5.3921424299999998</v>
      </c>
      <c r="AV179">
        <v>-4.8564772249999999</v>
      </c>
      <c r="AW179">
        <v>1</v>
      </c>
      <c r="AX179">
        <v>-6.09244017181818</v>
      </c>
      <c r="AY179">
        <v>-5.5620416749999997</v>
      </c>
      <c r="AZ179">
        <v>1</v>
      </c>
      <c r="BA179">
        <v>-6.3702584036363596</v>
      </c>
      <c r="BB179">
        <v>-5.92606114666666</v>
      </c>
      <c r="BC179">
        <v>1</v>
      </c>
      <c r="BD179">
        <v>-4.4208680905</v>
      </c>
      <c r="BE179">
        <v>-3.9899406518823501</v>
      </c>
      <c r="BF179">
        <v>1</v>
      </c>
      <c r="BG179">
        <v>-4.6383511357333296</v>
      </c>
      <c r="BH179">
        <v>-4.0993635120625003</v>
      </c>
      <c r="BI179">
        <v>1</v>
      </c>
      <c r="BJ179">
        <v>-5.6219587121428498</v>
      </c>
      <c r="BK179">
        <v>-4.9981291299999997</v>
      </c>
      <c r="BL179">
        <v>1</v>
      </c>
      <c r="BM179">
        <v>-5.7390296363636297</v>
      </c>
      <c r="BN179">
        <v>-5.3064670166666597</v>
      </c>
      <c r="BO179">
        <v>1</v>
      </c>
      <c r="BP179">
        <v>-5.8400527636363604</v>
      </c>
      <c r="BQ179">
        <v>-5.52294381083333</v>
      </c>
      <c r="BR179">
        <v>1</v>
      </c>
    </row>
    <row r="180" spans="1:70" x14ac:dyDescent="0.35">
      <c r="A180" t="s">
        <v>733</v>
      </c>
      <c r="B180" t="s">
        <v>734</v>
      </c>
      <c r="C180" t="s">
        <v>735</v>
      </c>
      <c r="D180">
        <v>0</v>
      </c>
      <c r="E180" t="s">
        <v>292</v>
      </c>
      <c r="F180" t="str">
        <f>INDEX([1]train_xl!$H:$H,MATCH(E180,[1]train_xl!$G:$G,0))</f>
        <v>as-as</v>
      </c>
      <c r="G180" t="str">
        <f>INDEX([1]train_xl!$I:$I,MATCH(E180,[1]train_xl!$G:$G,0))</f>
        <v>sim</v>
      </c>
      <c r="H180" t="str">
        <f>INDEX([1]train_xl!$V:$V,MATCH(E180,[1]train_xl!$G:$G,0))</f>
        <v>not</v>
      </c>
      <c r="I180" t="str">
        <f>INDEX([2]Sheet1!$L:$L,MATCH(E180,[2]Sheet1!$I:$I,0))</f>
        <v>intens</v>
      </c>
      <c r="K180">
        <v>-2.9156578564285698</v>
      </c>
      <c r="L180">
        <v>-2.93715340633333</v>
      </c>
      <c r="M180">
        <v>1</v>
      </c>
      <c r="N180">
        <v>-2.9136171234444399</v>
      </c>
      <c r="O180">
        <v>-2.8814683316896499</v>
      </c>
      <c r="P180">
        <v>0</v>
      </c>
      <c r="Q180">
        <v>-3.3525505661538402</v>
      </c>
      <c r="R180">
        <v>-3.2847177400000001</v>
      </c>
      <c r="S180">
        <v>0</v>
      </c>
      <c r="T180">
        <v>-3.1806079334782602</v>
      </c>
      <c r="U180">
        <v>-3.1360730648000001</v>
      </c>
      <c r="V180">
        <v>0</v>
      </c>
      <c r="W180">
        <v>-3.3934404634782598</v>
      </c>
      <c r="X180">
        <v>-3.29134056639999</v>
      </c>
      <c r="Y180">
        <v>0</v>
      </c>
      <c r="Z180">
        <v>-3.0883283978571399</v>
      </c>
      <c r="AA180">
        <v>-3.1211254233333299</v>
      </c>
      <c r="AB180">
        <v>1</v>
      </c>
      <c r="AC180">
        <v>-3.0078895927036999</v>
      </c>
      <c r="AD180">
        <v>-3.0297490208965501</v>
      </c>
      <c r="AE180">
        <v>1</v>
      </c>
      <c r="AF180">
        <v>-3.43403353061538</v>
      </c>
      <c r="AG180">
        <v>-3.3619451994999898</v>
      </c>
      <c r="AH180">
        <v>0</v>
      </c>
      <c r="AI180">
        <v>-3.3880958821739098</v>
      </c>
      <c r="AJ180">
        <v>-3.3829628991999998</v>
      </c>
      <c r="AK180">
        <v>0</v>
      </c>
      <c r="AL180">
        <v>-3.5097862482608599</v>
      </c>
      <c r="AM180">
        <v>-3.5724745243999898</v>
      </c>
      <c r="AN180">
        <v>1</v>
      </c>
      <c r="AO180">
        <v>-2.5935260852142799</v>
      </c>
      <c r="AP180">
        <v>-2.6989042801999901</v>
      </c>
      <c r="AQ180">
        <v>1</v>
      </c>
      <c r="AR180">
        <v>-2.65379875407407</v>
      </c>
      <c r="AS180">
        <v>-2.7928082688620601</v>
      </c>
      <c r="AT180">
        <v>1</v>
      </c>
      <c r="AU180">
        <v>-2.97420581146153</v>
      </c>
      <c r="AV180">
        <v>-3.0126665934999899</v>
      </c>
      <c r="AW180">
        <v>1</v>
      </c>
      <c r="AX180">
        <v>-2.9899964395652101</v>
      </c>
      <c r="AY180">
        <v>-2.9583950668000001</v>
      </c>
      <c r="AZ180">
        <v>0</v>
      </c>
      <c r="BA180">
        <v>-3.05914075217391</v>
      </c>
      <c r="BB180">
        <v>-3.04330551639999</v>
      </c>
      <c r="BC180">
        <v>0</v>
      </c>
      <c r="BD180">
        <v>-3.0679625639285701</v>
      </c>
      <c r="BE180">
        <v>-3.0714406206666598</v>
      </c>
      <c r="BF180">
        <v>1</v>
      </c>
      <c r="BG180">
        <v>-3.04240827148148</v>
      </c>
      <c r="BH180">
        <v>-3.0099302615862</v>
      </c>
      <c r="BI180">
        <v>0</v>
      </c>
      <c r="BJ180">
        <v>-3.4329546251538399</v>
      </c>
      <c r="BK180">
        <v>-3.3662075115714201</v>
      </c>
      <c r="BL180">
        <v>0</v>
      </c>
      <c r="BM180">
        <v>-3.4237890973913001</v>
      </c>
      <c r="BN180">
        <v>-3.3631817687999899</v>
      </c>
      <c r="BO180">
        <v>0</v>
      </c>
      <c r="BP180">
        <v>-3.5987795452173899</v>
      </c>
      <c r="BQ180">
        <v>-3.5442194732000001</v>
      </c>
      <c r="BR180">
        <v>0</v>
      </c>
    </row>
    <row r="181" spans="1:70" x14ac:dyDescent="0.35">
      <c r="A181" t="s">
        <v>736</v>
      </c>
      <c r="B181" t="s">
        <v>734</v>
      </c>
      <c r="C181" t="s">
        <v>735</v>
      </c>
      <c r="D181">
        <v>1</v>
      </c>
      <c r="E181" t="s">
        <v>293</v>
      </c>
      <c r="F181" t="str">
        <f>INDEX([1]train_xl!$H:$H,MATCH(E181,[1]train_xl!$G:$G,0))</f>
        <v>as-as</v>
      </c>
      <c r="G181" t="str">
        <f>INDEX([1]train_xl!$I:$I,MATCH(E181,[1]train_xl!$G:$G,0))</f>
        <v>sim</v>
      </c>
      <c r="H181" t="str">
        <f>INDEX([1]train_xl!$V:$V,MATCH(E181,[1]train_xl!$G:$G,0))</f>
        <v>not</v>
      </c>
      <c r="I181" t="str">
        <f>INDEX([2]Sheet1!$L:$L,MATCH(E181,[2]Sheet1!$I:$I,0))</f>
        <v>neg</v>
      </c>
      <c r="K181">
        <v>-2.9816503468137898</v>
      </c>
      <c r="L181">
        <v>-2.6963697649870899</v>
      </c>
      <c r="M181">
        <v>1</v>
      </c>
      <c r="N181">
        <v>-3.0377678107857098</v>
      </c>
      <c r="O181">
        <v>-2.7378818077999898</v>
      </c>
      <c r="P181">
        <v>1</v>
      </c>
      <c r="Q181">
        <v>-3.4547266188740702</v>
      </c>
      <c r="R181">
        <v>-3.0926058878137899</v>
      </c>
      <c r="S181">
        <v>1</v>
      </c>
      <c r="T181">
        <v>-3.1764136859583298</v>
      </c>
      <c r="U181">
        <v>-2.88159626896153</v>
      </c>
      <c r="V181">
        <v>1</v>
      </c>
      <c r="W181">
        <v>-3.3397280926249899</v>
      </c>
      <c r="X181">
        <v>-3.12201933684615</v>
      </c>
      <c r="Y181">
        <v>1</v>
      </c>
      <c r="Z181">
        <v>-3.09225924855172</v>
      </c>
      <c r="AA181">
        <v>-2.8623391059677399</v>
      </c>
      <c r="AB181">
        <v>1</v>
      </c>
      <c r="AC181">
        <v>-3.11848057353571</v>
      </c>
      <c r="AD181">
        <v>-2.7489659688333301</v>
      </c>
      <c r="AE181">
        <v>1</v>
      </c>
      <c r="AF181">
        <v>-3.4513766598518498</v>
      </c>
      <c r="AG181">
        <v>-3.10891565765517</v>
      </c>
      <c r="AH181">
        <v>1</v>
      </c>
      <c r="AI181">
        <v>-3.4095912718333299</v>
      </c>
      <c r="AJ181">
        <v>-3.0472373086153799</v>
      </c>
      <c r="AK181">
        <v>1</v>
      </c>
      <c r="AL181">
        <v>-3.5866139810000002</v>
      </c>
      <c r="AM181">
        <v>-3.270935299</v>
      </c>
      <c r="AN181">
        <v>1</v>
      </c>
      <c r="AO181">
        <v>-2.76621678736206</v>
      </c>
      <c r="AP181">
        <v>-2.41084656654838</v>
      </c>
      <c r="AQ181">
        <v>1</v>
      </c>
      <c r="AR181">
        <v>-2.7994713779285698</v>
      </c>
      <c r="AS181">
        <v>-2.4305296893999899</v>
      </c>
      <c r="AT181">
        <v>1</v>
      </c>
      <c r="AU181">
        <v>-3.14950542938888</v>
      </c>
      <c r="AV181">
        <v>-2.7118223714310301</v>
      </c>
      <c r="AW181">
        <v>1</v>
      </c>
      <c r="AX181">
        <v>-3.1114817889166599</v>
      </c>
      <c r="AY181">
        <v>-2.7140035247692298</v>
      </c>
      <c r="AZ181">
        <v>1</v>
      </c>
      <c r="BA181">
        <v>-3.1281673289166601</v>
      </c>
      <c r="BB181">
        <v>-2.8529407671923002</v>
      </c>
      <c r="BC181">
        <v>1</v>
      </c>
      <c r="BD181">
        <v>-3.1265631991551701</v>
      </c>
      <c r="BE181">
        <v>-2.7751632784032201</v>
      </c>
      <c r="BF181">
        <v>1</v>
      </c>
      <c r="BG181">
        <v>-3.1218450553214199</v>
      </c>
      <c r="BH181">
        <v>-2.7586770089999999</v>
      </c>
      <c r="BI181">
        <v>1</v>
      </c>
      <c r="BJ181">
        <v>-3.4742516197407398</v>
      </c>
      <c r="BK181">
        <v>-3.0912697696379299</v>
      </c>
      <c r="BL181">
        <v>1</v>
      </c>
      <c r="BM181">
        <v>-3.4104792606666599</v>
      </c>
      <c r="BN181">
        <v>-3.0438975225384599</v>
      </c>
      <c r="BO181">
        <v>1</v>
      </c>
      <c r="BP181">
        <v>-3.68788503983333</v>
      </c>
      <c r="BQ181">
        <v>-3.3089746660769199</v>
      </c>
      <c r="BR181">
        <v>1</v>
      </c>
    </row>
    <row r="182" spans="1:70" x14ac:dyDescent="0.35">
      <c r="A182" t="s">
        <v>737</v>
      </c>
      <c r="B182" t="s">
        <v>738</v>
      </c>
      <c r="C182" t="s">
        <v>739</v>
      </c>
      <c r="D182">
        <v>0</v>
      </c>
      <c r="E182" t="s">
        <v>294</v>
      </c>
      <c r="F182" t="str">
        <f>INDEX([1]train_xl!$H:$H,MATCH(E182,[1]train_xl!$G:$G,0))</f>
        <v>as-as</v>
      </c>
      <c r="G182" t="str">
        <f>INDEX([1]train_xl!$I:$I,MATCH(E182,[1]train_xl!$G:$G,0))</f>
        <v>sim</v>
      </c>
      <c r="H182" t="str">
        <f>INDEX([1]train_xl!$V:$V,MATCH(E182,[1]train_xl!$G:$G,0))</f>
        <v>antonym</v>
      </c>
      <c r="I182" t="str">
        <f>INDEX([2]Sheet1!$L:$L,MATCH(E182,[2]Sheet1!$I:$I,0))</f>
        <v>intens</v>
      </c>
      <c r="K182">
        <v>-3.84752330993157</v>
      </c>
      <c r="L182">
        <v>-3.9970011678750001</v>
      </c>
      <c r="M182">
        <v>1</v>
      </c>
      <c r="N182">
        <v>-3.9369113809166598</v>
      </c>
      <c r="O182">
        <v>-4.1637185663210499</v>
      </c>
      <c r="P182">
        <v>1</v>
      </c>
      <c r="Q182">
        <v>-4.2691544733000004</v>
      </c>
      <c r="R182">
        <v>-4.6518986817499997</v>
      </c>
      <c r="S182">
        <v>1</v>
      </c>
      <c r="T182">
        <v>-4.7155242409821403</v>
      </c>
      <c r="U182">
        <v>-4.7913101680733297</v>
      </c>
      <c r="V182">
        <v>1</v>
      </c>
      <c r="W182">
        <v>-4.769592507125</v>
      </c>
      <c r="X182">
        <v>-4.8849746944399897</v>
      </c>
      <c r="Y182">
        <v>1</v>
      </c>
      <c r="Z182">
        <v>-3.8632220984736798</v>
      </c>
      <c r="AA182">
        <v>-3.9281226258499999</v>
      </c>
      <c r="AB182">
        <v>1</v>
      </c>
      <c r="AC182">
        <v>-3.88935618677777</v>
      </c>
      <c r="AD182">
        <v>-4.0429657852105203</v>
      </c>
      <c r="AE182">
        <v>1</v>
      </c>
      <c r="AF182">
        <v>-4.3942208010000003</v>
      </c>
      <c r="AG182">
        <v>-4.4618189589444404</v>
      </c>
      <c r="AH182">
        <v>1</v>
      </c>
      <c r="AI182">
        <v>-4.5162439442857103</v>
      </c>
      <c r="AJ182">
        <v>-4.5034906029333301</v>
      </c>
      <c r="AK182">
        <v>0</v>
      </c>
      <c r="AL182">
        <v>-4.48833808942857</v>
      </c>
      <c r="AM182">
        <v>-4.5202392543999901</v>
      </c>
      <c r="AN182">
        <v>1</v>
      </c>
      <c r="AO182">
        <v>-3.2888607944105201</v>
      </c>
      <c r="AP182">
        <v>-3.49629884593999</v>
      </c>
      <c r="AQ182">
        <v>1</v>
      </c>
      <c r="AR182">
        <v>-3.2276100667111098</v>
      </c>
      <c r="AS182">
        <v>-3.3998099107789401</v>
      </c>
      <c r="AT182">
        <v>1</v>
      </c>
      <c r="AU182">
        <v>-3.7116001337352902</v>
      </c>
      <c r="AV182">
        <v>-3.8962257803777698</v>
      </c>
      <c r="AW182">
        <v>1</v>
      </c>
      <c r="AX182">
        <v>-3.7104362970857099</v>
      </c>
      <c r="AY182">
        <v>-3.82618477555333</v>
      </c>
      <c r="AZ182">
        <v>1</v>
      </c>
      <c r="BA182">
        <v>-3.8744982213714199</v>
      </c>
      <c r="BB182">
        <v>-4.0306934935200003</v>
      </c>
      <c r="BC182">
        <v>1</v>
      </c>
      <c r="BD182">
        <v>-3.65303073905263</v>
      </c>
      <c r="BE182">
        <v>-3.7659527190499902</v>
      </c>
      <c r="BF182">
        <v>1</v>
      </c>
      <c r="BG182">
        <v>-3.7527230347222198</v>
      </c>
      <c r="BH182">
        <v>-3.9171017828947301</v>
      </c>
      <c r="BI182">
        <v>1</v>
      </c>
      <c r="BJ182">
        <v>-4.2571403861176398</v>
      </c>
      <c r="BK182">
        <v>-4.4786432988333296</v>
      </c>
      <c r="BL182">
        <v>1</v>
      </c>
      <c r="BM182">
        <v>-4.3534799039285703</v>
      </c>
      <c r="BN182">
        <v>-4.4024200340666599</v>
      </c>
      <c r="BO182">
        <v>1</v>
      </c>
      <c r="BP182">
        <v>-4.3120938947857104</v>
      </c>
      <c r="BQ182">
        <v>-4.3581463837333301</v>
      </c>
      <c r="BR182">
        <v>1</v>
      </c>
    </row>
    <row r="183" spans="1:70" x14ac:dyDescent="0.35">
      <c r="A183" t="s">
        <v>740</v>
      </c>
      <c r="B183" t="s">
        <v>738</v>
      </c>
      <c r="C183" t="s">
        <v>739</v>
      </c>
      <c r="D183">
        <v>1</v>
      </c>
      <c r="E183" t="s">
        <v>295</v>
      </c>
      <c r="F183" t="str">
        <f>INDEX([1]train_xl!$H:$H,MATCH(E183,[1]train_xl!$G:$G,0))</f>
        <v>as-as</v>
      </c>
      <c r="G183" t="str">
        <f>INDEX([1]train_xl!$I:$I,MATCH(E183,[1]train_xl!$G:$G,0))</f>
        <v>sim</v>
      </c>
      <c r="H183" t="str">
        <f>INDEX([1]train_xl!$V:$V,MATCH(E183,[1]train_xl!$G:$G,0))</f>
        <v>antonym</v>
      </c>
      <c r="I183" t="str">
        <f>INDEX([2]Sheet1!$L:$L,MATCH(E183,[2]Sheet1!$I:$I,0))</f>
        <v>neg</v>
      </c>
      <c r="K183">
        <v>-4.3640782009444399</v>
      </c>
      <c r="L183">
        <v>-4.0094475081631504</v>
      </c>
      <c r="M183">
        <v>1</v>
      </c>
      <c r="N183">
        <v>-4.5111350635882301</v>
      </c>
      <c r="O183">
        <v>-4.2376605304888804</v>
      </c>
      <c r="P183">
        <v>1</v>
      </c>
      <c r="Q183">
        <v>-4.81481566175</v>
      </c>
      <c r="R183">
        <v>-4.6764665447470497</v>
      </c>
      <c r="S183">
        <v>1</v>
      </c>
      <c r="T183">
        <v>-5.0515326900000002</v>
      </c>
      <c r="U183">
        <v>-4.67251010701428</v>
      </c>
      <c r="V183">
        <v>1</v>
      </c>
      <c r="W183">
        <v>-5.0778099800999996</v>
      </c>
      <c r="X183">
        <v>-4.7808428571571397</v>
      </c>
      <c r="Y183">
        <v>1</v>
      </c>
      <c r="Z183">
        <v>-4.3258383849999902</v>
      </c>
      <c r="AA183">
        <v>-4.0328265373157803</v>
      </c>
      <c r="AB183">
        <v>1</v>
      </c>
      <c r="AC183">
        <v>-4.4147945048823498</v>
      </c>
      <c r="AD183">
        <v>-4.14862249366666</v>
      </c>
      <c r="AE183">
        <v>1</v>
      </c>
      <c r="AF183">
        <v>-4.9354427931249996</v>
      </c>
      <c r="AG183">
        <v>-4.7486150279705797</v>
      </c>
      <c r="AH183">
        <v>1</v>
      </c>
      <c r="AI183">
        <v>-4.9062888059230696</v>
      </c>
      <c r="AJ183">
        <v>-4.5898052572142802</v>
      </c>
      <c r="AK183">
        <v>1</v>
      </c>
      <c r="AL183">
        <v>-4.9500305043846096</v>
      </c>
      <c r="AM183">
        <v>-4.6331047636857097</v>
      </c>
      <c r="AN183">
        <v>1</v>
      </c>
      <c r="AO183">
        <v>-3.7155793584444399</v>
      </c>
      <c r="AP183">
        <v>-3.3768733351052602</v>
      </c>
      <c r="AQ183">
        <v>1</v>
      </c>
      <c r="AR183">
        <v>-3.7823252778823502</v>
      </c>
      <c r="AS183">
        <v>-3.4157344376666599</v>
      </c>
      <c r="AT183">
        <v>1</v>
      </c>
      <c r="AU183">
        <v>-4.2988253147500002</v>
      </c>
      <c r="AV183">
        <v>-3.9720371004705801</v>
      </c>
      <c r="AW183">
        <v>1</v>
      </c>
      <c r="AX183">
        <v>-4.1170776111538396</v>
      </c>
      <c r="AY183">
        <v>-3.9155105457142798</v>
      </c>
      <c r="AZ183">
        <v>1</v>
      </c>
      <c r="BA183">
        <v>-4.2738781368461503</v>
      </c>
      <c r="BB183">
        <v>-4.2141438553571398</v>
      </c>
      <c r="BC183">
        <v>1</v>
      </c>
      <c r="BD183">
        <v>-4.1666868271666599</v>
      </c>
      <c r="BE183">
        <v>-3.9278538806684198</v>
      </c>
      <c r="BF183">
        <v>1</v>
      </c>
      <c r="BG183">
        <v>-4.3463784457647003</v>
      </c>
      <c r="BH183">
        <v>-4.1543247186666603</v>
      </c>
      <c r="BI183">
        <v>1</v>
      </c>
      <c r="BJ183">
        <v>-4.86123722249999</v>
      </c>
      <c r="BK183">
        <v>-4.7349882210176402</v>
      </c>
      <c r="BL183">
        <v>1</v>
      </c>
      <c r="BM183">
        <v>-4.7801672793846102</v>
      </c>
      <c r="BN183">
        <v>-4.5971785873928503</v>
      </c>
      <c r="BO183">
        <v>1</v>
      </c>
      <c r="BP183">
        <v>-4.7449271183076904</v>
      </c>
      <c r="BQ183">
        <v>-4.47320088660714</v>
      </c>
      <c r="BR183">
        <v>1</v>
      </c>
    </row>
    <row r="184" spans="1:70" x14ac:dyDescent="0.35">
      <c r="A184" t="s">
        <v>741</v>
      </c>
      <c r="B184" t="s">
        <v>742</v>
      </c>
      <c r="C184" t="s">
        <v>743</v>
      </c>
      <c r="D184">
        <v>1</v>
      </c>
      <c r="E184" t="s">
        <v>297</v>
      </c>
      <c r="F184" t="str">
        <f>INDEX([1]train_xl!$H:$H,MATCH(E184,[1]train_xl!$G:$G,0))</f>
        <v>the-of</v>
      </c>
      <c r="G184" t="str">
        <f>INDEX([1]train_xl!$I:$I,MATCH(E184,[1]train_xl!$G:$G,0))</f>
        <v>sim</v>
      </c>
      <c r="H184" t="str">
        <f>INDEX([1]train_xl!$V:$V,MATCH(E184,[1]train_xl!$G:$G,0))</f>
        <v>not</v>
      </c>
      <c r="I184" t="str">
        <f>INDEX([2]Sheet1!$L:$L,MATCH(E184,[2]Sheet1!$I:$I,0))</f>
        <v>intens</v>
      </c>
      <c r="K184">
        <v>-3.3299203365599999</v>
      </c>
      <c r="L184">
        <v>-3.4394035760357098</v>
      </c>
      <c r="M184">
        <v>0</v>
      </c>
      <c r="N184">
        <v>-3.7101874161428499</v>
      </c>
      <c r="O184">
        <v>-3.6709163061538401</v>
      </c>
      <c r="P184">
        <v>1</v>
      </c>
      <c r="Q184">
        <v>-4.6735023341538398</v>
      </c>
      <c r="R184">
        <v>-4.5806432883333299</v>
      </c>
      <c r="S184">
        <v>1</v>
      </c>
      <c r="T184">
        <v>-4.3193408599999996</v>
      </c>
      <c r="U184">
        <v>-4.0917693555555497</v>
      </c>
      <c r="V184">
        <v>1</v>
      </c>
      <c r="W184">
        <v>-4.7766174499999998</v>
      </c>
      <c r="X184">
        <v>-4.8571176777777696</v>
      </c>
      <c r="Y184">
        <v>0</v>
      </c>
      <c r="Z184">
        <v>-4.7549665522666604</v>
      </c>
      <c r="AA184">
        <v>-4.7984108920714199</v>
      </c>
      <c r="AB184">
        <v>0</v>
      </c>
      <c r="AC184">
        <v>-5.13485137071428</v>
      </c>
      <c r="AD184">
        <v>-5.1819389384615304</v>
      </c>
      <c r="AE184">
        <v>0</v>
      </c>
      <c r="AF184">
        <v>-6.1172020130769198</v>
      </c>
      <c r="AG184">
        <v>-6.0732812266666603</v>
      </c>
      <c r="AH184">
        <v>1</v>
      </c>
      <c r="AI184">
        <v>-6.3613765599999903</v>
      </c>
      <c r="AJ184">
        <v>-6.3278255888888797</v>
      </c>
      <c r="AK184">
        <v>1</v>
      </c>
      <c r="AL184">
        <v>-6.56309542999999</v>
      </c>
      <c r="AM184">
        <v>-6.7620318888888802</v>
      </c>
      <c r="AN184">
        <v>0</v>
      </c>
      <c r="AO184">
        <v>-7.1897928093333299</v>
      </c>
      <c r="AP184">
        <v>-7.2002990328571403</v>
      </c>
      <c r="AQ184">
        <v>0</v>
      </c>
      <c r="AR184">
        <v>-7.5503477999999902</v>
      </c>
      <c r="AS184">
        <v>-7.5970695207692298</v>
      </c>
      <c r="AT184">
        <v>0</v>
      </c>
      <c r="AU184">
        <v>-8.8439758692307695</v>
      </c>
      <c r="AV184">
        <v>-8.9473176983333307</v>
      </c>
      <c r="AW184">
        <v>0</v>
      </c>
      <c r="AX184">
        <v>-10.13116804</v>
      </c>
      <c r="AY184">
        <v>-9.9308328111111095</v>
      </c>
      <c r="AZ184">
        <v>1</v>
      </c>
      <c r="BA184">
        <v>-10.301013939999899</v>
      </c>
      <c r="BB184">
        <v>-10.7953274444444</v>
      </c>
      <c r="BC184">
        <v>0</v>
      </c>
      <c r="BD184">
        <v>-4.3520961093999997</v>
      </c>
      <c r="BE184">
        <v>-4.3724786900000003</v>
      </c>
      <c r="BF184">
        <v>0</v>
      </c>
      <c r="BG184">
        <v>-4.6031168628571404</v>
      </c>
      <c r="BH184">
        <v>-4.5563258400000004</v>
      </c>
      <c r="BI184">
        <v>1</v>
      </c>
      <c r="BJ184">
        <v>-5.76428839538461</v>
      </c>
      <c r="BK184">
        <v>-5.6977913500000001</v>
      </c>
      <c r="BL184">
        <v>1</v>
      </c>
      <c r="BM184">
        <v>-5.88156766</v>
      </c>
      <c r="BN184">
        <v>-5.7706708444444397</v>
      </c>
      <c r="BO184">
        <v>1</v>
      </c>
      <c r="BP184">
        <v>-6.1881986900000001</v>
      </c>
      <c r="BQ184">
        <v>-6.4359853111111098</v>
      </c>
      <c r="BR184">
        <v>0</v>
      </c>
    </row>
    <row r="185" spans="1:70" x14ac:dyDescent="0.35">
      <c r="A185" t="s">
        <v>744</v>
      </c>
      <c r="B185" t="s">
        <v>742</v>
      </c>
      <c r="C185" t="s">
        <v>743</v>
      </c>
      <c r="D185">
        <v>0</v>
      </c>
      <c r="E185" t="s">
        <v>296</v>
      </c>
      <c r="F185" t="str">
        <f>INDEX([1]train_xl!$H:$H,MATCH(E185,[1]train_xl!$G:$G,0))</f>
        <v>the-of</v>
      </c>
      <c r="G185" t="str">
        <f>INDEX([1]train_xl!$I:$I,MATCH(E185,[1]train_xl!$G:$G,0))</f>
        <v>sim</v>
      </c>
      <c r="H185" t="str">
        <f>INDEX([1]train_xl!$V:$V,MATCH(E185,[1]train_xl!$G:$G,0))</f>
        <v>not</v>
      </c>
      <c r="I185" t="str">
        <f>INDEX([2]Sheet1!$L:$L,MATCH(E185,[2]Sheet1!$I:$I,0))</f>
        <v>neg</v>
      </c>
      <c r="K185">
        <v>-3.6905770322142799</v>
      </c>
      <c r="L185">
        <v>-3.9889212150769202</v>
      </c>
      <c r="M185">
        <v>1</v>
      </c>
      <c r="N185">
        <v>-4.0357770395769199</v>
      </c>
      <c r="O185">
        <v>-4.34293534858333</v>
      </c>
      <c r="P185">
        <v>1</v>
      </c>
      <c r="Q185">
        <v>-4.8996962938333297</v>
      </c>
      <c r="R185">
        <v>-5.4274253049090904</v>
      </c>
      <c r="S185">
        <v>1</v>
      </c>
      <c r="T185">
        <v>-4.8433451111111099</v>
      </c>
      <c r="U185">
        <v>-5.7342902750000002</v>
      </c>
      <c r="V185">
        <v>1</v>
      </c>
      <c r="W185">
        <v>-5.4378993333333296</v>
      </c>
      <c r="X185">
        <v>-5.704854525</v>
      </c>
      <c r="Y185">
        <v>1</v>
      </c>
      <c r="Z185">
        <v>-5.1539987900000002</v>
      </c>
      <c r="AA185">
        <v>-5.5618070907692303</v>
      </c>
      <c r="AB185">
        <v>1</v>
      </c>
      <c r="AC185">
        <v>-5.60491299538461</v>
      </c>
      <c r="AD185">
        <v>-6.0651105678333304</v>
      </c>
      <c r="AE185">
        <v>1</v>
      </c>
      <c r="AF185">
        <v>-6.5234814491666597</v>
      </c>
      <c r="AG185">
        <v>-7.0801223481818099</v>
      </c>
      <c r="AH185">
        <v>1</v>
      </c>
      <c r="AI185">
        <v>-7.0164913333333301</v>
      </c>
      <c r="AJ185">
        <v>-8.01926856249999</v>
      </c>
      <c r="AK185">
        <v>1</v>
      </c>
      <c r="AL185">
        <v>-7.5080605999999896</v>
      </c>
      <c r="AM185">
        <v>-8.0286813749999997</v>
      </c>
      <c r="AN185">
        <v>1</v>
      </c>
      <c r="AO185">
        <v>-7.6862632807142797</v>
      </c>
      <c r="AP185">
        <v>-8.2905479111538405</v>
      </c>
      <c r="AQ185">
        <v>1</v>
      </c>
      <c r="AR185">
        <v>-8.3085346557692201</v>
      </c>
      <c r="AS185">
        <v>-8.8751304958333304</v>
      </c>
      <c r="AT185">
        <v>1</v>
      </c>
      <c r="AU185">
        <v>-9.2581658758333294</v>
      </c>
      <c r="AV185">
        <v>-10.046948106363599</v>
      </c>
      <c r="AW185">
        <v>1</v>
      </c>
      <c r="AX185">
        <v>-11.4028238888888</v>
      </c>
      <c r="AY185">
        <v>-12.8242458999999</v>
      </c>
      <c r="AZ185">
        <v>1</v>
      </c>
      <c r="BA185">
        <v>-11.7180368</v>
      </c>
      <c r="BB185">
        <v>-12.854198837499901</v>
      </c>
      <c r="BC185">
        <v>1</v>
      </c>
      <c r="BD185">
        <v>-4.6969154402857098</v>
      </c>
      <c r="BE185">
        <v>-4.9783625289230704</v>
      </c>
      <c r="BF185">
        <v>1</v>
      </c>
      <c r="BG185">
        <v>-5.0273967815384601</v>
      </c>
      <c r="BH185">
        <v>-5.2174072041666602</v>
      </c>
      <c r="BI185">
        <v>1</v>
      </c>
      <c r="BJ185">
        <v>-5.9022167449999996</v>
      </c>
      <c r="BK185">
        <v>-6.4215910345454503</v>
      </c>
      <c r="BL185">
        <v>1</v>
      </c>
      <c r="BM185">
        <v>-6.2498929511111099</v>
      </c>
      <c r="BN185">
        <v>-7.1775487374999898</v>
      </c>
      <c r="BO185">
        <v>1</v>
      </c>
      <c r="BP185">
        <v>-6.7127474777777696</v>
      </c>
      <c r="BQ185">
        <v>-7.2112842375000001</v>
      </c>
      <c r="BR185">
        <v>1</v>
      </c>
    </row>
    <row r="186" spans="1:70" x14ac:dyDescent="0.35">
      <c r="A186" t="s">
        <v>745</v>
      </c>
      <c r="B186" t="s">
        <v>746</v>
      </c>
      <c r="C186" t="s">
        <v>747</v>
      </c>
      <c r="D186">
        <v>0</v>
      </c>
      <c r="E186" t="s">
        <v>298</v>
      </c>
      <c r="F186" t="str">
        <f>INDEX([1]train_xl!$H:$H,MATCH(E186,[1]train_xl!$G:$G,0))</f>
        <v>as-as</v>
      </c>
      <c r="G186" t="str">
        <f>INDEX([1]train_xl!$I:$I,MATCH(E186,[1]train_xl!$G:$G,0))</f>
        <v>sim</v>
      </c>
      <c r="H186" t="str">
        <f>INDEX([1]train_xl!$V:$V,MATCH(E186,[1]train_xl!$G:$G,0))</f>
        <v>antonym</v>
      </c>
      <c r="I186" t="str">
        <f>INDEX([2]Sheet1!$L:$L,MATCH(E186,[2]Sheet1!$I:$I,0))</f>
        <v>neg</v>
      </c>
      <c r="K186">
        <v>-4.0202714791999998</v>
      </c>
      <c r="L186">
        <v>-4.6892061284615298</v>
      </c>
      <c r="M186">
        <v>1</v>
      </c>
      <c r="N186">
        <v>-4.3085930127142804</v>
      </c>
      <c r="O186">
        <v>-4.9910200070833302</v>
      </c>
      <c r="P186">
        <v>1</v>
      </c>
      <c r="Q186">
        <v>-5.2668315830769199</v>
      </c>
      <c r="R186">
        <v>-6.1980440133636296</v>
      </c>
      <c r="S186">
        <v>1</v>
      </c>
      <c r="T186">
        <v>-5.2400606189000003</v>
      </c>
      <c r="U186">
        <v>-6.4128793562499897</v>
      </c>
      <c r="V186">
        <v>1</v>
      </c>
      <c r="W186">
        <v>-5.6723149953999998</v>
      </c>
      <c r="X186">
        <v>-6.7581167375</v>
      </c>
      <c r="Y186">
        <v>1</v>
      </c>
      <c r="Z186">
        <v>-3.4865881946666599</v>
      </c>
      <c r="AA186">
        <v>-4.0942003088461503</v>
      </c>
      <c r="AB186">
        <v>1</v>
      </c>
      <c r="AC186">
        <v>-3.5825871810000001</v>
      </c>
      <c r="AD186">
        <v>-4.3227049128333297</v>
      </c>
      <c r="AE186">
        <v>1</v>
      </c>
      <c r="AF186">
        <v>-4.6035311149230704</v>
      </c>
      <c r="AG186">
        <v>-5.4419704385454502</v>
      </c>
      <c r="AH186">
        <v>1</v>
      </c>
      <c r="AI186">
        <v>-4.2612552899999896</v>
      </c>
      <c r="AJ186">
        <v>-5.5781411500000004</v>
      </c>
      <c r="AK186">
        <v>1</v>
      </c>
      <c r="AL186">
        <v>-4.529825336</v>
      </c>
      <c r="AM186">
        <v>-5.6478997250000003</v>
      </c>
      <c r="AN186">
        <v>1</v>
      </c>
      <c r="AO186">
        <v>-4.3229778857599896</v>
      </c>
      <c r="AP186">
        <v>-5.0237090239999898</v>
      </c>
      <c r="AQ186">
        <v>1</v>
      </c>
      <c r="AR186">
        <v>-4.3560446708142804</v>
      </c>
      <c r="AS186">
        <v>-5.2474821299999901</v>
      </c>
      <c r="AT186">
        <v>1</v>
      </c>
      <c r="AU186">
        <v>-5.3353888974769204</v>
      </c>
      <c r="AV186">
        <v>-6.3214918518181804</v>
      </c>
      <c r="AW186">
        <v>1</v>
      </c>
      <c r="AX186">
        <v>-5.46593892855</v>
      </c>
      <c r="AY186">
        <v>-6.9132993499999902</v>
      </c>
      <c r="AZ186">
        <v>1</v>
      </c>
      <c r="BA186">
        <v>-5.5964499959999996</v>
      </c>
      <c r="BB186">
        <v>-6.9720526749999898</v>
      </c>
      <c r="BC186">
        <v>1</v>
      </c>
      <c r="BD186">
        <v>-3.69254676646666</v>
      </c>
      <c r="BE186">
        <v>-4.2162259420769201</v>
      </c>
      <c r="BF186">
        <v>1</v>
      </c>
      <c r="BG186">
        <v>-3.8247930102857102</v>
      </c>
      <c r="BH186">
        <v>-4.4957220234999999</v>
      </c>
      <c r="BI186">
        <v>1</v>
      </c>
      <c r="BJ186">
        <v>-4.8079558584615301</v>
      </c>
      <c r="BK186">
        <v>-5.6699352781818098</v>
      </c>
      <c r="BL186">
        <v>1</v>
      </c>
      <c r="BM186">
        <v>-4.6596014599999904</v>
      </c>
      <c r="BN186">
        <v>-5.9654756874999997</v>
      </c>
      <c r="BO186">
        <v>1</v>
      </c>
      <c r="BP186">
        <v>-5.18173126499999</v>
      </c>
      <c r="BQ186">
        <v>-6.3257632624999998</v>
      </c>
      <c r="BR186">
        <v>1</v>
      </c>
    </row>
    <row r="187" spans="1:70" x14ac:dyDescent="0.35">
      <c r="A187" t="s">
        <v>748</v>
      </c>
      <c r="B187" t="s">
        <v>746</v>
      </c>
      <c r="C187" t="s">
        <v>747</v>
      </c>
      <c r="D187">
        <v>1</v>
      </c>
      <c r="E187" t="s">
        <v>299</v>
      </c>
      <c r="F187" t="str">
        <f>INDEX([1]train_xl!$H:$H,MATCH(E187,[1]train_xl!$G:$G,0))</f>
        <v>as-as</v>
      </c>
      <c r="G187" t="str">
        <f>INDEX([1]train_xl!$I:$I,MATCH(E187,[1]train_xl!$G:$G,0))</f>
        <v>sim</v>
      </c>
      <c r="H187" t="str">
        <f>INDEX([1]train_xl!$V:$V,MATCH(E187,[1]train_xl!$G:$G,0))</f>
        <v>antonym</v>
      </c>
      <c r="I187" t="str">
        <f>INDEX([2]Sheet1!$L:$L,MATCH(E187,[2]Sheet1!$I:$I,0))</f>
        <v>intens</v>
      </c>
      <c r="K187">
        <v>-4.0107138977333303</v>
      </c>
      <c r="L187">
        <v>-4.2601373186153797</v>
      </c>
      <c r="M187">
        <v>0</v>
      </c>
      <c r="N187">
        <v>-4.2636508312857098</v>
      </c>
      <c r="O187">
        <v>-4.5518578490000001</v>
      </c>
      <c r="P187">
        <v>0</v>
      </c>
      <c r="Q187">
        <v>-5.2076121368461497</v>
      </c>
      <c r="R187">
        <v>-5.8120461133636301</v>
      </c>
      <c r="S187">
        <v>0</v>
      </c>
      <c r="T187">
        <v>-5.3147620729999998</v>
      </c>
      <c r="U187">
        <v>-5.5240722199999999</v>
      </c>
      <c r="V187">
        <v>0</v>
      </c>
      <c r="W187">
        <v>-5.7135401849999896</v>
      </c>
      <c r="X187">
        <v>-6.3696439124999902</v>
      </c>
      <c r="Y187">
        <v>0</v>
      </c>
      <c r="Z187">
        <v>-3.3998261115999999</v>
      </c>
      <c r="AA187">
        <v>-3.5428203615384599</v>
      </c>
      <c r="AB187">
        <v>0</v>
      </c>
      <c r="AC187">
        <v>-3.55369648357143</v>
      </c>
      <c r="AD187">
        <v>-3.7491172541666602</v>
      </c>
      <c r="AE187">
        <v>0</v>
      </c>
      <c r="AF187">
        <v>-4.4603886915384603</v>
      </c>
      <c r="AG187">
        <v>-4.81540843909091</v>
      </c>
      <c r="AH187">
        <v>0</v>
      </c>
      <c r="AI187">
        <v>-4.3491992799999899</v>
      </c>
      <c r="AJ187">
        <v>-4.4540316874999997</v>
      </c>
      <c r="AK187">
        <v>0</v>
      </c>
      <c r="AL187">
        <v>-4.6435039900000001</v>
      </c>
      <c r="AM187">
        <v>-5.2439362875000004</v>
      </c>
      <c r="AN187">
        <v>0</v>
      </c>
      <c r="AO187">
        <v>-4.3848397661999998</v>
      </c>
      <c r="AP187">
        <v>-4.6661513944615303</v>
      </c>
      <c r="AQ187">
        <v>0</v>
      </c>
      <c r="AR187">
        <v>-4.5555375927142796</v>
      </c>
      <c r="AS187">
        <v>-4.7992125466666602</v>
      </c>
      <c r="AT187">
        <v>0</v>
      </c>
      <c r="AU187">
        <v>-5.4204173688999902</v>
      </c>
      <c r="AV187">
        <v>-5.9033684845454504</v>
      </c>
      <c r="AW187">
        <v>0</v>
      </c>
      <c r="AX187">
        <v>-5.5640274823999896</v>
      </c>
      <c r="AY187">
        <v>-6.2617891375000001</v>
      </c>
      <c r="AZ187">
        <v>0</v>
      </c>
      <c r="BA187">
        <v>-5.8321681759999997</v>
      </c>
      <c r="BB187">
        <v>-6.6097033999999999</v>
      </c>
      <c r="BC187">
        <v>0</v>
      </c>
      <c r="BD187">
        <v>-4.03138326366666</v>
      </c>
      <c r="BE187">
        <v>-4.1968007526923001</v>
      </c>
      <c r="BF187">
        <v>0</v>
      </c>
      <c r="BG187">
        <v>-4.2157896971428501</v>
      </c>
      <c r="BH187">
        <v>-4.4622940483333302</v>
      </c>
      <c r="BI187">
        <v>0</v>
      </c>
      <c r="BJ187">
        <v>-5.0093762184615303</v>
      </c>
      <c r="BK187">
        <v>-5.4325568418181804</v>
      </c>
      <c r="BL187">
        <v>0</v>
      </c>
      <c r="BM187">
        <v>-5.15964227</v>
      </c>
      <c r="BN187">
        <v>-5.4692957875000001</v>
      </c>
      <c r="BO187">
        <v>0</v>
      </c>
      <c r="BP187">
        <v>-5.2127399619999997</v>
      </c>
      <c r="BQ187">
        <v>-5.8963419874999996</v>
      </c>
      <c r="BR187">
        <v>0</v>
      </c>
    </row>
    <row r="188" spans="1:70" x14ac:dyDescent="0.35">
      <c r="A188" t="s">
        <v>749</v>
      </c>
      <c r="B188" t="s">
        <v>750</v>
      </c>
      <c r="C188" t="s">
        <v>751</v>
      </c>
      <c r="D188">
        <v>0</v>
      </c>
      <c r="E188" t="s">
        <v>300</v>
      </c>
      <c r="F188" t="str">
        <f>INDEX([1]train_xl!$H:$H,MATCH(E188,[1]train_xl!$G:$G,0))</f>
        <v>as-as</v>
      </c>
      <c r="G188" t="str">
        <f>INDEX([1]train_xl!$I:$I,MATCH(E188,[1]train_xl!$G:$G,0))</f>
        <v>sim</v>
      </c>
      <c r="H188" t="str">
        <f>INDEX([1]train_xl!$V:$V,MATCH(E188,[1]train_xl!$G:$G,0))</f>
        <v>not</v>
      </c>
      <c r="I188" t="str">
        <f>INDEX([2]Sheet1!$L:$L,MATCH(E188,[2]Sheet1!$I:$I,0))</f>
        <v>intens</v>
      </c>
      <c r="K188">
        <v>-3.0181154872666598</v>
      </c>
      <c r="L188">
        <v>-3.3710626869375</v>
      </c>
      <c r="M188">
        <v>1</v>
      </c>
      <c r="N188">
        <v>-3.33081315864285</v>
      </c>
      <c r="O188">
        <v>-3.5332340368333299</v>
      </c>
      <c r="P188">
        <v>1</v>
      </c>
      <c r="Q188">
        <v>-4.1025948284615303</v>
      </c>
      <c r="R188">
        <v>-4.2531562088571402</v>
      </c>
      <c r="S188">
        <v>1</v>
      </c>
      <c r="T188">
        <v>-3.5885747446999998</v>
      </c>
      <c r="U188">
        <v>-3.86441265336363</v>
      </c>
      <c r="V188">
        <v>1</v>
      </c>
      <c r="W188">
        <v>-3.9496988639999899</v>
      </c>
      <c r="X188">
        <v>-3.9452744488181799</v>
      </c>
      <c r="Y188">
        <v>0</v>
      </c>
      <c r="Z188">
        <v>-3.8438767575999999</v>
      </c>
      <c r="AA188">
        <v>-4.0082890194375</v>
      </c>
      <c r="AB188">
        <v>1</v>
      </c>
      <c r="AC188">
        <v>-4.16894528928571</v>
      </c>
      <c r="AD188">
        <v>-4.2984101299999997</v>
      </c>
      <c r="AE188">
        <v>1</v>
      </c>
      <c r="AF188">
        <v>-4.9586635015384601</v>
      </c>
      <c r="AG188">
        <v>-5.0599315692857099</v>
      </c>
      <c r="AH188">
        <v>1</v>
      </c>
      <c r="AI188">
        <v>-5.0377430470000002</v>
      </c>
      <c r="AJ188">
        <v>-4.9844196363636302</v>
      </c>
      <c r="AK188">
        <v>0</v>
      </c>
      <c r="AL188">
        <v>-5.3752040010000002</v>
      </c>
      <c r="AM188">
        <v>-5.1528317863636302</v>
      </c>
      <c r="AN188">
        <v>0</v>
      </c>
      <c r="AO188">
        <v>-3.0066304018666599</v>
      </c>
      <c r="AP188">
        <v>-3.2171298368749999</v>
      </c>
      <c r="AQ188">
        <v>1</v>
      </c>
      <c r="AR188">
        <v>-3.0453394321428502</v>
      </c>
      <c r="AS188">
        <v>-3.2209028784</v>
      </c>
      <c r="AT188">
        <v>1</v>
      </c>
      <c r="AU188">
        <v>-3.7153221992307599</v>
      </c>
      <c r="AV188">
        <v>-3.8117837450000001</v>
      </c>
      <c r="AW188">
        <v>1</v>
      </c>
      <c r="AX188">
        <v>-3.1918746489999998</v>
      </c>
      <c r="AY188">
        <v>-3.4199728118181798</v>
      </c>
      <c r="AZ188">
        <v>1</v>
      </c>
      <c r="BA188">
        <v>-3.391903036</v>
      </c>
      <c r="BB188">
        <v>-3.4175491563636302</v>
      </c>
      <c r="BC188">
        <v>1</v>
      </c>
      <c r="BD188">
        <v>-4.0639148465333301</v>
      </c>
      <c r="BE188">
        <v>-4.2390240774999999</v>
      </c>
      <c r="BF188">
        <v>1</v>
      </c>
      <c r="BG188">
        <v>-4.17429096357142</v>
      </c>
      <c r="BH188">
        <v>-4.2662627975999996</v>
      </c>
      <c r="BI188">
        <v>1</v>
      </c>
      <c r="BJ188">
        <v>-5.1583377630769203</v>
      </c>
      <c r="BK188">
        <v>-5.1792655078571403</v>
      </c>
      <c r="BL188">
        <v>1</v>
      </c>
      <c r="BM188">
        <v>-5.2610422569999997</v>
      </c>
      <c r="BN188">
        <v>-5.2301071536363599</v>
      </c>
      <c r="BO188">
        <v>0</v>
      </c>
      <c r="BP188">
        <v>-5.7519095240000002</v>
      </c>
      <c r="BQ188">
        <v>-5.46512818909091</v>
      </c>
      <c r="BR188">
        <v>0</v>
      </c>
    </row>
    <row r="189" spans="1:70" x14ac:dyDescent="0.35">
      <c r="A189" t="s">
        <v>752</v>
      </c>
      <c r="B189" t="s">
        <v>750</v>
      </c>
      <c r="C189" t="s">
        <v>751</v>
      </c>
      <c r="D189">
        <v>1</v>
      </c>
      <c r="E189" t="s">
        <v>301</v>
      </c>
      <c r="F189" t="str">
        <f>INDEX([1]train_xl!$H:$H,MATCH(E189,[1]train_xl!$G:$G,0))</f>
        <v>as-as</v>
      </c>
      <c r="G189" t="str">
        <f>INDEX([1]train_xl!$I:$I,MATCH(E189,[1]train_xl!$G:$G,0))</f>
        <v>sim</v>
      </c>
      <c r="H189" t="str">
        <f>INDEX([1]train_xl!$V:$V,MATCH(E189,[1]train_xl!$G:$G,0))</f>
        <v>not</v>
      </c>
      <c r="I189" t="str">
        <f>INDEX([2]Sheet1!$L:$L,MATCH(E189,[2]Sheet1!$I:$I,0))</f>
        <v>neg</v>
      </c>
      <c r="K189">
        <v>-3.138482738375</v>
      </c>
      <c r="L189">
        <v>-2.8866457041176399</v>
      </c>
      <c r="M189">
        <v>1</v>
      </c>
      <c r="N189">
        <v>-3.2917996093999999</v>
      </c>
      <c r="O189">
        <v>-2.93796337131249</v>
      </c>
      <c r="P189">
        <v>1</v>
      </c>
      <c r="Q189">
        <v>-4.0994895181428497</v>
      </c>
      <c r="R189">
        <v>-3.7370812619999998</v>
      </c>
      <c r="S189">
        <v>1</v>
      </c>
      <c r="T189">
        <v>-3.4673321763636298</v>
      </c>
      <c r="U189">
        <v>-3.2640925574999899</v>
      </c>
      <c r="V189">
        <v>1</v>
      </c>
      <c r="W189">
        <v>-3.8758388172727201</v>
      </c>
      <c r="X189">
        <v>-3.6431112808333301</v>
      </c>
      <c r="Y189">
        <v>1</v>
      </c>
      <c r="Z189">
        <v>-3.9198959349687499</v>
      </c>
      <c r="AA189">
        <v>-3.6452774093823499</v>
      </c>
      <c r="AB189">
        <v>1</v>
      </c>
      <c r="AC189">
        <v>-4.0508854318666598</v>
      </c>
      <c r="AD189">
        <v>-3.6890341015625001</v>
      </c>
      <c r="AE189">
        <v>1</v>
      </c>
      <c r="AF189">
        <v>-4.9611973542857104</v>
      </c>
      <c r="AG189">
        <v>-4.627899116</v>
      </c>
      <c r="AH189">
        <v>1</v>
      </c>
      <c r="AI189">
        <v>-4.82377301272727</v>
      </c>
      <c r="AJ189">
        <v>-4.5275024708333298</v>
      </c>
      <c r="AK189">
        <v>1</v>
      </c>
      <c r="AL189">
        <v>-4.9720178818181804</v>
      </c>
      <c r="AM189">
        <v>-4.6653762333333297</v>
      </c>
      <c r="AN189">
        <v>1</v>
      </c>
      <c r="AO189">
        <v>-3.2189551331249899</v>
      </c>
      <c r="AP189">
        <v>-2.9749658770588199</v>
      </c>
      <c r="AQ189">
        <v>1</v>
      </c>
      <c r="AR189">
        <v>-3.2009343235999999</v>
      </c>
      <c r="AS189">
        <v>-2.8680546324999998</v>
      </c>
      <c r="AT189">
        <v>1</v>
      </c>
      <c r="AU189">
        <v>-3.9359118725000002</v>
      </c>
      <c r="AV189">
        <v>-3.5559529106666599</v>
      </c>
      <c r="AW189">
        <v>1</v>
      </c>
      <c r="AX189">
        <v>-3.5503608245454501</v>
      </c>
      <c r="AY189">
        <v>-3.3191723791666599</v>
      </c>
      <c r="AZ189">
        <v>1</v>
      </c>
      <c r="BA189">
        <v>-3.5126221972727198</v>
      </c>
      <c r="BB189">
        <v>-3.2813445350000001</v>
      </c>
      <c r="BC189">
        <v>1</v>
      </c>
      <c r="BD189">
        <v>-4.0863303091249996</v>
      </c>
      <c r="BE189">
        <v>-3.7405219342941098</v>
      </c>
      <c r="BF189">
        <v>1</v>
      </c>
      <c r="BG189">
        <v>-4.2848012496000001</v>
      </c>
      <c r="BH189">
        <v>-3.8604564562500001</v>
      </c>
      <c r="BI189">
        <v>1</v>
      </c>
      <c r="BJ189">
        <v>-5.0779470302857099</v>
      </c>
      <c r="BK189">
        <v>-4.6109011000000004</v>
      </c>
      <c r="BL189">
        <v>1</v>
      </c>
      <c r="BM189">
        <v>-4.9628527699999996</v>
      </c>
      <c r="BN189">
        <v>-4.5672468224999898</v>
      </c>
      <c r="BO189">
        <v>1</v>
      </c>
      <c r="BP189">
        <v>-5.1393069363636297</v>
      </c>
      <c r="BQ189">
        <v>-4.7543661249999998</v>
      </c>
      <c r="BR189">
        <v>1</v>
      </c>
    </row>
    <row r="190" spans="1:70" x14ac:dyDescent="0.35">
      <c r="A190" t="s">
        <v>753</v>
      </c>
      <c r="B190" t="s">
        <v>754</v>
      </c>
      <c r="C190" t="s">
        <v>755</v>
      </c>
      <c r="D190">
        <v>0</v>
      </c>
      <c r="E190" t="s">
        <v>302</v>
      </c>
      <c r="F190" t="str">
        <f>INDEX([1]train_xl!$H:$H,MATCH(E190,[1]train_xl!$G:$G,0))</f>
        <v>as-as</v>
      </c>
      <c r="G190" t="str">
        <f>INDEX([1]train_xl!$I:$I,MATCH(E190,[1]train_xl!$G:$G,0))</f>
        <v>sim</v>
      </c>
      <c r="H190" t="str">
        <f>INDEX([1]train_xl!$V:$V,MATCH(E190,[1]train_xl!$G:$G,0))</f>
        <v>not</v>
      </c>
      <c r="I190" t="str">
        <f>INDEX([2]Sheet1!$L:$L,MATCH(E190,[2]Sheet1!$I:$I,0))</f>
        <v>intens</v>
      </c>
      <c r="K190">
        <v>-3.54189898263636</v>
      </c>
      <c r="L190">
        <v>-3.4646410068461502</v>
      </c>
      <c r="M190">
        <v>0</v>
      </c>
      <c r="N190">
        <v>-3.8616583701999998</v>
      </c>
      <c r="O190">
        <v>-3.7077251543333301</v>
      </c>
      <c r="P190">
        <v>0</v>
      </c>
      <c r="Q190">
        <v>-4.9565974558888799</v>
      </c>
      <c r="R190">
        <v>-4.3456862695454497</v>
      </c>
      <c r="S190">
        <v>0</v>
      </c>
      <c r="T190">
        <v>-4.4984473166666596</v>
      </c>
      <c r="U190">
        <v>-4.3652560468749897</v>
      </c>
      <c r="V190">
        <v>0</v>
      </c>
      <c r="W190">
        <v>-5.4337737666666603</v>
      </c>
      <c r="X190">
        <v>-4.7173833600000004</v>
      </c>
      <c r="Y190">
        <v>0</v>
      </c>
      <c r="Z190">
        <v>-3.72734895818181</v>
      </c>
      <c r="AA190">
        <v>-3.5228980476923</v>
      </c>
      <c r="AB190">
        <v>0</v>
      </c>
      <c r="AC190">
        <v>-4.1331422120000001</v>
      </c>
      <c r="AD190">
        <v>-3.8425778883333299</v>
      </c>
      <c r="AE190">
        <v>0</v>
      </c>
      <c r="AF190">
        <v>-4.9246202077777701</v>
      </c>
      <c r="AG190">
        <v>-4.5317289190908996</v>
      </c>
      <c r="AH190">
        <v>0</v>
      </c>
      <c r="AI190">
        <v>-4.9179924583333303</v>
      </c>
      <c r="AJ190">
        <v>-4.6099463087499997</v>
      </c>
      <c r="AK190">
        <v>0</v>
      </c>
      <c r="AL190">
        <v>-5.5012913499999998</v>
      </c>
      <c r="AM190">
        <v>-4.7253506537499996</v>
      </c>
      <c r="AN190">
        <v>0</v>
      </c>
      <c r="AO190">
        <v>-4.1979660445454501</v>
      </c>
      <c r="AP190">
        <v>-4.0659967276923004</v>
      </c>
      <c r="AQ190">
        <v>0</v>
      </c>
      <c r="AR190">
        <v>-3.883117505</v>
      </c>
      <c r="AS190">
        <v>-3.85676443916666</v>
      </c>
      <c r="AT190">
        <v>0</v>
      </c>
      <c r="AU190">
        <v>-5.33522829999999</v>
      </c>
      <c r="AV190">
        <v>-5.0026957294545404</v>
      </c>
      <c r="AW190">
        <v>0</v>
      </c>
      <c r="AX190">
        <v>-5.4482680833333301</v>
      </c>
      <c r="AY190">
        <v>-4.7566087499999998</v>
      </c>
      <c r="AZ190">
        <v>0</v>
      </c>
      <c r="BA190">
        <v>-5.70077606666666</v>
      </c>
      <c r="BB190">
        <v>-5.8569301249999999</v>
      </c>
      <c r="BC190">
        <v>1</v>
      </c>
      <c r="BD190">
        <v>-3.92141506454545</v>
      </c>
      <c r="BE190">
        <v>-3.6992392996922998</v>
      </c>
      <c r="BF190">
        <v>0</v>
      </c>
      <c r="BG190">
        <v>-4.3717886449999996</v>
      </c>
      <c r="BH190">
        <v>-4.0259924858333296</v>
      </c>
      <c r="BI190">
        <v>0</v>
      </c>
      <c r="BJ190">
        <v>-5.2719908411111103</v>
      </c>
      <c r="BK190">
        <v>-4.6351772154545401</v>
      </c>
      <c r="BL190">
        <v>0</v>
      </c>
      <c r="BM190">
        <v>-5.1865690666666602</v>
      </c>
      <c r="BN190">
        <v>-4.7448054299999898</v>
      </c>
      <c r="BO190">
        <v>0</v>
      </c>
      <c r="BP190">
        <v>-6.1415886500000001</v>
      </c>
      <c r="BQ190">
        <v>-5.1137795212499997</v>
      </c>
      <c r="BR190">
        <v>0</v>
      </c>
    </row>
    <row r="191" spans="1:70" x14ac:dyDescent="0.35">
      <c r="A191" t="s">
        <v>756</v>
      </c>
      <c r="B191" t="s">
        <v>754</v>
      </c>
      <c r="C191" t="s">
        <v>755</v>
      </c>
      <c r="D191">
        <v>1</v>
      </c>
      <c r="E191" t="s">
        <v>303</v>
      </c>
      <c r="F191" t="str">
        <f>INDEX([1]train_xl!$H:$H,MATCH(E191,[1]train_xl!$G:$G,0))</f>
        <v>as-as</v>
      </c>
      <c r="G191" t="str">
        <f>INDEX([1]train_xl!$I:$I,MATCH(E191,[1]train_xl!$G:$G,0))</f>
        <v>sim</v>
      </c>
      <c r="H191" t="str">
        <f>INDEX([1]train_xl!$V:$V,MATCH(E191,[1]train_xl!$G:$G,0))</f>
        <v>not</v>
      </c>
      <c r="I191" t="str">
        <f>INDEX([2]Sheet1!$L:$L,MATCH(E191,[2]Sheet1!$I:$I,0))</f>
        <v>neg</v>
      </c>
      <c r="K191">
        <v>-3.7667525308333301</v>
      </c>
      <c r="L191">
        <v>-3.04242354342857</v>
      </c>
      <c r="M191">
        <v>1</v>
      </c>
      <c r="N191">
        <v>-4.0483115279090898</v>
      </c>
      <c r="O191">
        <v>-3.2287780339999901</v>
      </c>
      <c r="P191">
        <v>1</v>
      </c>
      <c r="Q191">
        <v>-5.0626237029999999</v>
      </c>
      <c r="R191">
        <v>-3.9922966154166599</v>
      </c>
      <c r="S191">
        <v>1</v>
      </c>
      <c r="T191">
        <v>-4.9851334942857104</v>
      </c>
      <c r="U191">
        <v>-3.7889112084444401</v>
      </c>
      <c r="V191">
        <v>1</v>
      </c>
      <c r="W191">
        <v>-5.3283849428571397</v>
      </c>
      <c r="X191">
        <v>-4.2146051799999897</v>
      </c>
      <c r="Y191">
        <v>1</v>
      </c>
      <c r="Z191">
        <v>-3.9788605150833298</v>
      </c>
      <c r="AA191">
        <v>-3.1591652247142799</v>
      </c>
      <c r="AB191">
        <v>1</v>
      </c>
      <c r="AC191">
        <v>-4.1003210758181803</v>
      </c>
      <c r="AD191">
        <v>-3.1649567253846098</v>
      </c>
      <c r="AE191">
        <v>1</v>
      </c>
      <c r="AF191">
        <v>-5.0742265160000004</v>
      </c>
      <c r="AG191">
        <v>-4.0523778266666604</v>
      </c>
      <c r="AH191">
        <v>1</v>
      </c>
      <c r="AI191">
        <v>-5.0097840857142799</v>
      </c>
      <c r="AJ191">
        <v>-3.6842425355555499</v>
      </c>
      <c r="AK191">
        <v>1</v>
      </c>
      <c r="AL191">
        <v>-5.3155487285714198</v>
      </c>
      <c r="AM191">
        <v>-4.0165887711111097</v>
      </c>
      <c r="AN191">
        <v>1</v>
      </c>
      <c r="AO191">
        <v>-4.3057767666666598</v>
      </c>
      <c r="AP191">
        <v>-3.5801274095000002</v>
      </c>
      <c r="AQ191">
        <v>1</v>
      </c>
      <c r="AR191">
        <v>-4.2432134545454501</v>
      </c>
      <c r="AS191">
        <v>-3.3937929848461499</v>
      </c>
      <c r="AT191">
        <v>1</v>
      </c>
      <c r="AU191">
        <v>-5.5128457040000001</v>
      </c>
      <c r="AV191">
        <v>-4.4366959416666596</v>
      </c>
      <c r="AW191">
        <v>1</v>
      </c>
      <c r="AX191">
        <v>-5.2176419571428498</v>
      </c>
      <c r="AY191">
        <v>-4.0093819722222204</v>
      </c>
      <c r="AZ191">
        <v>1</v>
      </c>
      <c r="BA191">
        <v>-5.7196761714285698</v>
      </c>
      <c r="BB191">
        <v>-5.1678366888888796</v>
      </c>
      <c r="BC191">
        <v>1</v>
      </c>
      <c r="BD191">
        <v>-4.38621135641666</v>
      </c>
      <c r="BE191">
        <v>-3.4895199178571401</v>
      </c>
      <c r="BF191">
        <v>1</v>
      </c>
      <c r="BG191">
        <v>-4.5607471349090902</v>
      </c>
      <c r="BH191">
        <v>-3.5469326566153798</v>
      </c>
      <c r="BI191">
        <v>1</v>
      </c>
      <c r="BJ191">
        <v>-5.5369520769999996</v>
      </c>
      <c r="BK191">
        <v>-4.4098033416666604</v>
      </c>
      <c r="BL191">
        <v>1</v>
      </c>
      <c r="BM191">
        <v>-5.9130348857142803</v>
      </c>
      <c r="BN191">
        <v>-4.3690377295555498</v>
      </c>
      <c r="BO191">
        <v>1</v>
      </c>
      <c r="BP191">
        <v>-6.2933406857142797</v>
      </c>
      <c r="BQ191">
        <v>-4.6609832928888801</v>
      </c>
      <c r="BR191">
        <v>1</v>
      </c>
    </row>
    <row r="192" spans="1:70" x14ac:dyDescent="0.35">
      <c r="A192" t="s">
        <v>757</v>
      </c>
      <c r="B192" t="s">
        <v>758</v>
      </c>
      <c r="C192" t="s">
        <v>759</v>
      </c>
      <c r="D192">
        <v>0</v>
      </c>
      <c r="E192" t="s">
        <v>304</v>
      </c>
      <c r="F192" t="str">
        <f>INDEX([1]train_xl!$H:$H,MATCH(E192,[1]train_xl!$G:$G,0))</f>
        <v>as-as</v>
      </c>
      <c r="G192" t="str">
        <f>INDEX([1]train_xl!$I:$I,MATCH(E192,[1]train_xl!$G:$G,0))</f>
        <v>sim</v>
      </c>
      <c r="H192" t="str">
        <f>INDEX([1]train_xl!$V:$V,MATCH(E192,[1]train_xl!$G:$G,0))</f>
        <v>not</v>
      </c>
      <c r="I192" t="str">
        <f>INDEX([2]Sheet1!$L:$L,MATCH(E192,[2]Sheet1!$I:$I,0))</f>
        <v>intens</v>
      </c>
      <c r="K192">
        <v>-3.7134321572285698</v>
      </c>
      <c r="L192">
        <v>-3.83664719122666</v>
      </c>
      <c r="M192">
        <v>1</v>
      </c>
      <c r="N192">
        <v>-3.8093157284230701</v>
      </c>
      <c r="O192">
        <v>-3.9230709818357101</v>
      </c>
      <c r="P192">
        <v>1</v>
      </c>
      <c r="Q192">
        <v>-4.97171380225</v>
      </c>
      <c r="R192">
        <v>-4.9566871920769202</v>
      </c>
      <c r="S192">
        <v>0</v>
      </c>
      <c r="T192">
        <v>-4.8761764999999997</v>
      </c>
      <c r="U192">
        <v>-4.8223946</v>
      </c>
      <c r="V192">
        <v>0</v>
      </c>
      <c r="W192">
        <v>-5.44293808555555</v>
      </c>
      <c r="X192">
        <v>-5.2457761999999999</v>
      </c>
      <c r="Y192">
        <v>0</v>
      </c>
      <c r="Z192">
        <v>-4.3360975752857103</v>
      </c>
      <c r="AA192">
        <v>-4.4391591350666602</v>
      </c>
      <c r="AB192">
        <v>1</v>
      </c>
      <c r="AC192">
        <v>-4.4814600146923</v>
      </c>
      <c r="AD192">
        <v>-4.5611899582142801</v>
      </c>
      <c r="AE192">
        <v>1</v>
      </c>
      <c r="AF192">
        <v>-5.5681821066666597</v>
      </c>
      <c r="AG192">
        <v>-5.5767928307692296</v>
      </c>
      <c r="AH192">
        <v>1</v>
      </c>
      <c r="AI192">
        <v>-5.9768020855555504</v>
      </c>
      <c r="AJ192">
        <v>-5.790465856</v>
      </c>
      <c r="AK192">
        <v>0</v>
      </c>
      <c r="AL192">
        <v>-6.3065759999999997</v>
      </c>
      <c r="AM192">
        <v>-5.9416794700000004</v>
      </c>
      <c r="AN192">
        <v>0</v>
      </c>
      <c r="AO192">
        <v>-3.6642473145714201</v>
      </c>
      <c r="AP192">
        <v>-3.97668903866666</v>
      </c>
      <c r="AQ192">
        <v>1</v>
      </c>
      <c r="AR192">
        <v>-3.6838761529230699</v>
      </c>
      <c r="AS192">
        <v>-4.0432934861428498</v>
      </c>
      <c r="AT192">
        <v>1</v>
      </c>
      <c r="AU192">
        <v>-4.4102201595833304</v>
      </c>
      <c r="AV192">
        <v>-4.7663324038461496</v>
      </c>
      <c r="AW192">
        <v>1</v>
      </c>
      <c r="AX192">
        <v>-4.4800650799999904</v>
      </c>
      <c r="AY192">
        <v>-4.6364568179999903</v>
      </c>
      <c r="AZ192">
        <v>1</v>
      </c>
      <c r="BA192">
        <v>-4.7546074766666599</v>
      </c>
      <c r="BB192">
        <v>-4.640794208</v>
      </c>
      <c r="BC192">
        <v>0</v>
      </c>
      <c r="BD192">
        <v>-4.5704358789285697</v>
      </c>
      <c r="BE192">
        <v>-4.6194050485666596</v>
      </c>
      <c r="BF192">
        <v>1</v>
      </c>
      <c r="BG192">
        <v>-4.7265643280000003</v>
      </c>
      <c r="BH192">
        <v>-4.7770425372857099</v>
      </c>
      <c r="BI192">
        <v>1</v>
      </c>
      <c r="BJ192">
        <v>-6.1697414558333303</v>
      </c>
      <c r="BK192">
        <v>-6.0774673830769199</v>
      </c>
      <c r="BL192">
        <v>0</v>
      </c>
      <c r="BM192">
        <v>-6.3961045744444398</v>
      </c>
      <c r="BN192">
        <v>-6.2134064369999997</v>
      </c>
      <c r="BO192">
        <v>0</v>
      </c>
      <c r="BP192">
        <v>-6.8937176111111098</v>
      </c>
      <c r="BQ192">
        <v>-6.4885681860000002</v>
      </c>
      <c r="BR192">
        <v>0</v>
      </c>
    </row>
    <row r="193" spans="1:70" x14ac:dyDescent="0.35">
      <c r="A193" t="s">
        <v>760</v>
      </c>
      <c r="B193" t="s">
        <v>758</v>
      </c>
      <c r="C193" t="s">
        <v>759</v>
      </c>
      <c r="D193">
        <v>1</v>
      </c>
      <c r="E193" t="s">
        <v>305</v>
      </c>
      <c r="F193" t="str">
        <f>INDEX([1]train_xl!$H:$H,MATCH(E193,[1]train_xl!$G:$G,0))</f>
        <v>as-as</v>
      </c>
      <c r="G193" t="str">
        <f>INDEX([1]train_xl!$I:$I,MATCH(E193,[1]train_xl!$G:$G,0))</f>
        <v>sim</v>
      </c>
      <c r="H193" t="str">
        <f>INDEX([1]train_xl!$V:$V,MATCH(E193,[1]train_xl!$G:$G,0))</f>
        <v>not</v>
      </c>
      <c r="I193" t="str">
        <f>INDEX([2]Sheet1!$L:$L,MATCH(E193,[2]Sheet1!$I:$I,0))</f>
        <v>neg</v>
      </c>
      <c r="K193">
        <v>-4.2364579608571402</v>
      </c>
      <c r="L193">
        <v>-3.4684568709333301</v>
      </c>
      <c r="M193">
        <v>1</v>
      </c>
      <c r="N193">
        <v>-4.3563520899230701</v>
      </c>
      <c r="O193">
        <v>-3.5677541819999998</v>
      </c>
      <c r="P193">
        <v>1</v>
      </c>
      <c r="Q193">
        <v>-5.2369149165</v>
      </c>
      <c r="R193">
        <v>-4.4141647354615303</v>
      </c>
      <c r="S193">
        <v>1</v>
      </c>
      <c r="T193">
        <v>-5.3335312299999904</v>
      </c>
      <c r="U193">
        <v>-4.7335862949999896</v>
      </c>
      <c r="V193">
        <v>1</v>
      </c>
      <c r="W193">
        <v>-5.47018456666666</v>
      </c>
      <c r="X193">
        <v>-5.2507416299999896</v>
      </c>
      <c r="Y193">
        <v>1</v>
      </c>
      <c r="Z193">
        <v>-5.0917168897142799</v>
      </c>
      <c r="AA193">
        <v>-4.2619909496666599</v>
      </c>
      <c r="AB193">
        <v>1</v>
      </c>
      <c r="AC193">
        <v>-5.2451280461538401</v>
      </c>
      <c r="AD193">
        <v>-4.4238331007142797</v>
      </c>
      <c r="AE193">
        <v>1</v>
      </c>
      <c r="AF193">
        <v>-6.1000311133333298</v>
      </c>
      <c r="AG193">
        <v>-5.2297107615384597</v>
      </c>
      <c r="AH193">
        <v>1</v>
      </c>
      <c r="AI193">
        <v>-6.6481014422222202</v>
      </c>
      <c r="AJ193">
        <v>-5.9413905039999904</v>
      </c>
      <c r="AK193">
        <v>1</v>
      </c>
      <c r="AL193">
        <v>-6.6843969111111097</v>
      </c>
      <c r="AM193">
        <v>-6.2605851000000001</v>
      </c>
      <c r="AN193">
        <v>1</v>
      </c>
      <c r="AO193">
        <v>-4.1051895864285699</v>
      </c>
      <c r="AP193">
        <v>-3.3421572686666599</v>
      </c>
      <c r="AQ193">
        <v>1</v>
      </c>
      <c r="AR193">
        <v>-4.2780193213076902</v>
      </c>
      <c r="AS193">
        <v>-3.4980368917142801</v>
      </c>
      <c r="AT193">
        <v>1</v>
      </c>
      <c r="AU193">
        <v>-5.1888459791666603</v>
      </c>
      <c r="AV193">
        <v>-4.2405279884615297</v>
      </c>
      <c r="AW193">
        <v>1</v>
      </c>
      <c r="AX193">
        <v>-4.9790333955555504</v>
      </c>
      <c r="AY193">
        <v>-4.4218085599999997</v>
      </c>
      <c r="AZ193">
        <v>1</v>
      </c>
      <c r="BA193">
        <v>-5.1543481333333299</v>
      </c>
      <c r="BB193">
        <v>-4.8571864369999904</v>
      </c>
      <c r="BC193">
        <v>1</v>
      </c>
      <c r="BD193">
        <v>-5.0733081207142803</v>
      </c>
      <c r="BE193">
        <v>-4.3207856735999997</v>
      </c>
      <c r="BF193">
        <v>1</v>
      </c>
      <c r="BG193">
        <v>-4.9579679750769197</v>
      </c>
      <c r="BH193">
        <v>-4.5678074512142803</v>
      </c>
      <c r="BI193">
        <v>1</v>
      </c>
      <c r="BJ193">
        <v>-6.255902195</v>
      </c>
      <c r="BK193">
        <v>-5.3789677841538399</v>
      </c>
      <c r="BL193">
        <v>1</v>
      </c>
      <c r="BM193">
        <v>-6.6546749288888796</v>
      </c>
      <c r="BN193">
        <v>-6.0355409529999999</v>
      </c>
      <c r="BO193">
        <v>1</v>
      </c>
      <c r="BP193">
        <v>-6.8656795999999902</v>
      </c>
      <c r="BQ193">
        <v>-6.4351053499999997</v>
      </c>
      <c r="BR193">
        <v>1</v>
      </c>
    </row>
    <row r="194" spans="1:70" x14ac:dyDescent="0.35">
      <c r="A194" t="s">
        <v>761</v>
      </c>
      <c r="B194" t="s">
        <v>762</v>
      </c>
      <c r="C194" t="s">
        <v>53</v>
      </c>
      <c r="D194">
        <v>0</v>
      </c>
      <c r="E194" t="s">
        <v>306</v>
      </c>
      <c r="F194" t="str">
        <f>INDEX([1]train_xl!$H:$H,MATCH(E194,[1]train_xl!$G:$G,0))</f>
        <v>the-of</v>
      </c>
      <c r="G194" t="str">
        <f>INDEX([1]train_xl!$I:$I,MATCH(E194,[1]train_xl!$G:$G,0))</f>
        <v>sim</v>
      </c>
      <c r="H194" t="str">
        <f>INDEX([1]train_xl!$V:$V,MATCH(E194,[1]train_xl!$G:$G,0))</f>
        <v>not</v>
      </c>
      <c r="I194" t="str">
        <f>INDEX([2]Sheet1!$L:$L,MATCH(E194,[2]Sheet1!$I:$I,0))</f>
        <v>intens</v>
      </c>
      <c r="K194">
        <v>-3.3847446242857102</v>
      </c>
      <c r="L194">
        <v>-3.42011088013333</v>
      </c>
      <c r="M194">
        <v>1</v>
      </c>
      <c r="N194">
        <v>-3.6330934165384599</v>
      </c>
      <c r="O194">
        <v>-3.6933891529999898</v>
      </c>
      <c r="P194">
        <v>1</v>
      </c>
      <c r="Q194">
        <v>-4.4837627974999998</v>
      </c>
      <c r="R194">
        <v>-4.3770078953846099</v>
      </c>
      <c r="S194">
        <v>0</v>
      </c>
      <c r="T194">
        <v>-4.4391891611111101</v>
      </c>
      <c r="U194">
        <v>-4.51874368</v>
      </c>
      <c r="V194">
        <v>1</v>
      </c>
      <c r="W194">
        <v>-4.8160076944444397</v>
      </c>
      <c r="X194">
        <v>-4.7945127469999997</v>
      </c>
      <c r="Y194">
        <v>0</v>
      </c>
      <c r="Z194">
        <v>-4.2062271489999903</v>
      </c>
      <c r="AA194">
        <v>-4.2167189296666603</v>
      </c>
      <c r="AB194">
        <v>1</v>
      </c>
      <c r="AC194">
        <v>-4.4913323399999996</v>
      </c>
      <c r="AD194">
        <v>-4.4051934285714198</v>
      </c>
      <c r="AE194">
        <v>0</v>
      </c>
      <c r="AF194">
        <v>-5.3472904383333297</v>
      </c>
      <c r="AG194">
        <v>-5.1553563361538401</v>
      </c>
      <c r="AH194">
        <v>0</v>
      </c>
      <c r="AI194">
        <v>-5.6415928577777699</v>
      </c>
      <c r="AJ194">
        <v>-5.5215204399999998</v>
      </c>
      <c r="AK194">
        <v>0</v>
      </c>
      <c r="AL194">
        <v>-5.8893738166666596</v>
      </c>
      <c r="AM194">
        <v>-5.7020579229999999</v>
      </c>
      <c r="AN194">
        <v>0</v>
      </c>
      <c r="AO194">
        <v>-3.4825596328571402</v>
      </c>
      <c r="AP194">
        <v>-3.52052570666666</v>
      </c>
      <c r="AQ194">
        <v>1</v>
      </c>
      <c r="AR194">
        <v>-3.5450108646153802</v>
      </c>
      <c r="AS194">
        <v>-3.6550525999999901</v>
      </c>
      <c r="AT194">
        <v>1</v>
      </c>
      <c r="AU194">
        <v>-4.4184595583333302</v>
      </c>
      <c r="AV194">
        <v>-4.3772027553846096</v>
      </c>
      <c r="AW194">
        <v>0</v>
      </c>
      <c r="AX194">
        <v>-4.1377048266666598</v>
      </c>
      <c r="AY194">
        <v>-4.2707176339999897</v>
      </c>
      <c r="AZ194">
        <v>1</v>
      </c>
      <c r="BA194">
        <v>-4.5180331299999903</v>
      </c>
      <c r="BB194">
        <v>-4.4650268229999996</v>
      </c>
      <c r="BC194">
        <v>0</v>
      </c>
      <c r="BD194">
        <v>-4.4872711992857104</v>
      </c>
      <c r="BE194">
        <v>-4.42251248</v>
      </c>
      <c r="BF194">
        <v>0</v>
      </c>
      <c r="BG194">
        <v>-4.8117071333846102</v>
      </c>
      <c r="BH194">
        <v>-4.6875115889999996</v>
      </c>
      <c r="BI194">
        <v>0</v>
      </c>
      <c r="BJ194">
        <v>-5.7198812541666602</v>
      </c>
      <c r="BK194">
        <v>-5.5213788884615296</v>
      </c>
      <c r="BL194">
        <v>0</v>
      </c>
      <c r="BM194">
        <v>-6.1454447300000004</v>
      </c>
      <c r="BN194">
        <v>-5.9773916199999997</v>
      </c>
      <c r="BO194">
        <v>0</v>
      </c>
      <c r="BP194">
        <v>-6.39303920444444</v>
      </c>
      <c r="BQ194">
        <v>-6.1581626050000002</v>
      </c>
      <c r="BR194">
        <v>0</v>
      </c>
    </row>
    <row r="195" spans="1:70" x14ac:dyDescent="0.35">
      <c r="A195" t="s">
        <v>763</v>
      </c>
      <c r="B195" t="s">
        <v>762</v>
      </c>
      <c r="C195" t="s">
        <v>53</v>
      </c>
      <c r="D195">
        <v>1</v>
      </c>
      <c r="E195" t="s">
        <v>307</v>
      </c>
      <c r="F195" t="str">
        <f>INDEX([1]train_xl!$H:$H,MATCH(E195,[1]train_xl!$G:$G,0))</f>
        <v>the-of</v>
      </c>
      <c r="G195" t="str">
        <f>INDEX([1]train_xl!$I:$I,MATCH(E195,[1]train_xl!$G:$G,0))</f>
        <v>sim</v>
      </c>
      <c r="H195" t="str">
        <f>INDEX([1]train_xl!$V:$V,MATCH(E195,[1]train_xl!$G:$G,0))</f>
        <v>not</v>
      </c>
      <c r="I195" t="str">
        <f>INDEX([2]Sheet1!$L:$L,MATCH(E195,[2]Sheet1!$I:$I,0))</f>
        <v>neg</v>
      </c>
      <c r="K195">
        <v>-3.6446753090714199</v>
      </c>
      <c r="L195">
        <v>-3.2055118596666601</v>
      </c>
      <c r="M195">
        <v>1</v>
      </c>
      <c r="N195">
        <v>-3.9428407377692301</v>
      </c>
      <c r="O195">
        <v>-3.4351793659999998</v>
      </c>
      <c r="P195">
        <v>1</v>
      </c>
      <c r="Q195">
        <v>-4.7793495348333304</v>
      </c>
      <c r="R195">
        <v>-4.1578518493846097</v>
      </c>
      <c r="S195">
        <v>1</v>
      </c>
      <c r="T195">
        <v>-4.4569701522222198</v>
      </c>
      <c r="U195">
        <v>-4.3105555569999998</v>
      </c>
      <c r="V195">
        <v>1</v>
      </c>
      <c r="W195">
        <v>-4.8816780577777701</v>
      </c>
      <c r="X195">
        <v>-4.7590229910000001</v>
      </c>
      <c r="Y195">
        <v>1</v>
      </c>
      <c r="Z195">
        <v>-4.4514421707142802</v>
      </c>
      <c r="AA195">
        <v>-3.8601179586666601</v>
      </c>
      <c r="AB195">
        <v>1</v>
      </c>
      <c r="AC195">
        <v>-4.7205151446153799</v>
      </c>
      <c r="AD195">
        <v>-4.2297435924999904</v>
      </c>
      <c r="AE195">
        <v>1</v>
      </c>
      <c r="AF195">
        <v>-5.6794412758333301</v>
      </c>
      <c r="AG195">
        <v>-5.0522582242307603</v>
      </c>
      <c r="AH195">
        <v>1</v>
      </c>
      <c r="AI195">
        <v>-5.5588228122222203</v>
      </c>
      <c r="AJ195">
        <v>-5.3567328820000002</v>
      </c>
      <c r="AK195">
        <v>1</v>
      </c>
      <c r="AL195">
        <v>-5.7111854166666598</v>
      </c>
      <c r="AM195">
        <v>-5.4873442349999904</v>
      </c>
      <c r="AN195">
        <v>1</v>
      </c>
      <c r="AO195">
        <v>-3.4577650528571402</v>
      </c>
      <c r="AP195">
        <v>-3.1346595986666599</v>
      </c>
      <c r="AQ195">
        <v>1</v>
      </c>
      <c r="AR195">
        <v>-3.7303126323076898</v>
      </c>
      <c r="AS195">
        <v>-3.3341406664285702</v>
      </c>
      <c r="AT195">
        <v>1</v>
      </c>
      <c r="AU195">
        <v>-4.4171261333333298</v>
      </c>
      <c r="AV195">
        <v>-3.9671956900000001</v>
      </c>
      <c r="AW195">
        <v>1</v>
      </c>
      <c r="AX195">
        <v>-3.9751486388888799</v>
      </c>
      <c r="AY195">
        <v>-3.93615405399999</v>
      </c>
      <c r="AZ195">
        <v>1</v>
      </c>
      <c r="BA195">
        <v>-4.3703923977777697</v>
      </c>
      <c r="BB195">
        <v>-4.2529552480000001</v>
      </c>
      <c r="BC195">
        <v>1</v>
      </c>
      <c r="BD195">
        <v>-4.7920098585714204</v>
      </c>
      <c r="BE195">
        <v>-4.2297534813333302</v>
      </c>
      <c r="BF195">
        <v>1</v>
      </c>
      <c r="BG195">
        <v>-5.0463228199999897</v>
      </c>
      <c r="BH195">
        <v>-4.43824576928571</v>
      </c>
      <c r="BI195">
        <v>1</v>
      </c>
      <c r="BJ195">
        <v>-6.1760733974999997</v>
      </c>
      <c r="BK195">
        <v>-5.54192794384615</v>
      </c>
      <c r="BL195">
        <v>1</v>
      </c>
      <c r="BM195">
        <v>-6.0645032099999998</v>
      </c>
      <c r="BN195">
        <v>-5.8049073089999998</v>
      </c>
      <c r="BO195">
        <v>1</v>
      </c>
      <c r="BP195">
        <v>-6.38585165555555</v>
      </c>
      <c r="BQ195">
        <v>-6.0348392149999999</v>
      </c>
      <c r="BR195">
        <v>1</v>
      </c>
    </row>
    <row r="196" spans="1:70" x14ac:dyDescent="0.35">
      <c r="A196" t="s">
        <v>764</v>
      </c>
      <c r="B196" t="s">
        <v>54</v>
      </c>
      <c r="C196" t="s">
        <v>765</v>
      </c>
      <c r="D196">
        <v>0</v>
      </c>
      <c r="E196" t="s">
        <v>308</v>
      </c>
      <c r="F196" t="str">
        <f>INDEX([1]train_xl!$H:$H,MATCH(E196,[1]train_xl!$G:$G,0))</f>
        <v>the-of</v>
      </c>
      <c r="G196" t="str">
        <f>INDEX([1]train_xl!$I:$I,MATCH(E196,[1]train_xl!$G:$G,0))</f>
        <v>sim</v>
      </c>
      <c r="H196" t="str">
        <f>INDEX([1]train_xl!$V:$V,MATCH(E196,[1]train_xl!$G:$G,0))</f>
        <v>not</v>
      </c>
      <c r="I196" t="str">
        <f>INDEX([2]Sheet1!$L:$L,MATCH(E196,[2]Sheet1!$I:$I,0))</f>
        <v>intens</v>
      </c>
      <c r="K196">
        <v>-3.2605226706249999</v>
      </c>
      <c r="L196">
        <v>-3.6096441798235199</v>
      </c>
      <c r="M196">
        <v>1</v>
      </c>
      <c r="N196">
        <v>-3.3493295573333302</v>
      </c>
      <c r="O196">
        <v>-3.78240967364375</v>
      </c>
      <c r="P196">
        <v>1</v>
      </c>
      <c r="Q196">
        <v>-4.1086559041428501</v>
      </c>
      <c r="R196">
        <v>-4.3917956493333303</v>
      </c>
      <c r="S196">
        <v>1</v>
      </c>
      <c r="T196">
        <v>-4.0563664545454499</v>
      </c>
      <c r="U196">
        <v>-4.37696549333333</v>
      </c>
      <c r="V196">
        <v>1</v>
      </c>
      <c r="W196">
        <v>-4.2992245290908997</v>
      </c>
      <c r="X196">
        <v>-4.3858529083333302</v>
      </c>
      <c r="Y196">
        <v>1</v>
      </c>
      <c r="Z196">
        <v>-4.1668504618749997</v>
      </c>
      <c r="AA196">
        <v>-4.1245330894117602</v>
      </c>
      <c r="AB196">
        <v>0</v>
      </c>
      <c r="AC196">
        <v>-4.2990279197333301</v>
      </c>
      <c r="AD196">
        <v>-4.560767839375</v>
      </c>
      <c r="AE196">
        <v>1</v>
      </c>
      <c r="AF196">
        <v>-5.10267490571428</v>
      </c>
      <c r="AG196">
        <v>-5.1982411293333302</v>
      </c>
      <c r="AH196">
        <v>1</v>
      </c>
      <c r="AI196">
        <v>-5.3734739818181803</v>
      </c>
      <c r="AJ196">
        <v>-5.4032326416666603</v>
      </c>
      <c r="AK196">
        <v>1</v>
      </c>
      <c r="AL196">
        <v>-5.5487504090909097</v>
      </c>
      <c r="AM196">
        <v>-5.4740032416666597</v>
      </c>
      <c r="AN196">
        <v>0</v>
      </c>
      <c r="AO196">
        <v>-3.094422866875</v>
      </c>
      <c r="AP196">
        <v>-3.3222546335294099</v>
      </c>
      <c r="AQ196">
        <v>1</v>
      </c>
      <c r="AR196">
        <v>-2.9809134190666602</v>
      </c>
      <c r="AS196">
        <v>-3.3015755816249901</v>
      </c>
      <c r="AT196">
        <v>1</v>
      </c>
      <c r="AU196">
        <v>-3.6079919049999898</v>
      </c>
      <c r="AV196">
        <v>-3.71184966299999</v>
      </c>
      <c r="AW196">
        <v>1</v>
      </c>
      <c r="AX196">
        <v>-3.6334735572727199</v>
      </c>
      <c r="AY196">
        <v>-3.8738087141666599</v>
      </c>
      <c r="AZ196">
        <v>1</v>
      </c>
      <c r="BA196">
        <v>-3.8023324927272699</v>
      </c>
      <c r="BB196">
        <v>-3.8525363666666599</v>
      </c>
      <c r="BC196">
        <v>1</v>
      </c>
      <c r="BD196">
        <v>-3.8291949406249999</v>
      </c>
      <c r="BE196">
        <v>-4.0790623205882302</v>
      </c>
      <c r="BF196">
        <v>1</v>
      </c>
      <c r="BG196">
        <v>-3.8960939337333298</v>
      </c>
      <c r="BH196">
        <v>-4.5707753212500002</v>
      </c>
      <c r="BI196">
        <v>1</v>
      </c>
      <c r="BJ196">
        <v>-4.5741705709999998</v>
      </c>
      <c r="BK196">
        <v>-4.7342650079999897</v>
      </c>
      <c r="BL196">
        <v>1</v>
      </c>
      <c r="BM196">
        <v>-4.88172194090909</v>
      </c>
      <c r="BN196">
        <v>-4.9731800458333302</v>
      </c>
      <c r="BO196">
        <v>1</v>
      </c>
      <c r="BP196">
        <v>-4.9873195545454498</v>
      </c>
      <c r="BQ196">
        <v>-4.9690999833333303</v>
      </c>
      <c r="BR196">
        <v>0</v>
      </c>
    </row>
    <row r="197" spans="1:70" x14ac:dyDescent="0.35">
      <c r="A197" t="s">
        <v>766</v>
      </c>
      <c r="B197" t="s">
        <v>54</v>
      </c>
      <c r="C197" t="s">
        <v>765</v>
      </c>
      <c r="D197">
        <v>1</v>
      </c>
      <c r="E197" t="s">
        <v>309</v>
      </c>
      <c r="F197" t="str">
        <f>INDEX([1]train_xl!$H:$H,MATCH(E197,[1]train_xl!$G:$G,0))</f>
        <v>the-of</v>
      </c>
      <c r="G197" t="str">
        <f>INDEX([1]train_xl!$I:$I,MATCH(E197,[1]train_xl!$G:$G,0))</f>
        <v>sim</v>
      </c>
      <c r="H197" t="str">
        <f>INDEX([1]train_xl!$V:$V,MATCH(E197,[1]train_xl!$G:$G,0))</f>
        <v>not</v>
      </c>
      <c r="I197" t="str">
        <f>INDEX([2]Sheet1!$L:$L,MATCH(E197,[2]Sheet1!$I:$I,0))</f>
        <v>neg</v>
      </c>
      <c r="K197">
        <v>-3.9350850459666602</v>
      </c>
      <c r="L197">
        <v>-3.4229440914625</v>
      </c>
      <c r="M197">
        <v>1</v>
      </c>
      <c r="N197">
        <v>-4.1824912773214198</v>
      </c>
      <c r="O197">
        <v>-3.5931668489333299</v>
      </c>
      <c r="P197">
        <v>1</v>
      </c>
      <c r="Q197">
        <v>-5.0248268696153797</v>
      </c>
      <c r="R197">
        <v>-4.4462304979285703</v>
      </c>
      <c r="S197">
        <v>1</v>
      </c>
      <c r="T197">
        <v>-4.6519491799999999</v>
      </c>
      <c r="U197">
        <v>-4.2417212281818104</v>
      </c>
      <c r="V197">
        <v>1</v>
      </c>
      <c r="W197">
        <v>-4.8187638719999999</v>
      </c>
      <c r="X197">
        <v>-4.5149829772727204</v>
      </c>
      <c r="Y197">
        <v>1</v>
      </c>
      <c r="Z197">
        <v>-4.6501696376666599</v>
      </c>
      <c r="AA197">
        <v>-4.5016302593437496</v>
      </c>
      <c r="AB197">
        <v>1</v>
      </c>
      <c r="AC197">
        <v>-5.2251083018571398</v>
      </c>
      <c r="AD197">
        <v>-4.6731540401333298</v>
      </c>
      <c r="AE197">
        <v>1</v>
      </c>
      <c r="AF197">
        <v>-6.0041116876923004</v>
      </c>
      <c r="AG197">
        <v>-5.5015442849999996</v>
      </c>
      <c r="AH197">
        <v>1</v>
      </c>
      <c r="AI197">
        <v>-6.3021525279999899</v>
      </c>
      <c r="AJ197">
        <v>-5.8626343681818103</v>
      </c>
      <c r="AK197">
        <v>1</v>
      </c>
      <c r="AL197">
        <v>-6.3234022269999999</v>
      </c>
      <c r="AM197">
        <v>-5.9416529463636296</v>
      </c>
      <c r="AN197">
        <v>1</v>
      </c>
      <c r="AO197">
        <v>-3.9083516932666602</v>
      </c>
      <c r="AP197">
        <v>-3.4495131209999998</v>
      </c>
      <c r="AQ197">
        <v>1</v>
      </c>
      <c r="AR197">
        <v>-4.0824566249999998</v>
      </c>
      <c r="AS197">
        <v>-3.61591312153333</v>
      </c>
      <c r="AT197">
        <v>1</v>
      </c>
      <c r="AU197">
        <v>-4.7750917223076899</v>
      </c>
      <c r="AV197">
        <v>-4.3212298149999997</v>
      </c>
      <c r="AW197">
        <v>1</v>
      </c>
      <c r="AX197">
        <v>-4.4156973900000001</v>
      </c>
      <c r="AY197">
        <v>-4.1914207118181803</v>
      </c>
      <c r="AZ197">
        <v>1</v>
      </c>
      <c r="BA197">
        <v>-4.6933064839999998</v>
      </c>
      <c r="BB197">
        <v>-4.4406989763636302</v>
      </c>
      <c r="BC197">
        <v>1</v>
      </c>
      <c r="BD197">
        <v>-4.28922658246666</v>
      </c>
      <c r="BE197">
        <v>-3.9071071724375002</v>
      </c>
      <c r="BF197">
        <v>1</v>
      </c>
      <c r="BG197">
        <v>-4.5884327064285699</v>
      </c>
      <c r="BH197">
        <v>-4.4770842473999997</v>
      </c>
      <c r="BI197">
        <v>1</v>
      </c>
      <c r="BJ197">
        <v>-5.3356185265384601</v>
      </c>
      <c r="BK197">
        <v>-4.8900640742857098</v>
      </c>
      <c r="BL197">
        <v>1</v>
      </c>
      <c r="BM197">
        <v>-5.5416608070000004</v>
      </c>
      <c r="BN197">
        <v>-5.1592599363636298</v>
      </c>
      <c r="BO197">
        <v>1</v>
      </c>
      <c r="BP197">
        <v>-5.5520104200000002</v>
      </c>
      <c r="BQ197">
        <v>-5.1766744699999903</v>
      </c>
      <c r="BR197">
        <v>1</v>
      </c>
    </row>
    <row r="198" spans="1:70" x14ac:dyDescent="0.35">
      <c r="A198" t="s">
        <v>767</v>
      </c>
      <c r="B198" t="s">
        <v>768</v>
      </c>
      <c r="C198" t="s">
        <v>769</v>
      </c>
      <c r="D198">
        <v>0</v>
      </c>
      <c r="E198" t="s">
        <v>310</v>
      </c>
      <c r="F198" t="str">
        <f>INDEX([1]train_xl!$H:$H,MATCH(E198,[1]train_xl!$G:$G,0))</f>
        <v>as-as</v>
      </c>
      <c r="G198" t="str">
        <f>INDEX([1]train_xl!$I:$I,MATCH(E198,[1]train_xl!$G:$G,0))</f>
        <v>sim</v>
      </c>
      <c r="H198" t="str">
        <f>INDEX([1]train_xl!$V:$V,MATCH(E198,[1]train_xl!$G:$G,0))</f>
        <v>antonym</v>
      </c>
      <c r="I198" t="str">
        <f>INDEX([2]Sheet1!$L:$L,MATCH(E198,[2]Sheet1!$I:$I,0))</f>
        <v>intens</v>
      </c>
      <c r="K198">
        <v>-4.17583500611111</v>
      </c>
      <c r="L198">
        <v>-4.0989795259999999</v>
      </c>
      <c r="M198">
        <v>0</v>
      </c>
      <c r="N198">
        <v>-4.2436010953529397</v>
      </c>
      <c r="O198">
        <v>-4.1844031253157796</v>
      </c>
      <c r="P198">
        <v>0</v>
      </c>
      <c r="Q198">
        <v>-4.9642881139375001</v>
      </c>
      <c r="R198">
        <v>-4.7986354568333303</v>
      </c>
      <c r="S198">
        <v>0</v>
      </c>
      <c r="T198">
        <v>-5.2852308919230699</v>
      </c>
      <c r="U198">
        <v>-5.0921123984000003</v>
      </c>
      <c r="V198">
        <v>0</v>
      </c>
      <c r="W198">
        <v>-5.2824863857692304</v>
      </c>
      <c r="X198">
        <v>-4.9915613385333302</v>
      </c>
      <c r="Y198">
        <v>0</v>
      </c>
      <c r="Z198">
        <v>-3.1007264214444401</v>
      </c>
      <c r="AA198">
        <v>-3.1541184221999998</v>
      </c>
      <c r="AB198">
        <v>1</v>
      </c>
      <c r="AC198">
        <v>-3.1451758926470501</v>
      </c>
      <c r="AD198">
        <v>-3.1686637134210498</v>
      </c>
      <c r="AE198">
        <v>1</v>
      </c>
      <c r="AF198">
        <v>-3.7408729675000001</v>
      </c>
      <c r="AG198">
        <v>-3.6801629533333302</v>
      </c>
      <c r="AH198">
        <v>0</v>
      </c>
      <c r="AI198">
        <v>-3.7395133846153801</v>
      </c>
      <c r="AJ198">
        <v>-3.7432180286666599</v>
      </c>
      <c r="AK198">
        <v>1</v>
      </c>
      <c r="AL198">
        <v>-3.7378224515384599</v>
      </c>
      <c r="AM198">
        <v>-3.6140176766666601</v>
      </c>
      <c r="AN198">
        <v>0</v>
      </c>
      <c r="AO198">
        <v>-4.7954252588888799</v>
      </c>
      <c r="AP198">
        <v>-4.7790054624999998</v>
      </c>
      <c r="AQ198">
        <v>0</v>
      </c>
      <c r="AR198">
        <v>-4.6592793982352898</v>
      </c>
      <c r="AS198">
        <v>-4.61619883526315</v>
      </c>
      <c r="AT198">
        <v>0</v>
      </c>
      <c r="AU198">
        <v>-5.193553460625</v>
      </c>
      <c r="AV198">
        <v>-5.09858425749999</v>
      </c>
      <c r="AW198">
        <v>0</v>
      </c>
      <c r="AX198">
        <v>-6.0231211884615297</v>
      </c>
      <c r="AY198">
        <v>-5.6005404586666598</v>
      </c>
      <c r="AZ198">
        <v>0</v>
      </c>
      <c r="BA198">
        <v>-5.87001406538461</v>
      </c>
      <c r="BB198">
        <v>-5.5401081946666597</v>
      </c>
      <c r="BC198">
        <v>0</v>
      </c>
      <c r="BD198">
        <v>-3.18917215422222</v>
      </c>
      <c r="BE198">
        <v>-3.3016822897999898</v>
      </c>
      <c r="BF198">
        <v>1</v>
      </c>
      <c r="BG198">
        <v>-3.25524383117647</v>
      </c>
      <c r="BH198">
        <v>-3.3176164075789401</v>
      </c>
      <c r="BI198">
        <v>1</v>
      </c>
      <c r="BJ198">
        <v>-3.8536779318750001</v>
      </c>
      <c r="BK198">
        <v>-3.8575291811111101</v>
      </c>
      <c r="BL198">
        <v>1</v>
      </c>
      <c r="BM198">
        <v>-3.9044825776923</v>
      </c>
      <c r="BN198">
        <v>-3.9638510686666599</v>
      </c>
      <c r="BO198">
        <v>1</v>
      </c>
      <c r="BP198">
        <v>-3.9559603584615299</v>
      </c>
      <c r="BQ198">
        <v>-3.81427219733333</v>
      </c>
      <c r="BR198">
        <v>0</v>
      </c>
    </row>
    <row r="199" spans="1:70" x14ac:dyDescent="0.35">
      <c r="A199" t="s">
        <v>770</v>
      </c>
      <c r="B199" t="s">
        <v>768</v>
      </c>
      <c r="C199" t="s">
        <v>769</v>
      </c>
      <c r="D199">
        <v>1</v>
      </c>
      <c r="E199" t="s">
        <v>311</v>
      </c>
      <c r="F199" t="str">
        <f>INDEX([1]train_xl!$H:$H,MATCH(E199,[1]train_xl!$G:$G,0))</f>
        <v>as-as</v>
      </c>
      <c r="G199" t="str">
        <f>INDEX([1]train_xl!$I:$I,MATCH(E199,[1]train_xl!$G:$G,0))</f>
        <v>sim</v>
      </c>
      <c r="H199" t="str">
        <f>INDEX([1]train_xl!$V:$V,MATCH(E199,[1]train_xl!$G:$G,0))</f>
        <v>antonym</v>
      </c>
      <c r="I199" t="str">
        <f>INDEX([2]Sheet1!$L:$L,MATCH(E199,[2]Sheet1!$I:$I,0))</f>
        <v>neg</v>
      </c>
      <c r="K199">
        <v>-3.9463878002222201</v>
      </c>
      <c r="L199">
        <v>-3.4635452267</v>
      </c>
      <c r="M199">
        <v>1</v>
      </c>
      <c r="N199">
        <v>-4.0503999787058804</v>
      </c>
      <c r="O199">
        <v>-3.4669361931421001</v>
      </c>
      <c r="P199">
        <v>1</v>
      </c>
      <c r="Q199">
        <v>-4.7857139290625001</v>
      </c>
      <c r="R199">
        <v>-4.1363165486111102</v>
      </c>
      <c r="S199">
        <v>1</v>
      </c>
      <c r="T199">
        <v>-5.03112943076923</v>
      </c>
      <c r="U199">
        <v>-4.2538360380000002</v>
      </c>
      <c r="V199">
        <v>1</v>
      </c>
      <c r="W199">
        <v>-4.9003768038461502</v>
      </c>
      <c r="X199">
        <v>-4.3652622825333296</v>
      </c>
      <c r="Y199">
        <v>1</v>
      </c>
      <c r="Z199">
        <v>-3.0833547727777701</v>
      </c>
      <c r="AA199">
        <v>-2.71285359849999</v>
      </c>
      <c r="AB199">
        <v>1</v>
      </c>
      <c r="AC199">
        <v>-3.1953879411764698</v>
      </c>
      <c r="AD199">
        <v>-2.6978800015789401</v>
      </c>
      <c r="AE199">
        <v>1</v>
      </c>
      <c r="AF199">
        <v>-3.7935729568749998</v>
      </c>
      <c r="AG199">
        <v>-3.2586747061111101</v>
      </c>
      <c r="AH199">
        <v>1</v>
      </c>
      <c r="AI199">
        <v>-3.8422131561538402</v>
      </c>
      <c r="AJ199">
        <v>-3.178565088</v>
      </c>
      <c r="AK199">
        <v>1</v>
      </c>
      <c r="AL199">
        <v>-3.6468604323076899</v>
      </c>
      <c r="AM199">
        <v>-3.23303253733333</v>
      </c>
      <c r="AN199">
        <v>1</v>
      </c>
      <c r="AO199">
        <v>-4.9415687194444402</v>
      </c>
      <c r="AP199">
        <v>-4.3724717149999996</v>
      </c>
      <c r="AQ199">
        <v>1</v>
      </c>
      <c r="AR199">
        <v>-4.87583357094117</v>
      </c>
      <c r="AS199">
        <v>-4.2460802541578904</v>
      </c>
      <c r="AT199">
        <v>1</v>
      </c>
      <c r="AU199">
        <v>-5.5519291949999996</v>
      </c>
      <c r="AV199">
        <v>-4.8267594141666601</v>
      </c>
      <c r="AW199">
        <v>1</v>
      </c>
      <c r="AX199">
        <v>-6.3400838946153799</v>
      </c>
      <c r="AY199">
        <v>-5.4558648740000004</v>
      </c>
      <c r="AZ199">
        <v>1</v>
      </c>
      <c r="BA199">
        <v>-5.93120447538461</v>
      </c>
      <c r="BB199">
        <v>-5.2270647180000003</v>
      </c>
      <c r="BC199">
        <v>1</v>
      </c>
      <c r="BD199">
        <v>-3.1862853255555499</v>
      </c>
      <c r="BE199">
        <v>-2.81157016</v>
      </c>
      <c r="BF199">
        <v>1</v>
      </c>
      <c r="BG199">
        <v>-3.25944997647058</v>
      </c>
      <c r="BH199">
        <v>-2.7845113241052601</v>
      </c>
      <c r="BI199">
        <v>1</v>
      </c>
      <c r="BJ199">
        <v>-3.8459519091249899</v>
      </c>
      <c r="BK199">
        <v>-3.33937418388888</v>
      </c>
      <c r="BL199">
        <v>1</v>
      </c>
      <c r="BM199">
        <v>-4.0589676623076896</v>
      </c>
      <c r="BN199">
        <v>-3.3235162433333301</v>
      </c>
      <c r="BO199">
        <v>1</v>
      </c>
      <c r="BP199">
        <v>-3.7681183861538399</v>
      </c>
      <c r="BQ199">
        <v>-3.35758069999999</v>
      </c>
      <c r="BR199">
        <v>1</v>
      </c>
    </row>
    <row r="200" spans="1:70" x14ac:dyDescent="0.35">
      <c r="A200" t="s">
        <v>771</v>
      </c>
      <c r="B200" t="s">
        <v>772</v>
      </c>
      <c r="C200" t="s">
        <v>773</v>
      </c>
      <c r="D200">
        <v>0</v>
      </c>
      <c r="E200" t="s">
        <v>312</v>
      </c>
      <c r="F200" t="str">
        <f>INDEX([1]train_xl!$H:$H,MATCH(E200,[1]train_xl!$G:$G,0))</f>
        <v>the-of</v>
      </c>
      <c r="G200" t="str">
        <f>INDEX([1]train_xl!$I:$I,MATCH(E200,[1]train_xl!$G:$G,0))</f>
        <v>sim</v>
      </c>
      <c r="H200" t="str">
        <f>INDEX([1]train_xl!$V:$V,MATCH(E200,[1]train_xl!$G:$G,0))</f>
        <v>not</v>
      </c>
      <c r="I200" t="str">
        <f>INDEX([2]Sheet1!$L:$L,MATCH(E200,[2]Sheet1!$I:$I,0))</f>
        <v>intens</v>
      </c>
      <c r="K200">
        <v>-3.37143440249999</v>
      </c>
      <c r="L200">
        <v>-3.56770535513333</v>
      </c>
      <c r="M200">
        <v>1</v>
      </c>
      <c r="N200">
        <v>-3.5654539788461501</v>
      </c>
      <c r="O200">
        <v>-3.79646131671428</v>
      </c>
      <c r="P200">
        <v>1</v>
      </c>
      <c r="Q200">
        <v>-4.4674593739166601</v>
      </c>
      <c r="R200">
        <v>-4.6879028813076902</v>
      </c>
      <c r="S200">
        <v>1</v>
      </c>
      <c r="T200">
        <v>-4.51995104444444</v>
      </c>
      <c r="U200">
        <v>-4.6239577409999999</v>
      </c>
      <c r="V200">
        <v>1</v>
      </c>
      <c r="W200">
        <v>-4.8849056633333303</v>
      </c>
      <c r="X200">
        <v>-4.8511638020000003</v>
      </c>
      <c r="Y200">
        <v>0</v>
      </c>
      <c r="Z200">
        <v>-5.2136601359285697</v>
      </c>
      <c r="AA200">
        <v>-5.2119971066666597</v>
      </c>
      <c r="AB200">
        <v>0</v>
      </c>
      <c r="AC200">
        <v>-5.6805760373076897</v>
      </c>
      <c r="AD200">
        <v>-5.6523338846428501</v>
      </c>
      <c r="AE200">
        <v>0</v>
      </c>
      <c r="AF200">
        <v>-6.9477056883333299</v>
      </c>
      <c r="AG200">
        <v>-6.8570574738461501</v>
      </c>
      <c r="AH200">
        <v>0</v>
      </c>
      <c r="AI200">
        <v>-7.3700760599999997</v>
      </c>
      <c r="AJ200">
        <v>-7.05148274</v>
      </c>
      <c r="AK200">
        <v>0</v>
      </c>
      <c r="AL200">
        <v>-7.5059483</v>
      </c>
      <c r="AM200">
        <v>-7.1259042900000003</v>
      </c>
      <c r="AN200">
        <v>0</v>
      </c>
      <c r="AO200">
        <v>-7.7404045528571404</v>
      </c>
      <c r="AP200">
        <v>-7.5800429969333303</v>
      </c>
      <c r="AQ200">
        <v>0</v>
      </c>
      <c r="AR200">
        <v>-8.4424032682307608</v>
      </c>
      <c r="AS200">
        <v>-8.1334679140714208</v>
      </c>
      <c r="AT200">
        <v>0</v>
      </c>
      <c r="AU200">
        <v>-9.6144767799999897</v>
      </c>
      <c r="AV200">
        <v>-9.1675664546153808</v>
      </c>
      <c r="AW200">
        <v>0</v>
      </c>
      <c r="AX200">
        <v>-11.235511266666601</v>
      </c>
      <c r="AY200">
        <v>-10.577652690000001</v>
      </c>
      <c r="AZ200">
        <v>0</v>
      </c>
      <c r="BA200">
        <v>-11.431850384444401</v>
      </c>
      <c r="BB200">
        <v>-10.708274124000001</v>
      </c>
      <c r="BC200">
        <v>0</v>
      </c>
      <c r="BD200">
        <v>-4.6950584378571403</v>
      </c>
      <c r="BE200">
        <v>-4.7654099482000003</v>
      </c>
      <c r="BF200">
        <v>1</v>
      </c>
      <c r="BG200">
        <v>-5.1455043371538398</v>
      </c>
      <c r="BH200">
        <v>-4.9304148421428504</v>
      </c>
      <c r="BI200">
        <v>0</v>
      </c>
      <c r="BJ200">
        <v>-6.3146732349999999</v>
      </c>
      <c r="BK200">
        <v>-6.27830568615384</v>
      </c>
      <c r="BL200">
        <v>0</v>
      </c>
      <c r="BM200">
        <v>-6.5909346411111098</v>
      </c>
      <c r="BN200">
        <v>-6.39171785</v>
      </c>
      <c r="BO200">
        <v>0</v>
      </c>
      <c r="BP200">
        <v>-6.3434317666666598</v>
      </c>
      <c r="BQ200">
        <v>-6.3504989399999996</v>
      </c>
      <c r="BR200">
        <v>1</v>
      </c>
    </row>
    <row r="201" spans="1:70" x14ac:dyDescent="0.35">
      <c r="A201" t="s">
        <v>774</v>
      </c>
      <c r="B201" t="s">
        <v>772</v>
      </c>
      <c r="C201" t="s">
        <v>773</v>
      </c>
      <c r="D201">
        <v>1</v>
      </c>
      <c r="E201" t="s">
        <v>313</v>
      </c>
      <c r="F201" t="str">
        <f>INDEX([1]train_xl!$H:$H,MATCH(E201,[1]train_xl!$G:$G,0))</f>
        <v>the-of</v>
      </c>
      <c r="G201" t="str">
        <f>INDEX([1]train_xl!$I:$I,MATCH(E201,[1]train_xl!$G:$G,0))</f>
        <v>sim</v>
      </c>
      <c r="H201" t="str">
        <f>INDEX([1]train_xl!$V:$V,MATCH(E201,[1]train_xl!$G:$G,0))</f>
        <v>not</v>
      </c>
      <c r="I201" t="str">
        <f>INDEX([2]Sheet1!$L:$L,MATCH(E201,[2]Sheet1!$I:$I,0))</f>
        <v>neg</v>
      </c>
      <c r="K201">
        <v>-3.4058160346799999</v>
      </c>
      <c r="L201">
        <v>-2.9486260641249902</v>
      </c>
      <c r="M201">
        <v>1</v>
      </c>
      <c r="N201">
        <v>-3.55864347487142</v>
      </c>
      <c r="O201">
        <v>-3.0525405630133302</v>
      </c>
      <c r="P201">
        <v>1</v>
      </c>
      <c r="Q201">
        <v>-4.3614045829384596</v>
      </c>
      <c r="R201">
        <v>-3.8116762597999898</v>
      </c>
      <c r="S201">
        <v>1</v>
      </c>
      <c r="T201">
        <v>-4.3356198212199901</v>
      </c>
      <c r="U201">
        <v>-3.8895524314727199</v>
      </c>
      <c r="V201">
        <v>1</v>
      </c>
      <c r="W201">
        <v>-4.3270158222199901</v>
      </c>
      <c r="X201">
        <v>-4.1009845787454502</v>
      </c>
      <c r="Y201">
        <v>1</v>
      </c>
      <c r="Z201">
        <v>-5.1819558470666598</v>
      </c>
      <c r="AA201">
        <v>-4.7035919607499999</v>
      </c>
      <c r="AB201">
        <v>1</v>
      </c>
      <c r="AC201">
        <v>-5.53802676728571</v>
      </c>
      <c r="AD201">
        <v>-4.9344815597333298</v>
      </c>
      <c r="AE201">
        <v>1</v>
      </c>
      <c r="AF201">
        <v>-6.4861365476922996</v>
      </c>
      <c r="AG201">
        <v>-5.8404286887142796</v>
      </c>
      <c r="AH201">
        <v>1</v>
      </c>
      <c r="AI201">
        <v>-6.8866291361999998</v>
      </c>
      <c r="AJ201">
        <v>-6.16546708272727</v>
      </c>
      <c r="AK201">
        <v>1</v>
      </c>
      <c r="AL201">
        <v>-6.9322996821999903</v>
      </c>
      <c r="AM201">
        <v>-6.3312033054545402</v>
      </c>
      <c r="AN201">
        <v>1</v>
      </c>
      <c r="AO201">
        <v>-7.7729791671999999</v>
      </c>
      <c r="AP201">
        <v>-7.1273364723750001</v>
      </c>
      <c r="AQ201">
        <v>1</v>
      </c>
      <c r="AR201">
        <v>-8.2684676924999998</v>
      </c>
      <c r="AS201">
        <v>-7.5316601356000001</v>
      </c>
      <c r="AT201">
        <v>1</v>
      </c>
      <c r="AU201">
        <v>-9.3719722240769201</v>
      </c>
      <c r="AV201">
        <v>-8.5572262232142808</v>
      </c>
      <c r="AW201">
        <v>1</v>
      </c>
      <c r="AX201">
        <v>-10.608818207499899</v>
      </c>
      <c r="AY201">
        <v>-9.4666782739090891</v>
      </c>
      <c r="AZ201">
        <v>1</v>
      </c>
      <c r="BA201">
        <v>-10.473733903499999</v>
      </c>
      <c r="BB201">
        <v>-9.5481479920909091</v>
      </c>
      <c r="BC201">
        <v>1</v>
      </c>
      <c r="BD201">
        <v>-4.5942453379333301</v>
      </c>
      <c r="BE201">
        <v>-4.1206386563750002</v>
      </c>
      <c r="BF201">
        <v>1</v>
      </c>
      <c r="BG201">
        <v>-4.9167746074285699</v>
      </c>
      <c r="BH201">
        <v>-4.3408575571333303</v>
      </c>
      <c r="BI201">
        <v>1</v>
      </c>
      <c r="BJ201">
        <v>-5.8276237263846102</v>
      </c>
      <c r="BK201">
        <v>-5.1791628092857103</v>
      </c>
      <c r="BL201">
        <v>1</v>
      </c>
      <c r="BM201">
        <v>-6.0738802449999998</v>
      </c>
      <c r="BN201">
        <v>-5.4330492045454504</v>
      </c>
      <c r="BO201">
        <v>1</v>
      </c>
      <c r="BP201">
        <v>-6.0336657489999901</v>
      </c>
      <c r="BQ201">
        <v>-5.5076939775454496</v>
      </c>
      <c r="BR201">
        <v>1</v>
      </c>
    </row>
    <row r="202" spans="1:70" x14ac:dyDescent="0.35">
      <c r="A202" t="s">
        <v>775</v>
      </c>
      <c r="B202" t="s">
        <v>776</v>
      </c>
      <c r="C202" t="s">
        <v>777</v>
      </c>
      <c r="D202">
        <v>0</v>
      </c>
      <c r="E202" t="s">
        <v>314</v>
      </c>
      <c r="F202" t="str">
        <f>INDEX([1]train_xl!$H:$H,MATCH(E202,[1]train_xl!$G:$G,0))</f>
        <v>as-as</v>
      </c>
      <c r="G202" t="str">
        <f>INDEX([1]train_xl!$I:$I,MATCH(E202,[1]train_xl!$G:$G,0))</f>
        <v>sim</v>
      </c>
      <c r="H202" t="str">
        <f>INDEX([1]train_xl!$V:$V,MATCH(E202,[1]train_xl!$G:$G,0))</f>
        <v>antonym</v>
      </c>
      <c r="I202" t="str">
        <f>INDEX([2]Sheet1!$L:$L,MATCH(E202,[2]Sheet1!$I:$I,0))</f>
        <v>intens</v>
      </c>
      <c r="K202">
        <v>-3.6618680223846098</v>
      </c>
      <c r="L202">
        <v>-3.5143385687333302</v>
      </c>
      <c r="M202">
        <v>0</v>
      </c>
      <c r="N202">
        <v>-3.9707797488916601</v>
      </c>
      <c r="O202">
        <v>-3.67723030119285</v>
      </c>
      <c r="P202">
        <v>0</v>
      </c>
      <c r="Q202">
        <v>-5.0296000826363603</v>
      </c>
      <c r="R202">
        <v>-4.5619514006923003</v>
      </c>
      <c r="S202">
        <v>0</v>
      </c>
      <c r="T202">
        <v>-4.8285520999999996</v>
      </c>
      <c r="U202">
        <v>-4.5316542549999896</v>
      </c>
      <c r="V202">
        <v>0</v>
      </c>
      <c r="W202">
        <v>-5.4892914499999996</v>
      </c>
      <c r="X202">
        <v>-4.6873147799999897</v>
      </c>
      <c r="Y202">
        <v>0</v>
      </c>
      <c r="Z202">
        <v>-3.8328319841538399</v>
      </c>
      <c r="AA202">
        <v>-3.7329885759999901</v>
      </c>
      <c r="AB202">
        <v>0</v>
      </c>
      <c r="AC202">
        <v>-4.1583878628333304</v>
      </c>
      <c r="AD202">
        <v>-3.94810586814285</v>
      </c>
      <c r="AE202">
        <v>0</v>
      </c>
      <c r="AF202">
        <v>-4.8990627054545399</v>
      </c>
      <c r="AG202">
        <v>-4.5800606092307596</v>
      </c>
      <c r="AH202">
        <v>0</v>
      </c>
      <c r="AI202">
        <v>-4.9461599562499998</v>
      </c>
      <c r="AJ202">
        <v>-4.7764757549999999</v>
      </c>
      <c r="AK202">
        <v>0</v>
      </c>
      <c r="AL202">
        <v>-5.4442882624999998</v>
      </c>
      <c r="AM202">
        <v>-4.8644758599999998</v>
      </c>
      <c r="AN202">
        <v>0</v>
      </c>
      <c r="AO202">
        <v>-4.1853291461538404</v>
      </c>
      <c r="AP202">
        <v>-4.0199784593333296</v>
      </c>
      <c r="AQ202">
        <v>0</v>
      </c>
      <c r="AR202">
        <v>-4.1669405250000002</v>
      </c>
      <c r="AS202">
        <v>-3.9522374500000002</v>
      </c>
      <c r="AT202">
        <v>0</v>
      </c>
      <c r="AU202">
        <v>-5.2297582881818103</v>
      </c>
      <c r="AV202">
        <v>-4.7831239592307604</v>
      </c>
      <c r="AW202">
        <v>0</v>
      </c>
      <c r="AX202">
        <v>-5.6053508025000003</v>
      </c>
      <c r="AY202">
        <v>-5.3426946669999902</v>
      </c>
      <c r="AZ202">
        <v>0</v>
      </c>
      <c r="BA202">
        <v>-6.1675147024999903</v>
      </c>
      <c r="BB202">
        <v>-5.4623761419999903</v>
      </c>
      <c r="BC202">
        <v>0</v>
      </c>
      <c r="BD202">
        <v>-4.1836886576922998</v>
      </c>
      <c r="BE202">
        <v>-4.0084067299999999</v>
      </c>
      <c r="BF202">
        <v>0</v>
      </c>
      <c r="BG202">
        <v>-4.6144872030000004</v>
      </c>
      <c r="BH202">
        <v>-4.3408001239999896</v>
      </c>
      <c r="BI202">
        <v>0</v>
      </c>
      <c r="BJ202">
        <v>-5.3625848181818103</v>
      </c>
      <c r="BK202">
        <v>-4.9606537946153804</v>
      </c>
      <c r="BL202">
        <v>0</v>
      </c>
      <c r="BM202">
        <v>-5.5814933</v>
      </c>
      <c r="BN202">
        <v>-5.343150617</v>
      </c>
      <c r="BO202">
        <v>0</v>
      </c>
      <c r="BP202">
        <v>-6.187681875</v>
      </c>
      <c r="BQ202">
        <v>-5.5248320700000004</v>
      </c>
      <c r="BR202">
        <v>0</v>
      </c>
    </row>
    <row r="203" spans="1:70" x14ac:dyDescent="0.35">
      <c r="A203" t="s">
        <v>778</v>
      </c>
      <c r="B203" t="s">
        <v>776</v>
      </c>
      <c r="C203" t="s">
        <v>777</v>
      </c>
      <c r="D203">
        <v>1</v>
      </c>
      <c r="E203" t="s">
        <v>315</v>
      </c>
      <c r="F203" t="str">
        <f>INDEX([1]train_xl!$H:$H,MATCH(E203,[1]train_xl!$G:$G,0))</f>
        <v>as-as</v>
      </c>
      <c r="G203" t="str">
        <f>INDEX([1]train_xl!$I:$I,MATCH(E203,[1]train_xl!$G:$G,0))</f>
        <v>sim</v>
      </c>
      <c r="H203" t="str">
        <f>INDEX([1]train_xl!$V:$V,MATCH(E203,[1]train_xl!$G:$G,0))</f>
        <v>antonym</v>
      </c>
      <c r="I203" t="str">
        <f>INDEX([2]Sheet1!$L:$L,MATCH(E203,[2]Sheet1!$I:$I,0))</f>
        <v>neg</v>
      </c>
      <c r="K203">
        <v>-3.7049424379230702</v>
      </c>
      <c r="L203">
        <v>-3.2578825022000002</v>
      </c>
      <c r="M203">
        <v>1</v>
      </c>
      <c r="N203">
        <v>-4.0277986290833301</v>
      </c>
      <c r="O203">
        <v>-3.3628269370714201</v>
      </c>
      <c r="P203">
        <v>1</v>
      </c>
      <c r="Q203">
        <v>-4.9717998147272704</v>
      </c>
      <c r="R203">
        <v>-4.1155210155384596</v>
      </c>
      <c r="S203">
        <v>1</v>
      </c>
      <c r="T203">
        <v>-5.1435902850000002</v>
      </c>
      <c r="U203">
        <v>-4.1857287200000002</v>
      </c>
      <c r="V203">
        <v>1</v>
      </c>
      <c r="W203">
        <v>-5.4642698349999996</v>
      </c>
      <c r="X203">
        <v>-4.3854504479999896</v>
      </c>
      <c r="Y203">
        <v>1</v>
      </c>
      <c r="Z203">
        <v>-3.8468162607692298</v>
      </c>
      <c r="AA203">
        <v>-3.3827319546666601</v>
      </c>
      <c r="AB203">
        <v>1</v>
      </c>
      <c r="AC203">
        <v>-3.9900359074999998</v>
      </c>
      <c r="AD203">
        <v>-3.5476941235714201</v>
      </c>
      <c r="AE203">
        <v>1</v>
      </c>
      <c r="AF203">
        <v>-4.9304347654545397</v>
      </c>
      <c r="AG203">
        <v>-4.2925984238461501</v>
      </c>
      <c r="AH203">
        <v>1</v>
      </c>
      <c r="AI203">
        <v>-4.9079926875000002</v>
      </c>
      <c r="AJ203">
        <v>-4.1852021659999998</v>
      </c>
      <c r="AK203">
        <v>1</v>
      </c>
      <c r="AL203">
        <v>-5.2071753999999997</v>
      </c>
      <c r="AM203">
        <v>-4.3289746569999998</v>
      </c>
      <c r="AN203">
        <v>1</v>
      </c>
      <c r="AO203">
        <v>-4.5290420720000002</v>
      </c>
      <c r="AP203">
        <v>-3.8644322950666599</v>
      </c>
      <c r="AQ203">
        <v>1</v>
      </c>
      <c r="AR203">
        <v>-4.6945283624999998</v>
      </c>
      <c r="AS203">
        <v>-3.8770037954285699</v>
      </c>
      <c r="AT203">
        <v>1</v>
      </c>
      <c r="AU203">
        <v>-5.6394045190908999</v>
      </c>
      <c r="AV203">
        <v>-4.6644616953846096</v>
      </c>
      <c r="AW203">
        <v>1</v>
      </c>
      <c r="AX203">
        <v>-6.0237715512500003</v>
      </c>
      <c r="AY203">
        <v>-5.3374882350000004</v>
      </c>
      <c r="AZ203">
        <v>1</v>
      </c>
      <c r="BA203">
        <v>-6.6704490574999999</v>
      </c>
      <c r="BB203">
        <v>-5.8151073499999999</v>
      </c>
      <c r="BC203">
        <v>1</v>
      </c>
      <c r="BD203">
        <v>-4.3286577484615298</v>
      </c>
      <c r="BE203">
        <v>-3.8796485106666601</v>
      </c>
      <c r="BF203">
        <v>1</v>
      </c>
      <c r="BG203">
        <v>-4.6558113883333299</v>
      </c>
      <c r="BH203">
        <v>-4.1522209114285697</v>
      </c>
      <c r="BI203">
        <v>1</v>
      </c>
      <c r="BJ203">
        <v>-5.60324022272727</v>
      </c>
      <c r="BK203">
        <v>-4.8169805153846097</v>
      </c>
      <c r="BL203">
        <v>1</v>
      </c>
      <c r="BM203">
        <v>-5.7312932624999897</v>
      </c>
      <c r="BN203">
        <v>-4.8772014339999998</v>
      </c>
      <c r="BO203">
        <v>1</v>
      </c>
      <c r="BP203">
        <v>-6.1667085625000002</v>
      </c>
      <c r="BQ203">
        <v>-5.10234729</v>
      </c>
      <c r="BR203">
        <v>1</v>
      </c>
    </row>
    <row r="204" spans="1:70" x14ac:dyDescent="0.35">
      <c r="A204" t="s">
        <v>779</v>
      </c>
      <c r="B204" t="s">
        <v>780</v>
      </c>
      <c r="C204" t="s">
        <v>781</v>
      </c>
      <c r="D204">
        <v>0</v>
      </c>
      <c r="E204" t="s">
        <v>316</v>
      </c>
      <c r="F204" t="str">
        <f>INDEX([1]train_xl!$H:$H,MATCH(E204,[1]train_xl!$G:$G,0))</f>
        <v>the-of</v>
      </c>
      <c r="G204" t="str">
        <f>INDEX([1]train_xl!$I:$I,MATCH(E204,[1]train_xl!$G:$G,0))</f>
        <v>sim</v>
      </c>
      <c r="H204" t="str">
        <f>INDEX([1]train_xl!$V:$V,MATCH(E204,[1]train_xl!$G:$G,0))</f>
        <v>not</v>
      </c>
      <c r="I204" t="str">
        <f>INDEX([2]Sheet1!$L:$L,MATCH(E204,[2]Sheet1!$I:$I,0))</f>
        <v>intens</v>
      </c>
      <c r="K204">
        <v>-3.8545925699285699</v>
      </c>
      <c r="L204">
        <v>-3.9381491255933301</v>
      </c>
      <c r="M204">
        <v>1</v>
      </c>
      <c r="N204">
        <v>-4.0986726214615299</v>
      </c>
      <c r="O204">
        <v>-4.1847962887857104</v>
      </c>
      <c r="P204">
        <v>1</v>
      </c>
      <c r="Q204">
        <v>-4.8650339358333303</v>
      </c>
      <c r="R204">
        <v>-4.8718486405384596</v>
      </c>
      <c r="S204">
        <v>1</v>
      </c>
      <c r="T204">
        <v>-4.8606110666666602</v>
      </c>
      <c r="U204">
        <v>-5.0140878529999897</v>
      </c>
      <c r="V204">
        <v>1</v>
      </c>
      <c r="W204">
        <v>-5.46971159555555</v>
      </c>
      <c r="X204">
        <v>-5.4471734249999901</v>
      </c>
      <c r="Y204">
        <v>0</v>
      </c>
      <c r="Z204">
        <v>-5.0681924215714202</v>
      </c>
      <c r="AA204">
        <v>-5.0206491197333296</v>
      </c>
      <c r="AB204">
        <v>0</v>
      </c>
      <c r="AC204">
        <v>-5.3488616238461502</v>
      </c>
      <c r="AD204">
        <v>-5.3617217549999996</v>
      </c>
      <c r="AE204">
        <v>1</v>
      </c>
      <c r="AF204">
        <v>-6.17688318666666</v>
      </c>
      <c r="AG204">
        <v>-6.0528256823076898</v>
      </c>
      <c r="AH204">
        <v>0</v>
      </c>
      <c r="AI204">
        <v>-6.5702579055555503</v>
      </c>
      <c r="AJ204">
        <v>-6.4488766220000002</v>
      </c>
      <c r="AK204">
        <v>0</v>
      </c>
      <c r="AL204">
        <v>-7.1116584599999904</v>
      </c>
      <c r="AM204">
        <v>-6.8774457439999903</v>
      </c>
      <c r="AN204">
        <v>0</v>
      </c>
      <c r="AO204">
        <v>-3.71905344221428</v>
      </c>
      <c r="AP204">
        <v>-3.71930467173333</v>
      </c>
      <c r="AQ204">
        <v>1</v>
      </c>
      <c r="AR204">
        <v>-3.6842905972307598</v>
      </c>
      <c r="AS204">
        <v>-3.8087711832857098</v>
      </c>
      <c r="AT204">
        <v>1</v>
      </c>
      <c r="AU204">
        <v>-4.2917836483333298</v>
      </c>
      <c r="AV204">
        <v>-4.2693836430769201</v>
      </c>
      <c r="AW204">
        <v>0</v>
      </c>
      <c r="AX204">
        <v>-4.3476870644444396</v>
      </c>
      <c r="AY204">
        <v>-4.4593960959999999</v>
      </c>
      <c r="AZ204">
        <v>1</v>
      </c>
      <c r="BA204">
        <v>-4.7523212555555503</v>
      </c>
      <c r="BB204">
        <v>-4.6603358400000001</v>
      </c>
      <c r="BC204">
        <v>0</v>
      </c>
      <c r="BD204">
        <v>-4.9920672156428498</v>
      </c>
      <c r="BE204">
        <v>-5.0684557936666597</v>
      </c>
      <c r="BF204">
        <v>1</v>
      </c>
      <c r="BG204">
        <v>-5.3735338918461499</v>
      </c>
      <c r="BH204">
        <v>-5.5226839392857103</v>
      </c>
      <c r="BI204">
        <v>1</v>
      </c>
      <c r="BJ204">
        <v>-6.0923022849999997</v>
      </c>
      <c r="BK204">
        <v>-6.0190968526923001</v>
      </c>
      <c r="BL204">
        <v>0</v>
      </c>
      <c r="BM204">
        <v>-6.5076721122222203</v>
      </c>
      <c r="BN204">
        <v>-6.4350432699999898</v>
      </c>
      <c r="BO204">
        <v>0</v>
      </c>
      <c r="BP204">
        <v>-7.1439910333333296</v>
      </c>
      <c r="BQ204">
        <v>-6.9230466699999997</v>
      </c>
      <c r="BR204">
        <v>0</v>
      </c>
    </row>
    <row r="205" spans="1:70" x14ac:dyDescent="0.35">
      <c r="A205" t="s">
        <v>782</v>
      </c>
      <c r="B205" t="s">
        <v>780</v>
      </c>
      <c r="C205" t="s">
        <v>781</v>
      </c>
      <c r="D205">
        <v>1</v>
      </c>
      <c r="E205" t="s">
        <v>317</v>
      </c>
      <c r="F205" t="str">
        <f>INDEX([1]train_xl!$H:$H,MATCH(E205,[1]train_xl!$G:$G,0))</f>
        <v>the-of</v>
      </c>
      <c r="G205" t="str">
        <f>INDEX([1]train_xl!$I:$I,MATCH(E205,[1]train_xl!$G:$G,0))</f>
        <v>sim</v>
      </c>
      <c r="H205" t="str">
        <f>INDEX([1]train_xl!$V:$V,MATCH(E205,[1]train_xl!$G:$G,0))</f>
        <v>not</v>
      </c>
      <c r="I205" t="str">
        <f>INDEX([2]Sheet1!$L:$L,MATCH(E205,[2]Sheet1!$I:$I,0))</f>
        <v>neg</v>
      </c>
      <c r="K205">
        <v>-4.1717999651133297</v>
      </c>
      <c r="L205">
        <v>-3.7979236342937401</v>
      </c>
      <c r="M205">
        <v>1</v>
      </c>
      <c r="N205">
        <v>-4.4098290342142796</v>
      </c>
      <c r="O205">
        <v>-3.8462288083666598</v>
      </c>
      <c r="P205">
        <v>1</v>
      </c>
      <c r="Q205">
        <v>-5.1258761877692303</v>
      </c>
      <c r="R205">
        <v>-4.5646788086428502</v>
      </c>
      <c r="S205">
        <v>1</v>
      </c>
      <c r="T205">
        <v>-5.1138983180000004</v>
      </c>
      <c r="U205">
        <v>-4.7356382536363597</v>
      </c>
      <c r="V205">
        <v>1</v>
      </c>
      <c r="W205">
        <v>-5.5514156549999996</v>
      </c>
      <c r="X205">
        <v>-5.01763728909091</v>
      </c>
      <c r="Y205">
        <v>1</v>
      </c>
      <c r="Z205">
        <v>-5.1118325591999998</v>
      </c>
      <c r="AA205">
        <v>-4.9603290036874998</v>
      </c>
      <c r="AB205">
        <v>1</v>
      </c>
      <c r="AC205">
        <v>-5.5378196367857102</v>
      </c>
      <c r="AD205">
        <v>-5.0779299949999901</v>
      </c>
      <c r="AE205">
        <v>1</v>
      </c>
      <c r="AF205">
        <v>-6.2778622876923</v>
      </c>
      <c r="AG205">
        <v>-5.7610013799999997</v>
      </c>
      <c r="AH205">
        <v>1</v>
      </c>
      <c r="AI205">
        <v>-6.5542328769999996</v>
      </c>
      <c r="AJ205">
        <v>-6.2354053909090901</v>
      </c>
      <c r="AK205">
        <v>1</v>
      </c>
      <c r="AL205">
        <v>-6.9725463999999997</v>
      </c>
      <c r="AM205">
        <v>-6.4926897972727202</v>
      </c>
      <c r="AN205">
        <v>1</v>
      </c>
      <c r="AO205">
        <v>-3.7677126567333299</v>
      </c>
      <c r="AP205">
        <v>-3.6718825235625001</v>
      </c>
      <c r="AQ205">
        <v>1</v>
      </c>
      <c r="AR205">
        <v>-3.9586570821428499</v>
      </c>
      <c r="AS205">
        <v>-3.666249112</v>
      </c>
      <c r="AT205">
        <v>1</v>
      </c>
      <c r="AU205">
        <v>-4.5905415665384597</v>
      </c>
      <c r="AV205">
        <v>-4.2894962699999999</v>
      </c>
      <c r="AW205">
        <v>1</v>
      </c>
      <c r="AX205">
        <v>-4.6189258769999997</v>
      </c>
      <c r="AY205">
        <v>-4.5815011254545404</v>
      </c>
      <c r="AZ205">
        <v>1</v>
      </c>
      <c r="BA205">
        <v>-4.7867098500000003</v>
      </c>
      <c r="BB205">
        <v>-4.5103093890909003</v>
      </c>
      <c r="BC205">
        <v>1</v>
      </c>
      <c r="BD205">
        <v>-5.3509359279600002</v>
      </c>
      <c r="BE205">
        <v>-5.1266420635937404</v>
      </c>
      <c r="BF205">
        <v>1</v>
      </c>
      <c r="BG205">
        <v>-5.7760928628571397</v>
      </c>
      <c r="BH205">
        <v>-5.2927274678666603</v>
      </c>
      <c r="BI205">
        <v>1</v>
      </c>
      <c r="BJ205">
        <v>-6.5693055515384602</v>
      </c>
      <c r="BK205">
        <v>-5.9449779921428503</v>
      </c>
      <c r="BL205">
        <v>1</v>
      </c>
      <c r="BM205">
        <v>-6.7957703189999998</v>
      </c>
      <c r="BN205">
        <v>-6.43923358909091</v>
      </c>
      <c r="BO205">
        <v>1</v>
      </c>
      <c r="BP205">
        <v>-7.3158926699999904</v>
      </c>
      <c r="BQ205">
        <v>-6.77964481454545</v>
      </c>
      <c r="BR205">
        <v>1</v>
      </c>
    </row>
    <row r="206" spans="1:70" x14ac:dyDescent="0.35">
      <c r="A206" t="s">
        <v>783</v>
      </c>
      <c r="B206" t="s">
        <v>784</v>
      </c>
      <c r="C206" t="s">
        <v>785</v>
      </c>
      <c r="D206">
        <v>1</v>
      </c>
      <c r="E206" t="s">
        <v>319</v>
      </c>
      <c r="F206" t="str">
        <f>INDEX([1]train_xl!$H:$H,MATCH(E206,[1]train_xl!$G:$G,0))</f>
        <v>as-as</v>
      </c>
      <c r="G206" t="str">
        <f>INDEX([1]train_xl!$I:$I,MATCH(E206,[1]train_xl!$G:$G,0))</f>
        <v>sim</v>
      </c>
      <c r="H206" t="str">
        <f>INDEX([1]train_xl!$V:$V,MATCH(E206,[1]train_xl!$G:$G,0))</f>
        <v>not</v>
      </c>
      <c r="I206" t="str">
        <f>INDEX([2]Sheet1!$L:$L,MATCH(E206,[2]Sheet1!$I:$I,0))</f>
        <v>intens</v>
      </c>
      <c r="K206">
        <v>-3.7016118906666602</v>
      </c>
      <c r="L206">
        <v>-3.6762330292857102</v>
      </c>
      <c r="M206">
        <v>1</v>
      </c>
      <c r="N206">
        <v>-3.63931091635714</v>
      </c>
      <c r="O206">
        <v>-3.7659450269230699</v>
      </c>
      <c r="P206">
        <v>0</v>
      </c>
      <c r="Q206">
        <v>-4.4517671423076903</v>
      </c>
      <c r="R206">
        <v>-4.6332310660833302</v>
      </c>
      <c r="S206">
        <v>0</v>
      </c>
      <c r="T206">
        <v>-4.5879123850000001</v>
      </c>
      <c r="U206">
        <v>-4.7828559111111097</v>
      </c>
      <c r="V206">
        <v>0</v>
      </c>
      <c r="W206">
        <v>-4.8689226100000003</v>
      </c>
      <c r="X206">
        <v>-5.0528424111111097</v>
      </c>
      <c r="Y206">
        <v>0</v>
      </c>
      <c r="Z206">
        <v>-4.4352856393333298</v>
      </c>
      <c r="AA206">
        <v>-4.1841354078571404</v>
      </c>
      <c r="AB206">
        <v>1</v>
      </c>
      <c r="AC206">
        <v>-4.6060758692857098</v>
      </c>
      <c r="AD206">
        <v>-4.3188824115384596</v>
      </c>
      <c r="AE206">
        <v>1</v>
      </c>
      <c r="AF206">
        <v>-5.0249679907692304</v>
      </c>
      <c r="AG206">
        <v>-5.1617949191666597</v>
      </c>
      <c r="AH206">
        <v>0</v>
      </c>
      <c r="AI206">
        <v>-5.1800897499999996</v>
      </c>
      <c r="AJ206">
        <v>-5.5508637222222204</v>
      </c>
      <c r="AK206">
        <v>0</v>
      </c>
      <c r="AL206">
        <v>-5.4929598100000003</v>
      </c>
      <c r="AM206">
        <v>-5.4926671444444404</v>
      </c>
      <c r="AN206">
        <v>1</v>
      </c>
      <c r="AO206">
        <v>-4.4331025573333296</v>
      </c>
      <c r="AP206">
        <v>-4.44667543857142</v>
      </c>
      <c r="AQ206">
        <v>0</v>
      </c>
      <c r="AR206">
        <v>-4.3424524095714201</v>
      </c>
      <c r="AS206">
        <v>-4.4370915772307598</v>
      </c>
      <c r="AT206">
        <v>0</v>
      </c>
      <c r="AU206">
        <v>-5.1100328976923004</v>
      </c>
      <c r="AV206">
        <v>-5.3476958624999904</v>
      </c>
      <c r="AW206">
        <v>0</v>
      </c>
      <c r="AX206">
        <v>-5.3947534599999996</v>
      </c>
      <c r="AY206">
        <v>-5.6995382000000001</v>
      </c>
      <c r="AZ206">
        <v>0</v>
      </c>
      <c r="BA206">
        <v>-5.5186384099999897</v>
      </c>
      <c r="BB206">
        <v>-5.8135507333333303</v>
      </c>
      <c r="BC206">
        <v>0</v>
      </c>
      <c r="BD206">
        <v>-4.1773711699999998</v>
      </c>
      <c r="BE206">
        <v>-4.1731250921428504</v>
      </c>
      <c r="BF206">
        <v>1</v>
      </c>
      <c r="BG206">
        <v>-4.5336163571428498</v>
      </c>
      <c r="BH206">
        <v>-4.6581372684615303</v>
      </c>
      <c r="BI206">
        <v>0</v>
      </c>
      <c r="BJ206">
        <v>-5.0342773138461503</v>
      </c>
      <c r="BK206">
        <v>-5.1197836733333304</v>
      </c>
      <c r="BL206">
        <v>0</v>
      </c>
      <c r="BM206">
        <v>-5.3072145069999896</v>
      </c>
      <c r="BN206">
        <v>-5.70974142222222</v>
      </c>
      <c r="BO206">
        <v>0</v>
      </c>
      <c r="BP206">
        <v>-5.3703859899999999</v>
      </c>
      <c r="BQ206">
        <v>-5.6911124555555501</v>
      </c>
      <c r="BR206">
        <v>0</v>
      </c>
    </row>
    <row r="207" spans="1:70" x14ac:dyDescent="0.35">
      <c r="A207" t="s">
        <v>786</v>
      </c>
      <c r="B207" t="s">
        <v>784</v>
      </c>
      <c r="C207" t="s">
        <v>785</v>
      </c>
      <c r="D207">
        <v>0</v>
      </c>
      <c r="E207" t="s">
        <v>318</v>
      </c>
      <c r="F207" t="str">
        <f>INDEX([1]train_xl!$H:$H,MATCH(E207,[1]train_xl!$G:$G,0))</f>
        <v>as-as</v>
      </c>
      <c r="G207" t="str">
        <f>INDEX([1]train_xl!$I:$I,MATCH(E207,[1]train_xl!$G:$G,0))</f>
        <v>sim</v>
      </c>
      <c r="H207" t="str">
        <f>INDEX([1]train_xl!$V:$V,MATCH(E207,[1]train_xl!$G:$G,0))</f>
        <v>not</v>
      </c>
      <c r="I207" t="str">
        <f>INDEX([2]Sheet1!$L:$L,MATCH(E207,[2]Sheet1!$I:$I,0))</f>
        <v>neg</v>
      </c>
      <c r="K207">
        <v>-3.2065097052941098</v>
      </c>
      <c r="L207">
        <v>-3.5594388799999899</v>
      </c>
      <c r="M207">
        <v>1</v>
      </c>
      <c r="N207">
        <v>-3.1882921368124899</v>
      </c>
      <c r="O207">
        <v>-3.6050336717999998</v>
      </c>
      <c r="P207">
        <v>1</v>
      </c>
      <c r="Q207">
        <v>-3.8113725317333298</v>
      </c>
      <c r="R207">
        <v>-4.1197704571428497</v>
      </c>
      <c r="S207">
        <v>1</v>
      </c>
      <c r="T207">
        <v>-3.86472454416666</v>
      </c>
      <c r="U207">
        <v>-4.1840187176363601</v>
      </c>
      <c r="V207">
        <v>1</v>
      </c>
      <c r="W207">
        <v>-4.0050942525000002</v>
      </c>
      <c r="X207">
        <v>-4.3416769539999898</v>
      </c>
      <c r="Y207">
        <v>1</v>
      </c>
      <c r="Z207">
        <v>-3.55513299211764</v>
      </c>
      <c r="AA207">
        <v>-3.9730738554124998</v>
      </c>
      <c r="AB207">
        <v>1</v>
      </c>
      <c r="AC207">
        <v>-3.5455950660375</v>
      </c>
      <c r="AD207">
        <v>-3.9633695084333298</v>
      </c>
      <c r="AE207">
        <v>1</v>
      </c>
      <c r="AF207">
        <v>-4.1866545174333298</v>
      </c>
      <c r="AG207">
        <v>-4.68814116180714</v>
      </c>
      <c r="AH207">
        <v>1</v>
      </c>
      <c r="AI207">
        <v>-4.4166308296083301</v>
      </c>
      <c r="AJ207">
        <v>-4.7434353510454503</v>
      </c>
      <c r="AK207">
        <v>1</v>
      </c>
      <c r="AL207">
        <v>-4.2927742879416604</v>
      </c>
      <c r="AM207">
        <v>-4.6538793237727196</v>
      </c>
      <c r="AN207">
        <v>1</v>
      </c>
      <c r="AO207">
        <v>-3.8119006377646998</v>
      </c>
      <c r="AP207">
        <v>-4.2476417707499996</v>
      </c>
      <c r="AQ207">
        <v>1</v>
      </c>
      <c r="AR207">
        <v>-3.8220149320000001</v>
      </c>
      <c r="AS207">
        <v>-4.2537176277333302</v>
      </c>
      <c r="AT207">
        <v>1</v>
      </c>
      <c r="AU207">
        <v>-4.3748308850666602</v>
      </c>
      <c r="AV207">
        <v>-4.8999727244285696</v>
      </c>
      <c r="AW207">
        <v>1</v>
      </c>
      <c r="AX207">
        <v>-4.5918120409999998</v>
      </c>
      <c r="AY207">
        <v>-5.0908914932727196</v>
      </c>
      <c r="AZ207">
        <v>1</v>
      </c>
      <c r="BA207">
        <v>-4.6541670993333302</v>
      </c>
      <c r="BB207">
        <v>-5.0671431660000001</v>
      </c>
      <c r="BC207">
        <v>1</v>
      </c>
      <c r="BD207">
        <v>-3.5930210051176399</v>
      </c>
      <c r="BE207">
        <v>-4.0674864954374996</v>
      </c>
      <c r="BF207">
        <v>1</v>
      </c>
      <c r="BG207">
        <v>-3.8437349729624999</v>
      </c>
      <c r="BH207">
        <v>-4.3193623264266598</v>
      </c>
      <c r="BI207">
        <v>1</v>
      </c>
      <c r="BJ207">
        <v>-4.2073192227333296</v>
      </c>
      <c r="BK207">
        <v>-4.78202719807142</v>
      </c>
      <c r="BL207">
        <v>1</v>
      </c>
      <c r="BM207">
        <v>-4.4884667702499996</v>
      </c>
      <c r="BN207">
        <v>-4.8579499964545398</v>
      </c>
      <c r="BO207">
        <v>1</v>
      </c>
      <c r="BP207">
        <v>-4.6887121340000002</v>
      </c>
      <c r="BQ207">
        <v>-4.8287971691818097</v>
      </c>
      <c r="BR207">
        <v>1</v>
      </c>
    </row>
    <row r="208" spans="1:70" x14ac:dyDescent="0.35">
      <c r="A208" t="s">
        <v>73</v>
      </c>
      <c r="B208" t="s">
        <v>55</v>
      </c>
      <c r="C208" t="s">
        <v>787</v>
      </c>
      <c r="D208">
        <v>0</v>
      </c>
      <c r="E208" t="s">
        <v>320</v>
      </c>
      <c r="F208" t="str">
        <f>INDEX([1]train_xl!$H:$H,MATCH(E208,[1]train_xl!$G:$G,0))</f>
        <v>like</v>
      </c>
      <c r="G208" t="str">
        <f>INDEX([1]train_xl!$I:$I,MATCH(E208,[1]train_xl!$G:$G,0))</f>
        <v>sim</v>
      </c>
      <c r="H208" t="str">
        <f>INDEX([1]train_xl!$V:$V,MATCH(E208,[1]train_xl!$G:$G,0))</f>
        <v>not</v>
      </c>
      <c r="I208" t="str">
        <f>INDEX([2]Sheet1!$L:$L,MATCH(E208,[2]Sheet1!$I:$I,0))</f>
        <v>intens</v>
      </c>
      <c r="K208">
        <v>-2.62537160477999</v>
      </c>
      <c r="L208">
        <v>-2.7279563177699999</v>
      </c>
      <c r="M208">
        <v>1</v>
      </c>
      <c r="N208">
        <v>-2.7281233958805799</v>
      </c>
      <c r="O208">
        <v>-2.8227514972394698</v>
      </c>
      <c r="P208">
        <v>1</v>
      </c>
      <c r="Q208">
        <v>-3.30812983757937</v>
      </c>
      <c r="R208">
        <v>-3.40716381663333</v>
      </c>
      <c r="S208">
        <v>1</v>
      </c>
      <c r="T208">
        <v>-3.1805635133923</v>
      </c>
      <c r="U208">
        <v>-3.28838339863999</v>
      </c>
      <c r="V208">
        <v>1</v>
      </c>
      <c r="W208">
        <v>-3.40911781915384</v>
      </c>
      <c r="X208">
        <v>-3.4099999808133301</v>
      </c>
      <c r="Y208">
        <v>1</v>
      </c>
      <c r="Z208">
        <v>-3.5209032870388799</v>
      </c>
      <c r="AA208">
        <v>-3.5400380854</v>
      </c>
      <c r="AB208">
        <v>1</v>
      </c>
      <c r="AC208">
        <v>-3.5940473803647</v>
      </c>
      <c r="AD208">
        <v>-3.6623727070263099</v>
      </c>
      <c r="AE208">
        <v>1</v>
      </c>
      <c r="AF208">
        <v>-4.3159157489999904</v>
      </c>
      <c r="AG208">
        <v>-4.3211507114722201</v>
      </c>
      <c r="AH208">
        <v>1</v>
      </c>
      <c r="AI208">
        <v>-4.5184068470999996</v>
      </c>
      <c r="AJ208">
        <v>-4.3492923344000003</v>
      </c>
      <c r="AK208">
        <v>0</v>
      </c>
      <c r="AL208">
        <v>-4.6031598901538402</v>
      </c>
      <c r="AM208">
        <v>-4.3672579532666598</v>
      </c>
      <c r="AN208">
        <v>0</v>
      </c>
      <c r="AO208">
        <v>-2.6259741645555499</v>
      </c>
      <c r="AP208">
        <v>-2.81304943887999</v>
      </c>
      <c r="AQ208">
        <v>1</v>
      </c>
      <c r="AR208">
        <v>-2.5697039490294098</v>
      </c>
      <c r="AS208">
        <v>-2.7327293236052599</v>
      </c>
      <c r="AT208">
        <v>1</v>
      </c>
      <c r="AU208">
        <v>-2.9230651654062498</v>
      </c>
      <c r="AV208">
        <v>-3.0936154368055502</v>
      </c>
      <c r="AW208">
        <v>1</v>
      </c>
      <c r="AX208">
        <v>-3.0384449872692301</v>
      </c>
      <c r="AY208">
        <v>-3.1478775232</v>
      </c>
      <c r="AZ208">
        <v>1</v>
      </c>
      <c r="BA208">
        <v>-3.14920870183076</v>
      </c>
      <c r="BB208">
        <v>-3.1330239846333301</v>
      </c>
      <c r="BC208">
        <v>0</v>
      </c>
      <c r="BD208">
        <v>-3.3369268999722199</v>
      </c>
      <c r="BE208">
        <v>-3.5831798247500002</v>
      </c>
      <c r="BF208">
        <v>1</v>
      </c>
      <c r="BG208">
        <v>-3.616275506</v>
      </c>
      <c r="BH208">
        <v>-3.6687022135263101</v>
      </c>
      <c r="BI208">
        <v>1</v>
      </c>
      <c r="BJ208">
        <v>-4.045609695375</v>
      </c>
      <c r="BK208">
        <v>-4.08878540427777</v>
      </c>
      <c r="BL208">
        <v>1</v>
      </c>
      <c r="BM208">
        <v>-4.2061792935692299</v>
      </c>
      <c r="BN208">
        <v>-4.1358426938666604</v>
      </c>
      <c r="BO208">
        <v>0</v>
      </c>
      <c r="BP208">
        <v>-4.3355581899922999</v>
      </c>
      <c r="BQ208">
        <v>-4.14986321046666</v>
      </c>
      <c r="BR208">
        <v>0</v>
      </c>
    </row>
    <row r="209" spans="1:70" x14ac:dyDescent="0.35">
      <c r="A209" t="s">
        <v>74</v>
      </c>
      <c r="B209" t="s">
        <v>55</v>
      </c>
      <c r="C209" t="s">
        <v>787</v>
      </c>
      <c r="D209">
        <v>1</v>
      </c>
      <c r="E209" t="s">
        <v>321</v>
      </c>
      <c r="F209" t="str">
        <f>INDEX([1]train_xl!$H:$H,MATCH(E209,[1]train_xl!$G:$G,0))</f>
        <v>like</v>
      </c>
      <c r="G209" t="str">
        <f>INDEX([1]train_xl!$I:$I,MATCH(E209,[1]train_xl!$G:$G,0))</f>
        <v>sim</v>
      </c>
      <c r="H209" t="str">
        <f>INDEX([1]train_xl!$V:$V,MATCH(E209,[1]train_xl!$G:$G,0))</f>
        <v>not</v>
      </c>
      <c r="I209" t="str">
        <f>INDEX([2]Sheet1!$L:$L,MATCH(E209,[2]Sheet1!$I:$I,0))</f>
        <v>neg</v>
      </c>
      <c r="K209">
        <v>-3.0547680981888798</v>
      </c>
      <c r="L209">
        <v>-2.53985385466</v>
      </c>
      <c r="M209">
        <v>1</v>
      </c>
      <c r="N209">
        <v>-3.1003569354117602</v>
      </c>
      <c r="O209">
        <v>-2.5966438483620999</v>
      </c>
      <c r="P209">
        <v>1</v>
      </c>
      <c r="Q209">
        <v>-3.85828928562499</v>
      </c>
      <c r="R209">
        <v>-3.24744393558111</v>
      </c>
      <c r="S209">
        <v>1</v>
      </c>
      <c r="T209">
        <v>-3.66494386228461</v>
      </c>
      <c r="U209">
        <v>-3.1789250273866601</v>
      </c>
      <c r="V209">
        <v>1</v>
      </c>
      <c r="W209">
        <v>-3.8428687522923002</v>
      </c>
      <c r="X209">
        <v>-3.3770959553600002</v>
      </c>
      <c r="Y209">
        <v>1</v>
      </c>
      <c r="Z209">
        <v>-4.1640064746666603</v>
      </c>
      <c r="AA209">
        <v>-3.5421548914650001</v>
      </c>
      <c r="AB209">
        <v>1</v>
      </c>
      <c r="AC209">
        <v>-4.2860409500000003</v>
      </c>
      <c r="AD209">
        <v>-3.72190399117894</v>
      </c>
      <c r="AE209">
        <v>1</v>
      </c>
      <c r="AF209">
        <v>-4.9176650961249901</v>
      </c>
      <c r="AG209">
        <v>-4.2982995347111101</v>
      </c>
      <c r="AH209">
        <v>1</v>
      </c>
      <c r="AI209">
        <v>-4.9334226399999999</v>
      </c>
      <c r="AJ209">
        <v>-4.4831920915333301</v>
      </c>
      <c r="AK209">
        <v>1</v>
      </c>
      <c r="AL209">
        <v>-4.9302556311538401</v>
      </c>
      <c r="AM209">
        <v>-4.4237662602933296</v>
      </c>
      <c r="AN209">
        <v>1</v>
      </c>
      <c r="AO209">
        <v>-2.9835408373888801</v>
      </c>
      <c r="AP209">
        <v>-2.5683150441099998</v>
      </c>
      <c r="AQ209">
        <v>1</v>
      </c>
      <c r="AR209">
        <v>-3.03149944764706</v>
      </c>
      <c r="AS209">
        <v>-2.4998954451421</v>
      </c>
      <c r="AT209">
        <v>1</v>
      </c>
      <c r="AU209">
        <v>-3.4570497862499998</v>
      </c>
      <c r="AV209">
        <v>-2.9091537512666599</v>
      </c>
      <c r="AW209">
        <v>1</v>
      </c>
      <c r="AX209">
        <v>-3.7313642456923</v>
      </c>
      <c r="AY209">
        <v>-2.9448959620999999</v>
      </c>
      <c r="AZ209">
        <v>1</v>
      </c>
      <c r="BA209">
        <v>-3.60376529892307</v>
      </c>
      <c r="BB209">
        <v>-3.1343351768000001</v>
      </c>
      <c r="BC209">
        <v>1</v>
      </c>
      <c r="BD209">
        <v>-3.8386857535555499</v>
      </c>
      <c r="BE209">
        <v>-3.3574885911250001</v>
      </c>
      <c r="BF209">
        <v>1</v>
      </c>
      <c r="BG209">
        <v>-3.9127094117647001</v>
      </c>
      <c r="BH209">
        <v>-3.5671267407473599</v>
      </c>
      <c r="BI209">
        <v>1</v>
      </c>
      <c r="BJ209">
        <v>-4.5860283531249904</v>
      </c>
      <c r="BK209">
        <v>-3.9853452876777702</v>
      </c>
      <c r="BL209">
        <v>1</v>
      </c>
      <c r="BM209">
        <v>-4.4497862733846096</v>
      </c>
      <c r="BN209">
        <v>-4.0966104695799999</v>
      </c>
      <c r="BO209">
        <v>1</v>
      </c>
      <c r="BP209">
        <v>-4.5589561084922998</v>
      </c>
      <c r="BQ209">
        <v>-4.1574100152333298</v>
      </c>
      <c r="BR209">
        <v>1</v>
      </c>
    </row>
    <row r="210" spans="1:70" x14ac:dyDescent="0.35">
      <c r="A210" t="s">
        <v>788</v>
      </c>
      <c r="B210" t="s">
        <v>789</v>
      </c>
      <c r="C210" t="s">
        <v>790</v>
      </c>
      <c r="D210">
        <v>0</v>
      </c>
      <c r="E210" t="s">
        <v>322</v>
      </c>
      <c r="F210" t="str">
        <f>INDEX([1]train_xl!$H:$H,MATCH(E210,[1]train_xl!$G:$G,0))</f>
        <v>as-as</v>
      </c>
      <c r="G210" t="str">
        <f>INDEX([1]train_xl!$I:$I,MATCH(E210,[1]train_xl!$G:$G,0))</f>
        <v>sim</v>
      </c>
      <c r="H210" t="str">
        <f>INDEX([1]train_xl!$V:$V,MATCH(E210,[1]train_xl!$G:$G,0))</f>
        <v>not</v>
      </c>
      <c r="I210" t="str">
        <f>INDEX([2]Sheet1!$L:$L,MATCH(E210,[2]Sheet1!$I:$I,0))</f>
        <v>intens</v>
      </c>
      <c r="K210">
        <v>-3.7195928821333299</v>
      </c>
      <c r="L210">
        <v>-3.4612939050588198</v>
      </c>
      <c r="M210">
        <v>0</v>
      </c>
      <c r="N210">
        <v>-3.9080333653214199</v>
      </c>
      <c r="O210">
        <v>-3.53810620985</v>
      </c>
      <c r="P210">
        <v>0</v>
      </c>
      <c r="Q210">
        <v>-4.8363058234615304</v>
      </c>
      <c r="R210">
        <v>-4.3404765696666603</v>
      </c>
      <c r="S210">
        <v>0</v>
      </c>
      <c r="T210">
        <v>-4.9471603740000001</v>
      </c>
      <c r="U210">
        <v>-4.1155125372499999</v>
      </c>
      <c r="V210">
        <v>0</v>
      </c>
      <c r="W210">
        <v>-5.014044288</v>
      </c>
      <c r="X210">
        <v>-4.2778742008333301</v>
      </c>
      <c r="Y210">
        <v>0</v>
      </c>
      <c r="Z210">
        <v>-4.5398282153333298</v>
      </c>
      <c r="AA210">
        <v>-4.1831259948823503</v>
      </c>
      <c r="AB210">
        <v>0</v>
      </c>
      <c r="AC210">
        <v>-4.7434221745714202</v>
      </c>
      <c r="AD210">
        <v>-4.3314096816249998</v>
      </c>
      <c r="AE210">
        <v>0</v>
      </c>
      <c r="AF210">
        <v>-5.47479097538461</v>
      </c>
      <c r="AG210">
        <v>-5.0590268419999997</v>
      </c>
      <c r="AH210">
        <v>0</v>
      </c>
      <c r="AI210">
        <v>-6.2037144719999997</v>
      </c>
      <c r="AJ210">
        <v>-5.2262376683333303</v>
      </c>
      <c r="AK210">
        <v>0</v>
      </c>
      <c r="AL210">
        <v>-6.2442560220000001</v>
      </c>
      <c r="AM210">
        <v>-5.2208293066666602</v>
      </c>
      <c r="AN210">
        <v>0</v>
      </c>
      <c r="AO210">
        <v>-3.50623834146666</v>
      </c>
      <c r="AP210">
        <v>-3.2528418299411701</v>
      </c>
      <c r="AQ210">
        <v>0</v>
      </c>
      <c r="AR210">
        <v>-3.33247339835714</v>
      </c>
      <c r="AS210">
        <v>-3.1868664943749998</v>
      </c>
      <c r="AT210">
        <v>0</v>
      </c>
      <c r="AU210">
        <v>-3.96391081661538</v>
      </c>
      <c r="AV210">
        <v>-3.7558411630666599</v>
      </c>
      <c r="AW210">
        <v>0</v>
      </c>
      <c r="AX210">
        <v>-4.2757316746999896</v>
      </c>
      <c r="AY210">
        <v>-3.8831785222500002</v>
      </c>
      <c r="AZ210">
        <v>0</v>
      </c>
      <c r="BA210">
        <v>-4.1800038147</v>
      </c>
      <c r="BB210">
        <v>-3.6693073639166598</v>
      </c>
      <c r="BC210">
        <v>0</v>
      </c>
      <c r="BD210">
        <v>-4.7415871997999997</v>
      </c>
      <c r="BE210">
        <v>-4.3561475801176401</v>
      </c>
      <c r="BF210">
        <v>0</v>
      </c>
      <c r="BG210">
        <v>-4.6799902485714204</v>
      </c>
      <c r="BH210">
        <v>-4.4865117374999999</v>
      </c>
      <c r="BI210">
        <v>0</v>
      </c>
      <c r="BJ210">
        <v>-5.3810964215384596</v>
      </c>
      <c r="BK210">
        <v>-5.04301772333333</v>
      </c>
      <c r="BL210">
        <v>0</v>
      </c>
      <c r="BM210">
        <v>-6.4265744339999999</v>
      </c>
      <c r="BN210">
        <v>-5.40241260666666</v>
      </c>
      <c r="BO210">
        <v>0</v>
      </c>
      <c r="BP210">
        <v>-6.4153561330000004</v>
      </c>
      <c r="BQ210">
        <v>-5.3520348324999896</v>
      </c>
      <c r="BR210">
        <v>0</v>
      </c>
    </row>
    <row r="211" spans="1:70" x14ac:dyDescent="0.35">
      <c r="A211" t="s">
        <v>791</v>
      </c>
      <c r="B211" t="s">
        <v>789</v>
      </c>
      <c r="C211" t="s">
        <v>790</v>
      </c>
      <c r="D211">
        <v>1</v>
      </c>
      <c r="E211" t="s">
        <v>323</v>
      </c>
      <c r="F211" t="str">
        <f>INDEX([1]train_xl!$H:$H,MATCH(E211,[1]train_xl!$G:$G,0))</f>
        <v>as-as</v>
      </c>
      <c r="G211" t="str">
        <f>INDEX([1]train_xl!$I:$I,MATCH(E211,[1]train_xl!$G:$G,0))</f>
        <v>sim</v>
      </c>
      <c r="H211" t="str">
        <f>INDEX([1]train_xl!$V:$V,MATCH(E211,[1]train_xl!$G:$G,0))</f>
        <v>not</v>
      </c>
      <c r="I211" t="str">
        <f>INDEX([2]Sheet1!$L:$L,MATCH(E211,[2]Sheet1!$I:$I,0))</f>
        <v>neg</v>
      </c>
      <c r="K211">
        <v>-4.2610510710352898</v>
      </c>
      <c r="L211">
        <v>-3.6519617961894699</v>
      </c>
      <c r="M211">
        <v>1</v>
      </c>
      <c r="N211">
        <v>-4.44059840846875</v>
      </c>
      <c r="O211">
        <v>-3.7073649003055502</v>
      </c>
      <c r="P211">
        <v>1</v>
      </c>
      <c r="Q211">
        <v>-5.1741877096999902</v>
      </c>
      <c r="R211">
        <v>-4.3517932344705796</v>
      </c>
      <c r="S211">
        <v>1</v>
      </c>
      <c r="T211">
        <v>-5.5227381549999999</v>
      </c>
      <c r="U211">
        <v>-4.6241343988571399</v>
      </c>
      <c r="V211">
        <v>1</v>
      </c>
      <c r="W211">
        <v>-5.7804216966666599</v>
      </c>
      <c r="X211">
        <v>-4.8069019571428502</v>
      </c>
      <c r="Y211">
        <v>1</v>
      </c>
      <c r="Z211">
        <v>-4.5263756644117601</v>
      </c>
      <c r="AA211">
        <v>-3.9550663723684201</v>
      </c>
      <c r="AB211">
        <v>1</v>
      </c>
      <c r="AC211">
        <v>-4.7391723381249999</v>
      </c>
      <c r="AD211">
        <v>-4.0532111888888798</v>
      </c>
      <c r="AE211">
        <v>1</v>
      </c>
      <c r="AF211">
        <v>-5.4235886429333302</v>
      </c>
      <c r="AG211">
        <v>-4.6459140370588203</v>
      </c>
      <c r="AH211">
        <v>1</v>
      </c>
      <c r="AI211">
        <v>-5.77427389666666</v>
      </c>
      <c r="AJ211">
        <v>-4.8064777621428503</v>
      </c>
      <c r="AK211">
        <v>1</v>
      </c>
      <c r="AL211">
        <v>-5.9404622633333304</v>
      </c>
      <c r="AM211">
        <v>-4.9007441549999999</v>
      </c>
      <c r="AN211">
        <v>1</v>
      </c>
      <c r="AO211">
        <v>-3.9463995617647001</v>
      </c>
      <c r="AP211">
        <v>-3.4689081237368402</v>
      </c>
      <c r="AQ211">
        <v>1</v>
      </c>
      <c r="AR211">
        <v>-4.0999756986874996</v>
      </c>
      <c r="AS211">
        <v>-3.4634191108333301</v>
      </c>
      <c r="AT211">
        <v>1</v>
      </c>
      <c r="AU211">
        <v>-4.5493025786666603</v>
      </c>
      <c r="AV211">
        <v>-3.8723104707058802</v>
      </c>
      <c r="AW211">
        <v>1</v>
      </c>
      <c r="AX211">
        <v>-4.8948125337499997</v>
      </c>
      <c r="AY211">
        <v>-4.2161195832142804</v>
      </c>
      <c r="AZ211">
        <v>1</v>
      </c>
      <c r="BA211">
        <v>-4.8011939337499996</v>
      </c>
      <c r="BB211">
        <v>-4.1153426289285697</v>
      </c>
      <c r="BC211">
        <v>1</v>
      </c>
      <c r="BD211">
        <v>-4.8683219885294102</v>
      </c>
      <c r="BE211">
        <v>-4.1660900165789396</v>
      </c>
      <c r="BF211">
        <v>1</v>
      </c>
      <c r="BG211">
        <v>-5.2985415099999997</v>
      </c>
      <c r="BH211">
        <v>-4.3982036333333303</v>
      </c>
      <c r="BI211">
        <v>1</v>
      </c>
      <c r="BJ211">
        <v>-5.8473266480000001</v>
      </c>
      <c r="BK211">
        <v>-4.9058294079411704</v>
      </c>
      <c r="BL211">
        <v>1</v>
      </c>
      <c r="BM211">
        <v>-6.2669076266666597</v>
      </c>
      <c r="BN211">
        <v>-5.1828146107142796</v>
      </c>
      <c r="BO211">
        <v>1</v>
      </c>
      <c r="BP211">
        <v>-6.5193291766666599</v>
      </c>
      <c r="BQ211">
        <v>-5.3388604985714299</v>
      </c>
      <c r="BR211">
        <v>1</v>
      </c>
    </row>
    <row r="212" spans="1:70" x14ac:dyDescent="0.35">
      <c r="A212" t="s">
        <v>792</v>
      </c>
      <c r="B212" t="s">
        <v>793</v>
      </c>
      <c r="C212" t="s">
        <v>794</v>
      </c>
      <c r="D212">
        <v>0</v>
      </c>
      <c r="E212" t="s">
        <v>324</v>
      </c>
      <c r="F212" t="str">
        <f>INDEX([1]train_xl!$H:$H,MATCH(E212,[1]train_xl!$G:$G,0))</f>
        <v>as-as</v>
      </c>
      <c r="G212" t="str">
        <f>INDEX([1]train_xl!$I:$I,MATCH(E212,[1]train_xl!$G:$G,0))</f>
        <v>sim</v>
      </c>
      <c r="H212" t="str">
        <f>INDEX([1]train_xl!$V:$V,MATCH(E212,[1]train_xl!$G:$G,0))</f>
        <v>antonym</v>
      </c>
      <c r="I212" t="str">
        <f>INDEX([2]Sheet1!$L:$L,MATCH(E212,[2]Sheet1!$I:$I,0))</f>
        <v>neg</v>
      </c>
      <c r="K212">
        <v>-3.3692948747368399</v>
      </c>
      <c r="L212">
        <v>-3.7451857499999899</v>
      </c>
      <c r="M212">
        <v>1</v>
      </c>
      <c r="N212">
        <v>-3.34432317572222</v>
      </c>
      <c r="O212">
        <v>-3.7134735334117601</v>
      </c>
      <c r="P212">
        <v>1</v>
      </c>
      <c r="Q212">
        <v>-4.2123388268823501</v>
      </c>
      <c r="R212">
        <v>-4.6224344354375004</v>
      </c>
      <c r="S212">
        <v>1</v>
      </c>
      <c r="T212">
        <v>-3.7494013942857101</v>
      </c>
      <c r="U212">
        <v>-4.1601755253846102</v>
      </c>
      <c r="V212">
        <v>1</v>
      </c>
      <c r="W212">
        <v>-3.9266789364285701</v>
      </c>
      <c r="X212">
        <v>-4.2589793692307696</v>
      </c>
      <c r="Y212">
        <v>1</v>
      </c>
      <c r="Z212">
        <v>-3.59832355157894</v>
      </c>
      <c r="AA212">
        <v>-3.8866005722222199</v>
      </c>
      <c r="AB212">
        <v>1</v>
      </c>
      <c r="AC212">
        <v>-3.5672165361111099</v>
      </c>
      <c r="AD212">
        <v>-3.8471388267058799</v>
      </c>
      <c r="AE212">
        <v>1</v>
      </c>
      <c r="AF212">
        <v>-4.4491356717646999</v>
      </c>
      <c r="AG212">
        <v>-4.8276503149999996</v>
      </c>
      <c r="AH212">
        <v>1</v>
      </c>
      <c r="AI212">
        <v>-4.0572277264285699</v>
      </c>
      <c r="AJ212">
        <v>-4.4226933461538396</v>
      </c>
      <c r="AK212">
        <v>1</v>
      </c>
      <c r="AL212">
        <v>-4.25561217857142</v>
      </c>
      <c r="AM212">
        <v>-4.5665669076922999</v>
      </c>
      <c r="AN212">
        <v>1</v>
      </c>
      <c r="AO212">
        <v>-4.5903159594736804</v>
      </c>
      <c r="AP212">
        <v>-4.9936994805555504</v>
      </c>
      <c r="AQ212">
        <v>1</v>
      </c>
      <c r="AR212">
        <v>-4.4253300044444401</v>
      </c>
      <c r="AS212">
        <v>-4.8726305470588196</v>
      </c>
      <c r="AT212">
        <v>1</v>
      </c>
      <c r="AU212">
        <v>-5.1523654558823502</v>
      </c>
      <c r="AV212">
        <v>-5.6942146374999902</v>
      </c>
      <c r="AW212">
        <v>1</v>
      </c>
      <c r="AX212">
        <v>-5.5285184485714201</v>
      </c>
      <c r="AY212">
        <v>-6.1749494569230698</v>
      </c>
      <c r="AZ212">
        <v>1</v>
      </c>
      <c r="BA212">
        <v>-5.55767894285714</v>
      </c>
      <c r="BB212">
        <v>-5.9307789</v>
      </c>
      <c r="BC212">
        <v>1</v>
      </c>
      <c r="BD212">
        <v>-3.5860504478947299</v>
      </c>
      <c r="BE212">
        <v>-3.9227357333333299</v>
      </c>
      <c r="BF212">
        <v>1</v>
      </c>
      <c r="BG212">
        <v>-3.5682069711111102</v>
      </c>
      <c r="BH212">
        <v>-3.9045530623529401</v>
      </c>
      <c r="BI212">
        <v>1</v>
      </c>
      <c r="BJ212">
        <v>-4.2670200905882298</v>
      </c>
      <c r="BK212">
        <v>-4.6722783625000002</v>
      </c>
      <c r="BL212">
        <v>1</v>
      </c>
      <c r="BM212">
        <v>-4.0148059857142799</v>
      </c>
      <c r="BN212">
        <v>-4.435702</v>
      </c>
      <c r="BO212">
        <v>1</v>
      </c>
      <c r="BP212">
        <v>-4.0683040678571398</v>
      </c>
      <c r="BQ212">
        <v>-4.4390782923076904</v>
      </c>
      <c r="BR212">
        <v>1</v>
      </c>
    </row>
    <row r="213" spans="1:70" x14ac:dyDescent="0.35">
      <c r="A213" t="s">
        <v>795</v>
      </c>
      <c r="B213" t="s">
        <v>793</v>
      </c>
      <c r="C213" t="s">
        <v>794</v>
      </c>
      <c r="D213">
        <v>1</v>
      </c>
      <c r="E213" t="s">
        <v>325</v>
      </c>
      <c r="F213" t="str">
        <f>INDEX([1]train_xl!$H:$H,MATCH(E213,[1]train_xl!$G:$G,0))</f>
        <v>as-as</v>
      </c>
      <c r="G213" t="str">
        <f>INDEX([1]train_xl!$I:$I,MATCH(E213,[1]train_xl!$G:$G,0))</f>
        <v>sim</v>
      </c>
      <c r="H213" t="str">
        <f>INDEX([1]train_xl!$V:$V,MATCH(E213,[1]train_xl!$G:$G,0))</f>
        <v>antonym</v>
      </c>
      <c r="I213" t="str">
        <f>INDEX([2]Sheet1!$L:$L,MATCH(E213,[2]Sheet1!$I:$I,0))</f>
        <v>intens</v>
      </c>
      <c r="K213">
        <v>-3.69877196973684</v>
      </c>
      <c r="L213">
        <v>-3.6603666916666602</v>
      </c>
      <c r="M213">
        <v>1</v>
      </c>
      <c r="N213">
        <v>-3.6950840175555499</v>
      </c>
      <c r="O213">
        <v>-3.6820084022352901</v>
      </c>
      <c r="P213">
        <v>1</v>
      </c>
      <c r="Q213">
        <v>-4.4545802758823498</v>
      </c>
      <c r="R213">
        <v>-4.5202188758749999</v>
      </c>
      <c r="S213">
        <v>0</v>
      </c>
      <c r="T213">
        <v>-4.2490144799999996</v>
      </c>
      <c r="U213">
        <v>-4.2406866830769196</v>
      </c>
      <c r="V213">
        <v>1</v>
      </c>
      <c r="W213">
        <v>-4.3619953821428501</v>
      </c>
      <c r="X213">
        <v>-4.32346758230769</v>
      </c>
      <c r="Y213">
        <v>1</v>
      </c>
      <c r="Z213">
        <v>-3.72378449052631</v>
      </c>
      <c r="AA213">
        <v>-3.76240573555555</v>
      </c>
      <c r="AB213">
        <v>0</v>
      </c>
      <c r="AC213">
        <v>-3.72753423722222</v>
      </c>
      <c r="AD213">
        <v>-3.7720235229411698</v>
      </c>
      <c r="AE213">
        <v>0</v>
      </c>
      <c r="AF213">
        <v>-4.5594055805882299</v>
      </c>
      <c r="AG213">
        <v>-4.6307772843750001</v>
      </c>
      <c r="AH213">
        <v>0</v>
      </c>
      <c r="AI213">
        <v>-4.3088502928571399</v>
      </c>
      <c r="AJ213">
        <v>-4.3208614499999998</v>
      </c>
      <c r="AK213">
        <v>0</v>
      </c>
      <c r="AL213">
        <v>-4.4567523499999897</v>
      </c>
      <c r="AM213">
        <v>-4.4730270076923002</v>
      </c>
      <c r="AN213">
        <v>0</v>
      </c>
      <c r="AO213">
        <v>-4.8722168642105199</v>
      </c>
      <c r="AP213">
        <v>-4.98234899555555</v>
      </c>
      <c r="AQ213">
        <v>0</v>
      </c>
      <c r="AR213">
        <v>-4.8288970000000004</v>
      </c>
      <c r="AS213">
        <v>-4.8981024449411699</v>
      </c>
      <c r="AT213">
        <v>0</v>
      </c>
      <c r="AU213">
        <v>-5.6213349152941099</v>
      </c>
      <c r="AV213">
        <v>-5.7958623865624999</v>
      </c>
      <c r="AW213">
        <v>0</v>
      </c>
      <c r="AX213">
        <v>-5.9275553614285696</v>
      </c>
      <c r="AY213">
        <v>-6.0555098584615301</v>
      </c>
      <c r="AZ213">
        <v>0</v>
      </c>
      <c r="BA213">
        <v>-6.2065975928571397</v>
      </c>
      <c r="BB213">
        <v>-6.4363233576922996</v>
      </c>
      <c r="BC213">
        <v>0</v>
      </c>
      <c r="BD213">
        <v>-4.0691282189473696</v>
      </c>
      <c r="BE213">
        <v>-4.1035532172222204</v>
      </c>
      <c r="BF213">
        <v>0</v>
      </c>
      <c r="BG213">
        <v>-4.0327242261111103</v>
      </c>
      <c r="BH213">
        <v>-4.0902027029411698</v>
      </c>
      <c r="BI213">
        <v>0</v>
      </c>
      <c r="BJ213">
        <v>-4.8500214335294096</v>
      </c>
      <c r="BK213">
        <v>-4.8345428081249997</v>
      </c>
      <c r="BL213">
        <v>1</v>
      </c>
      <c r="BM213">
        <v>-4.6368880942857098</v>
      </c>
      <c r="BN213">
        <v>-4.7455190538461496</v>
      </c>
      <c r="BO213">
        <v>0</v>
      </c>
      <c r="BP213">
        <v>-4.5852358457142799</v>
      </c>
      <c r="BQ213">
        <v>-4.6660014538461496</v>
      </c>
      <c r="BR213">
        <v>0</v>
      </c>
    </row>
    <row r="214" spans="1:70" x14ac:dyDescent="0.35">
      <c r="A214" t="s">
        <v>796</v>
      </c>
      <c r="B214" t="s">
        <v>797</v>
      </c>
      <c r="C214" t="s">
        <v>798</v>
      </c>
      <c r="D214">
        <v>0</v>
      </c>
      <c r="E214" t="s">
        <v>326</v>
      </c>
      <c r="F214" t="str">
        <f>INDEX([1]train_xl!$H:$H,MATCH(E214,[1]train_xl!$G:$G,0))</f>
        <v>as-as</v>
      </c>
      <c r="G214" t="str">
        <f>INDEX([1]train_xl!$I:$I,MATCH(E214,[1]train_xl!$G:$G,0))</f>
        <v>sim</v>
      </c>
      <c r="H214" t="str">
        <f>INDEX([1]train_xl!$V:$V,MATCH(E214,[1]train_xl!$G:$G,0))</f>
        <v>antonym</v>
      </c>
      <c r="I214" t="str">
        <f>INDEX([2]Sheet1!$L:$L,MATCH(E214,[2]Sheet1!$I:$I,0))</f>
        <v>intens</v>
      </c>
      <c r="K214">
        <v>-3.6658391044999998</v>
      </c>
      <c r="L214">
        <v>-4.163733057</v>
      </c>
      <c r="M214">
        <v>1</v>
      </c>
      <c r="N214">
        <v>-3.8317695467692299</v>
      </c>
      <c r="O214">
        <v>-4.4079611747857097</v>
      </c>
      <c r="P214">
        <v>1</v>
      </c>
      <c r="Q214">
        <v>-4.7695290713333298</v>
      </c>
      <c r="R214">
        <v>-5.2136223019999903</v>
      </c>
      <c r="S214">
        <v>1</v>
      </c>
      <c r="T214">
        <v>-4.8657693366666601</v>
      </c>
      <c r="U214">
        <v>-5.2142547739999996</v>
      </c>
      <c r="V214">
        <v>1</v>
      </c>
      <c r="W214">
        <v>-5.1183731233333303</v>
      </c>
      <c r="X214">
        <v>-5.3847287330000002</v>
      </c>
      <c r="Y214">
        <v>1</v>
      </c>
      <c r="Z214">
        <v>-4.5260676629285701</v>
      </c>
      <c r="AA214">
        <v>-4.8419994032</v>
      </c>
      <c r="AB214">
        <v>1</v>
      </c>
      <c r="AC214">
        <v>-4.7342772838461498</v>
      </c>
      <c r="AD214">
        <v>-5.0828339516428498</v>
      </c>
      <c r="AE214">
        <v>1</v>
      </c>
      <c r="AF214">
        <v>-6.0476564624999902</v>
      </c>
      <c r="AG214">
        <v>-6.1782628876923003</v>
      </c>
      <c r="AH214">
        <v>1</v>
      </c>
      <c r="AI214">
        <v>-6.3158840633333302</v>
      </c>
      <c r="AJ214">
        <v>-6.3038316529999898</v>
      </c>
      <c r="AK214">
        <v>0</v>
      </c>
      <c r="AL214">
        <v>-6.53454001111111</v>
      </c>
      <c r="AM214">
        <v>-6.4244521529999998</v>
      </c>
      <c r="AN214">
        <v>0</v>
      </c>
      <c r="AO214">
        <v>-3.5625558904285701</v>
      </c>
      <c r="AP214">
        <v>-3.8688899746666601</v>
      </c>
      <c r="AQ214">
        <v>1</v>
      </c>
      <c r="AR214">
        <v>-3.3248800350769199</v>
      </c>
      <c r="AS214">
        <v>-3.7830524521428499</v>
      </c>
      <c r="AT214">
        <v>1</v>
      </c>
      <c r="AU214">
        <v>-3.9900888808333299</v>
      </c>
      <c r="AV214">
        <v>-4.4100443038461501</v>
      </c>
      <c r="AW214">
        <v>1</v>
      </c>
      <c r="AX214">
        <v>-4.0079869855555499</v>
      </c>
      <c r="AY214">
        <v>-4.2916379229999997</v>
      </c>
      <c r="AZ214">
        <v>1</v>
      </c>
      <c r="BA214">
        <v>-4.2799873588888797</v>
      </c>
      <c r="BB214">
        <v>-4.5302946579999999</v>
      </c>
      <c r="BC214">
        <v>1</v>
      </c>
      <c r="BD214">
        <v>-4.3376364218571402</v>
      </c>
      <c r="BE214">
        <v>-4.6421967989333304</v>
      </c>
      <c r="BF214">
        <v>1</v>
      </c>
      <c r="BG214">
        <v>-4.7625393815384598</v>
      </c>
      <c r="BH214">
        <v>-5.1255006871428499</v>
      </c>
      <c r="BI214">
        <v>1</v>
      </c>
      <c r="BJ214">
        <v>-5.7652542549999897</v>
      </c>
      <c r="BK214">
        <v>-5.9247811323076904</v>
      </c>
      <c r="BL214">
        <v>1</v>
      </c>
      <c r="BM214">
        <v>-6.0432576066666597</v>
      </c>
      <c r="BN214">
        <v>-5.9454496849999998</v>
      </c>
      <c r="BO214">
        <v>0</v>
      </c>
      <c r="BP214">
        <v>-6.3268648000000001</v>
      </c>
      <c r="BQ214">
        <v>-6.1730238149999996</v>
      </c>
      <c r="BR214">
        <v>0</v>
      </c>
    </row>
    <row r="215" spans="1:70" x14ac:dyDescent="0.35">
      <c r="A215" t="s">
        <v>799</v>
      </c>
      <c r="B215" t="s">
        <v>797</v>
      </c>
      <c r="C215" t="s">
        <v>798</v>
      </c>
      <c r="D215">
        <v>1</v>
      </c>
      <c r="E215" t="s">
        <v>327</v>
      </c>
      <c r="F215" t="str">
        <f>INDEX([1]train_xl!$H:$H,MATCH(E215,[1]train_xl!$G:$G,0))</f>
        <v>as-as</v>
      </c>
      <c r="G215" t="str">
        <f>INDEX([1]train_xl!$I:$I,MATCH(E215,[1]train_xl!$G:$G,0))</f>
        <v>sim</v>
      </c>
      <c r="H215" t="str">
        <f>INDEX([1]train_xl!$V:$V,MATCH(E215,[1]train_xl!$G:$G,0))</f>
        <v>antonym</v>
      </c>
      <c r="I215" t="str">
        <f>INDEX([2]Sheet1!$L:$L,MATCH(E215,[2]Sheet1!$I:$I,0))</f>
        <v>neg</v>
      </c>
      <c r="K215">
        <v>-3.7678821435714198</v>
      </c>
      <c r="L215">
        <v>-3.5898647907333299</v>
      </c>
      <c r="M215">
        <v>1</v>
      </c>
      <c r="N215">
        <v>-4.1617806990769202</v>
      </c>
      <c r="O215">
        <v>-3.9043930725</v>
      </c>
      <c r="P215">
        <v>1</v>
      </c>
      <c r="Q215">
        <v>-5.0144540324999998</v>
      </c>
      <c r="R215">
        <v>-4.6849980838461498</v>
      </c>
      <c r="S215">
        <v>1</v>
      </c>
      <c r="T215">
        <v>-4.4032728322222203</v>
      </c>
      <c r="U215">
        <v>-4.6433443329999999</v>
      </c>
      <c r="V215">
        <v>0</v>
      </c>
      <c r="W215">
        <v>-4.8072404111111098</v>
      </c>
      <c r="X215">
        <v>-4.8678642400000003</v>
      </c>
      <c r="Y215">
        <v>0</v>
      </c>
      <c r="Z215">
        <v>-4.6422020007142804</v>
      </c>
      <c r="AA215">
        <v>-4.3827435258666601</v>
      </c>
      <c r="AB215">
        <v>1</v>
      </c>
      <c r="AC215">
        <v>-4.9990483349230699</v>
      </c>
      <c r="AD215">
        <v>-4.6798631894285698</v>
      </c>
      <c r="AE215">
        <v>1</v>
      </c>
      <c r="AF215">
        <v>-6.3845112416666598</v>
      </c>
      <c r="AG215">
        <v>-5.9388023561538397</v>
      </c>
      <c r="AH215">
        <v>1</v>
      </c>
      <c r="AI215">
        <v>-5.8767006400000001</v>
      </c>
      <c r="AJ215">
        <v>-5.8269652679999897</v>
      </c>
      <c r="AK215">
        <v>1</v>
      </c>
      <c r="AL215">
        <v>-6.1027411222222199</v>
      </c>
      <c r="AM215">
        <v>-6.0190734299999997</v>
      </c>
      <c r="AN215">
        <v>1</v>
      </c>
      <c r="AO215">
        <v>-3.5934185914285699</v>
      </c>
      <c r="AP215">
        <v>-3.3289266533333302</v>
      </c>
      <c r="AQ215">
        <v>1</v>
      </c>
      <c r="AR215">
        <v>-3.5327352138461499</v>
      </c>
      <c r="AS215">
        <v>-3.1583760981428499</v>
      </c>
      <c r="AT215">
        <v>1</v>
      </c>
      <c r="AU215">
        <v>-4.1001027166666599</v>
      </c>
      <c r="AV215">
        <v>-3.7466515423076898</v>
      </c>
      <c r="AW215">
        <v>1</v>
      </c>
      <c r="AX215">
        <v>-3.7068547355555501</v>
      </c>
      <c r="AY215">
        <v>-3.8759210699999902</v>
      </c>
      <c r="AZ215">
        <v>0</v>
      </c>
      <c r="BA215">
        <v>-3.8421311222222201</v>
      </c>
      <c r="BB215">
        <v>-4.0035102330000001</v>
      </c>
      <c r="BC215">
        <v>0</v>
      </c>
      <c r="BD215">
        <v>-4.6552691039285596</v>
      </c>
      <c r="BE215">
        <v>-4.2011834600000002</v>
      </c>
      <c r="BF215">
        <v>1</v>
      </c>
      <c r="BG215">
        <v>-5.0423270156923001</v>
      </c>
      <c r="BH215">
        <v>-4.9342599196428498</v>
      </c>
      <c r="BI215">
        <v>1</v>
      </c>
      <c r="BJ215">
        <v>-6.0245549724999901</v>
      </c>
      <c r="BK215">
        <v>-5.6258344423076903</v>
      </c>
      <c r="BL215">
        <v>1</v>
      </c>
      <c r="BM215">
        <v>-5.5801940633333302</v>
      </c>
      <c r="BN215">
        <v>-5.516876688</v>
      </c>
      <c r="BO215">
        <v>1</v>
      </c>
      <c r="BP215">
        <v>-5.9109957333333298</v>
      </c>
      <c r="BQ215">
        <v>-5.7302644279999999</v>
      </c>
      <c r="BR215">
        <v>1</v>
      </c>
    </row>
    <row r="216" spans="1:70" x14ac:dyDescent="0.35">
      <c r="A216" t="s">
        <v>800</v>
      </c>
      <c r="B216" t="s">
        <v>801</v>
      </c>
      <c r="C216" t="s">
        <v>802</v>
      </c>
      <c r="D216">
        <v>0</v>
      </c>
      <c r="E216" t="s">
        <v>328</v>
      </c>
      <c r="F216" t="str">
        <f>INDEX([1]train_xl!$H:$H,MATCH(E216,[1]train_xl!$G:$G,0))</f>
        <v>as-as</v>
      </c>
      <c r="G216" t="str">
        <f>INDEX([1]train_xl!$I:$I,MATCH(E216,[1]train_xl!$G:$G,0))</f>
        <v>sim</v>
      </c>
      <c r="H216" t="str">
        <f>INDEX([1]train_xl!$V:$V,MATCH(E216,[1]train_xl!$G:$G,0))</f>
        <v>not</v>
      </c>
      <c r="I216" t="str">
        <f>INDEX([2]Sheet1!$L:$L,MATCH(E216,[2]Sheet1!$I:$I,0))</f>
        <v>intens</v>
      </c>
      <c r="K216">
        <v>-3.2302163470833301</v>
      </c>
      <c r="L216">
        <v>-3.57855100297368</v>
      </c>
      <c r="M216">
        <v>1</v>
      </c>
      <c r="N216">
        <v>-3.3520530054764701</v>
      </c>
      <c r="O216">
        <v>-3.6732699520555498</v>
      </c>
      <c r="P216">
        <v>1</v>
      </c>
      <c r="Q216">
        <v>-3.8906667016562499</v>
      </c>
      <c r="R216">
        <v>-4.2781465284470599</v>
      </c>
      <c r="S216">
        <v>1</v>
      </c>
      <c r="T216">
        <v>-3.90612668923076</v>
      </c>
      <c r="U216">
        <v>-4.1700864200714198</v>
      </c>
      <c r="V216">
        <v>1</v>
      </c>
      <c r="W216">
        <v>-4.1274285269230697</v>
      </c>
      <c r="X216">
        <v>-4.3328774558928496</v>
      </c>
      <c r="Y216">
        <v>1</v>
      </c>
      <c r="Z216">
        <v>-3.6506936717777698</v>
      </c>
      <c r="AA216">
        <v>-3.9100857626315699</v>
      </c>
      <c r="AB216">
        <v>1</v>
      </c>
      <c r="AC216">
        <v>-3.7859583715882299</v>
      </c>
      <c r="AD216">
        <v>-4.0012681030555504</v>
      </c>
      <c r="AE216">
        <v>1</v>
      </c>
      <c r="AF216">
        <v>-4.3228503062499897</v>
      </c>
      <c r="AG216">
        <v>-4.5411477370588198</v>
      </c>
      <c r="AH216">
        <v>1</v>
      </c>
      <c r="AI216">
        <v>-4.4099187261538404</v>
      </c>
      <c r="AJ216">
        <v>-4.47801472914285</v>
      </c>
      <c r="AK216">
        <v>1</v>
      </c>
      <c r="AL216">
        <v>-4.5165775384615303</v>
      </c>
      <c r="AM216">
        <v>-4.5989364005714197</v>
      </c>
      <c r="AN216">
        <v>1</v>
      </c>
      <c r="AO216">
        <v>-3.2879341797444401</v>
      </c>
      <c r="AP216">
        <v>-3.72478287412105</v>
      </c>
      <c r="AQ216">
        <v>1</v>
      </c>
      <c r="AR216">
        <v>-3.2216929447058802</v>
      </c>
      <c r="AS216">
        <v>-3.72982267383333</v>
      </c>
      <c r="AT216">
        <v>1</v>
      </c>
      <c r="AU216">
        <v>-3.6869936475</v>
      </c>
      <c r="AV216">
        <v>-4.03776842103529</v>
      </c>
      <c r="AW216">
        <v>1</v>
      </c>
      <c r="AX216">
        <v>-3.5841270569230699</v>
      </c>
      <c r="AY216">
        <v>-3.8825916872714199</v>
      </c>
      <c r="AZ216">
        <v>1</v>
      </c>
      <c r="BA216">
        <v>-3.69359598153846</v>
      </c>
      <c r="BB216">
        <v>-3.9886004357142801</v>
      </c>
      <c r="BC216">
        <v>1</v>
      </c>
      <c r="BD216">
        <v>-3.6664486477222198</v>
      </c>
      <c r="BE216">
        <v>-3.9682070348420999</v>
      </c>
      <c r="BF216">
        <v>1</v>
      </c>
      <c r="BG216">
        <v>-3.87983823747058</v>
      </c>
      <c r="BH216">
        <v>-4.1522573179444402</v>
      </c>
      <c r="BI216">
        <v>1</v>
      </c>
      <c r="BJ216">
        <v>-4.3484075014375003</v>
      </c>
      <c r="BK216">
        <v>-4.5964591295294097</v>
      </c>
      <c r="BL216">
        <v>1</v>
      </c>
      <c r="BM216">
        <v>-4.5387137769230703</v>
      </c>
      <c r="BN216">
        <v>-4.6994633379285702</v>
      </c>
      <c r="BO216">
        <v>1</v>
      </c>
      <c r="BP216">
        <v>-4.7197051476923004</v>
      </c>
      <c r="BQ216">
        <v>-4.8153076932142804</v>
      </c>
      <c r="BR216">
        <v>1</v>
      </c>
    </row>
    <row r="217" spans="1:70" x14ac:dyDescent="0.35">
      <c r="A217" t="s">
        <v>803</v>
      </c>
      <c r="B217" t="s">
        <v>801</v>
      </c>
      <c r="C217" t="s">
        <v>802</v>
      </c>
      <c r="D217">
        <v>1</v>
      </c>
      <c r="E217" t="s">
        <v>329</v>
      </c>
      <c r="F217" t="str">
        <f>INDEX([1]train_xl!$H:$H,MATCH(E217,[1]train_xl!$G:$G,0))</f>
        <v>as-as</v>
      </c>
      <c r="G217" t="str">
        <f>INDEX([1]train_xl!$I:$I,MATCH(E217,[1]train_xl!$G:$G,0))</f>
        <v>sim</v>
      </c>
      <c r="H217" t="str">
        <f>INDEX([1]train_xl!$V:$V,MATCH(E217,[1]train_xl!$G:$G,0))</f>
        <v>not</v>
      </c>
      <c r="I217" t="str">
        <f>INDEX([2]Sheet1!$L:$L,MATCH(E217,[2]Sheet1!$I:$I,0))</f>
        <v>neg</v>
      </c>
      <c r="K217">
        <v>-2.9819542491050002</v>
      </c>
      <c r="L217">
        <v>-3.0914309849142798</v>
      </c>
      <c r="M217">
        <v>0</v>
      </c>
      <c r="N217">
        <v>-3.09307617463157</v>
      </c>
      <c r="O217">
        <v>-3.1418612055849899</v>
      </c>
      <c r="P217">
        <v>0</v>
      </c>
      <c r="Q217">
        <v>-3.6166716204055498</v>
      </c>
      <c r="R217">
        <v>-3.6963412150842099</v>
      </c>
      <c r="S217">
        <v>0</v>
      </c>
      <c r="T217">
        <v>-3.5109706411066601</v>
      </c>
      <c r="U217">
        <v>-3.6199769222687501</v>
      </c>
      <c r="V217">
        <v>0</v>
      </c>
      <c r="W217">
        <v>-3.6711877344400001</v>
      </c>
      <c r="X217">
        <v>-3.85977752133125</v>
      </c>
      <c r="Y217">
        <v>0</v>
      </c>
      <c r="Z217">
        <v>-3.439090335765</v>
      </c>
      <c r="AA217">
        <v>-3.4452804123809502</v>
      </c>
      <c r="AB217">
        <v>0</v>
      </c>
      <c r="AC217">
        <v>-3.5010506240526298</v>
      </c>
      <c r="AD217">
        <v>-3.5022308351350002</v>
      </c>
      <c r="AE217">
        <v>0</v>
      </c>
      <c r="AF217">
        <v>-3.9628524172222201</v>
      </c>
      <c r="AG217">
        <v>-3.9291979792315699</v>
      </c>
      <c r="AH217">
        <v>1</v>
      </c>
      <c r="AI217">
        <v>-3.9354737482666602</v>
      </c>
      <c r="AJ217">
        <v>-4.0500969566874998</v>
      </c>
      <c r="AK217">
        <v>0</v>
      </c>
      <c r="AL217">
        <v>-3.90217176893333</v>
      </c>
      <c r="AM217">
        <v>-4.0193255878125003</v>
      </c>
      <c r="AN217">
        <v>0</v>
      </c>
      <c r="AO217">
        <v>-3.0049476414249998</v>
      </c>
      <c r="AP217">
        <v>-3.0865727503285698</v>
      </c>
      <c r="AQ217">
        <v>0</v>
      </c>
      <c r="AR217">
        <v>-3.0470833392315702</v>
      </c>
      <c r="AS217">
        <v>-3.0288803622249998</v>
      </c>
      <c r="AT217">
        <v>1</v>
      </c>
      <c r="AU217">
        <v>-3.36607593425</v>
      </c>
      <c r="AV217">
        <v>-3.4009237466368401</v>
      </c>
      <c r="AW217">
        <v>0</v>
      </c>
      <c r="AX217">
        <v>-3.1640188818333299</v>
      </c>
      <c r="AY217">
        <v>-3.2877689981749998</v>
      </c>
      <c r="AZ217">
        <v>0</v>
      </c>
      <c r="BA217">
        <v>-3.1083723685</v>
      </c>
      <c r="BB217">
        <v>-3.26443749496875</v>
      </c>
      <c r="BC217">
        <v>0</v>
      </c>
      <c r="BD217">
        <v>-3.5015374600250002</v>
      </c>
      <c r="BE217">
        <v>-3.5249988527761902</v>
      </c>
      <c r="BF217">
        <v>0</v>
      </c>
      <c r="BG217">
        <v>-3.6383573199473598</v>
      </c>
      <c r="BH217">
        <v>-3.6704551948300002</v>
      </c>
      <c r="BI217">
        <v>0</v>
      </c>
      <c r="BJ217">
        <v>-3.99276093561111</v>
      </c>
      <c r="BK217">
        <v>-4.0077743983157896</v>
      </c>
      <c r="BL217">
        <v>0</v>
      </c>
      <c r="BM217">
        <v>-4.0104364225333304</v>
      </c>
      <c r="BN217">
        <v>-4.1781954782499904</v>
      </c>
      <c r="BO217">
        <v>0</v>
      </c>
      <c r="BP217">
        <v>-4.0806900318666601</v>
      </c>
      <c r="BQ217">
        <v>-4.2447965217499997</v>
      </c>
      <c r="BR217">
        <v>0</v>
      </c>
    </row>
    <row r="218" spans="1:70" x14ac:dyDescent="0.35">
      <c r="A218" t="s">
        <v>804</v>
      </c>
      <c r="B218" t="s">
        <v>805</v>
      </c>
      <c r="C218" t="s">
        <v>806</v>
      </c>
      <c r="D218">
        <v>0</v>
      </c>
      <c r="E218" t="s">
        <v>330</v>
      </c>
      <c r="F218" t="str">
        <f>INDEX([1]train_xl!$H:$H,MATCH(E218,[1]train_xl!$G:$G,0))</f>
        <v>like</v>
      </c>
      <c r="G218" t="str">
        <f>INDEX([1]train_xl!$I:$I,MATCH(E218,[1]train_xl!$G:$G,0))</f>
        <v>sim</v>
      </c>
      <c r="H218" t="str">
        <f>INDEX([1]train_xl!$V:$V,MATCH(E218,[1]train_xl!$G:$G,0))</f>
        <v>not</v>
      </c>
      <c r="I218" t="str">
        <f>INDEX([2]Sheet1!$L:$L,MATCH(E218,[2]Sheet1!$I:$I,0))</f>
        <v>intens</v>
      </c>
      <c r="K218">
        <v>-4.2801907515714204</v>
      </c>
      <c r="L218">
        <v>-4.2279062198124997</v>
      </c>
      <c r="M218">
        <v>0</v>
      </c>
      <c r="N218">
        <v>-4.5038575271230696</v>
      </c>
      <c r="O218">
        <v>-4.4171462515066597</v>
      </c>
      <c r="P218">
        <v>0</v>
      </c>
      <c r="Q218">
        <v>-5.4755248703333299</v>
      </c>
      <c r="R218">
        <v>-5.2249925441428502</v>
      </c>
      <c r="S218">
        <v>0</v>
      </c>
      <c r="T218">
        <v>-5.5439123966666601</v>
      </c>
      <c r="U218">
        <v>-5.5030374272727203</v>
      </c>
      <c r="V218">
        <v>0</v>
      </c>
      <c r="W218">
        <v>-6.1390849888888797</v>
      </c>
      <c r="X218">
        <v>-5.6095023566363604</v>
      </c>
      <c r="Y218">
        <v>0</v>
      </c>
      <c r="Z218">
        <v>-3.70974717535714</v>
      </c>
      <c r="AA218">
        <v>-3.6225295473749899</v>
      </c>
      <c r="AB218">
        <v>0</v>
      </c>
      <c r="AC218">
        <v>-4.0670314815384598</v>
      </c>
      <c r="AD218">
        <v>-3.9767461879999999</v>
      </c>
      <c r="AE218">
        <v>0</v>
      </c>
      <c r="AF218">
        <v>-4.9646719791666598</v>
      </c>
      <c r="AG218">
        <v>-4.7662672800000001</v>
      </c>
      <c r="AH218">
        <v>0</v>
      </c>
      <c r="AI218">
        <v>-4.9101553888888798</v>
      </c>
      <c r="AJ218">
        <v>-4.7972540545454496</v>
      </c>
      <c r="AK218">
        <v>0</v>
      </c>
      <c r="AL218">
        <v>-5.3175078333333303</v>
      </c>
      <c r="AM218">
        <v>-4.9046986481818102</v>
      </c>
      <c r="AN218">
        <v>0</v>
      </c>
      <c r="AO218">
        <v>-5.0999485006428502</v>
      </c>
      <c r="AP218">
        <v>-4.6072594468750001</v>
      </c>
      <c r="AQ218">
        <v>0</v>
      </c>
      <c r="AR218">
        <v>-4.7192383646923002</v>
      </c>
      <c r="AS218">
        <v>-4.6601121559333301</v>
      </c>
      <c r="AT218">
        <v>0</v>
      </c>
      <c r="AU218">
        <v>-5.5474565237500002</v>
      </c>
      <c r="AV218">
        <v>-5.3539475067857101</v>
      </c>
      <c r="AW218">
        <v>0</v>
      </c>
      <c r="AX218">
        <v>-6.5243813728888798</v>
      </c>
      <c r="AY218">
        <v>-6.0443353459999898</v>
      </c>
      <c r="AZ218">
        <v>0</v>
      </c>
      <c r="BA218">
        <v>-6.4526806728888797</v>
      </c>
      <c r="BB218">
        <v>-5.9514248641818099</v>
      </c>
      <c r="BC218">
        <v>0</v>
      </c>
      <c r="BD218">
        <v>-4.0556836169285697</v>
      </c>
      <c r="BE218">
        <v>-4.0182869666874996</v>
      </c>
      <c r="BF218">
        <v>0</v>
      </c>
      <c r="BG218">
        <v>-4.3371029446153804</v>
      </c>
      <c r="BH218">
        <v>-4.2351095793333302</v>
      </c>
      <c r="BI218">
        <v>0</v>
      </c>
      <c r="BJ218">
        <v>-5.1969707433333303</v>
      </c>
      <c r="BK218">
        <v>-4.9887183207142796</v>
      </c>
      <c r="BL218">
        <v>0</v>
      </c>
      <c r="BM218">
        <v>-5.3836471066666602</v>
      </c>
      <c r="BN218">
        <v>-5.2842246818181797</v>
      </c>
      <c r="BO218">
        <v>0</v>
      </c>
      <c r="BP218">
        <v>-5.8258850299999896</v>
      </c>
      <c r="BQ218">
        <v>-5.4616543509090896</v>
      </c>
      <c r="BR218">
        <v>0</v>
      </c>
    </row>
    <row r="219" spans="1:70" x14ac:dyDescent="0.35">
      <c r="A219" t="s">
        <v>807</v>
      </c>
      <c r="B219" t="s">
        <v>805</v>
      </c>
      <c r="C219" t="s">
        <v>806</v>
      </c>
      <c r="D219">
        <v>1</v>
      </c>
      <c r="E219" t="s">
        <v>331</v>
      </c>
      <c r="F219" t="str">
        <f>INDEX([1]train_xl!$H:$H,MATCH(E219,[1]train_xl!$G:$G,0))</f>
        <v>like</v>
      </c>
      <c r="G219" t="str">
        <f>INDEX([1]train_xl!$I:$I,MATCH(E219,[1]train_xl!$G:$G,0))</f>
        <v>sim</v>
      </c>
      <c r="H219" t="str">
        <f>INDEX([1]train_xl!$V:$V,MATCH(E219,[1]train_xl!$G:$G,0))</f>
        <v>not</v>
      </c>
      <c r="I219" t="str">
        <f>INDEX([2]Sheet1!$L:$L,MATCH(E219,[2]Sheet1!$I:$I,0))</f>
        <v>neg</v>
      </c>
      <c r="K219">
        <v>-4.2949765823928496</v>
      </c>
      <c r="L219">
        <v>-3.883977989625</v>
      </c>
      <c r="M219">
        <v>1</v>
      </c>
      <c r="N219">
        <v>-4.5357985903076896</v>
      </c>
      <c r="O219">
        <v>-4.0030918436</v>
      </c>
      <c r="P219">
        <v>1</v>
      </c>
      <c r="Q219">
        <v>-5.6277513994166597</v>
      </c>
      <c r="R219">
        <v>-4.9822643302142797</v>
      </c>
      <c r="S219">
        <v>1</v>
      </c>
      <c r="T219">
        <v>-5.7632935622222199</v>
      </c>
      <c r="U219">
        <v>-5.0601268872727196</v>
      </c>
      <c r="V219">
        <v>1</v>
      </c>
      <c r="W219">
        <v>-5.8936624577777703</v>
      </c>
      <c r="X219">
        <v>-5.1051551127272701</v>
      </c>
      <c r="Y219">
        <v>1</v>
      </c>
      <c r="Z219">
        <v>-3.7221352290714198</v>
      </c>
      <c r="AA219">
        <v>-3.1965049683750002</v>
      </c>
      <c r="AB219">
        <v>1</v>
      </c>
      <c r="AC219">
        <v>-3.86269156576923</v>
      </c>
      <c r="AD219">
        <v>-3.2382085516666601</v>
      </c>
      <c r="AE219">
        <v>1</v>
      </c>
      <c r="AF219">
        <v>-4.8741154983333299</v>
      </c>
      <c r="AG219">
        <v>-4.1277920178571401</v>
      </c>
      <c r="AH219">
        <v>1</v>
      </c>
      <c r="AI219">
        <v>-4.7747717033333297</v>
      </c>
      <c r="AJ219">
        <v>-4.0717008654545399</v>
      </c>
      <c r="AK219">
        <v>1</v>
      </c>
      <c r="AL219">
        <v>-4.9053017888888801</v>
      </c>
      <c r="AM219">
        <v>-4.3284570336363597</v>
      </c>
      <c r="AN219">
        <v>1</v>
      </c>
      <c r="AO219">
        <v>-4.91913409839285</v>
      </c>
      <c r="AP219">
        <v>-4.1880239875937502</v>
      </c>
      <c r="AQ219">
        <v>1</v>
      </c>
      <c r="AR219">
        <v>-4.9452145108846102</v>
      </c>
      <c r="AS219">
        <v>-4.1636257706999897</v>
      </c>
      <c r="AT219">
        <v>1</v>
      </c>
      <c r="AU219">
        <v>-5.7545925043750001</v>
      </c>
      <c r="AV219">
        <v>-4.8621022123214201</v>
      </c>
      <c r="AW219">
        <v>1</v>
      </c>
      <c r="AX219">
        <v>-6.4122000095000002</v>
      </c>
      <c r="AY219">
        <v>-5.5802919441363601</v>
      </c>
      <c r="AZ219">
        <v>1</v>
      </c>
      <c r="BA219">
        <v>-5.9516656283888798</v>
      </c>
      <c r="BB219">
        <v>-5.32764422572727</v>
      </c>
      <c r="BC219">
        <v>1</v>
      </c>
      <c r="BD219">
        <v>-4.2818292572857102</v>
      </c>
      <c r="BE219">
        <v>-3.7443917774687501</v>
      </c>
      <c r="BF219">
        <v>1</v>
      </c>
      <c r="BG219">
        <v>-4.4844603023846101</v>
      </c>
      <c r="BH219">
        <v>-3.8722690380666598</v>
      </c>
      <c r="BI219">
        <v>1</v>
      </c>
      <c r="BJ219">
        <v>-5.4319640549999999</v>
      </c>
      <c r="BK219">
        <v>-4.64736608642857</v>
      </c>
      <c r="BL219">
        <v>1</v>
      </c>
      <c r="BM219">
        <v>-5.6065579711111102</v>
      </c>
      <c r="BN219">
        <v>-4.8970480345454499</v>
      </c>
      <c r="BO219">
        <v>1</v>
      </c>
      <c r="BP219">
        <v>-5.8670509033333298</v>
      </c>
      <c r="BQ219">
        <v>-5.1570909290909004</v>
      </c>
      <c r="BR219">
        <v>1</v>
      </c>
    </row>
    <row r="220" spans="1:70" x14ac:dyDescent="0.35">
      <c r="A220" t="s">
        <v>808</v>
      </c>
      <c r="B220" t="s">
        <v>809</v>
      </c>
      <c r="C220" t="s">
        <v>810</v>
      </c>
      <c r="D220">
        <v>0</v>
      </c>
      <c r="E220" t="s">
        <v>332</v>
      </c>
      <c r="F220" t="str">
        <f>INDEX([1]train_xl!$H:$H,MATCH(E220,[1]train_xl!$G:$G,0))</f>
        <v>like</v>
      </c>
      <c r="G220" t="str">
        <f>INDEX([1]train_xl!$I:$I,MATCH(E220,[1]train_xl!$G:$G,0))</f>
        <v>sim</v>
      </c>
      <c r="H220" t="str">
        <f>INDEX([1]train_xl!$V:$V,MATCH(E220,[1]train_xl!$G:$G,0))</f>
        <v>not</v>
      </c>
      <c r="I220" t="str">
        <f>INDEX([2]Sheet1!$L:$L,MATCH(E220,[2]Sheet1!$I:$I,0))</f>
        <v>intens</v>
      </c>
      <c r="K220">
        <v>-4.5665758873750004</v>
      </c>
      <c r="L220">
        <v>-4.6971654664705804</v>
      </c>
      <c r="M220">
        <v>1</v>
      </c>
      <c r="N220">
        <v>-4.8212599102666598</v>
      </c>
      <c r="O220">
        <v>-4.8297368986249998</v>
      </c>
      <c r="P220">
        <v>1</v>
      </c>
      <c r="Q220">
        <v>-5.6615244935714202</v>
      </c>
      <c r="R220">
        <v>-5.6462175421999996</v>
      </c>
      <c r="S220">
        <v>0</v>
      </c>
      <c r="T220">
        <v>-5.7257143681818103</v>
      </c>
      <c r="U220">
        <v>-5.9231144416666597</v>
      </c>
      <c r="V220">
        <v>1</v>
      </c>
      <c r="W220">
        <v>-6.1413117999999898</v>
      </c>
      <c r="X220">
        <v>-6.0812068641666599</v>
      </c>
      <c r="Y220">
        <v>0</v>
      </c>
      <c r="Z220">
        <v>-4.0089111146249996</v>
      </c>
      <c r="AA220">
        <v>-4.1615825245294102</v>
      </c>
      <c r="AB220">
        <v>1</v>
      </c>
      <c r="AC220">
        <v>-4.2299983699999997</v>
      </c>
      <c r="AD220">
        <v>-4.3134796031249998</v>
      </c>
      <c r="AE220">
        <v>1</v>
      </c>
      <c r="AF220">
        <v>-4.89440872357142</v>
      </c>
      <c r="AG220">
        <v>-4.93596638333333</v>
      </c>
      <c r="AH220">
        <v>1</v>
      </c>
      <c r="AI220">
        <v>-5.0319589545454502</v>
      </c>
      <c r="AJ220">
        <v>-5.35013829166666</v>
      </c>
      <c r="AK220">
        <v>1</v>
      </c>
      <c r="AL220">
        <v>-4.7877430363636302</v>
      </c>
      <c r="AM220">
        <v>-4.8354802000000001</v>
      </c>
      <c r="AN220">
        <v>1</v>
      </c>
      <c r="AO220">
        <v>-4.6692913825</v>
      </c>
      <c r="AP220">
        <v>-4.7727954964705797</v>
      </c>
      <c r="AQ220">
        <v>1</v>
      </c>
      <c r="AR220">
        <v>-4.6367974073333302</v>
      </c>
      <c r="AS220">
        <v>-4.6790597918749901</v>
      </c>
      <c r="AT220">
        <v>1</v>
      </c>
      <c r="AU220">
        <v>-5.3524529042857099</v>
      </c>
      <c r="AV220">
        <v>-5.3038649533333304</v>
      </c>
      <c r="AW220">
        <v>0</v>
      </c>
      <c r="AX220">
        <v>-5.8794560272727203</v>
      </c>
      <c r="AY220">
        <v>-6.0632368083333299</v>
      </c>
      <c r="AZ220">
        <v>1</v>
      </c>
      <c r="BA220">
        <v>-6.03067839090909</v>
      </c>
      <c r="BB220">
        <v>-5.9016785975000001</v>
      </c>
      <c r="BC220">
        <v>0</v>
      </c>
      <c r="BD220">
        <v>-3.7752287633125001</v>
      </c>
      <c r="BE220">
        <v>-3.9901626358823501</v>
      </c>
      <c r="BF220">
        <v>1</v>
      </c>
      <c r="BG220">
        <v>-3.99768669733333</v>
      </c>
      <c r="BH220">
        <v>-4.0828809824999999</v>
      </c>
      <c r="BI220">
        <v>1</v>
      </c>
      <c r="BJ220">
        <v>-4.7275149235714196</v>
      </c>
      <c r="BK220">
        <v>-4.8064434693333302</v>
      </c>
      <c r="BL220">
        <v>1</v>
      </c>
      <c r="BM220">
        <v>-4.6527243399999998</v>
      </c>
      <c r="BN220">
        <v>-5.0508704833333304</v>
      </c>
      <c r="BO220">
        <v>1</v>
      </c>
      <c r="BP220">
        <v>-4.9961460090909</v>
      </c>
      <c r="BQ220">
        <v>-5.06938355833333</v>
      </c>
      <c r="BR220">
        <v>1</v>
      </c>
    </row>
    <row r="221" spans="1:70" x14ac:dyDescent="0.35">
      <c r="A221" t="s">
        <v>811</v>
      </c>
      <c r="B221" t="s">
        <v>809</v>
      </c>
      <c r="C221" t="s">
        <v>810</v>
      </c>
      <c r="D221">
        <v>1</v>
      </c>
      <c r="E221" t="s">
        <v>333</v>
      </c>
      <c r="F221" t="str">
        <f>INDEX([1]train_xl!$H:$H,MATCH(E221,[1]train_xl!$G:$G,0))</f>
        <v>like</v>
      </c>
      <c r="G221" t="str">
        <f>INDEX([1]train_xl!$I:$I,MATCH(E221,[1]train_xl!$G:$G,0))</f>
        <v>sim</v>
      </c>
      <c r="H221" t="str">
        <f>INDEX([1]train_xl!$V:$V,MATCH(E221,[1]train_xl!$G:$G,0))</f>
        <v>not</v>
      </c>
      <c r="I221" t="str">
        <f>INDEX([2]Sheet1!$L:$L,MATCH(E221,[2]Sheet1!$I:$I,0))</f>
        <v>neg</v>
      </c>
      <c r="K221">
        <v>-3.9795741086062399</v>
      </c>
      <c r="L221">
        <v>-4.0518003305470502</v>
      </c>
      <c r="M221">
        <v>0</v>
      </c>
      <c r="N221">
        <v>-4.2570666987066597</v>
      </c>
      <c r="O221">
        <v>-4.1943190666875001</v>
      </c>
      <c r="P221">
        <v>1</v>
      </c>
      <c r="Q221">
        <v>-5.1914806734285701</v>
      </c>
      <c r="R221">
        <v>-5.0278730838666599</v>
      </c>
      <c r="S221">
        <v>1</v>
      </c>
      <c r="T221">
        <v>-5.3522183272727197</v>
      </c>
      <c r="U221">
        <v>-5.1424550499999997</v>
      </c>
      <c r="V221">
        <v>1</v>
      </c>
      <c r="W221">
        <v>-5.5554376272727204</v>
      </c>
      <c r="X221">
        <v>-5.4099254749999997</v>
      </c>
      <c r="Y221">
        <v>1</v>
      </c>
      <c r="Z221">
        <v>-3.83370967037499</v>
      </c>
      <c r="AA221">
        <v>-3.7455944932941101</v>
      </c>
      <c r="AB221">
        <v>1</v>
      </c>
      <c r="AC221">
        <v>-4.0430754726666596</v>
      </c>
      <c r="AD221">
        <v>-3.8423415343749898</v>
      </c>
      <c r="AE221">
        <v>1</v>
      </c>
      <c r="AF221">
        <v>-4.7980043478571401</v>
      </c>
      <c r="AG221">
        <v>-4.5751249326666601</v>
      </c>
      <c r="AH221">
        <v>1</v>
      </c>
      <c r="AI221">
        <v>-4.9754617818181801</v>
      </c>
      <c r="AJ221">
        <v>-4.5647963749999896</v>
      </c>
      <c r="AK221">
        <v>1</v>
      </c>
      <c r="AL221">
        <v>-4.6737435181818103</v>
      </c>
      <c r="AM221">
        <v>-4.4428859724999903</v>
      </c>
      <c r="AN221">
        <v>1</v>
      </c>
      <c r="AO221">
        <v>-4.5687689138750001</v>
      </c>
      <c r="AP221">
        <v>-4.3826327964705802</v>
      </c>
      <c r="AQ221">
        <v>1</v>
      </c>
      <c r="AR221">
        <v>-4.5909558693333299</v>
      </c>
      <c r="AS221">
        <v>-4.2537781043749998</v>
      </c>
      <c r="AT221">
        <v>1</v>
      </c>
      <c r="AU221">
        <v>-5.3945046142857098</v>
      </c>
      <c r="AV221">
        <v>-5.07815050199999</v>
      </c>
      <c r="AW221">
        <v>1</v>
      </c>
      <c r="AX221">
        <v>-6.1219440909090901</v>
      </c>
      <c r="AY221">
        <v>-5.5798875916666599</v>
      </c>
      <c r="AZ221">
        <v>1</v>
      </c>
      <c r="BA221">
        <v>-6.3326129545454499</v>
      </c>
      <c r="BB221">
        <v>-5.4365168399166599</v>
      </c>
      <c r="BC221">
        <v>1</v>
      </c>
      <c r="BD221">
        <v>-3.8900746289374899</v>
      </c>
      <c r="BE221">
        <v>-3.8379050007647</v>
      </c>
      <c r="BF221">
        <v>1</v>
      </c>
      <c r="BG221">
        <v>-4.1226112853333303</v>
      </c>
      <c r="BH221">
        <v>-3.90223855374999</v>
      </c>
      <c r="BI221">
        <v>1</v>
      </c>
      <c r="BJ221">
        <v>-4.7602301300000001</v>
      </c>
      <c r="BK221">
        <v>-4.4500349586666603</v>
      </c>
      <c r="BL221">
        <v>1</v>
      </c>
      <c r="BM221">
        <v>-5.1827423727272697</v>
      </c>
      <c r="BN221">
        <v>-4.6969262749999903</v>
      </c>
      <c r="BO221">
        <v>1</v>
      </c>
      <c r="BP221">
        <v>-4.9716010272727198</v>
      </c>
      <c r="BQ221">
        <v>-4.7646989333333298</v>
      </c>
      <c r="BR221">
        <v>1</v>
      </c>
    </row>
    <row r="222" spans="1:70" x14ac:dyDescent="0.35">
      <c r="A222" t="s">
        <v>812</v>
      </c>
      <c r="B222" t="s">
        <v>813</v>
      </c>
      <c r="C222" t="s">
        <v>814</v>
      </c>
      <c r="D222">
        <v>0</v>
      </c>
      <c r="E222" t="s">
        <v>334</v>
      </c>
      <c r="F222" t="str">
        <f>INDEX([1]train_xl!$H:$H,MATCH(E222,[1]train_xl!$G:$G,0))</f>
        <v/>
      </c>
      <c r="G222" t="str">
        <f>INDEX([1]train_xl!$I:$I,MATCH(E222,[1]train_xl!$G:$G,0))</f>
        <v>met</v>
      </c>
      <c r="H222" t="str">
        <f>INDEX([1]train_xl!$V:$V,MATCH(E222,[1]train_xl!$G:$G,0))</f>
        <v>0</v>
      </c>
      <c r="I222" t="str">
        <f>INDEX([2]Sheet1!$L:$L,MATCH(E222,[2]Sheet1!$I:$I,0))</f>
        <v>intens</v>
      </c>
      <c r="K222">
        <v>-3.76116645323888</v>
      </c>
      <c r="L222">
        <v>-3.8577440090105202</v>
      </c>
      <c r="M222">
        <v>1</v>
      </c>
      <c r="N222">
        <v>-3.8490617012352901</v>
      </c>
      <c r="O222">
        <v>-3.9446042407999999</v>
      </c>
      <c r="P222">
        <v>1</v>
      </c>
      <c r="Q222">
        <v>-4.4831535520000001</v>
      </c>
      <c r="R222">
        <v>-4.5563683831764701</v>
      </c>
      <c r="S222">
        <v>1</v>
      </c>
      <c r="T222">
        <v>-4.64624552307692</v>
      </c>
      <c r="U222">
        <v>-4.7946183964285698</v>
      </c>
      <c r="V222">
        <v>1</v>
      </c>
      <c r="W222">
        <v>-5.07323698461538</v>
      </c>
      <c r="X222">
        <v>-5.0223480607142799</v>
      </c>
      <c r="Y222">
        <v>0</v>
      </c>
      <c r="Z222">
        <v>-3.7328581007222201</v>
      </c>
      <c r="AA222">
        <v>-3.80293443505263</v>
      </c>
      <c r="AB222">
        <v>1</v>
      </c>
      <c r="AC222">
        <v>-3.80261806011764</v>
      </c>
      <c r="AD222">
        <v>-3.9584124612777698</v>
      </c>
      <c r="AE222">
        <v>1</v>
      </c>
      <c r="AF222">
        <v>-4.3748917956250004</v>
      </c>
      <c r="AG222">
        <v>-4.5062030911764701</v>
      </c>
      <c r="AH222">
        <v>1</v>
      </c>
      <c r="AI222">
        <v>-4.5369180692307598</v>
      </c>
      <c r="AJ222">
        <v>-4.6487981571428501</v>
      </c>
      <c r="AK222">
        <v>1</v>
      </c>
      <c r="AL222">
        <v>-4.8478343153846097</v>
      </c>
      <c r="AM222">
        <v>-4.7992637071428499</v>
      </c>
      <c r="AN222">
        <v>0</v>
      </c>
      <c r="AO222">
        <v>-3.2567354210000001</v>
      </c>
      <c r="AP222">
        <v>-3.3901474099999902</v>
      </c>
      <c r="AQ222">
        <v>1</v>
      </c>
      <c r="AR222">
        <v>-3.3919044741176401</v>
      </c>
      <c r="AS222">
        <v>-3.5471642183333301</v>
      </c>
      <c r="AT222">
        <v>1</v>
      </c>
      <c r="AU222">
        <v>-3.85774959187499</v>
      </c>
      <c r="AV222">
        <v>-3.9622880435294099</v>
      </c>
      <c r="AW222">
        <v>1</v>
      </c>
      <c r="AX222">
        <v>-4.0361806076922999</v>
      </c>
      <c r="AY222">
        <v>-4.2203225928571397</v>
      </c>
      <c r="AZ222">
        <v>1</v>
      </c>
      <c r="BA222">
        <v>-4.2771069769230703</v>
      </c>
      <c r="BB222">
        <v>-4.3320652714285703</v>
      </c>
      <c r="BC222">
        <v>1</v>
      </c>
      <c r="BD222">
        <v>-3.9286003458888801</v>
      </c>
      <c r="BE222">
        <v>-4.0080512482631496</v>
      </c>
      <c r="BF222">
        <v>1</v>
      </c>
      <c r="BG222">
        <v>-4.1716506731176404</v>
      </c>
      <c r="BH222">
        <v>-4.2248076377777704</v>
      </c>
      <c r="BI222">
        <v>1</v>
      </c>
      <c r="BJ222">
        <v>-4.6287947712499902</v>
      </c>
      <c r="BK222">
        <v>-4.74628508470588</v>
      </c>
      <c r="BL222">
        <v>1</v>
      </c>
      <c r="BM222">
        <v>-4.8541706461538396</v>
      </c>
      <c r="BN222">
        <v>-4.9525308285714198</v>
      </c>
      <c r="BO222">
        <v>1</v>
      </c>
      <c r="BP222">
        <v>-5.21807688461538</v>
      </c>
      <c r="BQ222">
        <v>-5.1833674999999904</v>
      </c>
      <c r="BR222">
        <v>0</v>
      </c>
    </row>
    <row r="223" spans="1:70" x14ac:dyDescent="0.35">
      <c r="A223" t="s">
        <v>815</v>
      </c>
      <c r="B223" t="s">
        <v>813</v>
      </c>
      <c r="C223" t="s">
        <v>814</v>
      </c>
      <c r="D223">
        <v>1</v>
      </c>
      <c r="E223" t="s">
        <v>335</v>
      </c>
      <c r="F223" t="str">
        <f>INDEX([1]train_xl!$H:$H,MATCH(E223,[1]train_xl!$G:$G,0))</f>
        <v>the-of</v>
      </c>
      <c r="G223" t="str">
        <f>INDEX([1]train_xl!$I:$I,MATCH(E223,[1]train_xl!$G:$G,0))</f>
        <v>sim</v>
      </c>
      <c r="H223" t="str">
        <f>INDEX([1]train_xl!$V:$V,MATCH(E223,[1]train_xl!$G:$G,0))</f>
        <v>0</v>
      </c>
      <c r="I223" t="str">
        <f>INDEX([2]Sheet1!$L:$L,MATCH(E223,[2]Sheet1!$I:$I,0))</f>
        <v>neg</v>
      </c>
      <c r="K223">
        <v>-3.89559571266666</v>
      </c>
      <c r="L223">
        <v>-3.5537705088894702</v>
      </c>
      <c r="M223">
        <v>1</v>
      </c>
      <c r="N223">
        <v>-4.0803468009176402</v>
      </c>
      <c r="O223">
        <v>-3.7013717176833301</v>
      </c>
      <c r="P223">
        <v>1</v>
      </c>
      <c r="Q223">
        <v>-4.8382620487499999</v>
      </c>
      <c r="R223">
        <v>-4.3282309964705803</v>
      </c>
      <c r="S223">
        <v>1</v>
      </c>
      <c r="T223">
        <v>-4.9612375769230699</v>
      </c>
      <c r="U223">
        <v>-4.51795398214285</v>
      </c>
      <c r="V223">
        <v>1</v>
      </c>
      <c r="W223">
        <v>-5.3379602230769203</v>
      </c>
      <c r="X223">
        <v>-4.9862749535714199</v>
      </c>
      <c r="Y223">
        <v>1</v>
      </c>
      <c r="Z223">
        <v>-3.8312348660555502</v>
      </c>
      <c r="AA223">
        <v>-3.4851247796315699</v>
      </c>
      <c r="AB223">
        <v>1</v>
      </c>
      <c r="AC223">
        <v>-4.03721083588235</v>
      </c>
      <c r="AD223">
        <v>-3.6230366711666599</v>
      </c>
      <c r="AE223">
        <v>1</v>
      </c>
      <c r="AF223">
        <v>-4.6193718860624999</v>
      </c>
      <c r="AG223">
        <v>-4.1443843770588202</v>
      </c>
      <c r="AH223">
        <v>1</v>
      </c>
      <c r="AI223">
        <v>-4.8074369692307597</v>
      </c>
      <c r="AJ223">
        <v>-4.3684847285714197</v>
      </c>
      <c r="AK223">
        <v>1</v>
      </c>
      <c r="AL223">
        <v>-4.9730620615384602</v>
      </c>
      <c r="AM223">
        <v>-4.5360484357142798</v>
      </c>
      <c r="AN223">
        <v>1</v>
      </c>
      <c r="AO223">
        <v>-3.5388565087777701</v>
      </c>
      <c r="AP223">
        <v>-3.21541041073684</v>
      </c>
      <c r="AQ223">
        <v>1</v>
      </c>
      <c r="AR223">
        <v>-3.7668264756470502</v>
      </c>
      <c r="AS223">
        <v>-3.3283037261111099</v>
      </c>
      <c r="AT223">
        <v>1</v>
      </c>
      <c r="AU223">
        <v>-4.2028964881249999</v>
      </c>
      <c r="AV223">
        <v>-3.7974216103529401</v>
      </c>
      <c r="AW223">
        <v>1</v>
      </c>
      <c r="AX223">
        <v>-4.3178733230769204</v>
      </c>
      <c r="AY223">
        <v>-3.9571049714285702</v>
      </c>
      <c r="AZ223">
        <v>1</v>
      </c>
      <c r="BA223">
        <v>-4.5152126076923</v>
      </c>
      <c r="BB223">
        <v>-4.1729841714285696</v>
      </c>
      <c r="BC223">
        <v>1</v>
      </c>
      <c r="BD223">
        <v>-4.0441065066999897</v>
      </c>
      <c r="BE223">
        <v>-3.7213635538947298</v>
      </c>
      <c r="BF223">
        <v>1</v>
      </c>
      <c r="BG223">
        <v>-4.2761307608823502</v>
      </c>
      <c r="BH223">
        <v>-3.8839550657222199</v>
      </c>
      <c r="BI223">
        <v>1</v>
      </c>
      <c r="BJ223">
        <v>-4.9493946499999897</v>
      </c>
      <c r="BK223">
        <v>-4.4534223139999902</v>
      </c>
      <c r="BL223">
        <v>1</v>
      </c>
      <c r="BM223">
        <v>-5.1945775230769202</v>
      </c>
      <c r="BN223">
        <v>-4.7413812071428501</v>
      </c>
      <c r="BO223">
        <v>1</v>
      </c>
      <c r="BP223">
        <v>-5.3746369538461503</v>
      </c>
      <c r="BQ223">
        <v>-4.9280595785714203</v>
      </c>
      <c r="BR223">
        <v>1</v>
      </c>
    </row>
    <row r="224" spans="1:70" x14ac:dyDescent="0.35">
      <c r="A224" t="s">
        <v>816</v>
      </c>
      <c r="B224" t="s">
        <v>56</v>
      </c>
      <c r="C224" t="s">
        <v>817</v>
      </c>
      <c r="D224">
        <v>0</v>
      </c>
      <c r="E224" t="s">
        <v>336</v>
      </c>
      <c r="F224" t="str">
        <f>INDEX([1]train_xl!$H:$H,MATCH(E224,[1]train_xl!$G:$G,0))</f>
        <v>like</v>
      </c>
      <c r="G224" t="str">
        <f>INDEX([1]train_xl!$I:$I,MATCH(E224,[1]train_xl!$G:$G,0))</f>
        <v>sim</v>
      </c>
      <c r="H224" t="str">
        <f>INDEX([1]train_xl!$V:$V,MATCH(E224,[1]train_xl!$G:$G,0))</f>
        <v>not</v>
      </c>
      <c r="I224" t="str">
        <f>INDEX([2]Sheet1!$L:$L,MATCH(E224,[2]Sheet1!$I:$I,0))</f>
        <v>intens</v>
      </c>
      <c r="K224">
        <v>-3.8056521257894702</v>
      </c>
      <c r="L224">
        <v>-3.8272624070000001</v>
      </c>
      <c r="M224">
        <v>1</v>
      </c>
      <c r="N224">
        <v>-4.0102486955555499</v>
      </c>
      <c r="O224">
        <v>-4.1121279544210498</v>
      </c>
      <c r="P224">
        <v>1</v>
      </c>
      <c r="Q224">
        <v>-4.7541706282352898</v>
      </c>
      <c r="R224">
        <v>-4.8086646958888899</v>
      </c>
      <c r="S224">
        <v>1</v>
      </c>
      <c r="T224">
        <v>-4.3159779399999998</v>
      </c>
      <c r="U224">
        <v>-4.4891179419999903</v>
      </c>
      <c r="V224">
        <v>1</v>
      </c>
      <c r="W224">
        <v>-4.5201873178571397</v>
      </c>
      <c r="X224">
        <v>-4.4778958399999897</v>
      </c>
      <c r="Y224">
        <v>0</v>
      </c>
      <c r="Z224">
        <v>-3.9169853273684199</v>
      </c>
      <c r="AA224">
        <v>-3.93812939675</v>
      </c>
      <c r="AB224">
        <v>1</v>
      </c>
      <c r="AC224">
        <v>-4.0430360529999998</v>
      </c>
      <c r="AD224">
        <v>-4.1329641976315701</v>
      </c>
      <c r="AE224">
        <v>1</v>
      </c>
      <c r="AF224">
        <v>-4.6952883841176396</v>
      </c>
      <c r="AG224">
        <v>-4.7423481794444404</v>
      </c>
      <c r="AH224">
        <v>1</v>
      </c>
      <c r="AI224">
        <v>-4.59408514999999</v>
      </c>
      <c r="AJ224">
        <v>-4.7242405733333301</v>
      </c>
      <c r="AK224">
        <v>1</v>
      </c>
      <c r="AL224">
        <v>-4.7726244285714197</v>
      </c>
      <c r="AM224">
        <v>-4.5767351066666597</v>
      </c>
      <c r="AN224">
        <v>0</v>
      </c>
      <c r="AO224">
        <v>-3.9792473121052598</v>
      </c>
      <c r="AP224">
        <v>-3.9603256275000001</v>
      </c>
      <c r="AQ224">
        <v>0</v>
      </c>
      <c r="AR224">
        <v>-3.8922892099999999</v>
      </c>
      <c r="AS224">
        <v>-3.95955916705263</v>
      </c>
      <c r="AT224">
        <v>1</v>
      </c>
      <c r="AU224">
        <v>-4.4941279058823502</v>
      </c>
      <c r="AV224">
        <v>-4.52288408722222</v>
      </c>
      <c r="AW224">
        <v>1</v>
      </c>
      <c r="AX224">
        <v>-4.3539546071428497</v>
      </c>
      <c r="AY224">
        <v>-4.4613175800000002</v>
      </c>
      <c r="AZ224">
        <v>1</v>
      </c>
      <c r="BA224">
        <v>-4.5654697857142796</v>
      </c>
      <c r="BB224">
        <v>-4.5210152933333303</v>
      </c>
      <c r="BC224">
        <v>0</v>
      </c>
      <c r="BD224">
        <v>-3.9370364442105199</v>
      </c>
      <c r="BE224">
        <v>-3.9626574567000001</v>
      </c>
      <c r="BF224">
        <v>1</v>
      </c>
      <c r="BG224">
        <v>-4.0862192522222198</v>
      </c>
      <c r="BH224">
        <v>-4.1706531399999998</v>
      </c>
      <c r="BI224">
        <v>1</v>
      </c>
      <c r="BJ224">
        <v>-4.6672767994117601</v>
      </c>
      <c r="BK224">
        <v>-4.7253136283333301</v>
      </c>
      <c r="BL224">
        <v>1</v>
      </c>
      <c r="BM224">
        <v>-4.6233930928571398</v>
      </c>
      <c r="BN224">
        <v>-4.7671657533333303</v>
      </c>
      <c r="BO224">
        <v>1</v>
      </c>
      <c r="BP224">
        <v>-4.7763847214285704</v>
      </c>
      <c r="BQ224">
        <v>-4.6783449199999998</v>
      </c>
      <c r="BR224">
        <v>0</v>
      </c>
    </row>
    <row r="225" spans="1:70" x14ac:dyDescent="0.35">
      <c r="A225" t="s">
        <v>818</v>
      </c>
      <c r="B225" t="s">
        <v>56</v>
      </c>
      <c r="C225" t="s">
        <v>817</v>
      </c>
      <c r="D225">
        <v>1</v>
      </c>
      <c r="E225" t="s">
        <v>337</v>
      </c>
      <c r="F225" t="str">
        <f>INDEX([1]train_xl!$H:$H,MATCH(E225,[1]train_xl!$G:$G,0))</f>
        <v>like</v>
      </c>
      <c r="G225" t="str">
        <f>INDEX([1]train_xl!$I:$I,MATCH(E225,[1]train_xl!$G:$G,0))</f>
        <v>sim</v>
      </c>
      <c r="H225" t="str">
        <f>INDEX([1]train_xl!$V:$V,MATCH(E225,[1]train_xl!$G:$G,0))</f>
        <v>not</v>
      </c>
      <c r="I225" t="str">
        <f>INDEX([2]Sheet1!$L:$L,MATCH(E225,[2]Sheet1!$I:$I,0))</f>
        <v>neg</v>
      </c>
      <c r="K225">
        <v>-4.2335291167368396</v>
      </c>
      <c r="L225">
        <v>-3.9142847283500002</v>
      </c>
      <c r="M225">
        <v>1</v>
      </c>
      <c r="N225">
        <v>-4.3890376652777698</v>
      </c>
      <c r="O225">
        <v>-4.0177699902631501</v>
      </c>
      <c r="P225">
        <v>1</v>
      </c>
      <c r="Q225">
        <v>-5.0791783309999996</v>
      </c>
      <c r="R225">
        <v>-4.7130129251111104</v>
      </c>
      <c r="S225">
        <v>1</v>
      </c>
      <c r="T225">
        <v>-4.9425379857142797</v>
      </c>
      <c r="U225">
        <v>-4.5133589360000004</v>
      </c>
      <c r="V225">
        <v>1</v>
      </c>
      <c r="W225">
        <v>-5.0042857428571397</v>
      </c>
      <c r="X225">
        <v>-4.7004387866666599</v>
      </c>
      <c r="Y225">
        <v>1</v>
      </c>
      <c r="Z225">
        <v>-4.2406066878947302</v>
      </c>
      <c r="AA225">
        <v>-4.0035658247499999</v>
      </c>
      <c r="AB225">
        <v>1</v>
      </c>
      <c r="AC225">
        <v>-4.4027177427777699</v>
      </c>
      <c r="AD225">
        <v>-4.0768649636842103</v>
      </c>
      <c r="AE225">
        <v>1</v>
      </c>
      <c r="AF225">
        <v>-5.0438612858823504</v>
      </c>
      <c r="AG225">
        <v>-4.7115173549999998</v>
      </c>
      <c r="AH225">
        <v>1</v>
      </c>
      <c r="AI225">
        <v>-5.0423344714285703</v>
      </c>
      <c r="AJ225">
        <v>-4.7390192733333301</v>
      </c>
      <c r="AK225">
        <v>1</v>
      </c>
      <c r="AL225">
        <v>-5.15770570714285</v>
      </c>
      <c r="AM225">
        <v>-4.7893927066666597</v>
      </c>
      <c r="AN225">
        <v>1</v>
      </c>
      <c r="AO225">
        <v>-4.4186642426315696</v>
      </c>
      <c r="AP225">
        <v>-4.1686783658</v>
      </c>
      <c r="AQ225">
        <v>1</v>
      </c>
      <c r="AR225">
        <v>-4.40084254611111</v>
      </c>
      <c r="AS225">
        <v>-4.1138344068421002</v>
      </c>
      <c r="AT225">
        <v>1</v>
      </c>
      <c r="AU225">
        <v>-4.9586147535294103</v>
      </c>
      <c r="AV225">
        <v>-4.65256155111111</v>
      </c>
      <c r="AW225">
        <v>1</v>
      </c>
      <c r="AX225">
        <v>-4.9442604464285704</v>
      </c>
      <c r="AY225">
        <v>-4.5970359133333298</v>
      </c>
      <c r="AZ225">
        <v>1</v>
      </c>
      <c r="BA225">
        <v>-5.0743800285714302</v>
      </c>
      <c r="BB225">
        <v>-4.8047017466666597</v>
      </c>
      <c r="BC225">
        <v>1</v>
      </c>
      <c r="BD225">
        <v>-4.1906992197368398</v>
      </c>
      <c r="BE225">
        <v>-3.9604459062999902</v>
      </c>
      <c r="BF225">
        <v>1</v>
      </c>
      <c r="BG225">
        <v>-4.40208138166666</v>
      </c>
      <c r="BH225">
        <v>-4.1023393757894704</v>
      </c>
      <c r="BI225">
        <v>1</v>
      </c>
      <c r="BJ225">
        <v>-4.9950359782352898</v>
      </c>
      <c r="BK225">
        <v>-4.6825806455555501</v>
      </c>
      <c r="BL225">
        <v>1</v>
      </c>
      <c r="BM225">
        <v>-5.01091458285714</v>
      </c>
      <c r="BN225">
        <v>-4.6796918639999996</v>
      </c>
      <c r="BO225">
        <v>1</v>
      </c>
      <c r="BP225">
        <v>-5.1287721357142804</v>
      </c>
      <c r="BQ225">
        <v>-4.7899040333333298</v>
      </c>
      <c r="BR225">
        <v>1</v>
      </c>
    </row>
    <row r="226" spans="1:70" x14ac:dyDescent="0.35">
      <c r="A226" t="s">
        <v>819</v>
      </c>
      <c r="B226" t="s">
        <v>820</v>
      </c>
      <c r="C226" t="s">
        <v>57</v>
      </c>
      <c r="D226">
        <v>0</v>
      </c>
      <c r="E226" t="s">
        <v>338</v>
      </c>
      <c r="F226" t="str">
        <f>INDEX([1]train_xl!$H:$H,MATCH(E226,[1]train_xl!$G:$G,0))</f>
        <v>the-of</v>
      </c>
      <c r="G226" t="str">
        <f>INDEX([1]train_xl!$I:$I,MATCH(E226,[1]train_xl!$G:$G,0))</f>
        <v>sim</v>
      </c>
      <c r="H226" t="str">
        <f>INDEX([1]train_xl!$V:$V,MATCH(E226,[1]train_xl!$G:$G,0))</f>
        <v>not</v>
      </c>
      <c r="I226" t="str">
        <f>INDEX([2]Sheet1!$L:$L,MATCH(E226,[2]Sheet1!$I:$I,0))</f>
        <v>neg</v>
      </c>
      <c r="K226">
        <v>-3.1480876451176401</v>
      </c>
      <c r="L226">
        <v>-3.4192055509374999</v>
      </c>
      <c r="M226">
        <v>1</v>
      </c>
      <c r="N226">
        <v>-3.4318131075</v>
      </c>
      <c r="O226">
        <v>-3.7443302039333299</v>
      </c>
      <c r="P226">
        <v>1</v>
      </c>
      <c r="Q226">
        <v>-4.1007991246666604</v>
      </c>
      <c r="R226">
        <v>-4.48250374642857</v>
      </c>
      <c r="S226">
        <v>1</v>
      </c>
      <c r="T226">
        <v>-4.0134194908333303</v>
      </c>
      <c r="U226">
        <v>-4.3465685745454499</v>
      </c>
      <c r="V226">
        <v>1</v>
      </c>
      <c r="W226">
        <v>-4.0837046916666599</v>
      </c>
      <c r="X226">
        <v>-4.3484345145454499</v>
      </c>
      <c r="Y226">
        <v>1</v>
      </c>
      <c r="Z226">
        <v>-3.98814951394117</v>
      </c>
      <c r="AA226">
        <v>-4.2709899831250002</v>
      </c>
      <c r="AB226">
        <v>1</v>
      </c>
      <c r="AC226">
        <v>-4.3614752656249998</v>
      </c>
      <c r="AD226">
        <v>-4.6456413466666602</v>
      </c>
      <c r="AE226">
        <v>1</v>
      </c>
      <c r="AF226">
        <v>-5.1464578453333303</v>
      </c>
      <c r="AG226">
        <v>-5.4374069757142802</v>
      </c>
      <c r="AH226">
        <v>1</v>
      </c>
      <c r="AI226">
        <v>-5.1687190416666597</v>
      </c>
      <c r="AJ226">
        <v>-5.4771759972727203</v>
      </c>
      <c r="AK226">
        <v>1</v>
      </c>
      <c r="AL226">
        <v>-5.1567706033333298</v>
      </c>
      <c r="AM226">
        <v>-5.4395579999999999</v>
      </c>
      <c r="AN226">
        <v>1</v>
      </c>
      <c r="AO226">
        <v>-3.88127277823529</v>
      </c>
      <c r="AP226">
        <v>-4.1253118637499897</v>
      </c>
      <c r="AQ226">
        <v>1</v>
      </c>
      <c r="AR226">
        <v>-3.8029006056249899</v>
      </c>
      <c r="AS226">
        <v>-4.0436396566666604</v>
      </c>
      <c r="AT226">
        <v>1</v>
      </c>
      <c r="AU226">
        <v>-4.33675628066666</v>
      </c>
      <c r="AV226">
        <v>-4.6217890185714197</v>
      </c>
      <c r="AW226">
        <v>1</v>
      </c>
      <c r="AX226">
        <v>-4.5920636833333299</v>
      </c>
      <c r="AY226">
        <v>-4.8865519818181804</v>
      </c>
      <c r="AZ226">
        <v>1</v>
      </c>
      <c r="BA226">
        <v>-4.7322418333333296</v>
      </c>
      <c r="BB226">
        <v>-4.8852325599999897</v>
      </c>
      <c r="BC226">
        <v>1</v>
      </c>
      <c r="BD226">
        <v>-4.0674854927058801</v>
      </c>
      <c r="BE226">
        <v>-4.3579817971874997</v>
      </c>
      <c r="BF226">
        <v>1</v>
      </c>
      <c r="BG226">
        <v>-4.3801420268750002</v>
      </c>
      <c r="BH226">
        <v>-4.701988922</v>
      </c>
      <c r="BI226">
        <v>1</v>
      </c>
      <c r="BJ226">
        <v>-5.1612039699999999</v>
      </c>
      <c r="BK226">
        <v>-5.5200629485714199</v>
      </c>
      <c r="BL226">
        <v>1</v>
      </c>
      <c r="BM226">
        <v>-5.3056475716666602</v>
      </c>
      <c r="BN226">
        <v>-5.66164354545454</v>
      </c>
      <c r="BO226">
        <v>1</v>
      </c>
      <c r="BP226">
        <v>-5.3001274374999996</v>
      </c>
      <c r="BQ226">
        <v>-5.1972102727272702</v>
      </c>
      <c r="BR226">
        <v>0</v>
      </c>
    </row>
    <row r="227" spans="1:70" x14ac:dyDescent="0.35">
      <c r="A227" t="s">
        <v>821</v>
      </c>
      <c r="B227" t="s">
        <v>820</v>
      </c>
      <c r="C227" t="s">
        <v>57</v>
      </c>
      <c r="D227">
        <v>1</v>
      </c>
      <c r="E227" t="s">
        <v>339</v>
      </c>
      <c r="F227" t="str">
        <f>INDEX([1]train_xl!$H:$H,MATCH(E227,[1]train_xl!$G:$G,0))</f>
        <v>the-of</v>
      </c>
      <c r="G227" t="str">
        <f>INDEX([1]train_xl!$I:$I,MATCH(E227,[1]train_xl!$G:$G,0))</f>
        <v>sim</v>
      </c>
      <c r="H227" t="str">
        <f>INDEX([1]train_xl!$V:$V,MATCH(E227,[1]train_xl!$G:$G,0))</f>
        <v>not</v>
      </c>
      <c r="I227" t="str">
        <f>INDEX([2]Sheet1!$L:$L,MATCH(E227,[2]Sheet1!$I:$I,0))</f>
        <v>intens</v>
      </c>
      <c r="K227">
        <v>-3.15230610170588</v>
      </c>
      <c r="L227">
        <v>-2.8380681928125</v>
      </c>
      <c r="M227">
        <v>1</v>
      </c>
      <c r="N227">
        <v>-3.4057240476874999</v>
      </c>
      <c r="O227">
        <v>-3.1116321548666601</v>
      </c>
      <c r="P227">
        <v>1</v>
      </c>
      <c r="Q227">
        <v>-4.0233289656000002</v>
      </c>
      <c r="R227">
        <v>-3.7140449900000001</v>
      </c>
      <c r="S227">
        <v>1</v>
      </c>
      <c r="T227">
        <v>-3.7449468349999999</v>
      </c>
      <c r="U227">
        <v>-3.5791908699999899</v>
      </c>
      <c r="V227">
        <v>1</v>
      </c>
      <c r="W227">
        <v>-3.9024359749999999</v>
      </c>
      <c r="X227">
        <v>-3.8129983363636302</v>
      </c>
      <c r="Y227">
        <v>1</v>
      </c>
      <c r="Z227">
        <v>-3.9014565198823501</v>
      </c>
      <c r="AA227">
        <v>-3.7148155141249899</v>
      </c>
      <c r="AB227">
        <v>1</v>
      </c>
      <c r="AC227">
        <v>-4.2443757306249896</v>
      </c>
      <c r="AD227">
        <v>-4.0944112739999996</v>
      </c>
      <c r="AE227">
        <v>1</v>
      </c>
      <c r="AF227">
        <v>-4.8861630066666599</v>
      </c>
      <c r="AG227">
        <v>-4.7605018785714197</v>
      </c>
      <c r="AH227">
        <v>1</v>
      </c>
      <c r="AI227">
        <v>-4.9357263366666597</v>
      </c>
      <c r="AJ227">
        <v>-4.8906752763636296</v>
      </c>
      <c r="AK227">
        <v>1</v>
      </c>
      <c r="AL227">
        <v>-5.0115399949999997</v>
      </c>
      <c r="AM227">
        <v>-4.9879720090908997</v>
      </c>
      <c r="AN227">
        <v>1</v>
      </c>
      <c r="AO227">
        <v>-3.63301362999999</v>
      </c>
      <c r="AP227">
        <v>-3.4573120456250002</v>
      </c>
      <c r="AQ227">
        <v>1</v>
      </c>
      <c r="AR227">
        <v>-3.6291223881249999</v>
      </c>
      <c r="AS227">
        <v>-3.4134434133333298</v>
      </c>
      <c r="AT227">
        <v>1</v>
      </c>
      <c r="AU227">
        <v>-4.2295712986666603</v>
      </c>
      <c r="AV227">
        <v>-4.0539275492857101</v>
      </c>
      <c r="AW227">
        <v>1</v>
      </c>
      <c r="AX227">
        <v>-4.3774125583333303</v>
      </c>
      <c r="AY227">
        <v>-4.2111331818181803</v>
      </c>
      <c r="AZ227">
        <v>1</v>
      </c>
      <c r="BA227">
        <v>-4.3703060975000003</v>
      </c>
      <c r="BB227">
        <v>-4.3648347927272697</v>
      </c>
      <c r="BC227">
        <v>1</v>
      </c>
      <c r="BD227">
        <v>-3.9548622301176399</v>
      </c>
      <c r="BE227">
        <v>-3.71068825724999</v>
      </c>
      <c r="BF227">
        <v>1</v>
      </c>
      <c r="BG227">
        <v>-4.0663978218750003</v>
      </c>
      <c r="BH227">
        <v>-4.1398812556666602</v>
      </c>
      <c r="BI227">
        <v>0</v>
      </c>
      <c r="BJ227">
        <v>-5.0571343566666602</v>
      </c>
      <c r="BK227">
        <v>-4.9120343457142797</v>
      </c>
      <c r="BL227">
        <v>1</v>
      </c>
      <c r="BM227">
        <v>-5.1254448500000001</v>
      </c>
      <c r="BN227">
        <v>-5.0544845727272696</v>
      </c>
      <c r="BO227">
        <v>1</v>
      </c>
      <c r="BP227">
        <v>-4.7806316249999998</v>
      </c>
      <c r="BQ227">
        <v>-5.1762282054545397</v>
      </c>
      <c r="BR227">
        <v>0</v>
      </c>
    </row>
    <row r="228" spans="1:70" x14ac:dyDescent="0.35">
      <c r="A228" t="s">
        <v>822</v>
      </c>
      <c r="B228" t="s">
        <v>58</v>
      </c>
      <c r="C228" t="s">
        <v>823</v>
      </c>
      <c r="D228">
        <v>0</v>
      </c>
      <c r="E228" t="s">
        <v>340</v>
      </c>
      <c r="F228" t="str">
        <f>INDEX([1]train_xl!$H:$H,MATCH(E228,[1]train_xl!$G:$G,0))</f>
        <v>as-as</v>
      </c>
      <c r="G228" t="str">
        <f>INDEX([1]train_xl!$I:$I,MATCH(E228,[1]train_xl!$G:$G,0))</f>
        <v>sim</v>
      </c>
      <c r="H228" t="str">
        <f>INDEX([1]train_xl!$V:$V,MATCH(E228,[1]train_xl!$G:$G,0))</f>
        <v>not</v>
      </c>
      <c r="I228" t="str">
        <f>INDEX([2]Sheet1!$L:$L,MATCH(E228,[2]Sheet1!$I:$I,0))</f>
        <v>intens</v>
      </c>
      <c r="K228">
        <v>-3.36329926953846</v>
      </c>
      <c r="L228">
        <v>-3.9274581</v>
      </c>
      <c r="M228">
        <v>1</v>
      </c>
      <c r="N228">
        <v>-3.3919008375000002</v>
      </c>
      <c r="O228">
        <v>-4.0350654339230703</v>
      </c>
      <c r="P228">
        <v>1</v>
      </c>
      <c r="Q228">
        <v>-4.4494788026363601</v>
      </c>
      <c r="R228">
        <v>-4.9934292818333299</v>
      </c>
      <c r="S228">
        <v>1</v>
      </c>
      <c r="T228">
        <v>-4.0532254453749896</v>
      </c>
      <c r="U228">
        <v>-4.8746044144444403</v>
      </c>
      <c r="V228">
        <v>1</v>
      </c>
      <c r="W228">
        <v>-5.2298629532499996</v>
      </c>
      <c r="X228">
        <v>-5.3743407677777704</v>
      </c>
      <c r="Y228">
        <v>1</v>
      </c>
      <c r="Z228">
        <v>-3.3995236992307598</v>
      </c>
      <c r="AA228">
        <v>-3.8954818457142801</v>
      </c>
      <c r="AB228">
        <v>1</v>
      </c>
      <c r="AC228">
        <v>-3.5634082888333301</v>
      </c>
      <c r="AD228">
        <v>-4.0558725892307699</v>
      </c>
      <c r="AE228">
        <v>1</v>
      </c>
      <c r="AF228">
        <v>-4.5461380227272699</v>
      </c>
      <c r="AG228">
        <v>-4.9248659374999999</v>
      </c>
      <c r="AH228">
        <v>1</v>
      </c>
      <c r="AI228">
        <v>-4.1612523250000004</v>
      </c>
      <c r="AJ228">
        <v>-4.9152582222222199</v>
      </c>
      <c r="AK228">
        <v>1</v>
      </c>
      <c r="AL228">
        <v>-5.0055033162499996</v>
      </c>
      <c r="AM228">
        <v>-5.2770666588888799</v>
      </c>
      <c r="AN228">
        <v>1</v>
      </c>
      <c r="AO228">
        <v>-5.8114536284615301</v>
      </c>
      <c r="AP228">
        <v>-6.0433796085714198</v>
      </c>
      <c r="AQ228">
        <v>1</v>
      </c>
      <c r="AR228">
        <v>-5.7902161416666598</v>
      </c>
      <c r="AS228">
        <v>-6.0878920430769199</v>
      </c>
      <c r="AT228">
        <v>1</v>
      </c>
      <c r="AU228">
        <v>-6.7162340569090899</v>
      </c>
      <c r="AV228">
        <v>-6.9209170583333304</v>
      </c>
      <c r="AW228">
        <v>1</v>
      </c>
      <c r="AX228">
        <v>-7.33718737375</v>
      </c>
      <c r="AY228">
        <v>-7.8121005055555504</v>
      </c>
      <c r="AZ228">
        <v>1</v>
      </c>
      <c r="BA228">
        <v>-9.0285608750000002</v>
      </c>
      <c r="BB228">
        <v>-8.0618956611111106</v>
      </c>
      <c r="BC228">
        <v>0</v>
      </c>
      <c r="BD228">
        <v>-3.66417256307692</v>
      </c>
      <c r="BE228">
        <v>-4.1079766714285704</v>
      </c>
      <c r="BF228">
        <v>1</v>
      </c>
      <c r="BG228">
        <v>-3.7765242541666599</v>
      </c>
      <c r="BH228">
        <v>-4.2572072976923003</v>
      </c>
      <c r="BI228">
        <v>1</v>
      </c>
      <c r="BJ228">
        <v>-4.6856693418181798</v>
      </c>
      <c r="BK228">
        <v>-5.0393132266666596</v>
      </c>
      <c r="BL228">
        <v>1</v>
      </c>
      <c r="BM228">
        <v>-4.5570577162500001</v>
      </c>
      <c r="BN228">
        <v>-5.2020114111111102</v>
      </c>
      <c r="BO228">
        <v>1</v>
      </c>
      <c r="BP228">
        <v>-5.5339522412499997</v>
      </c>
      <c r="BQ228">
        <v>-5.61364332777777</v>
      </c>
      <c r="BR228">
        <v>1</v>
      </c>
    </row>
    <row r="229" spans="1:70" x14ac:dyDescent="0.35">
      <c r="A229" t="s">
        <v>824</v>
      </c>
      <c r="B229" t="s">
        <v>58</v>
      </c>
      <c r="C229" t="s">
        <v>823</v>
      </c>
      <c r="D229">
        <v>1</v>
      </c>
      <c r="E229" t="s">
        <v>341</v>
      </c>
      <c r="F229" t="str">
        <f>INDEX([1]train_xl!$H:$H,MATCH(E229,[1]train_xl!$G:$G,0))</f>
        <v>as-as</v>
      </c>
      <c r="G229" t="str">
        <f>INDEX([1]train_xl!$I:$I,MATCH(E229,[1]train_xl!$G:$G,0))</f>
        <v>sim</v>
      </c>
      <c r="H229" t="str">
        <f>INDEX([1]train_xl!$V:$V,MATCH(E229,[1]train_xl!$G:$G,0))</f>
        <v>not</v>
      </c>
      <c r="I229" t="str">
        <f>INDEX([2]Sheet1!$L:$L,MATCH(E229,[2]Sheet1!$I:$I,0))</f>
        <v>neg</v>
      </c>
      <c r="K229">
        <v>-3.8274764161071402</v>
      </c>
      <c r="L229">
        <v>-3.6813024193399899</v>
      </c>
      <c r="M229">
        <v>1</v>
      </c>
      <c r="N229">
        <v>-4.0005569296615304</v>
      </c>
      <c r="O229">
        <v>-3.7713395841142798</v>
      </c>
      <c r="P229">
        <v>1</v>
      </c>
      <c r="Q229">
        <v>-4.9009264342499996</v>
      </c>
      <c r="R229">
        <v>-4.6301427734615297</v>
      </c>
      <c r="S229">
        <v>1</v>
      </c>
      <c r="T229">
        <v>-4.7644156366666603</v>
      </c>
      <c r="U229">
        <v>-4.5306477000000003</v>
      </c>
      <c r="V229">
        <v>1</v>
      </c>
      <c r="W229">
        <v>-5.3191848444444396</v>
      </c>
      <c r="X229">
        <v>-5.0575148990000001</v>
      </c>
      <c r="Y229">
        <v>1</v>
      </c>
      <c r="Z229">
        <v>-4.1587280252857104</v>
      </c>
      <c r="AA229">
        <v>-3.8480224422333298</v>
      </c>
      <c r="AB229">
        <v>1</v>
      </c>
      <c r="AC229">
        <v>-4.3050462886153804</v>
      </c>
      <c r="AD229">
        <v>-3.8578590854999999</v>
      </c>
      <c r="AE229">
        <v>1</v>
      </c>
      <c r="AF229">
        <v>-5.2416112175</v>
      </c>
      <c r="AG229">
        <v>-4.7665354535384603</v>
      </c>
      <c r="AH229">
        <v>1</v>
      </c>
      <c r="AI229">
        <v>-5.3983380111111101</v>
      </c>
      <c r="AJ229">
        <v>-4.8738993409999898</v>
      </c>
      <c r="AK229">
        <v>1</v>
      </c>
      <c r="AL229">
        <v>-5.87703973333333</v>
      </c>
      <c r="AM229">
        <v>-5.3747374639999999</v>
      </c>
      <c r="AN229">
        <v>1</v>
      </c>
      <c r="AO229">
        <v>-5.6621223961428502</v>
      </c>
      <c r="AP229">
        <v>-5.3612494035999996</v>
      </c>
      <c r="AQ229">
        <v>1</v>
      </c>
      <c r="AR229">
        <v>-6.0945920749999898</v>
      </c>
      <c r="AS229">
        <v>-5.6200113630714199</v>
      </c>
      <c r="AT229">
        <v>1</v>
      </c>
      <c r="AU229">
        <v>-7.0691900383333302</v>
      </c>
      <c r="AV229">
        <v>-6.58634686615384</v>
      </c>
      <c r="AW229">
        <v>1</v>
      </c>
      <c r="AX229">
        <v>-7.7730425555555502</v>
      </c>
      <c r="AY229">
        <v>-7.1635395939999897</v>
      </c>
      <c r="AZ229">
        <v>1</v>
      </c>
      <c r="BA229">
        <v>-7.95920222666666</v>
      </c>
      <c r="BB229">
        <v>-7.5480443259999896</v>
      </c>
      <c r="BC229">
        <v>1</v>
      </c>
      <c r="BD229">
        <v>-4.5344035209999998</v>
      </c>
      <c r="BE229">
        <v>-4.2336527144666602</v>
      </c>
      <c r="BF229">
        <v>1</v>
      </c>
      <c r="BG229">
        <v>-4.7454770472307697</v>
      </c>
      <c r="BH229">
        <v>-4.3305227556428498</v>
      </c>
      <c r="BI229">
        <v>1</v>
      </c>
      <c r="BJ229">
        <v>-5.6302471139999897</v>
      </c>
      <c r="BK229">
        <v>-5.1628099826153804</v>
      </c>
      <c r="BL229">
        <v>1</v>
      </c>
      <c r="BM229">
        <v>-6.0072274888888799</v>
      </c>
      <c r="BN229">
        <v>-5.4312667499999998</v>
      </c>
      <c r="BO229">
        <v>1</v>
      </c>
      <c r="BP229">
        <v>-6.6957414222222198</v>
      </c>
      <c r="BQ229">
        <v>-5.8946679799999897</v>
      </c>
      <c r="BR229">
        <v>1</v>
      </c>
    </row>
    <row r="230" spans="1:70" x14ac:dyDescent="0.35">
      <c r="A230" t="s">
        <v>825</v>
      </c>
      <c r="B230" t="s">
        <v>826</v>
      </c>
      <c r="C230" t="s">
        <v>827</v>
      </c>
      <c r="D230">
        <v>0</v>
      </c>
      <c r="E230" t="s">
        <v>342</v>
      </c>
      <c r="F230" t="str">
        <f>INDEX([1]train_xl!$H:$H,MATCH(E230,[1]train_xl!$G:$G,0))</f>
        <v>as-as</v>
      </c>
      <c r="G230" t="str">
        <f>INDEX([1]train_xl!$I:$I,MATCH(E230,[1]train_xl!$G:$G,0))</f>
        <v>sim</v>
      </c>
      <c r="H230" t="str">
        <f>INDEX([1]train_xl!$V:$V,MATCH(E230,[1]train_xl!$G:$G,0))</f>
        <v>not</v>
      </c>
      <c r="I230" t="str">
        <f>INDEX([2]Sheet1!$L:$L,MATCH(E230,[2]Sheet1!$I:$I,0))</f>
        <v>neg</v>
      </c>
      <c r="K230">
        <v>-3.3713723838235299</v>
      </c>
      <c r="L230">
        <v>-4.1222090990666604</v>
      </c>
      <c r="M230">
        <v>1</v>
      </c>
      <c r="N230">
        <v>-3.3983065777500001</v>
      </c>
      <c r="O230">
        <v>-4.2419914086428498</v>
      </c>
      <c r="P230">
        <v>1</v>
      </c>
      <c r="Q230">
        <v>-4.2229012169333302</v>
      </c>
      <c r="R230">
        <v>-5.1374768613846102</v>
      </c>
      <c r="S230">
        <v>1</v>
      </c>
      <c r="T230">
        <v>-3.70542811925</v>
      </c>
      <c r="U230">
        <v>-4.7006896342999998</v>
      </c>
      <c r="V230">
        <v>1</v>
      </c>
      <c r="W230">
        <v>-4.1820098832499903</v>
      </c>
      <c r="X230">
        <v>-4.8754954909999997</v>
      </c>
      <c r="Y230">
        <v>1</v>
      </c>
      <c r="Z230">
        <v>-4.25715779641176</v>
      </c>
      <c r="AA230">
        <v>-5.0003765151333299</v>
      </c>
      <c r="AB230">
        <v>1</v>
      </c>
      <c r="AC230">
        <v>-4.4343501471874998</v>
      </c>
      <c r="AD230">
        <v>-5.3168095223571399</v>
      </c>
      <c r="AE230">
        <v>1</v>
      </c>
      <c r="AF230">
        <v>-5.4364952306666599</v>
      </c>
      <c r="AG230">
        <v>-6.3378752530769198</v>
      </c>
      <c r="AH230">
        <v>1</v>
      </c>
      <c r="AI230">
        <v>-5.1759918001666598</v>
      </c>
      <c r="AJ230">
        <v>-6.2207323040000002</v>
      </c>
      <c r="AK230">
        <v>1</v>
      </c>
      <c r="AL230">
        <v>-5.5060328199999997</v>
      </c>
      <c r="AM230">
        <v>-6.4903888965999998</v>
      </c>
      <c r="AN230">
        <v>1</v>
      </c>
      <c r="AO230">
        <v>-3.3575273164705801</v>
      </c>
      <c r="AP230">
        <v>-3.8965221499999898</v>
      </c>
      <c r="AQ230">
        <v>1</v>
      </c>
      <c r="AR230">
        <v>-3.3576698896249999</v>
      </c>
      <c r="AS230">
        <v>-3.9899596985714201</v>
      </c>
      <c r="AT230">
        <v>1</v>
      </c>
      <c r="AU230">
        <v>-4.03852670226666</v>
      </c>
      <c r="AV230">
        <v>-4.76180688076923</v>
      </c>
      <c r="AW230">
        <v>1</v>
      </c>
      <c r="AX230">
        <v>-3.7395636891666602</v>
      </c>
      <c r="AY230">
        <v>-4.345943471</v>
      </c>
      <c r="AZ230">
        <v>1</v>
      </c>
      <c r="BA230">
        <v>-4.1200426591666597</v>
      </c>
      <c r="BB230">
        <v>-4.6844496739999899</v>
      </c>
      <c r="BC230">
        <v>1</v>
      </c>
      <c r="BD230">
        <v>-4.6310890605294102</v>
      </c>
      <c r="BE230">
        <v>-5.4557011076000004</v>
      </c>
      <c r="BF230">
        <v>1</v>
      </c>
      <c r="BG230">
        <v>-4.8990100186875001</v>
      </c>
      <c r="BH230">
        <v>-5.8504795981428499</v>
      </c>
      <c r="BI230">
        <v>1</v>
      </c>
      <c r="BJ230">
        <v>-5.9196884784666599</v>
      </c>
      <c r="BK230">
        <v>-6.9626206176923002</v>
      </c>
      <c r="BL230">
        <v>1</v>
      </c>
      <c r="BM230">
        <v>-5.8594402441666604</v>
      </c>
      <c r="BN230">
        <v>-7.0545303239999999</v>
      </c>
      <c r="BO230">
        <v>1</v>
      </c>
      <c r="BP230">
        <v>-6.1973032317499896</v>
      </c>
      <c r="BQ230">
        <v>-7.295988726</v>
      </c>
      <c r="BR230">
        <v>1</v>
      </c>
    </row>
    <row r="231" spans="1:70" x14ac:dyDescent="0.35">
      <c r="A231" t="s">
        <v>828</v>
      </c>
      <c r="B231" t="s">
        <v>826</v>
      </c>
      <c r="C231" t="s">
        <v>827</v>
      </c>
      <c r="D231">
        <v>1</v>
      </c>
      <c r="E231" t="s">
        <v>343</v>
      </c>
      <c r="F231" t="str">
        <f>INDEX([1]train_xl!$H:$H,MATCH(E231,[1]train_xl!$G:$G,0))</f>
        <v>as-as</v>
      </c>
      <c r="G231" t="str">
        <f>INDEX([1]train_xl!$I:$I,MATCH(E231,[1]train_xl!$G:$G,0))</f>
        <v>sim</v>
      </c>
      <c r="H231" t="str">
        <f>INDEX([1]train_xl!$V:$V,MATCH(E231,[1]train_xl!$G:$G,0))</f>
        <v>not</v>
      </c>
      <c r="I231" t="str">
        <f>INDEX([2]Sheet1!$L:$L,MATCH(E231,[2]Sheet1!$I:$I,0))</f>
        <v>intens</v>
      </c>
      <c r="K231">
        <v>-3.3804122131999899</v>
      </c>
      <c r="L231">
        <v>-3.4277668754750001</v>
      </c>
      <c r="M231">
        <v>0</v>
      </c>
      <c r="N231">
        <v>-3.4426440936941098</v>
      </c>
      <c r="O231">
        <v>-3.58864083619333</v>
      </c>
      <c r="P231">
        <v>0</v>
      </c>
      <c r="Q231">
        <v>-4.1098712893125002</v>
      </c>
      <c r="R231">
        <v>-4.3271401079285701</v>
      </c>
      <c r="S231">
        <v>0</v>
      </c>
      <c r="T231">
        <v>-3.9267629966922999</v>
      </c>
      <c r="U231">
        <v>-4.3044602959090899</v>
      </c>
      <c r="V231">
        <v>0</v>
      </c>
      <c r="W231">
        <v>-4.0999666056923001</v>
      </c>
      <c r="X231">
        <v>-4.3578963293636299</v>
      </c>
      <c r="Y231">
        <v>0</v>
      </c>
      <c r="Z231">
        <v>-4.4280129392777701</v>
      </c>
      <c r="AA231">
        <v>-4.6021476548124998</v>
      </c>
      <c r="AB231">
        <v>0</v>
      </c>
      <c r="AC231">
        <v>-4.6228646665882298</v>
      </c>
      <c r="AD231">
        <v>-4.8080104689133298</v>
      </c>
      <c r="AE231">
        <v>0</v>
      </c>
      <c r="AF231">
        <v>-5.3126433503124897</v>
      </c>
      <c r="AG231">
        <v>-5.66757928</v>
      </c>
      <c r="AH231">
        <v>0</v>
      </c>
      <c r="AI231">
        <v>-5.4737641592307602</v>
      </c>
      <c r="AJ231">
        <v>-6.0030288363636304</v>
      </c>
      <c r="AK231">
        <v>0</v>
      </c>
      <c r="AL231">
        <v>-5.3456192361538397</v>
      </c>
      <c r="AM231">
        <v>-5.9989413100000002</v>
      </c>
      <c r="AN231">
        <v>0</v>
      </c>
      <c r="AO231">
        <v>-3.1921012059444398</v>
      </c>
      <c r="AP231">
        <v>-3.1949930023125002</v>
      </c>
      <c r="AQ231">
        <v>0</v>
      </c>
      <c r="AR231">
        <v>-3.32155330811764</v>
      </c>
      <c r="AS231">
        <v>-3.3263559116999901</v>
      </c>
      <c r="AT231">
        <v>0</v>
      </c>
      <c r="AU231">
        <v>-3.8941919139999999</v>
      </c>
      <c r="AV231">
        <v>-3.9896686903571399</v>
      </c>
      <c r="AW231">
        <v>0</v>
      </c>
      <c r="AX231">
        <v>-4.5134117238461497</v>
      </c>
      <c r="AY231">
        <v>-4.03483463727272</v>
      </c>
      <c r="AZ231">
        <v>1</v>
      </c>
      <c r="BA231">
        <v>-4.03413884584615</v>
      </c>
      <c r="BB231">
        <v>-4.2173401990909003</v>
      </c>
      <c r="BC231">
        <v>0</v>
      </c>
      <c r="BD231">
        <v>-4.9571093953333296</v>
      </c>
      <c r="BE231">
        <v>-5.1022786966249898</v>
      </c>
      <c r="BF231">
        <v>0</v>
      </c>
      <c r="BG231">
        <v>-5.1478598444705801</v>
      </c>
      <c r="BH231">
        <v>-5.3667271988666601</v>
      </c>
      <c r="BI231">
        <v>0</v>
      </c>
      <c r="BJ231">
        <v>-5.8314844637499901</v>
      </c>
      <c r="BK231">
        <v>-6.2279426917857101</v>
      </c>
      <c r="BL231">
        <v>0</v>
      </c>
      <c r="BM231">
        <v>-6.0749898230769199</v>
      </c>
      <c r="BN231">
        <v>-6.6928207972727201</v>
      </c>
      <c r="BO231">
        <v>0</v>
      </c>
      <c r="BP231">
        <v>-5.98253843307692</v>
      </c>
      <c r="BQ231">
        <v>-6.7139163009090899</v>
      </c>
      <c r="BR231">
        <v>0</v>
      </c>
    </row>
    <row r="232" spans="1:70" x14ac:dyDescent="0.35">
      <c r="A232" t="s">
        <v>829</v>
      </c>
      <c r="B232" t="s">
        <v>59</v>
      </c>
      <c r="C232" t="s">
        <v>830</v>
      </c>
      <c r="D232">
        <v>0</v>
      </c>
      <c r="E232" t="s">
        <v>344</v>
      </c>
      <c r="F232" t="str">
        <f>INDEX([1]train_xl!$H:$H,MATCH(E232,[1]train_xl!$G:$G,0))</f>
        <v>as</v>
      </c>
      <c r="G232" t="str">
        <f>INDEX([1]train_xl!$I:$I,MATCH(E232,[1]train_xl!$G:$G,0))</f>
        <v>sim</v>
      </c>
      <c r="H232" t="str">
        <f>INDEX([1]train_xl!$V:$V,MATCH(E232,[1]train_xl!$G:$G,0))</f>
        <v>not</v>
      </c>
      <c r="I232" t="str">
        <f>INDEX([2]Sheet1!$L:$L,MATCH(E232,[2]Sheet1!$I:$I,0))</f>
        <v>neg</v>
      </c>
      <c r="K232">
        <v>-3.72865685613333</v>
      </c>
      <c r="L232">
        <v>-4.2223166097857101</v>
      </c>
      <c r="M232">
        <v>1</v>
      </c>
      <c r="N232">
        <v>-3.8259129907142801</v>
      </c>
      <c r="O232">
        <v>-4.4398640816153803</v>
      </c>
      <c r="P232">
        <v>1</v>
      </c>
      <c r="Q232">
        <v>-4.6481585515384598</v>
      </c>
      <c r="R232">
        <v>-5.2674542433333302</v>
      </c>
      <c r="S232">
        <v>1</v>
      </c>
      <c r="T232">
        <v>-4.8553011099999903</v>
      </c>
      <c r="U232">
        <v>-5.0718590177777703</v>
      </c>
      <c r="V232">
        <v>1</v>
      </c>
      <c r="W232">
        <v>-5.2207101900000001</v>
      </c>
      <c r="X232">
        <v>-5.6045180633333302</v>
      </c>
      <c r="Y232">
        <v>1</v>
      </c>
      <c r="Z232">
        <v>-4.5992599040000002</v>
      </c>
      <c r="AA232">
        <v>-5.0350960760000003</v>
      </c>
      <c r="AB232">
        <v>1</v>
      </c>
      <c r="AC232">
        <v>-4.7724922171428501</v>
      </c>
      <c r="AD232">
        <v>-5.2949667376922998</v>
      </c>
      <c r="AE232">
        <v>1</v>
      </c>
      <c r="AF232">
        <v>-5.6974583015384601</v>
      </c>
      <c r="AG232">
        <v>-6.25164803083333</v>
      </c>
      <c r="AH232">
        <v>1</v>
      </c>
      <c r="AI232">
        <v>-5.9663695350000001</v>
      </c>
      <c r="AJ232">
        <v>-6.2567613555555504</v>
      </c>
      <c r="AK232">
        <v>1</v>
      </c>
      <c r="AL232">
        <v>-6.125537123</v>
      </c>
      <c r="AM232">
        <v>-6.4879086722222201</v>
      </c>
      <c r="AN232">
        <v>1</v>
      </c>
      <c r="AO232">
        <v>-3.512190216</v>
      </c>
      <c r="AP232">
        <v>-3.79627399857142</v>
      </c>
      <c r="AQ232">
        <v>1</v>
      </c>
      <c r="AR232">
        <v>-3.46312594464285</v>
      </c>
      <c r="AS232">
        <v>-3.7741513723076898</v>
      </c>
      <c r="AT232">
        <v>1</v>
      </c>
      <c r="AU232">
        <v>-4.1165976661538402</v>
      </c>
      <c r="AV232">
        <v>-4.4795827350000001</v>
      </c>
      <c r="AW232">
        <v>1</v>
      </c>
      <c r="AX232">
        <v>-3.913781948</v>
      </c>
      <c r="AY232">
        <v>-4.1519836777777703</v>
      </c>
      <c r="AZ232">
        <v>1</v>
      </c>
      <c r="BA232">
        <v>-4.1251315149999996</v>
      </c>
      <c r="BB232">
        <v>-4.2001113666666603</v>
      </c>
      <c r="BC232">
        <v>1</v>
      </c>
      <c r="BD232">
        <v>-4.2854725719999998</v>
      </c>
      <c r="BE232">
        <v>-4.6831075100000001</v>
      </c>
      <c r="BF232">
        <v>1</v>
      </c>
      <c r="BG232">
        <v>-4.3856362407142804</v>
      </c>
      <c r="BH232">
        <v>-4.9403724999999996</v>
      </c>
      <c r="BI232">
        <v>1</v>
      </c>
      <c r="BJ232">
        <v>-5.3605370707692304</v>
      </c>
      <c r="BK232">
        <v>-5.9198660516666601</v>
      </c>
      <c r="BL232">
        <v>1</v>
      </c>
      <c r="BM232">
        <v>-5.4295158399999996</v>
      </c>
      <c r="BN232">
        <v>-5.7140762633333297</v>
      </c>
      <c r="BO232">
        <v>1</v>
      </c>
      <c r="BP232">
        <v>-5.6984801259999998</v>
      </c>
      <c r="BQ232">
        <v>-6.0630322666666601</v>
      </c>
      <c r="BR232">
        <v>1</v>
      </c>
    </row>
    <row r="233" spans="1:70" x14ac:dyDescent="0.35">
      <c r="A233" t="s">
        <v>831</v>
      </c>
      <c r="B233" t="s">
        <v>59</v>
      </c>
      <c r="C233" t="s">
        <v>830</v>
      </c>
      <c r="D233">
        <v>1</v>
      </c>
      <c r="E233" t="s">
        <v>345</v>
      </c>
      <c r="F233" t="str">
        <f>INDEX([1]train_xl!$H:$H,MATCH(E233,[1]train_xl!$G:$G,0))</f>
        <v>as</v>
      </c>
      <c r="G233" t="str">
        <f>INDEX([1]train_xl!$I:$I,MATCH(E233,[1]train_xl!$G:$G,0))</f>
        <v>sim</v>
      </c>
      <c r="H233" t="str">
        <f>INDEX([1]train_xl!$V:$V,MATCH(E233,[1]train_xl!$G:$G,0))</f>
        <v>not</v>
      </c>
      <c r="I233" t="str">
        <f>INDEX([2]Sheet1!$L:$L,MATCH(E233,[2]Sheet1!$I:$I,0))</f>
        <v>intens</v>
      </c>
      <c r="K233">
        <v>-4.0444684252499998</v>
      </c>
      <c r="L233">
        <v>-3.80930215573333</v>
      </c>
      <c r="M233">
        <v>1</v>
      </c>
      <c r="N233">
        <v>-4.2034220033333298</v>
      </c>
      <c r="O233">
        <v>-3.9629742544285702</v>
      </c>
      <c r="P233">
        <v>1</v>
      </c>
      <c r="Q233">
        <v>-4.9027055253571401</v>
      </c>
      <c r="R233">
        <v>-4.7430230576922998</v>
      </c>
      <c r="S233">
        <v>1</v>
      </c>
      <c r="T233">
        <v>-5.0191681190909003</v>
      </c>
      <c r="U233">
        <v>-4.6665481999999896</v>
      </c>
      <c r="V233">
        <v>1</v>
      </c>
      <c r="W233">
        <v>-5.2786268909090897</v>
      </c>
      <c r="X233">
        <v>-5.3740509099999896</v>
      </c>
      <c r="Y233">
        <v>0</v>
      </c>
      <c r="Z233">
        <v>-4.6491401531249901</v>
      </c>
      <c r="AA233">
        <v>-4.4807102329333297</v>
      </c>
      <c r="AB233">
        <v>1</v>
      </c>
      <c r="AC233">
        <v>-4.8828787440000001</v>
      </c>
      <c r="AD233">
        <v>-4.6684141649999997</v>
      </c>
      <c r="AE233">
        <v>1</v>
      </c>
      <c r="AF233">
        <v>-5.5527830985714202</v>
      </c>
      <c r="AG233">
        <v>-5.50810699307692</v>
      </c>
      <c r="AH233">
        <v>1</v>
      </c>
      <c r="AI233">
        <v>-5.6967886509090899</v>
      </c>
      <c r="AJ233">
        <v>-5.6488979939999897</v>
      </c>
      <c r="AK233">
        <v>1</v>
      </c>
      <c r="AL233">
        <v>-5.8874726745454504</v>
      </c>
      <c r="AM233">
        <v>-6.1425506699999897</v>
      </c>
      <c r="AN233">
        <v>0</v>
      </c>
      <c r="AO233">
        <v>-3.57044305375</v>
      </c>
      <c r="AP233">
        <v>-3.44780901999999</v>
      </c>
      <c r="AQ233">
        <v>1</v>
      </c>
      <c r="AR233">
        <v>-3.7176212253333301</v>
      </c>
      <c r="AS233">
        <v>-3.4590693507142798</v>
      </c>
      <c r="AT233">
        <v>1</v>
      </c>
      <c r="AU233">
        <v>-4.2877827664285704</v>
      </c>
      <c r="AV233">
        <v>-4.1575198576923</v>
      </c>
      <c r="AW233">
        <v>1</v>
      </c>
      <c r="AX233">
        <v>-4.3708372181818103</v>
      </c>
      <c r="AY233">
        <v>-3.9831945979999999</v>
      </c>
      <c r="AZ233">
        <v>1</v>
      </c>
      <c r="BA233">
        <v>-4.4199232445454504</v>
      </c>
      <c r="BB233">
        <v>-4.229069602</v>
      </c>
      <c r="BC233">
        <v>1</v>
      </c>
      <c r="BD233">
        <v>-4.6326607893749996</v>
      </c>
      <c r="BE233">
        <v>-4.4565659226666599</v>
      </c>
      <c r="BF233">
        <v>1</v>
      </c>
      <c r="BG233">
        <v>-4.9234660879999996</v>
      </c>
      <c r="BH233">
        <v>-4.6864442321428497</v>
      </c>
      <c r="BI233">
        <v>1</v>
      </c>
      <c r="BJ233">
        <v>-5.5156800814285596</v>
      </c>
      <c r="BK233">
        <v>-5.3643553476922996</v>
      </c>
      <c r="BL233">
        <v>1</v>
      </c>
      <c r="BM233">
        <v>-5.7187388045454499</v>
      </c>
      <c r="BN233">
        <v>-5.6532924809999896</v>
      </c>
      <c r="BO233">
        <v>1</v>
      </c>
      <c r="BP233">
        <v>-5.9132800690909004</v>
      </c>
      <c r="BQ233">
        <v>-6.1462244269999999</v>
      </c>
      <c r="BR233">
        <v>0</v>
      </c>
    </row>
    <row r="234" spans="1:70" x14ac:dyDescent="0.35">
      <c r="A234" t="s">
        <v>832</v>
      </c>
      <c r="B234" t="s">
        <v>833</v>
      </c>
      <c r="C234" t="s">
        <v>834</v>
      </c>
      <c r="D234">
        <v>0</v>
      </c>
      <c r="E234" t="s">
        <v>346</v>
      </c>
      <c r="F234" t="str">
        <f>INDEX([1]train_xl!$H:$H,MATCH(E234,[1]train_xl!$G:$G,0))</f>
        <v>as-as</v>
      </c>
      <c r="G234" t="str">
        <f>INDEX([1]train_xl!$I:$I,MATCH(E234,[1]train_xl!$G:$G,0))</f>
        <v>sim</v>
      </c>
      <c r="H234" t="str">
        <f>INDEX([1]train_xl!$V:$V,MATCH(E234,[1]train_xl!$G:$G,0))</f>
        <v>not</v>
      </c>
      <c r="I234" t="str">
        <f>INDEX([2]Sheet1!$L:$L,MATCH(E234,[2]Sheet1!$I:$I,0))</f>
        <v>intens</v>
      </c>
      <c r="K234">
        <v>-3.4482803003125002</v>
      </c>
      <c r="L234">
        <v>-3.3503930912777702</v>
      </c>
      <c r="M234">
        <v>0</v>
      </c>
      <c r="N234">
        <v>-3.5073903407999998</v>
      </c>
      <c r="O234">
        <v>-3.4261840406705799</v>
      </c>
      <c r="P234">
        <v>0</v>
      </c>
      <c r="Q234">
        <v>-4.3181341529999999</v>
      </c>
      <c r="R234">
        <v>-4.1507815517499997</v>
      </c>
      <c r="S234">
        <v>0</v>
      </c>
      <c r="T234">
        <v>-4.4804812854545402</v>
      </c>
      <c r="U234">
        <v>-4.0617034184615299</v>
      </c>
      <c r="V234">
        <v>0</v>
      </c>
      <c r="W234">
        <v>-4.9402435436363596</v>
      </c>
      <c r="X234">
        <v>-4.31218874846153</v>
      </c>
      <c r="Y234">
        <v>0</v>
      </c>
      <c r="Z234">
        <v>-3.9462083368749901</v>
      </c>
      <c r="AA234">
        <v>-3.7443918994444401</v>
      </c>
      <c r="AB234">
        <v>0</v>
      </c>
      <c r="AC234">
        <v>-4.1909961546666601</v>
      </c>
      <c r="AD234">
        <v>-4.0169405581176401</v>
      </c>
      <c r="AE234">
        <v>0</v>
      </c>
      <c r="AF234">
        <v>-4.8167122567857099</v>
      </c>
      <c r="AG234">
        <v>-4.5476468318749896</v>
      </c>
      <c r="AH234">
        <v>0</v>
      </c>
      <c r="AI234">
        <v>-5.1465262527272699</v>
      </c>
      <c r="AJ234">
        <v>-4.7278983738461502</v>
      </c>
      <c r="AK234">
        <v>0</v>
      </c>
      <c r="AL234">
        <v>-5.5061356909090904</v>
      </c>
      <c r="AM234">
        <v>-4.8190287227692297</v>
      </c>
      <c r="AN234">
        <v>0</v>
      </c>
      <c r="AO234">
        <v>-3.2074316254375002</v>
      </c>
      <c r="AP234">
        <v>-3.0804095085555501</v>
      </c>
      <c r="AQ234">
        <v>0</v>
      </c>
      <c r="AR234">
        <v>-3.1614819656000002</v>
      </c>
      <c r="AS234">
        <v>-3.0807753583529398</v>
      </c>
      <c r="AT234">
        <v>0</v>
      </c>
      <c r="AU234">
        <v>-4.0784461085714199</v>
      </c>
      <c r="AV234">
        <v>-3.7927315094999901</v>
      </c>
      <c r="AW234">
        <v>0</v>
      </c>
      <c r="AX234">
        <v>-3.8835057481818098</v>
      </c>
      <c r="AY234">
        <v>-3.53284187461538</v>
      </c>
      <c r="AZ234">
        <v>0</v>
      </c>
      <c r="BA234">
        <v>-4.06013529727272</v>
      </c>
      <c r="BB234">
        <v>-3.51618133584615</v>
      </c>
      <c r="BC234">
        <v>0</v>
      </c>
      <c r="BD234">
        <v>-3.7708061634999899</v>
      </c>
      <c r="BE234">
        <v>-3.5702853374999899</v>
      </c>
      <c r="BF234">
        <v>0</v>
      </c>
      <c r="BG234">
        <v>-4.0351388569333304</v>
      </c>
      <c r="BH234">
        <v>-3.87537339682352</v>
      </c>
      <c r="BI234">
        <v>0</v>
      </c>
      <c r="BJ234">
        <v>-4.5767119921428501</v>
      </c>
      <c r="BK234">
        <v>-4.3646305209999996</v>
      </c>
      <c r="BL234">
        <v>0</v>
      </c>
      <c r="BM234">
        <v>-4.8951791599999996</v>
      </c>
      <c r="BN234">
        <v>-4.4823714507692296</v>
      </c>
      <c r="BO234">
        <v>0</v>
      </c>
      <c r="BP234">
        <v>-5.2577461845454501</v>
      </c>
      <c r="BQ234">
        <v>-4.6684473297692302</v>
      </c>
      <c r="BR234">
        <v>0</v>
      </c>
    </row>
    <row r="235" spans="1:70" x14ac:dyDescent="0.35">
      <c r="A235" t="s">
        <v>835</v>
      </c>
      <c r="B235" t="s">
        <v>833</v>
      </c>
      <c r="C235" t="s">
        <v>834</v>
      </c>
      <c r="D235">
        <v>1</v>
      </c>
      <c r="E235" t="s">
        <v>347</v>
      </c>
      <c r="F235" t="str">
        <f>INDEX([1]train_xl!$H:$H,MATCH(E235,[1]train_xl!$G:$G,0))</f>
        <v>as-as</v>
      </c>
      <c r="G235" t="str">
        <f>INDEX([1]train_xl!$I:$I,MATCH(E235,[1]train_xl!$G:$G,0))</f>
        <v>sim</v>
      </c>
      <c r="H235" t="str">
        <f>INDEX([1]train_xl!$V:$V,MATCH(E235,[1]train_xl!$G:$G,0))</f>
        <v>not</v>
      </c>
      <c r="I235" t="str">
        <f>INDEX([2]Sheet1!$L:$L,MATCH(E235,[2]Sheet1!$I:$I,0))</f>
        <v>neg</v>
      </c>
      <c r="K235">
        <v>-4.6087036512499999</v>
      </c>
      <c r="L235">
        <v>-3.47250764333333</v>
      </c>
      <c r="M235">
        <v>1</v>
      </c>
      <c r="N235">
        <v>-4.6487012428666601</v>
      </c>
      <c r="O235">
        <v>-3.5578564582352898</v>
      </c>
      <c r="P235">
        <v>1</v>
      </c>
      <c r="Q235">
        <v>-5.5166436798571397</v>
      </c>
      <c r="R235">
        <v>-4.3103903459374999</v>
      </c>
      <c r="S235">
        <v>1</v>
      </c>
      <c r="T235">
        <v>-5.8574490999999904</v>
      </c>
      <c r="U235">
        <v>-4.57127544307692</v>
      </c>
      <c r="V235">
        <v>1</v>
      </c>
      <c r="W235">
        <v>-6.2675928727272696</v>
      </c>
      <c r="X235">
        <v>-4.9209101638461501</v>
      </c>
      <c r="Y235">
        <v>1</v>
      </c>
      <c r="Z235">
        <v>-4.8377213918124999</v>
      </c>
      <c r="AA235">
        <v>-3.9114085266666598</v>
      </c>
      <c r="AB235">
        <v>1</v>
      </c>
      <c r="AC235">
        <v>-5.0322867526666597</v>
      </c>
      <c r="AD235">
        <v>-4.0370175862352902</v>
      </c>
      <c r="AE235">
        <v>1</v>
      </c>
      <c r="AF235">
        <v>-5.7880036757142799</v>
      </c>
      <c r="AG235">
        <v>-4.7227954674999904</v>
      </c>
      <c r="AH235">
        <v>1</v>
      </c>
      <c r="AI235">
        <v>-5.9624835090909096</v>
      </c>
      <c r="AJ235">
        <v>-4.9791615523076898</v>
      </c>
      <c r="AK235">
        <v>1</v>
      </c>
      <c r="AL235">
        <v>-6.2631633999999998</v>
      </c>
      <c r="AM235">
        <v>-5.1852863769230702</v>
      </c>
      <c r="AN235">
        <v>1</v>
      </c>
      <c r="AO235">
        <v>-4.1170418414999999</v>
      </c>
      <c r="AP235">
        <v>-3.2088814263333298</v>
      </c>
      <c r="AQ235">
        <v>1</v>
      </c>
      <c r="AR235">
        <v>-3.9762344626666599</v>
      </c>
      <c r="AS235">
        <v>-3.0902339414705802</v>
      </c>
      <c r="AT235">
        <v>1</v>
      </c>
      <c r="AU235">
        <v>-5.0654534471428496</v>
      </c>
      <c r="AV235">
        <v>-3.9799773868749999</v>
      </c>
      <c r="AW235">
        <v>1</v>
      </c>
      <c r="AX235">
        <v>-4.6349388909090896</v>
      </c>
      <c r="AY235">
        <v>-3.70750997999999</v>
      </c>
      <c r="AZ235">
        <v>1</v>
      </c>
      <c r="BA235">
        <v>-4.6894416154545402</v>
      </c>
      <c r="BB235">
        <v>-3.9494268815384599</v>
      </c>
      <c r="BC235">
        <v>1</v>
      </c>
      <c r="BD235">
        <v>-4.5847876444999898</v>
      </c>
      <c r="BE235">
        <v>-3.6948979473333301</v>
      </c>
      <c r="BF235">
        <v>1</v>
      </c>
      <c r="BG235">
        <v>-4.8220123739999998</v>
      </c>
      <c r="BH235">
        <v>-4.0397384194117603</v>
      </c>
      <c r="BI235">
        <v>1</v>
      </c>
      <c r="BJ235">
        <v>-5.46955021428571</v>
      </c>
      <c r="BK235">
        <v>-4.4264150518749998</v>
      </c>
      <c r="BL235">
        <v>1</v>
      </c>
      <c r="BM235">
        <v>-5.7079378418181799</v>
      </c>
      <c r="BN235">
        <v>-4.73089507615384</v>
      </c>
      <c r="BO235">
        <v>1</v>
      </c>
      <c r="BP235">
        <v>-6.0530620690909096</v>
      </c>
      <c r="BQ235">
        <v>-4.9463929161538402</v>
      </c>
      <c r="BR235">
        <v>1</v>
      </c>
    </row>
    <row r="236" spans="1:70" x14ac:dyDescent="0.35">
      <c r="A236" t="s">
        <v>836</v>
      </c>
      <c r="B236" t="s">
        <v>837</v>
      </c>
      <c r="C236" t="s">
        <v>838</v>
      </c>
      <c r="D236">
        <v>0</v>
      </c>
      <c r="E236" t="s">
        <v>348</v>
      </c>
      <c r="F236" t="str">
        <f>INDEX([1]train_xl!$H:$H,MATCH(E236,[1]train_xl!$G:$G,0))</f>
        <v>as-as</v>
      </c>
      <c r="G236" t="str">
        <f>INDEX([1]train_xl!$I:$I,MATCH(E236,[1]train_xl!$G:$G,0))</f>
        <v>sim</v>
      </c>
      <c r="H236" t="str">
        <f>INDEX([1]train_xl!$V:$V,MATCH(E236,[1]train_xl!$G:$G,0))</f>
        <v>not</v>
      </c>
      <c r="I236" t="str">
        <f>INDEX([2]Sheet1!$L:$L,MATCH(E236,[2]Sheet1!$I:$I,0))</f>
        <v>intens</v>
      </c>
      <c r="K236">
        <v>-3.5085925631857098</v>
      </c>
      <c r="L236">
        <v>-3.8866764190266601</v>
      </c>
      <c r="M236">
        <v>1</v>
      </c>
      <c r="N236">
        <v>-3.6002390448230699</v>
      </c>
      <c r="O236">
        <v>-3.9112606483571399</v>
      </c>
      <c r="P236">
        <v>1</v>
      </c>
      <c r="Q236">
        <v>-4.7060312155000004</v>
      </c>
      <c r="R236">
        <v>-4.9691926527692303</v>
      </c>
      <c r="S236">
        <v>1</v>
      </c>
      <c r="T236">
        <v>-4.4379051211111102</v>
      </c>
      <c r="U236">
        <v>-4.9753070389999996</v>
      </c>
      <c r="V236">
        <v>1</v>
      </c>
      <c r="W236">
        <v>-5.0353711777777699</v>
      </c>
      <c r="X236">
        <v>-5.2624645680000004</v>
      </c>
      <c r="Y236">
        <v>1</v>
      </c>
      <c r="Z236">
        <v>-4.4075067287857097</v>
      </c>
      <c r="AA236">
        <v>-4.6362058419999999</v>
      </c>
      <c r="AB236">
        <v>1</v>
      </c>
      <c r="AC236">
        <v>-4.60637593653846</v>
      </c>
      <c r="AD236">
        <v>-4.6658755525000002</v>
      </c>
      <c r="AE236">
        <v>1</v>
      </c>
      <c r="AF236">
        <v>-5.4876593108333296</v>
      </c>
      <c r="AG236">
        <v>-5.5326854900000004</v>
      </c>
      <c r="AH236">
        <v>1</v>
      </c>
      <c r="AI236">
        <v>-5.7020639700000002</v>
      </c>
      <c r="AJ236">
        <v>-5.87688437</v>
      </c>
      <c r="AK236">
        <v>1</v>
      </c>
      <c r="AL236">
        <v>-6.0780730666666596</v>
      </c>
      <c r="AM236">
        <v>-5.9368767239999896</v>
      </c>
      <c r="AN236">
        <v>0</v>
      </c>
      <c r="AO236">
        <v>-3.4780861482142802</v>
      </c>
      <c r="AP236">
        <v>-3.7073239913333298</v>
      </c>
      <c r="AQ236">
        <v>1</v>
      </c>
      <c r="AR236">
        <v>-3.5045388980769201</v>
      </c>
      <c r="AS236">
        <v>-3.7072770205714201</v>
      </c>
      <c r="AT236">
        <v>1</v>
      </c>
      <c r="AU236">
        <v>-4.19625169833333</v>
      </c>
      <c r="AV236">
        <v>-4.3478806538461496</v>
      </c>
      <c r="AW236">
        <v>1</v>
      </c>
      <c r="AX236">
        <v>-4.0183532444444401</v>
      </c>
      <c r="AY236">
        <v>-4.4217659099999898</v>
      </c>
      <c r="AZ236">
        <v>1</v>
      </c>
      <c r="BA236">
        <v>-4.3048756777777699</v>
      </c>
      <c r="BB236">
        <v>-4.5416938499999997</v>
      </c>
      <c r="BC236">
        <v>1</v>
      </c>
      <c r="BD236">
        <v>-4.5234080407142798</v>
      </c>
      <c r="BE236">
        <v>-4.7253420398666597</v>
      </c>
      <c r="BF236">
        <v>1</v>
      </c>
      <c r="BG236">
        <v>-4.8103410769230699</v>
      </c>
      <c r="BH236">
        <v>-4.8531992642857098</v>
      </c>
      <c r="BI236">
        <v>1</v>
      </c>
      <c r="BJ236">
        <v>-5.6175025255</v>
      </c>
      <c r="BK236">
        <v>-5.6570859699999998</v>
      </c>
      <c r="BL236">
        <v>1</v>
      </c>
      <c r="BM236">
        <v>-5.9156446222222199</v>
      </c>
      <c r="BN236">
        <v>-6.11736272</v>
      </c>
      <c r="BO236">
        <v>1</v>
      </c>
      <c r="BP236">
        <v>-6.2928864444444397</v>
      </c>
      <c r="BQ236">
        <v>-6.1774079899999998</v>
      </c>
      <c r="BR236">
        <v>0</v>
      </c>
    </row>
    <row r="237" spans="1:70" x14ac:dyDescent="0.35">
      <c r="A237" t="s">
        <v>839</v>
      </c>
      <c r="B237" t="s">
        <v>837</v>
      </c>
      <c r="C237" t="s">
        <v>838</v>
      </c>
      <c r="D237">
        <v>1</v>
      </c>
      <c r="E237" t="s">
        <v>349</v>
      </c>
      <c r="F237" t="str">
        <f>INDEX([1]train_xl!$H:$H,MATCH(E237,[1]train_xl!$G:$G,0))</f>
        <v>as-as</v>
      </c>
      <c r="G237" t="str">
        <f>INDEX([1]train_xl!$I:$I,MATCH(E237,[1]train_xl!$G:$G,0))</f>
        <v>sim</v>
      </c>
      <c r="H237" t="str">
        <f>INDEX([1]train_xl!$V:$V,MATCH(E237,[1]train_xl!$G:$G,0))</f>
        <v>not</v>
      </c>
      <c r="I237" t="str">
        <f>INDEX([2]Sheet1!$L:$L,MATCH(E237,[2]Sheet1!$I:$I,0))</f>
        <v>neg</v>
      </c>
      <c r="K237">
        <v>-3.4531914250571401</v>
      </c>
      <c r="L237">
        <v>-3.2576998207800001</v>
      </c>
      <c r="M237">
        <v>1</v>
      </c>
      <c r="N237">
        <v>-3.7514443190769202</v>
      </c>
      <c r="O237">
        <v>-3.3507628181785698</v>
      </c>
      <c r="P237">
        <v>1</v>
      </c>
      <c r="Q237">
        <v>-4.5066231192500004</v>
      </c>
      <c r="R237">
        <v>-4.0973186976922999</v>
      </c>
      <c r="S237">
        <v>1</v>
      </c>
      <c r="T237">
        <v>-3.86407562666666</v>
      </c>
      <c r="U237">
        <v>-4.1294264459999903</v>
      </c>
      <c r="V237">
        <v>0</v>
      </c>
      <c r="W237">
        <v>-4.4172799066666597</v>
      </c>
      <c r="X237">
        <v>-4.3913787629999996</v>
      </c>
      <c r="Y237">
        <v>1</v>
      </c>
      <c r="Z237">
        <v>-4.4269738822142797</v>
      </c>
      <c r="AA237">
        <v>-4.0922775262666597</v>
      </c>
      <c r="AB237">
        <v>1</v>
      </c>
      <c r="AC237">
        <v>-4.6368896446153798</v>
      </c>
      <c r="AD237">
        <v>-4.1808470775000002</v>
      </c>
      <c r="AE237">
        <v>1</v>
      </c>
      <c r="AF237">
        <v>-5.3090747608333304</v>
      </c>
      <c r="AG237">
        <v>-4.8792095876922996</v>
      </c>
      <c r="AH237">
        <v>1</v>
      </c>
      <c r="AI237">
        <v>-5.4930192422222204</v>
      </c>
      <c r="AJ237">
        <v>-5.3435702660000004</v>
      </c>
      <c r="AK237">
        <v>1</v>
      </c>
      <c r="AL237">
        <v>-5.7465723666666602</v>
      </c>
      <c r="AM237">
        <v>-5.3328084149999997</v>
      </c>
      <c r="AN237">
        <v>1</v>
      </c>
      <c r="AO237">
        <v>-3.3677905153571399</v>
      </c>
      <c r="AP237">
        <v>-3.12208493866666</v>
      </c>
      <c r="AQ237">
        <v>1</v>
      </c>
      <c r="AR237">
        <v>-3.47420670538461</v>
      </c>
      <c r="AS237">
        <v>-3.1215224671428499</v>
      </c>
      <c r="AT237">
        <v>1</v>
      </c>
      <c r="AU237">
        <v>-4.1504130469999998</v>
      </c>
      <c r="AV237">
        <v>-3.8095486106923002</v>
      </c>
      <c r="AW237">
        <v>1</v>
      </c>
      <c r="AX237">
        <v>-4.0163872377777698</v>
      </c>
      <c r="AY237">
        <v>-4.0572155360000002</v>
      </c>
      <c r="AZ237">
        <v>0</v>
      </c>
      <c r="BA237">
        <v>-4.1006151533333304</v>
      </c>
      <c r="BB237">
        <v>-3.9416335939999998</v>
      </c>
      <c r="BC237">
        <v>1</v>
      </c>
      <c r="BD237">
        <v>-4.5775590944285698</v>
      </c>
      <c r="BE237">
        <v>-4.2018426844666603</v>
      </c>
      <c r="BF237">
        <v>1</v>
      </c>
      <c r="BG237">
        <v>-4.8647448092307597</v>
      </c>
      <c r="BH237">
        <v>-4.3537953821428497</v>
      </c>
      <c r="BI237">
        <v>1</v>
      </c>
      <c r="BJ237">
        <v>-5.5834750766666597</v>
      </c>
      <c r="BK237">
        <v>-4.9590310476923003</v>
      </c>
      <c r="BL237">
        <v>1</v>
      </c>
      <c r="BM237">
        <v>-5.5602670333333304</v>
      </c>
      <c r="BN237">
        <v>-5.4267022000000003</v>
      </c>
      <c r="BO237">
        <v>1</v>
      </c>
      <c r="BP237">
        <v>-5.9567717366666599</v>
      </c>
      <c r="BQ237">
        <v>-5.5122073980000001</v>
      </c>
      <c r="BR237">
        <v>1</v>
      </c>
    </row>
    <row r="238" spans="1:70" x14ac:dyDescent="0.35">
      <c r="A238" t="s">
        <v>840</v>
      </c>
      <c r="B238" t="s">
        <v>841</v>
      </c>
      <c r="C238" t="s">
        <v>842</v>
      </c>
      <c r="D238">
        <v>0</v>
      </c>
      <c r="E238" t="s">
        <v>350</v>
      </c>
      <c r="F238" t="str">
        <f>INDEX([1]train_xl!$H:$H,MATCH(E238,[1]train_xl!$G:$G,0))</f>
        <v>as-as</v>
      </c>
      <c r="G238" t="str">
        <f>INDEX([1]train_xl!$I:$I,MATCH(E238,[1]train_xl!$G:$G,0))</f>
        <v>sim</v>
      </c>
      <c r="H238" t="str">
        <f>INDEX([1]train_xl!$V:$V,MATCH(E238,[1]train_xl!$G:$G,0))</f>
        <v>not</v>
      </c>
      <c r="I238" t="str">
        <f>INDEX([2]Sheet1!$L:$L,MATCH(E238,[2]Sheet1!$I:$I,0))</f>
        <v>intens</v>
      </c>
      <c r="K238">
        <v>-3.96535128023076</v>
      </c>
      <c r="L238">
        <v>-3.9963101509285699</v>
      </c>
      <c r="M238">
        <v>1</v>
      </c>
      <c r="N238">
        <v>-4.2883902022499996</v>
      </c>
      <c r="O238">
        <v>-4.2765151111538398</v>
      </c>
      <c r="P238">
        <v>0</v>
      </c>
      <c r="Q238">
        <v>-5.5701097638181798</v>
      </c>
      <c r="R238">
        <v>-5.4760735084166603</v>
      </c>
      <c r="S238">
        <v>0</v>
      </c>
      <c r="T238">
        <v>-5.2831926249999999</v>
      </c>
      <c r="U238">
        <v>-5.6136556444444397</v>
      </c>
      <c r="V238">
        <v>1</v>
      </c>
      <c r="W238">
        <v>-6.0445775875000001</v>
      </c>
      <c r="X238">
        <v>-5.7271646888888803</v>
      </c>
      <c r="Y238">
        <v>0</v>
      </c>
      <c r="Z238">
        <v>-3.6414542896153801</v>
      </c>
      <c r="AA238">
        <v>-3.83727305092857</v>
      </c>
      <c r="AB238">
        <v>1</v>
      </c>
      <c r="AC238">
        <v>-3.76343449949999</v>
      </c>
      <c r="AD238">
        <v>-4.0086649176923004</v>
      </c>
      <c r="AE238">
        <v>1</v>
      </c>
      <c r="AF238">
        <v>-4.8548727454545402</v>
      </c>
      <c r="AG238">
        <v>-4.9173533183333298</v>
      </c>
      <c r="AH238">
        <v>1</v>
      </c>
      <c r="AI238">
        <v>-4.748751275</v>
      </c>
      <c r="AJ238">
        <v>-5.2183860333333296</v>
      </c>
      <c r="AK238">
        <v>1</v>
      </c>
      <c r="AL238">
        <v>-4.9853485500000003</v>
      </c>
      <c r="AM238">
        <v>-4.9559699444444396</v>
      </c>
      <c r="AN238">
        <v>0</v>
      </c>
      <c r="AO238">
        <v>-4.5118388325384604</v>
      </c>
      <c r="AP238">
        <v>-4.6752317135714199</v>
      </c>
      <c r="AQ238">
        <v>1</v>
      </c>
      <c r="AR238">
        <v>-4.6566061249999899</v>
      </c>
      <c r="AS238">
        <v>-4.8494354307692298</v>
      </c>
      <c r="AT238">
        <v>1</v>
      </c>
      <c r="AU238">
        <v>-5.7769631609090899</v>
      </c>
      <c r="AV238">
        <v>-5.8636972791666597</v>
      </c>
      <c r="AW238">
        <v>1</v>
      </c>
      <c r="AX238">
        <v>-6.1128516375000004</v>
      </c>
      <c r="AY238">
        <v>-6.2758154555555503</v>
      </c>
      <c r="AZ238">
        <v>1</v>
      </c>
      <c r="BA238">
        <v>-6.8438950749999901</v>
      </c>
      <c r="BB238">
        <v>-6.56949830555555</v>
      </c>
      <c r="BC238">
        <v>0</v>
      </c>
      <c r="BD238">
        <v>-3.4931236410769202</v>
      </c>
      <c r="BE238">
        <v>-3.6336383567142798</v>
      </c>
      <c r="BF238">
        <v>1</v>
      </c>
      <c r="BG238">
        <v>-3.7320374549999999</v>
      </c>
      <c r="BH238">
        <v>-3.8937778104615299</v>
      </c>
      <c r="BI238">
        <v>1</v>
      </c>
      <c r="BJ238">
        <v>-4.8377132836363597</v>
      </c>
      <c r="BK238">
        <v>-4.9080474358333301</v>
      </c>
      <c r="BL238">
        <v>1</v>
      </c>
      <c r="BM238">
        <v>-4.6941658000000004</v>
      </c>
      <c r="BN238">
        <v>-5.1095432999999897</v>
      </c>
      <c r="BO238">
        <v>1</v>
      </c>
      <c r="BP238">
        <v>-5.3660115624999998</v>
      </c>
      <c r="BQ238">
        <v>-5.2011493888888802</v>
      </c>
      <c r="BR238">
        <v>0</v>
      </c>
    </row>
    <row r="239" spans="1:70" x14ac:dyDescent="0.35">
      <c r="A239" t="s">
        <v>843</v>
      </c>
      <c r="B239" t="s">
        <v>841</v>
      </c>
      <c r="C239" t="s">
        <v>842</v>
      </c>
      <c r="D239">
        <v>1</v>
      </c>
      <c r="E239" t="s">
        <v>351</v>
      </c>
      <c r="F239" t="str">
        <f>INDEX([1]train_xl!$H:$H,MATCH(E239,[1]train_xl!$G:$G,0))</f>
        <v>as-as</v>
      </c>
      <c r="G239" t="str">
        <f>INDEX([1]train_xl!$I:$I,MATCH(E239,[1]train_xl!$G:$G,0))</f>
        <v>sim</v>
      </c>
      <c r="H239" t="str">
        <f>INDEX([1]train_xl!$V:$V,MATCH(E239,[1]train_xl!$G:$G,0))</f>
        <v>not</v>
      </c>
      <c r="I239" t="str">
        <f>INDEX([2]Sheet1!$L:$L,MATCH(E239,[2]Sheet1!$I:$I,0))</f>
        <v>neg</v>
      </c>
      <c r="K239">
        <v>-4.4734503642307697</v>
      </c>
      <c r="L239">
        <v>-3.9727261330714199</v>
      </c>
      <c r="M239">
        <v>1</v>
      </c>
      <c r="N239">
        <v>-4.9225042000833303</v>
      </c>
      <c r="O239">
        <v>-4.1601472435153797</v>
      </c>
      <c r="P239">
        <v>1</v>
      </c>
      <c r="Q239">
        <v>-6.0905746587272702</v>
      </c>
      <c r="R239">
        <v>-5.2603082581666598</v>
      </c>
      <c r="S239">
        <v>1</v>
      </c>
      <c r="T239">
        <v>-5.8860860400000004</v>
      </c>
      <c r="U239">
        <v>-5.07105517888888</v>
      </c>
      <c r="V239">
        <v>1</v>
      </c>
      <c r="W239">
        <v>-6.3394176124999904</v>
      </c>
      <c r="X239">
        <v>-5.6624791777777697</v>
      </c>
      <c r="Y239">
        <v>1</v>
      </c>
      <c r="Z239">
        <v>-4.1348506103076899</v>
      </c>
      <c r="AA239">
        <v>-3.6887249551428498</v>
      </c>
      <c r="AB239">
        <v>1</v>
      </c>
      <c r="AC239">
        <v>-4.3231883149999897</v>
      </c>
      <c r="AD239">
        <v>-3.7660337176923</v>
      </c>
      <c r="AE239">
        <v>1</v>
      </c>
      <c r="AF239">
        <v>-5.3797674309090899</v>
      </c>
      <c r="AG239">
        <v>-4.6856589383333302</v>
      </c>
      <c r="AH239">
        <v>1</v>
      </c>
      <c r="AI239">
        <v>-5.2268578750000003</v>
      </c>
      <c r="AJ239">
        <v>-4.6926072822222196</v>
      </c>
      <c r="AK239">
        <v>1</v>
      </c>
      <c r="AL239">
        <v>-5.1572000750000004</v>
      </c>
      <c r="AM239">
        <v>-4.6918162711111098</v>
      </c>
      <c r="AN239">
        <v>1</v>
      </c>
      <c r="AO239">
        <v>-4.7145234450000002</v>
      </c>
      <c r="AP239">
        <v>-4.32611016999999</v>
      </c>
      <c r="AQ239">
        <v>1</v>
      </c>
      <c r="AR239">
        <v>-4.8727808016666598</v>
      </c>
      <c r="AS239">
        <v>-4.32801173184615</v>
      </c>
      <c r="AT239">
        <v>1</v>
      </c>
      <c r="AU239">
        <v>-5.9450539854545399</v>
      </c>
      <c r="AV239">
        <v>-5.3306298041666604</v>
      </c>
      <c r="AW239">
        <v>1</v>
      </c>
      <c r="AX239">
        <v>-6.1511698250000002</v>
      </c>
      <c r="AY239">
        <v>-5.48857594444444</v>
      </c>
      <c r="AZ239">
        <v>1</v>
      </c>
      <c r="BA239">
        <v>-6.5692601549999896</v>
      </c>
      <c r="BB239">
        <v>-5.7759068366666604</v>
      </c>
      <c r="BC239">
        <v>1</v>
      </c>
      <c r="BD239">
        <v>-4.0754479930769199</v>
      </c>
      <c r="BE239">
        <v>-3.5996117934285699</v>
      </c>
      <c r="BF239">
        <v>1</v>
      </c>
      <c r="BG239">
        <v>-4.3652635499999999</v>
      </c>
      <c r="BH239">
        <v>-3.7802462184615302</v>
      </c>
      <c r="BI239">
        <v>1</v>
      </c>
      <c r="BJ239">
        <v>-5.3929836563636302</v>
      </c>
      <c r="BK239">
        <v>-4.6953349958333304</v>
      </c>
      <c r="BL239">
        <v>1</v>
      </c>
      <c r="BM239">
        <v>-5.1758733374999997</v>
      </c>
      <c r="BN239">
        <v>-4.6494446666666596</v>
      </c>
      <c r="BO239">
        <v>1</v>
      </c>
      <c r="BP239">
        <v>-5.8420959625000002</v>
      </c>
      <c r="BQ239">
        <v>-5.2430964388888901</v>
      </c>
      <c r="BR239">
        <v>1</v>
      </c>
    </row>
    <row r="240" spans="1:70" x14ac:dyDescent="0.35">
      <c r="A240" t="s">
        <v>844</v>
      </c>
      <c r="B240" t="s">
        <v>845</v>
      </c>
      <c r="C240" t="s">
        <v>846</v>
      </c>
      <c r="D240">
        <v>0</v>
      </c>
      <c r="E240" t="s">
        <v>352</v>
      </c>
      <c r="F240" t="str">
        <f>INDEX([1]train_xl!$H:$H,MATCH(E240,[1]train_xl!$G:$G,0))</f>
        <v>as-as</v>
      </c>
      <c r="G240" t="str">
        <f>INDEX([1]train_xl!$I:$I,MATCH(E240,[1]train_xl!$G:$G,0))</f>
        <v>sim</v>
      </c>
      <c r="H240" t="str">
        <f>INDEX([1]train_xl!$V:$V,MATCH(E240,[1]train_xl!$G:$G,0))</f>
        <v>antonym</v>
      </c>
      <c r="I240" t="str">
        <f>INDEX([2]Sheet1!$L:$L,MATCH(E240,[2]Sheet1!$I:$I,0))</f>
        <v>intens</v>
      </c>
      <c r="K240">
        <v>-3.8188790172857101</v>
      </c>
      <c r="L240">
        <v>-4.2017341573066602</v>
      </c>
      <c r="M240">
        <v>1</v>
      </c>
      <c r="N240">
        <v>-3.8444108457692301</v>
      </c>
      <c r="O240">
        <v>-4.3796636392642796</v>
      </c>
      <c r="P240">
        <v>1</v>
      </c>
      <c r="Q240">
        <v>-4.6161487450833301</v>
      </c>
      <c r="R240">
        <v>-5.04627166907692</v>
      </c>
      <c r="S240">
        <v>1</v>
      </c>
      <c r="T240">
        <v>-4.7251574333333304</v>
      </c>
      <c r="U240">
        <v>-5.1970000179999998</v>
      </c>
      <c r="V240">
        <v>1</v>
      </c>
      <c r="W240">
        <v>-5.1563813666666602</v>
      </c>
      <c r="X240">
        <v>-5.5051232599999897</v>
      </c>
      <c r="Y240">
        <v>1</v>
      </c>
      <c r="Z240">
        <v>-3.7900973742857098</v>
      </c>
      <c r="AA240">
        <v>-4.1399462140000001</v>
      </c>
      <c r="AB240">
        <v>1</v>
      </c>
      <c r="AC240">
        <v>-3.79559436830769</v>
      </c>
      <c r="AD240">
        <v>-4.17898266964285</v>
      </c>
      <c r="AE240">
        <v>1</v>
      </c>
      <c r="AF240">
        <v>-4.8044081758333297</v>
      </c>
      <c r="AG240">
        <v>-5.1673693265384602</v>
      </c>
      <c r="AH240">
        <v>1</v>
      </c>
      <c r="AI240">
        <v>-4.8034074888888796</v>
      </c>
      <c r="AJ240">
        <v>-5.1223020496</v>
      </c>
      <c r="AK240">
        <v>1</v>
      </c>
      <c r="AL240">
        <v>-4.7504387222222197</v>
      </c>
      <c r="AM240">
        <v>-5.0129199399999997</v>
      </c>
      <c r="AN240">
        <v>1</v>
      </c>
      <c r="AO240">
        <v>-3.5366804841428499</v>
      </c>
      <c r="AP240">
        <v>-3.9791565018666599</v>
      </c>
      <c r="AQ240">
        <v>1</v>
      </c>
      <c r="AR240">
        <v>-3.40288772846153</v>
      </c>
      <c r="AS240">
        <v>-3.8748370713571401</v>
      </c>
      <c r="AT240">
        <v>1</v>
      </c>
      <c r="AU240">
        <v>-4.2741449625000003</v>
      </c>
      <c r="AV240">
        <v>-4.55757903246153</v>
      </c>
      <c r="AW240">
        <v>1</v>
      </c>
      <c r="AX240">
        <v>-3.96204218111111</v>
      </c>
      <c r="AY240">
        <v>-4.4247817139999999</v>
      </c>
      <c r="AZ240">
        <v>1</v>
      </c>
      <c r="BA240">
        <v>-4.14089324777777</v>
      </c>
      <c r="BB240">
        <v>-4.5294687289999898</v>
      </c>
      <c r="BC240">
        <v>1</v>
      </c>
      <c r="BD240">
        <v>-3.6824471255714202</v>
      </c>
      <c r="BE240">
        <v>-3.9937691784</v>
      </c>
      <c r="BF240">
        <v>1</v>
      </c>
      <c r="BG240">
        <v>-3.6974660325384598</v>
      </c>
      <c r="BH240">
        <v>-4.0829182764285701</v>
      </c>
      <c r="BI240">
        <v>1</v>
      </c>
      <c r="BJ240">
        <v>-4.6901185724999896</v>
      </c>
      <c r="BK240">
        <v>-5.0099133646153797</v>
      </c>
      <c r="BL240">
        <v>1</v>
      </c>
      <c r="BM240">
        <v>-4.79345757555555</v>
      </c>
      <c r="BN240">
        <v>-5.0866092739999997</v>
      </c>
      <c r="BO240">
        <v>1</v>
      </c>
      <c r="BP240">
        <v>-4.9366557888888796</v>
      </c>
      <c r="BQ240">
        <v>-5.1969626040000003</v>
      </c>
      <c r="BR240">
        <v>1</v>
      </c>
    </row>
    <row r="241" spans="1:70" x14ac:dyDescent="0.35">
      <c r="A241" t="s">
        <v>847</v>
      </c>
      <c r="B241" t="s">
        <v>845</v>
      </c>
      <c r="C241" t="s">
        <v>846</v>
      </c>
      <c r="D241">
        <v>1</v>
      </c>
      <c r="E241" t="s">
        <v>353</v>
      </c>
      <c r="F241" t="str">
        <f>INDEX([1]train_xl!$H:$H,MATCH(E241,[1]train_xl!$G:$G,0))</f>
        <v>as-as</v>
      </c>
      <c r="G241" t="str">
        <f>INDEX([1]train_xl!$I:$I,MATCH(E241,[1]train_xl!$G:$G,0))</f>
        <v>sim</v>
      </c>
      <c r="H241" t="str">
        <f>INDEX([1]train_xl!$V:$V,MATCH(E241,[1]train_xl!$G:$G,0))</f>
        <v>antonym</v>
      </c>
      <c r="I241" t="str">
        <f>INDEX([2]Sheet1!$L:$L,MATCH(E241,[2]Sheet1!$I:$I,0))</f>
        <v>neg</v>
      </c>
      <c r="K241">
        <v>-4.3636629229999997</v>
      </c>
      <c r="L241">
        <v>-3.9898755004666602</v>
      </c>
      <c r="M241">
        <v>1</v>
      </c>
      <c r="N241">
        <v>-4.5577691897692301</v>
      </c>
      <c r="O241">
        <v>-4.2218126567428502</v>
      </c>
      <c r="P241">
        <v>1</v>
      </c>
      <c r="Q241">
        <v>-5.14107225916666</v>
      </c>
      <c r="R241">
        <v>-4.8772666750000004</v>
      </c>
      <c r="S241">
        <v>1</v>
      </c>
      <c r="T241">
        <v>-5.3086562388888803</v>
      </c>
      <c r="U241">
        <v>-5.2962605759999999</v>
      </c>
      <c r="V241">
        <v>1</v>
      </c>
      <c r="W241">
        <v>-5.5966785411111104</v>
      </c>
      <c r="X241">
        <v>-5.8308678919999899</v>
      </c>
      <c r="Y241">
        <v>0</v>
      </c>
      <c r="Z241">
        <v>-4.2885268737857096</v>
      </c>
      <c r="AA241">
        <v>-3.9375797777333301</v>
      </c>
      <c r="AB241">
        <v>1</v>
      </c>
      <c r="AC241">
        <v>-4.3289454751538399</v>
      </c>
      <c r="AD241">
        <v>-4.0521844801428504</v>
      </c>
      <c r="AE241">
        <v>1</v>
      </c>
      <c r="AF241">
        <v>-5.1762258250000004</v>
      </c>
      <c r="AG241">
        <v>-5.0007915576922999</v>
      </c>
      <c r="AH241">
        <v>1</v>
      </c>
      <c r="AI241">
        <v>-5.1473348933333298</v>
      </c>
      <c r="AJ241">
        <v>-5.1759658760000002</v>
      </c>
      <c r="AK241">
        <v>0</v>
      </c>
      <c r="AL241">
        <v>-5.1157828555555502</v>
      </c>
      <c r="AM241">
        <v>-5.2504472299999998</v>
      </c>
      <c r="AN241">
        <v>0</v>
      </c>
      <c r="AO241">
        <v>-4.3041348005714202</v>
      </c>
      <c r="AP241">
        <v>-3.9223945275999998</v>
      </c>
      <c r="AQ241">
        <v>1</v>
      </c>
      <c r="AR241">
        <v>-4.0353508606922999</v>
      </c>
      <c r="AS241">
        <v>-3.83557571821428</v>
      </c>
      <c r="AT241">
        <v>1</v>
      </c>
      <c r="AU241">
        <v>-4.6184813208333297</v>
      </c>
      <c r="AV241">
        <v>-4.4855089984615297</v>
      </c>
      <c r="AW241">
        <v>1</v>
      </c>
      <c r="AX241">
        <v>-4.7010288577777697</v>
      </c>
      <c r="AY241">
        <v>-4.7521025649999897</v>
      </c>
      <c r="AZ241">
        <v>0</v>
      </c>
      <c r="BA241">
        <v>-4.7650644988888802</v>
      </c>
      <c r="BB241">
        <v>-5.0201169299999897</v>
      </c>
      <c r="BC241">
        <v>0</v>
      </c>
      <c r="BD241">
        <v>-4.0357076796428499</v>
      </c>
      <c r="BE241">
        <v>-3.7250319542666599</v>
      </c>
      <c r="BF241">
        <v>1</v>
      </c>
      <c r="BG241">
        <v>-4.0975579240000002</v>
      </c>
      <c r="BH241">
        <v>-3.8973133517142799</v>
      </c>
      <c r="BI241">
        <v>1</v>
      </c>
      <c r="BJ241">
        <v>-5.0062088058333298</v>
      </c>
      <c r="BK241">
        <v>-4.7989559515384599</v>
      </c>
      <c r="BL241">
        <v>1</v>
      </c>
      <c r="BM241">
        <v>-4.9118552177777701</v>
      </c>
      <c r="BN241">
        <v>-5.0207833470000001</v>
      </c>
      <c r="BO241">
        <v>0</v>
      </c>
      <c r="BP241">
        <v>-5.2332006144444403</v>
      </c>
      <c r="BQ241">
        <v>-5.3477790439999904</v>
      </c>
      <c r="BR241">
        <v>0</v>
      </c>
    </row>
    <row r="242" spans="1:70" x14ac:dyDescent="0.35">
      <c r="A242" t="s">
        <v>848</v>
      </c>
      <c r="B242" t="s">
        <v>849</v>
      </c>
      <c r="C242" t="s">
        <v>850</v>
      </c>
      <c r="D242">
        <v>0</v>
      </c>
      <c r="E242" t="s">
        <v>354</v>
      </c>
      <c r="F242" t="str">
        <f>INDEX([1]train_xl!$H:$H,MATCH(E242,[1]train_xl!$G:$G,0))</f>
        <v>as</v>
      </c>
      <c r="G242" t="str">
        <f>INDEX([1]train_xl!$I:$I,MATCH(E242,[1]train_xl!$G:$G,0))</f>
        <v>sim</v>
      </c>
      <c r="H242" t="str">
        <f>INDEX([1]train_xl!$V:$V,MATCH(E242,[1]train_xl!$G:$G,0))</f>
        <v>not</v>
      </c>
      <c r="I242" t="str">
        <f>INDEX([2]Sheet1!$L:$L,MATCH(E242,[2]Sheet1!$I:$I,0))</f>
        <v>neg</v>
      </c>
      <c r="K242">
        <v>-2.7375075105999902</v>
      </c>
      <c r="L242">
        <v>-3.2274937035714202</v>
      </c>
      <c r="M242">
        <v>1</v>
      </c>
      <c r="N242">
        <v>-2.9634549387857101</v>
      </c>
      <c r="O242">
        <v>-3.5471488538076899</v>
      </c>
      <c r="P242">
        <v>1</v>
      </c>
      <c r="Q242">
        <v>-3.7572906011538398</v>
      </c>
      <c r="R242">
        <v>-4.6642422745833301</v>
      </c>
      <c r="S242">
        <v>1</v>
      </c>
      <c r="T242">
        <v>-3.54952795399999</v>
      </c>
      <c r="U242">
        <v>-3.4970395855555498</v>
      </c>
      <c r="V242">
        <v>0</v>
      </c>
      <c r="W242">
        <v>-3.840347425</v>
      </c>
      <c r="X242">
        <v>-4.0661272822222196</v>
      </c>
      <c r="Y242">
        <v>1</v>
      </c>
      <c r="Z242">
        <v>-3.4254187653333301</v>
      </c>
      <c r="AA242">
        <v>-4.0701950253571404</v>
      </c>
      <c r="AB242">
        <v>1</v>
      </c>
      <c r="AC242">
        <v>-3.6055298649999998</v>
      </c>
      <c r="AD242">
        <v>-4.3033213984615299</v>
      </c>
      <c r="AE242">
        <v>1</v>
      </c>
      <c r="AF242">
        <v>-4.51851776461538</v>
      </c>
      <c r="AG242">
        <v>-5.2793826449999903</v>
      </c>
      <c r="AH242">
        <v>1</v>
      </c>
      <c r="AI242">
        <v>-4.5188392860000004</v>
      </c>
      <c r="AJ242">
        <v>-4.7633391999999999</v>
      </c>
      <c r="AK242">
        <v>1</v>
      </c>
      <c r="AL242">
        <v>-4.80494647</v>
      </c>
      <c r="AM242">
        <v>-5.2179389888888803</v>
      </c>
      <c r="AN242">
        <v>1</v>
      </c>
      <c r="AO242">
        <v>-2.5764745586666602</v>
      </c>
      <c r="AP242">
        <v>-2.8953521900000001</v>
      </c>
      <c r="AQ242">
        <v>1</v>
      </c>
      <c r="AR242">
        <v>-2.6157486092857098</v>
      </c>
      <c r="AS242">
        <v>-3.1536374019230702</v>
      </c>
      <c r="AT242">
        <v>1</v>
      </c>
      <c r="AU242">
        <v>-3.14140089538461</v>
      </c>
      <c r="AV242">
        <v>-3.6924444283333302</v>
      </c>
      <c r="AW242">
        <v>1</v>
      </c>
      <c r="AX242">
        <v>-3.2203336</v>
      </c>
      <c r="AY242">
        <v>-3.3508880666666601</v>
      </c>
      <c r="AZ242">
        <v>1</v>
      </c>
      <c r="BA242">
        <v>-3.316389606</v>
      </c>
      <c r="BB242">
        <v>-3.5264029522222202</v>
      </c>
      <c r="BC242">
        <v>1</v>
      </c>
      <c r="BD242">
        <v>-3.6178226516666601</v>
      </c>
      <c r="BE242">
        <v>-4.2891282870714198</v>
      </c>
      <c r="BF242">
        <v>1</v>
      </c>
      <c r="BG242">
        <v>-3.8211493514285699</v>
      </c>
      <c r="BH242">
        <v>-4.6020017215384597</v>
      </c>
      <c r="BI242">
        <v>1</v>
      </c>
      <c r="BJ242">
        <v>-4.6461067392307598</v>
      </c>
      <c r="BK242">
        <v>-5.4872504574999903</v>
      </c>
      <c r="BL242">
        <v>1</v>
      </c>
      <c r="BM242">
        <v>-4.8360844679999904</v>
      </c>
      <c r="BN242">
        <v>-5.1034402399999896</v>
      </c>
      <c r="BO242">
        <v>1</v>
      </c>
      <c r="BP242">
        <v>-5.039344603</v>
      </c>
      <c r="BQ242">
        <v>-5.3518796111110998</v>
      </c>
      <c r="BR242">
        <v>1</v>
      </c>
    </row>
    <row r="243" spans="1:70" x14ac:dyDescent="0.35">
      <c r="A243" t="s">
        <v>851</v>
      </c>
      <c r="B243" t="s">
        <v>849</v>
      </c>
      <c r="C243" t="s">
        <v>850</v>
      </c>
      <c r="D243">
        <v>1</v>
      </c>
      <c r="E243" t="s">
        <v>355</v>
      </c>
      <c r="F243" t="str">
        <f>INDEX([1]train_xl!$H:$H,MATCH(E243,[1]train_xl!$G:$G,0))</f>
        <v>as</v>
      </c>
      <c r="G243" t="str">
        <f>INDEX([1]train_xl!$I:$I,MATCH(E243,[1]train_xl!$G:$G,0))</f>
        <v>sim</v>
      </c>
      <c r="H243" t="str">
        <f>INDEX([1]train_xl!$V:$V,MATCH(E243,[1]train_xl!$G:$G,0))</f>
        <v>not</v>
      </c>
      <c r="I243" t="str">
        <f>INDEX([2]Sheet1!$L:$L,MATCH(E243,[2]Sheet1!$I:$I,0))</f>
        <v>intens</v>
      </c>
      <c r="K243">
        <v>-3.2771006565333298</v>
      </c>
      <c r="L243">
        <v>-3.1811765387142801</v>
      </c>
      <c r="M243">
        <v>1</v>
      </c>
      <c r="N243">
        <v>-3.4671402675714198</v>
      </c>
      <c r="O243">
        <v>-3.2989216303846098</v>
      </c>
      <c r="P243">
        <v>1</v>
      </c>
      <c r="Q243">
        <v>-4.4749378523076899</v>
      </c>
      <c r="R243">
        <v>-4.4335208035833302</v>
      </c>
      <c r="S243">
        <v>1</v>
      </c>
      <c r="T243">
        <v>-4.1369563649999996</v>
      </c>
      <c r="U243">
        <v>-4.0644212844444398</v>
      </c>
      <c r="V243">
        <v>1</v>
      </c>
      <c r="W243">
        <v>-4.5028315470000004</v>
      </c>
      <c r="X243">
        <v>-4.5375770744444397</v>
      </c>
      <c r="Y243">
        <v>0</v>
      </c>
      <c r="Z243">
        <v>-4.1880809063333304</v>
      </c>
      <c r="AA243">
        <v>-4.11844391142857</v>
      </c>
      <c r="AB243">
        <v>1</v>
      </c>
      <c r="AC243">
        <v>-4.3024760238571398</v>
      </c>
      <c r="AD243">
        <v>-4.2794272873076897</v>
      </c>
      <c r="AE243">
        <v>1</v>
      </c>
      <c r="AF243">
        <v>-5.4194626092307603</v>
      </c>
      <c r="AG243">
        <v>-5.4831516499999999</v>
      </c>
      <c r="AH243">
        <v>0</v>
      </c>
      <c r="AI243">
        <v>-5.2910615500000002</v>
      </c>
      <c r="AJ243">
        <v>-5.4484070511111096</v>
      </c>
      <c r="AK243">
        <v>0</v>
      </c>
      <c r="AL243">
        <v>-5.7187408299999998</v>
      </c>
      <c r="AM243">
        <v>-5.9490553822222196</v>
      </c>
      <c r="AN243">
        <v>0</v>
      </c>
      <c r="AO243">
        <v>-3.38771425906666</v>
      </c>
      <c r="AP243">
        <v>-3.26862209264285</v>
      </c>
      <c r="AQ243">
        <v>1</v>
      </c>
      <c r="AR243">
        <v>-3.33283645142857</v>
      </c>
      <c r="AS243">
        <v>-3.1295212688461498</v>
      </c>
      <c r="AT243">
        <v>1</v>
      </c>
      <c r="AU243">
        <v>-3.9261158356923</v>
      </c>
      <c r="AV243">
        <v>-3.87895161416666</v>
      </c>
      <c r="AW243">
        <v>1</v>
      </c>
      <c r="AX243">
        <v>-3.8975969149999998</v>
      </c>
      <c r="AY243">
        <v>-3.9069914855555501</v>
      </c>
      <c r="AZ243">
        <v>0</v>
      </c>
      <c r="BA243">
        <v>-4.0963923769999999</v>
      </c>
      <c r="BB243">
        <v>-4.1916874111111104</v>
      </c>
      <c r="BC243">
        <v>0</v>
      </c>
      <c r="BD243">
        <v>-4.2499254435999996</v>
      </c>
      <c r="BE243">
        <v>-4.2369594401428499</v>
      </c>
      <c r="BF243">
        <v>1</v>
      </c>
      <c r="BG243">
        <v>-4.4556031642857103</v>
      </c>
      <c r="BH243">
        <v>-4.4132205761538401</v>
      </c>
      <c r="BI243">
        <v>1</v>
      </c>
      <c r="BJ243">
        <v>-5.4417912230769199</v>
      </c>
      <c r="BK243">
        <v>-5.4823551524999896</v>
      </c>
      <c r="BL243">
        <v>0</v>
      </c>
      <c r="BM243">
        <v>-5.4375922399999999</v>
      </c>
      <c r="BN243">
        <v>-5.6355006166666604</v>
      </c>
      <c r="BO243">
        <v>0</v>
      </c>
      <c r="BP243">
        <v>-5.8242800949999998</v>
      </c>
      <c r="BQ243">
        <v>-6.1053726444444401</v>
      </c>
      <c r="BR243">
        <v>0</v>
      </c>
    </row>
    <row r="244" spans="1:70" x14ac:dyDescent="0.35">
      <c r="A244" t="s">
        <v>852</v>
      </c>
      <c r="B244" t="s">
        <v>853</v>
      </c>
      <c r="C244" t="s">
        <v>854</v>
      </c>
      <c r="D244">
        <v>0</v>
      </c>
      <c r="E244" t="s">
        <v>356</v>
      </c>
      <c r="F244" t="str">
        <f>INDEX([1]train_xl!$H:$H,MATCH(E244,[1]train_xl!$G:$G,0))</f>
        <v>the-of</v>
      </c>
      <c r="G244" t="str">
        <f>INDEX([1]train_xl!$I:$I,MATCH(E244,[1]train_xl!$G:$G,0))</f>
        <v>sim</v>
      </c>
      <c r="H244" t="str">
        <f>INDEX([1]train_xl!$V:$V,MATCH(E244,[1]train_xl!$G:$G,0))</f>
        <v>not</v>
      </c>
      <c r="I244" t="str">
        <f>INDEX([2]Sheet1!$L:$L,MATCH(E244,[2]Sheet1!$I:$I,0))</f>
        <v>neg</v>
      </c>
      <c r="K244">
        <v>-4.3758114885333299</v>
      </c>
      <c r="L244">
        <v>-5.15951669760714</v>
      </c>
      <c r="M244">
        <v>1</v>
      </c>
      <c r="N244">
        <v>-4.6405085267142798</v>
      </c>
      <c r="O244">
        <v>-5.3785563417692304</v>
      </c>
      <c r="P244">
        <v>1</v>
      </c>
      <c r="Q244">
        <v>-5.6876021238461503</v>
      </c>
      <c r="R244">
        <v>-6.5311407966666604</v>
      </c>
      <c r="S244">
        <v>1</v>
      </c>
      <c r="T244">
        <v>-5.7973517509999999</v>
      </c>
      <c r="U244">
        <v>-7.02452384444444</v>
      </c>
      <c r="V244">
        <v>1</v>
      </c>
      <c r="W244">
        <v>-6.391189346</v>
      </c>
      <c r="X244">
        <v>-7.2142799111111096</v>
      </c>
      <c r="Y244">
        <v>1</v>
      </c>
      <c r="Z244">
        <v>-2.8148477642</v>
      </c>
      <c r="AA244">
        <v>-3.4375131480714201</v>
      </c>
      <c r="AB244">
        <v>1</v>
      </c>
      <c r="AC244">
        <v>-2.9068739507142798</v>
      </c>
      <c r="AD244">
        <v>-3.4544071607692302</v>
      </c>
      <c r="AE244">
        <v>1</v>
      </c>
      <c r="AF244">
        <v>-3.8998495392307602</v>
      </c>
      <c r="AG244">
        <v>-4.5506084820833301</v>
      </c>
      <c r="AH244">
        <v>1</v>
      </c>
      <c r="AI244">
        <v>-3.40892708499999</v>
      </c>
      <c r="AJ244">
        <v>-4.1842584888888803</v>
      </c>
      <c r="AK244">
        <v>1</v>
      </c>
      <c r="AL244">
        <v>-3.8457447170000001</v>
      </c>
      <c r="AM244">
        <v>-4.4079328555555497</v>
      </c>
      <c r="AN244">
        <v>1</v>
      </c>
      <c r="AO244">
        <v>-5.7875279439999998</v>
      </c>
      <c r="AP244">
        <v>-6.6308103999999997</v>
      </c>
      <c r="AQ244">
        <v>1</v>
      </c>
      <c r="AR244">
        <v>-5.89002207214285</v>
      </c>
      <c r="AS244">
        <v>-6.7645215284615299</v>
      </c>
      <c r="AT244">
        <v>1</v>
      </c>
      <c r="AU244">
        <v>-7.1399045030769202</v>
      </c>
      <c r="AV244">
        <v>-8.2153129241666605</v>
      </c>
      <c r="AW244">
        <v>1</v>
      </c>
      <c r="AX244">
        <v>-7.7007801829999902</v>
      </c>
      <c r="AY244">
        <v>-9.1194554333333304</v>
      </c>
      <c r="AZ244">
        <v>1</v>
      </c>
      <c r="BA244">
        <v>-8.1589656799999997</v>
      </c>
      <c r="BB244">
        <v>-9.18954655555555</v>
      </c>
      <c r="BC244">
        <v>1</v>
      </c>
      <c r="BD244">
        <v>-3.0303209759999898</v>
      </c>
      <c r="BE244">
        <v>-3.6123298485714201</v>
      </c>
      <c r="BF244">
        <v>1</v>
      </c>
      <c r="BG244">
        <v>-3.1750311088571399</v>
      </c>
      <c r="BH244">
        <v>-3.7186934123076898</v>
      </c>
      <c r="BI244">
        <v>1</v>
      </c>
      <c r="BJ244">
        <v>-4.1787828403076901</v>
      </c>
      <c r="BK244">
        <v>-4.8307203621666597</v>
      </c>
      <c r="BL244">
        <v>1</v>
      </c>
      <c r="BM244">
        <v>-3.74405141</v>
      </c>
      <c r="BN244">
        <v>-4.5680024444444403</v>
      </c>
      <c r="BO244">
        <v>1</v>
      </c>
      <c r="BP244">
        <v>-4.2823829259999897</v>
      </c>
      <c r="BQ244">
        <v>-4.8761042777777703</v>
      </c>
      <c r="BR244">
        <v>1</v>
      </c>
    </row>
    <row r="245" spans="1:70" x14ac:dyDescent="0.35">
      <c r="A245" t="s">
        <v>855</v>
      </c>
      <c r="B245" t="s">
        <v>853</v>
      </c>
      <c r="C245" t="s">
        <v>854</v>
      </c>
      <c r="D245">
        <v>1</v>
      </c>
      <c r="E245" t="s">
        <v>357</v>
      </c>
      <c r="F245" t="str">
        <f>INDEX([1]train_xl!$H:$H,MATCH(E245,[1]train_xl!$G:$G,0))</f>
        <v>the-of</v>
      </c>
      <c r="G245" t="str">
        <f>INDEX([1]train_xl!$I:$I,MATCH(E245,[1]train_xl!$G:$G,0))</f>
        <v>sim</v>
      </c>
      <c r="H245" t="str">
        <f>INDEX([1]train_xl!$V:$V,MATCH(E245,[1]train_xl!$G:$G,0))</f>
        <v>not</v>
      </c>
      <c r="I245" t="str">
        <f>INDEX([2]Sheet1!$L:$L,MATCH(E245,[2]Sheet1!$I:$I,0))</f>
        <v>intens</v>
      </c>
      <c r="K245">
        <v>-4.2557239512941099</v>
      </c>
      <c r="L245">
        <v>-4.3841545206249997</v>
      </c>
      <c r="M245">
        <v>0</v>
      </c>
      <c r="N245">
        <v>-4.4278941468125002</v>
      </c>
      <c r="O245">
        <v>-4.5634996355999897</v>
      </c>
      <c r="P245">
        <v>0</v>
      </c>
      <c r="Q245">
        <v>-5.2146983999999996</v>
      </c>
      <c r="R245">
        <v>-5.4651226310714298</v>
      </c>
      <c r="S245">
        <v>0</v>
      </c>
      <c r="T245">
        <v>-5.42974132583333</v>
      </c>
      <c r="U245">
        <v>-5.5809137118181802</v>
      </c>
      <c r="V245">
        <v>0</v>
      </c>
      <c r="W245">
        <v>-5.6024412133333303</v>
      </c>
      <c r="X245">
        <v>-6.0083748163636299</v>
      </c>
      <c r="Y245">
        <v>0</v>
      </c>
      <c r="Z245">
        <v>-3.12080812299999</v>
      </c>
      <c r="AA245">
        <v>-2.9887802271249999</v>
      </c>
      <c r="AB245">
        <v>1</v>
      </c>
      <c r="AC245">
        <v>-3.1268112624999902</v>
      </c>
      <c r="AD245">
        <v>-2.9333031196666601</v>
      </c>
      <c r="AE245">
        <v>1</v>
      </c>
      <c r="AF245">
        <v>-3.8594489275999999</v>
      </c>
      <c r="AG245">
        <v>-3.71966942678571</v>
      </c>
      <c r="AH245">
        <v>1</v>
      </c>
      <c r="AI245">
        <v>-3.83097136125</v>
      </c>
      <c r="AJ245">
        <v>-3.5412821921818098</v>
      </c>
      <c r="AK245">
        <v>1</v>
      </c>
      <c r="AL245">
        <v>-3.9045032362500001</v>
      </c>
      <c r="AM245">
        <v>-3.8726945249090901</v>
      </c>
      <c r="AN245">
        <v>1</v>
      </c>
      <c r="AO245">
        <v>-5.7994327227058804</v>
      </c>
      <c r="AP245">
        <v>-5.8483899887500002</v>
      </c>
      <c r="AQ245">
        <v>0</v>
      </c>
      <c r="AR245">
        <v>-5.8419975099999997</v>
      </c>
      <c r="AS245">
        <v>-5.6999934169333297</v>
      </c>
      <c r="AT245">
        <v>1</v>
      </c>
      <c r="AU245">
        <v>-6.6520324119999996</v>
      </c>
      <c r="AV245">
        <v>-6.5722300107142804</v>
      </c>
      <c r="AW245">
        <v>1</v>
      </c>
      <c r="AX245">
        <v>-7.2692940758333302</v>
      </c>
      <c r="AY245">
        <v>-7.27095350818181</v>
      </c>
      <c r="AZ245">
        <v>0</v>
      </c>
      <c r="BA245">
        <v>-7.5071007075000002</v>
      </c>
      <c r="BB245">
        <v>-7.8756511836363599</v>
      </c>
      <c r="BC245">
        <v>0</v>
      </c>
      <c r="BD245">
        <v>-3.4722703794117602</v>
      </c>
      <c r="BE245">
        <v>-3.38131301018749</v>
      </c>
      <c r="BF245">
        <v>1</v>
      </c>
      <c r="BG245">
        <v>-3.5049891880624999</v>
      </c>
      <c r="BH245">
        <v>-3.3045275773333298</v>
      </c>
      <c r="BI245">
        <v>1</v>
      </c>
      <c r="BJ245">
        <v>-4.2352211056</v>
      </c>
      <c r="BK245">
        <v>-4.1217351907142801</v>
      </c>
      <c r="BL245">
        <v>1</v>
      </c>
      <c r="BM245">
        <v>-4.3661361569999997</v>
      </c>
      <c r="BN245">
        <v>-4.1803414960909002</v>
      </c>
      <c r="BO245">
        <v>1</v>
      </c>
      <c r="BP245">
        <v>-4.3869574819999997</v>
      </c>
      <c r="BQ245">
        <v>-4.4920483712727197</v>
      </c>
      <c r="BR245">
        <v>0</v>
      </c>
    </row>
    <row r="246" spans="1:70" x14ac:dyDescent="0.35">
      <c r="A246" t="s">
        <v>856</v>
      </c>
      <c r="B246" t="s">
        <v>60</v>
      </c>
      <c r="C246" t="s">
        <v>857</v>
      </c>
      <c r="D246">
        <v>0</v>
      </c>
      <c r="E246" t="s">
        <v>358</v>
      </c>
      <c r="F246" t="str">
        <f>INDEX([1]train_xl!$H:$H,MATCH(E246,[1]train_xl!$G:$G,0))</f>
        <v>as-as</v>
      </c>
      <c r="G246" t="str">
        <f>INDEX([1]train_xl!$I:$I,MATCH(E246,[1]train_xl!$G:$G,0))</f>
        <v>sim</v>
      </c>
      <c r="H246" t="str">
        <f>INDEX([1]train_xl!$V:$V,MATCH(E246,[1]train_xl!$G:$G,0))</f>
        <v>not</v>
      </c>
      <c r="I246" t="str">
        <f>INDEX([2]Sheet1!$L:$L,MATCH(E246,[2]Sheet1!$I:$I,0))</f>
        <v>intens</v>
      </c>
      <c r="K246">
        <v>-3.5912946067058802</v>
      </c>
      <c r="L246">
        <v>-3.6238343750555502</v>
      </c>
      <c r="M246">
        <v>1</v>
      </c>
      <c r="N246">
        <v>-3.6809073841624902</v>
      </c>
      <c r="O246">
        <v>-3.8274706560411702</v>
      </c>
      <c r="P246">
        <v>1</v>
      </c>
      <c r="Q246">
        <v>-4.3810378326599899</v>
      </c>
      <c r="R246">
        <v>-4.4365173845374901</v>
      </c>
      <c r="S246">
        <v>1</v>
      </c>
      <c r="T246">
        <v>-4.4131803340416598</v>
      </c>
      <c r="U246">
        <v>-4.3654112992230703</v>
      </c>
      <c r="V246">
        <v>0</v>
      </c>
      <c r="W246">
        <v>-4.8200164082083301</v>
      </c>
      <c r="X246">
        <v>-4.7480138630692297</v>
      </c>
      <c r="Y246">
        <v>0</v>
      </c>
      <c r="Z246">
        <v>-3.9039024542882301</v>
      </c>
      <c r="AA246">
        <v>-3.94541511361111</v>
      </c>
      <c r="AB246">
        <v>1</v>
      </c>
      <c r="AC246">
        <v>-4.0625439314375003</v>
      </c>
      <c r="AD246">
        <v>-4.2703108382529402</v>
      </c>
      <c r="AE246">
        <v>1</v>
      </c>
      <c r="AF246">
        <v>-4.6665627145333302</v>
      </c>
      <c r="AG246">
        <v>-4.82644766675</v>
      </c>
      <c r="AH246">
        <v>1</v>
      </c>
      <c r="AI246">
        <v>-4.9824057965000002</v>
      </c>
      <c r="AJ246">
        <v>-4.9057293959999999</v>
      </c>
      <c r="AK246">
        <v>0</v>
      </c>
      <c r="AL246">
        <v>-5.2952870181666603</v>
      </c>
      <c r="AM246">
        <v>-5.16964320753846</v>
      </c>
      <c r="AN246">
        <v>0</v>
      </c>
      <c r="AO246">
        <v>-3.09372828285882</v>
      </c>
      <c r="AP246">
        <v>-3.28286514266666</v>
      </c>
      <c r="AQ246">
        <v>1</v>
      </c>
      <c r="AR246">
        <v>-3.1907980405312402</v>
      </c>
      <c r="AS246">
        <v>-3.5462272334705802</v>
      </c>
      <c r="AT246">
        <v>1</v>
      </c>
      <c r="AU246">
        <v>-3.6631648687999898</v>
      </c>
      <c r="AV246">
        <v>-3.9234054560937399</v>
      </c>
      <c r="AW246">
        <v>1</v>
      </c>
      <c r="AX246">
        <v>-4.0322101190833299</v>
      </c>
      <c r="AY246">
        <v>-4.1420272963076901</v>
      </c>
      <c r="AZ246">
        <v>1</v>
      </c>
      <c r="BA246">
        <v>-4.0137219632500001</v>
      </c>
      <c r="BB246">
        <v>-4.0793269547692299</v>
      </c>
      <c r="BC246">
        <v>1</v>
      </c>
      <c r="BD246">
        <v>-3.83150652262941</v>
      </c>
      <c r="BE246">
        <v>-3.9227571144999902</v>
      </c>
      <c r="BF246">
        <v>1</v>
      </c>
      <c r="BG246">
        <v>-3.9919908771874901</v>
      </c>
      <c r="BH246">
        <v>-4.2554300727646996</v>
      </c>
      <c r="BI246">
        <v>1</v>
      </c>
      <c r="BJ246">
        <v>-4.5337695857133298</v>
      </c>
      <c r="BK246">
        <v>-4.7428522559374997</v>
      </c>
      <c r="BL246">
        <v>1</v>
      </c>
      <c r="BM246">
        <v>-4.8999890509166599</v>
      </c>
      <c r="BN246">
        <v>-4.7486618879</v>
      </c>
      <c r="BO246">
        <v>0</v>
      </c>
      <c r="BP246">
        <v>-5.2489242592499998</v>
      </c>
      <c r="BQ246">
        <v>-5.15645193930769</v>
      </c>
      <c r="BR246">
        <v>0</v>
      </c>
    </row>
    <row r="247" spans="1:70" x14ac:dyDescent="0.35">
      <c r="A247" t="s">
        <v>858</v>
      </c>
      <c r="B247" t="s">
        <v>60</v>
      </c>
      <c r="C247" t="s">
        <v>857</v>
      </c>
      <c r="D247">
        <v>1</v>
      </c>
      <c r="E247" t="s">
        <v>359</v>
      </c>
      <c r="F247" t="str">
        <f>INDEX([1]train_xl!$H:$H,MATCH(E247,[1]train_xl!$G:$G,0))</f>
        <v>as-as</v>
      </c>
      <c r="G247" t="str">
        <f>INDEX([1]train_xl!$I:$I,MATCH(E247,[1]train_xl!$G:$G,0))</f>
        <v>sim</v>
      </c>
      <c r="H247" t="str">
        <f>INDEX([1]train_xl!$V:$V,MATCH(E247,[1]train_xl!$G:$G,0))</f>
        <v>not</v>
      </c>
      <c r="I247" t="str">
        <f>INDEX([2]Sheet1!$L:$L,MATCH(E247,[2]Sheet1!$I:$I,0))</f>
        <v>neg</v>
      </c>
      <c r="K247">
        <v>-3.8120801500214201</v>
      </c>
      <c r="L247">
        <v>-3.33080150864666</v>
      </c>
      <c r="M247">
        <v>1</v>
      </c>
      <c r="N247">
        <v>-3.9536619819999999</v>
      </c>
      <c r="O247">
        <v>-3.4778719390714201</v>
      </c>
      <c r="P247">
        <v>1</v>
      </c>
      <c r="Q247">
        <v>-4.8780645358333299</v>
      </c>
      <c r="R247">
        <v>-4.2376531715384598</v>
      </c>
      <c r="S247">
        <v>1</v>
      </c>
      <c r="T247">
        <v>-4.5750155831111101</v>
      </c>
      <c r="U247">
        <v>-4.5428104119999997</v>
      </c>
      <c r="V247">
        <v>1</v>
      </c>
      <c r="W247">
        <v>-4.9824710200000002</v>
      </c>
      <c r="X247">
        <v>-4.9012572353000001</v>
      </c>
      <c r="Y247">
        <v>1</v>
      </c>
      <c r="Z247">
        <v>-4.3582518261642802</v>
      </c>
      <c r="AA247">
        <v>-3.8833827397199898</v>
      </c>
      <c r="AB247">
        <v>1</v>
      </c>
      <c r="AC247">
        <v>-4.6929251853846097</v>
      </c>
      <c r="AD247">
        <v>-4.1669136721428499</v>
      </c>
      <c r="AE247">
        <v>1</v>
      </c>
      <c r="AF247">
        <v>-5.4946068275000002</v>
      </c>
      <c r="AG247">
        <v>-4.9128082192307696</v>
      </c>
      <c r="AH247">
        <v>1</v>
      </c>
      <c r="AI247">
        <v>-5.5336165777777699</v>
      </c>
      <c r="AJ247">
        <v>-5.3893930719999998</v>
      </c>
      <c r="AK247">
        <v>1</v>
      </c>
      <c r="AL247">
        <v>-5.9127492822222196</v>
      </c>
      <c r="AM247">
        <v>-5.6180072770000002</v>
      </c>
      <c r="AN247">
        <v>1</v>
      </c>
      <c r="AO247">
        <v>-3.3310865715857099</v>
      </c>
      <c r="AP247">
        <v>-3.0692911531999898</v>
      </c>
      <c r="AQ247">
        <v>1</v>
      </c>
      <c r="AR247">
        <v>-3.4187035195384601</v>
      </c>
      <c r="AS247">
        <v>-3.1738457150000001</v>
      </c>
      <c r="AT247">
        <v>1</v>
      </c>
      <c r="AU247">
        <v>-4.5013829266666603</v>
      </c>
      <c r="AV247">
        <v>-4.1323025776923004</v>
      </c>
      <c r="AW247">
        <v>1</v>
      </c>
      <c r="AX247">
        <v>-3.77994873444444</v>
      </c>
      <c r="AY247">
        <v>-3.8744439289999901</v>
      </c>
      <c r="AZ247">
        <v>0</v>
      </c>
      <c r="BA247">
        <v>-4.2347456477777703</v>
      </c>
      <c r="BB247">
        <v>-4.0587554109999999</v>
      </c>
      <c r="BC247">
        <v>1</v>
      </c>
      <c r="BD247">
        <v>-4.2440503091428496</v>
      </c>
      <c r="BE247">
        <v>-3.7890138244</v>
      </c>
      <c r="BF247">
        <v>1</v>
      </c>
      <c r="BG247">
        <v>-4.5945848476922997</v>
      </c>
      <c r="BH247">
        <v>-4.0115172771428496</v>
      </c>
      <c r="BI247">
        <v>1</v>
      </c>
      <c r="BJ247">
        <v>-5.4174220091666596</v>
      </c>
      <c r="BK247">
        <v>-4.7407393592307603</v>
      </c>
      <c r="BL247">
        <v>1</v>
      </c>
      <c r="BM247">
        <v>-5.2934962855555501</v>
      </c>
      <c r="BN247">
        <v>-5.1649025799999899</v>
      </c>
      <c r="BO247">
        <v>1</v>
      </c>
      <c r="BP247">
        <v>-5.7122747211111102</v>
      </c>
      <c r="BQ247">
        <v>-5.3899034319999997</v>
      </c>
      <c r="BR247">
        <v>1</v>
      </c>
    </row>
    <row r="248" spans="1:70" x14ac:dyDescent="0.35">
      <c r="A248" t="s">
        <v>859</v>
      </c>
      <c r="B248" t="s">
        <v>61</v>
      </c>
      <c r="C248" t="s">
        <v>62</v>
      </c>
      <c r="D248">
        <v>0</v>
      </c>
      <c r="E248" t="s">
        <v>360</v>
      </c>
      <c r="F248" t="str">
        <f>INDEX([1]train_xl!$H:$H,MATCH(E248,[1]train_xl!$G:$G,0))</f>
        <v>as-as</v>
      </c>
      <c r="G248" t="str">
        <f>INDEX([1]train_xl!$I:$I,MATCH(E248,[1]train_xl!$G:$G,0))</f>
        <v>sim</v>
      </c>
      <c r="H248" t="str">
        <f>INDEX([1]train_xl!$V:$V,MATCH(E248,[1]train_xl!$G:$G,0))</f>
        <v>not</v>
      </c>
      <c r="I248" t="str">
        <f>INDEX([2]Sheet1!$L:$L,MATCH(E248,[2]Sheet1!$I:$I,0))</f>
        <v>intens</v>
      </c>
      <c r="K248">
        <v>-3.3382196124305801</v>
      </c>
      <c r="L248">
        <v>-3.56149427938999</v>
      </c>
      <c r="M248">
        <v>1</v>
      </c>
      <c r="N248">
        <v>-3.5108812886709302</v>
      </c>
      <c r="O248">
        <v>-3.7946047659076401</v>
      </c>
      <c r="P248">
        <v>1</v>
      </c>
      <c r="Q248">
        <v>-4.3111786172252602</v>
      </c>
      <c r="R248">
        <v>-4.57815787286874</v>
      </c>
      <c r="S248">
        <v>1</v>
      </c>
      <c r="T248">
        <v>-4.0837120645841596</v>
      </c>
      <c r="U248">
        <v>-4.3243705839769202</v>
      </c>
      <c r="V248">
        <v>1</v>
      </c>
      <c r="W248">
        <v>-4.5847999393158299</v>
      </c>
      <c r="X248">
        <v>-4.73969059909615</v>
      </c>
      <c r="Y248">
        <v>1</v>
      </c>
      <c r="Z248">
        <v>-4.1422428108094103</v>
      </c>
      <c r="AA248">
        <v>-4.2643774679722197</v>
      </c>
      <c r="AB248">
        <v>1</v>
      </c>
      <c r="AC248">
        <v>-4.1301699968443701</v>
      </c>
      <c r="AD248">
        <v>-4.4002063603176396</v>
      </c>
      <c r="AE248">
        <v>1</v>
      </c>
      <c r="AF248">
        <v>-5.1914672472393297</v>
      </c>
      <c r="AG248">
        <v>-5.3510775495937501</v>
      </c>
      <c r="AH248">
        <v>1</v>
      </c>
      <c r="AI248">
        <v>-5.2890278728583304</v>
      </c>
      <c r="AJ248">
        <v>-5.33986691096153</v>
      </c>
      <c r="AK248">
        <v>1</v>
      </c>
      <c r="AL248">
        <v>-5.4260005956383299</v>
      </c>
      <c r="AM248">
        <v>-5.4868353406384598</v>
      </c>
      <c r="AN248">
        <v>1</v>
      </c>
      <c r="AO248">
        <v>-3.04398737593058</v>
      </c>
      <c r="AP248">
        <v>-3.4033906341555502</v>
      </c>
      <c r="AQ248">
        <v>1</v>
      </c>
      <c r="AR248">
        <v>-3.1495349902199998</v>
      </c>
      <c r="AS248">
        <v>-3.3899021161823502</v>
      </c>
      <c r="AT248">
        <v>1</v>
      </c>
      <c r="AU248">
        <v>-3.7362771030946602</v>
      </c>
      <c r="AV248">
        <v>-4.0036251654874997</v>
      </c>
      <c r="AW248">
        <v>1</v>
      </c>
      <c r="AX248">
        <v>-3.67144941648333</v>
      </c>
      <c r="AY248">
        <v>-3.8445706348153799</v>
      </c>
      <c r="AZ248">
        <v>1</v>
      </c>
      <c r="BA248">
        <v>-3.8884335332350002</v>
      </c>
      <c r="BB248">
        <v>-3.9489756612307598</v>
      </c>
      <c r="BC248">
        <v>1</v>
      </c>
      <c r="BD248">
        <v>-4.1810109932141097</v>
      </c>
      <c r="BE248">
        <v>-4.3367205454955498</v>
      </c>
      <c r="BF248">
        <v>1</v>
      </c>
      <c r="BG248">
        <v>-4.31797506482462</v>
      </c>
      <c r="BH248">
        <v>-4.1442591270635196</v>
      </c>
      <c r="BI248">
        <v>0</v>
      </c>
      <c r="BJ248">
        <v>-5.0963900503875896</v>
      </c>
      <c r="BK248">
        <v>-5.3130074834506198</v>
      </c>
      <c r="BL248">
        <v>1</v>
      </c>
      <c r="BM248">
        <v>-5.3572757182358304</v>
      </c>
      <c r="BN248">
        <v>-5.4703377676799896</v>
      </c>
      <c r="BO248">
        <v>1</v>
      </c>
      <c r="BP248">
        <v>-5.57970067233083</v>
      </c>
      <c r="BQ248">
        <v>-5.68265438795384</v>
      </c>
      <c r="BR248">
        <v>1</v>
      </c>
    </row>
    <row r="249" spans="1:70" x14ac:dyDescent="0.35">
      <c r="A249" t="s">
        <v>860</v>
      </c>
      <c r="B249" t="s">
        <v>61</v>
      </c>
      <c r="C249" t="s">
        <v>62</v>
      </c>
      <c r="D249">
        <v>1</v>
      </c>
      <c r="E249" t="s">
        <v>361</v>
      </c>
      <c r="F249" t="str">
        <f>INDEX([1]train_xl!$H:$H,MATCH(E249,[1]train_xl!$G:$G,0))</f>
        <v>as-as</v>
      </c>
      <c r="G249" t="str">
        <f>INDEX([1]train_xl!$I:$I,MATCH(E249,[1]train_xl!$G:$G,0))</f>
        <v>sim</v>
      </c>
      <c r="H249" t="str">
        <f>INDEX([1]train_xl!$V:$V,MATCH(E249,[1]train_xl!$G:$G,0))</f>
        <v>not</v>
      </c>
      <c r="I249" t="str">
        <f>INDEX([2]Sheet1!$L:$L,MATCH(E249,[2]Sheet1!$I:$I,0))</f>
        <v>neg</v>
      </c>
      <c r="K249">
        <v>-3.1053155977980502</v>
      </c>
      <c r="L249">
        <v>-2.99941305862699</v>
      </c>
      <c r="M249">
        <v>1</v>
      </c>
      <c r="N249">
        <v>-3.1054344840772199</v>
      </c>
      <c r="O249">
        <v>-3.0027055252863102</v>
      </c>
      <c r="P249">
        <v>1</v>
      </c>
      <c r="Q249">
        <v>-3.8290819029500001</v>
      </c>
      <c r="R249">
        <v>-3.6889068582180502</v>
      </c>
      <c r="S249">
        <v>1</v>
      </c>
      <c r="T249">
        <v>-3.7866031605985699</v>
      </c>
      <c r="U249">
        <v>-3.5489695853773302</v>
      </c>
      <c r="V249">
        <v>1</v>
      </c>
      <c r="W249">
        <v>-3.9660269320378498</v>
      </c>
      <c r="X249">
        <v>-3.84622384883333</v>
      </c>
      <c r="Y249">
        <v>1</v>
      </c>
      <c r="Z249">
        <v>-3.7689920883178898</v>
      </c>
      <c r="AA249">
        <v>-3.5103220034499998</v>
      </c>
      <c r="AB249">
        <v>1</v>
      </c>
      <c r="AC249">
        <v>-3.7775077290166599</v>
      </c>
      <c r="AD249">
        <v>-3.5583865657789402</v>
      </c>
      <c r="AE249">
        <v>1</v>
      </c>
      <c r="AF249">
        <v>-4.4732666761176398</v>
      </c>
      <c r="AG249">
        <v>-4.2787804914205498</v>
      </c>
      <c r="AH249">
        <v>1</v>
      </c>
      <c r="AI249">
        <v>-4.4920800416857096</v>
      </c>
      <c r="AJ249">
        <v>-4.24801240058666</v>
      </c>
      <c r="AK249">
        <v>1</v>
      </c>
      <c r="AL249">
        <v>-4.4930591234057102</v>
      </c>
      <c r="AM249">
        <v>-4.3597236324599997</v>
      </c>
      <c r="AN249">
        <v>1</v>
      </c>
      <c r="AO249">
        <v>-3.00808507742842</v>
      </c>
      <c r="AP249">
        <v>-2.7160012895799901</v>
      </c>
      <c r="AQ249">
        <v>1</v>
      </c>
      <c r="AR249">
        <v>-2.9260407865694402</v>
      </c>
      <c r="AS249">
        <v>-2.6756125566684199</v>
      </c>
      <c r="AT249">
        <v>1</v>
      </c>
      <c r="AU249">
        <v>-3.57707504232941</v>
      </c>
      <c r="AV249">
        <v>-3.3108040415</v>
      </c>
      <c r="AW249">
        <v>1</v>
      </c>
      <c r="AX249">
        <v>-3.4428139630714201</v>
      </c>
      <c r="AY249">
        <v>-3.1250358553533299</v>
      </c>
      <c r="AZ249">
        <v>1</v>
      </c>
      <c r="BA249">
        <v>-3.5114671242500002</v>
      </c>
      <c r="BB249">
        <v>-3.1733777462133301</v>
      </c>
      <c r="BC249">
        <v>1</v>
      </c>
      <c r="BD249">
        <v>-4.0043726448405197</v>
      </c>
      <c r="BE249">
        <v>-3.4247731863234998</v>
      </c>
      <c r="BF249">
        <v>1</v>
      </c>
      <c r="BG249">
        <v>-3.9890787813033302</v>
      </c>
      <c r="BH249">
        <v>-3.7821658833826302</v>
      </c>
      <c r="BI249">
        <v>1</v>
      </c>
      <c r="BJ249">
        <v>-4.64153055487294</v>
      </c>
      <c r="BK249">
        <v>-4.4424357243527703</v>
      </c>
      <c r="BL249">
        <v>1</v>
      </c>
      <c r="BM249">
        <v>-4.8030135589785701</v>
      </c>
      <c r="BN249">
        <v>-4.2362482304053302</v>
      </c>
      <c r="BO249">
        <v>1</v>
      </c>
      <c r="BP249">
        <v>-4.8264450822671403</v>
      </c>
      <c r="BQ249">
        <v>-4.6718843015426597</v>
      </c>
      <c r="BR249">
        <v>1</v>
      </c>
    </row>
    <row r="250" spans="1:70" x14ac:dyDescent="0.35">
      <c r="A250" t="s">
        <v>861</v>
      </c>
      <c r="B250" t="s">
        <v>63</v>
      </c>
      <c r="C250" t="s">
        <v>862</v>
      </c>
      <c r="D250">
        <v>0</v>
      </c>
      <c r="E250" t="s">
        <v>362</v>
      </c>
      <c r="F250" t="str">
        <f>INDEX([1]train_xl!$H:$H,MATCH(E250,[1]train_xl!$G:$G,0))</f>
        <v/>
      </c>
      <c r="G250" t="str">
        <f>INDEX([1]train_xl!$I:$I,MATCH(E250,[1]train_xl!$G:$G,0))</f>
        <v>met</v>
      </c>
      <c r="H250" t="str">
        <f>INDEX([1]train_xl!$V:$V,MATCH(E250,[1]train_xl!$G:$G,0))</f>
        <v>0</v>
      </c>
      <c r="I250" t="str">
        <f>INDEX([2]Sheet1!$L:$L,MATCH(E250,[2]Sheet1!$I:$I,0))</f>
        <v>intens</v>
      </c>
      <c r="K250">
        <v>-4.2096180333125002</v>
      </c>
      <c r="L250">
        <v>-4.2463152051176403</v>
      </c>
      <c r="M250">
        <v>1</v>
      </c>
      <c r="N250">
        <v>-4.2361043997333301</v>
      </c>
      <c r="O250">
        <v>-4.2756327708750002</v>
      </c>
      <c r="P250">
        <v>1</v>
      </c>
      <c r="Q250">
        <v>-5.10277259128571</v>
      </c>
      <c r="R250">
        <v>-5.1036908748666603</v>
      </c>
      <c r="S250">
        <v>1</v>
      </c>
      <c r="T250">
        <v>-4.0025839172727196</v>
      </c>
      <c r="U250">
        <v>-4.0383618641666601</v>
      </c>
      <c r="V250">
        <v>1</v>
      </c>
      <c r="W250">
        <v>-4.2021386545454504</v>
      </c>
      <c r="X250">
        <v>-4.0855084000000002</v>
      </c>
      <c r="Y250">
        <v>0</v>
      </c>
      <c r="Z250">
        <v>-4.8240102656249997</v>
      </c>
      <c r="AA250">
        <v>-4.8260991332941101</v>
      </c>
      <c r="AB250">
        <v>1</v>
      </c>
      <c r="AC250">
        <v>-4.9112099368666602</v>
      </c>
      <c r="AD250">
        <v>-4.9115144856249904</v>
      </c>
      <c r="AE250">
        <v>1</v>
      </c>
      <c r="AF250">
        <v>-5.5481745207142801</v>
      </c>
      <c r="AG250">
        <v>-5.5187946506666599</v>
      </c>
      <c r="AH250">
        <v>0</v>
      </c>
      <c r="AI250">
        <v>-4.9050965272727201</v>
      </c>
      <c r="AJ250">
        <v>-4.7618798499999997</v>
      </c>
      <c r="AK250">
        <v>0</v>
      </c>
      <c r="AL250">
        <v>-4.9502267181818098</v>
      </c>
      <c r="AM250">
        <v>-4.7210830750000001</v>
      </c>
      <c r="AN250">
        <v>0</v>
      </c>
      <c r="AO250">
        <v>-4.5426958179374903</v>
      </c>
      <c r="AP250">
        <v>-4.6274179001176403</v>
      </c>
      <c r="AQ250">
        <v>1</v>
      </c>
      <c r="AR250">
        <v>-4.4355541091999902</v>
      </c>
      <c r="AS250">
        <v>-4.4959922252499904</v>
      </c>
      <c r="AT250">
        <v>1</v>
      </c>
      <c r="AU250">
        <v>-5.16753640521428</v>
      </c>
      <c r="AV250">
        <v>-5.1967051093333296</v>
      </c>
      <c r="AW250">
        <v>1</v>
      </c>
      <c r="AX250">
        <v>-4.42814184636363</v>
      </c>
      <c r="AY250">
        <v>-4.4992520783333303</v>
      </c>
      <c r="AZ250">
        <v>1</v>
      </c>
      <c r="BA250">
        <v>-4.5608846818181803</v>
      </c>
      <c r="BB250">
        <v>-4.5887857958333296</v>
      </c>
      <c r="BC250">
        <v>1</v>
      </c>
      <c r="BD250">
        <v>-4.7918287181250001</v>
      </c>
      <c r="BE250">
        <v>-4.8095930788235304</v>
      </c>
      <c r="BF250">
        <v>1</v>
      </c>
      <c r="BG250">
        <v>-4.9320911340000002</v>
      </c>
      <c r="BH250">
        <v>-4.9622201162500001</v>
      </c>
      <c r="BI250">
        <v>1</v>
      </c>
      <c r="BJ250">
        <v>-5.5220120064285698</v>
      </c>
      <c r="BK250">
        <v>-5.6180442419999999</v>
      </c>
      <c r="BL250">
        <v>1</v>
      </c>
      <c r="BM250">
        <v>-4.9378230136363603</v>
      </c>
      <c r="BN250">
        <v>-4.8639025283333304</v>
      </c>
      <c r="BO250">
        <v>0</v>
      </c>
      <c r="BP250">
        <v>-5.0744343000000001</v>
      </c>
      <c r="BQ250">
        <v>-4.8740455191666596</v>
      </c>
      <c r="BR250">
        <v>0</v>
      </c>
    </row>
    <row r="251" spans="1:70" x14ac:dyDescent="0.35">
      <c r="A251" t="s">
        <v>863</v>
      </c>
      <c r="B251" t="s">
        <v>63</v>
      </c>
      <c r="C251" t="s">
        <v>862</v>
      </c>
      <c r="D251">
        <v>1</v>
      </c>
      <c r="E251" t="s">
        <v>363</v>
      </c>
      <c r="F251" t="str">
        <f>INDEX([1]train_xl!$H:$H,MATCH(E251,[1]train_xl!$G:$G,0))</f>
        <v>like</v>
      </c>
      <c r="G251" t="str">
        <f>INDEX([1]train_xl!$I:$I,MATCH(E251,[1]train_xl!$G:$G,0))</f>
        <v>sim</v>
      </c>
      <c r="H251" t="str">
        <f>INDEX([1]train_xl!$V:$V,MATCH(E251,[1]train_xl!$G:$G,0))</f>
        <v>0</v>
      </c>
      <c r="I251" t="str">
        <f>INDEX([2]Sheet1!$L:$L,MATCH(E251,[2]Sheet1!$I:$I,0))</f>
        <v>neg</v>
      </c>
      <c r="K251">
        <v>-4.4578095146249996</v>
      </c>
      <c r="L251">
        <v>-4.0814374918823502</v>
      </c>
      <c r="M251">
        <v>1</v>
      </c>
      <c r="N251">
        <v>-4.5698723990666599</v>
      </c>
      <c r="O251">
        <v>-4.1420516369999998</v>
      </c>
      <c r="P251">
        <v>1</v>
      </c>
      <c r="Q251">
        <v>-5.4068009852142804</v>
      </c>
      <c r="R251">
        <v>-4.8670296681999998</v>
      </c>
      <c r="S251">
        <v>1</v>
      </c>
      <c r="T251">
        <v>-4.4133322709090903</v>
      </c>
      <c r="U251">
        <v>-3.9652751233333299</v>
      </c>
      <c r="V251">
        <v>1</v>
      </c>
      <c r="W251">
        <v>-4.3929354818181796</v>
      </c>
      <c r="X251">
        <v>-4.0217109500000001</v>
      </c>
      <c r="Y251">
        <v>1</v>
      </c>
      <c r="Z251">
        <v>-4.8039898106249996</v>
      </c>
      <c r="AA251">
        <v>-4.4403097964705802</v>
      </c>
      <c r="AB251">
        <v>1</v>
      </c>
      <c r="AC251">
        <v>-4.9752684424</v>
      </c>
      <c r="AD251">
        <v>-4.5101711575000003</v>
      </c>
      <c r="AE251">
        <v>1</v>
      </c>
      <c r="AF251">
        <v>-5.8008672678571402</v>
      </c>
      <c r="AG251">
        <v>-5.3340905960000002</v>
      </c>
      <c r="AH251">
        <v>1</v>
      </c>
      <c r="AI251">
        <v>-5.0781428763636303</v>
      </c>
      <c r="AJ251">
        <v>-4.6713002383333304</v>
      </c>
      <c r="AK251">
        <v>1</v>
      </c>
      <c r="AL251">
        <v>-5.1506101090909002</v>
      </c>
      <c r="AM251">
        <v>-4.7253883666666603</v>
      </c>
      <c r="AN251">
        <v>1</v>
      </c>
      <c r="AO251">
        <v>-4.7625024775</v>
      </c>
      <c r="AP251">
        <v>-4.4402954027058801</v>
      </c>
      <c r="AQ251">
        <v>1</v>
      </c>
      <c r="AR251">
        <v>-4.7033389120000004</v>
      </c>
      <c r="AS251">
        <v>-4.3472403246875002</v>
      </c>
      <c r="AT251">
        <v>1</v>
      </c>
      <c r="AU251">
        <v>-5.5328081946428496</v>
      </c>
      <c r="AV251">
        <v>-5.1316360989999996</v>
      </c>
      <c r="AW251">
        <v>1</v>
      </c>
      <c r="AX251">
        <v>-4.8496633999999998</v>
      </c>
      <c r="AY251">
        <v>-4.4579012583333304</v>
      </c>
      <c r="AZ251">
        <v>1</v>
      </c>
      <c r="BA251">
        <v>-4.9653582545454498</v>
      </c>
      <c r="BB251">
        <v>-4.6479169833333298</v>
      </c>
      <c r="BC251">
        <v>1</v>
      </c>
      <c r="BD251">
        <v>-4.8073953718749998</v>
      </c>
      <c r="BE251">
        <v>-4.4279048276470503</v>
      </c>
      <c r="BF251">
        <v>1</v>
      </c>
      <c r="BG251">
        <v>-5.03885424426666</v>
      </c>
      <c r="BH251">
        <v>-4.6393379420624896</v>
      </c>
      <c r="BI251">
        <v>1</v>
      </c>
      <c r="BJ251">
        <v>-5.90309551928571</v>
      </c>
      <c r="BK251">
        <v>-5.3875204233333296</v>
      </c>
      <c r="BL251">
        <v>1</v>
      </c>
      <c r="BM251">
        <v>-5.19751034272727</v>
      </c>
      <c r="BN251">
        <v>-4.7847633333333297</v>
      </c>
      <c r="BO251">
        <v>1</v>
      </c>
      <c r="BP251">
        <v>-5.14366383636363</v>
      </c>
      <c r="BQ251">
        <v>-4.7211388749999896</v>
      </c>
      <c r="BR251">
        <v>1</v>
      </c>
    </row>
    <row r="252" spans="1:70" x14ac:dyDescent="0.35">
      <c r="A252" t="s">
        <v>864</v>
      </c>
      <c r="B252" t="s">
        <v>64</v>
      </c>
      <c r="C252" t="s">
        <v>865</v>
      </c>
      <c r="D252">
        <v>0</v>
      </c>
      <c r="E252" t="s">
        <v>364</v>
      </c>
      <c r="F252" t="str">
        <f>INDEX([1]train_xl!$H:$H,MATCH(E252,[1]train_xl!$G:$G,0))</f>
        <v>the-of</v>
      </c>
      <c r="G252" t="str">
        <f>INDEX([1]train_xl!$I:$I,MATCH(E252,[1]train_xl!$G:$G,0))</f>
        <v>sim</v>
      </c>
      <c r="H252" t="str">
        <f>INDEX([1]train_xl!$V:$V,MATCH(E252,[1]train_xl!$G:$G,0))</f>
        <v>not</v>
      </c>
      <c r="I252" t="str">
        <f>INDEX([2]Sheet1!$L:$L,MATCH(E252,[2]Sheet1!$I:$I,0))</f>
        <v>neg</v>
      </c>
      <c r="K252">
        <v>-3.5028610287199902</v>
      </c>
      <c r="L252">
        <v>-4.2258672375857103</v>
      </c>
      <c r="M252">
        <v>1</v>
      </c>
      <c r="N252">
        <v>-3.6639683808857102</v>
      </c>
      <c r="O252">
        <v>-4.4573214466153797</v>
      </c>
      <c r="P252">
        <v>1</v>
      </c>
      <c r="Q252">
        <v>-4.4184316250000002</v>
      </c>
      <c r="R252">
        <v>-5.1326446079166601</v>
      </c>
      <c r="S252">
        <v>1</v>
      </c>
      <c r="T252">
        <v>-4.6667654399999998</v>
      </c>
      <c r="U252">
        <v>-5.0790739</v>
      </c>
      <c r="V252">
        <v>1</v>
      </c>
      <c r="W252">
        <v>-5.0449238999999997</v>
      </c>
      <c r="X252">
        <v>-5.4809548000000001</v>
      </c>
      <c r="Y252">
        <v>1</v>
      </c>
      <c r="Z252">
        <v>-4.2946812213999896</v>
      </c>
      <c r="AA252">
        <v>-4.76116560914285</v>
      </c>
      <c r="AB252">
        <v>1</v>
      </c>
      <c r="AC252">
        <v>-4.3949265874999996</v>
      </c>
      <c r="AD252">
        <v>-5.12715972923076</v>
      </c>
      <c r="AE252">
        <v>1</v>
      </c>
      <c r="AF252">
        <v>-5.2542076592307598</v>
      </c>
      <c r="AG252">
        <v>-6.0159109491666598</v>
      </c>
      <c r="AH252">
        <v>1</v>
      </c>
      <c r="AI252">
        <v>-5.9116040999999999</v>
      </c>
      <c r="AJ252">
        <v>-6.3498314499999999</v>
      </c>
      <c r="AK252">
        <v>1</v>
      </c>
      <c r="AL252">
        <v>-6.1050475999999998</v>
      </c>
      <c r="AM252">
        <v>-6.6703065666666603</v>
      </c>
      <c r="AN252">
        <v>1</v>
      </c>
      <c r="AO252">
        <v>-3.5254491983999898</v>
      </c>
      <c r="AP252">
        <v>-4.1178299977857096</v>
      </c>
      <c r="AQ252">
        <v>1</v>
      </c>
      <c r="AR252">
        <v>-3.52786169907142</v>
      </c>
      <c r="AS252">
        <v>-4.0768985439999996</v>
      </c>
      <c r="AT252">
        <v>1</v>
      </c>
      <c r="AU252">
        <v>-4.10947191123077</v>
      </c>
      <c r="AV252">
        <v>-4.6786738366666603</v>
      </c>
      <c r="AW252">
        <v>1</v>
      </c>
      <c r="AX252">
        <v>-4.4396811600000001</v>
      </c>
      <c r="AY252">
        <v>-4.9284791333333304</v>
      </c>
      <c r="AZ252">
        <v>1</v>
      </c>
      <c r="BA252">
        <v>-4.4618185099999996</v>
      </c>
      <c r="BB252">
        <v>-4.9709655444444403</v>
      </c>
      <c r="BC252">
        <v>1</v>
      </c>
      <c r="BD252">
        <v>-4.4207244387333304</v>
      </c>
      <c r="BE252">
        <v>-5.1410166630714196</v>
      </c>
      <c r="BF252">
        <v>1</v>
      </c>
      <c r="BG252">
        <v>-4.5718743499999999</v>
      </c>
      <c r="BH252">
        <v>-5.32089464892307</v>
      </c>
      <c r="BI252">
        <v>1</v>
      </c>
      <c r="BJ252">
        <v>-5.3796805126922997</v>
      </c>
      <c r="BK252">
        <v>-6.1852617137500001</v>
      </c>
      <c r="BL252">
        <v>1</v>
      </c>
      <c r="BM252">
        <v>-6.0148319439999902</v>
      </c>
      <c r="BN252">
        <v>-6.4160563822222203</v>
      </c>
      <c r="BO252">
        <v>1</v>
      </c>
      <c r="BP252">
        <v>-6.4466498099999896</v>
      </c>
      <c r="BQ252">
        <v>-7.05037332222222</v>
      </c>
      <c r="BR252">
        <v>1</v>
      </c>
    </row>
    <row r="253" spans="1:70" x14ac:dyDescent="0.35">
      <c r="A253" t="s">
        <v>866</v>
      </c>
      <c r="B253" t="s">
        <v>64</v>
      </c>
      <c r="C253" t="s">
        <v>865</v>
      </c>
      <c r="D253">
        <v>1</v>
      </c>
      <c r="E253" t="s">
        <v>365</v>
      </c>
      <c r="F253" t="str">
        <f>INDEX([1]train_xl!$H:$H,MATCH(E253,[1]train_xl!$G:$G,0))</f>
        <v>the-of</v>
      </c>
      <c r="G253" t="str">
        <f>INDEX([1]train_xl!$I:$I,MATCH(E253,[1]train_xl!$G:$G,0))</f>
        <v>sim</v>
      </c>
      <c r="H253" t="str">
        <f>INDEX([1]train_xl!$V:$V,MATCH(E253,[1]train_xl!$G:$G,0))</f>
        <v>not</v>
      </c>
      <c r="I253" t="str">
        <f>INDEX([2]Sheet1!$L:$L,MATCH(E253,[2]Sheet1!$I:$I,0))</f>
        <v>intens</v>
      </c>
      <c r="K253">
        <v>-3.93152538213333</v>
      </c>
      <c r="L253">
        <v>-4.0582241402142802</v>
      </c>
      <c r="M253">
        <v>0</v>
      </c>
      <c r="N253">
        <v>-3.9714372169285701</v>
      </c>
      <c r="O253">
        <v>-4.14049630838461</v>
      </c>
      <c r="P253">
        <v>0</v>
      </c>
      <c r="Q253">
        <v>-4.7385126127692301</v>
      </c>
      <c r="R253">
        <v>-4.9356261578333296</v>
      </c>
      <c r="S253">
        <v>0</v>
      </c>
      <c r="T253">
        <v>-5.1142428049999999</v>
      </c>
      <c r="U253">
        <v>-5.2474995333333299</v>
      </c>
      <c r="V253">
        <v>0</v>
      </c>
      <c r="W253">
        <v>-5.1760648199999997</v>
      </c>
      <c r="X253">
        <v>-5.4485462222222196</v>
      </c>
      <c r="Y253">
        <v>0</v>
      </c>
      <c r="Z253">
        <v>-4.6596667788666597</v>
      </c>
      <c r="AA253">
        <v>-4.8220508200000003</v>
      </c>
      <c r="AB253">
        <v>0</v>
      </c>
      <c r="AC253">
        <v>-4.7318231971428499</v>
      </c>
      <c r="AD253">
        <v>-4.8967550223076897</v>
      </c>
      <c r="AE253">
        <v>0</v>
      </c>
      <c r="AF253">
        <v>-5.5227013184615297</v>
      </c>
      <c r="AG253">
        <v>-5.8067065449999999</v>
      </c>
      <c r="AH253">
        <v>0</v>
      </c>
      <c r="AI253">
        <v>-5.9085977959999996</v>
      </c>
      <c r="AJ253">
        <v>-6.2658919222222202</v>
      </c>
      <c r="AK253">
        <v>0</v>
      </c>
      <c r="AL253">
        <v>-6.1618146299999896</v>
      </c>
      <c r="AM253">
        <v>-6.6499054444444399</v>
      </c>
      <c r="AN253">
        <v>0</v>
      </c>
      <c r="AO253">
        <v>-3.8596090379999999</v>
      </c>
      <c r="AP253">
        <v>-4.0624642078571398</v>
      </c>
      <c r="AQ253">
        <v>0</v>
      </c>
      <c r="AR253">
        <v>-3.7419170667142798</v>
      </c>
      <c r="AS253">
        <v>-3.90481146115384</v>
      </c>
      <c r="AT253">
        <v>0</v>
      </c>
      <c r="AU253">
        <v>-4.4800865142307602</v>
      </c>
      <c r="AV253">
        <v>-4.71137711333333</v>
      </c>
      <c r="AW253">
        <v>0</v>
      </c>
      <c r="AX253">
        <v>-4.7638055099999903</v>
      </c>
      <c r="AY253">
        <v>-4.9345595555555501</v>
      </c>
      <c r="AZ253">
        <v>0</v>
      </c>
      <c r="BA253">
        <v>-4.8233258699999997</v>
      </c>
      <c r="BB253">
        <v>-5.1091360333333302</v>
      </c>
      <c r="BC253">
        <v>0</v>
      </c>
      <c r="BD253">
        <v>-4.8805311580000001</v>
      </c>
      <c r="BE253">
        <v>-4.9669753935714196</v>
      </c>
      <c r="BF253">
        <v>0</v>
      </c>
      <c r="BG253">
        <v>-4.9409029085714202</v>
      </c>
      <c r="BH253">
        <v>-5.0939985784615303</v>
      </c>
      <c r="BI253">
        <v>0</v>
      </c>
      <c r="BJ253">
        <v>-5.7137762976923003</v>
      </c>
      <c r="BK253">
        <v>-5.9158061450000003</v>
      </c>
      <c r="BL253">
        <v>0</v>
      </c>
      <c r="BM253">
        <v>-6.0740665370000002</v>
      </c>
      <c r="BN253">
        <v>-6.3680021611111099</v>
      </c>
      <c r="BO253">
        <v>0</v>
      </c>
      <c r="BP253">
        <v>-6.4424355999999996</v>
      </c>
      <c r="BQ253">
        <v>-6.8791283777777696</v>
      </c>
      <c r="BR253">
        <v>0</v>
      </c>
    </row>
    <row r="254" spans="1:70" x14ac:dyDescent="0.35">
      <c r="A254" t="s">
        <v>867</v>
      </c>
      <c r="B254" t="s">
        <v>65</v>
      </c>
      <c r="C254" t="s">
        <v>66</v>
      </c>
      <c r="D254">
        <v>0</v>
      </c>
      <c r="E254" t="s">
        <v>366</v>
      </c>
      <c r="F254" t="str">
        <f>INDEX([1]train_xl!$H:$H,MATCH(E254,[1]train_xl!$G:$G,0))</f>
        <v>as</v>
      </c>
      <c r="G254" t="str">
        <f>INDEX([1]train_xl!$I:$I,MATCH(E254,[1]train_xl!$G:$G,0))</f>
        <v>sim</v>
      </c>
      <c r="H254" t="str">
        <f>INDEX([1]train_xl!$V:$V,MATCH(E254,[1]train_xl!$G:$G,0))</f>
        <v>not</v>
      </c>
      <c r="I254" t="str">
        <f>INDEX([2]Sheet1!$L:$L,MATCH(E254,[2]Sheet1!$I:$I,0))</f>
        <v>neg</v>
      </c>
      <c r="K254">
        <v>-3.50009836479411</v>
      </c>
      <c r="L254">
        <v>-3.7830587649375</v>
      </c>
      <c r="M254">
        <v>1</v>
      </c>
      <c r="N254">
        <v>-3.5926569217312498</v>
      </c>
      <c r="O254">
        <v>-3.9073846267333301</v>
      </c>
      <c r="P254">
        <v>1</v>
      </c>
      <c r="Q254">
        <v>-4.1255635032133302</v>
      </c>
      <c r="R254">
        <v>-4.4503554824999902</v>
      </c>
      <c r="S254">
        <v>1</v>
      </c>
      <c r="T254">
        <v>-4.0993922440750001</v>
      </c>
      <c r="U254">
        <v>-4.3348515827272696</v>
      </c>
      <c r="V254">
        <v>1</v>
      </c>
      <c r="W254">
        <v>-4.3605460302083303</v>
      </c>
      <c r="X254">
        <v>-4.4468605129090903</v>
      </c>
      <c r="Y254">
        <v>1</v>
      </c>
      <c r="Z254">
        <v>-3.58076411319764</v>
      </c>
      <c r="AA254">
        <v>-3.9398083250624998</v>
      </c>
      <c r="AB254">
        <v>1</v>
      </c>
      <c r="AC254">
        <v>-3.6241670635912402</v>
      </c>
      <c r="AD254">
        <v>-3.9653289747066598</v>
      </c>
      <c r="AE254">
        <v>1</v>
      </c>
      <c r="AF254">
        <v>-4.1454760137379996</v>
      </c>
      <c r="AG254">
        <v>-4.4787923563142797</v>
      </c>
      <c r="AH254">
        <v>1</v>
      </c>
      <c r="AI254">
        <v>-4.2885416074166596</v>
      </c>
      <c r="AJ254">
        <v>-4.4715072926818102</v>
      </c>
      <c r="AK254">
        <v>1</v>
      </c>
      <c r="AL254">
        <v>-4.4872667032999898</v>
      </c>
      <c r="AM254">
        <v>-4.5916835031090901</v>
      </c>
      <c r="AN254">
        <v>1</v>
      </c>
      <c r="AO254">
        <v>-3.5469474410194102</v>
      </c>
      <c r="AP254">
        <v>-3.7291676850437501</v>
      </c>
      <c r="AQ254">
        <v>1</v>
      </c>
      <c r="AR254">
        <v>-3.5259307522025001</v>
      </c>
      <c r="AS254">
        <v>-3.6652628064066599</v>
      </c>
      <c r="AT254">
        <v>1</v>
      </c>
      <c r="AU254">
        <v>-4.0281848229799904</v>
      </c>
      <c r="AV254">
        <v>-4.1978260941999901</v>
      </c>
      <c r="AW254">
        <v>1</v>
      </c>
      <c r="AX254">
        <v>-3.9729396666133301</v>
      </c>
      <c r="AY254">
        <v>-3.9764235399636298</v>
      </c>
      <c r="AZ254">
        <v>1</v>
      </c>
      <c r="BA254">
        <v>-4.1552690216966601</v>
      </c>
      <c r="BB254">
        <v>-3.9977011576272701</v>
      </c>
      <c r="BC254">
        <v>0</v>
      </c>
      <c r="BD254">
        <v>-3.73353427390941</v>
      </c>
      <c r="BE254">
        <v>-3.8597172850624899</v>
      </c>
      <c r="BF254">
        <v>1</v>
      </c>
      <c r="BG254">
        <v>-3.46917715179374</v>
      </c>
      <c r="BH254">
        <v>-3.7620093263333301</v>
      </c>
      <c r="BI254">
        <v>1</v>
      </c>
      <c r="BJ254">
        <v>-3.94979628567333</v>
      </c>
      <c r="BK254">
        <v>-4.2526767065</v>
      </c>
      <c r="BL254">
        <v>1</v>
      </c>
      <c r="BM254">
        <v>-4.1287396150975004</v>
      </c>
      <c r="BN254">
        <v>-4.2504788137818101</v>
      </c>
      <c r="BO254">
        <v>1</v>
      </c>
      <c r="BP254">
        <v>-4.4262507382583296</v>
      </c>
      <c r="BQ254">
        <v>-4.5387991468181799</v>
      </c>
      <c r="BR254">
        <v>1</v>
      </c>
    </row>
    <row r="255" spans="1:70" x14ac:dyDescent="0.35">
      <c r="A255" t="s">
        <v>868</v>
      </c>
      <c r="B255" t="s">
        <v>65</v>
      </c>
      <c r="C255" t="s">
        <v>66</v>
      </c>
      <c r="D255">
        <v>1</v>
      </c>
      <c r="E255" t="s">
        <v>367</v>
      </c>
      <c r="F255" t="str">
        <f>INDEX([1]train_xl!$H:$H,MATCH(E255,[1]train_xl!$G:$G,0))</f>
        <v>as</v>
      </c>
      <c r="G255" t="str">
        <f>INDEX([1]train_xl!$I:$I,MATCH(E255,[1]train_xl!$G:$G,0))</f>
        <v>sim</v>
      </c>
      <c r="H255" t="str">
        <f>INDEX([1]train_xl!$V:$V,MATCH(E255,[1]train_xl!$G:$G,0))</f>
        <v>not</v>
      </c>
      <c r="I255" t="str">
        <f>INDEX([2]Sheet1!$L:$L,MATCH(E255,[2]Sheet1!$I:$I,0))</f>
        <v>intens</v>
      </c>
      <c r="K255">
        <v>-3.5985333203823502</v>
      </c>
      <c r="L255">
        <v>-3.4120075585124998</v>
      </c>
      <c r="M255">
        <v>1</v>
      </c>
      <c r="N255">
        <v>-3.8036429913625001</v>
      </c>
      <c r="O255">
        <v>-3.5657068024866598</v>
      </c>
      <c r="P255">
        <v>1</v>
      </c>
      <c r="Q255">
        <v>-4.3528074437533304</v>
      </c>
      <c r="R255">
        <v>-4.1325659485428501</v>
      </c>
      <c r="S255">
        <v>1</v>
      </c>
      <c r="T255">
        <v>-4.0874674506416602</v>
      </c>
      <c r="U255">
        <v>-3.8467116475999998</v>
      </c>
      <c r="V255">
        <v>1</v>
      </c>
      <c r="W255">
        <v>-4.53980748123666</v>
      </c>
      <c r="X255">
        <v>-4.2622825093363597</v>
      </c>
      <c r="Y255">
        <v>1</v>
      </c>
      <c r="Z255">
        <v>-3.8049928428999999</v>
      </c>
      <c r="AA255">
        <v>-3.6867467499312498</v>
      </c>
      <c r="AB255">
        <v>1</v>
      </c>
      <c r="AC255">
        <v>-3.87171265187499</v>
      </c>
      <c r="AD255">
        <v>-3.7153536827733298</v>
      </c>
      <c r="AE255">
        <v>1</v>
      </c>
      <c r="AF255">
        <v>-4.5269694034933297</v>
      </c>
      <c r="AG255">
        <v>-4.41966075564285</v>
      </c>
      <c r="AH255">
        <v>1</v>
      </c>
      <c r="AI255">
        <v>-4.3959424850583302</v>
      </c>
      <c r="AJ255">
        <v>-4.3253088900181798</v>
      </c>
      <c r="AK255">
        <v>1</v>
      </c>
      <c r="AL255">
        <v>-4.6955014791791596</v>
      </c>
      <c r="AM255">
        <v>-4.6472677950136303</v>
      </c>
      <c r="AN255">
        <v>1</v>
      </c>
      <c r="AO255">
        <v>-3.5382917907823499</v>
      </c>
      <c r="AP255">
        <v>-3.3396251577812399</v>
      </c>
      <c r="AQ255">
        <v>1</v>
      </c>
      <c r="AR255">
        <v>-3.4100483336624898</v>
      </c>
      <c r="AS255">
        <v>-3.1444235544199999</v>
      </c>
      <c r="AT255">
        <v>1</v>
      </c>
      <c r="AU255">
        <v>-3.8838743786333301</v>
      </c>
      <c r="AV255">
        <v>-3.7164335561857098</v>
      </c>
      <c r="AW255">
        <v>1</v>
      </c>
      <c r="AX255">
        <v>-3.9696481531416601</v>
      </c>
      <c r="AY255">
        <v>-3.4344812072181798</v>
      </c>
      <c r="AZ255">
        <v>1</v>
      </c>
      <c r="BA255">
        <v>-4.0461416121583298</v>
      </c>
      <c r="BB255">
        <v>-3.8374773537700002</v>
      </c>
      <c r="BC255">
        <v>1</v>
      </c>
      <c r="BD255">
        <v>-3.7384854473882299</v>
      </c>
      <c r="BE255">
        <v>-3.5877292531312399</v>
      </c>
      <c r="BF255">
        <v>1</v>
      </c>
      <c r="BG255">
        <v>-3.7887061117999998</v>
      </c>
      <c r="BH255">
        <v>-3.5777191876133299</v>
      </c>
      <c r="BI255">
        <v>1</v>
      </c>
      <c r="BJ255">
        <v>-4.3411851570666604</v>
      </c>
      <c r="BK255">
        <v>-4.1430429253471397</v>
      </c>
      <c r="BL255">
        <v>1</v>
      </c>
      <c r="BM255">
        <v>-4.3169923127866596</v>
      </c>
      <c r="BN255">
        <v>-4.1325158524863603</v>
      </c>
      <c r="BO255">
        <v>1</v>
      </c>
      <c r="BP255">
        <v>-4.6848058875499996</v>
      </c>
      <c r="BQ255">
        <v>-4.5710056743909</v>
      </c>
      <c r="BR255">
        <v>1</v>
      </c>
    </row>
    <row r="256" spans="1:70" x14ac:dyDescent="0.35">
      <c r="A256" t="s">
        <v>869</v>
      </c>
      <c r="B256" t="s">
        <v>67</v>
      </c>
      <c r="C256" t="s">
        <v>68</v>
      </c>
      <c r="D256">
        <v>0</v>
      </c>
      <c r="E256" t="s">
        <v>368</v>
      </c>
      <c r="F256" t="str">
        <f>INDEX([1]train_xl!$H:$H,MATCH(E256,[1]train_xl!$G:$G,0))</f>
        <v>as-as</v>
      </c>
      <c r="G256" t="str">
        <f>INDEX([1]train_xl!$I:$I,MATCH(E256,[1]train_xl!$G:$G,0))</f>
        <v>sim</v>
      </c>
      <c r="H256" t="str">
        <f>INDEX([1]train_xl!$V:$V,MATCH(E256,[1]train_xl!$G:$G,0))</f>
        <v>not</v>
      </c>
      <c r="I256" t="str">
        <f>INDEX([2]Sheet1!$L:$L,MATCH(E256,[2]Sheet1!$I:$I,0))</f>
        <v>intens</v>
      </c>
      <c r="K256">
        <v>-3.6118983058571401</v>
      </c>
      <c r="L256">
        <v>-3.5492135686866599</v>
      </c>
      <c r="M256">
        <v>0</v>
      </c>
      <c r="N256">
        <v>-3.63627124915384</v>
      </c>
      <c r="O256">
        <v>-3.7055250542857099</v>
      </c>
      <c r="P256">
        <v>1</v>
      </c>
      <c r="Q256">
        <v>-4.51330957916666</v>
      </c>
      <c r="R256">
        <v>-4.5172151500000002</v>
      </c>
      <c r="S256">
        <v>1</v>
      </c>
      <c r="T256">
        <v>-4.4879026055555498</v>
      </c>
      <c r="U256">
        <v>-4.4775001200000002</v>
      </c>
      <c r="V256">
        <v>0</v>
      </c>
      <c r="W256">
        <v>-4.67573572444444</v>
      </c>
      <c r="X256">
        <v>-4.4081234909999996</v>
      </c>
      <c r="Y256">
        <v>0</v>
      </c>
      <c r="Z256">
        <v>-4.6944777878571404</v>
      </c>
      <c r="AA256">
        <v>-4.5583270014666599</v>
      </c>
      <c r="AB256">
        <v>0</v>
      </c>
      <c r="AC256">
        <v>-4.8399737576922996</v>
      </c>
      <c r="AD256">
        <v>-4.7496729668571396</v>
      </c>
      <c r="AE256">
        <v>0</v>
      </c>
      <c r="AF256">
        <v>-5.5114882449999998</v>
      </c>
      <c r="AG256">
        <v>-5.4310104392307599</v>
      </c>
      <c r="AH256">
        <v>0</v>
      </c>
      <c r="AI256">
        <v>-6.1477944033333296</v>
      </c>
      <c r="AJ256">
        <v>-5.9913302799999997</v>
      </c>
      <c r="AK256">
        <v>0</v>
      </c>
      <c r="AL256">
        <v>-6.2596191555555496</v>
      </c>
      <c r="AM256">
        <v>-5.9470799599999999</v>
      </c>
      <c r="AN256">
        <v>0</v>
      </c>
      <c r="AO256">
        <v>-3.9384934678571399</v>
      </c>
      <c r="AP256">
        <v>-3.9185942189333298</v>
      </c>
      <c r="AQ256">
        <v>0</v>
      </c>
      <c r="AR256">
        <v>-3.88868937507692</v>
      </c>
      <c r="AS256">
        <v>-3.9273140171428498</v>
      </c>
      <c r="AT256">
        <v>1</v>
      </c>
      <c r="AU256">
        <v>-4.6585730991666603</v>
      </c>
      <c r="AV256">
        <v>-4.5851144246153801</v>
      </c>
      <c r="AW256">
        <v>0</v>
      </c>
      <c r="AX256">
        <v>-4.9558301922222201</v>
      </c>
      <c r="AY256">
        <v>-4.9103537099999999</v>
      </c>
      <c r="AZ256">
        <v>0</v>
      </c>
      <c r="BA256">
        <v>-4.77643539777777</v>
      </c>
      <c r="BB256">
        <v>-4.66525488</v>
      </c>
      <c r="BC256">
        <v>0</v>
      </c>
      <c r="BD256">
        <v>-4.7787654333571403</v>
      </c>
      <c r="BE256">
        <v>-4.6539389395999997</v>
      </c>
      <c r="BF256">
        <v>0</v>
      </c>
      <c r="BG256">
        <v>-4.9775615892307696</v>
      </c>
      <c r="BH256">
        <v>-4.9043189528571398</v>
      </c>
      <c r="BI256">
        <v>0</v>
      </c>
      <c r="BJ256">
        <v>-5.4912961704999903</v>
      </c>
      <c r="BK256">
        <v>-5.4217923276922999</v>
      </c>
      <c r="BL256">
        <v>0</v>
      </c>
      <c r="BM256">
        <v>-5.8073606377777702</v>
      </c>
      <c r="BN256">
        <v>-6.1532984300000004</v>
      </c>
      <c r="BO256">
        <v>1</v>
      </c>
      <c r="BP256">
        <v>-6.4712173222222198</v>
      </c>
      <c r="BQ256">
        <v>-6.2316855299999903</v>
      </c>
      <c r="BR256">
        <v>0</v>
      </c>
    </row>
    <row r="257" spans="1:70" x14ac:dyDescent="0.35">
      <c r="A257" t="s">
        <v>870</v>
      </c>
      <c r="B257" t="s">
        <v>67</v>
      </c>
      <c r="C257" t="s">
        <v>68</v>
      </c>
      <c r="D257">
        <v>1</v>
      </c>
      <c r="E257" t="s">
        <v>369</v>
      </c>
      <c r="F257" t="str">
        <f>INDEX([1]train_xl!$H:$H,MATCH(E257,[1]train_xl!$G:$G,0))</f>
        <v>as-as</v>
      </c>
      <c r="G257" t="str">
        <f>INDEX([1]train_xl!$I:$I,MATCH(E257,[1]train_xl!$G:$G,0))</f>
        <v>sim</v>
      </c>
      <c r="H257" t="str">
        <f>INDEX([1]train_xl!$V:$V,MATCH(E257,[1]train_xl!$G:$G,0))</f>
        <v>not</v>
      </c>
      <c r="I257" t="str">
        <f>INDEX([2]Sheet1!$L:$L,MATCH(E257,[2]Sheet1!$I:$I,0))</f>
        <v>neg</v>
      </c>
      <c r="K257">
        <v>-4.2580018253785701</v>
      </c>
      <c r="L257">
        <v>-3.8302389784866602</v>
      </c>
      <c r="M257">
        <v>1</v>
      </c>
      <c r="N257">
        <v>-4.6508619468846097</v>
      </c>
      <c r="O257">
        <v>-3.8783490337142799</v>
      </c>
      <c r="P257">
        <v>1</v>
      </c>
      <c r="Q257">
        <v>-5.3037884180833297</v>
      </c>
      <c r="R257">
        <v>-4.6572113252307696</v>
      </c>
      <c r="S257">
        <v>1</v>
      </c>
      <c r="T257">
        <v>-4.8329494433333302</v>
      </c>
      <c r="U257">
        <v>-4.5325691859999999</v>
      </c>
      <c r="V257">
        <v>1</v>
      </c>
      <c r="W257">
        <v>-5.1165774255555503</v>
      </c>
      <c r="X257">
        <v>-4.7589662539999997</v>
      </c>
      <c r="Y257">
        <v>1</v>
      </c>
      <c r="Z257">
        <v>-5.24359654428571</v>
      </c>
      <c r="AA257">
        <v>-4.7449048756666601</v>
      </c>
      <c r="AB257">
        <v>1</v>
      </c>
      <c r="AC257">
        <v>-5.5118277623076901</v>
      </c>
      <c r="AD257">
        <v>-4.7583960831428502</v>
      </c>
      <c r="AE257">
        <v>1</v>
      </c>
      <c r="AF257">
        <v>-6.2038482353333304</v>
      </c>
      <c r="AG257">
        <v>-5.56645521076923</v>
      </c>
      <c r="AH257">
        <v>1</v>
      </c>
      <c r="AI257">
        <v>-6.2996676522222197</v>
      </c>
      <c r="AJ257">
        <v>-5.8018989609999903</v>
      </c>
      <c r="AK257">
        <v>1</v>
      </c>
      <c r="AL257">
        <v>-6.4148054222222202</v>
      </c>
      <c r="AM257">
        <v>-5.9255136039999998</v>
      </c>
      <c r="AN257">
        <v>1</v>
      </c>
      <c r="AO257">
        <v>-4.5337416259571404</v>
      </c>
      <c r="AP257">
        <v>-4.0780561399333299</v>
      </c>
      <c r="AQ257">
        <v>1</v>
      </c>
      <c r="AR257">
        <v>-4.6794109346153796</v>
      </c>
      <c r="AS257">
        <v>-4.0712670421428498</v>
      </c>
      <c r="AT257">
        <v>1</v>
      </c>
      <c r="AU257">
        <v>-5.5273368141666603</v>
      </c>
      <c r="AV257">
        <v>-4.9097966599999996</v>
      </c>
      <c r="AW257">
        <v>1</v>
      </c>
      <c r="AX257">
        <v>-5.6462606500000003</v>
      </c>
      <c r="AY257">
        <v>-4.8882245009999998</v>
      </c>
      <c r="AZ257">
        <v>1</v>
      </c>
      <c r="BA257">
        <v>-5.5969648133333303</v>
      </c>
      <c r="BB257">
        <v>-5.0896310329999999</v>
      </c>
      <c r="BC257">
        <v>1</v>
      </c>
      <c r="BD257">
        <v>-5.2591001177500001</v>
      </c>
      <c r="BE257">
        <v>-4.7646233848666597</v>
      </c>
      <c r="BF257">
        <v>1</v>
      </c>
      <c r="BG257">
        <v>-5.5447469284615298</v>
      </c>
      <c r="BH257">
        <v>-4.6782129650000002</v>
      </c>
      <c r="BI257">
        <v>1</v>
      </c>
      <c r="BJ257">
        <v>-6.1737729683333296</v>
      </c>
      <c r="BK257">
        <v>-5.5083381511538398</v>
      </c>
      <c r="BL257">
        <v>1</v>
      </c>
      <c r="BM257">
        <v>-6.2430016077777699</v>
      </c>
      <c r="BN257">
        <v>-5.7679123350000001</v>
      </c>
      <c r="BO257">
        <v>1</v>
      </c>
      <c r="BP257">
        <v>-6.5346557777777701</v>
      </c>
      <c r="BQ257">
        <v>-6.0408888699999901</v>
      </c>
      <c r="BR257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2" max="2" width="41.36328125" customWidth="1"/>
  </cols>
  <sheetData>
    <row r="1" spans="1:9" x14ac:dyDescent="0.35">
      <c r="C1" t="s">
        <v>83</v>
      </c>
      <c r="D1" t="s">
        <v>87</v>
      </c>
      <c r="E1" t="s">
        <v>86</v>
      </c>
      <c r="F1" t="s">
        <v>90</v>
      </c>
      <c r="G1" t="s">
        <v>91</v>
      </c>
      <c r="H1" t="s">
        <v>370</v>
      </c>
      <c r="I1" t="s">
        <v>371</v>
      </c>
    </row>
    <row r="2" spans="1:9" x14ac:dyDescent="0.35">
      <c r="A2">
        <v>3</v>
      </c>
      <c r="B2" t="str" cm="1">
        <f t="array" ref="B2">LEFT(INDEX(test_output!K:FU,1,A2),LEN(INDEX(test_output!K:FU,1,A2))-4)</f>
        <v>Llama-3-70B-Instruct M1</v>
      </c>
      <c r="C2">
        <f>AVERAGE(INDEX(test_output!K:FZ,0,A2))</f>
        <v>0.79296875</v>
      </c>
      <c r="D2" cm="1">
        <f t="array" ref="D2">AVERAGE(_xlfn._xlws.FILTER(INDEX(test_output!K:FZ,0,A2),test_output!I:I="neg"))</f>
        <v>0.953125</v>
      </c>
      <c r="E2" cm="1">
        <f t="array" ref="E2">AVERAGE(_xlfn._xlws.FILTER(INDEX(test_output!K:FZ,0,A2),test_output!I:I="intens"))</f>
        <v>0.6328125</v>
      </c>
      <c r="F2" cm="1">
        <f t="array" ref="F2">AVERAGE(_xlfn._xlws.FILTER(INDEX(test_output!K:FZ,0,A2),(test_output!I:I="neg")*(test_output!H:H="not")))</f>
        <v>0.96261682242990654</v>
      </c>
      <c r="G2" cm="1">
        <f t="array" ref="G2">AVERAGE(_xlfn._xlws.FILTER(INDEX(test_output!K:FZ,0,A2),(test_output!I:I="intens")*(test_output!H:H="not")))</f>
        <v>0.63551401869158874</v>
      </c>
      <c r="H2" cm="1">
        <f t="array" ref="H2">AVERAGE(_xlfn._xlws.FILTER(INDEX(test_output!K:FZ,0,A2),(test_output!I:I="neg")*(test_output!H:H="antonym")))</f>
        <v>0.89473684210526316</v>
      </c>
      <c r="I2" cm="1">
        <f t="array" ref="I2">AVERAGE(_xlfn._xlws.FILTER(INDEX(test_output!K:FZ,0,A2),(test_output!I:I="intens")*(test_output!H:H="antonym")))</f>
        <v>0.57894736842105265</v>
      </c>
    </row>
    <row r="3" spans="1:9" x14ac:dyDescent="0.35">
      <c r="A3">
        <f>A2+3</f>
        <v>6</v>
      </c>
      <c r="B3" t="str" cm="1">
        <f t="array" ref="B3">LEFT(INDEX(test_output!K:FU,1,A3),LEN(INDEX(test_output!K:FU,1,A3))-4)</f>
        <v>Llama-3-70B-Instruct M2</v>
      </c>
      <c r="C3">
        <f>AVERAGE(INDEX(test_output!K:FZ,0,A3))</f>
        <v>0.82421875</v>
      </c>
      <c r="D3" cm="1">
        <f t="array" ref="D3">AVERAGE(_xlfn._xlws.FILTER(INDEX(test_output!K:FZ,0,A3),test_output!I:I="neg"))</f>
        <v>0.9609375</v>
      </c>
      <c r="E3" cm="1">
        <f t="array" ref="E3">AVERAGE(_xlfn._xlws.FILTER(INDEX(test_output!K:FZ,0,A3),test_output!I:I="intens"))</f>
        <v>0.6875</v>
      </c>
      <c r="F3" cm="1">
        <f t="array" ref="F3">AVERAGE(_xlfn._xlws.FILTER(INDEX(test_output!K:FZ,0,A3),(test_output!I:I="neg")*(test_output!H:H="not")))</f>
        <v>0.9719626168224299</v>
      </c>
      <c r="G3" cm="1">
        <f t="array" ref="G3">AVERAGE(_xlfn._xlws.FILTER(INDEX(test_output!K:FZ,0,A3),(test_output!I:I="intens")*(test_output!H:H="not")))</f>
        <v>0.7009345794392523</v>
      </c>
      <c r="H3" cm="1">
        <f t="array" ref="H3">AVERAGE(_xlfn._xlws.FILTER(INDEX(test_output!K:FZ,0,A3),(test_output!I:I="neg")*(test_output!H:H="antonym")))</f>
        <v>0.89473684210526316</v>
      </c>
      <c r="I3" cm="1">
        <f t="array" ref="I3">AVERAGE(_xlfn._xlws.FILTER(INDEX(test_output!K:FZ,0,A3),(test_output!I:I="intens")*(test_output!H:H="antonym")))</f>
        <v>0.57894736842105265</v>
      </c>
    </row>
    <row r="4" spans="1:9" x14ac:dyDescent="0.35">
      <c r="A4">
        <f t="shared" ref="A4:A16" si="0">A3+3</f>
        <v>9</v>
      </c>
      <c r="B4" t="str" cm="1">
        <f t="array" ref="B4">LEFT(INDEX(test_output!K:FU,1,A4),LEN(INDEX(test_output!K:FU,1,A4))-4)</f>
        <v>Llama-3-70B-Instruct M3</v>
      </c>
      <c r="C4">
        <f>AVERAGE(INDEX(test_output!K:FZ,0,A4))</f>
        <v>0.7578125</v>
      </c>
      <c r="D4" cm="1">
        <f t="array" ref="D4">AVERAGE(_xlfn._xlws.FILTER(INDEX(test_output!K:FZ,0,A4),test_output!I:I="neg"))</f>
        <v>0.9609375</v>
      </c>
      <c r="E4" cm="1">
        <f t="array" ref="E4">AVERAGE(_xlfn._xlws.FILTER(INDEX(test_output!K:FZ,0,A4),test_output!I:I="intens"))</f>
        <v>0.5546875</v>
      </c>
      <c r="F4" cm="1">
        <f t="array" ref="F4">AVERAGE(_xlfn._xlws.FILTER(INDEX(test_output!K:FZ,0,A4),(test_output!I:I="neg")*(test_output!H:H="not")))</f>
        <v>0.9719626168224299</v>
      </c>
      <c r="G4" cm="1">
        <f t="array" ref="G4">AVERAGE(_xlfn._xlws.FILTER(INDEX(test_output!K:FZ,0,A4),(test_output!I:I="intens")*(test_output!H:H="not")))</f>
        <v>0.55140186915887845</v>
      </c>
      <c r="H4" cm="1">
        <f t="array" ref="H4">AVERAGE(_xlfn._xlws.FILTER(INDEX(test_output!K:FZ,0,A4),(test_output!I:I="neg")*(test_output!H:H="antonym")))</f>
        <v>0.89473684210526316</v>
      </c>
      <c r="I4" cm="1">
        <f t="array" ref="I4">AVERAGE(_xlfn._xlws.FILTER(INDEX(test_output!K:FZ,0,A4),(test_output!I:I="intens")*(test_output!H:H="antonym")))</f>
        <v>0.52631578947368418</v>
      </c>
    </row>
    <row r="5" spans="1:9" x14ac:dyDescent="0.35">
      <c r="A5">
        <f t="shared" si="0"/>
        <v>12</v>
      </c>
      <c r="B5" t="str" cm="1">
        <f t="array" ref="B5">LEFT(INDEX(test_output!K:FU,1,A5),LEN(INDEX(test_output!K:FU,1,A5))-4)</f>
        <v>Llama-3-70B-Instruct M4</v>
      </c>
      <c r="C5">
        <f>AVERAGE(INDEX(test_output!K:FZ,0,A5))</f>
        <v>0.7109375</v>
      </c>
      <c r="D5" cm="1">
        <f t="array" ref="D5">AVERAGE(_xlfn._xlws.FILTER(INDEX(test_output!K:FZ,0,A5),test_output!I:I="neg"))</f>
        <v>0.890625</v>
      </c>
      <c r="E5" cm="1">
        <f t="array" ref="E5">AVERAGE(_xlfn._xlws.FILTER(INDEX(test_output!K:FZ,0,A5),test_output!I:I="intens"))</f>
        <v>0.53125</v>
      </c>
      <c r="F5" cm="1">
        <f t="array" ref="F5">AVERAGE(_xlfn._xlws.FILTER(INDEX(test_output!K:FZ,0,A5),(test_output!I:I="neg")*(test_output!H:H="not")))</f>
        <v>0.90654205607476634</v>
      </c>
      <c r="G5" cm="1">
        <f t="array" ref="G5">AVERAGE(_xlfn._xlws.FILTER(INDEX(test_output!K:FZ,0,A5),(test_output!I:I="intens")*(test_output!H:H="not")))</f>
        <v>0.51401869158878499</v>
      </c>
      <c r="H5" cm="1">
        <f t="array" ref="H5">AVERAGE(_xlfn._xlws.FILTER(INDEX(test_output!K:FZ,0,A5),(test_output!I:I="neg")*(test_output!H:H="antonym")))</f>
        <v>0.78947368421052633</v>
      </c>
      <c r="I5" cm="1">
        <f t="array" ref="I5">AVERAGE(_xlfn._xlws.FILTER(INDEX(test_output!K:FZ,0,A5),(test_output!I:I="intens")*(test_output!H:H="antonym")))</f>
        <v>0.57894736842105265</v>
      </c>
    </row>
    <row r="6" spans="1:9" x14ac:dyDescent="0.35">
      <c r="A6">
        <f t="shared" si="0"/>
        <v>15</v>
      </c>
      <c r="B6" t="str" cm="1">
        <f t="array" ref="B6">LEFT(INDEX(test_output!K:FU,1,A6),LEN(INDEX(test_output!K:FU,1,A6))-4)</f>
        <v>Llama-3-70B-Instruct M5</v>
      </c>
      <c r="C6">
        <f>AVERAGE(INDEX(test_output!K:FZ,0,A6))</f>
        <v>0.5703125</v>
      </c>
      <c r="D6" cm="1">
        <f t="array" ref="D6">AVERAGE(_xlfn._xlws.FILTER(INDEX(test_output!K:FZ,0,A6),test_output!I:I="neg"))</f>
        <v>0.890625</v>
      </c>
      <c r="E6" cm="1">
        <f t="array" ref="E6">AVERAGE(_xlfn._xlws.FILTER(INDEX(test_output!K:FZ,0,A6),test_output!I:I="intens"))</f>
        <v>0.25</v>
      </c>
      <c r="F6" cm="1">
        <f t="array" ref="F6">AVERAGE(_xlfn._xlws.FILTER(INDEX(test_output!K:FZ,0,A6),(test_output!I:I="neg")*(test_output!H:H="not")))</f>
        <v>0.90654205607476634</v>
      </c>
      <c r="G6" cm="1">
        <f t="array" ref="G6">AVERAGE(_xlfn._xlws.FILTER(INDEX(test_output!K:FZ,0,A6),(test_output!I:I="intens")*(test_output!H:H="not")))</f>
        <v>0.23364485981308411</v>
      </c>
      <c r="H6" cm="1">
        <f t="array" ref="H6">AVERAGE(_xlfn._xlws.FILTER(INDEX(test_output!K:FZ,0,A6),(test_output!I:I="neg")*(test_output!H:H="antonym")))</f>
        <v>0.78947368421052633</v>
      </c>
      <c r="I6" cm="1">
        <f t="array" ref="I6">AVERAGE(_xlfn._xlws.FILTER(INDEX(test_output!K:FZ,0,A6),(test_output!I:I="intens")*(test_output!H:H="antonym")))</f>
        <v>0.36842105263157893</v>
      </c>
    </row>
    <row r="7" spans="1:9" x14ac:dyDescent="0.35">
      <c r="A7">
        <f t="shared" si="0"/>
        <v>18</v>
      </c>
      <c r="B7" t="str" cm="1">
        <f t="array" ref="B7">LEFT(INDEX(test_output!K:FU,1,A7),LEN(INDEX(test_output!K:FU,1,A7))-4)</f>
        <v>Llama-3.1-70B-Instruct M1</v>
      </c>
      <c r="C7">
        <f>AVERAGE(INDEX(test_output!K:FZ,0,A7))</f>
        <v>0.75</v>
      </c>
      <c r="D7" cm="1">
        <f t="array" ref="D7">AVERAGE(_xlfn._xlws.FILTER(INDEX(test_output!K:FZ,0,A7),test_output!I:I="neg"))</f>
        <v>0.9453125</v>
      </c>
      <c r="E7" cm="1">
        <f t="array" ref="E7">AVERAGE(_xlfn._xlws.FILTER(INDEX(test_output!K:FZ,0,A7),test_output!I:I="intens"))</f>
        <v>0.5546875</v>
      </c>
      <c r="F7" cm="1">
        <f t="array" ref="F7">AVERAGE(_xlfn._xlws.FILTER(INDEX(test_output!K:FZ,0,A7),(test_output!I:I="neg")*(test_output!H:H="not")))</f>
        <v>0.94392523364485981</v>
      </c>
      <c r="G7" cm="1">
        <f t="array" ref="G7">AVERAGE(_xlfn._xlws.FILTER(INDEX(test_output!K:FZ,0,A7),(test_output!I:I="intens")*(test_output!H:H="not")))</f>
        <v>0.55140186915887845</v>
      </c>
      <c r="H7" cm="1">
        <f t="array" ref="H7">AVERAGE(_xlfn._xlws.FILTER(INDEX(test_output!K:FZ,0,A7),(test_output!I:I="neg")*(test_output!H:H="antonym")))</f>
        <v>0.94736842105263153</v>
      </c>
      <c r="I7" cm="1">
        <f t="array" ref="I7">AVERAGE(_xlfn._xlws.FILTER(INDEX(test_output!K:FZ,0,A7),(test_output!I:I="intens")*(test_output!H:H="antonym")))</f>
        <v>0.52631578947368418</v>
      </c>
    </row>
    <row r="8" spans="1:9" x14ac:dyDescent="0.35">
      <c r="A8">
        <f t="shared" si="0"/>
        <v>21</v>
      </c>
      <c r="B8" t="str" cm="1">
        <f t="array" ref="B8">LEFT(INDEX(test_output!K:FU,1,A8),LEN(INDEX(test_output!K:FU,1,A8))-4)</f>
        <v>Llama-3.1-70B-Instruct M2</v>
      </c>
      <c r="C8">
        <f>AVERAGE(INDEX(test_output!K:FZ,0,A8))</f>
        <v>0.79296875</v>
      </c>
      <c r="D8" cm="1">
        <f t="array" ref="D8">AVERAGE(_xlfn._xlws.FILTER(INDEX(test_output!K:FZ,0,A8),test_output!I:I="neg"))</f>
        <v>0.96875</v>
      </c>
      <c r="E8" cm="1">
        <f t="array" ref="E8">AVERAGE(_xlfn._xlws.FILTER(INDEX(test_output!K:FZ,0,A8),test_output!I:I="intens"))</f>
        <v>0.6171875</v>
      </c>
      <c r="F8" cm="1">
        <f t="array" ref="F8">AVERAGE(_xlfn._xlws.FILTER(INDEX(test_output!K:FZ,0,A8),(test_output!I:I="neg")*(test_output!H:H="not")))</f>
        <v>0.98130841121495327</v>
      </c>
      <c r="G8" cm="1">
        <f t="array" ref="G8">AVERAGE(_xlfn._xlws.FILTER(INDEX(test_output!K:FZ,0,A8),(test_output!I:I="intens")*(test_output!H:H="not")))</f>
        <v>0.64485981308411211</v>
      </c>
      <c r="H8" cm="1">
        <f t="array" ref="H8">AVERAGE(_xlfn._xlws.FILTER(INDEX(test_output!K:FZ,0,A8),(test_output!I:I="neg")*(test_output!H:H="antonym")))</f>
        <v>0.89473684210526316</v>
      </c>
      <c r="I8" cm="1">
        <f t="array" ref="I8">AVERAGE(_xlfn._xlws.FILTER(INDEX(test_output!K:FZ,0,A8),(test_output!I:I="intens")*(test_output!H:H="antonym")))</f>
        <v>0.42105263157894735</v>
      </c>
    </row>
    <row r="9" spans="1:9" x14ac:dyDescent="0.35">
      <c r="A9">
        <f t="shared" si="0"/>
        <v>24</v>
      </c>
      <c r="B9" t="str" cm="1">
        <f t="array" ref="B9">LEFT(INDEX(test_output!K:FU,1,A9),LEN(INDEX(test_output!K:FU,1,A9))-4)</f>
        <v>Llama-3.1-70B-Instruct M3</v>
      </c>
      <c r="C9">
        <f>AVERAGE(INDEX(test_output!K:FZ,0,A9))</f>
        <v>0.71484375</v>
      </c>
      <c r="D9" cm="1">
        <f t="array" ref="D9">AVERAGE(_xlfn._xlws.FILTER(INDEX(test_output!K:FZ,0,A9),test_output!I:I="neg"))</f>
        <v>0.96875</v>
      </c>
      <c r="E9" cm="1">
        <f t="array" ref="E9">AVERAGE(_xlfn._xlws.FILTER(INDEX(test_output!K:FZ,0,A9),test_output!I:I="intens"))</f>
        <v>0.4609375</v>
      </c>
      <c r="F9" cm="1">
        <f t="array" ref="F9">AVERAGE(_xlfn._xlws.FILTER(INDEX(test_output!K:FZ,0,A9),(test_output!I:I="neg")*(test_output!H:H="not")))</f>
        <v>0.98130841121495327</v>
      </c>
      <c r="G9" cm="1">
        <f t="array" ref="G9">AVERAGE(_xlfn._xlws.FILTER(INDEX(test_output!K:FZ,0,A9),(test_output!I:I="intens")*(test_output!H:H="not")))</f>
        <v>0.49532710280373832</v>
      </c>
      <c r="H9" cm="1">
        <f t="array" ref="H9">AVERAGE(_xlfn._xlws.FILTER(INDEX(test_output!K:FZ,0,A9),(test_output!I:I="neg")*(test_output!H:H="antonym")))</f>
        <v>0.89473684210526316</v>
      </c>
      <c r="I9" cm="1">
        <f t="array" ref="I9">AVERAGE(_xlfn._xlws.FILTER(INDEX(test_output!K:FZ,0,A9),(test_output!I:I="intens")*(test_output!H:H="antonym")))</f>
        <v>0.26315789473684209</v>
      </c>
    </row>
    <row r="10" spans="1:9" x14ac:dyDescent="0.35">
      <c r="A10">
        <f t="shared" si="0"/>
        <v>27</v>
      </c>
      <c r="B10" t="str" cm="1">
        <f t="array" ref="B10">LEFT(INDEX(test_output!K:FU,1,A10),LEN(INDEX(test_output!K:FU,1,A10))-4)</f>
        <v>Llama-3.1-70B-Instruct M4</v>
      </c>
      <c r="C10">
        <f>AVERAGE(INDEX(test_output!K:FZ,0,A10))</f>
        <v>0.64453125</v>
      </c>
      <c r="D10" cm="1">
        <f t="array" ref="D10">AVERAGE(_xlfn._xlws.FILTER(INDEX(test_output!K:FZ,0,A10),test_output!I:I="neg"))</f>
        <v>0.9140625</v>
      </c>
      <c r="E10" cm="1">
        <f t="array" ref="E10">AVERAGE(_xlfn._xlws.FILTER(INDEX(test_output!K:FZ,0,A10),test_output!I:I="intens"))</f>
        <v>0.375</v>
      </c>
      <c r="F10" cm="1">
        <f t="array" ref="F10">AVERAGE(_xlfn._xlws.FILTER(INDEX(test_output!K:FZ,0,A10),(test_output!I:I="neg")*(test_output!H:H="not")))</f>
        <v>0.92523364485981308</v>
      </c>
      <c r="G10" cm="1">
        <f t="array" ref="G10">AVERAGE(_xlfn._xlws.FILTER(INDEX(test_output!K:FZ,0,A10),(test_output!I:I="intens")*(test_output!H:H="not")))</f>
        <v>0.3925233644859813</v>
      </c>
      <c r="H10" cm="1">
        <f t="array" ref="H10">AVERAGE(_xlfn._xlws.FILTER(INDEX(test_output!K:FZ,0,A10),(test_output!I:I="neg")*(test_output!H:H="antonym")))</f>
        <v>0.84210526315789469</v>
      </c>
      <c r="I10" cm="1">
        <f t="array" ref="I10">AVERAGE(_xlfn._xlws.FILTER(INDEX(test_output!K:FZ,0,A10),(test_output!I:I="intens")*(test_output!H:H="antonym")))</f>
        <v>0.26315789473684209</v>
      </c>
    </row>
    <row r="11" spans="1:9" x14ac:dyDescent="0.35">
      <c r="A11">
        <f t="shared" si="0"/>
        <v>30</v>
      </c>
      <c r="B11" t="str" cm="1">
        <f t="array" ref="B11">LEFT(INDEX(test_output!K:FU,1,A11),LEN(INDEX(test_output!K:FU,1,A11))-4)</f>
        <v>Llama-3.1-70B-Instruct M5</v>
      </c>
      <c r="C11">
        <f>AVERAGE(INDEX(test_output!K:FZ,0,A11))</f>
        <v>0.5625</v>
      </c>
      <c r="D11" cm="1">
        <f t="array" ref="D11">AVERAGE(_xlfn._xlws.FILTER(INDEX(test_output!K:FZ,0,A11),test_output!I:I="neg"))</f>
        <v>0.9296875</v>
      </c>
      <c r="E11" cm="1">
        <f t="array" ref="E11">AVERAGE(_xlfn._xlws.FILTER(INDEX(test_output!K:FZ,0,A11),test_output!I:I="intens"))</f>
        <v>0.1953125</v>
      </c>
      <c r="F11" cm="1">
        <f t="array" ref="F11">AVERAGE(_xlfn._xlws.FILTER(INDEX(test_output!K:FZ,0,A11),(test_output!I:I="neg")*(test_output!H:H="not")))</f>
        <v>0.93457943925233644</v>
      </c>
      <c r="G11" cm="1">
        <f t="array" ref="G11">AVERAGE(_xlfn._xlws.FILTER(INDEX(test_output!K:FZ,0,A11),(test_output!I:I="intens")*(test_output!H:H="not")))</f>
        <v>0.20560747663551401</v>
      </c>
      <c r="H11" cm="1">
        <f t="array" ref="H11">AVERAGE(_xlfn._xlws.FILTER(INDEX(test_output!K:FZ,0,A11),(test_output!I:I="neg")*(test_output!H:H="antonym")))</f>
        <v>0.89473684210526316</v>
      </c>
      <c r="I11" cm="1">
        <f t="array" ref="I11">AVERAGE(_xlfn._xlws.FILTER(INDEX(test_output!K:FZ,0,A11),(test_output!I:I="intens")*(test_output!H:H="antonym")))</f>
        <v>0.15789473684210525</v>
      </c>
    </row>
    <row r="12" spans="1:9" x14ac:dyDescent="0.35">
      <c r="A12">
        <f t="shared" si="0"/>
        <v>33</v>
      </c>
      <c r="B12" t="str" cm="1">
        <f t="array" ref="B12">LEFT(INDEX(test_output!K:FU,1,A12),LEN(INDEX(test_output!K:FU,1,A12))-4)</f>
        <v>Llama-3.1-405B-Instruct M1</v>
      </c>
      <c r="C12">
        <f>AVERAGE(INDEX(test_output!K:FZ,0,A12))</f>
        <v>0.8046875</v>
      </c>
      <c r="D12" cm="1">
        <f t="array" ref="D12">AVERAGE(_xlfn._xlws.FILTER(INDEX(test_output!K:FZ,0,A12),test_output!I:I="neg"))</f>
        <v>0.953125</v>
      </c>
      <c r="E12" cm="1">
        <f t="array" ref="E12">AVERAGE(_xlfn._xlws.FILTER(INDEX(test_output!K:FZ,0,A12),test_output!I:I="intens"))</f>
        <v>0.65625</v>
      </c>
      <c r="F12" cm="1">
        <f t="array" ref="F12">AVERAGE(_xlfn._xlws.FILTER(INDEX(test_output!K:FZ,0,A12),(test_output!I:I="neg")*(test_output!H:H="not")))</f>
        <v>0.96261682242990654</v>
      </c>
      <c r="G12" cm="1">
        <f t="array" ref="G12">AVERAGE(_xlfn._xlws.FILTER(INDEX(test_output!K:FZ,0,A12),(test_output!I:I="intens")*(test_output!H:H="not")))</f>
        <v>0.65420560747663548</v>
      </c>
      <c r="H12" cm="1">
        <f t="array" ref="H12">AVERAGE(_xlfn._xlws.FILTER(INDEX(test_output!K:FZ,0,A12),(test_output!I:I="neg")*(test_output!H:H="antonym")))</f>
        <v>0.89473684210526316</v>
      </c>
      <c r="I12" cm="1">
        <f t="array" ref="I12">AVERAGE(_xlfn._xlws.FILTER(INDEX(test_output!K:FZ,0,A12),(test_output!I:I="intens")*(test_output!H:H="antonym")))</f>
        <v>0.63157894736842102</v>
      </c>
    </row>
    <row r="13" spans="1:9" x14ac:dyDescent="0.35">
      <c r="A13">
        <f t="shared" si="0"/>
        <v>36</v>
      </c>
      <c r="B13" t="str" cm="1">
        <f t="array" ref="B13">LEFT(INDEX(test_output!K:FU,1,A13),LEN(INDEX(test_output!K:FU,1,A13))-4)</f>
        <v>Llama-3.1-405B-Instruct M2</v>
      </c>
      <c r="C13">
        <f>AVERAGE(INDEX(test_output!K:FZ,0,A13))</f>
        <v>0.85546875</v>
      </c>
      <c r="D13" cm="1">
        <f t="array" ref="D13">AVERAGE(_xlfn._xlws.FILTER(INDEX(test_output!K:FZ,0,A13),test_output!I:I="neg"))</f>
        <v>0.96875</v>
      </c>
      <c r="E13" cm="1">
        <f t="array" ref="E13">AVERAGE(_xlfn._xlws.FILTER(INDEX(test_output!K:FZ,0,A13),test_output!I:I="intens"))</f>
        <v>0.7421875</v>
      </c>
      <c r="F13" cm="1">
        <f t="array" ref="F13">AVERAGE(_xlfn._xlws.FILTER(INDEX(test_output!K:FZ,0,A13),(test_output!I:I="neg")*(test_output!H:H="not")))</f>
        <v>0.98130841121495327</v>
      </c>
      <c r="G13" cm="1">
        <f t="array" ref="G13">AVERAGE(_xlfn._xlws.FILTER(INDEX(test_output!K:FZ,0,A13),(test_output!I:I="intens")*(test_output!H:H="not")))</f>
        <v>0.76635514018691586</v>
      </c>
      <c r="H13" cm="1">
        <f t="array" ref="H13">AVERAGE(_xlfn._xlws.FILTER(INDEX(test_output!K:FZ,0,A13),(test_output!I:I="neg")*(test_output!H:H="antonym")))</f>
        <v>0.89473684210526316</v>
      </c>
      <c r="I13" cm="1">
        <f t="array" ref="I13">AVERAGE(_xlfn._xlws.FILTER(INDEX(test_output!K:FZ,0,A13),(test_output!I:I="intens")*(test_output!H:H="antonym")))</f>
        <v>0.57894736842105265</v>
      </c>
    </row>
    <row r="14" spans="1:9" x14ac:dyDescent="0.35">
      <c r="A14">
        <f t="shared" si="0"/>
        <v>39</v>
      </c>
      <c r="B14" t="str" cm="1">
        <f t="array" ref="B14">LEFT(INDEX(test_output!K:FU,1,A14),LEN(INDEX(test_output!K:FU,1,A14))-4)</f>
        <v>Llama-3.1-405B-Instruct M3</v>
      </c>
      <c r="C14">
        <f>AVERAGE(INDEX(test_output!K:FZ,0,A14))</f>
        <v>0.765625</v>
      </c>
      <c r="D14" cm="1">
        <f t="array" ref="D14">AVERAGE(_xlfn._xlws.FILTER(INDEX(test_output!K:FZ,0,A14),test_output!I:I="neg"))</f>
        <v>0.9609375</v>
      </c>
      <c r="E14" cm="1">
        <f t="array" ref="E14">AVERAGE(_xlfn._xlws.FILTER(INDEX(test_output!K:FZ,0,A14),test_output!I:I="intens"))</f>
        <v>0.5703125</v>
      </c>
      <c r="F14" cm="1">
        <f t="array" ref="F14">AVERAGE(_xlfn._xlws.FILTER(INDEX(test_output!K:FZ,0,A14),(test_output!I:I="neg")*(test_output!H:H="not")))</f>
        <v>0.9719626168224299</v>
      </c>
      <c r="G14" cm="1">
        <f t="array" ref="G14">AVERAGE(_xlfn._xlws.FILTER(INDEX(test_output!K:FZ,0,A14),(test_output!I:I="intens")*(test_output!H:H="not")))</f>
        <v>0.58878504672897192</v>
      </c>
      <c r="H14" cm="1">
        <f t="array" ref="H14">AVERAGE(_xlfn._xlws.FILTER(INDEX(test_output!K:FZ,0,A14),(test_output!I:I="neg")*(test_output!H:H="antonym")))</f>
        <v>0.89473684210526316</v>
      </c>
      <c r="I14" cm="1">
        <f t="array" ref="I14">AVERAGE(_xlfn._xlws.FILTER(INDEX(test_output!K:FZ,0,A14),(test_output!I:I="intens")*(test_output!H:H="antonym")))</f>
        <v>0.42105263157894735</v>
      </c>
    </row>
    <row r="15" spans="1:9" x14ac:dyDescent="0.35">
      <c r="A15">
        <f t="shared" si="0"/>
        <v>42</v>
      </c>
      <c r="B15" t="str" cm="1">
        <f t="array" ref="B15">LEFT(INDEX(test_output!K:FU,1,A15),LEN(INDEX(test_output!K:FU,1,A15))-4)</f>
        <v>Llama-3.1-405B-Instruct M4</v>
      </c>
      <c r="C15">
        <f>AVERAGE(INDEX(test_output!K:FZ,0,A15))</f>
        <v>0.74609375</v>
      </c>
      <c r="D15" cm="1">
        <f t="array" ref="D15">AVERAGE(_xlfn._xlws.FILTER(INDEX(test_output!K:FZ,0,A15),test_output!I:I="neg"))</f>
        <v>0.890625</v>
      </c>
      <c r="E15" cm="1">
        <f t="array" ref="E15">AVERAGE(_xlfn._xlws.FILTER(INDEX(test_output!K:FZ,0,A15),test_output!I:I="intens"))</f>
        <v>0.6015625</v>
      </c>
      <c r="F15" cm="1">
        <f t="array" ref="F15">AVERAGE(_xlfn._xlws.FILTER(INDEX(test_output!K:FZ,0,A15),(test_output!I:I="neg")*(test_output!H:H="not")))</f>
        <v>0.91588785046728971</v>
      </c>
      <c r="G15" cm="1">
        <f t="array" ref="G15">AVERAGE(_xlfn._xlws.FILTER(INDEX(test_output!K:FZ,0,A15),(test_output!I:I="intens")*(test_output!H:H="not")))</f>
        <v>0.59813084112149528</v>
      </c>
      <c r="H15" cm="1">
        <f t="array" ref="H15">AVERAGE(_xlfn._xlws.FILTER(INDEX(test_output!K:FZ,0,A15),(test_output!I:I="neg")*(test_output!H:H="antonym")))</f>
        <v>0.73684210526315785</v>
      </c>
      <c r="I15" cm="1">
        <f t="array" ref="I15">AVERAGE(_xlfn._xlws.FILTER(INDEX(test_output!K:FZ,0,A15),(test_output!I:I="intens")*(test_output!H:H="antonym")))</f>
        <v>0.57894736842105265</v>
      </c>
    </row>
    <row r="16" spans="1:9" x14ac:dyDescent="0.35">
      <c r="A16">
        <f t="shared" si="0"/>
        <v>45</v>
      </c>
      <c r="B16" t="str" cm="1">
        <f t="array" ref="B16">LEFT(INDEX(test_output!K:FU,1,A16),LEN(INDEX(test_output!K:FU,1,A16))-4)</f>
        <v>Llama-3.1-405B-Instruct M5</v>
      </c>
      <c r="C16">
        <f>AVERAGE(INDEX(test_output!K:FZ,0,A16))</f>
        <v>0.61328125</v>
      </c>
      <c r="D16" cm="1">
        <f t="array" ref="D16">AVERAGE(_xlfn._xlws.FILTER(INDEX(test_output!K:FZ,0,A16),test_output!I:I="neg"))</f>
        <v>0.90625</v>
      </c>
      <c r="E16" cm="1">
        <f t="array" ref="E16">AVERAGE(_xlfn._xlws.FILTER(INDEX(test_output!K:FZ,0,A16),test_output!I:I="intens"))</f>
        <v>0.3203125</v>
      </c>
      <c r="F16" cm="1">
        <f t="array" ref="F16">AVERAGE(_xlfn._xlws.FILTER(INDEX(test_output!K:FZ,0,A16),(test_output!I:I="neg")*(test_output!H:H="not")))</f>
        <v>0.91588785046728971</v>
      </c>
      <c r="G16" cm="1">
        <f t="array" ref="G16">AVERAGE(_xlfn._xlws.FILTER(INDEX(test_output!K:FZ,0,A16),(test_output!I:I="intens")*(test_output!H:H="not")))</f>
        <v>0.30841121495327101</v>
      </c>
      <c r="H16" cm="1">
        <f t="array" ref="H16">AVERAGE(_xlfn._xlws.FILTER(INDEX(test_output!K:FZ,0,A16),(test_output!I:I="neg")*(test_output!H:H="antonym")))</f>
        <v>0.84210526315789469</v>
      </c>
      <c r="I16" cm="1">
        <f t="array" ref="I16">AVERAGE(_xlfn._xlws.FILTER(INDEX(test_output!K:FZ,0,A16),(test_output!I:I="intens")*(test_output!H:H="antonym")))</f>
        <v>0.31578947368421051</v>
      </c>
    </row>
    <row r="17" spans="1:9" x14ac:dyDescent="0.35">
      <c r="A17">
        <f t="shared" ref="A17:A58" si="1">A16+3</f>
        <v>48</v>
      </c>
      <c r="B17" t="str" cm="1">
        <f t="array" ref="B17">LEFT(INDEX(test_output!K:FU,1,A17),LEN(INDEX(test_output!K:FU,1,A17))-4)</f>
        <v>Llama-3.3-70B-Instruct M1</v>
      </c>
      <c r="C17">
        <f>AVERAGE(INDEX(test_output!K:FZ,0,A17))</f>
        <v>0.77734375</v>
      </c>
      <c r="D17" cm="1">
        <f t="array" ref="D17">AVERAGE(_xlfn._xlws.FILTER(INDEX(test_output!K:FZ,0,A17),test_output!I:I="neg"))</f>
        <v>0.9375</v>
      </c>
      <c r="E17" cm="1">
        <f t="array" ref="E17">AVERAGE(_xlfn._xlws.FILTER(INDEX(test_output!K:FZ,0,A17),test_output!I:I="intens"))</f>
        <v>0.6171875</v>
      </c>
      <c r="F17" cm="1">
        <f t="array" ref="F17">AVERAGE(_xlfn._xlws.FILTER(INDEX(test_output!K:FZ,0,A17),(test_output!I:I="neg")*(test_output!H:H="not")))</f>
        <v>0.94392523364485981</v>
      </c>
      <c r="G17" cm="1">
        <f t="array" ref="G17">AVERAGE(_xlfn._xlws.FILTER(INDEX(test_output!K:FZ,0,A17),(test_output!I:I="intens")*(test_output!H:H="not")))</f>
        <v>0.61682242990654201</v>
      </c>
      <c r="H17" cm="1">
        <f t="array" ref="H17">AVERAGE(_xlfn._xlws.FILTER(INDEX(test_output!K:FZ,0,A17),(test_output!I:I="neg")*(test_output!H:H="antonym")))</f>
        <v>0.89473684210526316</v>
      </c>
      <c r="I17" cm="1">
        <f t="array" ref="I17">AVERAGE(_xlfn._xlws.FILTER(INDEX(test_output!K:FZ,0,A17),(test_output!I:I="intens")*(test_output!H:H="antonym")))</f>
        <v>0.57894736842105265</v>
      </c>
    </row>
    <row r="18" spans="1:9" x14ac:dyDescent="0.35">
      <c r="A18">
        <f t="shared" si="1"/>
        <v>51</v>
      </c>
      <c r="B18" t="str" cm="1">
        <f t="array" ref="B18">LEFT(INDEX(test_output!K:FU,1,A18),LEN(INDEX(test_output!K:FU,1,A18))-4)</f>
        <v>Llama-3.3-70B-Instruct M2</v>
      </c>
      <c r="C18">
        <f>AVERAGE(INDEX(test_output!K:FZ,0,A18))</f>
        <v>0.80078125</v>
      </c>
      <c r="D18" cm="1">
        <f t="array" ref="D18">AVERAGE(_xlfn._xlws.FILTER(INDEX(test_output!K:FZ,0,A18),test_output!I:I="neg"))</f>
        <v>0.96875</v>
      </c>
      <c r="E18" cm="1">
        <f t="array" ref="E18">AVERAGE(_xlfn._xlws.FILTER(INDEX(test_output!K:FZ,0,A18),test_output!I:I="intens"))</f>
        <v>0.6328125</v>
      </c>
      <c r="F18" cm="1">
        <f t="array" ref="F18">AVERAGE(_xlfn._xlws.FILTER(INDEX(test_output!K:FZ,0,A18),(test_output!I:I="neg")*(test_output!H:H="not")))</f>
        <v>0.98130841121495327</v>
      </c>
      <c r="G18" cm="1">
        <f t="array" ref="G18">AVERAGE(_xlfn._xlws.FILTER(INDEX(test_output!K:FZ,0,A18),(test_output!I:I="intens")*(test_output!H:H="not")))</f>
        <v>0.64485981308411211</v>
      </c>
      <c r="H18" cm="1">
        <f t="array" ref="H18">AVERAGE(_xlfn._xlws.FILTER(INDEX(test_output!K:FZ,0,A18),(test_output!I:I="neg")*(test_output!H:H="antonym")))</f>
        <v>0.89473684210526316</v>
      </c>
      <c r="I18" cm="1">
        <f t="array" ref="I18">AVERAGE(_xlfn._xlws.FILTER(INDEX(test_output!K:FZ,0,A18),(test_output!I:I="intens")*(test_output!H:H="antonym")))</f>
        <v>0.52631578947368418</v>
      </c>
    </row>
    <row r="19" spans="1:9" x14ac:dyDescent="0.35">
      <c r="A19">
        <f t="shared" si="1"/>
        <v>54</v>
      </c>
      <c r="B19" t="str" cm="1">
        <f t="array" ref="B19">LEFT(INDEX(test_output!K:FU,1,A19),LEN(INDEX(test_output!K:FU,1,A19))-4)</f>
        <v>Llama-3.3-70B-Instruct M3</v>
      </c>
      <c r="C19">
        <f>AVERAGE(INDEX(test_output!K:FZ,0,A19))</f>
        <v>0.765625</v>
      </c>
      <c r="D19" cm="1">
        <f t="array" ref="D19">AVERAGE(_xlfn._xlws.FILTER(INDEX(test_output!K:FZ,0,A19),test_output!I:I="neg"))</f>
        <v>0.9765625</v>
      </c>
      <c r="E19" cm="1">
        <f t="array" ref="E19">AVERAGE(_xlfn._xlws.FILTER(INDEX(test_output!K:FZ,0,A19),test_output!I:I="intens"))</f>
        <v>0.5546875</v>
      </c>
      <c r="F19" cm="1">
        <f t="array" ref="F19">AVERAGE(_xlfn._xlws.FILTER(INDEX(test_output!K:FZ,0,A19),(test_output!I:I="neg")*(test_output!H:H="not")))</f>
        <v>0.98130841121495327</v>
      </c>
      <c r="G19" cm="1">
        <f t="array" ref="G19">AVERAGE(_xlfn._xlws.FILTER(INDEX(test_output!K:FZ,0,A19),(test_output!I:I="intens")*(test_output!H:H="not")))</f>
        <v>0.57009345794392519</v>
      </c>
      <c r="H19" cm="1">
        <f t="array" ref="H19">AVERAGE(_xlfn._xlws.FILTER(INDEX(test_output!K:FZ,0,A19),(test_output!I:I="neg")*(test_output!H:H="antonym")))</f>
        <v>0.94736842105263153</v>
      </c>
      <c r="I19" cm="1">
        <f t="array" ref="I19">AVERAGE(_xlfn._xlws.FILTER(INDEX(test_output!K:FZ,0,A19),(test_output!I:I="intens")*(test_output!H:H="antonym")))</f>
        <v>0.42105263157894735</v>
      </c>
    </row>
    <row r="20" spans="1:9" x14ac:dyDescent="0.35">
      <c r="A20">
        <f t="shared" si="1"/>
        <v>57</v>
      </c>
      <c r="B20" t="str" cm="1">
        <f t="array" ref="B20">LEFT(INDEX(test_output!K:FU,1,A20),LEN(INDEX(test_output!K:FU,1,A20))-4)</f>
        <v>Llama-3.3-70B-Instruct M4</v>
      </c>
      <c r="C20">
        <f>AVERAGE(INDEX(test_output!K:FZ,0,A20))</f>
        <v>0.68359375</v>
      </c>
      <c r="D20" cm="1">
        <f t="array" ref="D20">AVERAGE(_xlfn._xlws.FILTER(INDEX(test_output!K:FZ,0,A20),test_output!I:I="neg"))</f>
        <v>0.9296875</v>
      </c>
      <c r="E20" cm="1">
        <f t="array" ref="E20">AVERAGE(_xlfn._xlws.FILTER(INDEX(test_output!K:FZ,0,A20),test_output!I:I="intens"))</f>
        <v>0.4375</v>
      </c>
      <c r="F20" cm="1">
        <f t="array" ref="F20">AVERAGE(_xlfn._xlws.FILTER(INDEX(test_output!K:FZ,0,A20),(test_output!I:I="neg")*(test_output!H:H="not")))</f>
        <v>0.94392523364485981</v>
      </c>
      <c r="G20" cm="1">
        <f t="array" ref="G20">AVERAGE(_xlfn._xlws.FILTER(INDEX(test_output!K:FZ,0,A20),(test_output!I:I="intens")*(test_output!H:H="not")))</f>
        <v>0.44859813084112149</v>
      </c>
      <c r="H20" cm="1">
        <f t="array" ref="H20">AVERAGE(_xlfn._xlws.FILTER(INDEX(test_output!K:FZ,0,A20),(test_output!I:I="neg")*(test_output!H:H="antonym")))</f>
        <v>0.84210526315789469</v>
      </c>
      <c r="I20" cm="1">
        <f t="array" ref="I20">AVERAGE(_xlfn._xlws.FILTER(INDEX(test_output!K:FZ,0,A20),(test_output!I:I="intens")*(test_output!H:H="antonym")))</f>
        <v>0.36842105263157893</v>
      </c>
    </row>
    <row r="21" spans="1:9" x14ac:dyDescent="0.35">
      <c r="A21">
        <f t="shared" si="1"/>
        <v>60</v>
      </c>
      <c r="B21" t="str" cm="1">
        <f t="array" ref="B21">LEFT(INDEX(test_output!K:FU,1,A21),LEN(INDEX(test_output!K:FU,1,A21))-4)</f>
        <v>Llama-3.3-70B-Instruct M5</v>
      </c>
      <c r="C21">
        <f>AVERAGE(INDEX(test_output!K:FZ,0,A21))</f>
        <v>0.55078125</v>
      </c>
      <c r="D21" cm="1">
        <f t="array" ref="D21">AVERAGE(_xlfn._xlws.FILTER(INDEX(test_output!K:FZ,0,A21),test_output!I:I="neg"))</f>
        <v>0.921875</v>
      </c>
      <c r="E21" cm="1">
        <f t="array" ref="E21">AVERAGE(_xlfn._xlws.FILTER(INDEX(test_output!K:FZ,0,A21),test_output!I:I="intens"))</f>
        <v>0.1796875</v>
      </c>
      <c r="F21" cm="1">
        <f t="array" ref="F21">AVERAGE(_xlfn._xlws.FILTER(INDEX(test_output!K:FZ,0,A21),(test_output!I:I="neg")*(test_output!H:H="not")))</f>
        <v>0.92523364485981308</v>
      </c>
      <c r="G21" cm="1">
        <f t="array" ref="G21">AVERAGE(_xlfn._xlws.FILTER(INDEX(test_output!K:FZ,0,A21),(test_output!I:I="intens")*(test_output!H:H="not")))</f>
        <v>0.18691588785046728</v>
      </c>
      <c r="H21" cm="1">
        <f t="array" ref="H21">AVERAGE(_xlfn._xlws.FILTER(INDEX(test_output!K:FZ,0,A21),(test_output!I:I="neg")*(test_output!H:H="antonym")))</f>
        <v>0.89473684210526316</v>
      </c>
      <c r="I21" cm="1">
        <f t="array" ref="I21">AVERAGE(_xlfn._xlws.FILTER(INDEX(test_output!K:FZ,0,A21),(test_output!I:I="intens")*(test_output!H:H="antonym")))</f>
        <v>0.15789473684210525</v>
      </c>
    </row>
    <row r="22" spans="1:9" x14ac:dyDescent="0.35">
      <c r="A22">
        <f t="shared" si="1"/>
        <v>63</v>
      </c>
      <c r="B22" t="e" cm="1">
        <f t="array" ref="B22">LEFT(INDEX(test_output!K:FU,1,A22),LEN(INDEX(test_output!K:FU,1,A22))-4)</f>
        <v>#VALUE!</v>
      </c>
      <c r="C22" t="e">
        <f>AVERAGE(INDEX(test_output!K:FT,0,A22))</f>
        <v>#DIV/0!</v>
      </c>
      <c r="D22" t="e" cm="1">
        <f t="array" ref="D22">AVERAGE(_xlfn._xlws.FILTER(INDEX(test_output!K:FT,0,A22),[1]train_xl!$I:$I="met"))</f>
        <v>#DIV/0!</v>
      </c>
      <c r="E22" t="e" cm="1">
        <f t="array" ref="E22">AVERAGE(_xlfn._xlws.FILTER(INDEX(test_output!K:FT,0,A22),[1]train_xl!$I:$I="sim"))</f>
        <v>#DIV/0!</v>
      </c>
      <c r="F22" t="e" cm="1" vm="1">
        <f t="array" ref="F22">AVERAGE(_xlfn._xlws.FILTER(INDEX(test_output!K:FT,0,A22),[1]train_xl!$Y:$Y="not neg pair"))</f>
        <v>#VALUE!</v>
      </c>
      <c r="G22" t="e" cm="1" vm="1">
        <f t="array" ref="G22">AVERAGE(_xlfn._xlws.FILTER(INDEX(test_output!K:FT,0,A22),[1]train_xl!$Z:$Z=1))</f>
        <v>#VALUE!</v>
      </c>
      <c r="H22" t="e" cm="1" vm="1">
        <f t="array" ref="H22">AVERAGE(_xlfn._xlws.FILTER(INDEX(test_output!K:FT,0,A22),[1]train_xl!$AA:$AA="neg"))</f>
        <v>#VALUE!</v>
      </c>
      <c r="I22" t="e" cm="1" vm="1">
        <f t="array" ref="I22">AVERAGE(_xlfn._xlws.FILTER(INDEX(test_output!K:FT,0,A22),[1]train_xl!$AA:$AA="intens"))</f>
        <v>#VALUE!</v>
      </c>
    </row>
    <row r="23" spans="1:9" x14ac:dyDescent="0.35">
      <c r="A23">
        <f t="shared" si="1"/>
        <v>66</v>
      </c>
      <c r="B23" t="e" cm="1">
        <f t="array" ref="B23">LEFT(INDEX(test_output!K:FU,1,A23),LEN(INDEX(test_output!K:FU,1,A23))-4)</f>
        <v>#VALUE!</v>
      </c>
      <c r="C23" t="e">
        <f>AVERAGE(INDEX(test_output!K:FT,0,A23))</f>
        <v>#DIV/0!</v>
      </c>
      <c r="D23" t="e" cm="1">
        <f t="array" ref="D23">AVERAGE(_xlfn._xlws.FILTER(INDEX(test_output!K:FT,0,A23),[1]train_xl!$I:$I="met"))</f>
        <v>#DIV/0!</v>
      </c>
      <c r="E23" t="e" cm="1">
        <f t="array" ref="E23">AVERAGE(_xlfn._xlws.FILTER(INDEX(test_output!K:FT,0,A23),[1]train_xl!$I:$I="sim"))</f>
        <v>#DIV/0!</v>
      </c>
      <c r="F23" t="e" cm="1" vm="1">
        <f t="array" ref="F23">AVERAGE(_xlfn._xlws.FILTER(INDEX(test_output!K:FT,0,A23),[1]train_xl!$Y:$Y="not neg pair"))</f>
        <v>#VALUE!</v>
      </c>
      <c r="G23" t="e" cm="1" vm="1">
        <f t="array" ref="G23">AVERAGE(_xlfn._xlws.FILTER(INDEX(test_output!K:FT,0,A23),[1]train_xl!$Z:$Z=1))</f>
        <v>#VALUE!</v>
      </c>
      <c r="H23" t="e" cm="1" vm="1">
        <f t="array" ref="H23">AVERAGE(_xlfn._xlws.FILTER(INDEX(test_output!K:FT,0,A23),[1]train_xl!$AA:$AA="neg"))</f>
        <v>#VALUE!</v>
      </c>
      <c r="I23" t="e" cm="1" vm="1">
        <f t="array" ref="I23">AVERAGE(_xlfn._xlws.FILTER(INDEX(test_output!K:FT,0,A23),[1]train_xl!$AA:$AA="intens"))</f>
        <v>#VALUE!</v>
      </c>
    </row>
    <row r="24" spans="1:9" x14ac:dyDescent="0.35">
      <c r="A24">
        <f t="shared" si="1"/>
        <v>69</v>
      </c>
      <c r="B24" t="e" cm="1">
        <f t="array" ref="B24">LEFT(INDEX(test_output!K:FU,1,A24),LEN(INDEX(test_output!K:FU,1,A24))-4)</f>
        <v>#VALUE!</v>
      </c>
      <c r="C24" t="e">
        <f>AVERAGE(INDEX(test_output!K:FT,0,A24))</f>
        <v>#DIV/0!</v>
      </c>
      <c r="D24" t="e" cm="1">
        <f t="array" ref="D24">AVERAGE(_xlfn._xlws.FILTER(INDEX(test_output!K:FT,0,A24),[1]train_xl!$I:$I="met"))</f>
        <v>#DIV/0!</v>
      </c>
      <c r="E24" t="e" cm="1">
        <f t="array" ref="E24">AVERAGE(_xlfn._xlws.FILTER(INDEX(test_output!K:FT,0,A24),[1]train_xl!$I:$I="sim"))</f>
        <v>#DIV/0!</v>
      </c>
      <c r="F24" t="e" cm="1" vm="1">
        <f t="array" ref="F24">AVERAGE(_xlfn._xlws.FILTER(INDEX(test_output!K:FT,0,A24),[1]train_xl!$Y:$Y="not neg pair"))</f>
        <v>#VALUE!</v>
      </c>
      <c r="G24" t="e" cm="1" vm="1">
        <f t="array" ref="G24">AVERAGE(_xlfn._xlws.FILTER(INDEX(test_output!K:FT,0,A24),[1]train_xl!$Z:$Z=1))</f>
        <v>#VALUE!</v>
      </c>
      <c r="H24" t="e" cm="1" vm="1">
        <f t="array" ref="H24">AVERAGE(_xlfn._xlws.FILTER(INDEX(test_output!K:FT,0,A24),[1]train_xl!$AA:$AA="neg"))</f>
        <v>#VALUE!</v>
      </c>
      <c r="I24" t="e" cm="1" vm="1">
        <f t="array" ref="I24">AVERAGE(_xlfn._xlws.FILTER(INDEX(test_output!K:FT,0,A24),[1]train_xl!$AA:$AA="intens"))</f>
        <v>#VALUE!</v>
      </c>
    </row>
    <row r="25" spans="1:9" x14ac:dyDescent="0.35">
      <c r="A25">
        <f t="shared" si="1"/>
        <v>72</v>
      </c>
      <c r="B25" t="e" cm="1">
        <f t="array" ref="B25">LEFT(INDEX(test_output!K:FU,1,A25),LEN(INDEX(test_output!K:FU,1,A25))-4)</f>
        <v>#VALUE!</v>
      </c>
      <c r="C25" t="e">
        <f>AVERAGE(INDEX(test_output!K:FT,0,A25))</f>
        <v>#DIV/0!</v>
      </c>
      <c r="D25" t="e" cm="1">
        <f t="array" ref="D25">AVERAGE(_xlfn._xlws.FILTER(INDEX(test_output!K:FT,0,A25),[1]train_xl!$I:$I="met"))</f>
        <v>#DIV/0!</v>
      </c>
      <c r="E25" t="e" cm="1">
        <f t="array" ref="E25">AVERAGE(_xlfn._xlws.FILTER(INDEX(test_output!K:FT,0,A25),[1]train_xl!$I:$I="sim"))</f>
        <v>#DIV/0!</v>
      </c>
      <c r="F25" t="e" cm="1" vm="1">
        <f t="array" ref="F25">AVERAGE(_xlfn._xlws.FILTER(INDEX(test_output!K:FT,0,A25),[1]train_xl!$Y:$Y="not neg pair"))</f>
        <v>#VALUE!</v>
      </c>
      <c r="G25" t="e" cm="1" vm="1">
        <f t="array" ref="G25">AVERAGE(_xlfn._xlws.FILTER(INDEX(test_output!K:FT,0,A25),[1]train_xl!$Z:$Z=1))</f>
        <v>#VALUE!</v>
      </c>
      <c r="H25" t="e" cm="1" vm="1">
        <f t="array" ref="H25">AVERAGE(_xlfn._xlws.FILTER(INDEX(test_output!K:FT,0,A25),[1]train_xl!$AA:$AA="neg"))</f>
        <v>#VALUE!</v>
      </c>
      <c r="I25" t="e" cm="1" vm="1">
        <f t="array" ref="I25">AVERAGE(_xlfn._xlws.FILTER(INDEX(test_output!K:FT,0,A25),[1]train_xl!$AA:$AA="intens"))</f>
        <v>#VALUE!</v>
      </c>
    </row>
    <row r="26" spans="1:9" x14ac:dyDescent="0.35">
      <c r="A26">
        <f t="shared" si="1"/>
        <v>75</v>
      </c>
      <c r="B26" t="e" cm="1">
        <f t="array" ref="B26">LEFT(INDEX(test_output!K:FU,1,A26),LEN(INDEX(test_output!K:FU,1,A26))-4)</f>
        <v>#VALUE!</v>
      </c>
      <c r="C26" t="e">
        <f>AVERAGE(INDEX(test_output!K:FT,0,A26))</f>
        <v>#DIV/0!</v>
      </c>
      <c r="D26" t="e" cm="1">
        <f t="array" ref="D26">AVERAGE(_xlfn._xlws.FILTER(INDEX(test_output!K:FT,0,A26),[1]train_xl!$I:$I="met"))</f>
        <v>#DIV/0!</v>
      </c>
      <c r="E26" t="e" cm="1">
        <f t="array" ref="E26">AVERAGE(_xlfn._xlws.FILTER(INDEX(test_output!K:FT,0,A26),[1]train_xl!$I:$I="sim"))</f>
        <v>#DIV/0!</v>
      </c>
      <c r="F26" t="e" cm="1" vm="1">
        <f t="array" ref="F26">AVERAGE(_xlfn._xlws.FILTER(INDEX(test_output!K:FT,0,A26),[1]train_xl!$Y:$Y="not neg pair"))</f>
        <v>#VALUE!</v>
      </c>
      <c r="G26" t="e" cm="1" vm="1">
        <f t="array" ref="G26">AVERAGE(_xlfn._xlws.FILTER(INDEX(test_output!K:FT,0,A26),[1]train_xl!$Z:$Z=1))</f>
        <v>#VALUE!</v>
      </c>
      <c r="H26" t="e" cm="1" vm="1">
        <f t="array" ref="H26">AVERAGE(_xlfn._xlws.FILTER(INDEX(test_output!K:FT,0,A26),[1]train_xl!$AA:$AA="neg"))</f>
        <v>#VALUE!</v>
      </c>
      <c r="I26" t="e" cm="1" vm="1">
        <f t="array" ref="I26">AVERAGE(_xlfn._xlws.FILTER(INDEX(test_output!K:FT,0,A26),[1]train_xl!$AA:$AA="intens"))</f>
        <v>#VALUE!</v>
      </c>
    </row>
    <row r="27" spans="1:9" x14ac:dyDescent="0.35">
      <c r="A27">
        <f t="shared" si="1"/>
        <v>78</v>
      </c>
      <c r="B27" t="e" cm="1">
        <f t="array" ref="B27">LEFT(INDEX(test_output!K:FU,1,A27),LEN(INDEX(test_output!K:FU,1,A27))-4)</f>
        <v>#VALUE!</v>
      </c>
      <c r="C27" t="e">
        <f>AVERAGE(INDEX(test_output!K:FT,0,A27))</f>
        <v>#DIV/0!</v>
      </c>
      <c r="D27" t="e" cm="1">
        <f t="array" ref="D27">AVERAGE(_xlfn._xlws.FILTER(INDEX(test_output!K:FT,0,A27),[1]train_xl!$I:$I="met"))</f>
        <v>#DIV/0!</v>
      </c>
      <c r="E27" t="e" cm="1">
        <f t="array" ref="E27">AVERAGE(_xlfn._xlws.FILTER(INDEX(test_output!K:FT,0,A27),[1]train_xl!$I:$I="sim"))</f>
        <v>#DIV/0!</v>
      </c>
      <c r="F27" t="e" cm="1" vm="1">
        <f t="array" ref="F27">AVERAGE(_xlfn._xlws.FILTER(INDEX(test_output!K:FT,0,A27),[1]train_xl!$Y:$Y="not neg pair"))</f>
        <v>#VALUE!</v>
      </c>
      <c r="G27" t="e" cm="1" vm="1">
        <f t="array" ref="G27">AVERAGE(_xlfn._xlws.FILTER(INDEX(test_output!K:FT,0,A27),[1]train_xl!$Z:$Z=1))</f>
        <v>#VALUE!</v>
      </c>
      <c r="H27" t="e" cm="1" vm="1">
        <f t="array" ref="H27">AVERAGE(_xlfn._xlws.FILTER(INDEX(test_output!K:FT,0,A27),[1]train_xl!$AA:$AA="neg"))</f>
        <v>#VALUE!</v>
      </c>
      <c r="I27" t="e" cm="1" vm="1">
        <f t="array" ref="I27">AVERAGE(_xlfn._xlws.FILTER(INDEX(test_output!K:FT,0,A27),[1]train_xl!$AA:$AA="intens"))</f>
        <v>#VALUE!</v>
      </c>
    </row>
    <row r="28" spans="1:9" x14ac:dyDescent="0.35">
      <c r="A28">
        <f t="shared" si="1"/>
        <v>81</v>
      </c>
      <c r="B28" t="e" cm="1">
        <f t="array" ref="B28">LEFT(INDEX(test_output!K:FU,1,A28),LEN(INDEX(test_output!K:FU,1,A28))-4)</f>
        <v>#VALUE!</v>
      </c>
      <c r="C28" t="e">
        <f>AVERAGE(INDEX(test_output!K:FT,0,A28))</f>
        <v>#DIV/0!</v>
      </c>
      <c r="D28" t="e" cm="1">
        <f t="array" ref="D28">AVERAGE(_xlfn._xlws.FILTER(INDEX(test_output!K:FT,0,A28),[1]train_xl!$I:$I="met"))</f>
        <v>#DIV/0!</v>
      </c>
      <c r="E28" t="e" cm="1">
        <f t="array" ref="E28">AVERAGE(_xlfn._xlws.FILTER(INDEX(test_output!K:FT,0,A28),[1]train_xl!$I:$I="sim"))</f>
        <v>#DIV/0!</v>
      </c>
      <c r="F28" t="e" cm="1" vm="1">
        <f t="array" ref="F28">AVERAGE(_xlfn._xlws.FILTER(INDEX(test_output!K:FT,0,A28),[1]train_xl!$Y:$Y="not neg pair"))</f>
        <v>#VALUE!</v>
      </c>
      <c r="G28" t="e" cm="1" vm="1">
        <f t="array" ref="G28">AVERAGE(_xlfn._xlws.FILTER(INDEX(test_output!K:FT,0,A28),[1]train_xl!$Z:$Z=1))</f>
        <v>#VALUE!</v>
      </c>
      <c r="H28" t="e" cm="1" vm="1">
        <f t="array" ref="H28">AVERAGE(_xlfn._xlws.FILTER(INDEX(test_output!K:FT,0,A28),[1]train_xl!$AA:$AA="neg"))</f>
        <v>#VALUE!</v>
      </c>
      <c r="I28" t="e" cm="1" vm="1">
        <f t="array" ref="I28">AVERAGE(_xlfn._xlws.FILTER(INDEX(test_output!K:FT,0,A28),[1]train_xl!$AA:$AA="intens"))</f>
        <v>#VALUE!</v>
      </c>
    </row>
    <row r="29" spans="1:9" x14ac:dyDescent="0.35">
      <c r="A29">
        <f t="shared" si="1"/>
        <v>84</v>
      </c>
      <c r="B29" t="e" cm="1">
        <f t="array" ref="B29">LEFT(INDEX(test_output!K:FU,1,A29),LEN(INDEX(test_output!K:FU,1,A29))-4)</f>
        <v>#VALUE!</v>
      </c>
      <c r="C29" t="e">
        <f>AVERAGE(INDEX(test_output!K:FT,0,A29))</f>
        <v>#DIV/0!</v>
      </c>
      <c r="D29" t="e" cm="1">
        <f t="array" ref="D29">AVERAGE(_xlfn._xlws.FILTER(INDEX(test_output!K:FT,0,A29),[1]train_xl!$I:$I="met"))</f>
        <v>#DIV/0!</v>
      </c>
      <c r="E29" t="e" cm="1">
        <f t="array" ref="E29">AVERAGE(_xlfn._xlws.FILTER(INDEX(test_output!K:FT,0,A29),[1]train_xl!$I:$I="sim"))</f>
        <v>#DIV/0!</v>
      </c>
      <c r="F29" t="e" cm="1" vm="1">
        <f t="array" ref="F29">AVERAGE(_xlfn._xlws.FILTER(INDEX(test_output!K:FT,0,A29),[1]train_xl!$Y:$Y="not neg pair"))</f>
        <v>#VALUE!</v>
      </c>
      <c r="G29" t="e" cm="1" vm="1">
        <f t="array" ref="G29">AVERAGE(_xlfn._xlws.FILTER(INDEX(test_output!K:FT,0,A29),[1]train_xl!$Z:$Z=1))</f>
        <v>#VALUE!</v>
      </c>
      <c r="H29" t="e" cm="1" vm="1">
        <f t="array" ref="H29">AVERAGE(_xlfn._xlws.FILTER(INDEX(test_output!K:FT,0,A29),[1]train_xl!$AA:$AA="neg"))</f>
        <v>#VALUE!</v>
      </c>
      <c r="I29" t="e" cm="1" vm="1">
        <f t="array" ref="I29">AVERAGE(_xlfn._xlws.FILTER(INDEX(test_output!K:FT,0,A29),[1]train_xl!$AA:$AA="intens"))</f>
        <v>#VALUE!</v>
      </c>
    </row>
    <row r="30" spans="1:9" x14ac:dyDescent="0.35">
      <c r="A30">
        <f t="shared" si="1"/>
        <v>87</v>
      </c>
      <c r="B30" t="e" cm="1">
        <f t="array" ref="B30">LEFT(INDEX(test_output!K:FU,1,A30),LEN(INDEX(test_output!K:FU,1,A30))-4)</f>
        <v>#VALUE!</v>
      </c>
      <c r="C30" t="e">
        <f>AVERAGE(INDEX(test_output!K:FT,0,A30))</f>
        <v>#DIV/0!</v>
      </c>
      <c r="D30" t="e" cm="1">
        <f t="array" ref="D30">AVERAGE(_xlfn._xlws.FILTER(INDEX(test_output!K:FT,0,A30),[1]train_xl!$I:$I="met"))</f>
        <v>#DIV/0!</v>
      </c>
      <c r="E30" t="e" cm="1">
        <f t="array" ref="E30">AVERAGE(_xlfn._xlws.FILTER(INDEX(test_output!K:FT,0,A30),[1]train_xl!$I:$I="sim"))</f>
        <v>#DIV/0!</v>
      </c>
      <c r="F30" t="e" cm="1" vm="1">
        <f t="array" ref="F30">AVERAGE(_xlfn._xlws.FILTER(INDEX(test_output!K:FT,0,A30),[1]train_xl!$Y:$Y="not neg pair"))</f>
        <v>#VALUE!</v>
      </c>
      <c r="G30" t="e" cm="1" vm="1">
        <f t="array" ref="G30">AVERAGE(_xlfn._xlws.FILTER(INDEX(test_output!K:FT,0,A30),[1]train_xl!$Z:$Z=1))</f>
        <v>#VALUE!</v>
      </c>
      <c r="H30" t="e" cm="1" vm="1">
        <f t="array" ref="H30">AVERAGE(_xlfn._xlws.FILTER(INDEX(test_output!K:FT,0,A30),[1]train_xl!$AA:$AA="neg"))</f>
        <v>#VALUE!</v>
      </c>
      <c r="I30" t="e" cm="1" vm="1">
        <f t="array" ref="I30">AVERAGE(_xlfn._xlws.FILTER(INDEX(test_output!K:FT,0,A30),[1]train_xl!$AA:$AA="intens"))</f>
        <v>#VALUE!</v>
      </c>
    </row>
    <row r="31" spans="1:9" x14ac:dyDescent="0.35">
      <c r="A31">
        <f t="shared" si="1"/>
        <v>90</v>
      </c>
      <c r="B31" t="e" cm="1">
        <f t="array" ref="B31">LEFT(INDEX(test_output!K:FU,1,A31),LEN(INDEX(test_output!K:FU,1,A31))-4)</f>
        <v>#VALUE!</v>
      </c>
      <c r="C31" t="e">
        <f>AVERAGE(INDEX(test_output!K:FT,0,A31))</f>
        <v>#DIV/0!</v>
      </c>
      <c r="D31" t="e" cm="1">
        <f t="array" ref="D31">AVERAGE(_xlfn._xlws.FILTER(INDEX(test_output!K:FT,0,A31),[1]train_xl!$I:$I="met"))</f>
        <v>#DIV/0!</v>
      </c>
      <c r="E31" t="e" cm="1">
        <f t="array" ref="E31">AVERAGE(_xlfn._xlws.FILTER(INDEX(test_output!K:FT,0,A31),[1]train_xl!$I:$I="sim"))</f>
        <v>#DIV/0!</v>
      </c>
      <c r="F31" t="e" cm="1" vm="1">
        <f t="array" ref="F31">AVERAGE(_xlfn._xlws.FILTER(INDEX(test_output!K:FT,0,A31),[1]train_xl!$Y:$Y="not neg pair"))</f>
        <v>#VALUE!</v>
      </c>
      <c r="G31" t="e" cm="1" vm="1">
        <f t="array" ref="G31">AVERAGE(_xlfn._xlws.FILTER(INDEX(test_output!K:FT,0,A31),[1]train_xl!$Z:$Z=1))</f>
        <v>#VALUE!</v>
      </c>
      <c r="H31" t="e" cm="1" vm="1">
        <f t="array" ref="H31">AVERAGE(_xlfn._xlws.FILTER(INDEX(test_output!K:FT,0,A31),[1]train_xl!$AA:$AA="neg"))</f>
        <v>#VALUE!</v>
      </c>
      <c r="I31" t="e" cm="1" vm="1">
        <f t="array" ref="I31">AVERAGE(_xlfn._xlws.FILTER(INDEX(test_output!K:FT,0,A31),[1]train_xl!$AA:$AA="intens"))</f>
        <v>#VALUE!</v>
      </c>
    </row>
    <row r="32" spans="1:9" x14ac:dyDescent="0.35">
      <c r="A32">
        <f t="shared" si="1"/>
        <v>93</v>
      </c>
      <c r="B32" t="e" cm="1">
        <f t="array" ref="B32">LEFT(INDEX(test_output!K:FU,1,A32),LEN(INDEX(test_output!K:FU,1,A32))-4)</f>
        <v>#VALUE!</v>
      </c>
      <c r="C32" t="e">
        <f>AVERAGE(INDEX(test_output!K:FT,0,A32))</f>
        <v>#DIV/0!</v>
      </c>
      <c r="D32" t="e" cm="1">
        <f t="array" ref="D32">AVERAGE(_xlfn._xlws.FILTER(INDEX(test_output!K:FT,0,A32),[1]train_xl!$I:$I="met"))</f>
        <v>#DIV/0!</v>
      </c>
      <c r="E32" t="e" cm="1">
        <f t="array" ref="E32">AVERAGE(_xlfn._xlws.FILTER(INDEX(test_output!K:FT,0,A32),[1]train_xl!$I:$I="sim"))</f>
        <v>#DIV/0!</v>
      </c>
      <c r="F32" t="e" cm="1" vm="1">
        <f t="array" ref="F32">AVERAGE(_xlfn._xlws.FILTER(INDEX(test_output!K:FT,0,A32),[1]train_xl!$Y:$Y="not neg pair"))</f>
        <v>#VALUE!</v>
      </c>
      <c r="G32" t="e" cm="1" vm="1">
        <f t="array" ref="G32">AVERAGE(_xlfn._xlws.FILTER(INDEX(test_output!K:FT,0,A32),[1]train_xl!$Z:$Z=1))</f>
        <v>#VALUE!</v>
      </c>
      <c r="H32" t="e" cm="1" vm="1">
        <f t="array" ref="H32">AVERAGE(_xlfn._xlws.FILTER(INDEX(test_output!K:FT,0,A32),[1]train_xl!$AA:$AA="neg"))</f>
        <v>#VALUE!</v>
      </c>
      <c r="I32" t="e" cm="1" vm="1">
        <f t="array" ref="I32">AVERAGE(_xlfn._xlws.FILTER(INDEX(test_output!K:FT,0,A32),[1]train_xl!$AA:$AA="intens"))</f>
        <v>#VALUE!</v>
      </c>
    </row>
    <row r="33" spans="1:9" x14ac:dyDescent="0.35">
      <c r="A33">
        <f t="shared" si="1"/>
        <v>96</v>
      </c>
      <c r="B33" t="e" cm="1">
        <f t="array" ref="B33">LEFT(INDEX(test_output!K:FU,1,A33),LEN(INDEX(test_output!K:FU,1,A33))-4)</f>
        <v>#VALUE!</v>
      </c>
      <c r="C33" t="e">
        <f>AVERAGE(INDEX(test_output!K:FT,0,A33))</f>
        <v>#DIV/0!</v>
      </c>
      <c r="D33" t="e" cm="1">
        <f t="array" ref="D33">AVERAGE(_xlfn._xlws.FILTER(INDEX(test_output!K:FT,0,A33),[1]train_xl!$I:$I="met"))</f>
        <v>#DIV/0!</v>
      </c>
      <c r="E33" t="e" cm="1">
        <f t="array" ref="E33">AVERAGE(_xlfn._xlws.FILTER(INDEX(test_output!K:FT,0,A33),[1]train_xl!$I:$I="sim"))</f>
        <v>#DIV/0!</v>
      </c>
      <c r="F33" t="e" cm="1" vm="1">
        <f t="array" ref="F33">AVERAGE(_xlfn._xlws.FILTER(INDEX(test_output!K:FT,0,A33),[1]train_xl!$Y:$Y="not neg pair"))</f>
        <v>#VALUE!</v>
      </c>
      <c r="G33" t="e" cm="1" vm="1">
        <f t="array" ref="G33">AVERAGE(_xlfn._xlws.FILTER(INDEX(test_output!K:FT,0,A33),[1]train_xl!$Z:$Z=1))</f>
        <v>#VALUE!</v>
      </c>
      <c r="H33" t="e" cm="1" vm="1">
        <f t="array" ref="H33">AVERAGE(_xlfn._xlws.FILTER(INDEX(test_output!K:FT,0,A33),[1]train_xl!$AA:$AA="neg"))</f>
        <v>#VALUE!</v>
      </c>
      <c r="I33" t="e" cm="1" vm="1">
        <f t="array" ref="I33">AVERAGE(_xlfn._xlws.FILTER(INDEX(test_output!K:FT,0,A33),[1]train_xl!$AA:$AA="intens"))</f>
        <v>#VALUE!</v>
      </c>
    </row>
    <row r="34" spans="1:9" x14ac:dyDescent="0.35">
      <c r="A34">
        <f t="shared" si="1"/>
        <v>99</v>
      </c>
      <c r="B34" t="e" cm="1">
        <f t="array" ref="B34">LEFT(INDEX(test_output!K:FU,1,A34),LEN(INDEX(test_output!K:FU,1,A34))-4)</f>
        <v>#VALUE!</v>
      </c>
      <c r="C34" t="e">
        <f>AVERAGE(INDEX(test_output!K:FT,0,A34))</f>
        <v>#DIV/0!</v>
      </c>
      <c r="D34" t="e" cm="1">
        <f t="array" ref="D34">AVERAGE(_xlfn._xlws.FILTER(INDEX(test_output!K:FT,0,A34),[1]train_xl!$I:$I="met"))</f>
        <v>#DIV/0!</v>
      </c>
      <c r="E34" t="e" cm="1">
        <f t="array" ref="E34">AVERAGE(_xlfn._xlws.FILTER(INDEX(test_output!K:FT,0,A34),[1]train_xl!$I:$I="sim"))</f>
        <v>#DIV/0!</v>
      </c>
      <c r="F34" t="e" cm="1" vm="1">
        <f t="array" ref="F34">AVERAGE(_xlfn._xlws.FILTER(INDEX(test_output!K:FT,0,A34),[1]train_xl!$Y:$Y="not neg pair"))</f>
        <v>#VALUE!</v>
      </c>
      <c r="G34" t="e" cm="1" vm="1">
        <f t="array" ref="G34">AVERAGE(_xlfn._xlws.FILTER(INDEX(test_output!K:FT,0,A34),[1]train_xl!$Z:$Z=1))</f>
        <v>#VALUE!</v>
      </c>
      <c r="H34" t="e" cm="1" vm="1">
        <f t="array" ref="H34">AVERAGE(_xlfn._xlws.FILTER(INDEX(test_output!K:FT,0,A34),[1]train_xl!$AA:$AA="neg"))</f>
        <v>#VALUE!</v>
      </c>
      <c r="I34" t="e" cm="1" vm="1">
        <f t="array" ref="I34">AVERAGE(_xlfn._xlws.FILTER(INDEX(test_output!K:FT,0,A34),[1]train_xl!$AA:$AA="intens"))</f>
        <v>#VALUE!</v>
      </c>
    </row>
    <row r="35" spans="1:9" x14ac:dyDescent="0.35">
      <c r="A35">
        <f t="shared" si="1"/>
        <v>102</v>
      </c>
      <c r="B35" t="e" cm="1">
        <f t="array" ref="B35">LEFT(INDEX(test_output!K:FU,1,A35),LEN(INDEX(test_output!K:FU,1,A35))-4)</f>
        <v>#VALUE!</v>
      </c>
      <c r="C35" t="e">
        <f>AVERAGE(INDEX(test_output!K:FT,0,A35))</f>
        <v>#DIV/0!</v>
      </c>
      <c r="D35" t="e" cm="1">
        <f t="array" ref="D35">AVERAGE(_xlfn._xlws.FILTER(INDEX(test_output!K:FT,0,A35),[1]train_xl!$I:$I="met"))</f>
        <v>#DIV/0!</v>
      </c>
      <c r="E35" t="e" cm="1">
        <f t="array" ref="E35">AVERAGE(_xlfn._xlws.FILTER(INDEX(test_output!K:FT,0,A35),[1]train_xl!$I:$I="sim"))</f>
        <v>#DIV/0!</v>
      </c>
      <c r="F35" t="e" cm="1" vm="1">
        <f t="array" ref="F35">AVERAGE(_xlfn._xlws.FILTER(INDEX(test_output!K:FT,0,A35),[1]train_xl!$Y:$Y="not neg pair"))</f>
        <v>#VALUE!</v>
      </c>
      <c r="G35" t="e" cm="1" vm="1">
        <f t="array" ref="G35">AVERAGE(_xlfn._xlws.FILTER(INDEX(test_output!K:FT,0,A35),[1]train_xl!$Z:$Z=1))</f>
        <v>#VALUE!</v>
      </c>
      <c r="H35" t="e" cm="1" vm="1">
        <f t="array" ref="H35">AVERAGE(_xlfn._xlws.FILTER(INDEX(test_output!K:FT,0,A35),[1]train_xl!$AA:$AA="neg"))</f>
        <v>#VALUE!</v>
      </c>
      <c r="I35" t="e" cm="1" vm="1">
        <f t="array" ref="I35">AVERAGE(_xlfn._xlws.FILTER(INDEX(test_output!K:FT,0,A35),[1]train_xl!$AA:$AA="intens"))</f>
        <v>#VALUE!</v>
      </c>
    </row>
    <row r="36" spans="1:9" x14ac:dyDescent="0.35">
      <c r="A36">
        <f t="shared" si="1"/>
        <v>105</v>
      </c>
      <c r="B36" t="e" cm="1">
        <f t="array" ref="B36">LEFT(INDEX(test_output!K:FU,1,A36),LEN(INDEX(test_output!K:FU,1,A36))-4)</f>
        <v>#VALUE!</v>
      </c>
      <c r="C36" t="e">
        <f>AVERAGE(INDEX(test_output!K:FT,0,A36))</f>
        <v>#DIV/0!</v>
      </c>
      <c r="D36" t="e" cm="1">
        <f t="array" ref="D36">AVERAGE(_xlfn._xlws.FILTER(INDEX(test_output!K:FT,0,A36),[1]train_xl!$I:$I="met"))</f>
        <v>#DIV/0!</v>
      </c>
      <c r="E36" t="e" cm="1">
        <f t="array" ref="E36">AVERAGE(_xlfn._xlws.FILTER(INDEX(test_output!K:FT,0,A36),[1]train_xl!$I:$I="sim"))</f>
        <v>#DIV/0!</v>
      </c>
      <c r="F36" t="e" cm="1" vm="1">
        <f t="array" ref="F36">AVERAGE(_xlfn._xlws.FILTER(INDEX(test_output!K:FT,0,A36),[1]train_xl!$Y:$Y="not neg pair"))</f>
        <v>#VALUE!</v>
      </c>
      <c r="G36" t="e" cm="1" vm="1">
        <f t="array" ref="G36">AVERAGE(_xlfn._xlws.FILTER(INDEX(test_output!K:FT,0,A36),[1]train_xl!$Z:$Z=1))</f>
        <v>#VALUE!</v>
      </c>
      <c r="H36" t="e" cm="1" vm="1">
        <f t="array" ref="H36">AVERAGE(_xlfn._xlws.FILTER(INDEX(test_output!K:FT,0,A36),[1]train_xl!$AA:$AA="neg"))</f>
        <v>#VALUE!</v>
      </c>
      <c r="I36" t="e" cm="1" vm="1">
        <f t="array" ref="I36">AVERAGE(_xlfn._xlws.FILTER(INDEX(test_output!K:FT,0,A36),[1]train_xl!$AA:$AA="intens"))</f>
        <v>#VALUE!</v>
      </c>
    </row>
    <row r="37" spans="1:9" x14ac:dyDescent="0.35">
      <c r="A37">
        <f t="shared" si="1"/>
        <v>108</v>
      </c>
      <c r="B37" t="e" cm="1">
        <f t="array" ref="B37">LEFT(INDEX(test_output!K:FU,1,A37),LEN(INDEX(test_output!K:FU,1,A37))-4)</f>
        <v>#VALUE!</v>
      </c>
      <c r="C37" t="e">
        <f>AVERAGE(INDEX(test_output!K:FT,0,A37))</f>
        <v>#DIV/0!</v>
      </c>
      <c r="D37" t="e" cm="1">
        <f t="array" ref="D37">AVERAGE(_xlfn._xlws.FILTER(INDEX(test_output!K:FT,0,A37),[1]train_xl!$I:$I="met"))</f>
        <v>#DIV/0!</v>
      </c>
      <c r="E37" t="e" cm="1">
        <f t="array" ref="E37">AVERAGE(_xlfn._xlws.FILTER(INDEX(test_output!K:FT,0,A37),[1]train_xl!$I:$I="sim"))</f>
        <v>#DIV/0!</v>
      </c>
      <c r="F37" t="e" cm="1" vm="1">
        <f t="array" ref="F37">AVERAGE(_xlfn._xlws.FILTER(INDEX(test_output!K:FT,0,A37),[1]train_xl!$Y:$Y="not neg pair"))</f>
        <v>#VALUE!</v>
      </c>
      <c r="G37" t="e" cm="1" vm="1">
        <f t="array" ref="G37">AVERAGE(_xlfn._xlws.FILTER(INDEX(test_output!K:FT,0,A37),[1]train_xl!$Z:$Z=1))</f>
        <v>#VALUE!</v>
      </c>
      <c r="H37" t="e" cm="1" vm="1">
        <f t="array" ref="H37">AVERAGE(_xlfn._xlws.FILTER(INDEX(test_output!K:FT,0,A37),[1]train_xl!$AA:$AA="neg"))</f>
        <v>#VALUE!</v>
      </c>
      <c r="I37" t="e" cm="1" vm="1">
        <f t="array" ref="I37">AVERAGE(_xlfn._xlws.FILTER(INDEX(test_output!K:FT,0,A37),[1]train_xl!$AA:$AA="intens"))</f>
        <v>#VALUE!</v>
      </c>
    </row>
    <row r="38" spans="1:9" x14ac:dyDescent="0.35">
      <c r="A38">
        <f t="shared" si="1"/>
        <v>111</v>
      </c>
      <c r="B38" t="e" cm="1">
        <f t="array" ref="B38">LEFT(INDEX(test_output!K:FU,1,A38),LEN(INDEX(test_output!K:FU,1,A38))-4)</f>
        <v>#VALUE!</v>
      </c>
      <c r="C38" t="e">
        <f>AVERAGE(INDEX(test_output!K:FT,0,A38))</f>
        <v>#DIV/0!</v>
      </c>
      <c r="D38" t="e" cm="1">
        <f t="array" ref="D38">AVERAGE(_xlfn._xlws.FILTER(INDEX(test_output!K:FT,0,A38),[1]train_xl!$I:$I="met"))</f>
        <v>#DIV/0!</v>
      </c>
      <c r="E38" t="e" cm="1">
        <f t="array" ref="E38">AVERAGE(_xlfn._xlws.FILTER(INDEX(test_output!K:FT,0,A38),[1]train_xl!$I:$I="sim"))</f>
        <v>#DIV/0!</v>
      </c>
      <c r="F38" t="e" cm="1" vm="1">
        <f t="array" ref="F38">AVERAGE(_xlfn._xlws.FILTER(INDEX(test_output!K:FT,0,A38),[1]train_xl!$Y:$Y="not neg pair"))</f>
        <v>#VALUE!</v>
      </c>
      <c r="G38" t="e" cm="1" vm="1">
        <f t="array" ref="G38">AVERAGE(_xlfn._xlws.FILTER(INDEX(test_output!K:FT,0,A38),[1]train_xl!$Z:$Z=1))</f>
        <v>#VALUE!</v>
      </c>
      <c r="H38" t="e" cm="1" vm="1">
        <f t="array" ref="H38">AVERAGE(_xlfn._xlws.FILTER(INDEX(test_output!K:FT,0,A38),[1]train_xl!$AA:$AA="neg"))</f>
        <v>#VALUE!</v>
      </c>
      <c r="I38" t="e" cm="1" vm="1">
        <f t="array" ref="I38">AVERAGE(_xlfn._xlws.FILTER(INDEX(test_output!K:FT,0,A38),[1]train_xl!$AA:$AA="intens"))</f>
        <v>#VALUE!</v>
      </c>
    </row>
    <row r="39" spans="1:9" x14ac:dyDescent="0.35">
      <c r="A39">
        <f t="shared" si="1"/>
        <v>114</v>
      </c>
      <c r="B39" t="e" cm="1">
        <f t="array" ref="B39">LEFT(INDEX(test_output!K:FU,1,A39),LEN(INDEX(test_output!K:FU,1,A39))-4)</f>
        <v>#VALUE!</v>
      </c>
      <c r="C39" t="e">
        <f>AVERAGE(INDEX(test_output!K:FT,0,A39))</f>
        <v>#DIV/0!</v>
      </c>
      <c r="D39" t="e" cm="1">
        <f t="array" ref="D39">AVERAGE(_xlfn._xlws.FILTER(INDEX(test_output!K:FT,0,A39),[1]train_xl!$I:$I="met"))</f>
        <v>#DIV/0!</v>
      </c>
      <c r="E39" t="e" cm="1">
        <f t="array" ref="E39">AVERAGE(_xlfn._xlws.FILTER(INDEX(test_output!K:FT,0,A39),[1]train_xl!$I:$I="sim"))</f>
        <v>#DIV/0!</v>
      </c>
      <c r="F39" t="e" cm="1" vm="1">
        <f t="array" ref="F39">AVERAGE(_xlfn._xlws.FILTER(INDEX(test_output!K:FT,0,A39),[1]train_xl!$Y:$Y="not neg pair"))</f>
        <v>#VALUE!</v>
      </c>
      <c r="G39" t="e" cm="1" vm="1">
        <f t="array" ref="G39">AVERAGE(_xlfn._xlws.FILTER(INDEX(test_output!K:FT,0,A39),[1]train_xl!$Z:$Z=1))</f>
        <v>#VALUE!</v>
      </c>
      <c r="H39" t="e" cm="1" vm="1">
        <f t="array" ref="H39">AVERAGE(_xlfn._xlws.FILTER(INDEX(test_output!K:FT,0,A39),[1]train_xl!$AA:$AA="neg"))</f>
        <v>#VALUE!</v>
      </c>
      <c r="I39" t="e" cm="1" vm="1">
        <f t="array" ref="I39">AVERAGE(_xlfn._xlws.FILTER(INDEX(test_output!K:FT,0,A39),[1]train_xl!$AA:$AA="intens"))</f>
        <v>#VALUE!</v>
      </c>
    </row>
    <row r="40" spans="1:9" x14ac:dyDescent="0.35">
      <c r="A40">
        <f t="shared" si="1"/>
        <v>117</v>
      </c>
      <c r="B40" t="e" cm="1">
        <f t="array" ref="B40">LEFT(INDEX(test_output!K:FU,1,A40),LEN(INDEX(test_output!K:FU,1,A40))-4)</f>
        <v>#VALUE!</v>
      </c>
      <c r="C40" t="e">
        <f>AVERAGE(INDEX(test_output!K:FT,0,A40))</f>
        <v>#DIV/0!</v>
      </c>
      <c r="D40" t="e" cm="1">
        <f t="array" ref="D40">AVERAGE(_xlfn._xlws.FILTER(INDEX(test_output!K:FT,0,A40),[1]train_xl!$I:$I="met"))</f>
        <v>#DIV/0!</v>
      </c>
      <c r="E40" t="e" cm="1">
        <f t="array" ref="E40">AVERAGE(_xlfn._xlws.FILTER(INDEX(test_output!K:FT,0,A40),[1]train_xl!$I:$I="sim"))</f>
        <v>#DIV/0!</v>
      </c>
      <c r="F40" t="e" cm="1" vm="1">
        <f t="array" ref="F40">AVERAGE(_xlfn._xlws.FILTER(INDEX(test_output!K:FT,0,A40),[1]train_xl!$Y:$Y="not neg pair"))</f>
        <v>#VALUE!</v>
      </c>
      <c r="G40" t="e" cm="1" vm="1">
        <f t="array" ref="G40">AVERAGE(_xlfn._xlws.FILTER(INDEX(test_output!K:FT,0,A40),[1]train_xl!$Z:$Z=1))</f>
        <v>#VALUE!</v>
      </c>
      <c r="H40" t="e" cm="1" vm="1">
        <f t="array" ref="H40">AVERAGE(_xlfn._xlws.FILTER(INDEX(test_output!K:FT,0,A40),[1]train_xl!$AA:$AA="neg"))</f>
        <v>#VALUE!</v>
      </c>
      <c r="I40" t="e" cm="1" vm="1">
        <f t="array" ref="I40">AVERAGE(_xlfn._xlws.FILTER(INDEX(test_output!K:FT,0,A40),[1]train_xl!$AA:$AA="intens"))</f>
        <v>#VALUE!</v>
      </c>
    </row>
    <row r="41" spans="1:9" x14ac:dyDescent="0.35">
      <c r="A41">
        <f t="shared" si="1"/>
        <v>120</v>
      </c>
      <c r="B41" t="e" cm="1">
        <f t="array" ref="B41">LEFT(INDEX(test_output!K:FU,1,A41),LEN(INDEX(test_output!K:FU,1,A41))-4)</f>
        <v>#VALUE!</v>
      </c>
      <c r="C41" t="e">
        <f>AVERAGE(INDEX(test_output!K:FT,0,A41))</f>
        <v>#DIV/0!</v>
      </c>
      <c r="D41" t="e" cm="1">
        <f t="array" ref="D41">AVERAGE(_xlfn._xlws.FILTER(INDEX(test_output!K:FT,0,A41),[1]train_xl!$I:$I="met"))</f>
        <v>#DIV/0!</v>
      </c>
      <c r="E41" t="e" cm="1">
        <f t="array" ref="E41">AVERAGE(_xlfn._xlws.FILTER(INDEX(test_output!K:FT,0,A41),[1]train_xl!$I:$I="sim"))</f>
        <v>#DIV/0!</v>
      </c>
      <c r="F41" t="e" cm="1" vm="1">
        <f t="array" ref="F41">AVERAGE(_xlfn._xlws.FILTER(INDEX(test_output!K:FT,0,A41),[1]train_xl!$Y:$Y="not neg pair"))</f>
        <v>#VALUE!</v>
      </c>
      <c r="G41" t="e" cm="1" vm="1">
        <f t="array" ref="G41">AVERAGE(_xlfn._xlws.FILTER(INDEX(test_output!K:FT,0,A41),[1]train_xl!$Z:$Z=1))</f>
        <v>#VALUE!</v>
      </c>
      <c r="H41" t="e" cm="1" vm="1">
        <f t="array" ref="H41">AVERAGE(_xlfn._xlws.FILTER(INDEX(test_output!K:FT,0,A41),[1]train_xl!$AA:$AA="neg"))</f>
        <v>#VALUE!</v>
      </c>
      <c r="I41" t="e" cm="1" vm="1">
        <f t="array" ref="I41">AVERAGE(_xlfn._xlws.FILTER(INDEX(test_output!K:FT,0,A41),[1]train_xl!$AA:$AA="intens"))</f>
        <v>#VALUE!</v>
      </c>
    </row>
    <row r="42" spans="1:9" x14ac:dyDescent="0.35">
      <c r="A42">
        <f t="shared" si="1"/>
        <v>123</v>
      </c>
      <c r="B42" t="e" cm="1">
        <f t="array" ref="B42">LEFT(INDEX(test_output!K:FU,1,A42),LEN(INDEX(test_output!K:FU,1,A42))-4)</f>
        <v>#VALUE!</v>
      </c>
      <c r="C42" t="e">
        <f>AVERAGE(INDEX(test_output!K:FT,0,A42))</f>
        <v>#DIV/0!</v>
      </c>
      <c r="D42" t="e" cm="1">
        <f t="array" ref="D42">AVERAGE(_xlfn._xlws.FILTER(INDEX(test_output!K:FT,0,A42),[1]train_xl!$I:$I="met"))</f>
        <v>#DIV/0!</v>
      </c>
      <c r="E42" t="e" cm="1">
        <f t="array" ref="E42">AVERAGE(_xlfn._xlws.FILTER(INDEX(test_output!K:FT,0,A42),[1]train_xl!$I:$I="sim"))</f>
        <v>#DIV/0!</v>
      </c>
      <c r="F42" t="e" cm="1" vm="1">
        <f t="array" ref="F42">AVERAGE(_xlfn._xlws.FILTER(INDEX(test_output!K:FT,0,A42),[1]train_xl!$Y:$Y="not neg pair"))</f>
        <v>#VALUE!</v>
      </c>
      <c r="G42" t="e" cm="1" vm="1">
        <f t="array" ref="G42">AVERAGE(_xlfn._xlws.FILTER(INDEX(test_output!K:FT,0,A42),[1]train_xl!$Z:$Z=1))</f>
        <v>#VALUE!</v>
      </c>
      <c r="H42" t="e" cm="1" vm="1">
        <f t="array" ref="H42">AVERAGE(_xlfn._xlws.FILTER(INDEX(test_output!K:FT,0,A42),[1]train_xl!$AA:$AA="neg"))</f>
        <v>#VALUE!</v>
      </c>
      <c r="I42" t="e" cm="1" vm="1">
        <f t="array" ref="I42">AVERAGE(_xlfn._xlws.FILTER(INDEX(test_output!K:FT,0,A42),[1]train_xl!$AA:$AA="intens"))</f>
        <v>#VALUE!</v>
      </c>
    </row>
    <row r="43" spans="1:9" x14ac:dyDescent="0.35">
      <c r="A43">
        <f t="shared" si="1"/>
        <v>126</v>
      </c>
      <c r="B43" t="e" cm="1">
        <f t="array" ref="B43">LEFT(INDEX(test_output!K:FU,1,A43),LEN(INDEX(test_output!K:FU,1,A43))-4)</f>
        <v>#VALUE!</v>
      </c>
      <c r="C43" t="e">
        <f>AVERAGE(INDEX(test_output!K:FT,0,A43))</f>
        <v>#DIV/0!</v>
      </c>
      <c r="D43" t="e" cm="1">
        <f t="array" ref="D43">AVERAGE(_xlfn._xlws.FILTER(INDEX(test_output!K:FT,0,A43),[1]train_xl!$I:$I="met"))</f>
        <v>#DIV/0!</v>
      </c>
      <c r="E43" t="e" cm="1">
        <f t="array" ref="E43">AVERAGE(_xlfn._xlws.FILTER(INDEX(test_output!K:FT,0,A43),[1]train_xl!$I:$I="sim"))</f>
        <v>#DIV/0!</v>
      </c>
      <c r="F43" t="e" cm="1" vm="1">
        <f t="array" ref="F43">AVERAGE(_xlfn._xlws.FILTER(INDEX(test_output!K:FT,0,A43),[1]train_xl!$Y:$Y="not neg pair"))</f>
        <v>#VALUE!</v>
      </c>
      <c r="G43" t="e" cm="1" vm="1">
        <f t="array" ref="G43">AVERAGE(_xlfn._xlws.FILTER(INDEX(test_output!K:FT,0,A43),[1]train_xl!$Z:$Z=1))</f>
        <v>#VALUE!</v>
      </c>
      <c r="H43" t="e" cm="1" vm="1">
        <f t="array" ref="H43">AVERAGE(_xlfn._xlws.FILTER(INDEX(test_output!K:FT,0,A43),[1]train_xl!$AA:$AA="neg"))</f>
        <v>#VALUE!</v>
      </c>
      <c r="I43" t="e" cm="1" vm="1">
        <f t="array" ref="I43">AVERAGE(_xlfn._xlws.FILTER(INDEX(test_output!K:FT,0,A43),[1]train_xl!$AA:$AA="intens"))</f>
        <v>#VALUE!</v>
      </c>
    </row>
    <row r="44" spans="1:9" x14ac:dyDescent="0.35">
      <c r="A44">
        <f t="shared" si="1"/>
        <v>129</v>
      </c>
      <c r="B44" t="e" cm="1">
        <f t="array" ref="B44">LEFT(INDEX(test_output!K:FU,1,A44),LEN(INDEX(test_output!K:FU,1,A44))-4)</f>
        <v>#VALUE!</v>
      </c>
      <c r="C44" t="e">
        <f>AVERAGE(INDEX(test_output!K:FT,0,A44))</f>
        <v>#DIV/0!</v>
      </c>
      <c r="D44" t="e" cm="1">
        <f t="array" ref="D44">AVERAGE(_xlfn._xlws.FILTER(INDEX(test_output!K:FT,0,A44),[1]train_xl!$I:$I="met"))</f>
        <v>#DIV/0!</v>
      </c>
      <c r="E44" t="e" cm="1">
        <f t="array" ref="E44">AVERAGE(_xlfn._xlws.FILTER(INDEX(test_output!K:FT,0,A44),[1]train_xl!$I:$I="sim"))</f>
        <v>#DIV/0!</v>
      </c>
      <c r="F44" t="e" cm="1" vm="1">
        <f t="array" ref="F44">AVERAGE(_xlfn._xlws.FILTER(INDEX(test_output!K:FT,0,A44),[1]train_xl!$Y:$Y="not neg pair"))</f>
        <v>#VALUE!</v>
      </c>
      <c r="G44" t="e" cm="1" vm="1">
        <f t="array" ref="G44">AVERAGE(_xlfn._xlws.FILTER(INDEX(test_output!K:FT,0,A44),[1]train_xl!$Z:$Z=1))</f>
        <v>#VALUE!</v>
      </c>
      <c r="H44" t="e" cm="1" vm="1">
        <f t="array" ref="H44">AVERAGE(_xlfn._xlws.FILTER(INDEX(test_output!K:FT,0,A44),[1]train_xl!$AA:$AA="neg"))</f>
        <v>#VALUE!</v>
      </c>
      <c r="I44" t="e" cm="1" vm="1">
        <f t="array" ref="I44">AVERAGE(_xlfn._xlws.FILTER(INDEX(test_output!K:FT,0,A44),[1]train_xl!$AA:$AA="intens"))</f>
        <v>#VALUE!</v>
      </c>
    </row>
    <row r="45" spans="1:9" x14ac:dyDescent="0.35">
      <c r="A45">
        <f t="shared" si="1"/>
        <v>132</v>
      </c>
      <c r="B45" t="e" cm="1">
        <f t="array" ref="B45">LEFT(INDEX(test_output!K:FU,1,A45),LEN(INDEX(test_output!K:FU,1,A45))-4)</f>
        <v>#VALUE!</v>
      </c>
      <c r="C45" t="e">
        <f>AVERAGE(INDEX(test_output!K:FT,0,A45))</f>
        <v>#DIV/0!</v>
      </c>
      <c r="D45" t="e" cm="1">
        <f t="array" ref="D45">AVERAGE(_xlfn._xlws.FILTER(INDEX(test_output!K:FT,0,A45),[1]train_xl!$I:$I="met"))</f>
        <v>#DIV/0!</v>
      </c>
      <c r="E45" t="e" cm="1">
        <f t="array" ref="E45">AVERAGE(_xlfn._xlws.FILTER(INDEX(test_output!K:FT,0,A45),[1]train_xl!$I:$I="sim"))</f>
        <v>#DIV/0!</v>
      </c>
      <c r="F45" t="e" cm="1" vm="1">
        <f t="array" ref="F45">AVERAGE(_xlfn._xlws.FILTER(INDEX(test_output!K:FT,0,A45),[1]train_xl!$Y:$Y="not neg pair"))</f>
        <v>#VALUE!</v>
      </c>
      <c r="G45" t="e" cm="1" vm="1">
        <f t="array" ref="G45">AVERAGE(_xlfn._xlws.FILTER(INDEX(test_output!K:FT,0,A45),[1]train_xl!$Z:$Z=1))</f>
        <v>#VALUE!</v>
      </c>
      <c r="H45" t="e" cm="1" vm="1">
        <f t="array" ref="H45">AVERAGE(_xlfn._xlws.FILTER(INDEX(test_output!K:FT,0,A45),[1]train_xl!$AA:$AA="neg"))</f>
        <v>#VALUE!</v>
      </c>
      <c r="I45" t="e" cm="1" vm="1">
        <f t="array" ref="I45">AVERAGE(_xlfn._xlws.FILTER(INDEX(test_output!K:FT,0,A45),[1]train_xl!$AA:$AA="intens"))</f>
        <v>#VALUE!</v>
      </c>
    </row>
    <row r="46" spans="1:9" x14ac:dyDescent="0.35">
      <c r="A46">
        <f t="shared" si="1"/>
        <v>135</v>
      </c>
      <c r="B46" t="e" cm="1">
        <f t="array" ref="B46">LEFT(INDEX(test_output!K:FU,1,A46),LEN(INDEX(test_output!K:FU,1,A46))-4)</f>
        <v>#VALUE!</v>
      </c>
      <c r="C46" t="e">
        <f>AVERAGE(INDEX(test_output!K:FT,0,A46))</f>
        <v>#DIV/0!</v>
      </c>
      <c r="D46" t="e" cm="1">
        <f t="array" ref="D46">AVERAGE(_xlfn._xlws.FILTER(INDEX(test_output!K:FT,0,A46),[1]train_xl!$I:$I="met"))</f>
        <v>#DIV/0!</v>
      </c>
      <c r="E46" t="e" cm="1">
        <f t="array" ref="E46">AVERAGE(_xlfn._xlws.FILTER(INDEX(test_output!K:FT,0,A46),[1]train_xl!$I:$I="sim"))</f>
        <v>#DIV/0!</v>
      </c>
      <c r="F46" t="e" cm="1" vm="1">
        <f t="array" ref="F46">AVERAGE(_xlfn._xlws.FILTER(INDEX(test_output!K:FT,0,A46),[1]train_xl!$Y:$Y="not neg pair"))</f>
        <v>#VALUE!</v>
      </c>
      <c r="G46" t="e" cm="1" vm="1">
        <f t="array" ref="G46">AVERAGE(_xlfn._xlws.FILTER(INDEX(test_output!K:FT,0,A46),[1]train_xl!$Z:$Z=1))</f>
        <v>#VALUE!</v>
      </c>
      <c r="H46" t="e" cm="1" vm="1">
        <f t="array" ref="H46">AVERAGE(_xlfn._xlws.FILTER(INDEX(test_output!K:FT,0,A46),[1]train_xl!$AA:$AA="neg"))</f>
        <v>#VALUE!</v>
      </c>
      <c r="I46" t="e" cm="1" vm="1">
        <f t="array" ref="I46">AVERAGE(_xlfn._xlws.FILTER(INDEX(test_output!K:FT,0,A46),[1]train_xl!$AA:$AA="intens"))</f>
        <v>#VALUE!</v>
      </c>
    </row>
    <row r="47" spans="1:9" x14ac:dyDescent="0.35">
      <c r="A47">
        <f t="shared" si="1"/>
        <v>138</v>
      </c>
      <c r="B47" t="e" cm="1">
        <f t="array" ref="B47">LEFT(INDEX(test_output!K:FU,1,A47),LEN(INDEX(test_output!K:FU,1,A47))-4)</f>
        <v>#VALUE!</v>
      </c>
      <c r="C47" t="e">
        <f>AVERAGE(INDEX(test_output!K:FT,0,A47))</f>
        <v>#DIV/0!</v>
      </c>
      <c r="D47" t="e" cm="1">
        <f t="array" ref="D47">AVERAGE(_xlfn._xlws.FILTER(INDEX(test_output!K:FT,0,A47),[1]train_xl!$I:$I="met"))</f>
        <v>#DIV/0!</v>
      </c>
      <c r="E47" t="e" cm="1">
        <f t="array" ref="E47">AVERAGE(_xlfn._xlws.FILTER(INDEX(test_output!K:FT,0,A47),[1]train_xl!$I:$I="sim"))</f>
        <v>#DIV/0!</v>
      </c>
      <c r="F47" t="e" cm="1" vm="1">
        <f t="array" ref="F47">AVERAGE(_xlfn._xlws.FILTER(INDEX(test_output!K:FT,0,A47),[1]train_xl!$Y:$Y="not neg pair"))</f>
        <v>#VALUE!</v>
      </c>
      <c r="G47" t="e" cm="1" vm="1">
        <f t="array" ref="G47">AVERAGE(_xlfn._xlws.FILTER(INDEX(test_output!K:FT,0,A47),[1]train_xl!$Z:$Z=1))</f>
        <v>#VALUE!</v>
      </c>
      <c r="H47" t="e" cm="1" vm="1">
        <f t="array" ref="H47">AVERAGE(_xlfn._xlws.FILTER(INDEX(test_output!K:FT,0,A47),[1]train_xl!$AA:$AA="neg"))</f>
        <v>#VALUE!</v>
      </c>
      <c r="I47" t="e" cm="1" vm="1">
        <f t="array" ref="I47">AVERAGE(_xlfn._xlws.FILTER(INDEX(test_output!K:FT,0,A47),[1]train_xl!$AA:$AA="intens"))</f>
        <v>#VALUE!</v>
      </c>
    </row>
    <row r="48" spans="1:9" x14ac:dyDescent="0.35">
      <c r="A48">
        <f t="shared" si="1"/>
        <v>141</v>
      </c>
      <c r="B48" t="e" cm="1">
        <f t="array" ref="B48">LEFT(INDEX(test_output!K:FU,1,A48),LEN(INDEX(test_output!K:FU,1,A48))-4)</f>
        <v>#VALUE!</v>
      </c>
      <c r="C48" t="e">
        <f>AVERAGE(INDEX(test_output!K:FT,0,A48))</f>
        <v>#DIV/0!</v>
      </c>
      <c r="D48" t="e" cm="1">
        <f t="array" ref="D48">AVERAGE(_xlfn._xlws.FILTER(INDEX(test_output!K:FT,0,A48),[1]train_xl!$I:$I="met"))</f>
        <v>#DIV/0!</v>
      </c>
      <c r="E48" t="e" cm="1">
        <f t="array" ref="E48">AVERAGE(_xlfn._xlws.FILTER(INDEX(test_output!K:FT,0,A48),[1]train_xl!$I:$I="sim"))</f>
        <v>#DIV/0!</v>
      </c>
      <c r="F48" t="e" cm="1" vm="1">
        <f t="array" ref="F48">AVERAGE(_xlfn._xlws.FILTER(INDEX(test_output!K:FT,0,A48),[1]train_xl!$Y:$Y="not neg pair"))</f>
        <v>#VALUE!</v>
      </c>
      <c r="G48" t="e" cm="1" vm="1">
        <f t="array" ref="G48">AVERAGE(_xlfn._xlws.FILTER(INDEX(test_output!K:FT,0,A48),[1]train_xl!$Z:$Z=1))</f>
        <v>#VALUE!</v>
      </c>
      <c r="H48" t="e" cm="1" vm="1">
        <f t="array" ref="H48">AVERAGE(_xlfn._xlws.FILTER(INDEX(test_output!K:FT,0,A48),[1]train_xl!$AA:$AA="neg"))</f>
        <v>#VALUE!</v>
      </c>
      <c r="I48" t="e" cm="1" vm="1">
        <f t="array" ref="I48">AVERAGE(_xlfn._xlws.FILTER(INDEX(test_output!K:FT,0,A48),[1]train_xl!$AA:$AA="intens"))</f>
        <v>#VALUE!</v>
      </c>
    </row>
    <row r="49" spans="1:9" x14ac:dyDescent="0.35">
      <c r="A49">
        <f t="shared" si="1"/>
        <v>144</v>
      </c>
      <c r="B49" t="e" cm="1">
        <f t="array" ref="B49">LEFT(INDEX(test_output!K:FU,1,A49),LEN(INDEX(test_output!K:FU,1,A49))-4)</f>
        <v>#VALUE!</v>
      </c>
      <c r="C49" t="e">
        <f>AVERAGE(INDEX(test_output!K:FT,0,A49))</f>
        <v>#DIV/0!</v>
      </c>
      <c r="D49" t="e" cm="1">
        <f t="array" ref="D49">AVERAGE(_xlfn._xlws.FILTER(INDEX(test_output!K:FT,0,A49),[1]train_xl!$I:$I="met"))</f>
        <v>#DIV/0!</v>
      </c>
      <c r="E49" t="e" cm="1">
        <f t="array" ref="E49">AVERAGE(_xlfn._xlws.FILTER(INDEX(test_output!K:FT,0,A49),[1]train_xl!$I:$I="sim"))</f>
        <v>#DIV/0!</v>
      </c>
      <c r="F49" t="e" cm="1" vm="1">
        <f t="array" ref="F49">AVERAGE(_xlfn._xlws.FILTER(INDEX(test_output!K:FT,0,A49),[1]train_xl!$Y:$Y="not neg pair"))</f>
        <v>#VALUE!</v>
      </c>
      <c r="G49" t="e" cm="1" vm="1">
        <f t="array" ref="G49">AVERAGE(_xlfn._xlws.FILTER(INDEX(test_output!K:FT,0,A49),[1]train_xl!$Z:$Z=1))</f>
        <v>#VALUE!</v>
      </c>
      <c r="H49" t="e" cm="1" vm="1">
        <f t="array" ref="H49">AVERAGE(_xlfn._xlws.FILTER(INDEX(test_output!K:FT,0,A49),[1]train_xl!$AA:$AA="neg"))</f>
        <v>#VALUE!</v>
      </c>
      <c r="I49" t="e" cm="1" vm="1">
        <f t="array" ref="I49">AVERAGE(_xlfn._xlws.FILTER(INDEX(test_output!K:FT,0,A49),[1]train_xl!$AA:$AA="intens"))</f>
        <v>#VALUE!</v>
      </c>
    </row>
    <row r="50" spans="1:9" x14ac:dyDescent="0.35">
      <c r="A50">
        <f t="shared" si="1"/>
        <v>147</v>
      </c>
      <c r="B50" t="e" cm="1">
        <f t="array" ref="B50">LEFT(INDEX(test_output!K:FU,1,A50),LEN(INDEX(test_output!K:FU,1,A50))-4)</f>
        <v>#VALUE!</v>
      </c>
      <c r="C50" t="e">
        <f>AVERAGE(INDEX(test_output!K:FT,0,A50))</f>
        <v>#DIV/0!</v>
      </c>
      <c r="D50" t="e" cm="1">
        <f t="array" ref="D50">AVERAGE(_xlfn._xlws.FILTER(INDEX(test_output!K:FT,0,A50),[1]train_xl!$I:$I="met"))</f>
        <v>#DIV/0!</v>
      </c>
      <c r="E50" t="e" cm="1">
        <f t="array" ref="E50">AVERAGE(_xlfn._xlws.FILTER(INDEX(test_output!K:FT,0,A50),[1]train_xl!$I:$I="sim"))</f>
        <v>#DIV/0!</v>
      </c>
      <c r="F50" t="e" cm="1" vm="1">
        <f t="array" ref="F50">AVERAGE(_xlfn._xlws.FILTER(INDEX(test_output!K:FT,0,A50),[1]train_xl!$Y:$Y="not neg pair"))</f>
        <v>#VALUE!</v>
      </c>
      <c r="G50" t="e" cm="1" vm="1">
        <f t="array" ref="G50">AVERAGE(_xlfn._xlws.FILTER(INDEX(test_output!K:FT,0,A50),[1]train_xl!$Z:$Z=1))</f>
        <v>#VALUE!</v>
      </c>
      <c r="H50" t="e" cm="1" vm="1">
        <f t="array" ref="H50">AVERAGE(_xlfn._xlws.FILTER(INDEX(test_output!K:FT,0,A50),[1]train_xl!$AA:$AA="neg"))</f>
        <v>#VALUE!</v>
      </c>
      <c r="I50" t="e" cm="1" vm="1">
        <f t="array" ref="I50">AVERAGE(_xlfn._xlws.FILTER(INDEX(test_output!K:FT,0,A50),[1]train_xl!$AA:$AA="intens"))</f>
        <v>#VALUE!</v>
      </c>
    </row>
    <row r="51" spans="1:9" x14ac:dyDescent="0.35">
      <c r="A51">
        <f t="shared" si="1"/>
        <v>150</v>
      </c>
      <c r="B51" t="e" cm="1">
        <f t="array" ref="B51">LEFT(INDEX(test_output!K:FU,1,A51),LEN(INDEX(test_output!K:FU,1,A51))-4)</f>
        <v>#VALUE!</v>
      </c>
      <c r="C51" t="e">
        <f>AVERAGE(INDEX(test_output!K:FT,0,A51))</f>
        <v>#DIV/0!</v>
      </c>
      <c r="D51" t="e" cm="1">
        <f t="array" ref="D51">AVERAGE(_xlfn._xlws.FILTER(INDEX(test_output!K:FT,0,A51),[1]train_xl!$I:$I="met"))</f>
        <v>#DIV/0!</v>
      </c>
      <c r="E51" t="e" cm="1">
        <f t="array" ref="E51">AVERAGE(_xlfn._xlws.FILTER(INDEX(test_output!K:FT,0,A51),[1]train_xl!$I:$I="sim"))</f>
        <v>#DIV/0!</v>
      </c>
      <c r="F51" t="e" cm="1" vm="1">
        <f t="array" ref="F51">AVERAGE(_xlfn._xlws.FILTER(INDEX(test_output!K:FT,0,A51),[1]train_xl!$Y:$Y="not neg pair"))</f>
        <v>#VALUE!</v>
      </c>
      <c r="G51" t="e" cm="1" vm="1">
        <f t="array" ref="G51">AVERAGE(_xlfn._xlws.FILTER(INDEX(test_output!K:FT,0,A51),[1]train_xl!$Z:$Z=1))</f>
        <v>#VALUE!</v>
      </c>
      <c r="H51" t="e" cm="1" vm="1">
        <f t="array" ref="H51">AVERAGE(_xlfn._xlws.FILTER(INDEX(test_output!K:FT,0,A51),[1]train_xl!$AA:$AA="neg"))</f>
        <v>#VALUE!</v>
      </c>
      <c r="I51" t="e" cm="1" vm="1">
        <f t="array" ref="I51">AVERAGE(_xlfn._xlws.FILTER(INDEX(test_output!K:FT,0,A51),[1]train_xl!$AA:$AA="intens"))</f>
        <v>#VALUE!</v>
      </c>
    </row>
    <row r="52" spans="1:9" x14ac:dyDescent="0.35">
      <c r="A52">
        <f t="shared" si="1"/>
        <v>153</v>
      </c>
      <c r="B52" t="e" cm="1">
        <f t="array" ref="B52">LEFT(INDEX(test_output!K:FU,1,A52),LEN(INDEX(test_output!K:FU,1,A52))-4)</f>
        <v>#VALUE!</v>
      </c>
      <c r="C52" t="e">
        <f>AVERAGE(INDEX(test_output!K:FT,0,A52))</f>
        <v>#DIV/0!</v>
      </c>
      <c r="D52" t="e" cm="1">
        <f t="array" ref="D52">AVERAGE(_xlfn._xlws.FILTER(INDEX(test_output!K:FT,0,A52),[1]train_xl!$I:$I="met"))</f>
        <v>#DIV/0!</v>
      </c>
      <c r="E52" t="e" cm="1">
        <f t="array" ref="E52">AVERAGE(_xlfn._xlws.FILTER(INDEX(test_output!K:FT,0,A52),[1]train_xl!$I:$I="sim"))</f>
        <v>#DIV/0!</v>
      </c>
      <c r="F52" t="e" cm="1" vm="1">
        <f t="array" ref="F52">AVERAGE(_xlfn._xlws.FILTER(INDEX(test_output!K:FT,0,A52),[1]train_xl!$Y:$Y="not neg pair"))</f>
        <v>#VALUE!</v>
      </c>
      <c r="G52" t="e" cm="1" vm="1">
        <f t="array" ref="G52">AVERAGE(_xlfn._xlws.FILTER(INDEX(test_output!K:FT,0,A52),[1]train_xl!$Z:$Z=1))</f>
        <v>#VALUE!</v>
      </c>
      <c r="H52" t="e" cm="1" vm="1">
        <f t="array" ref="H52">AVERAGE(_xlfn._xlws.FILTER(INDEX(test_output!K:FT,0,A52),[1]train_xl!$AA:$AA="neg"))</f>
        <v>#VALUE!</v>
      </c>
      <c r="I52" t="e" cm="1" vm="1">
        <f t="array" ref="I52">AVERAGE(_xlfn._xlws.FILTER(INDEX(test_output!K:FT,0,A52),[1]train_xl!$AA:$AA="intens"))</f>
        <v>#VALUE!</v>
      </c>
    </row>
    <row r="53" spans="1:9" x14ac:dyDescent="0.35">
      <c r="A53">
        <f t="shared" si="1"/>
        <v>156</v>
      </c>
      <c r="B53" t="e" cm="1">
        <f t="array" ref="B53">LEFT(INDEX(test_output!K:FU,1,A53),LEN(INDEX(test_output!K:FU,1,A53))-4)</f>
        <v>#VALUE!</v>
      </c>
      <c r="C53" t="e">
        <f>AVERAGE(INDEX(test_output!K:FT,0,A53))</f>
        <v>#DIV/0!</v>
      </c>
      <c r="D53" t="e" cm="1">
        <f t="array" ref="D53">AVERAGE(_xlfn._xlws.FILTER(INDEX(test_output!K:FT,0,A53),[1]train_xl!$I:$I="met"))</f>
        <v>#DIV/0!</v>
      </c>
      <c r="E53" t="e" cm="1">
        <f t="array" ref="E53">AVERAGE(_xlfn._xlws.FILTER(INDEX(test_output!K:FT,0,A53),[1]train_xl!$I:$I="sim"))</f>
        <v>#DIV/0!</v>
      </c>
      <c r="F53" t="e" cm="1" vm="1">
        <f t="array" ref="F53">AVERAGE(_xlfn._xlws.FILTER(INDEX(test_output!K:FT,0,A53),[1]train_xl!$Y:$Y="not neg pair"))</f>
        <v>#VALUE!</v>
      </c>
      <c r="G53" t="e" cm="1" vm="1">
        <f t="array" ref="G53">AVERAGE(_xlfn._xlws.FILTER(INDEX(test_output!K:FT,0,A53),[1]train_xl!$Z:$Z=1))</f>
        <v>#VALUE!</v>
      </c>
      <c r="H53" t="e" cm="1" vm="1">
        <f t="array" ref="H53">AVERAGE(_xlfn._xlws.FILTER(INDEX(test_output!K:FT,0,A53),[1]train_xl!$AA:$AA="neg"))</f>
        <v>#VALUE!</v>
      </c>
      <c r="I53" t="e" cm="1" vm="1">
        <f t="array" ref="I53">AVERAGE(_xlfn._xlws.FILTER(INDEX(test_output!K:FT,0,A53),[1]train_xl!$AA:$AA="intens"))</f>
        <v>#VALUE!</v>
      </c>
    </row>
    <row r="54" spans="1:9" x14ac:dyDescent="0.35">
      <c r="A54">
        <f t="shared" si="1"/>
        <v>159</v>
      </c>
      <c r="B54" t="e" cm="1">
        <f t="array" ref="B54">LEFT(INDEX(test_output!K:FU,1,A54),LEN(INDEX(test_output!K:FU,1,A54))-4)</f>
        <v>#VALUE!</v>
      </c>
      <c r="C54" t="e">
        <f>AVERAGE(INDEX(test_output!K:FT,0,A54))</f>
        <v>#DIV/0!</v>
      </c>
      <c r="D54" t="e" cm="1">
        <f t="array" ref="D54">AVERAGE(_xlfn._xlws.FILTER(INDEX(test_output!K:FT,0,A54),[1]train_xl!$I:$I="met"))</f>
        <v>#DIV/0!</v>
      </c>
      <c r="E54" t="e" cm="1">
        <f t="array" ref="E54">AVERAGE(_xlfn._xlws.FILTER(INDEX(test_output!K:FT,0,A54),[1]train_xl!$I:$I="sim"))</f>
        <v>#DIV/0!</v>
      </c>
      <c r="F54" t="e" cm="1" vm="1">
        <f t="array" ref="F54">AVERAGE(_xlfn._xlws.FILTER(INDEX(test_output!K:FT,0,A54),[1]train_xl!$Y:$Y="not neg pair"))</f>
        <v>#VALUE!</v>
      </c>
      <c r="G54" t="e" cm="1" vm="1">
        <f t="array" ref="G54">AVERAGE(_xlfn._xlws.FILTER(INDEX(test_output!K:FT,0,A54),[1]train_xl!$Z:$Z=1))</f>
        <v>#VALUE!</v>
      </c>
      <c r="H54" t="e" cm="1" vm="1">
        <f t="array" ref="H54">AVERAGE(_xlfn._xlws.FILTER(INDEX(test_output!K:FT,0,A54),[1]train_xl!$AA:$AA="neg"))</f>
        <v>#VALUE!</v>
      </c>
      <c r="I54" t="e" cm="1" vm="1">
        <f t="array" ref="I54">AVERAGE(_xlfn._xlws.FILTER(INDEX(test_output!K:FT,0,A54),[1]train_xl!$AA:$AA="intens"))</f>
        <v>#VALUE!</v>
      </c>
    </row>
    <row r="55" spans="1:9" x14ac:dyDescent="0.35">
      <c r="A55">
        <f t="shared" si="1"/>
        <v>162</v>
      </c>
      <c r="B55" t="e" cm="1">
        <f t="array" ref="B55">LEFT(INDEX(test_output!K:FU,1,A55),LEN(INDEX(test_output!K:FU,1,A55))-4)</f>
        <v>#VALUE!</v>
      </c>
      <c r="C55" t="e">
        <f>AVERAGE(INDEX(test_output!K:FT,0,A55))</f>
        <v>#DIV/0!</v>
      </c>
      <c r="D55" t="e" cm="1">
        <f t="array" ref="D55">AVERAGE(_xlfn._xlws.FILTER(INDEX(test_output!K:FT,0,A55),[1]train_xl!$I:$I="met"))</f>
        <v>#DIV/0!</v>
      </c>
      <c r="E55" t="e" cm="1">
        <f t="array" ref="E55">AVERAGE(_xlfn._xlws.FILTER(INDEX(test_output!K:FT,0,A55),[1]train_xl!$I:$I="sim"))</f>
        <v>#DIV/0!</v>
      </c>
      <c r="F55" t="e" cm="1" vm="1">
        <f t="array" ref="F55">AVERAGE(_xlfn._xlws.FILTER(INDEX(test_output!K:FT,0,A55),[1]train_xl!$Y:$Y="not neg pair"))</f>
        <v>#VALUE!</v>
      </c>
      <c r="G55" t="e" cm="1" vm="1">
        <f t="array" ref="G55">AVERAGE(_xlfn._xlws.FILTER(INDEX(test_output!K:FT,0,A55),[1]train_xl!$Z:$Z=1))</f>
        <v>#VALUE!</v>
      </c>
      <c r="H55" t="e" cm="1" vm="1">
        <f t="array" ref="H55">AVERAGE(_xlfn._xlws.FILTER(INDEX(test_output!K:FT,0,A55),[1]train_xl!$AA:$AA="neg"))</f>
        <v>#VALUE!</v>
      </c>
      <c r="I55" t="e" cm="1" vm="1">
        <f t="array" ref="I55">AVERAGE(_xlfn._xlws.FILTER(INDEX(test_output!K:FT,0,A55),[1]train_xl!$AA:$AA="intens"))</f>
        <v>#VALUE!</v>
      </c>
    </row>
    <row r="56" spans="1:9" x14ac:dyDescent="0.35">
      <c r="A56">
        <f t="shared" si="1"/>
        <v>165</v>
      </c>
      <c r="B56" t="e" cm="1">
        <f t="array" ref="B56">LEFT(INDEX(test_output!K:FU,1,A56),LEN(INDEX(test_output!K:FU,1,A56))-4)</f>
        <v>#VALUE!</v>
      </c>
      <c r="C56" t="e">
        <f>AVERAGE(INDEX(test_output!K:FT,0,A56))</f>
        <v>#DIV/0!</v>
      </c>
      <c r="D56" t="e" cm="1">
        <f t="array" ref="D56">AVERAGE(_xlfn._xlws.FILTER(INDEX(test_output!K:FT,0,A56),[1]train_xl!$I:$I="met"))</f>
        <v>#DIV/0!</v>
      </c>
      <c r="E56" t="e" cm="1">
        <f t="array" ref="E56">AVERAGE(_xlfn._xlws.FILTER(INDEX(test_output!K:FT,0,A56),[1]train_xl!$I:$I="sim"))</f>
        <v>#DIV/0!</v>
      </c>
      <c r="F56" t="e" cm="1" vm="1">
        <f t="array" ref="F56">AVERAGE(_xlfn._xlws.FILTER(INDEX(test_output!K:FT,0,A56),[1]train_xl!$Y:$Y="not neg pair"))</f>
        <v>#VALUE!</v>
      </c>
      <c r="G56" t="e" cm="1" vm="1">
        <f t="array" ref="G56">AVERAGE(_xlfn._xlws.FILTER(INDEX(test_output!K:FT,0,A56),[1]train_xl!$Z:$Z=1))</f>
        <v>#VALUE!</v>
      </c>
      <c r="H56" t="e" cm="1" vm="1">
        <f t="array" ref="H56">AVERAGE(_xlfn._xlws.FILTER(INDEX(test_output!K:FT,0,A56),[1]train_xl!$AA:$AA="neg"))</f>
        <v>#VALUE!</v>
      </c>
      <c r="I56" t="e" cm="1" vm="1">
        <f t="array" ref="I56">AVERAGE(_xlfn._xlws.FILTER(INDEX(test_output!K:FT,0,A56),[1]train_xl!$AA:$AA="intens"))</f>
        <v>#VALUE!</v>
      </c>
    </row>
    <row r="57" spans="1:9" x14ac:dyDescent="0.35">
      <c r="A57">
        <f t="shared" si="1"/>
        <v>168</v>
      </c>
      <c r="B57" t="e" cm="1">
        <f t="array" ref="B57">RIGHT(INDEX(test_output!K:FU,1,A57),LEN(INDEX(test_output!K:FU,1,A57))-4)</f>
        <v>#REF!</v>
      </c>
      <c r="C57" t="e">
        <f>AVERAGE(INDEX(test_output!K:FT,0,A57))</f>
        <v>#REF!</v>
      </c>
      <c r="D57" t="e" cm="1">
        <f t="array" ref="D57">AVERAGE(_xlfn._xlws.FILTER(INDEX(test_output!K:FT,0,A57),[3]train_xl!$I:$I="met"))</f>
        <v>#REF!</v>
      </c>
      <c r="E57" t="e" cm="1">
        <f t="array" ref="E57">AVERAGE(_xlfn._xlws.FILTER(INDEX(test_output!K:FT,0,A57),[3]train_xl!$I:$I="sim"))</f>
        <v>#REF!</v>
      </c>
      <c r="F57" t="e" cm="1">
        <f t="array" ref="F57">AVERAGE(_xlfn._xlws.FILTER(INDEX(test_output!K:FT,0,A57),[3]train_xl!$V:$V="not neg pair"))</f>
        <v>#REF!</v>
      </c>
      <c r="G57" t="e" cm="1">
        <f t="array" ref="G57">AVERAGE(_xlfn._xlws.FILTER(INDEX(test_output!K:FT,0,A57),[3]train_xl!$W:$W=1))</f>
        <v>#REF!</v>
      </c>
      <c r="H57" t="e" cm="1">
        <f t="array" ref="H57">AVERAGE(_xlfn._xlws.FILTER(INDEX(test_output!K:FT,0,A57),[3]train_xl!$X:$X="neg"))</f>
        <v>#REF!</v>
      </c>
      <c r="I57" t="e" cm="1">
        <f t="array" ref="I57">AVERAGE(_xlfn._xlws.FILTER(INDEX(test_output!K:FT,0,A57),[3]train_xl!$X:$X="intens"))</f>
        <v>#REF!</v>
      </c>
    </row>
    <row r="58" spans="1:9" x14ac:dyDescent="0.35">
      <c r="A58">
        <f t="shared" si="1"/>
        <v>171</v>
      </c>
      <c r="B58" t="e" cm="1">
        <f t="array" ref="B58">RIGHT(INDEX(test_output!K:FU,1,A58),LEN(INDEX(test_output!K:FU,1,A58))-4)</f>
        <v>#REF!</v>
      </c>
      <c r="C58" t="e">
        <f>AVERAGE(INDEX(test_output!K:FT,0,A58))</f>
        <v>#REF!</v>
      </c>
      <c r="D58" t="e" cm="1">
        <f t="array" ref="D58">AVERAGE(_xlfn._xlws.FILTER(INDEX(test_output!K:FT,0,A58),[3]train_xl!$I:$I="met"))</f>
        <v>#REF!</v>
      </c>
      <c r="E58" t="e" cm="1">
        <f t="array" ref="E58">AVERAGE(_xlfn._xlws.FILTER(INDEX(test_output!K:FT,0,A58),[3]train_xl!$I:$I="sim"))</f>
        <v>#REF!</v>
      </c>
      <c r="F58" t="e" cm="1">
        <f t="array" ref="F58">AVERAGE(_xlfn._xlws.FILTER(INDEX(test_output!K:FT,0,A58),[3]train_xl!$V:$V="not neg pair"))</f>
        <v>#REF!</v>
      </c>
      <c r="G58" t="e" cm="1">
        <f t="array" ref="G58">AVERAGE(_xlfn._xlws.FILTER(INDEX(test_output!K:FT,0,A58),[3]train_xl!$W:$W=1))</f>
        <v>#REF!</v>
      </c>
      <c r="H58" t="e" cm="1">
        <f t="array" ref="H58">AVERAGE(_xlfn._xlws.FILTER(INDEX(test_output!K:FT,0,A58),[3]train_xl!$X:$X="neg"))</f>
        <v>#REF!</v>
      </c>
      <c r="I58" t="e" cm="1">
        <f t="array" ref="I58">AVERAGE(_xlfn._xlws.FILTER(INDEX(test_output!K:FT,0,A58),[3]train_xl!$X:$X="intens"))</f>
        <v>#REF!</v>
      </c>
    </row>
  </sheetData>
  <conditionalFormatting sqref="C2:I21">
    <cfRule type="colorScale" priority="1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conditionalFormatting sqref="C22:T86 J2:T21">
    <cfRule type="colorScale" priority="3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3776-43C1-45D8-B632-7EF6E67E9C3F}">
  <dimension ref="A1:CN31"/>
  <sheetViews>
    <sheetView workbookViewId="0">
      <selection activeCell="B2" sqref="B2"/>
    </sheetView>
  </sheetViews>
  <sheetFormatPr defaultRowHeight="14.5" x14ac:dyDescent="0.35"/>
  <cols>
    <col min="2" max="2" width="27.36328125" bestFit="1" customWidth="1"/>
  </cols>
  <sheetData>
    <row r="1" spans="1:92" x14ac:dyDescent="0.35"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  <c r="L1" t="s">
        <v>881</v>
      </c>
      <c r="M1" t="s">
        <v>882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  <c r="S1" t="s">
        <v>888</v>
      </c>
      <c r="T1" t="s">
        <v>889</v>
      </c>
      <c r="U1" t="s">
        <v>890</v>
      </c>
      <c r="V1" t="s">
        <v>891</v>
      </c>
      <c r="W1" t="s">
        <v>892</v>
      </c>
      <c r="X1" t="s">
        <v>893</v>
      </c>
      <c r="Y1" t="s">
        <v>894</v>
      </c>
      <c r="Z1" t="s">
        <v>895</v>
      </c>
      <c r="AA1" t="s">
        <v>896</v>
      </c>
      <c r="AB1" t="s">
        <v>897</v>
      </c>
      <c r="AC1" t="s">
        <v>898</v>
      </c>
      <c r="AD1" t="s">
        <v>899</v>
      </c>
      <c r="AE1" t="s">
        <v>900</v>
      </c>
      <c r="AF1" t="s">
        <v>901</v>
      </c>
      <c r="AG1" t="s">
        <v>902</v>
      </c>
      <c r="AH1" t="s">
        <v>903</v>
      </c>
      <c r="AI1" t="s">
        <v>904</v>
      </c>
      <c r="AJ1" t="s">
        <v>905</v>
      </c>
      <c r="AK1" t="s">
        <v>906</v>
      </c>
      <c r="AL1" t="s">
        <v>907</v>
      </c>
      <c r="AM1" t="s">
        <v>908</v>
      </c>
      <c r="AN1" t="s">
        <v>909</v>
      </c>
      <c r="AO1" t="s">
        <v>910</v>
      </c>
      <c r="AP1" t="s">
        <v>911</v>
      </c>
      <c r="AQ1" t="s">
        <v>912</v>
      </c>
      <c r="AR1" t="s">
        <v>913</v>
      </c>
      <c r="AS1" t="s">
        <v>914</v>
      </c>
      <c r="AT1" t="s">
        <v>915</v>
      </c>
      <c r="AU1" t="s">
        <v>916</v>
      </c>
      <c r="AV1" t="s">
        <v>917</v>
      </c>
      <c r="AW1" t="s">
        <v>918</v>
      </c>
      <c r="AX1" t="s">
        <v>919</v>
      </c>
      <c r="AY1" t="s">
        <v>920</v>
      </c>
      <c r="AZ1" t="s">
        <v>921</v>
      </c>
      <c r="BA1" t="s">
        <v>922</v>
      </c>
      <c r="BB1" t="s">
        <v>923</v>
      </c>
      <c r="BC1" t="s">
        <v>924</v>
      </c>
      <c r="BD1" t="s">
        <v>925</v>
      </c>
      <c r="BE1" t="s">
        <v>926</v>
      </c>
      <c r="BF1" t="s">
        <v>927</v>
      </c>
      <c r="BG1" t="s">
        <v>928</v>
      </c>
      <c r="BH1" t="s">
        <v>929</v>
      </c>
      <c r="BI1" t="s">
        <v>930</v>
      </c>
      <c r="BJ1" t="s">
        <v>931</v>
      </c>
      <c r="BK1" t="s">
        <v>932</v>
      </c>
      <c r="BL1" t="s">
        <v>933</v>
      </c>
      <c r="BM1" t="s">
        <v>934</v>
      </c>
      <c r="BN1" t="s">
        <v>935</v>
      </c>
      <c r="BO1" t="s">
        <v>936</v>
      </c>
      <c r="BP1" t="s">
        <v>937</v>
      </c>
      <c r="BQ1" t="s">
        <v>938</v>
      </c>
      <c r="BR1" t="s">
        <v>939</v>
      </c>
      <c r="BS1" t="s">
        <v>940</v>
      </c>
      <c r="BT1" t="s">
        <v>941</v>
      </c>
      <c r="BU1" t="s">
        <v>942</v>
      </c>
      <c r="BV1" t="s">
        <v>943</v>
      </c>
      <c r="BW1" t="s">
        <v>944</v>
      </c>
      <c r="BX1" t="s">
        <v>945</v>
      </c>
      <c r="BY1" t="s">
        <v>946</v>
      </c>
      <c r="BZ1" t="s">
        <v>947</v>
      </c>
      <c r="CA1" t="s">
        <v>948</v>
      </c>
      <c r="CB1" t="s">
        <v>949</v>
      </c>
      <c r="CC1" t="s">
        <v>950</v>
      </c>
      <c r="CD1" t="s">
        <v>951</v>
      </c>
      <c r="CE1" t="s">
        <v>952</v>
      </c>
      <c r="CF1" t="s">
        <v>953</v>
      </c>
      <c r="CG1" t="s">
        <v>954</v>
      </c>
      <c r="CH1" t="s">
        <v>955</v>
      </c>
      <c r="CI1" t="s">
        <v>956</v>
      </c>
      <c r="CJ1" t="s">
        <v>957</v>
      </c>
      <c r="CK1" t="s">
        <v>958</v>
      </c>
      <c r="CL1" t="s">
        <v>959</v>
      </c>
      <c r="CM1" t="s">
        <v>960</v>
      </c>
      <c r="CN1" t="s">
        <v>961</v>
      </c>
    </row>
    <row r="2" spans="1:92" x14ac:dyDescent="0.35">
      <c r="A2">
        <v>3</v>
      </c>
      <c r="B2" t="str" cm="1">
        <f t="array" ref="B2">INDEX(test_output!K:FQ,1,A2)</f>
        <v>Llama-3-70B-Instruct M1 bin</v>
      </c>
      <c r="C2">
        <f>AVERAGE(INDEX(test_output!K:FP,0,A2))</f>
        <v>0.79296875</v>
      </c>
      <c r="D2">
        <f>COUNT(INDEX(test_output!K:FP,0,A2))</f>
        <v>256</v>
      </c>
      <c r="E2" cm="1">
        <f t="array" ref="E2">COUNT(_xlfn._xlws.FILTER(INDEX(test_output!K:FP,0,A2),INDEX(test_output!K:FP,0,A2)=1))</f>
        <v>203</v>
      </c>
      <c r="H2" cm="1">
        <f t="array" ref="H2">AVERAGE(_xlfn._xlws.FILTER(INDEX(test_output!K:FP,0,A2),[1]train_xl!$I:$I="met"))</f>
        <v>0.80851063829787229</v>
      </c>
      <c r="I2" cm="1">
        <f t="array" ref="I2">COUNT(_xlfn._xlws.FILTER(INDEX(test_output!K:FP,0,A2),[1]train_xl!$I:$I="met"))</f>
        <v>47</v>
      </c>
      <c r="J2" cm="1">
        <f t="array" ref="J2">COUNT(_xlfn._xlws.FILTER(INDEX(test_output!K:FP,0,A2),([1]train_xl!$I:$I="met")*(INDEX(test_output!K:FP,0,A2)=1)))</f>
        <v>38</v>
      </c>
      <c r="M2" cm="1">
        <f t="array" ref="M2">AVERAGE(_xlfn._xlws.FILTER(INDEX(test_output!K:FP,0,A2),[1]train_xl!$I:$I="sim"))</f>
        <v>0.78947368421052633</v>
      </c>
      <c r="N2" cm="1">
        <f t="array" ref="N2">COUNT(_xlfn._xlws.FILTER(INDEX(test_output!K:FP,0,A2),[1]train_xl!$I:$I="sim"))</f>
        <v>209</v>
      </c>
      <c r="O2" cm="1">
        <f t="array" ref="O2">COUNT(_xlfn._xlws.FILTER(INDEX(test_output!K:FP,0,A2),([1]train_xl!$I:$I="sim")*(INDEX(test_output!K:FP,0,A2)=1)))</f>
        <v>165</v>
      </c>
      <c r="R2" t="e" cm="1" vm="1">
        <f t="array" ref="R2">AVERAGE(_xlfn._xlws.FILTER(INDEX(test_output!K:FP,0,A2),[1]train_xl!$Y:$Y="not neg pair"))</f>
        <v>#VALUE!</v>
      </c>
      <c r="S2" cm="1">
        <f t="array" ref="S2">COUNT(_xlfn._xlws.FILTER(INDEX(test_output!K:FP,0,A2),[1]train_xl!$Y:$Y="not neg pair"))</f>
        <v>0</v>
      </c>
      <c r="T2" cm="1">
        <f t="array" ref="T2">COUNT(_xlfn._xlws.FILTER(INDEX(test_output!K:FP,0,A2),([1]train_xl!$Y:$Y="not neg pair")*(INDEX(test_output!K:FP,0,A2)=1)))</f>
        <v>0</v>
      </c>
      <c r="W2" t="e" cm="1" vm="1">
        <f t="array" ref="W2">AVERAGE(_xlfn._xlws.FILTER(INDEX(test_output!K:FP,0,A2),OR([1]train_xl!$Y:$Y="not",[1]train_xl!$Y:$Y="antonym")))</f>
        <v>#VALUE!</v>
      </c>
      <c r="X2" cm="1">
        <f t="array" ref="X2">COUNT(_xlfn._xlws.FILTER(INDEX(test_output!K:FP,0,A2),([1]train_xl!$Y:$Y="not")+([1]train_xl!$Y:$Y="antonym")))</f>
        <v>0</v>
      </c>
      <c r="Y2" cm="1">
        <f t="array" ref="Y2">COUNT(_xlfn._xlws.FILTER(INDEX(test_output!K:FP,0,A2),(INDEX(test_output!K:FP,0,A2)=1)*(([1]train_xl!$Y:$Y="not")+([1]train_xl!$Y:$Y="antonym"))))</f>
        <v>0</v>
      </c>
      <c r="AB2" t="e" cm="1" vm="1">
        <f t="array" ref="AB2">AVERAGE(_xlfn._xlws.FILTER(INDEX(test_output!K:FP,0,A2),[1]train_xl!$AA:$AA="neg"))</f>
        <v>#VALUE!</v>
      </c>
      <c r="AC2" cm="1">
        <f t="array" ref="AC2">COUNT(_xlfn._xlws.FILTER(INDEX(test_output!K:FP,0,A2),[1]train_xl!$AA:$AA="neg"))</f>
        <v>0</v>
      </c>
      <c r="AD2" cm="1">
        <f t="array" ref="AD2">COUNT(_xlfn._xlws.FILTER(INDEX(test_output!K:FP,0,A2),([1]train_xl!$AA:$AA="neg")*(INDEX(test_output!K:FP,0,A2)=1)))</f>
        <v>0</v>
      </c>
      <c r="AG2" t="e" cm="1" vm="1">
        <f t="array" ref="AG2">AVERAGE(_xlfn._xlws.FILTER(INDEX(test_output!K:FP,0,A2),[1]train_xl!$AA:$AA="intens"))</f>
        <v>#VALUE!</v>
      </c>
      <c r="AH2" cm="1">
        <f t="array" ref="AH2">COUNT(_xlfn._xlws.FILTER(INDEX(test_output!K:FP,0,A2),[1]train_xl!$AA:$AA="intens"))</f>
        <v>0</v>
      </c>
      <c r="AI2" cm="1">
        <f t="array" ref="AI2">COUNT(_xlfn._xlws.FILTER(INDEX(test_output!K:FP,0,A2),([1]train_xl!$AA:$AA="intens")*(INDEX(test_output!K:FP,0,A2)=1)))</f>
        <v>0</v>
      </c>
      <c r="AL2" t="e" cm="1" vm="1">
        <f t="array" ref="AL2">AVERAGE(_xlfn._xlws.FILTER(INDEX(test_output!K:FP,0,A2),([1]train_xl!$Y:$Y="not")*([1]train_xl!$AA:$AA="neg")))</f>
        <v>#VALUE!</v>
      </c>
      <c r="AM2" cm="1">
        <f t="array" ref="AM2">COUNT(_xlfn._xlws.FILTER(INDEX(test_output!K:FP,0,A2),([1]train_xl!$Y:$Y="not")*([1]train_xl!$AA:$AA="neg")))</f>
        <v>0</v>
      </c>
      <c r="AN2" cm="1">
        <f t="array" ref="AN2">COUNT(_xlfn._xlws.FILTER(INDEX(test_output!K:FP,0,A2),([1]train_xl!$Y:$Y="not")*([1]train_xl!$AA:$AA="neg")*(INDEX(test_output!K:FP,0,A2)=1)))</f>
        <v>0</v>
      </c>
      <c r="AQ2" t="e" cm="1" vm="1">
        <f t="array" ref="AQ2">AVERAGE(_xlfn._xlws.FILTER(INDEX(test_output!K:FP,0,A2),([1]train_xl!$Y:$Y="not")*([1]train_xl!$AA:$AA="intens")))</f>
        <v>#VALUE!</v>
      </c>
      <c r="AR2" cm="1">
        <f t="array" ref="AR2">COUNT(_xlfn._xlws.FILTER(INDEX(test_output!K:FP,0,A2),([1]train_xl!$Y:$Y="not")*([1]train_xl!$AA:$AA="intens")))</f>
        <v>0</v>
      </c>
      <c r="AS2" cm="1">
        <f t="array" ref="AS2">COUNT(_xlfn._xlws.FILTER(INDEX(test_output!K:FP,0,A2),([1]train_xl!$Y:$Y="not")*([1]train_xl!$AA:$AA="intens")*(INDEX(test_output!K:FP,0,A2)=1)))</f>
        <v>0</v>
      </c>
      <c r="AV2" t="e" cm="1" vm="1">
        <f t="array" ref="AV2">AVERAGE(_xlfn._xlws.FILTER(INDEX(test_output!K:FP,0,A2),([1]train_xl!$Y:$Y="antonym")*([1]train_xl!$AA:$AA="neg")))</f>
        <v>#VALUE!</v>
      </c>
      <c r="AW2" cm="1">
        <f t="array" ref="AW2">COUNT(_xlfn._xlws.FILTER(INDEX(test_output!K:FP,0,A2),([1]train_xl!$Y:$Y="antonym")*([1]train_xl!$AA:$AA="neg")))</f>
        <v>0</v>
      </c>
      <c r="AX2" cm="1">
        <f t="array" ref="AX2">COUNT(_xlfn._xlws.FILTER(INDEX(test_output!K:FP,0,A2),([1]train_xl!$Y:$Y="antonym")*([1]train_xl!$AA:$AA="neg")*(INDEX(test_output!K:FP,0,A2)=1)))</f>
        <v>0</v>
      </c>
      <c r="BA2" t="e" cm="1" vm="1">
        <f t="array" ref="BA2">AVERAGE(_xlfn._xlws.FILTER(INDEX(test_output!K:FP,0,A2),([1]train_xl!$Y:$Y="antonym")*([1]train_xl!$AA:$AA="intens")))</f>
        <v>#VALUE!</v>
      </c>
      <c r="BB2" cm="1">
        <f t="array" ref="BB2">COUNT(_xlfn._xlws.FILTER(INDEX(test_output!K:FP,0,A2),([1]train_xl!$Y:$Y="antonym")*([1]train_xl!$AA:$AA="intens")))</f>
        <v>0</v>
      </c>
      <c r="BC2" cm="1">
        <f t="array" ref="BC2">COUNT(_xlfn._xlws.FILTER(INDEX(test_output!K:FP,0,A2),([1]train_xl!$Y:$Y="antonym")*([1]train_xl!$AA:$AA="intens")*(INDEX(test_output!K:FP,0,A2)=1)))</f>
        <v>0</v>
      </c>
      <c r="BF2" t="e" cm="1" vm="1">
        <f t="array" ref="BF2">AVERAGE(_xlfn._xlws.FILTER(INDEX(test_output!K:FP,0,A2),[1]train_xl!$AB:$AB="Past"))</f>
        <v>#VALUE!</v>
      </c>
      <c r="BG2" cm="1">
        <f t="array" ref="BG2">COUNT(_xlfn._xlws.FILTER(INDEX(test_output!K:FP,0,A2),[1]train_xl!$AB:$AB="Past"))</f>
        <v>0</v>
      </c>
      <c r="BH2" cm="1">
        <f t="array" ref="BH2">COUNT(_xlfn._xlws.FILTER(INDEX(test_output!K:FP,0,A2),([1]train_xl!$AB:$AB="Past")*(INDEX(test_output!K:FP,0,A2)=1)))</f>
        <v>0</v>
      </c>
      <c r="BK2" t="e" cm="1" vm="1">
        <f t="array" ref="BK2">AVERAGE(_xlfn._xlws.FILTER(INDEX(test_output!K:FP,0,A2),[1]train_xl!$AB:$AB="Pres"))</f>
        <v>#VALUE!</v>
      </c>
      <c r="BL2" cm="1">
        <f t="array" ref="BL2">COUNT(_xlfn._xlws.FILTER(INDEX(test_output!K:FP,0,A2),[1]train_xl!$AB:$AB="Pres"))</f>
        <v>0</v>
      </c>
      <c r="BM2" cm="1">
        <f t="array" ref="BM2">COUNT(_xlfn._xlws.FILTER(INDEX(test_output!K:FP,0,A2),([1]train_xl!$AB:$AB="Pres")*(INDEX(test_output!K:FP,0,A2)=1)))</f>
        <v>0</v>
      </c>
      <c r="BP2" t="e" cm="1" vm="1">
        <f t="array" ref="BP2">AVERAGE(_xlfn._xlws.FILTER(INDEX(test_output!K:FP,0,A2),[1]train_xl!$AD:$AD="L"))</f>
        <v>#VALUE!</v>
      </c>
      <c r="BQ2" cm="1">
        <f t="array" ref="BQ2">COUNT(_xlfn._xlws.FILTER(INDEX(test_output!K:FP,0,A2),[1]train_xl!$AD:$AD="L"))</f>
        <v>0</v>
      </c>
      <c r="BR2" cm="1">
        <f t="array" ref="BR2">COUNT(_xlfn._xlws.FILTER(INDEX(test_output!K:FP,0,A2),([1]train_xl!$AD:$AD="L")*(INDEX(test_output!K:FP,0,A2)=1)))</f>
        <v>0</v>
      </c>
      <c r="BU2" t="e" cm="1" vm="1">
        <f t="array" ref="BU2">AVERAGE(_xlfn._xlws.FILTER(INDEX(test_output!K:FP,0,A2),[1]train_xl!$AD:$AD="H"))</f>
        <v>#VALUE!</v>
      </c>
      <c r="BV2" cm="1">
        <f t="array" ref="BV2">COUNT(_xlfn._xlws.FILTER(INDEX(test_output!K:FP,0,A2),[1]train_xl!$AD:$AD="H"))</f>
        <v>0</v>
      </c>
      <c r="BW2" cm="1">
        <f t="array" ref="BW2">COUNT(_xlfn._xlws.FILTER(INDEX(test_output!K:FP,0,A2),([1]train_xl!$AD:$AD="H")*(INDEX(test_output!K:FP,0,A2)=1)))</f>
        <v>0</v>
      </c>
      <c r="BZ2" t="e" cm="1" vm="1">
        <f t="array" ref="BZ2">AVERAGE(_xlfn._xlws.FILTER(INDEX(test_output!K:FP,0,A2),[1]train_xl!$AE:$AE=1))</f>
        <v>#VALUE!</v>
      </c>
      <c r="CA2" cm="1">
        <f t="array" ref="CA2">COUNT(_xlfn._xlws.FILTER(INDEX(test_output!K:FP,0,A2),[1]train_xl!$AE:$AE=1))</f>
        <v>0</v>
      </c>
      <c r="CB2" cm="1">
        <f t="array" ref="CB2">COUNT(_xlfn._xlws.FILTER(INDEX(test_output!K:FP,0,A2),([1]train_xl!$AE:$AE=1)*(INDEX(test_output!K:FP,0,A2)=1)))</f>
        <v>0</v>
      </c>
      <c r="CE2" t="e" cm="1" vm="1">
        <f t="array" ref="CE2">AVERAGE(_xlfn._xlws.FILTER(INDEX(test_output!K:FP,0,A2),([1]train_xl!$AE:$AE=1)*([1]train_xl!$AA:$AA="intens")))</f>
        <v>#VALUE!</v>
      </c>
      <c r="CF2" cm="1">
        <f t="array" ref="CF2">COUNT(_xlfn._xlws.FILTER(INDEX(test_output!K:FP,0,A2),([1]train_xl!$AE:$AE=1)*([1]train_xl!$AA:$AA="intens")))</f>
        <v>0</v>
      </c>
      <c r="CG2" cm="1">
        <f t="array" ref="CG2">COUNT(_xlfn._xlws.FILTER(INDEX(test_output!K:FP,0,A2),([1]train_xl!$AE:$AE=1)*([1]train_xl!$AA:$AA="intens")*(INDEX(test_output!K:FP,0,A2)=1)))</f>
        <v>0</v>
      </c>
      <c r="CJ2" t="e" cm="1" vm="1">
        <f t="array" ref="CJ2">AVERAGE(_xlfn._xlws.FILTER(INDEX(test_output!K:FP,0,A2),([1]train_xl!$AE:$AE=1)*([1]train_xl!$AA:$AA="neg")))</f>
        <v>#VALUE!</v>
      </c>
      <c r="CK2" cm="1">
        <f t="array" ref="CK2">COUNT(_xlfn._xlws.FILTER(INDEX(test_output!K:FP,0,A2),([1]train_xl!$AE:$AE=1)*([1]train_xl!$AA:$AA="neg")))</f>
        <v>0</v>
      </c>
      <c r="CL2" cm="1">
        <f t="array" ref="CL2">COUNT(_xlfn._xlws.FILTER(INDEX(test_output!K:FP,0,A2),([1]train_xl!$AE:$AE=1)*([1]train_xl!$AA:$AA="neg")*(INDEX(test_output!K:FP,0,A2)=1)))</f>
        <v>0</v>
      </c>
    </row>
    <row r="3" spans="1:92" x14ac:dyDescent="0.35">
      <c r="A3">
        <f>A2+3</f>
        <v>6</v>
      </c>
      <c r="B3" t="str" cm="1">
        <f t="array" ref="B3">INDEX(test_output!K:FQ,1,A3)</f>
        <v>Llama-3-70B-Instruct M2 bin</v>
      </c>
      <c r="C3">
        <f>AVERAGE(INDEX(test_output!K:FP,0,A3))</f>
        <v>0.82421875</v>
      </c>
      <c r="D3">
        <f>COUNT(INDEX(test_output!K:FP,0,A3))</f>
        <v>256</v>
      </c>
      <c r="E3" cm="1">
        <f t="array" ref="E3">COUNT(_xlfn._xlws.FILTER(INDEX(test_output!K:FP,0,A3),INDEX(test_output!K:FP,0,A3)=1))</f>
        <v>211</v>
      </c>
      <c r="H3" cm="1">
        <f t="array" ref="H3">AVERAGE(_xlfn._xlws.FILTER(INDEX(test_output!K:FP,0,A3),[1]train_xl!$I:$I="met"))</f>
        <v>0.87234042553191493</v>
      </c>
      <c r="I3" cm="1">
        <f t="array" ref="I3">COUNT(_xlfn._xlws.FILTER(INDEX(test_output!K:FP,0,A3),[1]train_xl!$I:$I="met"))</f>
        <v>47</v>
      </c>
      <c r="J3" cm="1">
        <f t="array" ref="J3">COUNT(_xlfn._xlws.FILTER(INDEX(test_output!K:FP,0,A3),([1]train_xl!$I:$I="met")*(INDEX(test_output!K:FP,0,A3)=1)))</f>
        <v>41</v>
      </c>
      <c r="M3" cm="1">
        <f t="array" ref="M3">AVERAGE(_xlfn._xlws.FILTER(INDEX(test_output!K:FP,0,A3),[1]train_xl!$I:$I="sim"))</f>
        <v>0.8133971291866029</v>
      </c>
      <c r="N3" cm="1">
        <f t="array" ref="N3">COUNT(_xlfn._xlws.FILTER(INDEX(test_output!K:FP,0,A3),[1]train_xl!$I:$I="sim"))</f>
        <v>209</v>
      </c>
      <c r="O3" cm="1">
        <f t="array" ref="O3">COUNT(_xlfn._xlws.FILTER(INDEX(test_output!K:FP,0,A3),([1]train_xl!$I:$I="sim")*(INDEX(test_output!K:FP,0,A3)=1)))</f>
        <v>170</v>
      </c>
      <c r="AB3" t="e" cm="1" vm="1">
        <f t="array" ref="AB3">AVERAGE(_xlfn._xlws.FILTER(INDEX(test_output!K:FP,0,A3),[1]train_xl!$AA:$AA="neg"))</f>
        <v>#VALUE!</v>
      </c>
      <c r="AC3" cm="1">
        <f t="array" ref="AC3">COUNT(_xlfn._xlws.FILTER(INDEX(test_output!K:FP,0,A3),[1]train_xl!$AA:$AA="neg"))</f>
        <v>0</v>
      </c>
      <c r="AD3" cm="1">
        <f t="array" ref="AD3">COUNT(_xlfn._xlws.FILTER(INDEX(test_output!K:FP,0,A3),([1]train_xl!$AA:$AA="neg")*(INDEX(test_output!K:FP,0,A3)=1)))</f>
        <v>0</v>
      </c>
      <c r="AG3" t="e" cm="1" vm="1">
        <f t="array" ref="AG3">AVERAGE(_xlfn._xlws.FILTER(INDEX(test_output!K:FP,0,A3),[1]train_xl!$AA:$AA="intens"))</f>
        <v>#VALUE!</v>
      </c>
      <c r="AH3" cm="1">
        <f t="array" ref="AH3">COUNT(_xlfn._xlws.FILTER(INDEX(test_output!K:FP,0,A3),[1]train_xl!$AA:$AA="intens"))</f>
        <v>0</v>
      </c>
      <c r="AI3" cm="1">
        <f t="array" ref="AI3">COUNT(_xlfn._xlws.FILTER(INDEX(test_output!K:FP,0,A3),([1]train_xl!$AA:$AA="intens")*(INDEX(test_output!K:FP,0,A3)=1)))</f>
        <v>0</v>
      </c>
      <c r="AL3" t="e" cm="1" vm="1">
        <f t="array" ref="AL3">AVERAGE(_xlfn._xlws.FILTER(INDEX(test_output!K:FP,0,A3),([1]train_xl!$Y:$Y="not")*([1]train_xl!$AA:$AA="neg")))</f>
        <v>#VALUE!</v>
      </c>
      <c r="AM3" cm="1">
        <f t="array" ref="AM3">COUNT(_xlfn._xlws.FILTER(INDEX(test_output!K:FP,0,A3),([1]train_xl!$Y:$Y="not")*([1]train_xl!$AA:$AA="neg")))</f>
        <v>0</v>
      </c>
      <c r="AN3" cm="1">
        <f t="array" ref="AN3">COUNT(_xlfn._xlws.FILTER(INDEX(test_output!K:FP,0,A3),([1]train_xl!$Y:$Y="not")*([1]train_xl!$AA:$AA="neg")*(INDEX(test_output!K:FP,0,A3)=1)))</f>
        <v>0</v>
      </c>
      <c r="AQ3" t="e" cm="1" vm="1">
        <f t="array" ref="AQ3">AVERAGE(_xlfn._xlws.FILTER(INDEX(test_output!K:FP,0,A3),([1]train_xl!$Y:$Y="not")*([1]train_xl!$AA:$AA="intens")))</f>
        <v>#VALUE!</v>
      </c>
      <c r="AR3" cm="1">
        <f t="array" ref="AR3">COUNT(_xlfn._xlws.FILTER(INDEX(test_output!K:FP,0,A3),([1]train_xl!$Y:$Y="not")*([1]train_xl!$AA:$AA="intens")))</f>
        <v>0</v>
      </c>
      <c r="AS3" cm="1">
        <f t="array" ref="AS3">COUNT(_xlfn._xlws.FILTER(INDEX(test_output!K:FP,0,A3),([1]train_xl!$Y:$Y="not")*([1]train_xl!$AA:$AA="intens")*(INDEX(test_output!K:FP,0,A3)=1)))</f>
        <v>0</v>
      </c>
      <c r="AV3" t="e" cm="1" vm="1">
        <f t="array" ref="AV3">AVERAGE(_xlfn._xlws.FILTER(INDEX(test_output!K:FP,0,A3),([1]train_xl!$Y:$Y="antonym")*([1]train_xl!$AA:$AA="neg")))</f>
        <v>#VALUE!</v>
      </c>
      <c r="AW3" cm="1">
        <f t="array" ref="AW3">COUNT(_xlfn._xlws.FILTER(INDEX(test_output!K:FP,0,A3),([1]train_xl!$Y:$Y="antonym")*([1]train_xl!$AA:$AA="neg")))</f>
        <v>0</v>
      </c>
      <c r="AX3" cm="1">
        <f t="array" ref="AX3">COUNT(_xlfn._xlws.FILTER(INDEX(test_output!K:FP,0,A3),([1]train_xl!$Y:$Y="antonym")*([1]train_xl!$AA:$AA="neg")*(INDEX(test_output!K:FP,0,A3)=1)))</f>
        <v>0</v>
      </c>
      <c r="BA3" t="e" cm="1" vm="1">
        <f t="array" ref="BA3">AVERAGE(_xlfn._xlws.FILTER(INDEX(test_output!K:FP,0,A3),([1]train_xl!$Y:$Y="antonym")*([1]train_xl!$AA:$AA="intens")))</f>
        <v>#VALUE!</v>
      </c>
      <c r="BB3" cm="1">
        <f t="array" ref="BB3">COUNT(_xlfn._xlws.FILTER(INDEX(test_output!K:FP,0,A3),([1]train_xl!$Y:$Y="antonym")*([1]train_xl!$AA:$AA="intens")))</f>
        <v>0</v>
      </c>
      <c r="BC3" cm="1">
        <f t="array" ref="BC3">COUNT(_xlfn._xlws.FILTER(INDEX(test_output!K:FP,0,A3),([1]train_xl!$Y:$Y="antonym")*([1]train_xl!$AA:$AA="intens")*(INDEX(test_output!K:FP,0,A3)=1)))</f>
        <v>0</v>
      </c>
      <c r="BF3" t="e" cm="1" vm="1">
        <f t="array" ref="BF3">AVERAGE(_xlfn._xlws.FILTER(INDEX(test_output!K:FP,0,A3),[1]train_xl!$AB:$AB="Past"))</f>
        <v>#VALUE!</v>
      </c>
      <c r="BG3" cm="1">
        <f t="array" ref="BG3">COUNT(_xlfn._xlws.FILTER(INDEX(test_output!K:FP,0,A3),[1]train_xl!$AB:$AB="Past"))</f>
        <v>0</v>
      </c>
      <c r="BH3" cm="1">
        <f t="array" ref="BH3">COUNT(_xlfn._xlws.FILTER(INDEX(test_output!K:FP,0,A3),([1]train_xl!$AB:$AB="Past")*(INDEX(test_output!K:FP,0,A3)=1)))</f>
        <v>0</v>
      </c>
      <c r="BK3" t="e" cm="1" vm="1">
        <f t="array" ref="BK3">AVERAGE(_xlfn._xlws.FILTER(INDEX(test_output!K:FP,0,A3),[1]train_xl!$AB:$AB="Pres"))</f>
        <v>#VALUE!</v>
      </c>
      <c r="BL3" cm="1">
        <f t="array" ref="BL3">COUNT(_xlfn._xlws.FILTER(INDEX(test_output!K:FP,0,A3),[1]train_xl!$AB:$AB="Pres"))</f>
        <v>0</v>
      </c>
      <c r="BM3" cm="1">
        <f t="array" ref="BM3">COUNT(_xlfn._xlws.FILTER(INDEX(test_output!K:FP,0,A3),([1]train_xl!$AB:$AB="Pres")*(INDEX(test_output!K:FP,0,A3)=1)))</f>
        <v>0</v>
      </c>
      <c r="BP3" t="e" cm="1" vm="1">
        <f t="array" ref="BP3">AVERAGE(_xlfn._xlws.FILTER(INDEX(test_output!K:FP,0,A3),[1]train_xl!$AD:$AD="L"))</f>
        <v>#VALUE!</v>
      </c>
      <c r="BQ3" cm="1">
        <f t="array" ref="BQ3">COUNT(_xlfn._xlws.FILTER(INDEX(test_output!K:FP,0,A3),[1]train_xl!$AD:$AD="L"))</f>
        <v>0</v>
      </c>
      <c r="BR3" cm="1">
        <f t="array" ref="BR3">COUNT(_xlfn._xlws.FILTER(INDEX(test_output!K:FP,0,A3),([1]train_xl!$AD:$AD="L")*(INDEX(test_output!K:FP,0,A3)=1)))</f>
        <v>0</v>
      </c>
      <c r="BU3" t="e" cm="1" vm="1">
        <f t="array" ref="BU3">AVERAGE(_xlfn._xlws.FILTER(INDEX(test_output!K:FP,0,A3),[1]train_xl!$AD:$AD="H"))</f>
        <v>#VALUE!</v>
      </c>
      <c r="BV3" cm="1">
        <f t="array" ref="BV3">COUNT(_xlfn._xlws.FILTER(INDEX(test_output!K:FP,0,A3),[1]train_xl!$AD:$AD="H"))</f>
        <v>0</v>
      </c>
      <c r="BW3" cm="1">
        <f t="array" ref="BW3">COUNT(_xlfn._xlws.FILTER(INDEX(test_output!K:FP,0,A3),([1]train_xl!$AD:$AD="H")*(INDEX(test_output!K:FP,0,A3)=1)))</f>
        <v>0</v>
      </c>
      <c r="BZ3" t="e" cm="1" vm="1">
        <f t="array" ref="BZ3">AVERAGE(_xlfn._xlws.FILTER(INDEX(test_output!K:FP,0,A3),[1]train_xl!$AE:$AE=1))</f>
        <v>#VALUE!</v>
      </c>
      <c r="CA3" cm="1">
        <f t="array" ref="CA3">COUNT(_xlfn._xlws.FILTER(INDEX(test_output!K:FP,0,A3),[1]train_xl!$AE:$AE=1))</f>
        <v>0</v>
      </c>
      <c r="CB3" cm="1">
        <f t="array" ref="CB3">COUNT(_xlfn._xlws.FILTER(INDEX(test_output!K:FP,0,A3),([1]train_xl!$AE:$AE=1)*(INDEX(test_output!K:FP,0,A3)=1)))</f>
        <v>0</v>
      </c>
      <c r="CE3" t="e" cm="1" vm="1">
        <f t="array" ref="CE3">AVERAGE(_xlfn._xlws.FILTER(INDEX(test_output!K:FP,0,A3),([1]train_xl!$AE:$AE=1)*([1]train_xl!$AA:$AA="intens")))</f>
        <v>#VALUE!</v>
      </c>
      <c r="CF3" cm="1">
        <f t="array" ref="CF3">COUNT(_xlfn._xlws.FILTER(INDEX(test_output!K:FP,0,A3),([1]train_xl!$AE:$AE=1)*([1]train_xl!$AA:$AA="intens")))</f>
        <v>0</v>
      </c>
      <c r="CG3" cm="1">
        <f t="array" ref="CG3">COUNT(_xlfn._xlws.FILTER(INDEX(test_output!K:FP,0,A3),([1]train_xl!$AE:$AE=1)*([1]train_xl!$AA:$AA="intens")*(INDEX(test_output!K:FP,0,A3)=1)))</f>
        <v>0</v>
      </c>
      <c r="CJ3" t="e" cm="1" vm="1">
        <f t="array" ref="CJ3">AVERAGE(_xlfn._xlws.FILTER(INDEX(test_output!K:FP,0,A3),([1]train_xl!$AE:$AE=1)*([1]train_xl!$AA:$AA="neg")))</f>
        <v>#VALUE!</v>
      </c>
      <c r="CK3" cm="1">
        <f t="array" ref="CK3">COUNT(_xlfn._xlws.FILTER(INDEX(test_output!K:FP,0,A3),([1]train_xl!$AE:$AE=1)*([1]train_xl!$AA:$AA="neg")))</f>
        <v>0</v>
      </c>
      <c r="CL3" cm="1">
        <f t="array" ref="CL3">COUNT(_xlfn._xlws.FILTER(INDEX(test_output!K:FP,0,A3),([1]train_xl!$AE:$AE=1)*([1]train_xl!$AA:$AA="neg")*(INDEX(test_output!K:FP,0,A3)=1)))</f>
        <v>0</v>
      </c>
    </row>
    <row r="4" spans="1:92" x14ac:dyDescent="0.35">
      <c r="A4">
        <f t="shared" ref="A4:A31" si="0">A3+3</f>
        <v>9</v>
      </c>
      <c r="B4" t="str" cm="1">
        <f t="array" ref="B4">INDEX(test_output!K:FQ,1,A4)</f>
        <v>Llama-3-70B-Instruct M3 bin</v>
      </c>
      <c r="C4">
        <f>AVERAGE(INDEX(test_output!K:FP,0,A4))</f>
        <v>0.7578125</v>
      </c>
      <c r="D4">
        <f>COUNT(INDEX(test_output!K:FP,0,A4))</f>
        <v>256</v>
      </c>
      <c r="E4" cm="1">
        <f t="array" ref="E4">COUNT(_xlfn._xlws.FILTER(INDEX(test_output!K:FP,0,A4),INDEX(test_output!K:FP,0,A4)=1))</f>
        <v>194</v>
      </c>
      <c r="H4" cm="1">
        <f t="array" ref="H4">AVERAGE(_xlfn._xlws.FILTER(INDEX(test_output!K:FP,0,A4),[1]train_xl!$I:$I="met"))</f>
        <v>0.78723404255319152</v>
      </c>
      <c r="I4" cm="1">
        <f t="array" ref="I4">COUNT(_xlfn._xlws.FILTER(INDEX(test_output!K:FP,0,A4),[1]train_xl!$I:$I="met"))</f>
        <v>47</v>
      </c>
      <c r="J4" cm="1">
        <f t="array" ref="J4">COUNT(_xlfn._xlws.FILTER(INDEX(test_output!K:FP,0,A4),([1]train_xl!$I:$I="met")*(INDEX(test_output!K:FP,0,A4)=1)))</f>
        <v>37</v>
      </c>
      <c r="M4" cm="1">
        <f t="array" ref="M4">AVERAGE(_xlfn._xlws.FILTER(INDEX(test_output!K:FP,0,A4),[1]train_xl!$I:$I="sim"))</f>
        <v>0.75119617224880386</v>
      </c>
      <c r="N4" cm="1">
        <f t="array" ref="N4">COUNT(_xlfn._xlws.FILTER(INDEX(test_output!K:FP,0,A4),[1]train_xl!$I:$I="sim"))</f>
        <v>209</v>
      </c>
      <c r="O4" cm="1">
        <f t="array" ref="O4">COUNT(_xlfn._xlws.FILTER(INDEX(test_output!K:FP,0,A4),([1]train_xl!$I:$I="sim")*(INDEX(test_output!K:FP,0,A4)=1)))</f>
        <v>157</v>
      </c>
      <c r="AB4" t="e" cm="1" vm="1">
        <f t="array" ref="AB4">AVERAGE(_xlfn._xlws.FILTER(INDEX(test_output!K:FP,0,A4),[1]train_xl!$AA:$AA="neg"))</f>
        <v>#VALUE!</v>
      </c>
      <c r="AC4" cm="1">
        <f t="array" ref="AC4">COUNT(_xlfn._xlws.FILTER(INDEX(test_output!K:FP,0,A4),[1]train_xl!$AA:$AA="neg"))</f>
        <v>0</v>
      </c>
      <c r="AD4" cm="1">
        <f t="array" ref="AD4">COUNT(_xlfn._xlws.FILTER(INDEX(test_output!K:FP,0,A4),([1]train_xl!$AA:$AA="neg")*(INDEX(test_output!K:FP,0,A4)=1)))</f>
        <v>0</v>
      </c>
      <c r="AG4" t="e" cm="1" vm="1">
        <f t="array" ref="AG4">AVERAGE(_xlfn._xlws.FILTER(INDEX(test_output!K:FP,0,A4),[1]train_xl!$AA:$AA="intens"))</f>
        <v>#VALUE!</v>
      </c>
      <c r="AH4" cm="1">
        <f t="array" ref="AH4">COUNT(_xlfn._xlws.FILTER(INDEX(test_output!K:FP,0,A4),[1]train_xl!$AA:$AA="intens"))</f>
        <v>0</v>
      </c>
      <c r="AI4" cm="1">
        <f t="array" ref="AI4">COUNT(_xlfn._xlws.FILTER(INDEX(test_output!K:FP,0,A4),([1]train_xl!$AA:$AA="intens")*(INDEX(test_output!K:FP,0,A4)=1)))</f>
        <v>0</v>
      </c>
      <c r="AL4" t="e" cm="1" vm="1">
        <f t="array" ref="AL4">AVERAGE(_xlfn._xlws.FILTER(INDEX(test_output!K:FP,0,A4),([1]train_xl!$Y:$Y="not")*([1]train_xl!$AA:$AA="neg")))</f>
        <v>#VALUE!</v>
      </c>
      <c r="AM4" cm="1">
        <f t="array" ref="AM4">COUNT(_xlfn._xlws.FILTER(INDEX(test_output!K:FP,0,A4),([1]train_xl!$Y:$Y="not")*([1]train_xl!$AA:$AA="neg")))</f>
        <v>0</v>
      </c>
      <c r="AN4" cm="1">
        <f t="array" ref="AN4">COUNT(_xlfn._xlws.FILTER(INDEX(test_output!K:FP,0,A4),([1]train_xl!$Y:$Y="not")*([1]train_xl!$AA:$AA="neg")*(INDEX(test_output!K:FP,0,A4)=1)))</f>
        <v>0</v>
      </c>
      <c r="AQ4" t="e" cm="1" vm="1">
        <f t="array" ref="AQ4">AVERAGE(_xlfn._xlws.FILTER(INDEX(test_output!K:FP,0,A4),([1]train_xl!$Y:$Y="not")*([1]train_xl!$AA:$AA="intens")))</f>
        <v>#VALUE!</v>
      </c>
      <c r="AR4" cm="1">
        <f t="array" ref="AR4">COUNT(_xlfn._xlws.FILTER(INDEX(test_output!K:FP,0,A4),([1]train_xl!$Y:$Y="not")*([1]train_xl!$AA:$AA="intens")))</f>
        <v>0</v>
      </c>
      <c r="AS4" cm="1">
        <f t="array" ref="AS4">COUNT(_xlfn._xlws.FILTER(INDEX(test_output!K:FP,0,A4),([1]train_xl!$Y:$Y="not")*([1]train_xl!$AA:$AA="intens")*(INDEX(test_output!K:FP,0,A4)=1)))</f>
        <v>0</v>
      </c>
      <c r="AV4" t="e" cm="1" vm="1">
        <f t="array" ref="AV4">AVERAGE(_xlfn._xlws.FILTER(INDEX(test_output!K:FP,0,A4),([1]train_xl!$Y:$Y="antonym")*([1]train_xl!$AA:$AA="neg")))</f>
        <v>#VALUE!</v>
      </c>
      <c r="AW4" cm="1">
        <f t="array" ref="AW4">COUNT(_xlfn._xlws.FILTER(INDEX(test_output!K:FP,0,A4),([1]train_xl!$Y:$Y="antonym")*([1]train_xl!$AA:$AA="neg")))</f>
        <v>0</v>
      </c>
      <c r="AX4" cm="1">
        <f t="array" ref="AX4">COUNT(_xlfn._xlws.FILTER(INDEX(test_output!K:FP,0,A4),([1]train_xl!$Y:$Y="antonym")*([1]train_xl!$AA:$AA="neg")*(INDEX(test_output!K:FP,0,A4)=1)))</f>
        <v>0</v>
      </c>
      <c r="BA4" t="e" cm="1" vm="1">
        <f t="array" ref="BA4">AVERAGE(_xlfn._xlws.FILTER(INDEX(test_output!K:FP,0,A4),([1]train_xl!$Y:$Y="antonym")*([1]train_xl!$AA:$AA="intens")))</f>
        <v>#VALUE!</v>
      </c>
      <c r="BB4" cm="1">
        <f t="array" ref="BB4">COUNT(_xlfn._xlws.FILTER(INDEX(test_output!K:FP,0,A4),([1]train_xl!$Y:$Y="antonym")*([1]train_xl!$AA:$AA="intens")))</f>
        <v>0</v>
      </c>
      <c r="BC4" cm="1">
        <f t="array" ref="BC4">COUNT(_xlfn._xlws.FILTER(INDEX(test_output!K:FP,0,A4),([1]train_xl!$Y:$Y="antonym")*([1]train_xl!$AA:$AA="intens")*(INDEX(test_output!K:FP,0,A4)=1)))</f>
        <v>0</v>
      </c>
      <c r="BF4" t="e" cm="1" vm="1">
        <f t="array" ref="BF4">AVERAGE(_xlfn._xlws.FILTER(INDEX(test_output!K:FP,0,A4),[1]train_xl!$AB:$AB="Past"))</f>
        <v>#VALUE!</v>
      </c>
      <c r="BG4" cm="1">
        <f t="array" ref="BG4">COUNT(_xlfn._xlws.FILTER(INDEX(test_output!K:FP,0,A4),[1]train_xl!$AB:$AB="Past"))</f>
        <v>0</v>
      </c>
      <c r="BH4" cm="1">
        <f t="array" ref="BH4">COUNT(_xlfn._xlws.FILTER(INDEX(test_output!K:FP,0,A4),([1]train_xl!$AB:$AB="Past")*(INDEX(test_output!K:FP,0,A4)=1)))</f>
        <v>0</v>
      </c>
      <c r="BK4" t="e" cm="1" vm="1">
        <f t="array" ref="BK4">AVERAGE(_xlfn._xlws.FILTER(INDEX(test_output!K:FP,0,A4),[1]train_xl!$AB:$AB="Pres"))</f>
        <v>#VALUE!</v>
      </c>
      <c r="BL4" cm="1">
        <f t="array" ref="BL4">COUNT(_xlfn._xlws.FILTER(INDEX(test_output!K:FP,0,A4),[1]train_xl!$AB:$AB="Pres"))</f>
        <v>0</v>
      </c>
      <c r="BM4" cm="1">
        <f t="array" ref="BM4">COUNT(_xlfn._xlws.FILTER(INDEX(test_output!K:FP,0,A4),([1]train_xl!$AB:$AB="Pres")*(INDEX(test_output!K:FP,0,A4)=1)))</f>
        <v>0</v>
      </c>
      <c r="BP4" t="e" cm="1" vm="1">
        <f t="array" ref="BP4">AVERAGE(_xlfn._xlws.FILTER(INDEX(test_output!K:FP,0,A4),[1]train_xl!$AD:$AD="L"))</f>
        <v>#VALUE!</v>
      </c>
      <c r="BQ4" cm="1">
        <f t="array" ref="BQ4">COUNT(_xlfn._xlws.FILTER(INDEX(test_output!K:FP,0,A4),[1]train_xl!$AD:$AD="L"))</f>
        <v>0</v>
      </c>
      <c r="BR4" cm="1">
        <f t="array" ref="BR4">COUNT(_xlfn._xlws.FILTER(INDEX(test_output!K:FP,0,A4),([1]train_xl!$AD:$AD="L")*(INDEX(test_output!K:FP,0,A4)=1)))</f>
        <v>0</v>
      </c>
      <c r="BU4" t="e" cm="1" vm="1">
        <f t="array" ref="BU4">AVERAGE(_xlfn._xlws.FILTER(INDEX(test_output!K:FP,0,A4),[1]train_xl!$AD:$AD="H"))</f>
        <v>#VALUE!</v>
      </c>
      <c r="BV4" cm="1">
        <f t="array" ref="BV4">COUNT(_xlfn._xlws.FILTER(INDEX(test_output!K:FP,0,A4),[1]train_xl!$AD:$AD="H"))</f>
        <v>0</v>
      </c>
      <c r="BW4" cm="1">
        <f t="array" ref="BW4">COUNT(_xlfn._xlws.FILTER(INDEX(test_output!K:FP,0,A4),([1]train_xl!$AD:$AD="H")*(INDEX(test_output!K:FP,0,A4)=1)))</f>
        <v>0</v>
      </c>
      <c r="BZ4" t="e" cm="1" vm="1">
        <f t="array" ref="BZ4">AVERAGE(_xlfn._xlws.FILTER(INDEX(test_output!K:FP,0,A4),[1]train_xl!$AE:$AE=1))</f>
        <v>#VALUE!</v>
      </c>
      <c r="CA4" cm="1">
        <f t="array" ref="CA4">COUNT(_xlfn._xlws.FILTER(INDEX(test_output!K:FP,0,A4),[1]train_xl!$AE:$AE=1))</f>
        <v>0</v>
      </c>
      <c r="CB4" cm="1">
        <f t="array" ref="CB4">COUNT(_xlfn._xlws.FILTER(INDEX(test_output!K:FP,0,A4),([1]train_xl!$AE:$AE=1)*(INDEX(test_output!K:FP,0,A4)=1)))</f>
        <v>0</v>
      </c>
      <c r="CE4" t="e" cm="1" vm="1">
        <f t="array" ref="CE4">AVERAGE(_xlfn._xlws.FILTER(INDEX(test_output!K:FP,0,A4),([1]train_xl!$AE:$AE=1)*([1]train_xl!$AA:$AA="intens")))</f>
        <v>#VALUE!</v>
      </c>
      <c r="CF4" cm="1">
        <f t="array" ref="CF4">COUNT(_xlfn._xlws.FILTER(INDEX(test_output!K:FP,0,A4),([1]train_xl!$AE:$AE=1)*([1]train_xl!$AA:$AA="intens")))</f>
        <v>0</v>
      </c>
      <c r="CG4" cm="1">
        <f t="array" ref="CG4">COUNT(_xlfn._xlws.FILTER(INDEX(test_output!K:FP,0,A4),([1]train_xl!$AE:$AE=1)*([1]train_xl!$AA:$AA="intens")*(INDEX(test_output!K:FP,0,A4)=1)))</f>
        <v>0</v>
      </c>
      <c r="CJ4" t="e" cm="1" vm="1">
        <f t="array" ref="CJ4">AVERAGE(_xlfn._xlws.FILTER(INDEX(test_output!K:FP,0,A4),([1]train_xl!$AE:$AE=1)*([1]train_xl!$AA:$AA="neg")))</f>
        <v>#VALUE!</v>
      </c>
      <c r="CK4" cm="1">
        <f t="array" ref="CK4">COUNT(_xlfn._xlws.FILTER(INDEX(test_output!K:FP,0,A4),([1]train_xl!$AE:$AE=1)*([1]train_xl!$AA:$AA="neg")))</f>
        <v>0</v>
      </c>
      <c r="CL4" cm="1">
        <f t="array" ref="CL4">COUNT(_xlfn._xlws.FILTER(INDEX(test_output!K:FP,0,A4),([1]train_xl!$AE:$AE=1)*([1]train_xl!$AA:$AA="neg")*(INDEX(test_output!K:FP,0,A4)=1)))</f>
        <v>0</v>
      </c>
    </row>
    <row r="5" spans="1:92" x14ac:dyDescent="0.35">
      <c r="A5">
        <f t="shared" si="0"/>
        <v>12</v>
      </c>
      <c r="B5" t="str" cm="1">
        <f t="array" ref="B5">INDEX(test_output!K:FQ,1,A5)</f>
        <v>Llama-3-70B-Instruct M4 bin</v>
      </c>
      <c r="C5">
        <f>AVERAGE(INDEX(test_output!K:FP,0,A5))</f>
        <v>0.7109375</v>
      </c>
      <c r="D5">
        <f>COUNT(INDEX(test_output!K:FP,0,A5))</f>
        <v>256</v>
      </c>
      <c r="E5" cm="1">
        <f t="array" ref="E5">COUNT(_xlfn._xlws.FILTER(INDEX(test_output!K:FP,0,A5),INDEX(test_output!K:FP,0,A5)=1))</f>
        <v>182</v>
      </c>
      <c r="H5" cm="1">
        <f t="array" ref="H5">AVERAGE(_xlfn._xlws.FILTER(INDEX(test_output!K:FP,0,A5),[1]train_xl!$I:$I="met"))</f>
        <v>0.74468085106382975</v>
      </c>
      <c r="I5" cm="1">
        <f t="array" ref="I5">COUNT(_xlfn._xlws.FILTER(INDEX(test_output!K:FP,0,A5),[1]train_xl!$I:$I="met"))</f>
        <v>47</v>
      </c>
      <c r="J5" cm="1">
        <f t="array" ref="J5">COUNT(_xlfn._xlws.FILTER(INDEX(test_output!K:FP,0,A5),([1]train_xl!$I:$I="met")*(INDEX(test_output!K:FP,0,A5)=1)))</f>
        <v>35</v>
      </c>
      <c r="M5" cm="1">
        <f t="array" ref="M5">AVERAGE(_xlfn._xlws.FILTER(INDEX(test_output!K:FP,0,A5),[1]train_xl!$I:$I="sim"))</f>
        <v>0.70334928229665072</v>
      </c>
      <c r="N5" cm="1">
        <f t="array" ref="N5">COUNT(_xlfn._xlws.FILTER(INDEX(test_output!K:FP,0,A5),[1]train_xl!$I:$I="sim"))</f>
        <v>209</v>
      </c>
      <c r="O5" cm="1">
        <f t="array" ref="O5">COUNT(_xlfn._xlws.FILTER(INDEX(test_output!K:FP,0,A5),([1]train_xl!$I:$I="sim")*(INDEX(test_output!K:FP,0,A5)=1)))</f>
        <v>147</v>
      </c>
      <c r="AB5" t="e" cm="1" vm="1">
        <f t="array" ref="AB5">AVERAGE(_xlfn._xlws.FILTER(INDEX(test_output!K:FP,0,A5),[1]train_xl!$AA:$AA="neg"))</f>
        <v>#VALUE!</v>
      </c>
      <c r="AC5" cm="1">
        <f t="array" ref="AC5">COUNT(_xlfn._xlws.FILTER(INDEX(test_output!K:FP,0,A5),[1]train_xl!$AA:$AA="neg"))</f>
        <v>0</v>
      </c>
      <c r="AD5" cm="1">
        <f t="array" ref="AD5">COUNT(_xlfn._xlws.FILTER(INDEX(test_output!K:FP,0,A5),([1]train_xl!$AA:$AA="neg")*(INDEX(test_output!K:FP,0,A5)=1)))</f>
        <v>0</v>
      </c>
      <c r="AG5" t="e" cm="1" vm="1">
        <f t="array" ref="AG5">AVERAGE(_xlfn._xlws.FILTER(INDEX(test_output!K:FP,0,A5),[1]train_xl!$AA:$AA="intens"))</f>
        <v>#VALUE!</v>
      </c>
      <c r="AH5" cm="1">
        <f t="array" ref="AH5">COUNT(_xlfn._xlws.FILTER(INDEX(test_output!K:FP,0,A5),[1]train_xl!$AA:$AA="intens"))</f>
        <v>0</v>
      </c>
      <c r="AI5" cm="1">
        <f t="array" ref="AI5">COUNT(_xlfn._xlws.FILTER(INDEX(test_output!K:FP,0,A5),([1]train_xl!$AA:$AA="intens")*(INDEX(test_output!K:FP,0,A5)=1)))</f>
        <v>0</v>
      </c>
      <c r="AL5" t="e" cm="1" vm="1">
        <f t="array" ref="AL5">AVERAGE(_xlfn._xlws.FILTER(INDEX(test_output!K:FP,0,A5),([1]train_xl!$Y:$Y="not")*([1]train_xl!$AA:$AA="neg")))</f>
        <v>#VALUE!</v>
      </c>
      <c r="AM5" cm="1">
        <f t="array" ref="AM5">COUNT(_xlfn._xlws.FILTER(INDEX(test_output!K:FP,0,A5),([1]train_xl!$Y:$Y="not")*([1]train_xl!$AA:$AA="neg")))</f>
        <v>0</v>
      </c>
      <c r="AN5" cm="1">
        <f t="array" ref="AN5">COUNT(_xlfn._xlws.FILTER(INDEX(test_output!K:FP,0,A5),([1]train_xl!$Y:$Y="not")*([1]train_xl!$AA:$AA="neg")*(INDEX(test_output!K:FP,0,A5)=1)))</f>
        <v>0</v>
      </c>
      <c r="AQ5" t="e" cm="1" vm="1">
        <f t="array" ref="AQ5">AVERAGE(_xlfn._xlws.FILTER(INDEX(test_output!K:FP,0,A5),([1]train_xl!$Y:$Y="not")*([1]train_xl!$AA:$AA="intens")))</f>
        <v>#VALUE!</v>
      </c>
      <c r="AR5" cm="1">
        <f t="array" ref="AR5">COUNT(_xlfn._xlws.FILTER(INDEX(test_output!K:FP,0,A5),([1]train_xl!$Y:$Y="not")*([1]train_xl!$AA:$AA="intens")))</f>
        <v>0</v>
      </c>
      <c r="AS5" cm="1">
        <f t="array" ref="AS5">COUNT(_xlfn._xlws.FILTER(INDEX(test_output!K:FP,0,A5),([1]train_xl!$Y:$Y="not")*([1]train_xl!$AA:$AA="intens")*(INDEX(test_output!K:FP,0,A5)=1)))</f>
        <v>0</v>
      </c>
      <c r="AV5" t="e" cm="1" vm="1">
        <f t="array" ref="AV5">AVERAGE(_xlfn._xlws.FILTER(INDEX(test_output!K:FP,0,A5),([1]train_xl!$Y:$Y="antonym")*([1]train_xl!$AA:$AA="neg")))</f>
        <v>#VALUE!</v>
      </c>
      <c r="AW5" cm="1">
        <f t="array" ref="AW5">COUNT(_xlfn._xlws.FILTER(INDEX(test_output!K:FP,0,A5),([1]train_xl!$Y:$Y="antonym")*([1]train_xl!$AA:$AA="neg")))</f>
        <v>0</v>
      </c>
      <c r="AX5" cm="1">
        <f t="array" ref="AX5">COUNT(_xlfn._xlws.FILTER(INDEX(test_output!K:FP,0,A5),([1]train_xl!$Y:$Y="antonym")*([1]train_xl!$AA:$AA="neg")*(INDEX(test_output!K:FP,0,A5)=1)))</f>
        <v>0</v>
      </c>
      <c r="BA5" t="e" cm="1" vm="1">
        <f t="array" ref="BA5">AVERAGE(_xlfn._xlws.FILTER(INDEX(test_output!K:FP,0,A5),([1]train_xl!$Y:$Y="antonym")*([1]train_xl!$AA:$AA="intens")))</f>
        <v>#VALUE!</v>
      </c>
      <c r="BB5" cm="1">
        <f t="array" ref="BB5">COUNT(_xlfn._xlws.FILTER(INDEX(test_output!K:FP,0,A5),([1]train_xl!$Y:$Y="antonym")*([1]train_xl!$AA:$AA="intens")))</f>
        <v>0</v>
      </c>
      <c r="BC5" cm="1">
        <f t="array" ref="BC5">COUNT(_xlfn._xlws.FILTER(INDEX(test_output!K:FP,0,A5),([1]train_xl!$Y:$Y="antonym")*([1]train_xl!$AA:$AA="intens")*(INDEX(test_output!K:FP,0,A5)=1)))</f>
        <v>0</v>
      </c>
      <c r="BF5" t="e" cm="1" vm="1">
        <f t="array" ref="BF5">AVERAGE(_xlfn._xlws.FILTER(INDEX(test_output!K:FP,0,A5),[1]train_xl!$AB:$AB="Past"))</f>
        <v>#VALUE!</v>
      </c>
      <c r="BG5" cm="1">
        <f t="array" ref="BG5">COUNT(_xlfn._xlws.FILTER(INDEX(test_output!K:FP,0,A5),[1]train_xl!$AB:$AB="Past"))</f>
        <v>0</v>
      </c>
      <c r="BH5" cm="1">
        <f t="array" ref="BH5">COUNT(_xlfn._xlws.FILTER(INDEX(test_output!K:FP,0,A5),([1]train_xl!$AB:$AB="Past")*(INDEX(test_output!K:FP,0,A5)=1)))</f>
        <v>0</v>
      </c>
      <c r="BK5" t="e" cm="1" vm="1">
        <f t="array" ref="BK5">AVERAGE(_xlfn._xlws.FILTER(INDEX(test_output!K:FP,0,A5),[1]train_xl!$AB:$AB="Pres"))</f>
        <v>#VALUE!</v>
      </c>
      <c r="BL5" cm="1">
        <f t="array" ref="BL5">COUNT(_xlfn._xlws.FILTER(INDEX(test_output!K:FP,0,A5),[1]train_xl!$AB:$AB="Pres"))</f>
        <v>0</v>
      </c>
      <c r="BM5" cm="1">
        <f t="array" ref="BM5">COUNT(_xlfn._xlws.FILTER(INDEX(test_output!K:FP,0,A5),([1]train_xl!$AB:$AB="Pres")*(INDEX(test_output!K:FP,0,A5)=1)))</f>
        <v>0</v>
      </c>
      <c r="BP5" t="e" cm="1" vm="1">
        <f t="array" ref="BP5">AVERAGE(_xlfn._xlws.FILTER(INDEX(test_output!K:FP,0,A5),[1]train_xl!$AD:$AD="L"))</f>
        <v>#VALUE!</v>
      </c>
      <c r="BQ5" cm="1">
        <f t="array" ref="BQ5">COUNT(_xlfn._xlws.FILTER(INDEX(test_output!K:FP,0,A5),[1]train_xl!$AD:$AD="L"))</f>
        <v>0</v>
      </c>
      <c r="BR5" cm="1">
        <f t="array" ref="BR5">COUNT(_xlfn._xlws.FILTER(INDEX(test_output!K:FP,0,A5),([1]train_xl!$AD:$AD="L")*(INDEX(test_output!K:FP,0,A5)=1)))</f>
        <v>0</v>
      </c>
      <c r="BU5" t="e" cm="1" vm="1">
        <f t="array" ref="BU5">AVERAGE(_xlfn._xlws.FILTER(INDEX(test_output!K:FP,0,A5),[1]train_xl!$AD:$AD="H"))</f>
        <v>#VALUE!</v>
      </c>
      <c r="BV5" cm="1">
        <f t="array" ref="BV5">COUNT(_xlfn._xlws.FILTER(INDEX(test_output!K:FP,0,A5),[1]train_xl!$AD:$AD="H"))</f>
        <v>0</v>
      </c>
      <c r="BW5" cm="1">
        <f t="array" ref="BW5">COUNT(_xlfn._xlws.FILTER(INDEX(test_output!K:FP,0,A5),([1]train_xl!$AD:$AD="H")*(INDEX(test_output!K:FP,0,A5)=1)))</f>
        <v>0</v>
      </c>
      <c r="BZ5" t="e" cm="1" vm="1">
        <f t="array" ref="BZ5">AVERAGE(_xlfn._xlws.FILTER(INDEX(test_output!K:FP,0,A5),[1]train_xl!$AE:$AE=1))</f>
        <v>#VALUE!</v>
      </c>
      <c r="CA5" cm="1">
        <f t="array" ref="CA5">COUNT(_xlfn._xlws.FILTER(INDEX(test_output!K:FP,0,A5),[1]train_xl!$AE:$AE=1))</f>
        <v>0</v>
      </c>
      <c r="CB5" cm="1">
        <f t="array" ref="CB5">COUNT(_xlfn._xlws.FILTER(INDEX(test_output!K:FP,0,A5),([1]train_xl!$AE:$AE=1)*(INDEX(test_output!K:FP,0,A5)=1)))</f>
        <v>0</v>
      </c>
      <c r="CE5" t="e" cm="1" vm="1">
        <f t="array" ref="CE5">AVERAGE(_xlfn._xlws.FILTER(INDEX(test_output!K:FP,0,A5),([1]train_xl!$AE:$AE=1)*([1]train_xl!$AA:$AA="intens")))</f>
        <v>#VALUE!</v>
      </c>
      <c r="CF5" cm="1">
        <f t="array" ref="CF5">COUNT(_xlfn._xlws.FILTER(INDEX(test_output!K:FP,0,A5),([1]train_xl!$AE:$AE=1)*([1]train_xl!$AA:$AA="intens")))</f>
        <v>0</v>
      </c>
      <c r="CG5" cm="1">
        <f t="array" ref="CG5">COUNT(_xlfn._xlws.FILTER(INDEX(test_output!K:FP,0,A5),([1]train_xl!$AE:$AE=1)*([1]train_xl!$AA:$AA="intens")*(INDEX(test_output!K:FP,0,A5)=1)))</f>
        <v>0</v>
      </c>
      <c r="CJ5" t="e" cm="1" vm="1">
        <f t="array" ref="CJ5">AVERAGE(_xlfn._xlws.FILTER(INDEX(test_output!K:FP,0,A5),([1]train_xl!$AE:$AE=1)*([1]train_xl!$AA:$AA="neg")))</f>
        <v>#VALUE!</v>
      </c>
      <c r="CK5" cm="1">
        <f t="array" ref="CK5">COUNT(_xlfn._xlws.FILTER(INDEX(test_output!K:FP,0,A5),([1]train_xl!$AE:$AE=1)*([1]train_xl!$AA:$AA="neg")))</f>
        <v>0</v>
      </c>
      <c r="CL5" cm="1">
        <f t="array" ref="CL5">COUNT(_xlfn._xlws.FILTER(INDEX(test_output!K:FP,0,A5),([1]train_xl!$AE:$AE=1)*([1]train_xl!$AA:$AA="neg")*(INDEX(test_output!K:FP,0,A5)=1)))</f>
        <v>0</v>
      </c>
    </row>
    <row r="6" spans="1:92" x14ac:dyDescent="0.35">
      <c r="A6">
        <f t="shared" si="0"/>
        <v>15</v>
      </c>
      <c r="B6" t="str" cm="1">
        <f t="array" ref="B6">INDEX(test_output!K:FQ,1,A6)</f>
        <v>Llama-3-70B-Instruct M5 bin</v>
      </c>
      <c r="C6">
        <f>AVERAGE(INDEX(test_output!K:FP,0,A6))</f>
        <v>0.5703125</v>
      </c>
      <c r="D6">
        <f>COUNT(INDEX(test_output!K:FP,0,A6))</f>
        <v>256</v>
      </c>
      <c r="E6" cm="1">
        <f t="array" ref="E6">COUNT(_xlfn._xlws.FILTER(INDEX(test_output!K:FP,0,A6),INDEX(test_output!K:FP,0,A6)=1))</f>
        <v>146</v>
      </c>
      <c r="H6" cm="1">
        <f t="array" ref="H6">AVERAGE(_xlfn._xlws.FILTER(INDEX(test_output!K:FP,0,A6),[1]train_xl!$I:$I="met"))</f>
        <v>0.5957446808510638</v>
      </c>
      <c r="I6" cm="1">
        <f t="array" ref="I6">COUNT(_xlfn._xlws.FILTER(INDEX(test_output!K:FP,0,A6),[1]train_xl!$I:$I="met"))</f>
        <v>47</v>
      </c>
      <c r="J6" cm="1">
        <f t="array" ref="J6">COUNT(_xlfn._xlws.FILTER(INDEX(test_output!K:FP,0,A6),([1]train_xl!$I:$I="met")*(INDEX(test_output!K:FP,0,A6)=1)))</f>
        <v>28</v>
      </c>
      <c r="M6" cm="1">
        <f t="array" ref="M6">AVERAGE(_xlfn._xlws.FILTER(INDEX(test_output!K:FP,0,A6),[1]train_xl!$I:$I="sim"))</f>
        <v>0.56459330143540665</v>
      </c>
      <c r="N6" cm="1">
        <f t="array" ref="N6">COUNT(_xlfn._xlws.FILTER(INDEX(test_output!K:FP,0,A6),[1]train_xl!$I:$I="sim"))</f>
        <v>209</v>
      </c>
      <c r="O6" cm="1">
        <f t="array" ref="O6">COUNT(_xlfn._xlws.FILTER(INDEX(test_output!K:FP,0,A6),([1]train_xl!$I:$I="sim")*(INDEX(test_output!K:FP,0,A6)=1)))</f>
        <v>118</v>
      </c>
      <c r="AB6" t="e" cm="1" vm="1">
        <f t="array" ref="AB6">AVERAGE(_xlfn._xlws.FILTER(INDEX(test_output!K:FP,0,A6),[1]train_xl!$AA:$AA="neg"))</f>
        <v>#VALUE!</v>
      </c>
      <c r="AC6" cm="1">
        <f t="array" ref="AC6">COUNT(_xlfn._xlws.FILTER(INDEX(test_output!K:FP,0,A6),[1]train_xl!$AA:$AA="neg"))</f>
        <v>0</v>
      </c>
      <c r="AD6" cm="1">
        <f t="array" ref="AD6">COUNT(_xlfn._xlws.FILTER(INDEX(test_output!K:FP,0,A6),([1]train_xl!$AA:$AA="neg")*(INDEX(test_output!K:FP,0,A6)=1)))</f>
        <v>0</v>
      </c>
      <c r="AG6" t="e" cm="1" vm="1">
        <f t="array" ref="AG6">AVERAGE(_xlfn._xlws.FILTER(INDEX(test_output!K:FP,0,A6),[1]train_xl!$AA:$AA="intens"))</f>
        <v>#VALUE!</v>
      </c>
      <c r="AH6" cm="1">
        <f t="array" ref="AH6">COUNT(_xlfn._xlws.FILTER(INDEX(test_output!K:FP,0,A6),[1]train_xl!$AA:$AA="intens"))</f>
        <v>0</v>
      </c>
      <c r="AI6" cm="1">
        <f t="array" ref="AI6">COUNT(_xlfn._xlws.FILTER(INDEX(test_output!K:FP,0,A6),([1]train_xl!$AA:$AA="intens")*(INDEX(test_output!K:FP,0,A6)=1)))</f>
        <v>0</v>
      </c>
      <c r="AL6" t="e" cm="1" vm="1">
        <f t="array" ref="AL6">AVERAGE(_xlfn._xlws.FILTER(INDEX(test_output!K:FP,0,A6),([1]train_xl!$Y:$Y="not")*([1]train_xl!$AA:$AA="neg")))</f>
        <v>#VALUE!</v>
      </c>
      <c r="AM6" cm="1">
        <f t="array" ref="AM6">COUNT(_xlfn._xlws.FILTER(INDEX(test_output!K:FP,0,A6),([1]train_xl!$Y:$Y="not")*([1]train_xl!$AA:$AA="neg")))</f>
        <v>0</v>
      </c>
      <c r="AN6" cm="1">
        <f t="array" ref="AN6">COUNT(_xlfn._xlws.FILTER(INDEX(test_output!K:FP,0,A6),([1]train_xl!$Y:$Y="not")*([1]train_xl!$AA:$AA="neg")*(INDEX(test_output!K:FP,0,A6)=1)))</f>
        <v>0</v>
      </c>
      <c r="AQ6" t="e" cm="1" vm="1">
        <f t="array" ref="AQ6">AVERAGE(_xlfn._xlws.FILTER(INDEX(test_output!K:FP,0,A6),([1]train_xl!$Y:$Y="not")*([1]train_xl!$AA:$AA="intens")))</f>
        <v>#VALUE!</v>
      </c>
      <c r="AR6" cm="1">
        <f t="array" ref="AR6">COUNT(_xlfn._xlws.FILTER(INDEX(test_output!K:FP,0,A6),([1]train_xl!$Y:$Y="not")*([1]train_xl!$AA:$AA="intens")))</f>
        <v>0</v>
      </c>
      <c r="AS6" cm="1">
        <f t="array" ref="AS6">COUNT(_xlfn._xlws.FILTER(INDEX(test_output!K:FP,0,A6),([1]train_xl!$Y:$Y="not")*([1]train_xl!$AA:$AA="intens")*(INDEX(test_output!K:FP,0,A6)=1)))</f>
        <v>0</v>
      </c>
      <c r="AV6" t="e" cm="1" vm="1">
        <f t="array" ref="AV6">AVERAGE(_xlfn._xlws.FILTER(INDEX(test_output!K:FP,0,A6),([1]train_xl!$Y:$Y="antonym")*([1]train_xl!$AA:$AA="neg")))</f>
        <v>#VALUE!</v>
      </c>
      <c r="AW6" cm="1">
        <f t="array" ref="AW6">COUNT(_xlfn._xlws.FILTER(INDEX(test_output!K:FP,0,A6),([1]train_xl!$Y:$Y="antonym")*([1]train_xl!$AA:$AA="neg")))</f>
        <v>0</v>
      </c>
      <c r="AX6" cm="1">
        <f t="array" ref="AX6">COUNT(_xlfn._xlws.FILTER(INDEX(test_output!K:FP,0,A6),([1]train_xl!$Y:$Y="antonym")*([1]train_xl!$AA:$AA="neg")*(INDEX(test_output!K:FP,0,A6)=1)))</f>
        <v>0</v>
      </c>
      <c r="BA6" t="e" cm="1" vm="1">
        <f t="array" ref="BA6">AVERAGE(_xlfn._xlws.FILTER(INDEX(test_output!K:FP,0,A6),([1]train_xl!$Y:$Y="antonym")*([1]train_xl!$AA:$AA="intens")))</f>
        <v>#VALUE!</v>
      </c>
      <c r="BB6" cm="1">
        <f t="array" ref="BB6">COUNT(_xlfn._xlws.FILTER(INDEX(test_output!K:FP,0,A6),([1]train_xl!$Y:$Y="antonym")*([1]train_xl!$AA:$AA="intens")))</f>
        <v>0</v>
      </c>
      <c r="BC6" cm="1">
        <f t="array" ref="BC6">COUNT(_xlfn._xlws.FILTER(INDEX(test_output!K:FP,0,A6),([1]train_xl!$Y:$Y="antonym")*([1]train_xl!$AA:$AA="intens")*(INDEX(test_output!K:FP,0,A6)=1)))</f>
        <v>0</v>
      </c>
      <c r="BF6" t="e" cm="1" vm="1">
        <f t="array" ref="BF6">AVERAGE(_xlfn._xlws.FILTER(INDEX(test_output!K:FP,0,A6),[1]train_xl!$AB:$AB="Past"))</f>
        <v>#VALUE!</v>
      </c>
      <c r="BG6" cm="1">
        <f t="array" ref="BG6">COUNT(_xlfn._xlws.FILTER(INDEX(test_output!K:FP,0,A6),[1]train_xl!$AB:$AB="Past"))</f>
        <v>0</v>
      </c>
      <c r="BH6" cm="1">
        <f t="array" ref="BH6">COUNT(_xlfn._xlws.FILTER(INDEX(test_output!K:FP,0,A6),([1]train_xl!$AB:$AB="Past")*(INDEX(test_output!K:FP,0,A6)=1)))</f>
        <v>0</v>
      </c>
      <c r="BK6" t="e" cm="1" vm="1">
        <f t="array" ref="BK6">AVERAGE(_xlfn._xlws.FILTER(INDEX(test_output!K:FP,0,A6),[1]train_xl!$AB:$AB="Pres"))</f>
        <v>#VALUE!</v>
      </c>
      <c r="BL6" cm="1">
        <f t="array" ref="BL6">COUNT(_xlfn._xlws.FILTER(INDEX(test_output!K:FP,0,A6),[1]train_xl!$AB:$AB="Pres"))</f>
        <v>0</v>
      </c>
      <c r="BM6" cm="1">
        <f t="array" ref="BM6">COUNT(_xlfn._xlws.FILTER(INDEX(test_output!K:FP,0,A6),([1]train_xl!$AB:$AB="Pres")*(INDEX(test_output!K:FP,0,A6)=1)))</f>
        <v>0</v>
      </c>
      <c r="BP6" t="e" cm="1" vm="1">
        <f t="array" ref="BP6">AVERAGE(_xlfn._xlws.FILTER(INDEX(test_output!K:FP,0,A6),[1]train_xl!$AD:$AD="L"))</f>
        <v>#VALUE!</v>
      </c>
      <c r="BQ6" cm="1">
        <f t="array" ref="BQ6">COUNT(_xlfn._xlws.FILTER(INDEX(test_output!K:FP,0,A6),[1]train_xl!$AD:$AD="L"))</f>
        <v>0</v>
      </c>
      <c r="BR6" cm="1">
        <f t="array" ref="BR6">COUNT(_xlfn._xlws.FILTER(INDEX(test_output!K:FP,0,A6),([1]train_xl!$AD:$AD="L")*(INDEX(test_output!K:FP,0,A6)=1)))</f>
        <v>0</v>
      </c>
      <c r="BU6" t="e" cm="1" vm="1">
        <f t="array" ref="BU6">AVERAGE(_xlfn._xlws.FILTER(INDEX(test_output!K:FP,0,A6),[1]train_xl!$AD:$AD="H"))</f>
        <v>#VALUE!</v>
      </c>
      <c r="BV6" cm="1">
        <f t="array" ref="BV6">COUNT(_xlfn._xlws.FILTER(INDEX(test_output!K:FP,0,A6),[1]train_xl!$AD:$AD="H"))</f>
        <v>0</v>
      </c>
      <c r="BW6" cm="1">
        <f t="array" ref="BW6">COUNT(_xlfn._xlws.FILTER(INDEX(test_output!K:FP,0,A6),([1]train_xl!$AD:$AD="H")*(INDEX(test_output!K:FP,0,A6)=1)))</f>
        <v>0</v>
      </c>
      <c r="BZ6" t="e" cm="1" vm="1">
        <f t="array" ref="BZ6">AVERAGE(_xlfn._xlws.FILTER(INDEX(test_output!K:FP,0,A6),[1]train_xl!$AE:$AE=1))</f>
        <v>#VALUE!</v>
      </c>
      <c r="CA6" cm="1">
        <f t="array" ref="CA6">COUNT(_xlfn._xlws.FILTER(INDEX(test_output!K:FP,0,A6),[1]train_xl!$AE:$AE=1))</f>
        <v>0</v>
      </c>
      <c r="CB6" cm="1">
        <f t="array" ref="CB6">COUNT(_xlfn._xlws.FILTER(INDEX(test_output!K:FP,0,A6),([1]train_xl!$AE:$AE=1)*(INDEX(test_output!K:FP,0,A6)=1)))</f>
        <v>0</v>
      </c>
      <c r="CE6" t="e" cm="1" vm="1">
        <f t="array" ref="CE6">AVERAGE(_xlfn._xlws.FILTER(INDEX(test_output!K:FP,0,A6),([1]train_xl!$AE:$AE=1)*([1]train_xl!$AA:$AA="intens")))</f>
        <v>#VALUE!</v>
      </c>
      <c r="CF6" cm="1">
        <f t="array" ref="CF6">COUNT(_xlfn._xlws.FILTER(INDEX(test_output!K:FP,0,A6),([1]train_xl!$AE:$AE=1)*([1]train_xl!$AA:$AA="intens")))</f>
        <v>0</v>
      </c>
      <c r="CG6" cm="1">
        <f t="array" ref="CG6">COUNT(_xlfn._xlws.FILTER(INDEX(test_output!K:FP,0,A6),([1]train_xl!$AE:$AE=1)*([1]train_xl!$AA:$AA="intens")*(INDEX(test_output!K:FP,0,A6)=1)))</f>
        <v>0</v>
      </c>
      <c r="CJ6" t="e" cm="1" vm="1">
        <f t="array" ref="CJ6">AVERAGE(_xlfn._xlws.FILTER(INDEX(test_output!K:FP,0,A6),([1]train_xl!$AE:$AE=1)*([1]train_xl!$AA:$AA="neg")))</f>
        <v>#VALUE!</v>
      </c>
      <c r="CK6" cm="1">
        <f t="array" ref="CK6">COUNT(_xlfn._xlws.FILTER(INDEX(test_output!K:FP,0,A6),([1]train_xl!$AE:$AE=1)*([1]train_xl!$AA:$AA="neg")))</f>
        <v>0</v>
      </c>
      <c r="CL6" cm="1">
        <f t="array" ref="CL6">COUNT(_xlfn._xlws.FILTER(INDEX(test_output!K:FP,0,A6),([1]train_xl!$AE:$AE=1)*([1]train_xl!$AA:$AA="neg")*(INDEX(test_output!K:FP,0,A6)=1)))</f>
        <v>0</v>
      </c>
    </row>
    <row r="7" spans="1:92" x14ac:dyDescent="0.35">
      <c r="A7">
        <f t="shared" si="0"/>
        <v>18</v>
      </c>
      <c r="B7" t="str" cm="1">
        <f t="array" ref="B7">INDEX(test_output!K:FQ,1,A7)</f>
        <v>Llama-3.1-70B-Instruct M1 bin</v>
      </c>
      <c r="C7">
        <f>AVERAGE(INDEX(test_output!K:FP,0,A7))</f>
        <v>0.75</v>
      </c>
      <c r="D7">
        <f>COUNT(INDEX(test_output!K:FP,0,A7))</f>
        <v>256</v>
      </c>
      <c r="E7" cm="1">
        <f t="array" ref="E7">COUNT(_xlfn._xlws.FILTER(INDEX(test_output!K:FP,0,A7),INDEX(test_output!K:FP,0,A7)=1))</f>
        <v>192</v>
      </c>
      <c r="H7" cm="1">
        <f t="array" ref="H7">AVERAGE(_xlfn._xlws.FILTER(INDEX(test_output!K:FP,0,A7),[1]train_xl!$I:$I="met"))</f>
        <v>0.65957446808510634</v>
      </c>
      <c r="I7" cm="1">
        <f t="array" ref="I7">COUNT(_xlfn._xlws.FILTER(INDEX(test_output!K:FP,0,A7),[1]train_xl!$I:$I="met"))</f>
        <v>47</v>
      </c>
      <c r="J7" cm="1">
        <f t="array" ref="J7">COUNT(_xlfn._xlws.FILTER(INDEX(test_output!K:FP,0,A7),([1]train_xl!$I:$I="met")*(INDEX(test_output!K:FP,0,A7)=1)))</f>
        <v>31</v>
      </c>
      <c r="M7" cm="1">
        <f t="array" ref="M7">AVERAGE(_xlfn._xlws.FILTER(INDEX(test_output!K:FP,0,A7),[1]train_xl!$I:$I="sim"))</f>
        <v>0.77033492822966509</v>
      </c>
      <c r="N7" cm="1">
        <f t="array" ref="N7">COUNT(_xlfn._xlws.FILTER(INDEX(test_output!K:FP,0,A7),[1]train_xl!$I:$I="sim"))</f>
        <v>209</v>
      </c>
      <c r="O7" cm="1">
        <f t="array" ref="O7">COUNT(_xlfn._xlws.FILTER(INDEX(test_output!K:FP,0,A7),([1]train_xl!$I:$I="sim")*(INDEX(test_output!K:FP,0,A7)=1)))</f>
        <v>161</v>
      </c>
      <c r="AB7" t="e" cm="1" vm="1">
        <f t="array" ref="AB7">AVERAGE(_xlfn._xlws.FILTER(INDEX(test_output!K:FP,0,A7),[1]train_xl!$AA:$AA="neg"))</f>
        <v>#VALUE!</v>
      </c>
      <c r="AC7" cm="1">
        <f t="array" ref="AC7">COUNT(_xlfn._xlws.FILTER(INDEX(test_output!K:FP,0,A7),[1]train_xl!$AA:$AA="neg"))</f>
        <v>0</v>
      </c>
      <c r="AD7" cm="1">
        <f t="array" ref="AD7">COUNT(_xlfn._xlws.FILTER(INDEX(test_output!K:FP,0,A7),([1]train_xl!$AA:$AA="neg")*(INDEX(test_output!K:FP,0,A7)=1)))</f>
        <v>0</v>
      </c>
      <c r="AG7" t="e" cm="1" vm="1">
        <f t="array" ref="AG7">AVERAGE(_xlfn._xlws.FILTER(INDEX(test_output!K:FP,0,A7),[1]train_xl!$AA:$AA="intens"))</f>
        <v>#VALUE!</v>
      </c>
      <c r="AH7" cm="1">
        <f t="array" ref="AH7">COUNT(_xlfn._xlws.FILTER(INDEX(test_output!K:FP,0,A7),[1]train_xl!$AA:$AA="intens"))</f>
        <v>0</v>
      </c>
      <c r="AI7" cm="1">
        <f t="array" ref="AI7">COUNT(_xlfn._xlws.FILTER(INDEX(test_output!K:FP,0,A7),([1]train_xl!$AA:$AA="intens")*(INDEX(test_output!K:FP,0,A7)=1)))</f>
        <v>0</v>
      </c>
      <c r="AL7" t="e" cm="1" vm="1">
        <f t="array" ref="AL7">AVERAGE(_xlfn._xlws.FILTER(INDEX(test_output!K:FP,0,A7),([1]train_xl!$Y:$Y="not")*([1]train_xl!$AA:$AA="neg")))</f>
        <v>#VALUE!</v>
      </c>
      <c r="AM7" cm="1">
        <f t="array" ref="AM7">COUNT(_xlfn._xlws.FILTER(INDEX(test_output!K:FP,0,A7),([1]train_xl!$Y:$Y="not")*([1]train_xl!$AA:$AA="neg")))</f>
        <v>0</v>
      </c>
      <c r="AN7" cm="1">
        <f t="array" ref="AN7">COUNT(_xlfn._xlws.FILTER(INDEX(test_output!K:FP,0,A7),([1]train_xl!$Y:$Y="not")*([1]train_xl!$AA:$AA="neg")*(INDEX(test_output!K:FP,0,A7)=1)))</f>
        <v>0</v>
      </c>
      <c r="AQ7" t="e" cm="1" vm="1">
        <f t="array" ref="AQ7">AVERAGE(_xlfn._xlws.FILTER(INDEX(test_output!K:FP,0,A7),([1]train_xl!$Y:$Y="not")*([1]train_xl!$AA:$AA="intens")))</f>
        <v>#VALUE!</v>
      </c>
      <c r="AR7" cm="1">
        <f t="array" ref="AR7">COUNT(_xlfn._xlws.FILTER(INDEX(test_output!K:FP,0,A7),([1]train_xl!$Y:$Y="not")*([1]train_xl!$AA:$AA="intens")))</f>
        <v>0</v>
      </c>
      <c r="AS7" cm="1">
        <f t="array" ref="AS7">COUNT(_xlfn._xlws.FILTER(INDEX(test_output!K:FP,0,A7),([1]train_xl!$Y:$Y="not")*([1]train_xl!$AA:$AA="intens")*(INDEX(test_output!K:FP,0,A7)=1)))</f>
        <v>0</v>
      </c>
      <c r="AV7" t="e" cm="1" vm="1">
        <f t="array" ref="AV7">AVERAGE(_xlfn._xlws.FILTER(INDEX(test_output!K:FP,0,A7),([1]train_xl!$Y:$Y="antonym")*([1]train_xl!$AA:$AA="neg")))</f>
        <v>#VALUE!</v>
      </c>
      <c r="AW7" cm="1">
        <f t="array" ref="AW7">COUNT(_xlfn._xlws.FILTER(INDEX(test_output!K:FP,0,A7),([1]train_xl!$Y:$Y="antonym")*([1]train_xl!$AA:$AA="neg")))</f>
        <v>0</v>
      </c>
      <c r="AX7" cm="1">
        <f t="array" ref="AX7">COUNT(_xlfn._xlws.FILTER(INDEX(test_output!K:FP,0,A7),([1]train_xl!$Y:$Y="antonym")*([1]train_xl!$AA:$AA="neg")*(INDEX(test_output!K:FP,0,A7)=1)))</f>
        <v>0</v>
      </c>
      <c r="BA7" t="e" cm="1" vm="1">
        <f t="array" ref="BA7">AVERAGE(_xlfn._xlws.FILTER(INDEX(test_output!K:FP,0,A7),([1]train_xl!$Y:$Y="antonym")*([1]train_xl!$AA:$AA="intens")))</f>
        <v>#VALUE!</v>
      </c>
      <c r="BB7" cm="1">
        <f t="array" ref="BB7">COUNT(_xlfn._xlws.FILTER(INDEX(test_output!K:FP,0,A7),([1]train_xl!$Y:$Y="antonym")*([1]train_xl!$AA:$AA="intens")))</f>
        <v>0</v>
      </c>
      <c r="BC7" cm="1">
        <f t="array" ref="BC7">COUNT(_xlfn._xlws.FILTER(INDEX(test_output!K:FP,0,A7),([1]train_xl!$Y:$Y="antonym")*([1]train_xl!$AA:$AA="intens")*(INDEX(test_output!K:FP,0,A7)=1)))</f>
        <v>0</v>
      </c>
      <c r="BF7" t="e" cm="1" vm="1">
        <f t="array" ref="BF7">AVERAGE(_xlfn._xlws.FILTER(INDEX(test_output!K:FP,0,A7),[1]train_xl!$AB:$AB="Past"))</f>
        <v>#VALUE!</v>
      </c>
      <c r="BG7" cm="1">
        <f t="array" ref="BG7">COUNT(_xlfn._xlws.FILTER(INDEX(test_output!K:FP,0,A7),[1]train_xl!$AB:$AB="Past"))</f>
        <v>0</v>
      </c>
      <c r="BH7" cm="1">
        <f t="array" ref="BH7">COUNT(_xlfn._xlws.FILTER(INDEX(test_output!K:FP,0,A7),([1]train_xl!$AB:$AB="Past")*(INDEX(test_output!K:FP,0,A7)=1)))</f>
        <v>0</v>
      </c>
      <c r="BK7" t="e" cm="1" vm="1">
        <f t="array" ref="BK7">AVERAGE(_xlfn._xlws.FILTER(INDEX(test_output!K:FP,0,A7),[1]train_xl!$AB:$AB="Pres"))</f>
        <v>#VALUE!</v>
      </c>
      <c r="BL7" cm="1">
        <f t="array" ref="BL7">COUNT(_xlfn._xlws.FILTER(INDEX(test_output!K:FP,0,A7),[1]train_xl!$AB:$AB="Pres"))</f>
        <v>0</v>
      </c>
      <c r="BM7" cm="1">
        <f t="array" ref="BM7">COUNT(_xlfn._xlws.FILTER(INDEX(test_output!K:FP,0,A7),([1]train_xl!$AB:$AB="Pres")*(INDEX(test_output!K:FP,0,A7)=1)))</f>
        <v>0</v>
      </c>
      <c r="BP7" t="e" cm="1" vm="1">
        <f t="array" ref="BP7">AVERAGE(_xlfn._xlws.FILTER(INDEX(test_output!K:FP,0,A7),[1]train_xl!$AD:$AD="L"))</f>
        <v>#VALUE!</v>
      </c>
      <c r="BQ7" cm="1">
        <f t="array" ref="BQ7">COUNT(_xlfn._xlws.FILTER(INDEX(test_output!K:FP,0,A7),[1]train_xl!$AD:$AD="L"))</f>
        <v>0</v>
      </c>
      <c r="BR7" cm="1">
        <f t="array" ref="BR7">COUNT(_xlfn._xlws.FILTER(INDEX(test_output!K:FP,0,A7),([1]train_xl!$AD:$AD="L")*(INDEX(test_output!K:FP,0,A7)=1)))</f>
        <v>0</v>
      </c>
      <c r="BU7" t="e" cm="1" vm="1">
        <f t="array" ref="BU7">AVERAGE(_xlfn._xlws.FILTER(INDEX(test_output!K:FP,0,A7),[1]train_xl!$AD:$AD="H"))</f>
        <v>#VALUE!</v>
      </c>
      <c r="BV7" cm="1">
        <f t="array" ref="BV7">COUNT(_xlfn._xlws.FILTER(INDEX(test_output!K:FP,0,A7),[1]train_xl!$AD:$AD="H"))</f>
        <v>0</v>
      </c>
      <c r="BW7" cm="1">
        <f t="array" ref="BW7">COUNT(_xlfn._xlws.FILTER(INDEX(test_output!K:FP,0,A7),([1]train_xl!$AD:$AD="H")*(INDEX(test_output!K:FP,0,A7)=1)))</f>
        <v>0</v>
      </c>
      <c r="BZ7" t="e" cm="1" vm="1">
        <f t="array" ref="BZ7">AVERAGE(_xlfn._xlws.FILTER(INDEX(test_output!K:FP,0,A7),[1]train_xl!$AE:$AE=1))</f>
        <v>#VALUE!</v>
      </c>
      <c r="CA7" cm="1">
        <f t="array" ref="CA7">COUNT(_xlfn._xlws.FILTER(INDEX(test_output!K:FP,0,A7),[1]train_xl!$AE:$AE=1))</f>
        <v>0</v>
      </c>
      <c r="CB7" cm="1">
        <f t="array" ref="CB7">COUNT(_xlfn._xlws.FILTER(INDEX(test_output!K:FP,0,A7),([1]train_xl!$AE:$AE=1)*(INDEX(test_output!K:FP,0,A7)=1)))</f>
        <v>0</v>
      </c>
      <c r="CE7" t="e" cm="1" vm="1">
        <f t="array" ref="CE7">AVERAGE(_xlfn._xlws.FILTER(INDEX(test_output!K:FP,0,A7),([1]train_xl!$AE:$AE=1)*([1]train_xl!$AA:$AA="intens")))</f>
        <v>#VALUE!</v>
      </c>
      <c r="CF7" cm="1">
        <f t="array" ref="CF7">COUNT(_xlfn._xlws.FILTER(INDEX(test_output!K:FP,0,A7),([1]train_xl!$AE:$AE=1)*([1]train_xl!$AA:$AA="intens")))</f>
        <v>0</v>
      </c>
      <c r="CG7" cm="1">
        <f t="array" ref="CG7">COUNT(_xlfn._xlws.FILTER(INDEX(test_output!K:FP,0,A7),([1]train_xl!$AE:$AE=1)*([1]train_xl!$AA:$AA="intens")*(INDEX(test_output!K:FP,0,A7)=1)))</f>
        <v>0</v>
      </c>
      <c r="CJ7" t="e" cm="1" vm="1">
        <f t="array" ref="CJ7">AVERAGE(_xlfn._xlws.FILTER(INDEX(test_output!K:FP,0,A7),([1]train_xl!$AE:$AE=1)*([1]train_xl!$AA:$AA="neg")))</f>
        <v>#VALUE!</v>
      </c>
      <c r="CK7" cm="1">
        <f t="array" ref="CK7">COUNT(_xlfn._xlws.FILTER(INDEX(test_output!K:FP,0,A7),([1]train_xl!$AE:$AE=1)*([1]train_xl!$AA:$AA="neg")))</f>
        <v>0</v>
      </c>
      <c r="CL7" cm="1">
        <f t="array" ref="CL7">COUNT(_xlfn._xlws.FILTER(INDEX(test_output!K:FP,0,A7),([1]train_xl!$AE:$AE=1)*([1]train_xl!$AA:$AA="neg")*(INDEX(test_output!K:FP,0,A7)=1)))</f>
        <v>0</v>
      </c>
    </row>
    <row r="8" spans="1:92" x14ac:dyDescent="0.35">
      <c r="A8">
        <f t="shared" si="0"/>
        <v>21</v>
      </c>
      <c r="B8" t="str" cm="1">
        <f t="array" ref="B8">INDEX(test_output!K:FQ,1,A8)</f>
        <v>Llama-3.1-70B-Instruct M2 bin</v>
      </c>
      <c r="C8">
        <f>AVERAGE(INDEX(test_output!K:FP,0,A8))</f>
        <v>0.79296875</v>
      </c>
      <c r="D8">
        <f>COUNT(INDEX(test_output!K:FP,0,A8))</f>
        <v>256</v>
      </c>
      <c r="E8" cm="1">
        <f t="array" ref="E8">COUNT(_xlfn._xlws.FILTER(INDEX(test_output!K:FP,0,A8),INDEX(test_output!K:FP,0,A8)=1))</f>
        <v>203</v>
      </c>
      <c r="H8" cm="1">
        <f t="array" ref="H8">AVERAGE(_xlfn._xlws.FILTER(INDEX(test_output!K:FP,0,A8),[1]train_xl!$I:$I="met"))</f>
        <v>0.80851063829787229</v>
      </c>
      <c r="I8" cm="1">
        <f t="array" ref="I8">COUNT(_xlfn._xlws.FILTER(INDEX(test_output!K:FP,0,A8),[1]train_xl!$I:$I="met"))</f>
        <v>47</v>
      </c>
      <c r="J8" cm="1">
        <f t="array" ref="J8">COUNT(_xlfn._xlws.FILTER(INDEX(test_output!K:FP,0,A8),([1]train_xl!$I:$I="met")*(INDEX(test_output!K:FP,0,A8)=1)))</f>
        <v>38</v>
      </c>
      <c r="M8" cm="1">
        <f t="array" ref="M8">AVERAGE(_xlfn._xlws.FILTER(INDEX(test_output!K:FP,0,A8),[1]train_xl!$I:$I="sim"))</f>
        <v>0.78947368421052633</v>
      </c>
      <c r="N8" cm="1">
        <f t="array" ref="N8">COUNT(_xlfn._xlws.FILTER(INDEX(test_output!K:FP,0,A8),[1]train_xl!$I:$I="sim"))</f>
        <v>209</v>
      </c>
      <c r="O8" cm="1">
        <f t="array" ref="O8">COUNT(_xlfn._xlws.FILTER(INDEX(test_output!K:FP,0,A8),([1]train_xl!$I:$I="sim")*(INDEX(test_output!K:FP,0,A8)=1)))</f>
        <v>165</v>
      </c>
      <c r="AB8" t="e" cm="1" vm="1">
        <f t="array" ref="AB8">AVERAGE(_xlfn._xlws.FILTER(INDEX(test_output!K:FP,0,A8),[1]train_xl!$AA:$AA="neg"))</f>
        <v>#VALUE!</v>
      </c>
      <c r="AC8" cm="1">
        <f t="array" ref="AC8">COUNT(_xlfn._xlws.FILTER(INDEX(test_output!K:FP,0,A8),[1]train_xl!$AA:$AA="neg"))</f>
        <v>0</v>
      </c>
      <c r="AD8" cm="1">
        <f t="array" ref="AD8">COUNT(_xlfn._xlws.FILTER(INDEX(test_output!K:FP,0,A8),([1]train_xl!$AA:$AA="neg")*(INDEX(test_output!K:FP,0,A8)=1)))</f>
        <v>0</v>
      </c>
      <c r="AG8" t="e" cm="1" vm="1">
        <f t="array" ref="AG8">AVERAGE(_xlfn._xlws.FILTER(INDEX(test_output!K:FP,0,A8),[1]train_xl!$AA:$AA="intens"))</f>
        <v>#VALUE!</v>
      </c>
      <c r="AH8" cm="1">
        <f t="array" ref="AH8">COUNT(_xlfn._xlws.FILTER(INDEX(test_output!K:FP,0,A8),[1]train_xl!$AA:$AA="intens"))</f>
        <v>0</v>
      </c>
      <c r="AI8" cm="1">
        <f t="array" ref="AI8">COUNT(_xlfn._xlws.FILTER(INDEX(test_output!K:FP,0,A8),([1]train_xl!$AA:$AA="intens")*(INDEX(test_output!K:FP,0,A8)=1)))</f>
        <v>0</v>
      </c>
      <c r="AL8" t="e" cm="1" vm="1">
        <f t="array" ref="AL8">AVERAGE(_xlfn._xlws.FILTER(INDEX(test_output!K:FP,0,A8),([1]train_xl!$Y:$Y="not")*([1]train_xl!$AA:$AA="neg")))</f>
        <v>#VALUE!</v>
      </c>
      <c r="AM8" cm="1">
        <f t="array" ref="AM8">COUNT(_xlfn._xlws.FILTER(INDEX(test_output!K:FP,0,A8),([1]train_xl!$Y:$Y="not")*([1]train_xl!$AA:$AA="neg")))</f>
        <v>0</v>
      </c>
      <c r="AN8" cm="1">
        <f t="array" ref="AN8">COUNT(_xlfn._xlws.FILTER(INDEX(test_output!K:FP,0,A8),([1]train_xl!$Y:$Y="not")*([1]train_xl!$AA:$AA="neg")*(INDEX(test_output!K:FP,0,A8)=1)))</f>
        <v>0</v>
      </c>
      <c r="AQ8" t="e" cm="1" vm="1">
        <f t="array" ref="AQ8">AVERAGE(_xlfn._xlws.FILTER(INDEX(test_output!K:FP,0,A8),([1]train_xl!$Y:$Y="not")*([1]train_xl!$AA:$AA="intens")))</f>
        <v>#VALUE!</v>
      </c>
      <c r="AR8" cm="1">
        <f t="array" ref="AR8">COUNT(_xlfn._xlws.FILTER(INDEX(test_output!K:FP,0,A8),([1]train_xl!$Y:$Y="not")*([1]train_xl!$AA:$AA="intens")))</f>
        <v>0</v>
      </c>
      <c r="AS8" cm="1">
        <f t="array" ref="AS8">COUNT(_xlfn._xlws.FILTER(INDEX(test_output!K:FP,0,A8),([1]train_xl!$Y:$Y="not")*([1]train_xl!$AA:$AA="intens")*(INDEX(test_output!K:FP,0,A8)=1)))</f>
        <v>0</v>
      </c>
      <c r="AV8" t="e" cm="1" vm="1">
        <f t="array" ref="AV8">AVERAGE(_xlfn._xlws.FILTER(INDEX(test_output!K:FP,0,A8),([1]train_xl!$Y:$Y="antonym")*([1]train_xl!$AA:$AA="neg")))</f>
        <v>#VALUE!</v>
      </c>
      <c r="AW8" cm="1">
        <f t="array" ref="AW8">COUNT(_xlfn._xlws.FILTER(INDEX(test_output!K:FP,0,A8),([1]train_xl!$Y:$Y="antonym")*([1]train_xl!$AA:$AA="neg")))</f>
        <v>0</v>
      </c>
      <c r="AX8" cm="1">
        <f t="array" ref="AX8">COUNT(_xlfn._xlws.FILTER(INDEX(test_output!K:FP,0,A8),([1]train_xl!$Y:$Y="antonym")*([1]train_xl!$AA:$AA="neg")*(INDEX(test_output!K:FP,0,A8)=1)))</f>
        <v>0</v>
      </c>
      <c r="BA8" t="e" cm="1" vm="1">
        <f t="array" ref="BA8">AVERAGE(_xlfn._xlws.FILTER(INDEX(test_output!K:FP,0,A8),([1]train_xl!$Y:$Y="antonym")*([1]train_xl!$AA:$AA="intens")))</f>
        <v>#VALUE!</v>
      </c>
      <c r="BB8" cm="1">
        <f t="array" ref="BB8">COUNT(_xlfn._xlws.FILTER(INDEX(test_output!K:FP,0,A8),([1]train_xl!$Y:$Y="antonym")*([1]train_xl!$AA:$AA="intens")))</f>
        <v>0</v>
      </c>
      <c r="BC8" cm="1">
        <f t="array" ref="BC8">COUNT(_xlfn._xlws.FILTER(INDEX(test_output!K:FP,0,A8),([1]train_xl!$Y:$Y="antonym")*([1]train_xl!$AA:$AA="intens")*(INDEX(test_output!K:FP,0,A8)=1)))</f>
        <v>0</v>
      </c>
      <c r="BF8" t="e" cm="1" vm="1">
        <f t="array" ref="BF8">AVERAGE(_xlfn._xlws.FILTER(INDEX(test_output!K:FP,0,A8),[1]train_xl!$AB:$AB="Past"))</f>
        <v>#VALUE!</v>
      </c>
      <c r="BG8" cm="1">
        <f t="array" ref="BG8">COUNT(_xlfn._xlws.FILTER(INDEX(test_output!K:FP,0,A8),[1]train_xl!$AB:$AB="Past"))</f>
        <v>0</v>
      </c>
      <c r="BH8" cm="1">
        <f t="array" ref="BH8">COUNT(_xlfn._xlws.FILTER(INDEX(test_output!K:FP,0,A8),([1]train_xl!$AB:$AB="Past")*(INDEX(test_output!K:FP,0,A8)=1)))</f>
        <v>0</v>
      </c>
      <c r="BK8" t="e" cm="1" vm="1">
        <f t="array" ref="BK8">AVERAGE(_xlfn._xlws.FILTER(INDEX(test_output!K:FP,0,A8),[1]train_xl!$AB:$AB="Pres"))</f>
        <v>#VALUE!</v>
      </c>
      <c r="BL8" cm="1">
        <f t="array" ref="BL8">COUNT(_xlfn._xlws.FILTER(INDEX(test_output!K:FP,0,A8),[1]train_xl!$AB:$AB="Pres"))</f>
        <v>0</v>
      </c>
      <c r="BM8" cm="1">
        <f t="array" ref="BM8">COUNT(_xlfn._xlws.FILTER(INDEX(test_output!K:FP,0,A8),([1]train_xl!$AB:$AB="Pres")*(INDEX(test_output!K:FP,0,A8)=1)))</f>
        <v>0</v>
      </c>
      <c r="BP8" t="e" cm="1" vm="1">
        <f t="array" ref="BP8">AVERAGE(_xlfn._xlws.FILTER(INDEX(test_output!K:FP,0,A8),[1]train_xl!$AD:$AD="L"))</f>
        <v>#VALUE!</v>
      </c>
      <c r="BQ8" cm="1">
        <f t="array" ref="BQ8">COUNT(_xlfn._xlws.FILTER(INDEX(test_output!K:FP,0,A8),[1]train_xl!$AD:$AD="L"))</f>
        <v>0</v>
      </c>
      <c r="BR8" cm="1">
        <f t="array" ref="BR8">COUNT(_xlfn._xlws.FILTER(INDEX(test_output!K:FP,0,A8),([1]train_xl!$AD:$AD="L")*(INDEX(test_output!K:FP,0,A8)=1)))</f>
        <v>0</v>
      </c>
      <c r="BU8" t="e" cm="1" vm="1">
        <f t="array" ref="BU8">AVERAGE(_xlfn._xlws.FILTER(INDEX(test_output!K:FP,0,A8),[1]train_xl!$AD:$AD="H"))</f>
        <v>#VALUE!</v>
      </c>
      <c r="BV8" cm="1">
        <f t="array" ref="BV8">COUNT(_xlfn._xlws.FILTER(INDEX(test_output!K:FP,0,A8),[1]train_xl!$AD:$AD="H"))</f>
        <v>0</v>
      </c>
      <c r="BW8" cm="1">
        <f t="array" ref="BW8">COUNT(_xlfn._xlws.FILTER(INDEX(test_output!K:FP,0,A8),([1]train_xl!$AD:$AD="H")*(INDEX(test_output!K:FP,0,A8)=1)))</f>
        <v>0</v>
      </c>
      <c r="BZ8" t="e" cm="1" vm="1">
        <f t="array" ref="BZ8">AVERAGE(_xlfn._xlws.FILTER(INDEX(test_output!K:FP,0,A8),[1]train_xl!$AE:$AE=1))</f>
        <v>#VALUE!</v>
      </c>
      <c r="CA8" cm="1">
        <f t="array" ref="CA8">COUNT(_xlfn._xlws.FILTER(INDEX(test_output!K:FP,0,A8),[1]train_xl!$AE:$AE=1))</f>
        <v>0</v>
      </c>
      <c r="CB8" cm="1">
        <f t="array" ref="CB8">COUNT(_xlfn._xlws.FILTER(INDEX(test_output!K:FP,0,A8),([1]train_xl!$AE:$AE=1)*(INDEX(test_output!K:FP,0,A8)=1)))</f>
        <v>0</v>
      </c>
      <c r="CE8" t="e" cm="1" vm="1">
        <f t="array" ref="CE8">AVERAGE(_xlfn._xlws.FILTER(INDEX(test_output!K:FP,0,A8),([1]train_xl!$AE:$AE=1)*([1]train_xl!$AA:$AA="intens")))</f>
        <v>#VALUE!</v>
      </c>
      <c r="CF8" cm="1">
        <f t="array" ref="CF8">COUNT(_xlfn._xlws.FILTER(INDEX(test_output!K:FP,0,A8),([1]train_xl!$AE:$AE=1)*([1]train_xl!$AA:$AA="intens")))</f>
        <v>0</v>
      </c>
      <c r="CG8" cm="1">
        <f t="array" ref="CG8">COUNT(_xlfn._xlws.FILTER(INDEX(test_output!K:FP,0,A8),([1]train_xl!$AE:$AE=1)*([1]train_xl!$AA:$AA="intens")*(INDEX(test_output!K:FP,0,A8)=1)))</f>
        <v>0</v>
      </c>
      <c r="CJ8" t="e" cm="1" vm="1">
        <f t="array" ref="CJ8">AVERAGE(_xlfn._xlws.FILTER(INDEX(test_output!K:FP,0,A8),([1]train_xl!$AE:$AE=1)*([1]train_xl!$AA:$AA="neg")))</f>
        <v>#VALUE!</v>
      </c>
      <c r="CK8" cm="1">
        <f t="array" ref="CK8">COUNT(_xlfn._xlws.FILTER(INDEX(test_output!K:FP,0,A8),([1]train_xl!$AE:$AE=1)*([1]train_xl!$AA:$AA="neg")))</f>
        <v>0</v>
      </c>
      <c r="CL8" cm="1">
        <f t="array" ref="CL8">COUNT(_xlfn._xlws.FILTER(INDEX(test_output!K:FP,0,A8),([1]train_xl!$AE:$AE=1)*([1]train_xl!$AA:$AA="neg")*(INDEX(test_output!K:FP,0,A8)=1)))</f>
        <v>0</v>
      </c>
    </row>
    <row r="9" spans="1:92" x14ac:dyDescent="0.35">
      <c r="A9">
        <f t="shared" si="0"/>
        <v>24</v>
      </c>
      <c r="B9" t="str" cm="1">
        <f t="array" ref="B9">INDEX(test_output!K:FQ,1,A9)</f>
        <v>Llama-3.1-70B-Instruct M3 bin</v>
      </c>
      <c r="C9">
        <f>AVERAGE(INDEX(test_output!K:FP,0,A9))</f>
        <v>0.71484375</v>
      </c>
      <c r="D9">
        <f>COUNT(INDEX(test_output!K:FP,0,A9))</f>
        <v>256</v>
      </c>
      <c r="E9" cm="1">
        <f t="array" ref="E9">COUNT(_xlfn._xlws.FILTER(INDEX(test_output!K:FP,0,A9),INDEX(test_output!K:FP,0,A9)=1))</f>
        <v>183</v>
      </c>
      <c r="H9" cm="1">
        <f t="array" ref="H9">AVERAGE(_xlfn._xlws.FILTER(INDEX(test_output!K:FP,0,A9),[1]train_xl!$I:$I="met"))</f>
        <v>0.7021276595744681</v>
      </c>
      <c r="I9" cm="1">
        <f t="array" ref="I9">COUNT(_xlfn._xlws.FILTER(INDEX(test_output!K:FP,0,A9),[1]train_xl!$I:$I="met"))</f>
        <v>47</v>
      </c>
      <c r="J9" cm="1">
        <f t="array" ref="J9">COUNT(_xlfn._xlws.FILTER(INDEX(test_output!K:FP,0,A9),([1]train_xl!$I:$I="met")*(INDEX(test_output!K:FP,0,A9)=1)))</f>
        <v>33</v>
      </c>
      <c r="M9" cm="1">
        <f t="array" ref="M9">AVERAGE(_xlfn._xlws.FILTER(INDEX(test_output!K:FP,0,A9),[1]train_xl!$I:$I="sim"))</f>
        <v>0.71770334928229662</v>
      </c>
      <c r="N9" cm="1">
        <f t="array" ref="N9">COUNT(_xlfn._xlws.FILTER(INDEX(test_output!K:FP,0,A9),[1]train_xl!$I:$I="sim"))</f>
        <v>209</v>
      </c>
      <c r="O9" cm="1">
        <f t="array" ref="O9">COUNT(_xlfn._xlws.FILTER(INDEX(test_output!K:FP,0,A9),([1]train_xl!$I:$I="sim")*(INDEX(test_output!K:FP,0,A9)=1)))</f>
        <v>150</v>
      </c>
      <c r="AB9" t="e" cm="1" vm="1">
        <f t="array" ref="AB9">AVERAGE(_xlfn._xlws.FILTER(INDEX(test_output!K:FP,0,A9),[1]train_xl!$AA:$AA="neg"))</f>
        <v>#VALUE!</v>
      </c>
      <c r="AC9" cm="1">
        <f t="array" ref="AC9">COUNT(_xlfn._xlws.FILTER(INDEX(test_output!K:FP,0,A9),[1]train_xl!$AA:$AA="neg"))</f>
        <v>0</v>
      </c>
      <c r="AD9" cm="1">
        <f t="array" ref="AD9">COUNT(_xlfn._xlws.FILTER(INDEX(test_output!K:FP,0,A9),([1]train_xl!$AA:$AA="neg")*(INDEX(test_output!K:FP,0,A9)=1)))</f>
        <v>0</v>
      </c>
      <c r="AG9" t="e" cm="1" vm="1">
        <f t="array" ref="AG9">AVERAGE(_xlfn._xlws.FILTER(INDEX(test_output!K:FP,0,A9),[1]train_xl!$AA:$AA="intens"))</f>
        <v>#VALUE!</v>
      </c>
      <c r="AH9" cm="1">
        <f t="array" ref="AH9">COUNT(_xlfn._xlws.FILTER(INDEX(test_output!K:FP,0,A9),[1]train_xl!$AA:$AA="intens"))</f>
        <v>0</v>
      </c>
      <c r="AI9" cm="1">
        <f t="array" ref="AI9">COUNT(_xlfn._xlws.FILTER(INDEX(test_output!K:FP,0,A9),([1]train_xl!$AA:$AA="intens")*(INDEX(test_output!K:FP,0,A9)=1)))</f>
        <v>0</v>
      </c>
      <c r="AL9" t="e" cm="1" vm="1">
        <f t="array" ref="AL9">AVERAGE(_xlfn._xlws.FILTER(INDEX(test_output!K:FP,0,A9),([1]train_xl!$Y:$Y="not")*([1]train_xl!$AA:$AA="neg")))</f>
        <v>#VALUE!</v>
      </c>
      <c r="AM9" cm="1">
        <f t="array" ref="AM9">COUNT(_xlfn._xlws.FILTER(INDEX(test_output!K:FP,0,A9),([1]train_xl!$Y:$Y="not")*([1]train_xl!$AA:$AA="neg")))</f>
        <v>0</v>
      </c>
      <c r="AN9" cm="1">
        <f t="array" ref="AN9">COUNT(_xlfn._xlws.FILTER(INDEX(test_output!K:FP,0,A9),([1]train_xl!$Y:$Y="not")*([1]train_xl!$AA:$AA="neg")*(INDEX(test_output!K:FP,0,A9)=1)))</f>
        <v>0</v>
      </c>
      <c r="AQ9" t="e" cm="1" vm="1">
        <f t="array" ref="AQ9">AVERAGE(_xlfn._xlws.FILTER(INDEX(test_output!K:FP,0,A9),([1]train_xl!$Y:$Y="not")*([1]train_xl!$AA:$AA="intens")))</f>
        <v>#VALUE!</v>
      </c>
      <c r="AR9" cm="1">
        <f t="array" ref="AR9">COUNT(_xlfn._xlws.FILTER(INDEX(test_output!K:FP,0,A9),([1]train_xl!$Y:$Y="not")*([1]train_xl!$AA:$AA="intens")))</f>
        <v>0</v>
      </c>
      <c r="AS9" cm="1">
        <f t="array" ref="AS9">COUNT(_xlfn._xlws.FILTER(INDEX(test_output!K:FP,0,A9),([1]train_xl!$Y:$Y="not")*([1]train_xl!$AA:$AA="intens")*(INDEX(test_output!K:FP,0,A9)=1)))</f>
        <v>0</v>
      </c>
      <c r="AV9" t="e" cm="1" vm="1">
        <f t="array" ref="AV9">AVERAGE(_xlfn._xlws.FILTER(INDEX(test_output!K:FP,0,A9),([1]train_xl!$Y:$Y="antonym")*([1]train_xl!$AA:$AA="neg")))</f>
        <v>#VALUE!</v>
      </c>
      <c r="AW9" cm="1">
        <f t="array" ref="AW9">COUNT(_xlfn._xlws.FILTER(INDEX(test_output!K:FP,0,A9),([1]train_xl!$Y:$Y="antonym")*([1]train_xl!$AA:$AA="neg")))</f>
        <v>0</v>
      </c>
      <c r="AX9" cm="1">
        <f t="array" ref="AX9">COUNT(_xlfn._xlws.FILTER(INDEX(test_output!K:FP,0,A9),([1]train_xl!$Y:$Y="antonym")*([1]train_xl!$AA:$AA="neg")*(INDEX(test_output!K:FP,0,A9)=1)))</f>
        <v>0</v>
      </c>
      <c r="BA9" t="e" cm="1" vm="1">
        <f t="array" ref="BA9">AVERAGE(_xlfn._xlws.FILTER(INDEX(test_output!K:FP,0,A9),([1]train_xl!$Y:$Y="antonym")*([1]train_xl!$AA:$AA="intens")))</f>
        <v>#VALUE!</v>
      </c>
      <c r="BB9" cm="1">
        <f t="array" ref="BB9">COUNT(_xlfn._xlws.FILTER(INDEX(test_output!K:FP,0,A9),([1]train_xl!$Y:$Y="antonym")*([1]train_xl!$AA:$AA="intens")))</f>
        <v>0</v>
      </c>
      <c r="BC9" cm="1">
        <f t="array" ref="BC9">COUNT(_xlfn._xlws.FILTER(INDEX(test_output!K:FP,0,A9),([1]train_xl!$Y:$Y="antonym")*([1]train_xl!$AA:$AA="intens")*(INDEX(test_output!K:FP,0,A9)=1)))</f>
        <v>0</v>
      </c>
      <c r="BF9" t="e" cm="1" vm="1">
        <f t="array" ref="BF9">AVERAGE(_xlfn._xlws.FILTER(INDEX(test_output!K:FP,0,A9),[1]train_xl!$AB:$AB="Past"))</f>
        <v>#VALUE!</v>
      </c>
      <c r="BG9" cm="1">
        <f t="array" ref="BG9">COUNT(_xlfn._xlws.FILTER(INDEX(test_output!K:FP,0,A9),[1]train_xl!$AB:$AB="Past"))</f>
        <v>0</v>
      </c>
      <c r="BH9" cm="1">
        <f t="array" ref="BH9">COUNT(_xlfn._xlws.FILTER(INDEX(test_output!K:FP,0,A9),([1]train_xl!$AB:$AB="Past")*(INDEX(test_output!K:FP,0,A9)=1)))</f>
        <v>0</v>
      </c>
      <c r="BK9" t="e" cm="1" vm="1">
        <f t="array" ref="BK9">AVERAGE(_xlfn._xlws.FILTER(INDEX(test_output!K:FP,0,A9),[1]train_xl!$AB:$AB="Pres"))</f>
        <v>#VALUE!</v>
      </c>
      <c r="BL9" cm="1">
        <f t="array" ref="BL9">COUNT(_xlfn._xlws.FILTER(INDEX(test_output!K:FP,0,A9),[1]train_xl!$AB:$AB="Pres"))</f>
        <v>0</v>
      </c>
      <c r="BM9" cm="1">
        <f t="array" ref="BM9">COUNT(_xlfn._xlws.FILTER(INDEX(test_output!K:FP,0,A9),([1]train_xl!$AB:$AB="Pres")*(INDEX(test_output!K:FP,0,A9)=1)))</f>
        <v>0</v>
      </c>
      <c r="BP9" t="e" cm="1" vm="1">
        <f t="array" ref="BP9">AVERAGE(_xlfn._xlws.FILTER(INDEX(test_output!K:FP,0,A9),[1]train_xl!$AD:$AD="L"))</f>
        <v>#VALUE!</v>
      </c>
      <c r="BQ9" cm="1">
        <f t="array" ref="BQ9">COUNT(_xlfn._xlws.FILTER(INDEX(test_output!K:FP,0,A9),[1]train_xl!$AD:$AD="L"))</f>
        <v>0</v>
      </c>
      <c r="BR9" cm="1">
        <f t="array" ref="BR9">COUNT(_xlfn._xlws.FILTER(INDEX(test_output!K:FP,0,A9),([1]train_xl!$AD:$AD="L")*(INDEX(test_output!K:FP,0,A9)=1)))</f>
        <v>0</v>
      </c>
      <c r="BU9" t="e" cm="1" vm="1">
        <f t="array" ref="BU9">AVERAGE(_xlfn._xlws.FILTER(INDEX(test_output!K:FP,0,A9),[1]train_xl!$AD:$AD="H"))</f>
        <v>#VALUE!</v>
      </c>
      <c r="BV9" cm="1">
        <f t="array" ref="BV9">COUNT(_xlfn._xlws.FILTER(INDEX(test_output!K:FP,0,A9),[1]train_xl!$AD:$AD="H"))</f>
        <v>0</v>
      </c>
      <c r="BW9" cm="1">
        <f t="array" ref="BW9">COUNT(_xlfn._xlws.FILTER(INDEX(test_output!K:FP,0,A9),([1]train_xl!$AD:$AD="H")*(INDEX(test_output!K:FP,0,A9)=1)))</f>
        <v>0</v>
      </c>
      <c r="BZ9" t="e" cm="1" vm="1">
        <f t="array" ref="BZ9">AVERAGE(_xlfn._xlws.FILTER(INDEX(test_output!K:FP,0,A9),[1]train_xl!$AE:$AE=1))</f>
        <v>#VALUE!</v>
      </c>
      <c r="CA9" cm="1">
        <f t="array" ref="CA9">COUNT(_xlfn._xlws.FILTER(INDEX(test_output!K:FP,0,A9),[1]train_xl!$AE:$AE=1))</f>
        <v>0</v>
      </c>
      <c r="CB9" cm="1">
        <f t="array" ref="CB9">COUNT(_xlfn._xlws.FILTER(INDEX(test_output!K:FP,0,A9),([1]train_xl!$AE:$AE=1)*(INDEX(test_output!K:FP,0,A9)=1)))</f>
        <v>0</v>
      </c>
      <c r="CE9" t="e" cm="1" vm="1">
        <f t="array" ref="CE9">AVERAGE(_xlfn._xlws.FILTER(INDEX(test_output!K:FP,0,A9),([1]train_xl!$AE:$AE=1)*([1]train_xl!$AA:$AA="intens")))</f>
        <v>#VALUE!</v>
      </c>
      <c r="CF9" cm="1">
        <f t="array" ref="CF9">COUNT(_xlfn._xlws.FILTER(INDEX(test_output!K:FP,0,A9),([1]train_xl!$AE:$AE=1)*([1]train_xl!$AA:$AA="intens")))</f>
        <v>0</v>
      </c>
      <c r="CG9" cm="1">
        <f t="array" ref="CG9">COUNT(_xlfn._xlws.FILTER(INDEX(test_output!K:FP,0,A9),([1]train_xl!$AE:$AE=1)*([1]train_xl!$AA:$AA="intens")*(INDEX(test_output!K:FP,0,A9)=1)))</f>
        <v>0</v>
      </c>
      <c r="CJ9" t="e" cm="1" vm="1">
        <f t="array" ref="CJ9">AVERAGE(_xlfn._xlws.FILTER(INDEX(test_output!K:FP,0,A9),([1]train_xl!$AE:$AE=1)*([1]train_xl!$AA:$AA="neg")))</f>
        <v>#VALUE!</v>
      </c>
      <c r="CK9" cm="1">
        <f t="array" ref="CK9">COUNT(_xlfn._xlws.FILTER(INDEX(test_output!K:FP,0,A9),([1]train_xl!$AE:$AE=1)*([1]train_xl!$AA:$AA="neg")))</f>
        <v>0</v>
      </c>
      <c r="CL9" cm="1">
        <f t="array" ref="CL9">COUNT(_xlfn._xlws.FILTER(INDEX(test_output!K:FP,0,A9),([1]train_xl!$AE:$AE=1)*([1]train_xl!$AA:$AA="neg")*(INDEX(test_output!K:FP,0,A9)=1)))</f>
        <v>0</v>
      </c>
    </row>
    <row r="10" spans="1:92" x14ac:dyDescent="0.35">
      <c r="A10">
        <f t="shared" si="0"/>
        <v>27</v>
      </c>
      <c r="B10" t="str" cm="1">
        <f t="array" ref="B10">INDEX(test_output!K:FQ,1,A10)</f>
        <v>Llama-3.1-70B-Instruct M4 bin</v>
      </c>
      <c r="C10">
        <f>AVERAGE(INDEX(test_output!K:FP,0,A10))</f>
        <v>0.64453125</v>
      </c>
      <c r="D10">
        <f>COUNT(INDEX(test_output!K:FP,0,A10))</f>
        <v>256</v>
      </c>
      <c r="E10" cm="1">
        <f t="array" ref="E10">COUNT(_xlfn._xlws.FILTER(INDEX(test_output!K:FP,0,A10),INDEX(test_output!K:FP,0,A10)=1))</f>
        <v>165</v>
      </c>
      <c r="H10" cm="1">
        <f t="array" ref="H10">AVERAGE(_xlfn._xlws.FILTER(INDEX(test_output!K:FP,0,A10),[1]train_xl!$I:$I="met"))</f>
        <v>0.5957446808510638</v>
      </c>
      <c r="I10" cm="1">
        <f t="array" ref="I10">COUNT(_xlfn._xlws.FILTER(INDEX(test_output!K:FP,0,A10),[1]train_xl!$I:$I="met"))</f>
        <v>47</v>
      </c>
      <c r="J10" cm="1">
        <f t="array" ref="J10">COUNT(_xlfn._xlws.FILTER(INDEX(test_output!K:FP,0,A10),([1]train_xl!$I:$I="met")*(INDEX(test_output!K:FP,0,A10)=1)))</f>
        <v>28</v>
      </c>
      <c r="M10" cm="1">
        <f t="array" ref="M10">AVERAGE(_xlfn._xlws.FILTER(INDEX(test_output!K:FP,0,A10),[1]train_xl!$I:$I="sim"))</f>
        <v>0.65550239234449759</v>
      </c>
      <c r="N10" cm="1">
        <f t="array" ref="N10">COUNT(_xlfn._xlws.FILTER(INDEX(test_output!K:FP,0,A10),[1]train_xl!$I:$I="sim"))</f>
        <v>209</v>
      </c>
      <c r="O10" cm="1">
        <f t="array" ref="O10">COUNT(_xlfn._xlws.FILTER(INDEX(test_output!K:FP,0,A10),([1]train_xl!$I:$I="sim")*(INDEX(test_output!K:FP,0,A10)=1)))</f>
        <v>137</v>
      </c>
      <c r="AB10" t="e" cm="1" vm="1">
        <f t="array" ref="AB10">AVERAGE(_xlfn._xlws.FILTER(INDEX(test_output!K:FP,0,A10),[1]train_xl!$AA:$AA="neg"))</f>
        <v>#VALUE!</v>
      </c>
      <c r="AC10" cm="1">
        <f t="array" ref="AC10">COUNT(_xlfn._xlws.FILTER(INDEX(test_output!K:FP,0,A10),[1]train_xl!$AA:$AA="neg"))</f>
        <v>0</v>
      </c>
      <c r="AD10" cm="1">
        <f t="array" ref="AD10">COUNT(_xlfn._xlws.FILTER(INDEX(test_output!K:FP,0,A10),([1]train_xl!$AA:$AA="neg")*(INDEX(test_output!K:FP,0,A10)=1)))</f>
        <v>0</v>
      </c>
      <c r="AG10" t="e" cm="1" vm="1">
        <f t="array" ref="AG10">AVERAGE(_xlfn._xlws.FILTER(INDEX(test_output!K:FP,0,A10),[1]train_xl!$AA:$AA="intens"))</f>
        <v>#VALUE!</v>
      </c>
      <c r="AH10" cm="1">
        <f t="array" ref="AH10">COUNT(_xlfn._xlws.FILTER(INDEX(test_output!K:FP,0,A10),[1]train_xl!$AA:$AA="intens"))</f>
        <v>0</v>
      </c>
      <c r="AI10" cm="1">
        <f t="array" ref="AI10">COUNT(_xlfn._xlws.FILTER(INDEX(test_output!K:FP,0,A10),([1]train_xl!$AA:$AA="intens")*(INDEX(test_output!K:FP,0,A10)=1)))</f>
        <v>0</v>
      </c>
      <c r="AL10" t="e" cm="1" vm="1">
        <f t="array" ref="AL10">AVERAGE(_xlfn._xlws.FILTER(INDEX(test_output!K:FP,0,A10),([1]train_xl!$Y:$Y="not")*([1]train_xl!$AA:$AA="neg")))</f>
        <v>#VALUE!</v>
      </c>
      <c r="AM10" cm="1">
        <f t="array" ref="AM10">COUNT(_xlfn._xlws.FILTER(INDEX(test_output!K:FP,0,A10),([1]train_xl!$Y:$Y="not")*([1]train_xl!$AA:$AA="neg")))</f>
        <v>0</v>
      </c>
      <c r="AN10" cm="1">
        <f t="array" ref="AN10">COUNT(_xlfn._xlws.FILTER(INDEX(test_output!K:FP,0,A10),([1]train_xl!$Y:$Y="not")*([1]train_xl!$AA:$AA="neg")*(INDEX(test_output!K:FP,0,A10)=1)))</f>
        <v>0</v>
      </c>
      <c r="AQ10" t="e" cm="1" vm="1">
        <f t="array" ref="AQ10">AVERAGE(_xlfn._xlws.FILTER(INDEX(test_output!K:FP,0,A10),([1]train_xl!$Y:$Y="not")*([1]train_xl!$AA:$AA="intens")))</f>
        <v>#VALUE!</v>
      </c>
      <c r="AR10" cm="1">
        <f t="array" ref="AR10">COUNT(_xlfn._xlws.FILTER(INDEX(test_output!K:FP,0,A10),([1]train_xl!$Y:$Y="not")*([1]train_xl!$AA:$AA="intens")))</f>
        <v>0</v>
      </c>
      <c r="AS10" cm="1">
        <f t="array" ref="AS10">COUNT(_xlfn._xlws.FILTER(INDEX(test_output!K:FP,0,A10),([1]train_xl!$Y:$Y="not")*([1]train_xl!$AA:$AA="intens")*(INDEX(test_output!K:FP,0,A10)=1)))</f>
        <v>0</v>
      </c>
      <c r="AV10" t="e" cm="1" vm="1">
        <f t="array" ref="AV10">AVERAGE(_xlfn._xlws.FILTER(INDEX(test_output!K:FP,0,A10),([1]train_xl!$Y:$Y="antonym")*([1]train_xl!$AA:$AA="neg")))</f>
        <v>#VALUE!</v>
      </c>
      <c r="AW10" cm="1">
        <f t="array" ref="AW10">COUNT(_xlfn._xlws.FILTER(INDEX(test_output!K:FP,0,A10),([1]train_xl!$Y:$Y="antonym")*([1]train_xl!$AA:$AA="neg")))</f>
        <v>0</v>
      </c>
      <c r="AX10" cm="1">
        <f t="array" ref="AX10">COUNT(_xlfn._xlws.FILTER(INDEX(test_output!K:FP,0,A10),([1]train_xl!$Y:$Y="antonym")*([1]train_xl!$AA:$AA="neg")*(INDEX(test_output!K:FP,0,A10)=1)))</f>
        <v>0</v>
      </c>
      <c r="BA10" t="e" cm="1" vm="1">
        <f t="array" ref="BA10">AVERAGE(_xlfn._xlws.FILTER(INDEX(test_output!K:FP,0,A10),([1]train_xl!$Y:$Y="antonym")*([1]train_xl!$AA:$AA="intens")))</f>
        <v>#VALUE!</v>
      </c>
      <c r="BB10" cm="1">
        <f t="array" ref="BB10">COUNT(_xlfn._xlws.FILTER(INDEX(test_output!K:FP,0,A10),([1]train_xl!$Y:$Y="antonym")*([1]train_xl!$AA:$AA="intens")))</f>
        <v>0</v>
      </c>
      <c r="BC10" cm="1">
        <f t="array" ref="BC10">COUNT(_xlfn._xlws.FILTER(INDEX(test_output!K:FP,0,A10),([1]train_xl!$Y:$Y="antonym")*([1]train_xl!$AA:$AA="intens")*(INDEX(test_output!K:FP,0,A10)=1)))</f>
        <v>0</v>
      </c>
      <c r="BF10" t="e" cm="1" vm="1">
        <f t="array" ref="BF10">AVERAGE(_xlfn._xlws.FILTER(INDEX(test_output!K:FP,0,A10),[1]train_xl!$AB:$AB="Past"))</f>
        <v>#VALUE!</v>
      </c>
      <c r="BG10" cm="1">
        <f t="array" ref="BG10">COUNT(_xlfn._xlws.FILTER(INDEX(test_output!K:FP,0,A10),[1]train_xl!$AB:$AB="Past"))</f>
        <v>0</v>
      </c>
      <c r="BH10" cm="1">
        <f t="array" ref="BH10">COUNT(_xlfn._xlws.FILTER(INDEX(test_output!K:FP,0,A10),([1]train_xl!$AB:$AB="Past")*(INDEX(test_output!K:FP,0,A10)=1)))</f>
        <v>0</v>
      </c>
      <c r="BK10" t="e" cm="1" vm="1">
        <f t="array" ref="BK10">AVERAGE(_xlfn._xlws.FILTER(INDEX(test_output!K:FP,0,A10),[1]train_xl!$AB:$AB="Pres"))</f>
        <v>#VALUE!</v>
      </c>
      <c r="BL10" cm="1">
        <f t="array" ref="BL10">COUNT(_xlfn._xlws.FILTER(INDEX(test_output!K:FP,0,A10),[1]train_xl!$AB:$AB="Pres"))</f>
        <v>0</v>
      </c>
      <c r="BM10" cm="1">
        <f t="array" ref="BM10">COUNT(_xlfn._xlws.FILTER(INDEX(test_output!K:FP,0,A10),([1]train_xl!$AB:$AB="Pres")*(INDEX(test_output!K:FP,0,A10)=1)))</f>
        <v>0</v>
      </c>
      <c r="BP10" t="e" cm="1" vm="1">
        <f t="array" ref="BP10">AVERAGE(_xlfn._xlws.FILTER(INDEX(test_output!K:FP,0,A10),[1]train_xl!$AD:$AD="L"))</f>
        <v>#VALUE!</v>
      </c>
      <c r="BQ10" cm="1">
        <f t="array" ref="BQ10">COUNT(_xlfn._xlws.FILTER(INDEX(test_output!K:FP,0,A10),[1]train_xl!$AD:$AD="L"))</f>
        <v>0</v>
      </c>
      <c r="BR10" cm="1">
        <f t="array" ref="BR10">COUNT(_xlfn._xlws.FILTER(INDEX(test_output!K:FP,0,A10),([1]train_xl!$AD:$AD="L")*(INDEX(test_output!K:FP,0,A10)=1)))</f>
        <v>0</v>
      </c>
      <c r="BU10" t="e" cm="1" vm="1">
        <f t="array" ref="BU10">AVERAGE(_xlfn._xlws.FILTER(INDEX(test_output!K:FP,0,A10),[1]train_xl!$AD:$AD="H"))</f>
        <v>#VALUE!</v>
      </c>
      <c r="BV10" cm="1">
        <f t="array" ref="BV10">COUNT(_xlfn._xlws.FILTER(INDEX(test_output!K:FP,0,A10),[1]train_xl!$AD:$AD="H"))</f>
        <v>0</v>
      </c>
      <c r="BW10" cm="1">
        <f t="array" ref="BW10">COUNT(_xlfn._xlws.FILTER(INDEX(test_output!K:FP,0,A10),([1]train_xl!$AD:$AD="H")*(INDEX(test_output!K:FP,0,A10)=1)))</f>
        <v>0</v>
      </c>
      <c r="BZ10" t="e" cm="1" vm="1">
        <f t="array" ref="BZ10">AVERAGE(_xlfn._xlws.FILTER(INDEX(test_output!K:FP,0,A10),[1]train_xl!$AE:$AE=1))</f>
        <v>#VALUE!</v>
      </c>
      <c r="CA10" cm="1">
        <f t="array" ref="CA10">COUNT(_xlfn._xlws.FILTER(INDEX(test_output!K:FP,0,A10),[1]train_xl!$AE:$AE=1))</f>
        <v>0</v>
      </c>
      <c r="CB10" cm="1">
        <f t="array" ref="CB10">COUNT(_xlfn._xlws.FILTER(INDEX(test_output!K:FP,0,A10),([1]train_xl!$AE:$AE=1)*(INDEX(test_output!K:FP,0,A10)=1)))</f>
        <v>0</v>
      </c>
      <c r="CE10" t="e" cm="1" vm="1">
        <f t="array" ref="CE10">AVERAGE(_xlfn._xlws.FILTER(INDEX(test_output!K:FP,0,A10),([1]train_xl!$AE:$AE=1)*([1]train_xl!$AA:$AA="intens")))</f>
        <v>#VALUE!</v>
      </c>
      <c r="CF10" cm="1">
        <f t="array" ref="CF10">COUNT(_xlfn._xlws.FILTER(INDEX(test_output!K:FP,0,A10),([1]train_xl!$AE:$AE=1)*([1]train_xl!$AA:$AA="intens")))</f>
        <v>0</v>
      </c>
      <c r="CG10" cm="1">
        <f t="array" ref="CG10">COUNT(_xlfn._xlws.FILTER(INDEX(test_output!K:FP,0,A10),([1]train_xl!$AE:$AE=1)*([1]train_xl!$AA:$AA="intens")*(INDEX(test_output!K:FP,0,A10)=1)))</f>
        <v>0</v>
      </c>
      <c r="CJ10" t="e" cm="1" vm="1">
        <f t="array" ref="CJ10">AVERAGE(_xlfn._xlws.FILTER(INDEX(test_output!K:FP,0,A10),([1]train_xl!$AE:$AE=1)*([1]train_xl!$AA:$AA="neg")))</f>
        <v>#VALUE!</v>
      </c>
      <c r="CK10" cm="1">
        <f t="array" ref="CK10">COUNT(_xlfn._xlws.FILTER(INDEX(test_output!K:FP,0,A10),([1]train_xl!$AE:$AE=1)*([1]train_xl!$AA:$AA="neg")))</f>
        <v>0</v>
      </c>
      <c r="CL10" cm="1">
        <f t="array" ref="CL10">COUNT(_xlfn._xlws.FILTER(INDEX(test_output!K:FP,0,A10),([1]train_xl!$AE:$AE=1)*([1]train_xl!$AA:$AA="neg")*(INDEX(test_output!K:FP,0,A10)=1)))</f>
        <v>0</v>
      </c>
    </row>
    <row r="11" spans="1:92" x14ac:dyDescent="0.35">
      <c r="A11">
        <f t="shared" si="0"/>
        <v>30</v>
      </c>
      <c r="B11" t="str" cm="1">
        <f t="array" ref="B11">INDEX(test_output!K:FQ,1,A11)</f>
        <v>Llama-3.1-70B-Instruct M5 bin</v>
      </c>
      <c r="C11">
        <f>AVERAGE(INDEX(test_output!K:FP,0,A11))</f>
        <v>0.5625</v>
      </c>
      <c r="D11">
        <f>COUNT(INDEX(test_output!K:FP,0,A11))</f>
        <v>256</v>
      </c>
      <c r="E11" cm="1">
        <f t="array" ref="E11">COUNT(_xlfn._xlws.FILTER(INDEX(test_output!K:FP,0,A11),INDEX(test_output!K:FP,0,A11)=1))</f>
        <v>144</v>
      </c>
      <c r="H11" cm="1">
        <f t="array" ref="H11">AVERAGE(_xlfn._xlws.FILTER(INDEX(test_output!K:FP,0,A11),[1]train_xl!$I:$I="met"))</f>
        <v>0.57446808510638303</v>
      </c>
      <c r="I11" cm="1">
        <f t="array" ref="I11">COUNT(_xlfn._xlws.FILTER(INDEX(test_output!K:FP,0,A11),[1]train_xl!$I:$I="met"))</f>
        <v>47</v>
      </c>
      <c r="J11" cm="1">
        <f t="array" ref="J11">COUNT(_xlfn._xlws.FILTER(INDEX(test_output!K:FP,0,A11),([1]train_xl!$I:$I="met")*(INDEX(test_output!K:FP,0,A11)=1)))</f>
        <v>27</v>
      </c>
      <c r="M11" cm="1">
        <f t="array" ref="M11">AVERAGE(_xlfn._xlws.FILTER(INDEX(test_output!K:FP,0,A11),[1]train_xl!$I:$I="sim"))</f>
        <v>0.55980861244019142</v>
      </c>
      <c r="N11" cm="1">
        <f t="array" ref="N11">COUNT(_xlfn._xlws.FILTER(INDEX(test_output!K:FP,0,A11),[1]train_xl!$I:$I="sim"))</f>
        <v>209</v>
      </c>
      <c r="O11" cm="1">
        <f t="array" ref="O11">COUNT(_xlfn._xlws.FILTER(INDEX(test_output!K:FP,0,A11),([1]train_xl!$I:$I="sim")*(INDEX(test_output!K:FP,0,A11)=1)))</f>
        <v>117</v>
      </c>
      <c r="AB11" t="e" cm="1" vm="1">
        <f t="array" ref="AB11">AVERAGE(_xlfn._xlws.FILTER(INDEX(test_output!K:FP,0,A11),[1]train_xl!$AA:$AA="neg"))</f>
        <v>#VALUE!</v>
      </c>
      <c r="AC11" cm="1">
        <f t="array" ref="AC11">COUNT(_xlfn._xlws.FILTER(INDEX(test_output!K:FP,0,A11),[1]train_xl!$AA:$AA="neg"))</f>
        <v>0</v>
      </c>
      <c r="AD11" cm="1">
        <f t="array" ref="AD11">COUNT(_xlfn._xlws.FILTER(INDEX(test_output!K:FP,0,A11),([1]train_xl!$AA:$AA="neg")*(INDEX(test_output!K:FP,0,A11)=1)))</f>
        <v>0</v>
      </c>
      <c r="AG11" t="e" cm="1" vm="1">
        <f t="array" ref="AG11">AVERAGE(_xlfn._xlws.FILTER(INDEX(test_output!K:FP,0,A11),[1]train_xl!$AA:$AA="intens"))</f>
        <v>#VALUE!</v>
      </c>
      <c r="AH11" cm="1">
        <f t="array" ref="AH11">COUNT(_xlfn._xlws.FILTER(INDEX(test_output!K:FP,0,A11),[1]train_xl!$AA:$AA="intens"))</f>
        <v>0</v>
      </c>
      <c r="AI11" cm="1">
        <f t="array" ref="AI11">COUNT(_xlfn._xlws.FILTER(INDEX(test_output!K:FP,0,A11),([1]train_xl!$AA:$AA="intens")*(INDEX(test_output!K:FP,0,A11)=1)))</f>
        <v>0</v>
      </c>
      <c r="AL11" t="e" cm="1" vm="1">
        <f t="array" ref="AL11">AVERAGE(_xlfn._xlws.FILTER(INDEX(test_output!K:FP,0,A11),([1]train_xl!$Y:$Y="not")*([1]train_xl!$AA:$AA="neg")))</f>
        <v>#VALUE!</v>
      </c>
      <c r="AM11" cm="1">
        <f t="array" ref="AM11">COUNT(_xlfn._xlws.FILTER(INDEX(test_output!K:FP,0,A11),([1]train_xl!$Y:$Y="not")*([1]train_xl!$AA:$AA="neg")))</f>
        <v>0</v>
      </c>
      <c r="AN11" cm="1">
        <f t="array" ref="AN11">COUNT(_xlfn._xlws.FILTER(INDEX(test_output!K:FP,0,A11),([1]train_xl!$Y:$Y="not")*([1]train_xl!$AA:$AA="neg")*(INDEX(test_output!K:FP,0,A11)=1)))</f>
        <v>0</v>
      </c>
      <c r="AQ11" t="e" cm="1" vm="1">
        <f t="array" ref="AQ11">AVERAGE(_xlfn._xlws.FILTER(INDEX(test_output!K:FP,0,A11),([1]train_xl!$Y:$Y="not")*([1]train_xl!$AA:$AA="intens")))</f>
        <v>#VALUE!</v>
      </c>
      <c r="AR11" cm="1">
        <f t="array" ref="AR11">COUNT(_xlfn._xlws.FILTER(INDEX(test_output!K:FP,0,A11),([1]train_xl!$Y:$Y="not")*([1]train_xl!$AA:$AA="intens")))</f>
        <v>0</v>
      </c>
      <c r="AS11" cm="1">
        <f t="array" ref="AS11">COUNT(_xlfn._xlws.FILTER(INDEX(test_output!K:FP,0,A11),([1]train_xl!$Y:$Y="not")*([1]train_xl!$AA:$AA="intens")*(INDEX(test_output!K:FP,0,A11)=1)))</f>
        <v>0</v>
      </c>
      <c r="AV11" t="e" cm="1" vm="1">
        <f t="array" ref="AV11">AVERAGE(_xlfn._xlws.FILTER(INDEX(test_output!K:FP,0,A11),([1]train_xl!$Y:$Y="antonym")*([1]train_xl!$AA:$AA="neg")))</f>
        <v>#VALUE!</v>
      </c>
      <c r="AW11" cm="1">
        <f t="array" ref="AW11">COUNT(_xlfn._xlws.FILTER(INDEX(test_output!K:FP,0,A11),([1]train_xl!$Y:$Y="antonym")*([1]train_xl!$AA:$AA="neg")))</f>
        <v>0</v>
      </c>
      <c r="AX11" cm="1">
        <f t="array" ref="AX11">COUNT(_xlfn._xlws.FILTER(INDEX(test_output!K:FP,0,A11),([1]train_xl!$Y:$Y="antonym")*([1]train_xl!$AA:$AA="neg")*(INDEX(test_output!K:FP,0,A11)=1)))</f>
        <v>0</v>
      </c>
      <c r="BA11" t="e" cm="1" vm="1">
        <f t="array" ref="BA11">AVERAGE(_xlfn._xlws.FILTER(INDEX(test_output!K:FP,0,A11),([1]train_xl!$Y:$Y="antonym")*([1]train_xl!$AA:$AA="intens")))</f>
        <v>#VALUE!</v>
      </c>
      <c r="BB11" cm="1">
        <f t="array" ref="BB11">COUNT(_xlfn._xlws.FILTER(INDEX(test_output!K:FP,0,A11),([1]train_xl!$Y:$Y="antonym")*([1]train_xl!$AA:$AA="intens")))</f>
        <v>0</v>
      </c>
      <c r="BC11" cm="1">
        <f t="array" ref="BC11">COUNT(_xlfn._xlws.FILTER(INDEX(test_output!K:FP,0,A11),([1]train_xl!$Y:$Y="antonym")*([1]train_xl!$AA:$AA="intens")*(INDEX(test_output!K:FP,0,A11)=1)))</f>
        <v>0</v>
      </c>
      <c r="BF11" t="e" cm="1" vm="1">
        <f t="array" ref="BF11">AVERAGE(_xlfn._xlws.FILTER(INDEX(test_output!K:FP,0,A11),[1]train_xl!$AB:$AB="Past"))</f>
        <v>#VALUE!</v>
      </c>
      <c r="BG11" cm="1">
        <f t="array" ref="BG11">COUNT(_xlfn._xlws.FILTER(INDEX(test_output!K:FP,0,A11),[1]train_xl!$AB:$AB="Past"))</f>
        <v>0</v>
      </c>
      <c r="BH11" cm="1">
        <f t="array" ref="BH11">COUNT(_xlfn._xlws.FILTER(INDEX(test_output!K:FP,0,A11),([1]train_xl!$AB:$AB="Past")*(INDEX(test_output!K:FP,0,A11)=1)))</f>
        <v>0</v>
      </c>
      <c r="BK11" t="e" cm="1" vm="1">
        <f t="array" ref="BK11">AVERAGE(_xlfn._xlws.FILTER(INDEX(test_output!K:FP,0,A11),[1]train_xl!$AB:$AB="Pres"))</f>
        <v>#VALUE!</v>
      </c>
      <c r="BL11" cm="1">
        <f t="array" ref="BL11">COUNT(_xlfn._xlws.FILTER(INDEX(test_output!K:FP,0,A11),[1]train_xl!$AB:$AB="Pres"))</f>
        <v>0</v>
      </c>
      <c r="BM11" cm="1">
        <f t="array" ref="BM11">COUNT(_xlfn._xlws.FILTER(INDEX(test_output!K:FP,0,A11),([1]train_xl!$AB:$AB="Pres")*(INDEX(test_output!K:FP,0,A11)=1)))</f>
        <v>0</v>
      </c>
      <c r="BP11" t="e" cm="1" vm="1">
        <f t="array" ref="BP11">AVERAGE(_xlfn._xlws.FILTER(INDEX(test_output!K:FP,0,A11),[1]train_xl!$AD:$AD="L"))</f>
        <v>#VALUE!</v>
      </c>
      <c r="BQ11" cm="1">
        <f t="array" ref="BQ11">COUNT(_xlfn._xlws.FILTER(INDEX(test_output!K:FP,0,A11),[1]train_xl!$AD:$AD="L"))</f>
        <v>0</v>
      </c>
      <c r="BR11" cm="1">
        <f t="array" ref="BR11">COUNT(_xlfn._xlws.FILTER(INDEX(test_output!K:FP,0,A11),([1]train_xl!$AD:$AD="L")*(INDEX(test_output!K:FP,0,A11)=1)))</f>
        <v>0</v>
      </c>
      <c r="BU11" t="e" cm="1" vm="1">
        <f t="array" ref="BU11">AVERAGE(_xlfn._xlws.FILTER(INDEX(test_output!K:FP,0,A11),[1]train_xl!$AD:$AD="H"))</f>
        <v>#VALUE!</v>
      </c>
      <c r="BV11" cm="1">
        <f t="array" ref="BV11">COUNT(_xlfn._xlws.FILTER(INDEX(test_output!K:FP,0,A11),[1]train_xl!$AD:$AD="H"))</f>
        <v>0</v>
      </c>
      <c r="BW11" cm="1">
        <f t="array" ref="BW11">COUNT(_xlfn._xlws.FILTER(INDEX(test_output!K:FP,0,A11),([1]train_xl!$AD:$AD="H")*(INDEX(test_output!K:FP,0,A11)=1)))</f>
        <v>0</v>
      </c>
      <c r="BZ11" t="e" cm="1" vm="1">
        <f t="array" ref="BZ11">AVERAGE(_xlfn._xlws.FILTER(INDEX(test_output!K:FP,0,A11),[1]train_xl!$AE:$AE=1))</f>
        <v>#VALUE!</v>
      </c>
      <c r="CA11" cm="1">
        <f t="array" ref="CA11">COUNT(_xlfn._xlws.FILTER(INDEX(test_output!K:FP,0,A11),[1]train_xl!$AE:$AE=1))</f>
        <v>0</v>
      </c>
      <c r="CB11" cm="1">
        <f t="array" ref="CB11">COUNT(_xlfn._xlws.FILTER(INDEX(test_output!K:FP,0,A11),([1]train_xl!$AE:$AE=1)*(INDEX(test_output!K:FP,0,A11)=1)))</f>
        <v>0</v>
      </c>
      <c r="CE11" t="e" cm="1" vm="1">
        <f t="array" ref="CE11">AVERAGE(_xlfn._xlws.FILTER(INDEX(test_output!K:FP,0,A11),([1]train_xl!$AE:$AE=1)*([1]train_xl!$AA:$AA="intens")))</f>
        <v>#VALUE!</v>
      </c>
      <c r="CF11" cm="1">
        <f t="array" ref="CF11">COUNT(_xlfn._xlws.FILTER(INDEX(test_output!K:FP,0,A11),([1]train_xl!$AE:$AE=1)*([1]train_xl!$AA:$AA="intens")))</f>
        <v>0</v>
      </c>
      <c r="CG11" cm="1">
        <f t="array" ref="CG11">COUNT(_xlfn._xlws.FILTER(INDEX(test_output!K:FP,0,A11),([1]train_xl!$AE:$AE=1)*([1]train_xl!$AA:$AA="intens")*(INDEX(test_output!K:FP,0,A11)=1)))</f>
        <v>0</v>
      </c>
      <c r="CJ11" t="e" cm="1" vm="1">
        <f t="array" ref="CJ11">AVERAGE(_xlfn._xlws.FILTER(INDEX(test_output!K:FP,0,A11),([1]train_xl!$AE:$AE=1)*([1]train_xl!$AA:$AA="neg")))</f>
        <v>#VALUE!</v>
      </c>
      <c r="CK11" cm="1">
        <f t="array" ref="CK11">COUNT(_xlfn._xlws.FILTER(INDEX(test_output!K:FP,0,A11),([1]train_xl!$AE:$AE=1)*([1]train_xl!$AA:$AA="neg")))</f>
        <v>0</v>
      </c>
      <c r="CL11" cm="1">
        <f t="array" ref="CL11">COUNT(_xlfn._xlws.FILTER(INDEX(test_output!K:FP,0,A11),([1]train_xl!$AE:$AE=1)*([1]train_xl!$AA:$AA="neg")*(INDEX(test_output!K:FP,0,A11)=1)))</f>
        <v>0</v>
      </c>
    </row>
    <row r="12" spans="1:92" x14ac:dyDescent="0.35">
      <c r="A12">
        <f t="shared" si="0"/>
        <v>33</v>
      </c>
      <c r="B12" t="str" cm="1">
        <f t="array" ref="B12">INDEX(test_output!K:FQ,1,A12)</f>
        <v>Llama-3.1-405B-Instruct M1 bin</v>
      </c>
      <c r="C12">
        <f>AVERAGE(INDEX(test_output!K:FP,0,A12))</f>
        <v>0.8046875</v>
      </c>
      <c r="D12">
        <f>COUNT(INDEX(test_output!K:FP,0,A12))</f>
        <v>256</v>
      </c>
      <c r="E12" cm="1">
        <f t="array" ref="E12">COUNT(_xlfn._xlws.FILTER(INDEX(test_output!K:FP,0,A12),INDEX(test_output!K:FP,0,A12)=1))</f>
        <v>206</v>
      </c>
      <c r="H12" cm="1">
        <f t="array" ref="H12">AVERAGE(_xlfn._xlws.FILTER(INDEX(test_output!K:FP,0,A12),[1]train_xl!$I:$I="met"))</f>
        <v>0.76595744680851063</v>
      </c>
      <c r="I12" cm="1">
        <f t="array" ref="I12">COUNT(_xlfn._xlws.FILTER(INDEX(test_output!K:FP,0,A12),[1]train_xl!$I:$I="met"))</f>
        <v>47</v>
      </c>
      <c r="J12" cm="1">
        <f t="array" ref="J12">COUNT(_xlfn._xlws.FILTER(INDEX(test_output!K:FP,0,A12),([1]train_xl!$I:$I="met")*(INDEX(test_output!K:FP,0,A12)=1)))</f>
        <v>36</v>
      </c>
      <c r="M12" cm="1">
        <f t="array" ref="M12">AVERAGE(_xlfn._xlws.FILTER(INDEX(test_output!K:FP,0,A12),[1]train_xl!$I:$I="sim"))</f>
        <v>0.8133971291866029</v>
      </c>
      <c r="N12" cm="1">
        <f t="array" ref="N12">COUNT(_xlfn._xlws.FILTER(INDEX(test_output!K:FP,0,A12),[1]train_xl!$I:$I="sim"))</f>
        <v>209</v>
      </c>
      <c r="O12" cm="1">
        <f t="array" ref="O12">COUNT(_xlfn._xlws.FILTER(INDEX(test_output!K:FP,0,A12),([1]train_xl!$I:$I="sim")*(INDEX(test_output!K:FP,0,A12)=1)))</f>
        <v>170</v>
      </c>
      <c r="AB12" t="e" cm="1" vm="1">
        <f t="array" ref="AB12">AVERAGE(_xlfn._xlws.FILTER(INDEX(test_output!K:FP,0,A12),[1]train_xl!$AA:$AA="neg"))</f>
        <v>#VALUE!</v>
      </c>
      <c r="AC12" cm="1">
        <f t="array" ref="AC12">COUNT(_xlfn._xlws.FILTER(INDEX(test_output!K:FP,0,A12),[1]train_xl!$AA:$AA="neg"))</f>
        <v>0</v>
      </c>
      <c r="AD12" cm="1">
        <f t="array" ref="AD12">COUNT(_xlfn._xlws.FILTER(INDEX(test_output!K:FP,0,A12),([1]train_xl!$AA:$AA="neg")*(INDEX(test_output!K:FP,0,A12)=1)))</f>
        <v>0</v>
      </c>
      <c r="AG12" t="e" cm="1" vm="1">
        <f t="array" ref="AG12">AVERAGE(_xlfn._xlws.FILTER(INDEX(test_output!K:FP,0,A12),[1]train_xl!$AA:$AA="intens"))</f>
        <v>#VALUE!</v>
      </c>
      <c r="AH12" cm="1">
        <f t="array" ref="AH12">COUNT(_xlfn._xlws.FILTER(INDEX(test_output!K:FP,0,A12),[1]train_xl!$AA:$AA="intens"))</f>
        <v>0</v>
      </c>
      <c r="AI12" cm="1">
        <f t="array" ref="AI12">COUNT(_xlfn._xlws.FILTER(INDEX(test_output!K:FP,0,A12),([1]train_xl!$AA:$AA="intens")*(INDEX(test_output!K:FP,0,A12)=1)))</f>
        <v>0</v>
      </c>
      <c r="AL12" t="e" cm="1" vm="1">
        <f t="array" ref="AL12">AVERAGE(_xlfn._xlws.FILTER(INDEX(test_output!K:FP,0,A12),([1]train_xl!$Y:$Y="not")*([1]train_xl!$AA:$AA="neg")))</f>
        <v>#VALUE!</v>
      </c>
      <c r="AM12" cm="1">
        <f t="array" ref="AM12">COUNT(_xlfn._xlws.FILTER(INDEX(test_output!K:FP,0,A12),([1]train_xl!$Y:$Y="not")*([1]train_xl!$AA:$AA="neg")))</f>
        <v>0</v>
      </c>
      <c r="AN12" cm="1">
        <f t="array" ref="AN12">COUNT(_xlfn._xlws.FILTER(INDEX(test_output!K:FP,0,A12),([1]train_xl!$Y:$Y="not")*([1]train_xl!$AA:$AA="neg")*(INDEX(test_output!K:FP,0,A12)=1)))</f>
        <v>0</v>
      </c>
      <c r="AQ12" t="e" cm="1" vm="1">
        <f t="array" ref="AQ12">AVERAGE(_xlfn._xlws.FILTER(INDEX(test_output!K:FP,0,A12),([1]train_xl!$Y:$Y="not")*([1]train_xl!$AA:$AA="intens")))</f>
        <v>#VALUE!</v>
      </c>
      <c r="AR12" cm="1">
        <f t="array" ref="AR12">COUNT(_xlfn._xlws.FILTER(INDEX(test_output!K:FP,0,A12),([1]train_xl!$Y:$Y="not")*([1]train_xl!$AA:$AA="intens")))</f>
        <v>0</v>
      </c>
      <c r="AS12" cm="1">
        <f t="array" ref="AS12">COUNT(_xlfn._xlws.FILTER(INDEX(test_output!K:FP,0,A12),([1]train_xl!$Y:$Y="not")*([1]train_xl!$AA:$AA="intens")*(INDEX(test_output!K:FP,0,A12)=1)))</f>
        <v>0</v>
      </c>
      <c r="AV12" t="e" cm="1" vm="1">
        <f t="array" ref="AV12">AVERAGE(_xlfn._xlws.FILTER(INDEX(test_output!K:FP,0,A12),([1]train_xl!$Y:$Y="antonym")*([1]train_xl!$AA:$AA="neg")))</f>
        <v>#VALUE!</v>
      </c>
      <c r="AW12" cm="1">
        <f t="array" ref="AW12">COUNT(_xlfn._xlws.FILTER(INDEX(test_output!K:FP,0,A12),([1]train_xl!$Y:$Y="antonym")*([1]train_xl!$AA:$AA="neg")))</f>
        <v>0</v>
      </c>
      <c r="AX12" cm="1">
        <f t="array" ref="AX12">COUNT(_xlfn._xlws.FILTER(INDEX(test_output!K:FP,0,A12),([1]train_xl!$Y:$Y="antonym")*([1]train_xl!$AA:$AA="neg")*(INDEX(test_output!K:FP,0,A12)=1)))</f>
        <v>0</v>
      </c>
      <c r="BA12" t="e" cm="1" vm="1">
        <f t="array" ref="BA12">AVERAGE(_xlfn._xlws.FILTER(INDEX(test_output!K:FP,0,A12),([1]train_xl!$Y:$Y="antonym")*([1]train_xl!$AA:$AA="intens")))</f>
        <v>#VALUE!</v>
      </c>
      <c r="BB12" cm="1">
        <f t="array" ref="BB12">COUNT(_xlfn._xlws.FILTER(INDEX(test_output!K:FP,0,A12),([1]train_xl!$Y:$Y="antonym")*([1]train_xl!$AA:$AA="intens")))</f>
        <v>0</v>
      </c>
      <c r="BC12" cm="1">
        <f t="array" ref="BC12">COUNT(_xlfn._xlws.FILTER(INDEX(test_output!K:FP,0,A12),([1]train_xl!$Y:$Y="antonym")*([1]train_xl!$AA:$AA="intens")*(INDEX(test_output!K:FP,0,A12)=1)))</f>
        <v>0</v>
      </c>
      <c r="BF12" t="e" cm="1" vm="1">
        <f t="array" ref="BF12">AVERAGE(_xlfn._xlws.FILTER(INDEX(test_output!K:FP,0,A12),[1]train_xl!$AB:$AB="Past"))</f>
        <v>#VALUE!</v>
      </c>
      <c r="BG12" cm="1">
        <f t="array" ref="BG12">COUNT(_xlfn._xlws.FILTER(INDEX(test_output!K:FP,0,A12),[1]train_xl!$AB:$AB="Past"))</f>
        <v>0</v>
      </c>
      <c r="BH12" cm="1">
        <f t="array" ref="BH12">COUNT(_xlfn._xlws.FILTER(INDEX(test_output!K:FP,0,A12),([1]train_xl!$AB:$AB="Past")*(INDEX(test_output!K:FP,0,A12)=1)))</f>
        <v>0</v>
      </c>
      <c r="BK12" t="e" cm="1" vm="1">
        <f t="array" ref="BK12">AVERAGE(_xlfn._xlws.FILTER(INDEX(test_output!K:FP,0,A12),[1]train_xl!$AB:$AB="Pres"))</f>
        <v>#VALUE!</v>
      </c>
      <c r="BL12" cm="1">
        <f t="array" ref="BL12">COUNT(_xlfn._xlws.FILTER(INDEX(test_output!K:FP,0,A12),[1]train_xl!$AB:$AB="Pres"))</f>
        <v>0</v>
      </c>
      <c r="BM12" cm="1">
        <f t="array" ref="BM12">COUNT(_xlfn._xlws.FILTER(INDEX(test_output!K:FP,0,A12),([1]train_xl!$AB:$AB="Pres")*(INDEX(test_output!K:FP,0,A12)=1)))</f>
        <v>0</v>
      </c>
      <c r="BP12" t="e" cm="1" vm="1">
        <f t="array" ref="BP12">AVERAGE(_xlfn._xlws.FILTER(INDEX(test_output!K:FP,0,A12),[1]train_xl!$AD:$AD="L"))</f>
        <v>#VALUE!</v>
      </c>
      <c r="BQ12" cm="1">
        <f t="array" ref="BQ12">COUNT(_xlfn._xlws.FILTER(INDEX(test_output!K:FP,0,A12),[1]train_xl!$AD:$AD="L"))</f>
        <v>0</v>
      </c>
      <c r="BR12" cm="1">
        <f t="array" ref="BR12">COUNT(_xlfn._xlws.FILTER(INDEX(test_output!K:FP,0,A12),([1]train_xl!$AD:$AD="L")*(INDEX(test_output!K:FP,0,A12)=1)))</f>
        <v>0</v>
      </c>
      <c r="BU12" t="e" cm="1" vm="1">
        <f t="array" ref="BU12">AVERAGE(_xlfn._xlws.FILTER(INDEX(test_output!K:FP,0,A12),[1]train_xl!$AD:$AD="H"))</f>
        <v>#VALUE!</v>
      </c>
      <c r="BV12" cm="1">
        <f t="array" ref="BV12">COUNT(_xlfn._xlws.FILTER(INDEX(test_output!K:FP,0,A12),[1]train_xl!$AD:$AD="H"))</f>
        <v>0</v>
      </c>
      <c r="BW12" cm="1">
        <f t="array" ref="BW12">COUNT(_xlfn._xlws.FILTER(INDEX(test_output!K:FP,0,A12),([1]train_xl!$AD:$AD="H")*(INDEX(test_output!K:FP,0,A12)=1)))</f>
        <v>0</v>
      </c>
      <c r="BZ12" t="e" cm="1" vm="1">
        <f t="array" ref="BZ12">AVERAGE(_xlfn._xlws.FILTER(INDEX(test_output!K:FP,0,A12),[1]train_xl!$AE:$AE=1))</f>
        <v>#VALUE!</v>
      </c>
      <c r="CA12" cm="1">
        <f t="array" ref="CA12">COUNT(_xlfn._xlws.FILTER(INDEX(test_output!K:FP,0,A12),[1]train_xl!$AE:$AE=1))</f>
        <v>0</v>
      </c>
      <c r="CB12" cm="1">
        <f t="array" ref="CB12">COUNT(_xlfn._xlws.FILTER(INDEX(test_output!K:FP,0,A12),([1]train_xl!$AE:$AE=1)*(INDEX(test_output!K:FP,0,A12)=1)))</f>
        <v>0</v>
      </c>
      <c r="CE12" t="e" cm="1" vm="1">
        <f t="array" ref="CE12">AVERAGE(_xlfn._xlws.FILTER(INDEX(test_output!K:FP,0,A12),([1]train_xl!$AE:$AE=1)*([1]train_xl!$AA:$AA="intens")))</f>
        <v>#VALUE!</v>
      </c>
      <c r="CF12" cm="1">
        <f t="array" ref="CF12">COUNT(_xlfn._xlws.FILTER(INDEX(test_output!K:FP,0,A12),([1]train_xl!$AE:$AE=1)*([1]train_xl!$AA:$AA="intens")))</f>
        <v>0</v>
      </c>
      <c r="CG12" cm="1">
        <f t="array" ref="CG12">COUNT(_xlfn._xlws.FILTER(INDEX(test_output!K:FP,0,A12),([1]train_xl!$AE:$AE=1)*([1]train_xl!$AA:$AA="intens")*(INDEX(test_output!K:FP,0,A12)=1)))</f>
        <v>0</v>
      </c>
      <c r="CJ12" t="e" cm="1" vm="1">
        <f t="array" ref="CJ12">AVERAGE(_xlfn._xlws.FILTER(INDEX(test_output!K:FP,0,A12),([1]train_xl!$AE:$AE=1)*([1]train_xl!$AA:$AA="neg")))</f>
        <v>#VALUE!</v>
      </c>
      <c r="CK12" cm="1">
        <f t="array" ref="CK12">COUNT(_xlfn._xlws.FILTER(INDEX(test_output!K:FP,0,A12),([1]train_xl!$AE:$AE=1)*([1]train_xl!$AA:$AA="neg")))</f>
        <v>0</v>
      </c>
      <c r="CL12" cm="1">
        <f t="array" ref="CL12">COUNT(_xlfn._xlws.FILTER(INDEX(test_output!K:FP,0,A12),([1]train_xl!$AE:$AE=1)*([1]train_xl!$AA:$AA="neg")*(INDEX(test_output!K:FP,0,A12)=1)))</f>
        <v>0</v>
      </c>
    </row>
    <row r="13" spans="1:92" x14ac:dyDescent="0.35">
      <c r="A13">
        <f t="shared" si="0"/>
        <v>36</v>
      </c>
      <c r="B13" t="str" cm="1">
        <f t="array" ref="B13">INDEX(test_output!K:FQ,1,A13)</f>
        <v>Llama-3.1-405B-Instruct M2 bin</v>
      </c>
      <c r="C13">
        <f>AVERAGE(INDEX(test_output!K:FP,0,A13))</f>
        <v>0.85546875</v>
      </c>
      <c r="D13">
        <f>COUNT(INDEX(test_output!K:FP,0,A13))</f>
        <v>256</v>
      </c>
      <c r="E13" cm="1">
        <f t="array" ref="E13">COUNT(_xlfn._xlws.FILTER(INDEX(test_output!K:FP,0,A13),INDEX(test_output!K:FP,0,A13)=1))</f>
        <v>219</v>
      </c>
      <c r="H13" cm="1">
        <f t="array" ref="H13">AVERAGE(_xlfn._xlws.FILTER(INDEX(test_output!K:FP,0,A13),[1]train_xl!$I:$I="met"))</f>
        <v>0.80851063829787229</v>
      </c>
      <c r="I13" cm="1">
        <f t="array" ref="I13">COUNT(_xlfn._xlws.FILTER(INDEX(test_output!K:FP,0,A13),[1]train_xl!$I:$I="met"))</f>
        <v>47</v>
      </c>
      <c r="J13" cm="1">
        <f t="array" ref="J13">COUNT(_xlfn._xlws.FILTER(INDEX(test_output!K:FP,0,A13),([1]train_xl!$I:$I="met")*(INDEX(test_output!K:FP,0,A13)=1)))</f>
        <v>38</v>
      </c>
      <c r="M13" cm="1">
        <f t="array" ref="M13">AVERAGE(_xlfn._xlws.FILTER(INDEX(test_output!K:FP,0,A13),[1]train_xl!$I:$I="sim"))</f>
        <v>0.86602870813397126</v>
      </c>
      <c r="N13" cm="1">
        <f t="array" ref="N13">COUNT(_xlfn._xlws.FILTER(INDEX(test_output!K:FP,0,A13),[1]train_xl!$I:$I="sim"))</f>
        <v>209</v>
      </c>
      <c r="O13" cm="1">
        <f t="array" ref="O13">COUNT(_xlfn._xlws.FILTER(INDEX(test_output!K:FP,0,A13),([1]train_xl!$I:$I="sim")*(INDEX(test_output!K:FP,0,A13)=1)))</f>
        <v>181</v>
      </c>
      <c r="AB13" t="e" cm="1" vm="1">
        <f t="array" ref="AB13">AVERAGE(_xlfn._xlws.FILTER(INDEX(test_output!K:FP,0,A13),[1]train_xl!$AA:$AA="neg"))</f>
        <v>#VALUE!</v>
      </c>
      <c r="AC13" cm="1">
        <f t="array" ref="AC13">COUNT(_xlfn._xlws.FILTER(INDEX(test_output!K:FP,0,A13),[1]train_xl!$AA:$AA="neg"))</f>
        <v>0</v>
      </c>
      <c r="AD13" cm="1">
        <f t="array" ref="AD13">COUNT(_xlfn._xlws.FILTER(INDEX(test_output!K:FP,0,A13),([1]train_xl!$AA:$AA="neg")*(INDEX(test_output!K:FP,0,A13)=1)))</f>
        <v>0</v>
      </c>
      <c r="AG13" t="e" cm="1" vm="1">
        <f t="array" ref="AG13">AVERAGE(_xlfn._xlws.FILTER(INDEX(test_output!K:FP,0,A13),[1]train_xl!$AA:$AA="intens"))</f>
        <v>#VALUE!</v>
      </c>
      <c r="AH13" cm="1">
        <f t="array" ref="AH13">COUNT(_xlfn._xlws.FILTER(INDEX(test_output!K:FP,0,A13),[1]train_xl!$AA:$AA="intens"))</f>
        <v>0</v>
      </c>
      <c r="AI13" cm="1">
        <f t="array" ref="AI13">COUNT(_xlfn._xlws.FILTER(INDEX(test_output!K:FP,0,A13),([1]train_xl!$AA:$AA="intens")*(INDEX(test_output!K:FP,0,A13)=1)))</f>
        <v>0</v>
      </c>
      <c r="AL13" t="e" cm="1" vm="1">
        <f t="array" ref="AL13">AVERAGE(_xlfn._xlws.FILTER(INDEX(test_output!K:FP,0,A13),([1]train_xl!$Y:$Y="not")*([1]train_xl!$AA:$AA="neg")))</f>
        <v>#VALUE!</v>
      </c>
      <c r="AM13" cm="1">
        <f t="array" ref="AM13">COUNT(_xlfn._xlws.FILTER(INDEX(test_output!K:FP,0,A13),([1]train_xl!$Y:$Y="not")*([1]train_xl!$AA:$AA="neg")))</f>
        <v>0</v>
      </c>
      <c r="AN13" cm="1">
        <f t="array" ref="AN13">COUNT(_xlfn._xlws.FILTER(INDEX(test_output!K:FP,0,A13),([1]train_xl!$Y:$Y="not")*([1]train_xl!$AA:$AA="neg")*(INDEX(test_output!K:FP,0,A13)=1)))</f>
        <v>0</v>
      </c>
      <c r="AQ13" t="e" cm="1" vm="1">
        <f t="array" ref="AQ13">AVERAGE(_xlfn._xlws.FILTER(INDEX(test_output!K:FP,0,A13),([1]train_xl!$Y:$Y="not")*([1]train_xl!$AA:$AA="intens")))</f>
        <v>#VALUE!</v>
      </c>
      <c r="AR13" cm="1">
        <f t="array" ref="AR13">COUNT(_xlfn._xlws.FILTER(INDEX(test_output!K:FP,0,A13),([1]train_xl!$Y:$Y="not")*([1]train_xl!$AA:$AA="intens")))</f>
        <v>0</v>
      </c>
      <c r="AS13" cm="1">
        <f t="array" ref="AS13">COUNT(_xlfn._xlws.FILTER(INDEX(test_output!K:FP,0,A13),([1]train_xl!$Y:$Y="not")*([1]train_xl!$AA:$AA="intens")*(INDEX(test_output!K:FP,0,A13)=1)))</f>
        <v>0</v>
      </c>
      <c r="AV13" t="e" cm="1" vm="1">
        <f t="array" ref="AV13">AVERAGE(_xlfn._xlws.FILTER(INDEX(test_output!K:FP,0,A13),([1]train_xl!$Y:$Y="antonym")*([1]train_xl!$AA:$AA="neg")))</f>
        <v>#VALUE!</v>
      </c>
      <c r="AW13" cm="1">
        <f t="array" ref="AW13">COUNT(_xlfn._xlws.FILTER(INDEX(test_output!K:FP,0,A13),([1]train_xl!$Y:$Y="antonym")*([1]train_xl!$AA:$AA="neg")))</f>
        <v>0</v>
      </c>
      <c r="AX13" cm="1">
        <f t="array" ref="AX13">COUNT(_xlfn._xlws.FILTER(INDEX(test_output!K:FP,0,A13),([1]train_xl!$Y:$Y="antonym")*([1]train_xl!$AA:$AA="neg")*(INDEX(test_output!K:FP,0,A13)=1)))</f>
        <v>0</v>
      </c>
      <c r="BA13" t="e" cm="1" vm="1">
        <f t="array" ref="BA13">AVERAGE(_xlfn._xlws.FILTER(INDEX(test_output!K:FP,0,A13),([1]train_xl!$Y:$Y="antonym")*([1]train_xl!$AA:$AA="intens")))</f>
        <v>#VALUE!</v>
      </c>
      <c r="BB13" cm="1">
        <f t="array" ref="BB13">COUNT(_xlfn._xlws.FILTER(INDEX(test_output!K:FP,0,A13),([1]train_xl!$Y:$Y="antonym")*([1]train_xl!$AA:$AA="intens")))</f>
        <v>0</v>
      </c>
      <c r="BC13" cm="1">
        <f t="array" ref="BC13">COUNT(_xlfn._xlws.FILTER(INDEX(test_output!K:FP,0,A13),([1]train_xl!$Y:$Y="antonym")*([1]train_xl!$AA:$AA="intens")*(INDEX(test_output!K:FP,0,A13)=1)))</f>
        <v>0</v>
      </c>
      <c r="BF13" t="e" cm="1" vm="1">
        <f t="array" ref="BF13">AVERAGE(_xlfn._xlws.FILTER(INDEX(test_output!K:FP,0,A13),[1]train_xl!$AB:$AB="Past"))</f>
        <v>#VALUE!</v>
      </c>
      <c r="BG13" cm="1">
        <f t="array" ref="BG13">COUNT(_xlfn._xlws.FILTER(INDEX(test_output!K:FP,0,A13),[1]train_xl!$AB:$AB="Past"))</f>
        <v>0</v>
      </c>
      <c r="BH13" cm="1">
        <f t="array" ref="BH13">COUNT(_xlfn._xlws.FILTER(INDEX(test_output!K:FP,0,A13),([1]train_xl!$AB:$AB="Past")*(INDEX(test_output!K:FP,0,A13)=1)))</f>
        <v>0</v>
      </c>
      <c r="BK13" t="e" cm="1" vm="1">
        <f t="array" ref="BK13">AVERAGE(_xlfn._xlws.FILTER(INDEX(test_output!K:FP,0,A13),[1]train_xl!$AB:$AB="Pres"))</f>
        <v>#VALUE!</v>
      </c>
      <c r="BL13" cm="1">
        <f t="array" ref="BL13">COUNT(_xlfn._xlws.FILTER(INDEX(test_output!K:FP,0,A13),[1]train_xl!$AB:$AB="Pres"))</f>
        <v>0</v>
      </c>
      <c r="BM13" cm="1">
        <f t="array" ref="BM13">COUNT(_xlfn._xlws.FILTER(INDEX(test_output!K:FP,0,A13),([1]train_xl!$AB:$AB="Pres")*(INDEX(test_output!K:FP,0,A13)=1)))</f>
        <v>0</v>
      </c>
      <c r="BP13" t="e" cm="1" vm="1">
        <f t="array" ref="BP13">AVERAGE(_xlfn._xlws.FILTER(INDEX(test_output!K:FP,0,A13),[1]train_xl!$AD:$AD="L"))</f>
        <v>#VALUE!</v>
      </c>
      <c r="BQ13" cm="1">
        <f t="array" ref="BQ13">COUNT(_xlfn._xlws.FILTER(INDEX(test_output!K:FP,0,A13),[1]train_xl!$AD:$AD="L"))</f>
        <v>0</v>
      </c>
      <c r="BR13" cm="1">
        <f t="array" ref="BR13">COUNT(_xlfn._xlws.FILTER(INDEX(test_output!K:FP,0,A13),([1]train_xl!$AD:$AD="L")*(INDEX(test_output!K:FP,0,A13)=1)))</f>
        <v>0</v>
      </c>
      <c r="BU13" t="e" cm="1" vm="1">
        <f t="array" ref="BU13">AVERAGE(_xlfn._xlws.FILTER(INDEX(test_output!K:FP,0,A13),[1]train_xl!$AD:$AD="H"))</f>
        <v>#VALUE!</v>
      </c>
      <c r="BV13" cm="1">
        <f t="array" ref="BV13">COUNT(_xlfn._xlws.FILTER(INDEX(test_output!K:FP,0,A13),[1]train_xl!$AD:$AD="H"))</f>
        <v>0</v>
      </c>
      <c r="BW13" cm="1">
        <f t="array" ref="BW13">COUNT(_xlfn._xlws.FILTER(INDEX(test_output!K:FP,0,A13),([1]train_xl!$AD:$AD="H")*(INDEX(test_output!K:FP,0,A13)=1)))</f>
        <v>0</v>
      </c>
      <c r="BZ13" t="e" cm="1" vm="1">
        <f t="array" ref="BZ13">AVERAGE(_xlfn._xlws.FILTER(INDEX(test_output!K:FP,0,A13),[1]train_xl!$AE:$AE=1))</f>
        <v>#VALUE!</v>
      </c>
      <c r="CA13" cm="1">
        <f t="array" ref="CA13">COUNT(_xlfn._xlws.FILTER(INDEX(test_output!K:FP,0,A13),[1]train_xl!$AE:$AE=1))</f>
        <v>0</v>
      </c>
      <c r="CB13" cm="1">
        <f t="array" ref="CB13">COUNT(_xlfn._xlws.FILTER(INDEX(test_output!K:FP,0,A13),([1]train_xl!$AE:$AE=1)*(INDEX(test_output!K:FP,0,A13)=1)))</f>
        <v>0</v>
      </c>
      <c r="CE13" t="e" cm="1" vm="1">
        <f t="array" ref="CE13">AVERAGE(_xlfn._xlws.FILTER(INDEX(test_output!K:FP,0,A13),([1]train_xl!$AE:$AE=1)*([1]train_xl!$AA:$AA="intens")))</f>
        <v>#VALUE!</v>
      </c>
      <c r="CF13" cm="1">
        <f t="array" ref="CF13">COUNT(_xlfn._xlws.FILTER(INDEX(test_output!K:FP,0,A13),([1]train_xl!$AE:$AE=1)*([1]train_xl!$AA:$AA="intens")))</f>
        <v>0</v>
      </c>
      <c r="CG13" cm="1">
        <f t="array" ref="CG13">COUNT(_xlfn._xlws.FILTER(INDEX(test_output!K:FP,0,A13),([1]train_xl!$AE:$AE=1)*([1]train_xl!$AA:$AA="intens")*(INDEX(test_output!K:FP,0,A13)=1)))</f>
        <v>0</v>
      </c>
      <c r="CJ13" t="e" cm="1" vm="1">
        <f t="array" ref="CJ13">AVERAGE(_xlfn._xlws.FILTER(INDEX(test_output!K:FP,0,A13),([1]train_xl!$AE:$AE=1)*([1]train_xl!$AA:$AA="neg")))</f>
        <v>#VALUE!</v>
      </c>
      <c r="CK13" cm="1">
        <f t="array" ref="CK13">COUNT(_xlfn._xlws.FILTER(INDEX(test_output!K:FP,0,A13),([1]train_xl!$AE:$AE=1)*([1]train_xl!$AA:$AA="neg")))</f>
        <v>0</v>
      </c>
      <c r="CL13" cm="1">
        <f t="array" ref="CL13">COUNT(_xlfn._xlws.FILTER(INDEX(test_output!K:FP,0,A13),([1]train_xl!$AE:$AE=1)*([1]train_xl!$AA:$AA="neg")*(INDEX(test_output!K:FP,0,A13)=1)))</f>
        <v>0</v>
      </c>
    </row>
    <row r="14" spans="1:92" x14ac:dyDescent="0.35">
      <c r="A14">
        <f t="shared" si="0"/>
        <v>39</v>
      </c>
      <c r="B14" t="str" cm="1">
        <f t="array" ref="B14">INDEX(test_output!K:FQ,1,A14)</f>
        <v>Llama-3.1-405B-Instruct M3 bin</v>
      </c>
      <c r="C14">
        <f>AVERAGE(INDEX(test_output!K:FP,0,A14))</f>
        <v>0.765625</v>
      </c>
      <c r="D14">
        <f>COUNT(INDEX(test_output!K:FP,0,A14))</f>
        <v>256</v>
      </c>
      <c r="E14" cm="1">
        <f t="array" ref="E14">COUNT(_xlfn._xlws.FILTER(INDEX(test_output!K:FP,0,A14),INDEX(test_output!K:FP,0,A14)=1))</f>
        <v>196</v>
      </c>
      <c r="H14" cm="1">
        <f t="array" ref="H14">AVERAGE(_xlfn._xlws.FILTER(INDEX(test_output!K:FP,0,A14),[1]train_xl!$I:$I="met"))</f>
        <v>0.74468085106382975</v>
      </c>
      <c r="I14" cm="1">
        <f t="array" ref="I14">COUNT(_xlfn._xlws.FILTER(INDEX(test_output!K:FP,0,A14),[1]train_xl!$I:$I="met"))</f>
        <v>47</v>
      </c>
      <c r="J14" cm="1">
        <f t="array" ref="J14">COUNT(_xlfn._xlws.FILTER(INDEX(test_output!K:FP,0,A14),([1]train_xl!$I:$I="met")*(INDEX(test_output!K:FP,0,A14)=1)))</f>
        <v>35</v>
      </c>
      <c r="M14" cm="1">
        <f t="array" ref="M14">AVERAGE(_xlfn._xlws.FILTER(INDEX(test_output!K:FP,0,A14),[1]train_xl!$I:$I="sim"))</f>
        <v>0.77033492822966509</v>
      </c>
      <c r="N14" cm="1">
        <f t="array" ref="N14">COUNT(_xlfn._xlws.FILTER(INDEX(test_output!K:FP,0,A14),[1]train_xl!$I:$I="sim"))</f>
        <v>209</v>
      </c>
      <c r="O14" cm="1">
        <f t="array" ref="O14">COUNT(_xlfn._xlws.FILTER(INDEX(test_output!K:FP,0,A14),([1]train_xl!$I:$I="sim")*(INDEX(test_output!K:FP,0,A14)=1)))</f>
        <v>161</v>
      </c>
      <c r="AB14" t="e" cm="1" vm="1">
        <f t="array" ref="AB14">AVERAGE(_xlfn._xlws.FILTER(INDEX(test_output!K:FP,0,A14),[1]train_xl!$AA:$AA="neg"))</f>
        <v>#VALUE!</v>
      </c>
      <c r="AC14" cm="1">
        <f t="array" ref="AC14">COUNT(_xlfn._xlws.FILTER(INDEX(test_output!K:FP,0,A14),[1]train_xl!$AA:$AA="neg"))</f>
        <v>0</v>
      </c>
      <c r="AD14" cm="1">
        <f t="array" ref="AD14">COUNT(_xlfn._xlws.FILTER(INDEX(test_output!K:FP,0,A14),([1]train_xl!$AA:$AA="neg")*(INDEX(test_output!K:FP,0,A14)=1)))</f>
        <v>0</v>
      </c>
      <c r="AG14" t="e" cm="1" vm="1">
        <f t="array" ref="AG14">AVERAGE(_xlfn._xlws.FILTER(INDEX(test_output!K:FP,0,A14),[1]train_xl!$AA:$AA="intens"))</f>
        <v>#VALUE!</v>
      </c>
      <c r="AH14" cm="1">
        <f t="array" ref="AH14">COUNT(_xlfn._xlws.FILTER(INDEX(test_output!K:FP,0,A14),[1]train_xl!$AA:$AA="intens"))</f>
        <v>0</v>
      </c>
      <c r="AI14" cm="1">
        <f t="array" ref="AI14">COUNT(_xlfn._xlws.FILTER(INDEX(test_output!K:FP,0,A14),([1]train_xl!$AA:$AA="intens")*(INDEX(test_output!K:FP,0,A14)=1)))</f>
        <v>0</v>
      </c>
      <c r="AL14" t="e" cm="1" vm="1">
        <f t="array" ref="AL14">AVERAGE(_xlfn._xlws.FILTER(INDEX(test_output!K:FP,0,A14),([1]train_xl!$Y:$Y="not")*([1]train_xl!$AA:$AA="neg")))</f>
        <v>#VALUE!</v>
      </c>
      <c r="AM14" cm="1">
        <f t="array" ref="AM14">COUNT(_xlfn._xlws.FILTER(INDEX(test_output!K:FP,0,A14),([1]train_xl!$Y:$Y="not")*([1]train_xl!$AA:$AA="neg")))</f>
        <v>0</v>
      </c>
      <c r="AN14" cm="1">
        <f t="array" ref="AN14">COUNT(_xlfn._xlws.FILTER(INDEX(test_output!K:FP,0,A14),([1]train_xl!$Y:$Y="not")*([1]train_xl!$AA:$AA="neg")*(INDEX(test_output!K:FP,0,A14)=1)))</f>
        <v>0</v>
      </c>
      <c r="AQ14" t="e" cm="1" vm="1">
        <f t="array" ref="AQ14">AVERAGE(_xlfn._xlws.FILTER(INDEX(test_output!K:FP,0,A14),([1]train_xl!$Y:$Y="not")*([1]train_xl!$AA:$AA="intens")))</f>
        <v>#VALUE!</v>
      </c>
      <c r="AR14" cm="1">
        <f t="array" ref="AR14">COUNT(_xlfn._xlws.FILTER(INDEX(test_output!K:FP,0,A14),([1]train_xl!$Y:$Y="not")*([1]train_xl!$AA:$AA="intens")))</f>
        <v>0</v>
      </c>
      <c r="AS14" cm="1">
        <f t="array" ref="AS14">COUNT(_xlfn._xlws.FILTER(INDEX(test_output!K:FP,0,A14),([1]train_xl!$Y:$Y="not")*([1]train_xl!$AA:$AA="intens")*(INDEX(test_output!K:FP,0,A14)=1)))</f>
        <v>0</v>
      </c>
      <c r="AV14" t="e" cm="1" vm="1">
        <f t="array" ref="AV14">AVERAGE(_xlfn._xlws.FILTER(INDEX(test_output!K:FP,0,A14),([1]train_xl!$Y:$Y="antonym")*([1]train_xl!$AA:$AA="neg")))</f>
        <v>#VALUE!</v>
      </c>
      <c r="AW14" cm="1">
        <f t="array" ref="AW14">COUNT(_xlfn._xlws.FILTER(INDEX(test_output!K:FP,0,A14),([1]train_xl!$Y:$Y="antonym")*([1]train_xl!$AA:$AA="neg")))</f>
        <v>0</v>
      </c>
      <c r="AX14" cm="1">
        <f t="array" ref="AX14">COUNT(_xlfn._xlws.FILTER(INDEX(test_output!K:FP,0,A14),([1]train_xl!$Y:$Y="antonym")*([1]train_xl!$AA:$AA="neg")*(INDEX(test_output!K:FP,0,A14)=1)))</f>
        <v>0</v>
      </c>
      <c r="BA14" t="e" cm="1" vm="1">
        <f t="array" ref="BA14">AVERAGE(_xlfn._xlws.FILTER(INDEX(test_output!K:FP,0,A14),([1]train_xl!$Y:$Y="antonym")*([1]train_xl!$AA:$AA="intens")))</f>
        <v>#VALUE!</v>
      </c>
      <c r="BB14" cm="1">
        <f t="array" ref="BB14">COUNT(_xlfn._xlws.FILTER(INDEX(test_output!K:FP,0,A14),([1]train_xl!$Y:$Y="antonym")*([1]train_xl!$AA:$AA="intens")))</f>
        <v>0</v>
      </c>
      <c r="BC14" cm="1">
        <f t="array" ref="BC14">COUNT(_xlfn._xlws.FILTER(INDEX(test_output!K:FP,0,A14),([1]train_xl!$Y:$Y="antonym")*([1]train_xl!$AA:$AA="intens")*(INDEX(test_output!K:FP,0,A14)=1)))</f>
        <v>0</v>
      </c>
      <c r="BF14" t="e" cm="1" vm="1">
        <f t="array" ref="BF14">AVERAGE(_xlfn._xlws.FILTER(INDEX(test_output!K:FP,0,A14),[1]train_xl!$AB:$AB="Past"))</f>
        <v>#VALUE!</v>
      </c>
      <c r="BG14" cm="1">
        <f t="array" ref="BG14">COUNT(_xlfn._xlws.FILTER(INDEX(test_output!K:FP,0,A14),[1]train_xl!$AB:$AB="Past"))</f>
        <v>0</v>
      </c>
      <c r="BH14" cm="1">
        <f t="array" ref="BH14">COUNT(_xlfn._xlws.FILTER(INDEX(test_output!K:FP,0,A14),([1]train_xl!$AB:$AB="Past")*(INDEX(test_output!K:FP,0,A14)=1)))</f>
        <v>0</v>
      </c>
      <c r="BK14" t="e" cm="1" vm="1">
        <f t="array" ref="BK14">AVERAGE(_xlfn._xlws.FILTER(INDEX(test_output!K:FP,0,A14),[1]train_xl!$AB:$AB="Pres"))</f>
        <v>#VALUE!</v>
      </c>
      <c r="BL14" cm="1">
        <f t="array" ref="BL14">COUNT(_xlfn._xlws.FILTER(INDEX(test_output!K:FP,0,A14),[1]train_xl!$AB:$AB="Pres"))</f>
        <v>0</v>
      </c>
      <c r="BM14" cm="1">
        <f t="array" ref="BM14">COUNT(_xlfn._xlws.FILTER(INDEX(test_output!K:FP,0,A14),([1]train_xl!$AB:$AB="Pres")*(INDEX(test_output!K:FP,0,A14)=1)))</f>
        <v>0</v>
      </c>
      <c r="BP14" t="e" cm="1" vm="1">
        <f t="array" ref="BP14">AVERAGE(_xlfn._xlws.FILTER(INDEX(test_output!K:FP,0,A14),[1]train_xl!$AD:$AD="L"))</f>
        <v>#VALUE!</v>
      </c>
      <c r="BQ14" cm="1">
        <f t="array" ref="BQ14">COUNT(_xlfn._xlws.FILTER(INDEX(test_output!K:FP,0,A14),[1]train_xl!$AD:$AD="L"))</f>
        <v>0</v>
      </c>
      <c r="BR14" cm="1">
        <f t="array" ref="BR14">COUNT(_xlfn._xlws.FILTER(INDEX(test_output!K:FP,0,A14),([1]train_xl!$AD:$AD="L")*(INDEX(test_output!K:FP,0,A14)=1)))</f>
        <v>0</v>
      </c>
      <c r="BU14" t="e" cm="1" vm="1">
        <f t="array" ref="BU14">AVERAGE(_xlfn._xlws.FILTER(INDEX(test_output!K:FP,0,A14),[1]train_xl!$AD:$AD="H"))</f>
        <v>#VALUE!</v>
      </c>
      <c r="BV14" cm="1">
        <f t="array" ref="BV14">COUNT(_xlfn._xlws.FILTER(INDEX(test_output!K:FP,0,A14),[1]train_xl!$AD:$AD="H"))</f>
        <v>0</v>
      </c>
      <c r="BW14" cm="1">
        <f t="array" ref="BW14">COUNT(_xlfn._xlws.FILTER(INDEX(test_output!K:FP,0,A14),([1]train_xl!$AD:$AD="H")*(INDEX(test_output!K:FP,0,A14)=1)))</f>
        <v>0</v>
      </c>
      <c r="BZ14" t="e" cm="1" vm="1">
        <f t="array" ref="BZ14">AVERAGE(_xlfn._xlws.FILTER(INDEX(test_output!K:FP,0,A14),[1]train_xl!$AE:$AE=1))</f>
        <v>#VALUE!</v>
      </c>
      <c r="CA14" cm="1">
        <f t="array" ref="CA14">COUNT(_xlfn._xlws.FILTER(INDEX(test_output!K:FP,0,A14),[1]train_xl!$AE:$AE=1))</f>
        <v>0</v>
      </c>
      <c r="CB14" cm="1">
        <f t="array" ref="CB14">COUNT(_xlfn._xlws.FILTER(INDEX(test_output!K:FP,0,A14),([1]train_xl!$AE:$AE=1)*(INDEX(test_output!K:FP,0,A14)=1)))</f>
        <v>0</v>
      </c>
      <c r="CE14" t="e" cm="1" vm="1">
        <f t="array" ref="CE14">AVERAGE(_xlfn._xlws.FILTER(INDEX(test_output!K:FP,0,A14),([1]train_xl!$AE:$AE=1)*([1]train_xl!$AA:$AA="intens")))</f>
        <v>#VALUE!</v>
      </c>
      <c r="CF14" cm="1">
        <f t="array" ref="CF14">COUNT(_xlfn._xlws.FILTER(INDEX(test_output!K:FP,0,A14),([1]train_xl!$AE:$AE=1)*([1]train_xl!$AA:$AA="intens")))</f>
        <v>0</v>
      </c>
      <c r="CG14" cm="1">
        <f t="array" ref="CG14">COUNT(_xlfn._xlws.FILTER(INDEX(test_output!K:FP,0,A14),([1]train_xl!$AE:$AE=1)*([1]train_xl!$AA:$AA="intens")*(INDEX(test_output!K:FP,0,A14)=1)))</f>
        <v>0</v>
      </c>
      <c r="CJ14" t="e" cm="1" vm="1">
        <f t="array" ref="CJ14">AVERAGE(_xlfn._xlws.FILTER(INDEX(test_output!K:FP,0,A14),([1]train_xl!$AE:$AE=1)*([1]train_xl!$AA:$AA="neg")))</f>
        <v>#VALUE!</v>
      </c>
      <c r="CK14" cm="1">
        <f t="array" ref="CK14">COUNT(_xlfn._xlws.FILTER(INDEX(test_output!K:FP,0,A14),([1]train_xl!$AE:$AE=1)*([1]train_xl!$AA:$AA="neg")))</f>
        <v>0</v>
      </c>
      <c r="CL14" cm="1">
        <f t="array" ref="CL14">COUNT(_xlfn._xlws.FILTER(INDEX(test_output!K:FP,0,A14),([1]train_xl!$AE:$AE=1)*([1]train_xl!$AA:$AA="neg")*(INDEX(test_output!K:FP,0,A14)=1)))</f>
        <v>0</v>
      </c>
    </row>
    <row r="15" spans="1:92" x14ac:dyDescent="0.35">
      <c r="A15">
        <f t="shared" si="0"/>
        <v>42</v>
      </c>
      <c r="B15" t="str" cm="1">
        <f t="array" ref="B15">INDEX(test_output!K:FQ,1,A15)</f>
        <v>Llama-3.1-405B-Instruct M4 bin</v>
      </c>
      <c r="C15">
        <f>AVERAGE(INDEX(test_output!K:FP,0,A15))</f>
        <v>0.74609375</v>
      </c>
      <c r="D15">
        <f>COUNT(INDEX(test_output!K:FP,0,A15))</f>
        <v>256</v>
      </c>
      <c r="E15" cm="1">
        <f t="array" ref="E15">COUNT(_xlfn._xlws.FILTER(INDEX(test_output!K:FP,0,A15),INDEX(test_output!K:FP,0,A15)=1))</f>
        <v>191</v>
      </c>
      <c r="H15" cm="1">
        <f t="array" ref="H15">AVERAGE(_xlfn._xlws.FILTER(INDEX(test_output!K:FP,0,A15),[1]train_xl!$I:$I="met"))</f>
        <v>0.74468085106382975</v>
      </c>
      <c r="I15" cm="1">
        <f t="array" ref="I15">COUNT(_xlfn._xlws.FILTER(INDEX(test_output!K:FP,0,A15),[1]train_xl!$I:$I="met"))</f>
        <v>47</v>
      </c>
      <c r="J15" cm="1">
        <f t="array" ref="J15">COUNT(_xlfn._xlws.FILTER(INDEX(test_output!K:FP,0,A15),([1]train_xl!$I:$I="met")*(INDEX(test_output!K:FP,0,A15)=1)))</f>
        <v>35</v>
      </c>
      <c r="M15" cm="1">
        <f t="array" ref="M15">AVERAGE(_xlfn._xlws.FILTER(INDEX(test_output!K:FP,0,A15),[1]train_xl!$I:$I="sim"))</f>
        <v>0.74641148325358853</v>
      </c>
      <c r="N15" cm="1">
        <f t="array" ref="N15">COUNT(_xlfn._xlws.FILTER(INDEX(test_output!K:FP,0,A15),[1]train_xl!$I:$I="sim"))</f>
        <v>209</v>
      </c>
      <c r="O15" cm="1">
        <f t="array" ref="O15">COUNT(_xlfn._xlws.FILTER(INDEX(test_output!K:FP,0,A15),([1]train_xl!$I:$I="sim")*(INDEX(test_output!K:FP,0,A15)=1)))</f>
        <v>156</v>
      </c>
      <c r="AB15" t="e" cm="1" vm="1">
        <f t="array" ref="AB15">AVERAGE(_xlfn._xlws.FILTER(INDEX(test_output!K:FP,0,A15),[1]train_xl!$AA:$AA="neg"))</f>
        <v>#VALUE!</v>
      </c>
      <c r="AC15" cm="1">
        <f t="array" ref="AC15">COUNT(_xlfn._xlws.FILTER(INDEX(test_output!K:FP,0,A15),[1]train_xl!$AA:$AA="neg"))</f>
        <v>0</v>
      </c>
      <c r="AD15" cm="1">
        <f t="array" ref="AD15">COUNT(_xlfn._xlws.FILTER(INDEX(test_output!K:FP,0,A15),([1]train_xl!$AA:$AA="neg")*(INDEX(test_output!K:FP,0,A15)=1)))</f>
        <v>0</v>
      </c>
      <c r="AG15" t="e" cm="1" vm="1">
        <f t="array" ref="AG15">AVERAGE(_xlfn._xlws.FILTER(INDEX(test_output!K:FP,0,A15),[1]train_xl!$AA:$AA="intens"))</f>
        <v>#VALUE!</v>
      </c>
      <c r="AH15" cm="1">
        <f t="array" ref="AH15">COUNT(_xlfn._xlws.FILTER(INDEX(test_output!K:FP,0,A15),[1]train_xl!$AA:$AA="intens"))</f>
        <v>0</v>
      </c>
      <c r="AI15" cm="1">
        <f t="array" ref="AI15">COUNT(_xlfn._xlws.FILTER(INDEX(test_output!K:FP,0,A15),([1]train_xl!$AA:$AA="intens")*(INDEX(test_output!K:FP,0,A15)=1)))</f>
        <v>0</v>
      </c>
      <c r="AL15" t="e" cm="1" vm="1">
        <f t="array" ref="AL15">AVERAGE(_xlfn._xlws.FILTER(INDEX(test_output!K:FP,0,A15),([1]train_xl!$Y:$Y="not")*([1]train_xl!$AA:$AA="neg")))</f>
        <v>#VALUE!</v>
      </c>
      <c r="AM15" cm="1">
        <f t="array" ref="AM15">COUNT(_xlfn._xlws.FILTER(INDEX(test_output!K:FP,0,A15),([1]train_xl!$Y:$Y="not")*([1]train_xl!$AA:$AA="neg")))</f>
        <v>0</v>
      </c>
      <c r="AN15" cm="1">
        <f t="array" ref="AN15">COUNT(_xlfn._xlws.FILTER(INDEX(test_output!K:FP,0,A15),([1]train_xl!$Y:$Y="not")*([1]train_xl!$AA:$AA="neg")*(INDEX(test_output!K:FP,0,A15)=1)))</f>
        <v>0</v>
      </c>
      <c r="AQ15" t="e" cm="1" vm="1">
        <f t="array" ref="AQ15">AVERAGE(_xlfn._xlws.FILTER(INDEX(test_output!K:FP,0,A15),([1]train_xl!$Y:$Y="not")*([1]train_xl!$AA:$AA="intens")))</f>
        <v>#VALUE!</v>
      </c>
      <c r="AR15" cm="1">
        <f t="array" ref="AR15">COUNT(_xlfn._xlws.FILTER(INDEX(test_output!K:FP,0,A15),([1]train_xl!$Y:$Y="not")*([1]train_xl!$AA:$AA="intens")))</f>
        <v>0</v>
      </c>
      <c r="AS15" cm="1">
        <f t="array" ref="AS15">COUNT(_xlfn._xlws.FILTER(INDEX(test_output!K:FP,0,A15),([1]train_xl!$Y:$Y="not")*([1]train_xl!$AA:$AA="intens")*(INDEX(test_output!K:FP,0,A15)=1)))</f>
        <v>0</v>
      </c>
      <c r="AV15" t="e" cm="1" vm="1">
        <f t="array" ref="AV15">AVERAGE(_xlfn._xlws.FILTER(INDEX(test_output!K:FP,0,A15),([1]train_xl!$Y:$Y="antonym")*([1]train_xl!$AA:$AA="neg")))</f>
        <v>#VALUE!</v>
      </c>
      <c r="AW15" cm="1">
        <f t="array" ref="AW15">COUNT(_xlfn._xlws.FILTER(INDEX(test_output!K:FP,0,A15),([1]train_xl!$Y:$Y="antonym")*([1]train_xl!$AA:$AA="neg")))</f>
        <v>0</v>
      </c>
      <c r="AX15" cm="1">
        <f t="array" ref="AX15">COUNT(_xlfn._xlws.FILTER(INDEX(test_output!K:FP,0,A15),([1]train_xl!$Y:$Y="antonym")*([1]train_xl!$AA:$AA="neg")*(INDEX(test_output!K:FP,0,A15)=1)))</f>
        <v>0</v>
      </c>
      <c r="BA15" t="e" cm="1" vm="1">
        <f t="array" ref="BA15">AVERAGE(_xlfn._xlws.FILTER(INDEX(test_output!K:FP,0,A15),([1]train_xl!$Y:$Y="antonym")*([1]train_xl!$AA:$AA="intens")))</f>
        <v>#VALUE!</v>
      </c>
      <c r="BB15" cm="1">
        <f t="array" ref="BB15">COUNT(_xlfn._xlws.FILTER(INDEX(test_output!K:FP,0,A15),([1]train_xl!$Y:$Y="antonym")*([1]train_xl!$AA:$AA="intens")))</f>
        <v>0</v>
      </c>
      <c r="BC15" cm="1">
        <f t="array" ref="BC15">COUNT(_xlfn._xlws.FILTER(INDEX(test_output!K:FP,0,A15),([1]train_xl!$Y:$Y="antonym")*([1]train_xl!$AA:$AA="intens")*(INDEX(test_output!K:FP,0,A15)=1)))</f>
        <v>0</v>
      </c>
      <c r="BF15" t="e" cm="1" vm="1">
        <f t="array" ref="BF15">AVERAGE(_xlfn._xlws.FILTER(INDEX(test_output!K:FP,0,A15),[1]train_xl!$AB:$AB="Past"))</f>
        <v>#VALUE!</v>
      </c>
      <c r="BG15" cm="1">
        <f t="array" ref="BG15">COUNT(_xlfn._xlws.FILTER(INDEX(test_output!K:FP,0,A15),[1]train_xl!$AB:$AB="Past"))</f>
        <v>0</v>
      </c>
      <c r="BH15" cm="1">
        <f t="array" ref="BH15">COUNT(_xlfn._xlws.FILTER(INDEX(test_output!K:FP,0,A15),([1]train_xl!$AB:$AB="Past")*(INDEX(test_output!K:FP,0,A15)=1)))</f>
        <v>0</v>
      </c>
      <c r="BK15" t="e" cm="1" vm="1">
        <f t="array" ref="BK15">AVERAGE(_xlfn._xlws.FILTER(INDEX(test_output!K:FP,0,A15),[1]train_xl!$AB:$AB="Pres"))</f>
        <v>#VALUE!</v>
      </c>
      <c r="BL15" cm="1">
        <f t="array" ref="BL15">COUNT(_xlfn._xlws.FILTER(INDEX(test_output!K:FP,0,A15),[1]train_xl!$AB:$AB="Pres"))</f>
        <v>0</v>
      </c>
      <c r="BM15" cm="1">
        <f t="array" ref="BM15">COUNT(_xlfn._xlws.FILTER(INDEX(test_output!K:FP,0,A15),([1]train_xl!$AB:$AB="Pres")*(INDEX(test_output!K:FP,0,A15)=1)))</f>
        <v>0</v>
      </c>
      <c r="BP15" t="e" cm="1" vm="1">
        <f t="array" ref="BP15">AVERAGE(_xlfn._xlws.FILTER(INDEX(test_output!K:FP,0,A15),[1]train_xl!$AD:$AD="L"))</f>
        <v>#VALUE!</v>
      </c>
      <c r="BQ15" cm="1">
        <f t="array" ref="BQ15">COUNT(_xlfn._xlws.FILTER(INDEX(test_output!K:FP,0,A15),[1]train_xl!$AD:$AD="L"))</f>
        <v>0</v>
      </c>
      <c r="BR15" cm="1">
        <f t="array" ref="BR15">COUNT(_xlfn._xlws.FILTER(INDEX(test_output!K:FP,0,A15),([1]train_xl!$AD:$AD="L")*(INDEX(test_output!K:FP,0,A15)=1)))</f>
        <v>0</v>
      </c>
      <c r="BU15" t="e" cm="1" vm="1">
        <f t="array" ref="BU15">AVERAGE(_xlfn._xlws.FILTER(INDEX(test_output!K:FP,0,A15),[1]train_xl!$AD:$AD="H"))</f>
        <v>#VALUE!</v>
      </c>
      <c r="BV15" cm="1">
        <f t="array" ref="BV15">COUNT(_xlfn._xlws.FILTER(INDEX(test_output!K:FP,0,A15),[1]train_xl!$AD:$AD="H"))</f>
        <v>0</v>
      </c>
      <c r="BW15" cm="1">
        <f t="array" ref="BW15">COUNT(_xlfn._xlws.FILTER(INDEX(test_output!K:FP,0,A15),([1]train_xl!$AD:$AD="H")*(INDEX(test_output!K:FP,0,A15)=1)))</f>
        <v>0</v>
      </c>
      <c r="BZ15" t="e" cm="1" vm="1">
        <f t="array" ref="BZ15">AVERAGE(_xlfn._xlws.FILTER(INDEX(test_output!K:FP,0,A15),[1]train_xl!$AE:$AE=1))</f>
        <v>#VALUE!</v>
      </c>
      <c r="CA15" cm="1">
        <f t="array" ref="CA15">COUNT(_xlfn._xlws.FILTER(INDEX(test_output!K:FP,0,A15),[1]train_xl!$AE:$AE=1))</f>
        <v>0</v>
      </c>
      <c r="CB15" cm="1">
        <f t="array" ref="CB15">COUNT(_xlfn._xlws.FILTER(INDEX(test_output!K:FP,0,A15),([1]train_xl!$AE:$AE=1)*(INDEX(test_output!K:FP,0,A15)=1)))</f>
        <v>0</v>
      </c>
      <c r="CE15" t="e" cm="1" vm="1">
        <f t="array" ref="CE15">AVERAGE(_xlfn._xlws.FILTER(INDEX(test_output!K:FP,0,A15),([1]train_xl!$AE:$AE=1)*([1]train_xl!$AA:$AA="intens")))</f>
        <v>#VALUE!</v>
      </c>
      <c r="CF15" cm="1">
        <f t="array" ref="CF15">COUNT(_xlfn._xlws.FILTER(INDEX(test_output!K:FP,0,A15),([1]train_xl!$AE:$AE=1)*([1]train_xl!$AA:$AA="intens")))</f>
        <v>0</v>
      </c>
      <c r="CG15" cm="1">
        <f t="array" ref="CG15">COUNT(_xlfn._xlws.FILTER(INDEX(test_output!K:FP,0,A15),([1]train_xl!$AE:$AE=1)*([1]train_xl!$AA:$AA="intens")*(INDEX(test_output!K:FP,0,A15)=1)))</f>
        <v>0</v>
      </c>
      <c r="CJ15" t="e" cm="1" vm="1">
        <f t="array" ref="CJ15">AVERAGE(_xlfn._xlws.FILTER(INDEX(test_output!K:FP,0,A15),([1]train_xl!$AE:$AE=1)*([1]train_xl!$AA:$AA="neg")))</f>
        <v>#VALUE!</v>
      </c>
      <c r="CK15" cm="1">
        <f t="array" ref="CK15">COUNT(_xlfn._xlws.FILTER(INDEX(test_output!K:FP,0,A15),([1]train_xl!$AE:$AE=1)*([1]train_xl!$AA:$AA="neg")))</f>
        <v>0</v>
      </c>
      <c r="CL15" cm="1">
        <f t="array" ref="CL15">COUNT(_xlfn._xlws.FILTER(INDEX(test_output!K:FP,0,A15),([1]train_xl!$AE:$AE=1)*([1]train_xl!$AA:$AA="neg")*(INDEX(test_output!K:FP,0,A15)=1)))</f>
        <v>0</v>
      </c>
    </row>
    <row r="16" spans="1:92" x14ac:dyDescent="0.35">
      <c r="A16">
        <f t="shared" si="0"/>
        <v>45</v>
      </c>
      <c r="B16" t="str" cm="1">
        <f t="array" ref="B16">INDEX(test_output!K:FQ,1,A16)</f>
        <v>Llama-3.1-405B-Instruct M5 bin</v>
      </c>
      <c r="C16">
        <f>AVERAGE(INDEX(test_output!K:FP,0,A16))</f>
        <v>0.61328125</v>
      </c>
      <c r="D16">
        <f>COUNT(INDEX(test_output!K:FP,0,A16))</f>
        <v>256</v>
      </c>
      <c r="E16" cm="1">
        <f t="array" ref="E16">COUNT(_xlfn._xlws.FILTER(INDEX(test_output!K:FP,0,A16),INDEX(test_output!K:FP,0,A16)=1))</f>
        <v>157</v>
      </c>
      <c r="H16" cm="1">
        <f t="array" ref="H16">AVERAGE(_xlfn._xlws.FILTER(INDEX(test_output!K:FP,0,A16),[1]train_xl!$I:$I="met"))</f>
        <v>0.61702127659574468</v>
      </c>
      <c r="I16" cm="1">
        <f t="array" ref="I16">COUNT(_xlfn._xlws.FILTER(INDEX(test_output!K:FP,0,A16),[1]train_xl!$I:$I="met"))</f>
        <v>47</v>
      </c>
      <c r="J16" cm="1">
        <f t="array" ref="J16">COUNT(_xlfn._xlws.FILTER(INDEX(test_output!K:FP,0,A16),([1]train_xl!$I:$I="met")*(INDEX(test_output!K:FP,0,A16)=1)))</f>
        <v>29</v>
      </c>
      <c r="M16" cm="1">
        <f t="array" ref="M16">AVERAGE(_xlfn._xlws.FILTER(INDEX(test_output!K:FP,0,A16),[1]train_xl!$I:$I="sim"))</f>
        <v>0.61244019138755978</v>
      </c>
      <c r="N16" cm="1">
        <f t="array" ref="N16">COUNT(_xlfn._xlws.FILTER(INDEX(test_output!K:FP,0,A16),[1]train_xl!$I:$I="sim"))</f>
        <v>209</v>
      </c>
      <c r="O16" cm="1">
        <f t="array" ref="O16">COUNT(_xlfn._xlws.FILTER(INDEX(test_output!K:FP,0,A16),([1]train_xl!$I:$I="sim")*(INDEX(test_output!K:FP,0,A16)=1)))</f>
        <v>128</v>
      </c>
      <c r="AB16" t="e" cm="1" vm="1">
        <f t="array" ref="AB16">AVERAGE(_xlfn._xlws.FILTER(INDEX(test_output!K:FP,0,A16),[1]train_xl!$AA:$AA="neg"))</f>
        <v>#VALUE!</v>
      </c>
      <c r="AC16" cm="1">
        <f t="array" ref="AC16">COUNT(_xlfn._xlws.FILTER(INDEX(test_output!K:FP,0,A16),[1]train_xl!$AA:$AA="neg"))</f>
        <v>0</v>
      </c>
      <c r="AD16" cm="1">
        <f t="array" ref="AD16">COUNT(_xlfn._xlws.FILTER(INDEX(test_output!K:FP,0,A16),([1]train_xl!$AA:$AA="neg")*(INDEX(test_output!K:FP,0,A16)=1)))</f>
        <v>0</v>
      </c>
      <c r="AG16" t="e" cm="1" vm="1">
        <f t="array" ref="AG16">AVERAGE(_xlfn._xlws.FILTER(INDEX(test_output!K:FP,0,A16),[1]train_xl!$AA:$AA="intens"))</f>
        <v>#VALUE!</v>
      </c>
      <c r="AH16" cm="1">
        <f t="array" ref="AH16">COUNT(_xlfn._xlws.FILTER(INDEX(test_output!K:FP,0,A16),[1]train_xl!$AA:$AA="intens"))</f>
        <v>0</v>
      </c>
      <c r="AI16" cm="1">
        <f t="array" ref="AI16">COUNT(_xlfn._xlws.FILTER(INDEX(test_output!K:FP,0,A16),([1]train_xl!$AA:$AA="intens")*(INDEX(test_output!K:FP,0,A16)=1)))</f>
        <v>0</v>
      </c>
      <c r="AL16" t="e" cm="1" vm="1">
        <f t="array" ref="AL16">AVERAGE(_xlfn._xlws.FILTER(INDEX(test_output!K:FP,0,A16),([1]train_xl!$Y:$Y="not")*([1]train_xl!$AA:$AA="neg")))</f>
        <v>#VALUE!</v>
      </c>
      <c r="AM16" cm="1">
        <f t="array" ref="AM16">COUNT(_xlfn._xlws.FILTER(INDEX(test_output!K:FP,0,A16),([1]train_xl!$Y:$Y="not")*([1]train_xl!$AA:$AA="neg")))</f>
        <v>0</v>
      </c>
      <c r="AN16" cm="1">
        <f t="array" ref="AN16">COUNT(_xlfn._xlws.FILTER(INDEX(test_output!K:FP,0,A16),([1]train_xl!$Y:$Y="not")*([1]train_xl!$AA:$AA="neg")*(INDEX(test_output!K:FP,0,A16)=1)))</f>
        <v>0</v>
      </c>
      <c r="AQ16" t="e" cm="1" vm="1">
        <f t="array" ref="AQ16">AVERAGE(_xlfn._xlws.FILTER(INDEX(test_output!K:FP,0,A16),([1]train_xl!$Y:$Y="not")*([1]train_xl!$AA:$AA="intens")))</f>
        <v>#VALUE!</v>
      </c>
      <c r="AR16" cm="1">
        <f t="array" ref="AR16">COUNT(_xlfn._xlws.FILTER(INDEX(test_output!K:FP,0,A16),([1]train_xl!$Y:$Y="not")*([1]train_xl!$AA:$AA="intens")))</f>
        <v>0</v>
      </c>
      <c r="AS16" cm="1">
        <f t="array" ref="AS16">COUNT(_xlfn._xlws.FILTER(INDEX(test_output!K:FP,0,A16),([1]train_xl!$Y:$Y="not")*([1]train_xl!$AA:$AA="intens")*(INDEX(test_output!K:FP,0,A16)=1)))</f>
        <v>0</v>
      </c>
      <c r="AV16" t="e" cm="1" vm="1">
        <f t="array" ref="AV16">AVERAGE(_xlfn._xlws.FILTER(INDEX(test_output!K:FP,0,A16),([1]train_xl!$Y:$Y="antonym")*([1]train_xl!$AA:$AA="neg")))</f>
        <v>#VALUE!</v>
      </c>
      <c r="AW16" cm="1">
        <f t="array" ref="AW16">COUNT(_xlfn._xlws.FILTER(INDEX(test_output!K:FP,0,A16),([1]train_xl!$Y:$Y="antonym")*([1]train_xl!$AA:$AA="neg")))</f>
        <v>0</v>
      </c>
      <c r="AX16" cm="1">
        <f t="array" ref="AX16">COUNT(_xlfn._xlws.FILTER(INDEX(test_output!K:FP,0,A16),([1]train_xl!$Y:$Y="antonym")*([1]train_xl!$AA:$AA="neg")*(INDEX(test_output!K:FP,0,A16)=1)))</f>
        <v>0</v>
      </c>
      <c r="BA16" t="e" cm="1" vm="1">
        <f t="array" ref="BA16">AVERAGE(_xlfn._xlws.FILTER(INDEX(test_output!K:FP,0,A16),([1]train_xl!$Y:$Y="antonym")*([1]train_xl!$AA:$AA="intens")))</f>
        <v>#VALUE!</v>
      </c>
      <c r="BB16" cm="1">
        <f t="array" ref="BB16">COUNT(_xlfn._xlws.FILTER(INDEX(test_output!K:FP,0,A16),([1]train_xl!$Y:$Y="antonym")*([1]train_xl!$AA:$AA="intens")))</f>
        <v>0</v>
      </c>
      <c r="BC16" cm="1">
        <f t="array" ref="BC16">COUNT(_xlfn._xlws.FILTER(INDEX(test_output!K:FP,0,A16),([1]train_xl!$Y:$Y="antonym")*([1]train_xl!$AA:$AA="intens")*(INDEX(test_output!K:FP,0,A16)=1)))</f>
        <v>0</v>
      </c>
      <c r="BF16" t="e" cm="1" vm="1">
        <f t="array" ref="BF16">AVERAGE(_xlfn._xlws.FILTER(INDEX(test_output!K:FP,0,A16),[1]train_xl!$AB:$AB="Past"))</f>
        <v>#VALUE!</v>
      </c>
      <c r="BG16" cm="1">
        <f t="array" ref="BG16">COUNT(_xlfn._xlws.FILTER(INDEX(test_output!K:FP,0,A16),[1]train_xl!$AB:$AB="Past"))</f>
        <v>0</v>
      </c>
      <c r="BH16" cm="1">
        <f t="array" ref="BH16">COUNT(_xlfn._xlws.FILTER(INDEX(test_output!K:FP,0,A16),([1]train_xl!$AB:$AB="Past")*(INDEX(test_output!K:FP,0,A16)=1)))</f>
        <v>0</v>
      </c>
      <c r="BK16" t="e" cm="1" vm="1">
        <f t="array" ref="BK16">AVERAGE(_xlfn._xlws.FILTER(INDEX(test_output!K:FP,0,A16),[1]train_xl!$AB:$AB="Pres"))</f>
        <v>#VALUE!</v>
      </c>
      <c r="BL16" cm="1">
        <f t="array" ref="BL16">COUNT(_xlfn._xlws.FILTER(INDEX(test_output!K:FP,0,A16),[1]train_xl!$AB:$AB="Pres"))</f>
        <v>0</v>
      </c>
      <c r="BM16" cm="1">
        <f t="array" ref="BM16">COUNT(_xlfn._xlws.FILTER(INDEX(test_output!K:FP,0,A16),([1]train_xl!$AB:$AB="Pres")*(INDEX(test_output!K:FP,0,A16)=1)))</f>
        <v>0</v>
      </c>
      <c r="BP16" t="e" cm="1" vm="1">
        <f t="array" ref="BP16">AVERAGE(_xlfn._xlws.FILTER(INDEX(test_output!K:FP,0,A16),[1]train_xl!$AD:$AD="L"))</f>
        <v>#VALUE!</v>
      </c>
      <c r="BQ16" cm="1">
        <f t="array" ref="BQ16">COUNT(_xlfn._xlws.FILTER(INDEX(test_output!K:FP,0,A16),[1]train_xl!$AD:$AD="L"))</f>
        <v>0</v>
      </c>
      <c r="BR16" cm="1">
        <f t="array" ref="BR16">COUNT(_xlfn._xlws.FILTER(INDEX(test_output!K:FP,0,A16),([1]train_xl!$AD:$AD="L")*(INDEX(test_output!K:FP,0,A16)=1)))</f>
        <v>0</v>
      </c>
      <c r="BU16" t="e" cm="1" vm="1">
        <f t="array" ref="BU16">AVERAGE(_xlfn._xlws.FILTER(INDEX(test_output!K:FP,0,A16),[1]train_xl!$AD:$AD="H"))</f>
        <v>#VALUE!</v>
      </c>
      <c r="BV16" cm="1">
        <f t="array" ref="BV16">COUNT(_xlfn._xlws.FILTER(INDEX(test_output!K:FP,0,A16),[1]train_xl!$AD:$AD="H"))</f>
        <v>0</v>
      </c>
      <c r="BW16" cm="1">
        <f t="array" ref="BW16">COUNT(_xlfn._xlws.FILTER(INDEX(test_output!K:FP,0,A16),([1]train_xl!$AD:$AD="H")*(INDEX(test_output!K:FP,0,A16)=1)))</f>
        <v>0</v>
      </c>
      <c r="BZ16" t="e" cm="1" vm="1">
        <f t="array" ref="BZ16">AVERAGE(_xlfn._xlws.FILTER(INDEX(test_output!K:FP,0,A16),[1]train_xl!$AE:$AE=1))</f>
        <v>#VALUE!</v>
      </c>
      <c r="CA16" cm="1">
        <f t="array" ref="CA16">COUNT(_xlfn._xlws.FILTER(INDEX(test_output!K:FP,0,A16),[1]train_xl!$AE:$AE=1))</f>
        <v>0</v>
      </c>
      <c r="CB16" cm="1">
        <f t="array" ref="CB16">COUNT(_xlfn._xlws.FILTER(INDEX(test_output!K:FP,0,A16),([1]train_xl!$AE:$AE=1)*(INDEX(test_output!K:FP,0,A16)=1)))</f>
        <v>0</v>
      </c>
      <c r="CE16" t="e" cm="1" vm="1">
        <f t="array" ref="CE16">AVERAGE(_xlfn._xlws.FILTER(INDEX(test_output!K:FP,0,A16),([1]train_xl!$AE:$AE=1)*([1]train_xl!$AA:$AA="intens")))</f>
        <v>#VALUE!</v>
      </c>
      <c r="CF16" cm="1">
        <f t="array" ref="CF16">COUNT(_xlfn._xlws.FILTER(INDEX(test_output!K:FP,0,A16),([1]train_xl!$AE:$AE=1)*([1]train_xl!$AA:$AA="intens")))</f>
        <v>0</v>
      </c>
      <c r="CG16" cm="1">
        <f t="array" ref="CG16">COUNT(_xlfn._xlws.FILTER(INDEX(test_output!K:FP,0,A16),([1]train_xl!$AE:$AE=1)*([1]train_xl!$AA:$AA="intens")*(INDEX(test_output!K:FP,0,A16)=1)))</f>
        <v>0</v>
      </c>
      <c r="CJ16" t="e" cm="1" vm="1">
        <f t="array" ref="CJ16">AVERAGE(_xlfn._xlws.FILTER(INDEX(test_output!K:FP,0,A16),([1]train_xl!$AE:$AE=1)*([1]train_xl!$AA:$AA="neg")))</f>
        <v>#VALUE!</v>
      </c>
      <c r="CK16" cm="1">
        <f t="array" ref="CK16">COUNT(_xlfn._xlws.FILTER(INDEX(test_output!K:FP,0,A16),([1]train_xl!$AE:$AE=1)*([1]train_xl!$AA:$AA="neg")))</f>
        <v>0</v>
      </c>
      <c r="CL16" cm="1">
        <f t="array" ref="CL16">COUNT(_xlfn._xlws.FILTER(INDEX(test_output!K:FP,0,A16),([1]train_xl!$AE:$AE=1)*([1]train_xl!$AA:$AA="neg")*(INDEX(test_output!K:FP,0,A16)=1)))</f>
        <v>0</v>
      </c>
    </row>
    <row r="17" spans="1:90" x14ac:dyDescent="0.35">
      <c r="A17">
        <f t="shared" si="0"/>
        <v>48</v>
      </c>
      <c r="B17" t="str" cm="1">
        <f t="array" ref="B17">INDEX(test_output!K:FQ,1,A17)</f>
        <v>Llama-3.3-70B-Instruct M1 bin</v>
      </c>
      <c r="C17">
        <f>AVERAGE(INDEX(test_output!K:FP,0,A17))</f>
        <v>0.77734375</v>
      </c>
      <c r="D17">
        <f>COUNT(INDEX(test_output!K:FP,0,A17))</f>
        <v>256</v>
      </c>
      <c r="E17" cm="1">
        <f t="array" ref="E17">COUNT(_xlfn._xlws.FILTER(INDEX(test_output!K:FP,0,A17),INDEX(test_output!K:FP,0,A17)=1))</f>
        <v>199</v>
      </c>
      <c r="H17" cm="1">
        <f t="array" ref="H17">AVERAGE(_xlfn._xlws.FILTER(INDEX(test_output!K:FP,0,A17),[1]train_xl!$I:$I="met"))</f>
        <v>0.7021276595744681</v>
      </c>
      <c r="I17" cm="1">
        <f t="array" ref="I17">COUNT(_xlfn._xlws.FILTER(INDEX(test_output!K:FP,0,A17),[1]train_xl!$I:$I="met"))</f>
        <v>47</v>
      </c>
      <c r="J17" cm="1">
        <f t="array" ref="J17">COUNT(_xlfn._xlws.FILTER(INDEX(test_output!K:FP,0,A17),([1]train_xl!$I:$I="met")*(INDEX(test_output!K:FP,0,A17)=1)))</f>
        <v>33</v>
      </c>
      <c r="M17" cm="1">
        <f t="array" ref="M17">AVERAGE(_xlfn._xlws.FILTER(INDEX(test_output!K:FP,0,A17),[1]train_xl!$I:$I="sim"))</f>
        <v>0.79425837320574166</v>
      </c>
      <c r="N17" cm="1">
        <f t="array" ref="N17">COUNT(_xlfn._xlws.FILTER(INDEX(test_output!K:FP,0,A17),[1]train_xl!$I:$I="sim"))</f>
        <v>209</v>
      </c>
      <c r="O17" cm="1">
        <f t="array" ref="O17">COUNT(_xlfn._xlws.FILTER(INDEX(test_output!K:FP,0,A17),([1]train_xl!$I:$I="sim")*(INDEX(test_output!K:FP,0,A17)=1)))</f>
        <v>166</v>
      </c>
      <c r="AB17" t="e" cm="1" vm="1">
        <f t="array" ref="AB17">AVERAGE(_xlfn._xlws.FILTER(INDEX(test_output!K:FP,0,A17),[1]train_xl!$AA:$AA="neg"))</f>
        <v>#VALUE!</v>
      </c>
      <c r="AC17" cm="1">
        <f t="array" ref="AC17">COUNT(_xlfn._xlws.FILTER(INDEX(test_output!K:FP,0,A17),[1]train_xl!$AA:$AA="neg"))</f>
        <v>0</v>
      </c>
      <c r="AD17" cm="1">
        <f t="array" ref="AD17">COUNT(_xlfn._xlws.FILTER(INDEX(test_output!K:FP,0,A17),([1]train_xl!$AA:$AA="neg")*(INDEX(test_output!K:FP,0,A17)=1)))</f>
        <v>0</v>
      </c>
      <c r="AG17" t="e" cm="1" vm="1">
        <f t="array" ref="AG17">AVERAGE(_xlfn._xlws.FILTER(INDEX(test_output!K:FP,0,A17),[1]train_xl!$AA:$AA="intens"))</f>
        <v>#VALUE!</v>
      </c>
      <c r="AH17" cm="1">
        <f t="array" ref="AH17">COUNT(_xlfn._xlws.FILTER(INDEX(test_output!K:FP,0,A17),[1]train_xl!$AA:$AA="intens"))</f>
        <v>0</v>
      </c>
      <c r="AI17" cm="1">
        <f t="array" ref="AI17">COUNT(_xlfn._xlws.FILTER(INDEX(test_output!K:FP,0,A17),([1]train_xl!$AA:$AA="intens")*(INDEX(test_output!K:FP,0,A17)=1)))</f>
        <v>0</v>
      </c>
      <c r="AL17" t="e" cm="1" vm="1">
        <f t="array" ref="AL17">AVERAGE(_xlfn._xlws.FILTER(INDEX(test_output!K:FP,0,A17),([1]train_xl!$Y:$Y="not")*([1]train_xl!$AA:$AA="neg")))</f>
        <v>#VALUE!</v>
      </c>
      <c r="AM17" cm="1">
        <f t="array" ref="AM17">COUNT(_xlfn._xlws.FILTER(INDEX(test_output!K:FP,0,A17),([1]train_xl!$Y:$Y="not")*([1]train_xl!$AA:$AA="neg")))</f>
        <v>0</v>
      </c>
      <c r="AN17" cm="1">
        <f t="array" ref="AN17">COUNT(_xlfn._xlws.FILTER(INDEX(test_output!K:FP,0,A17),([1]train_xl!$Y:$Y="not")*([1]train_xl!$AA:$AA="neg")*(INDEX(test_output!K:FP,0,A17)=1)))</f>
        <v>0</v>
      </c>
      <c r="AQ17" t="e" cm="1" vm="1">
        <f t="array" ref="AQ17">AVERAGE(_xlfn._xlws.FILTER(INDEX(test_output!K:FP,0,A17),([1]train_xl!$Y:$Y="not")*([1]train_xl!$AA:$AA="intens")))</f>
        <v>#VALUE!</v>
      </c>
      <c r="AR17" cm="1">
        <f t="array" ref="AR17">COUNT(_xlfn._xlws.FILTER(INDEX(test_output!K:FP,0,A17),([1]train_xl!$Y:$Y="not")*([1]train_xl!$AA:$AA="intens")))</f>
        <v>0</v>
      </c>
      <c r="AS17" cm="1">
        <f t="array" ref="AS17">COUNT(_xlfn._xlws.FILTER(INDEX(test_output!K:FP,0,A17),([1]train_xl!$Y:$Y="not")*([1]train_xl!$AA:$AA="intens")*(INDEX(test_output!K:FP,0,A17)=1)))</f>
        <v>0</v>
      </c>
      <c r="AV17" t="e" cm="1" vm="1">
        <f t="array" ref="AV17">AVERAGE(_xlfn._xlws.FILTER(INDEX(test_output!K:FP,0,A17),([1]train_xl!$Y:$Y="antonym")*([1]train_xl!$AA:$AA="neg")))</f>
        <v>#VALUE!</v>
      </c>
      <c r="AW17" cm="1">
        <f t="array" ref="AW17">COUNT(_xlfn._xlws.FILTER(INDEX(test_output!K:FP,0,A17),([1]train_xl!$Y:$Y="antonym")*([1]train_xl!$AA:$AA="neg")))</f>
        <v>0</v>
      </c>
      <c r="AX17" cm="1">
        <f t="array" ref="AX17">COUNT(_xlfn._xlws.FILTER(INDEX(test_output!K:FP,0,A17),([1]train_xl!$Y:$Y="antonym")*([1]train_xl!$AA:$AA="neg")*(INDEX(test_output!K:FP,0,A17)=1)))</f>
        <v>0</v>
      </c>
      <c r="BA17" t="e" cm="1" vm="1">
        <f t="array" ref="BA17">AVERAGE(_xlfn._xlws.FILTER(INDEX(test_output!K:FP,0,A17),([1]train_xl!$Y:$Y="antonym")*([1]train_xl!$AA:$AA="intens")))</f>
        <v>#VALUE!</v>
      </c>
      <c r="BB17" cm="1">
        <f t="array" ref="BB17">COUNT(_xlfn._xlws.FILTER(INDEX(test_output!K:FP,0,A17),([1]train_xl!$Y:$Y="antonym")*([1]train_xl!$AA:$AA="intens")))</f>
        <v>0</v>
      </c>
      <c r="BC17" cm="1">
        <f t="array" ref="BC17">COUNT(_xlfn._xlws.FILTER(INDEX(test_output!K:FP,0,A17),([1]train_xl!$Y:$Y="antonym")*([1]train_xl!$AA:$AA="intens")*(INDEX(test_output!K:FP,0,A17)=1)))</f>
        <v>0</v>
      </c>
      <c r="BF17" t="e" cm="1" vm="1">
        <f t="array" ref="BF17">AVERAGE(_xlfn._xlws.FILTER(INDEX(test_output!K:FP,0,A17),[1]train_xl!$AB:$AB="Past"))</f>
        <v>#VALUE!</v>
      </c>
      <c r="BG17" cm="1">
        <f t="array" ref="BG17">COUNT(_xlfn._xlws.FILTER(INDEX(test_output!K:FP,0,A17),[1]train_xl!$AB:$AB="Past"))</f>
        <v>0</v>
      </c>
      <c r="BH17" cm="1">
        <f t="array" ref="BH17">COUNT(_xlfn._xlws.FILTER(INDEX(test_output!K:FP,0,A17),([1]train_xl!$AB:$AB="Past")*(INDEX(test_output!K:FP,0,A17)=1)))</f>
        <v>0</v>
      </c>
      <c r="BK17" t="e" cm="1" vm="1">
        <f t="array" ref="BK17">AVERAGE(_xlfn._xlws.FILTER(INDEX(test_output!K:FP,0,A17),[1]train_xl!$AB:$AB="Pres"))</f>
        <v>#VALUE!</v>
      </c>
      <c r="BL17" cm="1">
        <f t="array" ref="BL17">COUNT(_xlfn._xlws.FILTER(INDEX(test_output!K:FP,0,A17),[1]train_xl!$AB:$AB="Pres"))</f>
        <v>0</v>
      </c>
      <c r="BM17" cm="1">
        <f t="array" ref="BM17">COUNT(_xlfn._xlws.FILTER(INDEX(test_output!K:FP,0,A17),([1]train_xl!$AB:$AB="Pres")*(INDEX(test_output!K:FP,0,A17)=1)))</f>
        <v>0</v>
      </c>
      <c r="BP17" t="e" cm="1" vm="1">
        <f t="array" ref="BP17">AVERAGE(_xlfn._xlws.FILTER(INDEX(test_output!K:FP,0,A17),[1]train_xl!$AD:$AD="L"))</f>
        <v>#VALUE!</v>
      </c>
      <c r="BQ17" cm="1">
        <f t="array" ref="BQ17">COUNT(_xlfn._xlws.FILTER(INDEX(test_output!K:FP,0,A17),[1]train_xl!$AD:$AD="L"))</f>
        <v>0</v>
      </c>
      <c r="BR17" cm="1">
        <f t="array" ref="BR17">COUNT(_xlfn._xlws.FILTER(INDEX(test_output!K:FP,0,A17),([1]train_xl!$AD:$AD="L")*(INDEX(test_output!K:FP,0,A17)=1)))</f>
        <v>0</v>
      </c>
      <c r="BU17" t="e" cm="1" vm="1">
        <f t="array" ref="BU17">AVERAGE(_xlfn._xlws.FILTER(INDEX(test_output!K:FP,0,A17),[1]train_xl!$AD:$AD="H"))</f>
        <v>#VALUE!</v>
      </c>
      <c r="BV17" cm="1">
        <f t="array" ref="BV17">COUNT(_xlfn._xlws.FILTER(INDEX(test_output!K:FP,0,A17),[1]train_xl!$AD:$AD="H"))</f>
        <v>0</v>
      </c>
      <c r="BW17" cm="1">
        <f t="array" ref="BW17">COUNT(_xlfn._xlws.FILTER(INDEX(test_output!K:FP,0,A17),([1]train_xl!$AD:$AD="H")*(INDEX(test_output!K:FP,0,A17)=1)))</f>
        <v>0</v>
      </c>
      <c r="BZ17" t="e" cm="1" vm="1">
        <f t="array" ref="BZ17">AVERAGE(_xlfn._xlws.FILTER(INDEX(test_output!K:FP,0,A17),[1]train_xl!$AE:$AE=1))</f>
        <v>#VALUE!</v>
      </c>
      <c r="CA17" cm="1">
        <f t="array" ref="CA17">COUNT(_xlfn._xlws.FILTER(INDEX(test_output!K:FP,0,A17),[1]train_xl!$AE:$AE=1))</f>
        <v>0</v>
      </c>
      <c r="CB17" cm="1">
        <f t="array" ref="CB17">COUNT(_xlfn._xlws.FILTER(INDEX(test_output!K:FP,0,A17),([1]train_xl!$AE:$AE=1)*(INDEX(test_output!K:FP,0,A17)=1)))</f>
        <v>0</v>
      </c>
      <c r="CE17" t="e" cm="1" vm="1">
        <f t="array" ref="CE17">AVERAGE(_xlfn._xlws.FILTER(INDEX(test_output!K:FP,0,A17),([1]train_xl!$AE:$AE=1)*([1]train_xl!$AA:$AA="intens")))</f>
        <v>#VALUE!</v>
      </c>
      <c r="CF17" cm="1">
        <f t="array" ref="CF17">COUNT(_xlfn._xlws.FILTER(INDEX(test_output!K:FP,0,A17),([1]train_xl!$AE:$AE=1)*([1]train_xl!$AA:$AA="intens")))</f>
        <v>0</v>
      </c>
      <c r="CG17" cm="1">
        <f t="array" ref="CG17">COUNT(_xlfn._xlws.FILTER(INDEX(test_output!K:FP,0,A17),([1]train_xl!$AE:$AE=1)*([1]train_xl!$AA:$AA="intens")*(INDEX(test_output!K:FP,0,A17)=1)))</f>
        <v>0</v>
      </c>
      <c r="CJ17" t="e" cm="1" vm="1">
        <f t="array" ref="CJ17">AVERAGE(_xlfn._xlws.FILTER(INDEX(test_output!K:FP,0,A17),([1]train_xl!$AE:$AE=1)*([1]train_xl!$AA:$AA="neg")))</f>
        <v>#VALUE!</v>
      </c>
      <c r="CK17" cm="1">
        <f t="array" ref="CK17">COUNT(_xlfn._xlws.FILTER(INDEX(test_output!K:FP,0,A17),([1]train_xl!$AE:$AE=1)*([1]train_xl!$AA:$AA="neg")))</f>
        <v>0</v>
      </c>
      <c r="CL17" cm="1">
        <f t="array" ref="CL17">COUNT(_xlfn._xlws.FILTER(INDEX(test_output!K:FP,0,A17),([1]train_xl!$AE:$AE=1)*([1]train_xl!$AA:$AA="neg")*(INDEX(test_output!K:FP,0,A17)=1)))</f>
        <v>0</v>
      </c>
    </row>
    <row r="18" spans="1:90" x14ac:dyDescent="0.35">
      <c r="A18">
        <f t="shared" si="0"/>
        <v>51</v>
      </c>
      <c r="B18" t="str" cm="1">
        <f t="array" ref="B18">INDEX(test_output!K:FQ,1,A18)</f>
        <v>Llama-3.3-70B-Instruct M2 bin</v>
      </c>
      <c r="C18">
        <f>AVERAGE(INDEX(test_output!K:FP,0,A18))</f>
        <v>0.80078125</v>
      </c>
      <c r="D18">
        <f>COUNT(INDEX(test_output!K:FP,0,A18))</f>
        <v>256</v>
      </c>
      <c r="E18" cm="1">
        <f t="array" ref="E18">COUNT(_xlfn._xlws.FILTER(INDEX(test_output!K:FP,0,A18),INDEX(test_output!K:FP,0,A18)=1))</f>
        <v>205</v>
      </c>
      <c r="H18" cm="1">
        <f t="array" ref="H18">AVERAGE(_xlfn._xlws.FILTER(INDEX(test_output!K:FP,0,A18),[1]train_xl!$I:$I="met"))</f>
        <v>0.82978723404255317</v>
      </c>
      <c r="I18" cm="1">
        <f t="array" ref="I18">COUNT(_xlfn._xlws.FILTER(INDEX(test_output!K:FP,0,A18),[1]train_xl!$I:$I="met"))</f>
        <v>47</v>
      </c>
      <c r="J18" cm="1">
        <f t="array" ref="J18">COUNT(_xlfn._xlws.FILTER(INDEX(test_output!K:FP,0,A18),([1]train_xl!$I:$I="met")*(INDEX(test_output!K:FP,0,A18)=1)))</f>
        <v>39</v>
      </c>
      <c r="M18" cm="1">
        <f t="array" ref="M18">AVERAGE(_xlfn._xlws.FILTER(INDEX(test_output!K:FP,0,A18),[1]train_xl!$I:$I="sim"))</f>
        <v>0.79425837320574166</v>
      </c>
      <c r="N18" cm="1">
        <f t="array" ref="N18">COUNT(_xlfn._xlws.FILTER(INDEX(test_output!K:FP,0,A18),[1]train_xl!$I:$I="sim"))</f>
        <v>209</v>
      </c>
      <c r="O18" cm="1">
        <f t="array" ref="O18">COUNT(_xlfn._xlws.FILTER(INDEX(test_output!K:FP,0,A18),([1]train_xl!$I:$I="sim")*(INDEX(test_output!K:FP,0,A18)=1)))</f>
        <v>166</v>
      </c>
      <c r="AB18" t="e" cm="1" vm="1">
        <f t="array" ref="AB18">AVERAGE(_xlfn._xlws.FILTER(INDEX(test_output!K:FP,0,A18),[1]train_xl!$AA:$AA="neg"))</f>
        <v>#VALUE!</v>
      </c>
      <c r="AC18" cm="1">
        <f t="array" ref="AC18">COUNT(_xlfn._xlws.FILTER(INDEX(test_output!K:FP,0,A18),[1]train_xl!$AA:$AA="neg"))</f>
        <v>0</v>
      </c>
      <c r="AD18" cm="1">
        <f t="array" ref="AD18">COUNT(_xlfn._xlws.FILTER(INDEX(test_output!K:FP,0,A18),([1]train_xl!$AA:$AA="neg")*(INDEX(test_output!K:FP,0,A18)=1)))</f>
        <v>0</v>
      </c>
      <c r="AG18" t="e" cm="1" vm="1">
        <f t="array" ref="AG18">AVERAGE(_xlfn._xlws.FILTER(INDEX(test_output!K:FP,0,A18),[1]train_xl!$AA:$AA="intens"))</f>
        <v>#VALUE!</v>
      </c>
      <c r="AH18" cm="1">
        <f t="array" ref="AH18">COUNT(_xlfn._xlws.FILTER(INDEX(test_output!K:FP,0,A18),[1]train_xl!$AA:$AA="intens"))</f>
        <v>0</v>
      </c>
      <c r="AI18" cm="1">
        <f t="array" ref="AI18">COUNT(_xlfn._xlws.FILTER(INDEX(test_output!K:FP,0,A18),([1]train_xl!$AA:$AA="intens")*(INDEX(test_output!K:FP,0,A18)=1)))</f>
        <v>0</v>
      </c>
      <c r="AL18" t="e" cm="1" vm="1">
        <f t="array" ref="AL18">AVERAGE(_xlfn._xlws.FILTER(INDEX(test_output!K:FP,0,A18),([1]train_xl!$Y:$Y="not")*([1]train_xl!$AA:$AA="neg")))</f>
        <v>#VALUE!</v>
      </c>
      <c r="AM18" cm="1">
        <f t="array" ref="AM18">COUNT(_xlfn._xlws.FILTER(INDEX(test_output!K:FP,0,A18),([1]train_xl!$Y:$Y="not")*([1]train_xl!$AA:$AA="neg")))</f>
        <v>0</v>
      </c>
      <c r="AN18" cm="1">
        <f t="array" ref="AN18">COUNT(_xlfn._xlws.FILTER(INDEX(test_output!K:FP,0,A18),([1]train_xl!$Y:$Y="not")*([1]train_xl!$AA:$AA="neg")*(INDEX(test_output!K:FP,0,A18)=1)))</f>
        <v>0</v>
      </c>
      <c r="AQ18" t="e" cm="1" vm="1">
        <f t="array" ref="AQ18">AVERAGE(_xlfn._xlws.FILTER(INDEX(test_output!K:FP,0,A18),([1]train_xl!$Y:$Y="not")*([1]train_xl!$AA:$AA="intens")))</f>
        <v>#VALUE!</v>
      </c>
      <c r="AR18" cm="1">
        <f t="array" ref="AR18">COUNT(_xlfn._xlws.FILTER(INDEX(test_output!K:FP,0,A18),([1]train_xl!$Y:$Y="not")*([1]train_xl!$AA:$AA="intens")))</f>
        <v>0</v>
      </c>
      <c r="AS18" cm="1">
        <f t="array" ref="AS18">COUNT(_xlfn._xlws.FILTER(INDEX(test_output!K:FP,0,A18),([1]train_xl!$Y:$Y="not")*([1]train_xl!$AA:$AA="intens")*(INDEX(test_output!K:FP,0,A18)=1)))</f>
        <v>0</v>
      </c>
      <c r="AV18" t="e" cm="1" vm="1">
        <f t="array" ref="AV18">AVERAGE(_xlfn._xlws.FILTER(INDEX(test_output!K:FP,0,A18),([1]train_xl!$Y:$Y="antonym")*([1]train_xl!$AA:$AA="neg")))</f>
        <v>#VALUE!</v>
      </c>
      <c r="AW18" cm="1">
        <f t="array" ref="AW18">COUNT(_xlfn._xlws.FILTER(INDEX(test_output!K:FP,0,A18),([1]train_xl!$Y:$Y="antonym")*([1]train_xl!$AA:$AA="neg")))</f>
        <v>0</v>
      </c>
      <c r="AX18" cm="1">
        <f t="array" ref="AX18">COUNT(_xlfn._xlws.FILTER(INDEX(test_output!K:FP,0,A18),([1]train_xl!$Y:$Y="antonym")*([1]train_xl!$AA:$AA="neg")*(INDEX(test_output!K:FP,0,A18)=1)))</f>
        <v>0</v>
      </c>
      <c r="BA18" t="e" cm="1" vm="1">
        <f t="array" ref="BA18">AVERAGE(_xlfn._xlws.FILTER(INDEX(test_output!K:FP,0,A18),([1]train_xl!$Y:$Y="antonym")*([1]train_xl!$AA:$AA="intens")))</f>
        <v>#VALUE!</v>
      </c>
      <c r="BB18" cm="1">
        <f t="array" ref="BB18">COUNT(_xlfn._xlws.FILTER(INDEX(test_output!K:FP,0,A18),([1]train_xl!$Y:$Y="antonym")*([1]train_xl!$AA:$AA="intens")))</f>
        <v>0</v>
      </c>
      <c r="BC18" cm="1">
        <f t="array" ref="BC18">COUNT(_xlfn._xlws.FILTER(INDEX(test_output!K:FP,0,A18),([1]train_xl!$Y:$Y="antonym")*([1]train_xl!$AA:$AA="intens")*(INDEX(test_output!K:FP,0,A18)=1)))</f>
        <v>0</v>
      </c>
      <c r="BF18" t="e" cm="1" vm="1">
        <f t="array" ref="BF18">AVERAGE(_xlfn._xlws.FILTER(INDEX(test_output!K:FP,0,A18),[1]train_xl!$AB:$AB="Past"))</f>
        <v>#VALUE!</v>
      </c>
      <c r="BG18" cm="1">
        <f t="array" ref="BG18">COUNT(_xlfn._xlws.FILTER(INDEX(test_output!K:FP,0,A18),[1]train_xl!$AB:$AB="Past"))</f>
        <v>0</v>
      </c>
      <c r="BH18" cm="1">
        <f t="array" ref="BH18">COUNT(_xlfn._xlws.FILTER(INDEX(test_output!K:FP,0,A18),([1]train_xl!$AB:$AB="Past")*(INDEX(test_output!K:FP,0,A18)=1)))</f>
        <v>0</v>
      </c>
      <c r="BK18" t="e" cm="1" vm="1">
        <f t="array" ref="BK18">AVERAGE(_xlfn._xlws.FILTER(INDEX(test_output!K:FP,0,A18),[1]train_xl!$AB:$AB="Pres"))</f>
        <v>#VALUE!</v>
      </c>
      <c r="BL18" cm="1">
        <f t="array" ref="BL18">COUNT(_xlfn._xlws.FILTER(INDEX(test_output!K:FP,0,A18),[1]train_xl!$AB:$AB="Pres"))</f>
        <v>0</v>
      </c>
      <c r="BM18" cm="1">
        <f t="array" ref="BM18">COUNT(_xlfn._xlws.FILTER(INDEX(test_output!K:FP,0,A18),([1]train_xl!$AB:$AB="Pres")*(INDEX(test_output!K:FP,0,A18)=1)))</f>
        <v>0</v>
      </c>
      <c r="BP18" t="e" cm="1" vm="1">
        <f t="array" ref="BP18">AVERAGE(_xlfn._xlws.FILTER(INDEX(test_output!K:FP,0,A18),[1]train_xl!$AD:$AD="L"))</f>
        <v>#VALUE!</v>
      </c>
      <c r="BQ18" cm="1">
        <f t="array" ref="BQ18">COUNT(_xlfn._xlws.FILTER(INDEX(test_output!K:FP,0,A18),[1]train_xl!$AD:$AD="L"))</f>
        <v>0</v>
      </c>
      <c r="BR18" cm="1">
        <f t="array" ref="BR18">COUNT(_xlfn._xlws.FILTER(INDEX(test_output!K:FP,0,A18),([1]train_xl!$AD:$AD="L")*(INDEX(test_output!K:FP,0,A18)=1)))</f>
        <v>0</v>
      </c>
      <c r="BU18" t="e" cm="1" vm="1">
        <f t="array" ref="BU18">AVERAGE(_xlfn._xlws.FILTER(INDEX(test_output!K:FP,0,A18),[1]train_xl!$AD:$AD="H"))</f>
        <v>#VALUE!</v>
      </c>
      <c r="BV18" cm="1">
        <f t="array" ref="BV18">COUNT(_xlfn._xlws.FILTER(INDEX(test_output!K:FP,0,A18),[1]train_xl!$AD:$AD="H"))</f>
        <v>0</v>
      </c>
      <c r="BW18" cm="1">
        <f t="array" ref="BW18">COUNT(_xlfn._xlws.FILTER(INDEX(test_output!K:FP,0,A18),([1]train_xl!$AD:$AD="H")*(INDEX(test_output!K:FP,0,A18)=1)))</f>
        <v>0</v>
      </c>
      <c r="BZ18" t="e" cm="1" vm="1">
        <f t="array" ref="BZ18">AVERAGE(_xlfn._xlws.FILTER(INDEX(test_output!K:FP,0,A18),[1]train_xl!$AE:$AE=1))</f>
        <v>#VALUE!</v>
      </c>
      <c r="CA18" cm="1">
        <f t="array" ref="CA18">COUNT(_xlfn._xlws.FILTER(INDEX(test_output!K:FP,0,A18),[1]train_xl!$AE:$AE=1))</f>
        <v>0</v>
      </c>
      <c r="CB18" cm="1">
        <f t="array" ref="CB18">COUNT(_xlfn._xlws.FILTER(INDEX(test_output!K:FP,0,A18),([1]train_xl!$AE:$AE=1)*(INDEX(test_output!K:FP,0,A18)=1)))</f>
        <v>0</v>
      </c>
      <c r="CE18" t="e" cm="1" vm="1">
        <f t="array" ref="CE18">AVERAGE(_xlfn._xlws.FILTER(INDEX(test_output!K:FP,0,A18),([1]train_xl!$AE:$AE=1)*([1]train_xl!$AA:$AA="intens")))</f>
        <v>#VALUE!</v>
      </c>
      <c r="CF18" cm="1">
        <f t="array" ref="CF18">COUNT(_xlfn._xlws.FILTER(INDEX(test_output!K:FP,0,A18),([1]train_xl!$AE:$AE=1)*([1]train_xl!$AA:$AA="intens")))</f>
        <v>0</v>
      </c>
      <c r="CG18" cm="1">
        <f t="array" ref="CG18">COUNT(_xlfn._xlws.FILTER(INDEX(test_output!K:FP,0,A18),([1]train_xl!$AE:$AE=1)*([1]train_xl!$AA:$AA="intens")*(INDEX(test_output!K:FP,0,A18)=1)))</f>
        <v>0</v>
      </c>
      <c r="CJ18" t="e" cm="1" vm="1">
        <f t="array" ref="CJ18">AVERAGE(_xlfn._xlws.FILTER(INDEX(test_output!K:FP,0,A18),([1]train_xl!$AE:$AE=1)*([1]train_xl!$AA:$AA="neg")))</f>
        <v>#VALUE!</v>
      </c>
      <c r="CK18" cm="1">
        <f t="array" ref="CK18">COUNT(_xlfn._xlws.FILTER(INDEX(test_output!K:FP,0,A18),([1]train_xl!$AE:$AE=1)*([1]train_xl!$AA:$AA="neg")))</f>
        <v>0</v>
      </c>
      <c r="CL18" cm="1">
        <f t="array" ref="CL18">COUNT(_xlfn._xlws.FILTER(INDEX(test_output!K:FP,0,A18),([1]train_xl!$AE:$AE=1)*([1]train_xl!$AA:$AA="neg")*(INDEX(test_output!K:FP,0,A18)=1)))</f>
        <v>0</v>
      </c>
    </row>
    <row r="19" spans="1:90" x14ac:dyDescent="0.35">
      <c r="A19">
        <f t="shared" si="0"/>
        <v>54</v>
      </c>
      <c r="B19" t="str" cm="1">
        <f t="array" ref="B19">INDEX(test_output!K:FQ,1,A19)</f>
        <v>Llama-3.3-70B-Instruct M3 bin</v>
      </c>
      <c r="C19">
        <f>AVERAGE(INDEX(test_output!K:FP,0,A19))</f>
        <v>0.765625</v>
      </c>
      <c r="D19">
        <f>COUNT(INDEX(test_output!K:FP,0,A19))</f>
        <v>256</v>
      </c>
      <c r="E19" cm="1">
        <f t="array" ref="E19">COUNT(_xlfn._xlws.FILTER(INDEX(test_output!K:FP,0,A19),INDEX(test_output!K:FP,0,A19)=1))</f>
        <v>196</v>
      </c>
      <c r="H19" cm="1">
        <f t="array" ref="H19">AVERAGE(_xlfn._xlws.FILTER(INDEX(test_output!K:FP,0,A19),[1]train_xl!$I:$I="met"))</f>
        <v>0.74468085106382975</v>
      </c>
      <c r="I19" cm="1">
        <f t="array" ref="I19">COUNT(_xlfn._xlws.FILTER(INDEX(test_output!K:FP,0,A19),[1]train_xl!$I:$I="met"))</f>
        <v>47</v>
      </c>
      <c r="J19" cm="1">
        <f t="array" ref="J19">COUNT(_xlfn._xlws.FILTER(INDEX(test_output!K:FP,0,A19),([1]train_xl!$I:$I="met")*(INDEX(test_output!K:FP,0,A19)=1)))</f>
        <v>35</v>
      </c>
      <c r="M19" cm="1">
        <f t="array" ref="M19">AVERAGE(_xlfn._xlws.FILTER(INDEX(test_output!K:FP,0,A19),[1]train_xl!$I:$I="sim"))</f>
        <v>0.77033492822966509</v>
      </c>
      <c r="N19" cm="1">
        <f t="array" ref="N19">COUNT(_xlfn._xlws.FILTER(INDEX(test_output!K:FP,0,A19),[1]train_xl!$I:$I="sim"))</f>
        <v>209</v>
      </c>
      <c r="O19" cm="1">
        <f t="array" ref="O19">COUNT(_xlfn._xlws.FILTER(INDEX(test_output!K:FP,0,A19),([1]train_xl!$I:$I="sim")*(INDEX(test_output!K:FP,0,A19)=1)))</f>
        <v>161</v>
      </c>
      <c r="AB19" t="e" cm="1" vm="1">
        <f t="array" ref="AB19">AVERAGE(_xlfn._xlws.FILTER(INDEX(test_output!K:FP,0,A19),[1]train_xl!$AA:$AA="neg"))</f>
        <v>#VALUE!</v>
      </c>
      <c r="AC19" cm="1">
        <f t="array" ref="AC19">COUNT(_xlfn._xlws.FILTER(INDEX(test_output!K:FP,0,A19),[1]train_xl!$AA:$AA="neg"))</f>
        <v>0</v>
      </c>
      <c r="AD19" cm="1">
        <f t="array" ref="AD19">COUNT(_xlfn._xlws.FILTER(INDEX(test_output!K:FP,0,A19),([1]train_xl!$AA:$AA="neg")*(INDEX(test_output!K:FP,0,A19)=1)))</f>
        <v>0</v>
      </c>
      <c r="AG19" t="e" cm="1" vm="1">
        <f t="array" ref="AG19">AVERAGE(_xlfn._xlws.FILTER(INDEX(test_output!K:FP,0,A19),[1]train_xl!$AA:$AA="intens"))</f>
        <v>#VALUE!</v>
      </c>
      <c r="AH19" cm="1">
        <f t="array" ref="AH19">COUNT(_xlfn._xlws.FILTER(INDEX(test_output!K:FP,0,A19),[1]train_xl!$AA:$AA="intens"))</f>
        <v>0</v>
      </c>
      <c r="AI19" cm="1">
        <f t="array" ref="AI19">COUNT(_xlfn._xlws.FILTER(INDEX(test_output!K:FP,0,A19),([1]train_xl!$AA:$AA="intens")*(INDEX(test_output!K:FP,0,A19)=1)))</f>
        <v>0</v>
      </c>
      <c r="AL19" t="e" cm="1" vm="1">
        <f t="array" ref="AL19">AVERAGE(_xlfn._xlws.FILTER(INDEX(test_output!K:FP,0,A19),([1]train_xl!$Y:$Y="not")*([1]train_xl!$AA:$AA="neg")))</f>
        <v>#VALUE!</v>
      </c>
      <c r="AM19" cm="1">
        <f t="array" ref="AM19">COUNT(_xlfn._xlws.FILTER(INDEX(test_output!K:FP,0,A19),([1]train_xl!$Y:$Y="not")*([1]train_xl!$AA:$AA="neg")))</f>
        <v>0</v>
      </c>
      <c r="AN19" cm="1">
        <f t="array" ref="AN19">COUNT(_xlfn._xlws.FILTER(INDEX(test_output!K:FP,0,A19),([1]train_xl!$Y:$Y="not")*([1]train_xl!$AA:$AA="neg")*(INDEX(test_output!K:FP,0,A19)=1)))</f>
        <v>0</v>
      </c>
      <c r="AQ19" t="e" cm="1" vm="1">
        <f t="array" ref="AQ19">AVERAGE(_xlfn._xlws.FILTER(INDEX(test_output!K:FP,0,A19),([1]train_xl!$Y:$Y="not")*([1]train_xl!$AA:$AA="intens")))</f>
        <v>#VALUE!</v>
      </c>
      <c r="AR19" cm="1">
        <f t="array" ref="AR19">COUNT(_xlfn._xlws.FILTER(INDEX(test_output!K:FP,0,A19),([1]train_xl!$Y:$Y="not")*([1]train_xl!$AA:$AA="intens")))</f>
        <v>0</v>
      </c>
      <c r="AS19" cm="1">
        <f t="array" ref="AS19">COUNT(_xlfn._xlws.FILTER(INDEX(test_output!K:FP,0,A19),([1]train_xl!$Y:$Y="not")*([1]train_xl!$AA:$AA="intens")*(INDEX(test_output!K:FP,0,A19)=1)))</f>
        <v>0</v>
      </c>
      <c r="AV19" t="e" cm="1" vm="1">
        <f t="array" ref="AV19">AVERAGE(_xlfn._xlws.FILTER(INDEX(test_output!K:FP,0,A19),([1]train_xl!$Y:$Y="antonym")*([1]train_xl!$AA:$AA="neg")))</f>
        <v>#VALUE!</v>
      </c>
      <c r="AW19" cm="1">
        <f t="array" ref="AW19">COUNT(_xlfn._xlws.FILTER(INDEX(test_output!K:FP,0,A19),([1]train_xl!$Y:$Y="antonym")*([1]train_xl!$AA:$AA="neg")))</f>
        <v>0</v>
      </c>
      <c r="AX19" cm="1">
        <f t="array" ref="AX19">COUNT(_xlfn._xlws.FILTER(INDEX(test_output!K:FP,0,A19),([1]train_xl!$Y:$Y="antonym")*([1]train_xl!$AA:$AA="neg")*(INDEX(test_output!K:FP,0,A19)=1)))</f>
        <v>0</v>
      </c>
      <c r="BA19" t="e" cm="1" vm="1">
        <f t="array" ref="BA19">AVERAGE(_xlfn._xlws.FILTER(INDEX(test_output!K:FP,0,A19),([1]train_xl!$Y:$Y="antonym")*([1]train_xl!$AA:$AA="intens")))</f>
        <v>#VALUE!</v>
      </c>
      <c r="BB19" cm="1">
        <f t="array" ref="BB19">COUNT(_xlfn._xlws.FILTER(INDEX(test_output!K:FP,0,A19),([1]train_xl!$Y:$Y="antonym")*([1]train_xl!$AA:$AA="intens")))</f>
        <v>0</v>
      </c>
      <c r="BC19" cm="1">
        <f t="array" ref="BC19">COUNT(_xlfn._xlws.FILTER(INDEX(test_output!K:FP,0,A19),([1]train_xl!$Y:$Y="antonym")*([1]train_xl!$AA:$AA="intens")*(INDEX(test_output!K:FP,0,A19)=1)))</f>
        <v>0</v>
      </c>
      <c r="BF19" t="e" cm="1" vm="1">
        <f t="array" ref="BF19">AVERAGE(_xlfn._xlws.FILTER(INDEX(test_output!K:FP,0,A19),[1]train_xl!$AB:$AB="Past"))</f>
        <v>#VALUE!</v>
      </c>
      <c r="BG19" cm="1">
        <f t="array" ref="BG19">COUNT(_xlfn._xlws.FILTER(INDEX(test_output!K:FP,0,A19),[1]train_xl!$AB:$AB="Past"))</f>
        <v>0</v>
      </c>
      <c r="BH19" cm="1">
        <f t="array" ref="BH19">COUNT(_xlfn._xlws.FILTER(INDEX(test_output!K:FP,0,A19),([1]train_xl!$AB:$AB="Past")*(INDEX(test_output!K:FP,0,A19)=1)))</f>
        <v>0</v>
      </c>
      <c r="BK19" t="e" cm="1" vm="1">
        <f t="array" ref="BK19">AVERAGE(_xlfn._xlws.FILTER(INDEX(test_output!K:FP,0,A19),[1]train_xl!$AB:$AB="Pres"))</f>
        <v>#VALUE!</v>
      </c>
      <c r="BL19" cm="1">
        <f t="array" ref="BL19">COUNT(_xlfn._xlws.FILTER(INDEX(test_output!K:FP,0,A19),[1]train_xl!$AB:$AB="Pres"))</f>
        <v>0</v>
      </c>
      <c r="BM19" cm="1">
        <f t="array" ref="BM19">COUNT(_xlfn._xlws.FILTER(INDEX(test_output!K:FP,0,A19),([1]train_xl!$AB:$AB="Pres")*(INDEX(test_output!K:FP,0,A19)=1)))</f>
        <v>0</v>
      </c>
      <c r="BP19" t="e" cm="1" vm="1">
        <f t="array" ref="BP19">AVERAGE(_xlfn._xlws.FILTER(INDEX(test_output!K:FP,0,A19),[1]train_xl!$AD:$AD="L"))</f>
        <v>#VALUE!</v>
      </c>
      <c r="BQ19" cm="1">
        <f t="array" ref="BQ19">COUNT(_xlfn._xlws.FILTER(INDEX(test_output!K:FP,0,A19),[1]train_xl!$AD:$AD="L"))</f>
        <v>0</v>
      </c>
      <c r="BR19" cm="1">
        <f t="array" ref="BR19">COUNT(_xlfn._xlws.FILTER(INDEX(test_output!K:FP,0,A19),([1]train_xl!$AD:$AD="L")*(INDEX(test_output!K:FP,0,A19)=1)))</f>
        <v>0</v>
      </c>
      <c r="BU19" t="e" cm="1" vm="1">
        <f t="array" ref="BU19">AVERAGE(_xlfn._xlws.FILTER(INDEX(test_output!K:FP,0,A19),[1]train_xl!$AD:$AD="H"))</f>
        <v>#VALUE!</v>
      </c>
      <c r="BV19" cm="1">
        <f t="array" ref="BV19">COUNT(_xlfn._xlws.FILTER(INDEX(test_output!K:FP,0,A19),[1]train_xl!$AD:$AD="H"))</f>
        <v>0</v>
      </c>
      <c r="BW19" cm="1">
        <f t="array" ref="BW19">COUNT(_xlfn._xlws.FILTER(INDEX(test_output!K:FP,0,A19),([1]train_xl!$AD:$AD="H")*(INDEX(test_output!K:FP,0,A19)=1)))</f>
        <v>0</v>
      </c>
      <c r="BZ19" t="e" cm="1" vm="1">
        <f t="array" ref="BZ19">AVERAGE(_xlfn._xlws.FILTER(INDEX(test_output!K:FP,0,A19),[1]train_xl!$AE:$AE=1))</f>
        <v>#VALUE!</v>
      </c>
      <c r="CA19" cm="1">
        <f t="array" ref="CA19">COUNT(_xlfn._xlws.FILTER(INDEX(test_output!K:FP,0,A19),[1]train_xl!$AE:$AE=1))</f>
        <v>0</v>
      </c>
      <c r="CB19" cm="1">
        <f t="array" ref="CB19">COUNT(_xlfn._xlws.FILTER(INDEX(test_output!K:FP,0,A19),([1]train_xl!$AE:$AE=1)*(INDEX(test_output!K:FP,0,A19)=1)))</f>
        <v>0</v>
      </c>
      <c r="CE19" t="e" cm="1" vm="1">
        <f t="array" ref="CE19">AVERAGE(_xlfn._xlws.FILTER(INDEX(test_output!K:FP,0,A19),([1]train_xl!$AE:$AE=1)*([1]train_xl!$AA:$AA="intens")))</f>
        <v>#VALUE!</v>
      </c>
      <c r="CF19" cm="1">
        <f t="array" ref="CF19">COUNT(_xlfn._xlws.FILTER(INDEX(test_output!K:FP,0,A19),([1]train_xl!$AE:$AE=1)*([1]train_xl!$AA:$AA="intens")))</f>
        <v>0</v>
      </c>
      <c r="CG19" cm="1">
        <f t="array" ref="CG19">COUNT(_xlfn._xlws.FILTER(INDEX(test_output!K:FP,0,A19),([1]train_xl!$AE:$AE=1)*([1]train_xl!$AA:$AA="intens")*(INDEX(test_output!K:FP,0,A19)=1)))</f>
        <v>0</v>
      </c>
      <c r="CJ19" t="e" cm="1" vm="1">
        <f t="array" ref="CJ19">AVERAGE(_xlfn._xlws.FILTER(INDEX(test_output!K:FP,0,A19),([1]train_xl!$AE:$AE=1)*([1]train_xl!$AA:$AA="neg")))</f>
        <v>#VALUE!</v>
      </c>
      <c r="CK19" cm="1">
        <f t="array" ref="CK19">COUNT(_xlfn._xlws.FILTER(INDEX(test_output!K:FP,0,A19),([1]train_xl!$AE:$AE=1)*([1]train_xl!$AA:$AA="neg")))</f>
        <v>0</v>
      </c>
      <c r="CL19" cm="1">
        <f t="array" ref="CL19">COUNT(_xlfn._xlws.FILTER(INDEX(test_output!K:FP,0,A19),([1]train_xl!$AE:$AE=1)*([1]train_xl!$AA:$AA="neg")*(INDEX(test_output!K:FP,0,A19)=1)))</f>
        <v>0</v>
      </c>
    </row>
    <row r="20" spans="1:90" x14ac:dyDescent="0.35">
      <c r="A20">
        <f t="shared" si="0"/>
        <v>57</v>
      </c>
      <c r="B20" t="str" cm="1">
        <f t="array" ref="B20">INDEX(test_output!K:FQ,1,A20)</f>
        <v>Llama-3.3-70B-Instruct M4 bin</v>
      </c>
      <c r="C20">
        <f>AVERAGE(INDEX(test_output!K:FP,0,A20))</f>
        <v>0.68359375</v>
      </c>
      <c r="D20">
        <f>COUNT(INDEX(test_output!K:FP,0,A20))</f>
        <v>256</v>
      </c>
      <c r="E20" cm="1">
        <f t="array" ref="E20">COUNT(_xlfn._xlws.FILTER(INDEX(test_output!K:FP,0,A20),INDEX(test_output!K:FP,0,A20)=1))</f>
        <v>175</v>
      </c>
      <c r="H20" cm="1">
        <f t="array" ref="H20">AVERAGE(_xlfn._xlws.FILTER(INDEX(test_output!K:FP,0,A20),[1]train_xl!$I:$I="met"))</f>
        <v>0.63829787234042556</v>
      </c>
      <c r="I20" cm="1">
        <f t="array" ref="I20">COUNT(_xlfn._xlws.FILTER(INDEX(test_output!K:FP,0,A20),[1]train_xl!$I:$I="met"))</f>
        <v>47</v>
      </c>
      <c r="J20" cm="1">
        <f t="array" ref="J20">COUNT(_xlfn._xlws.FILTER(INDEX(test_output!K:FP,0,A20),([1]train_xl!$I:$I="met")*(INDEX(test_output!K:FP,0,A20)=1)))</f>
        <v>30</v>
      </c>
      <c r="M20" cm="1">
        <f t="array" ref="M20">AVERAGE(_xlfn._xlws.FILTER(INDEX(test_output!K:FP,0,A20),[1]train_xl!$I:$I="sim"))</f>
        <v>0.69377990430622005</v>
      </c>
      <c r="N20" cm="1">
        <f t="array" ref="N20">COUNT(_xlfn._xlws.FILTER(INDEX(test_output!K:FP,0,A20),[1]train_xl!$I:$I="sim"))</f>
        <v>209</v>
      </c>
      <c r="O20" cm="1">
        <f t="array" ref="O20">COUNT(_xlfn._xlws.FILTER(INDEX(test_output!K:FP,0,A20),([1]train_xl!$I:$I="sim")*(INDEX(test_output!K:FP,0,A20)=1)))</f>
        <v>145</v>
      </c>
      <c r="AB20" t="e" cm="1" vm="1">
        <f t="array" ref="AB20">AVERAGE(_xlfn._xlws.FILTER(INDEX(test_output!K:FP,0,A20),[1]train_xl!$AA:$AA="neg"))</f>
        <v>#VALUE!</v>
      </c>
      <c r="AC20" cm="1">
        <f t="array" ref="AC20">COUNT(_xlfn._xlws.FILTER(INDEX(test_output!K:FP,0,A20),[1]train_xl!$AA:$AA="neg"))</f>
        <v>0</v>
      </c>
      <c r="AD20" cm="1">
        <f t="array" ref="AD20">COUNT(_xlfn._xlws.FILTER(INDEX(test_output!K:FP,0,A20),([1]train_xl!$AA:$AA="neg")*(INDEX(test_output!K:FP,0,A20)=1)))</f>
        <v>0</v>
      </c>
      <c r="AG20" t="e" cm="1" vm="1">
        <f t="array" ref="AG20">AVERAGE(_xlfn._xlws.FILTER(INDEX(test_output!K:FP,0,A20),[1]train_xl!$AA:$AA="intens"))</f>
        <v>#VALUE!</v>
      </c>
      <c r="AH20" cm="1">
        <f t="array" ref="AH20">COUNT(_xlfn._xlws.FILTER(INDEX(test_output!K:FP,0,A20),[1]train_xl!$AA:$AA="intens"))</f>
        <v>0</v>
      </c>
      <c r="AI20" cm="1">
        <f t="array" ref="AI20">COUNT(_xlfn._xlws.FILTER(INDEX(test_output!K:FP,0,A20),([1]train_xl!$AA:$AA="intens")*(INDEX(test_output!K:FP,0,A20)=1)))</f>
        <v>0</v>
      </c>
      <c r="AL20" t="e" cm="1" vm="1">
        <f t="array" ref="AL20">AVERAGE(_xlfn._xlws.FILTER(INDEX(test_output!K:FP,0,A20),([1]train_xl!$Y:$Y="not")*([1]train_xl!$AA:$AA="neg")))</f>
        <v>#VALUE!</v>
      </c>
      <c r="AM20" cm="1">
        <f t="array" ref="AM20">COUNT(_xlfn._xlws.FILTER(INDEX(test_output!K:FP,0,A20),([1]train_xl!$Y:$Y="not")*([1]train_xl!$AA:$AA="neg")))</f>
        <v>0</v>
      </c>
      <c r="AN20" cm="1">
        <f t="array" ref="AN20">COUNT(_xlfn._xlws.FILTER(INDEX(test_output!K:FP,0,A20),([1]train_xl!$Y:$Y="not")*([1]train_xl!$AA:$AA="neg")*(INDEX(test_output!K:FP,0,A20)=1)))</f>
        <v>0</v>
      </c>
      <c r="AQ20" t="e" cm="1" vm="1">
        <f t="array" ref="AQ20">AVERAGE(_xlfn._xlws.FILTER(INDEX(test_output!K:FP,0,A20),([1]train_xl!$Y:$Y="not")*([1]train_xl!$AA:$AA="intens")))</f>
        <v>#VALUE!</v>
      </c>
      <c r="AR20" cm="1">
        <f t="array" ref="AR20">COUNT(_xlfn._xlws.FILTER(INDEX(test_output!K:FP,0,A20),([1]train_xl!$Y:$Y="not")*([1]train_xl!$AA:$AA="intens")))</f>
        <v>0</v>
      </c>
      <c r="AS20" cm="1">
        <f t="array" ref="AS20">COUNT(_xlfn._xlws.FILTER(INDEX(test_output!K:FP,0,A20),([1]train_xl!$Y:$Y="not")*([1]train_xl!$AA:$AA="intens")*(INDEX(test_output!K:FP,0,A20)=1)))</f>
        <v>0</v>
      </c>
      <c r="AV20" t="e" cm="1" vm="1">
        <f t="array" ref="AV20">AVERAGE(_xlfn._xlws.FILTER(INDEX(test_output!K:FP,0,A20),([1]train_xl!$Y:$Y="antonym")*([1]train_xl!$AA:$AA="neg")))</f>
        <v>#VALUE!</v>
      </c>
      <c r="AW20" cm="1">
        <f t="array" ref="AW20">COUNT(_xlfn._xlws.FILTER(INDEX(test_output!K:FP,0,A20),([1]train_xl!$Y:$Y="antonym")*([1]train_xl!$AA:$AA="neg")))</f>
        <v>0</v>
      </c>
      <c r="AX20" cm="1">
        <f t="array" ref="AX20">COUNT(_xlfn._xlws.FILTER(INDEX(test_output!K:FP,0,A20),([1]train_xl!$Y:$Y="antonym")*([1]train_xl!$AA:$AA="neg")*(INDEX(test_output!K:FP,0,A20)=1)))</f>
        <v>0</v>
      </c>
      <c r="BA20" t="e" cm="1" vm="1">
        <f t="array" ref="BA20">AVERAGE(_xlfn._xlws.FILTER(INDEX(test_output!K:FP,0,A20),([1]train_xl!$Y:$Y="antonym")*([1]train_xl!$AA:$AA="intens")))</f>
        <v>#VALUE!</v>
      </c>
      <c r="BB20" cm="1">
        <f t="array" ref="BB20">COUNT(_xlfn._xlws.FILTER(INDEX(test_output!K:FP,0,A20),([1]train_xl!$Y:$Y="antonym")*([1]train_xl!$AA:$AA="intens")))</f>
        <v>0</v>
      </c>
      <c r="BC20" cm="1">
        <f t="array" ref="BC20">COUNT(_xlfn._xlws.FILTER(INDEX(test_output!K:FP,0,A20),([1]train_xl!$Y:$Y="antonym")*([1]train_xl!$AA:$AA="intens")*(INDEX(test_output!K:FP,0,A20)=1)))</f>
        <v>0</v>
      </c>
      <c r="BF20" t="e" cm="1" vm="1">
        <f t="array" ref="BF20">AVERAGE(_xlfn._xlws.FILTER(INDEX(test_output!K:FP,0,A20),[1]train_xl!$AB:$AB="Past"))</f>
        <v>#VALUE!</v>
      </c>
      <c r="BG20" cm="1">
        <f t="array" ref="BG20">COUNT(_xlfn._xlws.FILTER(INDEX(test_output!K:FP,0,A20),[1]train_xl!$AB:$AB="Past"))</f>
        <v>0</v>
      </c>
      <c r="BH20" cm="1">
        <f t="array" ref="BH20">COUNT(_xlfn._xlws.FILTER(INDEX(test_output!K:FP,0,A20),([1]train_xl!$AB:$AB="Past")*(INDEX(test_output!K:FP,0,A20)=1)))</f>
        <v>0</v>
      </c>
      <c r="BK20" t="e" cm="1" vm="1">
        <f t="array" ref="BK20">AVERAGE(_xlfn._xlws.FILTER(INDEX(test_output!K:FP,0,A20),[1]train_xl!$AB:$AB="Pres"))</f>
        <v>#VALUE!</v>
      </c>
      <c r="BL20" cm="1">
        <f t="array" ref="BL20">COUNT(_xlfn._xlws.FILTER(INDEX(test_output!K:FP,0,A20),[1]train_xl!$AB:$AB="Pres"))</f>
        <v>0</v>
      </c>
      <c r="BM20" cm="1">
        <f t="array" ref="BM20">COUNT(_xlfn._xlws.FILTER(INDEX(test_output!K:FP,0,A20),([1]train_xl!$AB:$AB="Pres")*(INDEX(test_output!K:FP,0,A20)=1)))</f>
        <v>0</v>
      </c>
      <c r="BP20" t="e" cm="1" vm="1">
        <f t="array" ref="BP20">AVERAGE(_xlfn._xlws.FILTER(INDEX(test_output!K:FP,0,A20),[1]train_xl!$AD:$AD="L"))</f>
        <v>#VALUE!</v>
      </c>
      <c r="BQ20" cm="1">
        <f t="array" ref="BQ20">COUNT(_xlfn._xlws.FILTER(INDEX(test_output!K:FP,0,A20),[1]train_xl!$AD:$AD="L"))</f>
        <v>0</v>
      </c>
      <c r="BR20" cm="1">
        <f t="array" ref="BR20">COUNT(_xlfn._xlws.FILTER(INDEX(test_output!K:FP,0,A20),([1]train_xl!$AD:$AD="L")*(INDEX(test_output!K:FP,0,A20)=1)))</f>
        <v>0</v>
      </c>
      <c r="BU20" t="e" cm="1" vm="1">
        <f t="array" ref="BU20">AVERAGE(_xlfn._xlws.FILTER(INDEX(test_output!K:FP,0,A20),[1]train_xl!$AD:$AD="H"))</f>
        <v>#VALUE!</v>
      </c>
      <c r="BV20" cm="1">
        <f t="array" ref="BV20">COUNT(_xlfn._xlws.FILTER(INDEX(test_output!K:FP,0,A20),[1]train_xl!$AD:$AD="H"))</f>
        <v>0</v>
      </c>
      <c r="BW20" cm="1">
        <f t="array" ref="BW20">COUNT(_xlfn._xlws.FILTER(INDEX(test_output!K:FP,0,A20),([1]train_xl!$AD:$AD="H")*(INDEX(test_output!K:FP,0,A20)=1)))</f>
        <v>0</v>
      </c>
      <c r="BZ20" t="e" cm="1" vm="1">
        <f t="array" ref="BZ20">AVERAGE(_xlfn._xlws.FILTER(INDEX(test_output!K:FP,0,A20),[1]train_xl!$AE:$AE=1))</f>
        <v>#VALUE!</v>
      </c>
      <c r="CA20" cm="1">
        <f t="array" ref="CA20">COUNT(_xlfn._xlws.FILTER(INDEX(test_output!K:FP,0,A20),[1]train_xl!$AE:$AE=1))</f>
        <v>0</v>
      </c>
      <c r="CB20" cm="1">
        <f t="array" ref="CB20">COUNT(_xlfn._xlws.FILTER(INDEX(test_output!K:FP,0,A20),([1]train_xl!$AE:$AE=1)*(INDEX(test_output!K:FP,0,A20)=1)))</f>
        <v>0</v>
      </c>
      <c r="CE20" t="e" cm="1" vm="1">
        <f t="array" ref="CE20">AVERAGE(_xlfn._xlws.FILTER(INDEX(test_output!K:FP,0,A20),([1]train_xl!$AE:$AE=1)*([1]train_xl!$AA:$AA="intens")))</f>
        <v>#VALUE!</v>
      </c>
      <c r="CF20" cm="1">
        <f t="array" ref="CF20">COUNT(_xlfn._xlws.FILTER(INDEX(test_output!K:FP,0,A20),([1]train_xl!$AE:$AE=1)*([1]train_xl!$AA:$AA="intens")))</f>
        <v>0</v>
      </c>
      <c r="CG20" cm="1">
        <f t="array" ref="CG20">COUNT(_xlfn._xlws.FILTER(INDEX(test_output!K:FP,0,A20),([1]train_xl!$AE:$AE=1)*([1]train_xl!$AA:$AA="intens")*(INDEX(test_output!K:FP,0,A20)=1)))</f>
        <v>0</v>
      </c>
      <c r="CJ20" t="e" cm="1" vm="1">
        <f t="array" ref="CJ20">AVERAGE(_xlfn._xlws.FILTER(INDEX(test_output!K:FP,0,A20),([1]train_xl!$AE:$AE=1)*([1]train_xl!$AA:$AA="neg")))</f>
        <v>#VALUE!</v>
      </c>
      <c r="CK20" cm="1">
        <f t="array" ref="CK20">COUNT(_xlfn._xlws.FILTER(INDEX(test_output!K:FP,0,A20),([1]train_xl!$AE:$AE=1)*([1]train_xl!$AA:$AA="neg")))</f>
        <v>0</v>
      </c>
      <c r="CL20" cm="1">
        <f t="array" ref="CL20">COUNT(_xlfn._xlws.FILTER(INDEX(test_output!K:FP,0,A20),([1]train_xl!$AE:$AE=1)*([1]train_xl!$AA:$AA="neg")*(INDEX(test_output!K:FP,0,A20)=1)))</f>
        <v>0</v>
      </c>
    </row>
    <row r="21" spans="1:90" x14ac:dyDescent="0.35">
      <c r="A21">
        <f t="shared" si="0"/>
        <v>60</v>
      </c>
      <c r="B21" t="str" cm="1">
        <f t="array" ref="B21">INDEX(test_output!K:FQ,1,A21)</f>
        <v>Llama-3.3-70B-Instruct M5 bin</v>
      </c>
      <c r="C21">
        <f>AVERAGE(INDEX(test_output!K:FP,0,A21))</f>
        <v>0.55078125</v>
      </c>
      <c r="D21">
        <f>COUNT(INDEX(test_output!K:FP,0,A21))</f>
        <v>256</v>
      </c>
      <c r="E21" cm="1">
        <f t="array" ref="E21">COUNT(_xlfn._xlws.FILTER(INDEX(test_output!K:FP,0,A21),INDEX(test_output!K:FP,0,A21)=1))</f>
        <v>141</v>
      </c>
      <c r="H21" cm="1">
        <f t="array" ref="H21">AVERAGE(_xlfn._xlws.FILTER(INDEX(test_output!K:FP,0,A21),[1]train_xl!$I:$I="met"))</f>
        <v>0.57446808510638303</v>
      </c>
      <c r="I21" cm="1">
        <f t="array" ref="I21">COUNT(_xlfn._xlws.FILTER(INDEX(test_output!K:FP,0,A21),[1]train_xl!$I:$I="met"))</f>
        <v>47</v>
      </c>
      <c r="J21" cm="1">
        <f t="array" ref="J21">COUNT(_xlfn._xlws.FILTER(INDEX(test_output!K:FP,0,A21),([1]train_xl!$I:$I="met")*(INDEX(test_output!K:FP,0,A21)=1)))</f>
        <v>27</v>
      </c>
      <c r="M21" cm="1">
        <f t="array" ref="M21">AVERAGE(_xlfn._xlws.FILTER(INDEX(test_output!K:FP,0,A21),[1]train_xl!$I:$I="sim"))</f>
        <v>0.54545454545454541</v>
      </c>
      <c r="N21" cm="1">
        <f t="array" ref="N21">COUNT(_xlfn._xlws.FILTER(INDEX(test_output!K:FP,0,A21),[1]train_xl!$I:$I="sim"))</f>
        <v>209</v>
      </c>
      <c r="O21" cm="1">
        <f t="array" ref="O21">COUNT(_xlfn._xlws.FILTER(INDEX(test_output!K:FP,0,A21),([1]train_xl!$I:$I="sim")*(INDEX(test_output!K:FP,0,A21)=1)))</f>
        <v>114</v>
      </c>
      <c r="AB21" t="e" cm="1" vm="1">
        <f t="array" ref="AB21">AVERAGE(_xlfn._xlws.FILTER(INDEX(test_output!K:FP,0,A21),[1]train_xl!$AA:$AA="neg"))</f>
        <v>#VALUE!</v>
      </c>
      <c r="AC21" cm="1">
        <f t="array" ref="AC21">COUNT(_xlfn._xlws.FILTER(INDEX(test_output!K:FP,0,A21),[1]train_xl!$AA:$AA="neg"))</f>
        <v>0</v>
      </c>
      <c r="AD21" cm="1">
        <f t="array" ref="AD21">COUNT(_xlfn._xlws.FILTER(INDEX(test_output!K:FP,0,A21),([1]train_xl!$AA:$AA="neg")*(INDEX(test_output!K:FP,0,A21)=1)))</f>
        <v>0</v>
      </c>
      <c r="AG21" t="e" cm="1" vm="1">
        <f t="array" ref="AG21">AVERAGE(_xlfn._xlws.FILTER(INDEX(test_output!K:FP,0,A21),[1]train_xl!$AA:$AA="intens"))</f>
        <v>#VALUE!</v>
      </c>
      <c r="AH21" cm="1">
        <f t="array" ref="AH21">COUNT(_xlfn._xlws.FILTER(INDEX(test_output!K:FP,0,A21),[1]train_xl!$AA:$AA="intens"))</f>
        <v>0</v>
      </c>
      <c r="AI21" cm="1">
        <f t="array" ref="AI21">COUNT(_xlfn._xlws.FILTER(INDEX(test_output!K:FP,0,A21),([1]train_xl!$AA:$AA="intens")*(INDEX(test_output!K:FP,0,A21)=1)))</f>
        <v>0</v>
      </c>
      <c r="AL21" t="e" cm="1" vm="1">
        <f t="array" ref="AL21">AVERAGE(_xlfn._xlws.FILTER(INDEX(test_output!K:FP,0,A21),([1]train_xl!$Y:$Y="not")*([1]train_xl!$AA:$AA="neg")))</f>
        <v>#VALUE!</v>
      </c>
      <c r="AM21" cm="1">
        <f t="array" ref="AM21">COUNT(_xlfn._xlws.FILTER(INDEX(test_output!K:FP,0,A21),([1]train_xl!$Y:$Y="not")*([1]train_xl!$AA:$AA="neg")))</f>
        <v>0</v>
      </c>
      <c r="AN21" cm="1">
        <f t="array" ref="AN21">COUNT(_xlfn._xlws.FILTER(INDEX(test_output!K:FP,0,A21),([1]train_xl!$Y:$Y="not")*([1]train_xl!$AA:$AA="neg")*(INDEX(test_output!K:FP,0,A21)=1)))</f>
        <v>0</v>
      </c>
      <c r="AQ21" t="e" cm="1" vm="1">
        <f t="array" ref="AQ21">AVERAGE(_xlfn._xlws.FILTER(INDEX(test_output!K:FP,0,A21),([1]train_xl!$Y:$Y="not")*([1]train_xl!$AA:$AA="intens")))</f>
        <v>#VALUE!</v>
      </c>
      <c r="AR21" cm="1">
        <f t="array" ref="AR21">COUNT(_xlfn._xlws.FILTER(INDEX(test_output!K:FP,0,A21),([1]train_xl!$Y:$Y="not")*([1]train_xl!$AA:$AA="intens")))</f>
        <v>0</v>
      </c>
      <c r="AS21" cm="1">
        <f t="array" ref="AS21">COUNT(_xlfn._xlws.FILTER(INDEX(test_output!K:FP,0,A21),([1]train_xl!$Y:$Y="not")*([1]train_xl!$AA:$AA="intens")*(INDEX(test_output!K:FP,0,A21)=1)))</f>
        <v>0</v>
      </c>
      <c r="AV21" t="e" cm="1" vm="1">
        <f t="array" ref="AV21">AVERAGE(_xlfn._xlws.FILTER(INDEX(test_output!K:FP,0,A21),([1]train_xl!$Y:$Y="antonym")*([1]train_xl!$AA:$AA="neg")))</f>
        <v>#VALUE!</v>
      </c>
      <c r="AW21" cm="1">
        <f t="array" ref="AW21">COUNT(_xlfn._xlws.FILTER(INDEX(test_output!K:FP,0,A21),([1]train_xl!$Y:$Y="antonym")*([1]train_xl!$AA:$AA="neg")))</f>
        <v>0</v>
      </c>
      <c r="AX21" cm="1">
        <f t="array" ref="AX21">COUNT(_xlfn._xlws.FILTER(INDEX(test_output!K:FP,0,A21),([1]train_xl!$Y:$Y="antonym")*([1]train_xl!$AA:$AA="neg")*(INDEX(test_output!K:FP,0,A21)=1)))</f>
        <v>0</v>
      </c>
      <c r="BA21" t="e" cm="1" vm="1">
        <f t="array" ref="BA21">AVERAGE(_xlfn._xlws.FILTER(INDEX(test_output!K:FP,0,A21),([1]train_xl!$Y:$Y="antonym")*([1]train_xl!$AA:$AA="intens")))</f>
        <v>#VALUE!</v>
      </c>
      <c r="BB21" cm="1">
        <f t="array" ref="BB21">COUNT(_xlfn._xlws.FILTER(INDEX(test_output!K:FP,0,A21),([1]train_xl!$Y:$Y="antonym")*([1]train_xl!$AA:$AA="intens")))</f>
        <v>0</v>
      </c>
      <c r="BC21" cm="1">
        <f t="array" ref="BC21">COUNT(_xlfn._xlws.FILTER(INDEX(test_output!K:FP,0,A21),([1]train_xl!$Y:$Y="antonym")*([1]train_xl!$AA:$AA="intens")*(INDEX(test_output!K:FP,0,A21)=1)))</f>
        <v>0</v>
      </c>
      <c r="BF21" t="e" cm="1" vm="1">
        <f t="array" ref="BF21">AVERAGE(_xlfn._xlws.FILTER(INDEX(test_output!K:FP,0,A21),[1]train_xl!$AB:$AB="Past"))</f>
        <v>#VALUE!</v>
      </c>
      <c r="BG21" cm="1">
        <f t="array" ref="BG21">COUNT(_xlfn._xlws.FILTER(INDEX(test_output!K:FP,0,A21),[1]train_xl!$AB:$AB="Past"))</f>
        <v>0</v>
      </c>
      <c r="BH21" cm="1">
        <f t="array" ref="BH21">COUNT(_xlfn._xlws.FILTER(INDEX(test_output!K:FP,0,A21),([1]train_xl!$AB:$AB="Past")*(INDEX(test_output!K:FP,0,A21)=1)))</f>
        <v>0</v>
      </c>
      <c r="BK21" t="e" cm="1" vm="1">
        <f t="array" ref="BK21">AVERAGE(_xlfn._xlws.FILTER(INDEX(test_output!K:FP,0,A21),[1]train_xl!$AB:$AB="Pres"))</f>
        <v>#VALUE!</v>
      </c>
      <c r="BL21" cm="1">
        <f t="array" ref="BL21">COUNT(_xlfn._xlws.FILTER(INDEX(test_output!K:FP,0,A21),[1]train_xl!$AB:$AB="Pres"))</f>
        <v>0</v>
      </c>
      <c r="BM21" cm="1">
        <f t="array" ref="BM21">COUNT(_xlfn._xlws.FILTER(INDEX(test_output!K:FP,0,A21),([1]train_xl!$AB:$AB="Pres")*(INDEX(test_output!K:FP,0,A21)=1)))</f>
        <v>0</v>
      </c>
      <c r="BP21" t="e" cm="1" vm="1">
        <f t="array" ref="BP21">AVERAGE(_xlfn._xlws.FILTER(INDEX(test_output!K:FP,0,A21),[1]train_xl!$AD:$AD="L"))</f>
        <v>#VALUE!</v>
      </c>
      <c r="BQ21" cm="1">
        <f t="array" ref="BQ21">COUNT(_xlfn._xlws.FILTER(INDEX(test_output!K:FP,0,A21),[1]train_xl!$AD:$AD="L"))</f>
        <v>0</v>
      </c>
      <c r="BR21" cm="1">
        <f t="array" ref="BR21">COUNT(_xlfn._xlws.FILTER(INDEX(test_output!K:FP,0,A21),([1]train_xl!$AD:$AD="L")*(INDEX(test_output!K:FP,0,A21)=1)))</f>
        <v>0</v>
      </c>
      <c r="BU21" t="e" cm="1" vm="1">
        <f t="array" ref="BU21">AVERAGE(_xlfn._xlws.FILTER(INDEX(test_output!K:FP,0,A21),[1]train_xl!$AD:$AD="H"))</f>
        <v>#VALUE!</v>
      </c>
      <c r="BV21" cm="1">
        <f t="array" ref="BV21">COUNT(_xlfn._xlws.FILTER(INDEX(test_output!K:FP,0,A21),[1]train_xl!$AD:$AD="H"))</f>
        <v>0</v>
      </c>
      <c r="BW21" cm="1">
        <f t="array" ref="BW21">COUNT(_xlfn._xlws.FILTER(INDEX(test_output!K:FP,0,A21),([1]train_xl!$AD:$AD="H")*(INDEX(test_output!K:FP,0,A21)=1)))</f>
        <v>0</v>
      </c>
      <c r="BZ21" t="e" cm="1" vm="1">
        <f t="array" ref="BZ21">AVERAGE(_xlfn._xlws.FILTER(INDEX(test_output!K:FP,0,A21),[1]train_xl!$AE:$AE=1))</f>
        <v>#VALUE!</v>
      </c>
      <c r="CA21" cm="1">
        <f t="array" ref="CA21">COUNT(_xlfn._xlws.FILTER(INDEX(test_output!K:FP,0,A21),[1]train_xl!$AE:$AE=1))</f>
        <v>0</v>
      </c>
      <c r="CB21" cm="1">
        <f t="array" ref="CB21">COUNT(_xlfn._xlws.FILTER(INDEX(test_output!K:FP,0,A21),([1]train_xl!$AE:$AE=1)*(INDEX(test_output!K:FP,0,A21)=1)))</f>
        <v>0</v>
      </c>
      <c r="CE21" t="e" cm="1" vm="1">
        <f t="array" ref="CE21">AVERAGE(_xlfn._xlws.FILTER(INDEX(test_output!K:FP,0,A21),([1]train_xl!$AE:$AE=1)*([1]train_xl!$AA:$AA="intens")))</f>
        <v>#VALUE!</v>
      </c>
      <c r="CF21" cm="1">
        <f t="array" ref="CF21">COUNT(_xlfn._xlws.FILTER(INDEX(test_output!K:FP,0,A21),([1]train_xl!$AE:$AE=1)*([1]train_xl!$AA:$AA="intens")))</f>
        <v>0</v>
      </c>
      <c r="CG21" cm="1">
        <f t="array" ref="CG21">COUNT(_xlfn._xlws.FILTER(INDEX(test_output!K:FP,0,A21),([1]train_xl!$AE:$AE=1)*([1]train_xl!$AA:$AA="intens")*(INDEX(test_output!K:FP,0,A21)=1)))</f>
        <v>0</v>
      </c>
      <c r="CJ21" t="e" cm="1" vm="1">
        <f t="array" ref="CJ21">AVERAGE(_xlfn._xlws.FILTER(INDEX(test_output!K:FP,0,A21),([1]train_xl!$AE:$AE=1)*([1]train_xl!$AA:$AA="neg")))</f>
        <v>#VALUE!</v>
      </c>
      <c r="CK21" cm="1">
        <f t="array" ref="CK21">COUNT(_xlfn._xlws.FILTER(INDEX(test_output!K:FP,0,A21),([1]train_xl!$AE:$AE=1)*([1]train_xl!$AA:$AA="neg")))</f>
        <v>0</v>
      </c>
      <c r="CL21" cm="1">
        <f t="array" ref="CL21">COUNT(_xlfn._xlws.FILTER(INDEX(test_output!K:FP,0,A21),([1]train_xl!$AE:$AE=1)*([1]train_xl!$AA:$AA="neg")*(INDEX(test_output!K:FP,0,A21)=1)))</f>
        <v>0</v>
      </c>
    </row>
    <row r="22" spans="1:90" x14ac:dyDescent="0.35">
      <c r="A22">
        <f t="shared" si="0"/>
        <v>63</v>
      </c>
      <c r="B22" t="str">
        <f>LEFT(B2,LEN(B2)-5)&amp;123</f>
        <v>Llama-3-70B-Instruct M123</v>
      </c>
      <c r="C22">
        <f>AVERAGE(C2:C4)</f>
        <v>0.79166666666666663</v>
      </c>
      <c r="D22">
        <f>SUM(D2:D4)</f>
        <v>768</v>
      </c>
      <c r="E22">
        <f>SUM(E2:E4)</f>
        <v>608</v>
      </c>
      <c r="H22">
        <f t="shared" ref="H22" si="1">AVERAGE(H2:H4)</f>
        <v>0.82269503546099287</v>
      </c>
      <c r="I22">
        <f t="shared" ref="I22:J22" si="2">SUM(I2:I4)</f>
        <v>141</v>
      </c>
      <c r="J22">
        <f t="shared" si="2"/>
        <v>116</v>
      </c>
      <c r="M22">
        <f t="shared" ref="M22" si="3">AVERAGE(M2:M4)</f>
        <v>0.7846889952153111</v>
      </c>
      <c r="N22">
        <f t="shared" ref="N22:O22" si="4">SUM(N2:N4)</f>
        <v>627</v>
      </c>
      <c r="O22">
        <f t="shared" si="4"/>
        <v>492</v>
      </c>
      <c r="R22" t="e" vm="2">
        <f t="shared" ref="R22" si="5">AVERAGE(R2:R4)</f>
        <v>#VALUE!</v>
      </c>
      <c r="S22">
        <f t="shared" ref="S22:T22" si="6">SUM(S2:S4)</f>
        <v>0</v>
      </c>
      <c r="T22">
        <f t="shared" si="6"/>
        <v>0</v>
      </c>
      <c r="W22" t="e" vm="2">
        <f t="shared" ref="W22" si="7">AVERAGE(W2:W4)</f>
        <v>#VALUE!</v>
      </c>
      <c r="X22">
        <f t="shared" ref="X22:Y22" si="8">SUM(X2:X4)</f>
        <v>0</v>
      </c>
      <c r="Y22">
        <f t="shared" si="8"/>
        <v>0</v>
      </c>
      <c r="AB22" t="e" vm="2">
        <f t="shared" ref="AB22" si="9">AVERAGE(AB2:AB4)</f>
        <v>#VALUE!</v>
      </c>
      <c r="AC22">
        <f t="shared" ref="AC22:AD22" si="10">SUM(AC2:AC4)</f>
        <v>0</v>
      </c>
      <c r="AD22">
        <f t="shared" si="10"/>
        <v>0</v>
      </c>
      <c r="AG22" t="e" vm="2">
        <f t="shared" ref="AG22" si="11">AVERAGE(AG2:AG4)</f>
        <v>#VALUE!</v>
      </c>
      <c r="AH22">
        <f t="shared" ref="AH22:AI22" si="12">SUM(AH2:AH4)</f>
        <v>0</v>
      </c>
      <c r="AI22">
        <f t="shared" si="12"/>
        <v>0</v>
      </c>
      <c r="AL22" t="e" vm="2">
        <f t="shared" ref="AL22" si="13">AVERAGE(AL2:AL4)</f>
        <v>#VALUE!</v>
      </c>
      <c r="AM22">
        <f t="shared" ref="AM22:AN22" si="14">SUM(AM2:AM4)</f>
        <v>0</v>
      </c>
      <c r="AN22">
        <f t="shared" si="14"/>
        <v>0</v>
      </c>
      <c r="AQ22" t="e" vm="2">
        <f t="shared" ref="AQ22" si="15">AVERAGE(AQ2:AQ4)</f>
        <v>#VALUE!</v>
      </c>
      <c r="AR22">
        <f t="shared" ref="AR22:AS22" si="16">SUM(AR2:AR4)</f>
        <v>0</v>
      </c>
      <c r="AS22">
        <f t="shared" si="16"/>
        <v>0</v>
      </c>
      <c r="AV22" t="e" vm="2">
        <f t="shared" ref="AV22" si="17">AVERAGE(AV2:AV4)</f>
        <v>#VALUE!</v>
      </c>
      <c r="AW22">
        <f t="shared" ref="AW22:AX22" si="18">SUM(AW2:AW4)</f>
        <v>0</v>
      </c>
      <c r="AX22">
        <f t="shared" si="18"/>
        <v>0</v>
      </c>
      <c r="BA22" t="e" vm="2">
        <f t="shared" ref="BA22" si="19">AVERAGE(BA2:BA4)</f>
        <v>#VALUE!</v>
      </c>
      <c r="BB22">
        <f t="shared" ref="BB22:BC22" si="20">SUM(BB2:BB4)</f>
        <v>0</v>
      </c>
      <c r="BC22">
        <f t="shared" si="20"/>
        <v>0</v>
      </c>
      <c r="BF22" t="e" vm="2">
        <f t="shared" ref="BF22" si="21">AVERAGE(BF2:BF4)</f>
        <v>#VALUE!</v>
      </c>
      <c r="BG22">
        <f t="shared" ref="BG22:BH22" si="22">SUM(BG2:BG4)</f>
        <v>0</v>
      </c>
      <c r="BH22">
        <f t="shared" si="22"/>
        <v>0</v>
      </c>
      <c r="BK22" t="e" vm="2">
        <f t="shared" ref="BK22" si="23">AVERAGE(BK2:BK4)</f>
        <v>#VALUE!</v>
      </c>
      <c r="BL22">
        <f t="shared" ref="BL22:BM22" si="24">SUM(BL2:BL4)</f>
        <v>0</v>
      </c>
      <c r="BM22">
        <f t="shared" si="24"/>
        <v>0</v>
      </c>
      <c r="BP22" t="e" vm="2">
        <f t="shared" ref="BP22" si="25">AVERAGE(BP2:BP4)</f>
        <v>#VALUE!</v>
      </c>
      <c r="BQ22">
        <f t="shared" ref="BQ22:BR22" si="26">SUM(BQ2:BQ4)</f>
        <v>0</v>
      </c>
      <c r="BR22">
        <f t="shared" si="26"/>
        <v>0</v>
      </c>
      <c r="BU22" t="e" vm="2">
        <f t="shared" ref="BU22" si="27">AVERAGE(BU2:BU4)</f>
        <v>#VALUE!</v>
      </c>
      <c r="BV22">
        <f t="shared" ref="BV22:BW22" si="28">SUM(BV2:BV4)</f>
        <v>0</v>
      </c>
      <c r="BW22">
        <f t="shared" si="28"/>
        <v>0</v>
      </c>
      <c r="BZ22" t="e" vm="2">
        <f t="shared" ref="BZ22" si="29">AVERAGE(BZ2:BZ4)</f>
        <v>#VALUE!</v>
      </c>
      <c r="CA22">
        <f t="shared" ref="CA22:CB22" si="30">SUM(CA2:CA4)</f>
        <v>0</v>
      </c>
      <c r="CB22">
        <f t="shared" si="30"/>
        <v>0</v>
      </c>
      <c r="CE22" t="e" vm="2">
        <f t="shared" ref="CE22" si="31">AVERAGE(CE2:CE4)</f>
        <v>#VALUE!</v>
      </c>
      <c r="CF22">
        <f t="shared" ref="CF22:CG22" si="32">SUM(CF2:CF4)</f>
        <v>0</v>
      </c>
      <c r="CG22">
        <f t="shared" si="32"/>
        <v>0</v>
      </c>
      <c r="CJ22" t="e" vm="2">
        <f t="shared" ref="CJ22" si="33">AVERAGE(CJ2:CJ4)</f>
        <v>#VALUE!</v>
      </c>
      <c r="CK22">
        <f t="shared" ref="CK22:CL22" si="34">SUM(CK2:CK4)</f>
        <v>0</v>
      </c>
      <c r="CL22">
        <f t="shared" si="34"/>
        <v>0</v>
      </c>
    </row>
    <row r="23" spans="1:90" x14ac:dyDescent="0.35">
      <c r="A23">
        <f t="shared" si="0"/>
        <v>66</v>
      </c>
      <c r="B23" t="str">
        <f>LEFT(B2,LEN(B2)-5)&amp;45</f>
        <v>Llama-3-70B-Instruct M45</v>
      </c>
      <c r="C23">
        <f>AVERAGE(C5:C6)</f>
        <v>0.640625</v>
      </c>
      <c r="D23">
        <f>SUM(D5:D6)</f>
        <v>512</v>
      </c>
      <c r="E23">
        <f>SUM(E5:E6)</f>
        <v>328</v>
      </c>
      <c r="H23">
        <f t="shared" ref="H23" si="35">AVERAGE(H5:H6)</f>
        <v>0.67021276595744683</v>
      </c>
      <c r="I23">
        <f t="shared" ref="I23:J23" si="36">SUM(I5:I6)</f>
        <v>94</v>
      </c>
      <c r="J23">
        <f t="shared" si="36"/>
        <v>63</v>
      </c>
      <c r="M23">
        <f t="shared" ref="M23" si="37">AVERAGE(M5:M6)</f>
        <v>0.63397129186602874</v>
      </c>
      <c r="N23">
        <f t="shared" ref="N23:O23" si="38">SUM(N5:N6)</f>
        <v>418</v>
      </c>
      <c r="O23">
        <f t="shared" si="38"/>
        <v>265</v>
      </c>
      <c r="R23" t="e">
        <f t="shared" ref="R23" si="39">AVERAGE(R5:R6)</f>
        <v>#DIV/0!</v>
      </c>
      <c r="S23">
        <f t="shared" ref="S23:T23" si="40">SUM(S5:S6)</f>
        <v>0</v>
      </c>
      <c r="T23">
        <f t="shared" si="40"/>
        <v>0</v>
      </c>
      <c r="W23" t="e">
        <f t="shared" ref="W23" si="41">AVERAGE(W5:W6)</f>
        <v>#DIV/0!</v>
      </c>
      <c r="X23">
        <f t="shared" ref="X23:Y23" si="42">SUM(X5:X6)</f>
        <v>0</v>
      </c>
      <c r="Y23">
        <f t="shared" si="42"/>
        <v>0</v>
      </c>
      <c r="AB23" t="e" vm="2">
        <f t="shared" ref="AB23" si="43">AVERAGE(AB5:AB6)</f>
        <v>#VALUE!</v>
      </c>
      <c r="AC23">
        <f t="shared" ref="AC23:AD23" si="44">SUM(AC5:AC6)</f>
        <v>0</v>
      </c>
      <c r="AD23">
        <f t="shared" si="44"/>
        <v>0</v>
      </c>
      <c r="AG23" t="e" vm="2">
        <f t="shared" ref="AG23" si="45">AVERAGE(AG5:AG6)</f>
        <v>#VALUE!</v>
      </c>
      <c r="AH23">
        <f t="shared" ref="AH23:AI23" si="46">SUM(AH5:AH6)</f>
        <v>0</v>
      </c>
      <c r="AI23">
        <f t="shared" si="46"/>
        <v>0</v>
      </c>
      <c r="AL23" t="e" vm="2">
        <f t="shared" ref="AL23" si="47">AVERAGE(AL5:AL6)</f>
        <v>#VALUE!</v>
      </c>
      <c r="AM23">
        <f t="shared" ref="AM23:AN23" si="48">SUM(AM5:AM6)</f>
        <v>0</v>
      </c>
      <c r="AN23">
        <f t="shared" si="48"/>
        <v>0</v>
      </c>
      <c r="AQ23" t="e" vm="2">
        <f t="shared" ref="AQ23" si="49">AVERAGE(AQ5:AQ6)</f>
        <v>#VALUE!</v>
      </c>
      <c r="AR23">
        <f t="shared" ref="AR23:AS23" si="50">SUM(AR5:AR6)</f>
        <v>0</v>
      </c>
      <c r="AS23">
        <f t="shared" si="50"/>
        <v>0</v>
      </c>
      <c r="AV23" t="e" vm="2">
        <f t="shared" ref="AV23" si="51">AVERAGE(AV5:AV6)</f>
        <v>#VALUE!</v>
      </c>
      <c r="AW23">
        <f t="shared" ref="AW23:AX23" si="52">SUM(AW5:AW6)</f>
        <v>0</v>
      </c>
      <c r="AX23">
        <f t="shared" si="52"/>
        <v>0</v>
      </c>
      <c r="BA23" t="e" vm="2">
        <f t="shared" ref="BA23" si="53">AVERAGE(BA5:BA6)</f>
        <v>#VALUE!</v>
      </c>
      <c r="BB23">
        <f t="shared" ref="BB23:BC23" si="54">SUM(BB5:BB6)</f>
        <v>0</v>
      </c>
      <c r="BC23">
        <f t="shared" si="54"/>
        <v>0</v>
      </c>
      <c r="BF23" t="e" vm="2">
        <f t="shared" ref="BF23" si="55">AVERAGE(BF5:BF6)</f>
        <v>#VALUE!</v>
      </c>
      <c r="BG23">
        <f t="shared" ref="BG23:BH23" si="56">SUM(BG5:BG6)</f>
        <v>0</v>
      </c>
      <c r="BH23">
        <f t="shared" si="56"/>
        <v>0</v>
      </c>
      <c r="BK23" t="e" vm="2">
        <f t="shared" ref="BK23" si="57">AVERAGE(BK5:BK6)</f>
        <v>#VALUE!</v>
      </c>
      <c r="BL23">
        <f t="shared" ref="BL23:BM23" si="58">SUM(BL5:BL6)</f>
        <v>0</v>
      </c>
      <c r="BM23">
        <f t="shared" si="58"/>
        <v>0</v>
      </c>
      <c r="BP23" t="e" vm="2">
        <f t="shared" ref="BP23" si="59">AVERAGE(BP5:BP6)</f>
        <v>#VALUE!</v>
      </c>
      <c r="BQ23">
        <f t="shared" ref="BQ23:BR23" si="60">SUM(BQ5:BQ6)</f>
        <v>0</v>
      </c>
      <c r="BR23">
        <f t="shared" si="60"/>
        <v>0</v>
      </c>
      <c r="BU23" t="e" vm="2">
        <f t="shared" ref="BU23" si="61">AVERAGE(BU5:BU6)</f>
        <v>#VALUE!</v>
      </c>
      <c r="BV23">
        <f t="shared" ref="BV23:BW23" si="62">SUM(BV5:BV6)</f>
        <v>0</v>
      </c>
      <c r="BW23">
        <f t="shared" si="62"/>
        <v>0</v>
      </c>
      <c r="BZ23" t="e" vm="2">
        <f t="shared" ref="BZ23" si="63">AVERAGE(BZ5:BZ6)</f>
        <v>#VALUE!</v>
      </c>
      <c r="CA23">
        <f t="shared" ref="CA23:CB23" si="64">SUM(CA5:CA6)</f>
        <v>0</v>
      </c>
      <c r="CB23">
        <f t="shared" si="64"/>
        <v>0</v>
      </c>
      <c r="CE23" t="e" vm="2">
        <f t="shared" ref="CE23" si="65">AVERAGE(CE5:CE6)</f>
        <v>#VALUE!</v>
      </c>
      <c r="CF23">
        <f t="shared" ref="CF23:CG23" si="66">SUM(CF5:CF6)</f>
        <v>0</v>
      </c>
      <c r="CG23">
        <f t="shared" si="66"/>
        <v>0</v>
      </c>
      <c r="CJ23" t="e" vm="2">
        <f t="shared" ref="CJ23" si="67">AVERAGE(CJ5:CJ6)</f>
        <v>#VALUE!</v>
      </c>
      <c r="CK23">
        <f t="shared" ref="CK23:CL23" si="68">SUM(CK5:CK6)</f>
        <v>0</v>
      </c>
      <c r="CL23">
        <f t="shared" si="68"/>
        <v>0</v>
      </c>
    </row>
    <row r="24" spans="1:90" x14ac:dyDescent="0.35">
      <c r="A24">
        <f t="shared" si="0"/>
        <v>69</v>
      </c>
      <c r="B24" t="str">
        <f>LEFT(B7,LEN(B7)-5)&amp;123</f>
        <v>Llama-3.1-70B-Instruct M123</v>
      </c>
      <c r="C24">
        <f>AVERAGE(C7:C9)</f>
        <v>0.75260416666666663</v>
      </c>
      <c r="D24">
        <f>SUM(D7:D9)</f>
        <v>768</v>
      </c>
      <c r="E24">
        <f>SUM(E7:E9)</f>
        <v>578</v>
      </c>
      <c r="H24">
        <f t="shared" ref="H24" si="69">AVERAGE(H7:H9)</f>
        <v>0.72340425531914898</v>
      </c>
      <c r="I24">
        <f t="shared" ref="I24:J24" si="70">SUM(I7:I9)</f>
        <v>141</v>
      </c>
      <c r="J24">
        <f t="shared" si="70"/>
        <v>102</v>
      </c>
      <c r="M24">
        <f t="shared" ref="M24" si="71">AVERAGE(M7:M9)</f>
        <v>0.75917065390749594</v>
      </c>
      <c r="N24">
        <f t="shared" ref="N24:O24" si="72">SUM(N7:N9)</f>
        <v>627</v>
      </c>
      <c r="O24">
        <f t="shared" si="72"/>
        <v>476</v>
      </c>
      <c r="R24" t="e">
        <f t="shared" ref="R24" si="73">AVERAGE(R7:R9)</f>
        <v>#DIV/0!</v>
      </c>
      <c r="S24">
        <f t="shared" ref="S24:T24" si="74">SUM(S7:S9)</f>
        <v>0</v>
      </c>
      <c r="T24">
        <f t="shared" si="74"/>
        <v>0</v>
      </c>
      <c r="W24" t="e">
        <f t="shared" ref="W24" si="75">AVERAGE(W7:W9)</f>
        <v>#DIV/0!</v>
      </c>
      <c r="X24">
        <f t="shared" ref="X24:Y24" si="76">SUM(X7:X9)</f>
        <v>0</v>
      </c>
      <c r="Y24">
        <f t="shared" si="76"/>
        <v>0</v>
      </c>
      <c r="AB24" t="e" vm="2">
        <f t="shared" ref="AB24" si="77">AVERAGE(AB7:AB9)</f>
        <v>#VALUE!</v>
      </c>
      <c r="AC24">
        <f t="shared" ref="AC24:AD24" si="78">SUM(AC7:AC9)</f>
        <v>0</v>
      </c>
      <c r="AD24">
        <f t="shared" si="78"/>
        <v>0</v>
      </c>
      <c r="AG24" t="e" vm="2">
        <f t="shared" ref="AG24" si="79">AVERAGE(AG7:AG9)</f>
        <v>#VALUE!</v>
      </c>
      <c r="AH24">
        <f t="shared" ref="AH24:AI24" si="80">SUM(AH7:AH9)</f>
        <v>0</v>
      </c>
      <c r="AI24">
        <f t="shared" si="80"/>
        <v>0</v>
      </c>
      <c r="AL24" t="e" vm="2">
        <f t="shared" ref="AL24" si="81">AVERAGE(AL7:AL9)</f>
        <v>#VALUE!</v>
      </c>
      <c r="AM24">
        <f t="shared" ref="AM24:AN24" si="82">SUM(AM7:AM9)</f>
        <v>0</v>
      </c>
      <c r="AN24">
        <f t="shared" si="82"/>
        <v>0</v>
      </c>
      <c r="AQ24" t="e" vm="2">
        <f t="shared" ref="AQ24" si="83">AVERAGE(AQ7:AQ9)</f>
        <v>#VALUE!</v>
      </c>
      <c r="AR24">
        <f t="shared" ref="AR24:AS24" si="84">SUM(AR7:AR9)</f>
        <v>0</v>
      </c>
      <c r="AS24">
        <f t="shared" si="84"/>
        <v>0</v>
      </c>
      <c r="AV24" t="e" vm="2">
        <f t="shared" ref="AV24" si="85">AVERAGE(AV7:AV9)</f>
        <v>#VALUE!</v>
      </c>
      <c r="AW24">
        <f t="shared" ref="AW24:AX24" si="86">SUM(AW7:AW9)</f>
        <v>0</v>
      </c>
      <c r="AX24">
        <f t="shared" si="86"/>
        <v>0</v>
      </c>
      <c r="BA24" t="e" vm="2">
        <f t="shared" ref="BA24" si="87">AVERAGE(BA7:BA9)</f>
        <v>#VALUE!</v>
      </c>
      <c r="BB24">
        <f t="shared" ref="BB24:BC24" si="88">SUM(BB7:BB9)</f>
        <v>0</v>
      </c>
      <c r="BC24">
        <f t="shared" si="88"/>
        <v>0</v>
      </c>
      <c r="BF24" t="e" vm="2">
        <f t="shared" ref="BF24" si="89">AVERAGE(BF7:BF9)</f>
        <v>#VALUE!</v>
      </c>
      <c r="BG24">
        <f t="shared" ref="BG24:BH24" si="90">SUM(BG7:BG9)</f>
        <v>0</v>
      </c>
      <c r="BH24">
        <f t="shared" si="90"/>
        <v>0</v>
      </c>
      <c r="BK24" t="e" vm="2">
        <f t="shared" ref="BK24" si="91">AVERAGE(BK7:BK9)</f>
        <v>#VALUE!</v>
      </c>
      <c r="BL24">
        <f t="shared" ref="BL24:BM24" si="92">SUM(BL7:BL9)</f>
        <v>0</v>
      </c>
      <c r="BM24">
        <f t="shared" si="92"/>
        <v>0</v>
      </c>
      <c r="BP24" t="e" vm="2">
        <f t="shared" ref="BP24" si="93">AVERAGE(BP7:BP9)</f>
        <v>#VALUE!</v>
      </c>
      <c r="BQ24">
        <f t="shared" ref="BQ24:BR24" si="94">SUM(BQ7:BQ9)</f>
        <v>0</v>
      </c>
      <c r="BR24">
        <f t="shared" si="94"/>
        <v>0</v>
      </c>
      <c r="BU24" t="e" vm="2">
        <f t="shared" ref="BU24" si="95">AVERAGE(BU7:BU9)</f>
        <v>#VALUE!</v>
      </c>
      <c r="BV24">
        <f t="shared" ref="BV24:BW24" si="96">SUM(BV7:BV9)</f>
        <v>0</v>
      </c>
      <c r="BW24">
        <f t="shared" si="96"/>
        <v>0</v>
      </c>
      <c r="BZ24" t="e" vm="2">
        <f t="shared" ref="BZ24" si="97">AVERAGE(BZ7:BZ9)</f>
        <v>#VALUE!</v>
      </c>
      <c r="CA24">
        <f t="shared" ref="CA24:CB24" si="98">SUM(CA7:CA9)</f>
        <v>0</v>
      </c>
      <c r="CB24">
        <f t="shared" si="98"/>
        <v>0</v>
      </c>
      <c r="CE24" t="e" vm="2">
        <f t="shared" ref="CE24" si="99">AVERAGE(CE7:CE9)</f>
        <v>#VALUE!</v>
      </c>
      <c r="CF24">
        <f t="shared" ref="CF24:CG24" si="100">SUM(CF7:CF9)</f>
        <v>0</v>
      </c>
      <c r="CG24">
        <f t="shared" si="100"/>
        <v>0</v>
      </c>
      <c r="CJ24" t="e" vm="2">
        <f t="shared" ref="CJ24" si="101">AVERAGE(CJ7:CJ9)</f>
        <v>#VALUE!</v>
      </c>
      <c r="CK24">
        <f t="shared" ref="CK24:CL24" si="102">SUM(CK7:CK9)</f>
        <v>0</v>
      </c>
      <c r="CL24">
        <f t="shared" si="102"/>
        <v>0</v>
      </c>
    </row>
    <row r="25" spans="1:90" x14ac:dyDescent="0.35">
      <c r="A25">
        <f t="shared" si="0"/>
        <v>72</v>
      </c>
      <c r="B25" t="str">
        <f>LEFT(B7,LEN(B7)-5)&amp;45</f>
        <v>Llama-3.1-70B-Instruct M45</v>
      </c>
      <c r="C25">
        <f>AVERAGE(C10:C11)</f>
        <v>0.603515625</v>
      </c>
      <c r="D25">
        <f>SUM(D10:D11)</f>
        <v>512</v>
      </c>
      <c r="E25">
        <f>SUM(E10:E11)</f>
        <v>309</v>
      </c>
      <c r="H25">
        <f t="shared" ref="H25" si="103">AVERAGE(H10:H11)</f>
        <v>0.58510638297872342</v>
      </c>
      <c r="I25">
        <f t="shared" ref="I25:J25" si="104">SUM(I10:I11)</f>
        <v>94</v>
      </c>
      <c r="J25">
        <f t="shared" si="104"/>
        <v>55</v>
      </c>
      <c r="M25">
        <f t="shared" ref="M25" si="105">AVERAGE(M10:M11)</f>
        <v>0.60765550239234445</v>
      </c>
      <c r="N25">
        <f t="shared" ref="N25:O25" si="106">SUM(N10:N11)</f>
        <v>418</v>
      </c>
      <c r="O25">
        <f t="shared" si="106"/>
        <v>254</v>
      </c>
      <c r="R25" t="e">
        <f t="shared" ref="R25" si="107">AVERAGE(R10:R11)</f>
        <v>#DIV/0!</v>
      </c>
      <c r="S25">
        <f t="shared" ref="S25:T25" si="108">SUM(S10:S11)</f>
        <v>0</v>
      </c>
      <c r="T25">
        <f t="shared" si="108"/>
        <v>0</v>
      </c>
      <c r="W25" t="e">
        <f t="shared" ref="W25" si="109">AVERAGE(W10:W11)</f>
        <v>#DIV/0!</v>
      </c>
      <c r="X25">
        <f t="shared" ref="X25:Y25" si="110">SUM(X10:X11)</f>
        <v>0</v>
      </c>
      <c r="Y25">
        <f t="shared" si="110"/>
        <v>0</v>
      </c>
      <c r="AB25" t="e" vm="2">
        <f t="shared" ref="AB25" si="111">AVERAGE(AB10:AB11)</f>
        <v>#VALUE!</v>
      </c>
      <c r="AC25">
        <f t="shared" ref="AC25:AD25" si="112">SUM(AC10:AC11)</f>
        <v>0</v>
      </c>
      <c r="AD25">
        <f t="shared" si="112"/>
        <v>0</v>
      </c>
      <c r="AG25" t="e" vm="2">
        <f t="shared" ref="AG25" si="113">AVERAGE(AG10:AG11)</f>
        <v>#VALUE!</v>
      </c>
      <c r="AH25">
        <f t="shared" ref="AH25:AI25" si="114">SUM(AH10:AH11)</f>
        <v>0</v>
      </c>
      <c r="AI25">
        <f t="shared" si="114"/>
        <v>0</v>
      </c>
      <c r="AL25" t="e" vm="2">
        <f t="shared" ref="AL25" si="115">AVERAGE(AL10:AL11)</f>
        <v>#VALUE!</v>
      </c>
      <c r="AM25">
        <f t="shared" ref="AM25:AN25" si="116">SUM(AM10:AM11)</f>
        <v>0</v>
      </c>
      <c r="AN25">
        <f t="shared" si="116"/>
        <v>0</v>
      </c>
      <c r="AQ25" t="e" vm="2">
        <f t="shared" ref="AQ25" si="117">AVERAGE(AQ10:AQ11)</f>
        <v>#VALUE!</v>
      </c>
      <c r="AR25">
        <f t="shared" ref="AR25:AS25" si="118">SUM(AR10:AR11)</f>
        <v>0</v>
      </c>
      <c r="AS25">
        <f t="shared" si="118"/>
        <v>0</v>
      </c>
      <c r="AV25" t="e" vm="2">
        <f t="shared" ref="AV25" si="119">AVERAGE(AV10:AV11)</f>
        <v>#VALUE!</v>
      </c>
      <c r="AW25">
        <f t="shared" ref="AW25:AX25" si="120">SUM(AW10:AW11)</f>
        <v>0</v>
      </c>
      <c r="AX25">
        <f t="shared" si="120"/>
        <v>0</v>
      </c>
      <c r="BA25" t="e" vm="2">
        <f t="shared" ref="BA25" si="121">AVERAGE(BA10:BA11)</f>
        <v>#VALUE!</v>
      </c>
      <c r="BB25">
        <f t="shared" ref="BB25:BC25" si="122">SUM(BB10:BB11)</f>
        <v>0</v>
      </c>
      <c r="BC25">
        <f t="shared" si="122"/>
        <v>0</v>
      </c>
      <c r="BF25" t="e" vm="2">
        <f t="shared" ref="BF25" si="123">AVERAGE(BF10:BF11)</f>
        <v>#VALUE!</v>
      </c>
      <c r="BG25">
        <f t="shared" ref="BG25:BH25" si="124">SUM(BG10:BG11)</f>
        <v>0</v>
      </c>
      <c r="BH25">
        <f t="shared" si="124"/>
        <v>0</v>
      </c>
      <c r="BK25" t="e" vm="2">
        <f t="shared" ref="BK25" si="125">AVERAGE(BK10:BK11)</f>
        <v>#VALUE!</v>
      </c>
      <c r="BL25">
        <f t="shared" ref="BL25:BM25" si="126">SUM(BL10:BL11)</f>
        <v>0</v>
      </c>
      <c r="BM25">
        <f t="shared" si="126"/>
        <v>0</v>
      </c>
      <c r="BP25" t="e" vm="2">
        <f t="shared" ref="BP25" si="127">AVERAGE(BP10:BP11)</f>
        <v>#VALUE!</v>
      </c>
      <c r="BQ25">
        <f t="shared" ref="BQ25:BR25" si="128">SUM(BQ10:BQ11)</f>
        <v>0</v>
      </c>
      <c r="BR25">
        <f t="shared" si="128"/>
        <v>0</v>
      </c>
      <c r="BU25" t="e" vm="2">
        <f t="shared" ref="BU25" si="129">AVERAGE(BU10:BU11)</f>
        <v>#VALUE!</v>
      </c>
      <c r="BV25">
        <f t="shared" ref="BV25:BW25" si="130">SUM(BV10:BV11)</f>
        <v>0</v>
      </c>
      <c r="BW25">
        <f t="shared" si="130"/>
        <v>0</v>
      </c>
      <c r="BZ25" t="e" vm="2">
        <f t="shared" ref="BZ25" si="131">AVERAGE(BZ10:BZ11)</f>
        <v>#VALUE!</v>
      </c>
      <c r="CA25">
        <f t="shared" ref="CA25:CB25" si="132">SUM(CA10:CA11)</f>
        <v>0</v>
      </c>
      <c r="CB25">
        <f t="shared" si="132"/>
        <v>0</v>
      </c>
      <c r="CE25" t="e" vm="2">
        <f t="shared" ref="CE25" si="133">AVERAGE(CE10:CE11)</f>
        <v>#VALUE!</v>
      </c>
      <c r="CF25">
        <f t="shared" ref="CF25:CG25" si="134">SUM(CF10:CF11)</f>
        <v>0</v>
      </c>
      <c r="CG25">
        <f t="shared" si="134"/>
        <v>0</v>
      </c>
      <c r="CJ25" t="e" vm="2">
        <f t="shared" ref="CJ25" si="135">AVERAGE(CJ10:CJ11)</f>
        <v>#VALUE!</v>
      </c>
      <c r="CK25">
        <f t="shared" ref="CK25:CL25" si="136">SUM(CK10:CK11)</f>
        <v>0</v>
      </c>
      <c r="CL25">
        <f t="shared" si="136"/>
        <v>0</v>
      </c>
    </row>
    <row r="26" spans="1:90" x14ac:dyDescent="0.35">
      <c r="A26">
        <f t="shared" si="0"/>
        <v>75</v>
      </c>
      <c r="B26" t="str">
        <f>LEFT(B12,LEN(B12)-5)&amp;123</f>
        <v>Llama-3.1-405B-Instruct M123</v>
      </c>
      <c r="C26">
        <f>AVERAGE(C12:C14)</f>
        <v>0.80859375</v>
      </c>
      <c r="D26">
        <f>SUM(D12:D14)</f>
        <v>768</v>
      </c>
      <c r="E26">
        <f>SUM(E12:E14)</f>
        <v>621</v>
      </c>
      <c r="H26">
        <f t="shared" ref="H26" si="137">AVERAGE(H12:H14)</f>
        <v>0.77304964539007093</v>
      </c>
      <c r="I26">
        <f t="shared" ref="I26:J26" si="138">SUM(I12:I14)</f>
        <v>141</v>
      </c>
      <c r="J26">
        <f t="shared" si="138"/>
        <v>109</v>
      </c>
      <c r="M26">
        <f t="shared" ref="M26" si="139">AVERAGE(M12:M14)</f>
        <v>0.81658692185007975</v>
      </c>
      <c r="N26">
        <f t="shared" ref="N26:O26" si="140">SUM(N12:N14)</f>
        <v>627</v>
      </c>
      <c r="O26">
        <f t="shared" si="140"/>
        <v>512</v>
      </c>
      <c r="R26" t="e">
        <f t="shared" ref="R26" si="141">AVERAGE(R12:R14)</f>
        <v>#DIV/0!</v>
      </c>
      <c r="S26">
        <f t="shared" ref="S26:T26" si="142">SUM(S12:S14)</f>
        <v>0</v>
      </c>
      <c r="T26">
        <f t="shared" si="142"/>
        <v>0</v>
      </c>
      <c r="W26" t="e">
        <f t="shared" ref="W26" si="143">AVERAGE(W12:W14)</f>
        <v>#DIV/0!</v>
      </c>
      <c r="X26">
        <f t="shared" ref="X26:Y26" si="144">SUM(X12:X14)</f>
        <v>0</v>
      </c>
      <c r="Y26">
        <f t="shared" si="144"/>
        <v>0</v>
      </c>
      <c r="AB26" t="e" vm="2">
        <f t="shared" ref="AB26" si="145">AVERAGE(AB12:AB14)</f>
        <v>#VALUE!</v>
      </c>
      <c r="AC26">
        <f t="shared" ref="AC26:AD26" si="146">SUM(AC12:AC14)</f>
        <v>0</v>
      </c>
      <c r="AD26">
        <f t="shared" si="146"/>
        <v>0</v>
      </c>
      <c r="AG26" t="e" vm="2">
        <f t="shared" ref="AG26" si="147">AVERAGE(AG12:AG14)</f>
        <v>#VALUE!</v>
      </c>
      <c r="AH26">
        <f t="shared" ref="AH26:AI26" si="148">SUM(AH12:AH14)</f>
        <v>0</v>
      </c>
      <c r="AI26">
        <f t="shared" si="148"/>
        <v>0</v>
      </c>
      <c r="AL26" t="e" vm="2">
        <f t="shared" ref="AL26" si="149">AVERAGE(AL12:AL14)</f>
        <v>#VALUE!</v>
      </c>
      <c r="AM26">
        <f t="shared" ref="AM26:AN26" si="150">SUM(AM12:AM14)</f>
        <v>0</v>
      </c>
      <c r="AN26">
        <f t="shared" si="150"/>
        <v>0</v>
      </c>
      <c r="AQ26" t="e" vm="2">
        <f t="shared" ref="AQ26" si="151">AVERAGE(AQ12:AQ14)</f>
        <v>#VALUE!</v>
      </c>
      <c r="AR26">
        <f t="shared" ref="AR26:AS26" si="152">SUM(AR12:AR14)</f>
        <v>0</v>
      </c>
      <c r="AS26">
        <f t="shared" si="152"/>
        <v>0</v>
      </c>
      <c r="AV26" t="e" vm="2">
        <f t="shared" ref="AV26" si="153">AVERAGE(AV12:AV14)</f>
        <v>#VALUE!</v>
      </c>
      <c r="AW26">
        <f t="shared" ref="AW26:AX26" si="154">SUM(AW12:AW14)</f>
        <v>0</v>
      </c>
      <c r="AX26">
        <f t="shared" si="154"/>
        <v>0</v>
      </c>
      <c r="BA26" t="e" vm="2">
        <f t="shared" ref="BA26" si="155">AVERAGE(BA12:BA14)</f>
        <v>#VALUE!</v>
      </c>
      <c r="BB26">
        <f t="shared" ref="BB26:BC26" si="156">SUM(BB12:BB14)</f>
        <v>0</v>
      </c>
      <c r="BC26">
        <f t="shared" si="156"/>
        <v>0</v>
      </c>
      <c r="BF26" t="e" vm="2">
        <f t="shared" ref="BF26" si="157">AVERAGE(BF12:BF14)</f>
        <v>#VALUE!</v>
      </c>
      <c r="BG26">
        <f t="shared" ref="BG26:BH26" si="158">SUM(BG12:BG14)</f>
        <v>0</v>
      </c>
      <c r="BH26">
        <f t="shared" si="158"/>
        <v>0</v>
      </c>
      <c r="BK26" t="e" vm="2">
        <f t="shared" ref="BK26" si="159">AVERAGE(BK12:BK14)</f>
        <v>#VALUE!</v>
      </c>
      <c r="BL26">
        <f t="shared" ref="BL26:BM26" si="160">SUM(BL12:BL14)</f>
        <v>0</v>
      </c>
      <c r="BM26">
        <f t="shared" si="160"/>
        <v>0</v>
      </c>
      <c r="BP26" t="e" vm="2">
        <f t="shared" ref="BP26" si="161">AVERAGE(BP12:BP14)</f>
        <v>#VALUE!</v>
      </c>
      <c r="BQ26">
        <f t="shared" ref="BQ26:BR26" si="162">SUM(BQ12:BQ14)</f>
        <v>0</v>
      </c>
      <c r="BR26">
        <f t="shared" si="162"/>
        <v>0</v>
      </c>
      <c r="BU26" t="e" vm="2">
        <f t="shared" ref="BU26" si="163">AVERAGE(BU12:BU14)</f>
        <v>#VALUE!</v>
      </c>
      <c r="BV26">
        <f t="shared" ref="BV26:BW26" si="164">SUM(BV12:BV14)</f>
        <v>0</v>
      </c>
      <c r="BW26">
        <f t="shared" si="164"/>
        <v>0</v>
      </c>
      <c r="BZ26" t="e" vm="2">
        <f t="shared" ref="BZ26" si="165">AVERAGE(BZ12:BZ14)</f>
        <v>#VALUE!</v>
      </c>
      <c r="CA26">
        <f t="shared" ref="CA26:CB26" si="166">SUM(CA12:CA14)</f>
        <v>0</v>
      </c>
      <c r="CB26">
        <f t="shared" si="166"/>
        <v>0</v>
      </c>
      <c r="CE26" t="e" vm="2">
        <f t="shared" ref="CE26" si="167">AVERAGE(CE12:CE14)</f>
        <v>#VALUE!</v>
      </c>
      <c r="CF26">
        <f t="shared" ref="CF26" si="168">SUM(CF12:CF14)</f>
        <v>0</v>
      </c>
      <c r="CG26">
        <f>SUM(CG12:CG14)</f>
        <v>0</v>
      </c>
      <c r="CJ26" t="e" vm="2">
        <f t="shared" ref="CJ26" si="169">AVERAGE(CJ12:CJ14)</f>
        <v>#VALUE!</v>
      </c>
      <c r="CK26">
        <f t="shared" ref="CK26:CL26" si="170">SUM(CK12:CK14)</f>
        <v>0</v>
      </c>
      <c r="CL26">
        <f t="shared" si="170"/>
        <v>0</v>
      </c>
    </row>
    <row r="27" spans="1:90" x14ac:dyDescent="0.35">
      <c r="A27">
        <f t="shared" si="0"/>
        <v>78</v>
      </c>
      <c r="B27" t="str">
        <f>LEFT(B12,LEN(B12)-5)&amp;45</f>
        <v>Llama-3.1-405B-Instruct M45</v>
      </c>
      <c r="C27">
        <f>AVERAGE(C15:C16)</f>
        <v>0.6796875</v>
      </c>
      <c r="D27">
        <f>SUM(D15:D16)</f>
        <v>512</v>
      </c>
      <c r="E27">
        <f>SUM(E15:E16)</f>
        <v>348</v>
      </c>
      <c r="H27">
        <f t="shared" ref="H27" si="171">AVERAGE(H15:H16)</f>
        <v>0.68085106382978722</v>
      </c>
      <c r="I27">
        <f t="shared" ref="I27:J27" si="172">SUM(I15:I16)</f>
        <v>94</v>
      </c>
      <c r="J27">
        <f t="shared" si="172"/>
        <v>64</v>
      </c>
      <c r="M27">
        <f t="shared" ref="M27" si="173">AVERAGE(M15:M16)</f>
        <v>0.67942583732057416</v>
      </c>
      <c r="N27">
        <f t="shared" ref="N27:O27" si="174">SUM(N15:N16)</f>
        <v>418</v>
      </c>
      <c r="O27">
        <f t="shared" si="174"/>
        <v>284</v>
      </c>
      <c r="R27" t="e">
        <f t="shared" ref="R27" si="175">AVERAGE(R15:R16)</f>
        <v>#DIV/0!</v>
      </c>
      <c r="S27">
        <f t="shared" ref="S27:T27" si="176">SUM(S15:S16)</f>
        <v>0</v>
      </c>
      <c r="T27">
        <f t="shared" si="176"/>
        <v>0</v>
      </c>
      <c r="W27" t="e">
        <f t="shared" ref="W27" si="177">AVERAGE(W15:W16)</f>
        <v>#DIV/0!</v>
      </c>
      <c r="X27">
        <f t="shared" ref="X27:Y27" si="178">SUM(X15:X16)</f>
        <v>0</v>
      </c>
      <c r="Y27">
        <f t="shared" si="178"/>
        <v>0</v>
      </c>
      <c r="AB27" t="e" vm="2">
        <f t="shared" ref="AB27" si="179">AVERAGE(AB15:AB16)</f>
        <v>#VALUE!</v>
      </c>
      <c r="AC27">
        <f t="shared" ref="AC27:AD27" si="180">SUM(AC15:AC16)</f>
        <v>0</v>
      </c>
      <c r="AD27">
        <f t="shared" si="180"/>
        <v>0</v>
      </c>
      <c r="AG27" t="e" vm="2">
        <f t="shared" ref="AG27" si="181">AVERAGE(AG15:AG16)</f>
        <v>#VALUE!</v>
      </c>
      <c r="AH27">
        <f t="shared" ref="AH27:AI27" si="182">SUM(AH15:AH16)</f>
        <v>0</v>
      </c>
      <c r="AI27">
        <f t="shared" si="182"/>
        <v>0</v>
      </c>
      <c r="AL27" t="e" vm="2">
        <f t="shared" ref="AL27" si="183">AVERAGE(AL15:AL16)</f>
        <v>#VALUE!</v>
      </c>
      <c r="AM27">
        <f t="shared" ref="AM27:AN27" si="184">SUM(AM15:AM16)</f>
        <v>0</v>
      </c>
      <c r="AN27">
        <f t="shared" si="184"/>
        <v>0</v>
      </c>
      <c r="AQ27" t="e" vm="2">
        <f t="shared" ref="AQ27" si="185">AVERAGE(AQ15:AQ16)</f>
        <v>#VALUE!</v>
      </c>
      <c r="AR27">
        <f t="shared" ref="AR27:AS27" si="186">SUM(AR15:AR16)</f>
        <v>0</v>
      </c>
      <c r="AS27">
        <f t="shared" si="186"/>
        <v>0</v>
      </c>
      <c r="AV27" t="e" vm="2">
        <f t="shared" ref="AV27" si="187">AVERAGE(AV15:AV16)</f>
        <v>#VALUE!</v>
      </c>
      <c r="AW27">
        <f t="shared" ref="AW27:AX27" si="188">SUM(AW15:AW16)</f>
        <v>0</v>
      </c>
      <c r="AX27">
        <f t="shared" si="188"/>
        <v>0</v>
      </c>
      <c r="BA27" t="e" vm="2">
        <f t="shared" ref="BA27" si="189">AVERAGE(BA15:BA16)</f>
        <v>#VALUE!</v>
      </c>
      <c r="BB27">
        <f t="shared" ref="BB27:BC27" si="190">SUM(BB15:BB16)</f>
        <v>0</v>
      </c>
      <c r="BC27">
        <f t="shared" si="190"/>
        <v>0</v>
      </c>
      <c r="BF27" t="e" vm="2">
        <f t="shared" ref="BF27" si="191">AVERAGE(BF15:BF16)</f>
        <v>#VALUE!</v>
      </c>
      <c r="BG27">
        <f t="shared" ref="BG27:BH27" si="192">SUM(BG15:BG16)</f>
        <v>0</v>
      </c>
      <c r="BH27">
        <f t="shared" si="192"/>
        <v>0</v>
      </c>
      <c r="BK27" t="e" vm="2">
        <f t="shared" ref="BK27" si="193">AVERAGE(BK15:BK16)</f>
        <v>#VALUE!</v>
      </c>
      <c r="BL27">
        <f t="shared" ref="BL27:BM27" si="194">SUM(BL15:BL16)</f>
        <v>0</v>
      </c>
      <c r="BM27">
        <f t="shared" si="194"/>
        <v>0</v>
      </c>
      <c r="BP27" t="e" vm="2">
        <f t="shared" ref="BP27" si="195">AVERAGE(BP15:BP16)</f>
        <v>#VALUE!</v>
      </c>
      <c r="BQ27">
        <f t="shared" ref="BQ27:BR27" si="196">SUM(BQ15:BQ16)</f>
        <v>0</v>
      </c>
      <c r="BR27">
        <f t="shared" si="196"/>
        <v>0</v>
      </c>
      <c r="BU27" t="e" vm="2">
        <f t="shared" ref="BU27" si="197">AVERAGE(BU15:BU16)</f>
        <v>#VALUE!</v>
      </c>
      <c r="BV27">
        <f t="shared" ref="BV27:BW27" si="198">SUM(BV15:BV16)</f>
        <v>0</v>
      </c>
      <c r="BW27">
        <f t="shared" si="198"/>
        <v>0</v>
      </c>
      <c r="BZ27" t="e" vm="2">
        <f t="shared" ref="BZ27" si="199">AVERAGE(BZ15:BZ16)</f>
        <v>#VALUE!</v>
      </c>
      <c r="CA27">
        <f t="shared" ref="CA27:CB27" si="200">SUM(CA15:CA16)</f>
        <v>0</v>
      </c>
      <c r="CB27">
        <f t="shared" si="200"/>
        <v>0</v>
      </c>
      <c r="CE27" t="e" vm="2">
        <f t="shared" ref="CE27" si="201">AVERAGE(CE15:CE16)</f>
        <v>#VALUE!</v>
      </c>
      <c r="CF27">
        <f t="shared" ref="CF27:CG27" si="202">SUM(CF15:CF16)</f>
        <v>0</v>
      </c>
      <c r="CG27">
        <f t="shared" si="202"/>
        <v>0</v>
      </c>
      <c r="CJ27" t="e" vm="2">
        <f t="shared" ref="CJ27" si="203">AVERAGE(CJ15:CJ16)</f>
        <v>#VALUE!</v>
      </c>
      <c r="CK27">
        <f t="shared" ref="CK27:CL27" si="204">SUM(CK15:CK16)</f>
        <v>0</v>
      </c>
      <c r="CL27">
        <f t="shared" si="204"/>
        <v>0</v>
      </c>
    </row>
    <row r="28" spans="1:90" x14ac:dyDescent="0.35">
      <c r="A28">
        <f t="shared" si="0"/>
        <v>81</v>
      </c>
      <c r="B28" t="str">
        <f>LEFT(B17,LEN(B17)-5)&amp;123</f>
        <v>Llama-3.3-70B-Instruct M123</v>
      </c>
      <c r="C28">
        <f>AVERAGE(C17:C19)</f>
        <v>0.78125</v>
      </c>
      <c r="D28">
        <f>SUM(D17:D19)</f>
        <v>768</v>
      </c>
      <c r="E28">
        <f>SUM(E17:E19)</f>
        <v>600</v>
      </c>
      <c r="H28">
        <f t="shared" ref="H28" si="205">AVERAGE(H17:H19)</f>
        <v>0.75886524822695034</v>
      </c>
      <c r="I28">
        <f t="shared" ref="I28:J28" si="206">SUM(I17:I19)</f>
        <v>141</v>
      </c>
      <c r="J28">
        <f t="shared" si="206"/>
        <v>107</v>
      </c>
      <c r="M28">
        <f t="shared" ref="M28" si="207">AVERAGE(M17:M19)</f>
        <v>0.78628389154704947</v>
      </c>
      <c r="N28">
        <f t="shared" ref="N28:O28" si="208">SUM(N17:N19)</f>
        <v>627</v>
      </c>
      <c r="O28">
        <f t="shared" si="208"/>
        <v>493</v>
      </c>
      <c r="R28" t="e">
        <f t="shared" ref="R28" si="209">AVERAGE(R17:R19)</f>
        <v>#DIV/0!</v>
      </c>
      <c r="S28">
        <f t="shared" ref="S28:T28" si="210">SUM(S17:S19)</f>
        <v>0</v>
      </c>
      <c r="T28">
        <f t="shared" si="210"/>
        <v>0</v>
      </c>
      <c r="W28" t="e">
        <f t="shared" ref="W28" si="211">AVERAGE(W17:W19)</f>
        <v>#DIV/0!</v>
      </c>
      <c r="X28">
        <f t="shared" ref="X28:Y28" si="212">SUM(X17:X19)</f>
        <v>0</v>
      </c>
      <c r="Y28">
        <f t="shared" si="212"/>
        <v>0</v>
      </c>
      <c r="AB28" t="e" vm="2">
        <f t="shared" ref="AB28" si="213">AVERAGE(AB17:AB19)</f>
        <v>#VALUE!</v>
      </c>
      <c r="AC28">
        <f t="shared" ref="AC28:AD28" si="214">SUM(AC17:AC19)</f>
        <v>0</v>
      </c>
      <c r="AD28">
        <f t="shared" si="214"/>
        <v>0</v>
      </c>
      <c r="AG28" t="e" vm="2">
        <f t="shared" ref="AG28" si="215">AVERAGE(AG17:AG19)</f>
        <v>#VALUE!</v>
      </c>
      <c r="AH28">
        <f t="shared" ref="AH28:AI28" si="216">SUM(AH17:AH19)</f>
        <v>0</v>
      </c>
      <c r="AI28">
        <f t="shared" si="216"/>
        <v>0</v>
      </c>
      <c r="AL28" t="e" vm="2">
        <f t="shared" ref="AL28" si="217">AVERAGE(AL17:AL19)</f>
        <v>#VALUE!</v>
      </c>
      <c r="AM28">
        <f t="shared" ref="AM28:AN28" si="218">SUM(AM17:AM19)</f>
        <v>0</v>
      </c>
      <c r="AN28">
        <f t="shared" si="218"/>
        <v>0</v>
      </c>
      <c r="AQ28" t="e" vm="2">
        <f t="shared" ref="AQ28" si="219">AVERAGE(AQ17:AQ19)</f>
        <v>#VALUE!</v>
      </c>
      <c r="AR28">
        <f t="shared" ref="AR28:AS28" si="220">SUM(AR17:AR19)</f>
        <v>0</v>
      </c>
      <c r="AS28">
        <f t="shared" si="220"/>
        <v>0</v>
      </c>
      <c r="AV28" t="e" vm="2">
        <f t="shared" ref="AV28" si="221">AVERAGE(AV17:AV19)</f>
        <v>#VALUE!</v>
      </c>
      <c r="AW28">
        <f t="shared" ref="AW28:AX28" si="222">SUM(AW17:AW19)</f>
        <v>0</v>
      </c>
      <c r="AX28">
        <f t="shared" si="222"/>
        <v>0</v>
      </c>
      <c r="BA28" t="e" vm="2">
        <f t="shared" ref="BA28" si="223">AVERAGE(BA17:BA19)</f>
        <v>#VALUE!</v>
      </c>
      <c r="BB28">
        <f t="shared" ref="BB28:BC28" si="224">SUM(BB17:BB19)</f>
        <v>0</v>
      </c>
      <c r="BC28">
        <f t="shared" si="224"/>
        <v>0</v>
      </c>
      <c r="BF28" t="e" vm="2">
        <f t="shared" ref="BF28" si="225">AVERAGE(BF17:BF19)</f>
        <v>#VALUE!</v>
      </c>
      <c r="BG28">
        <f t="shared" ref="BG28:BH28" si="226">SUM(BG17:BG19)</f>
        <v>0</v>
      </c>
      <c r="BH28">
        <f t="shared" si="226"/>
        <v>0</v>
      </c>
      <c r="BK28" t="e" vm="2">
        <f t="shared" ref="BK28" si="227">AVERAGE(BK17:BK19)</f>
        <v>#VALUE!</v>
      </c>
      <c r="BL28">
        <f t="shared" ref="BL28:BM28" si="228">SUM(BL17:BL19)</f>
        <v>0</v>
      </c>
      <c r="BM28">
        <f t="shared" si="228"/>
        <v>0</v>
      </c>
      <c r="BP28" t="e" vm="2">
        <f t="shared" ref="BP28" si="229">AVERAGE(BP17:BP19)</f>
        <v>#VALUE!</v>
      </c>
      <c r="BQ28">
        <f t="shared" ref="BQ28:BR28" si="230">SUM(BQ17:BQ19)</f>
        <v>0</v>
      </c>
      <c r="BR28">
        <f t="shared" si="230"/>
        <v>0</v>
      </c>
      <c r="BU28" t="e" vm="2">
        <f t="shared" ref="BU28" si="231">AVERAGE(BU17:BU19)</f>
        <v>#VALUE!</v>
      </c>
      <c r="BV28">
        <f t="shared" ref="BV28:BW28" si="232">SUM(BV17:BV19)</f>
        <v>0</v>
      </c>
      <c r="BW28">
        <f t="shared" si="232"/>
        <v>0</v>
      </c>
      <c r="BZ28" t="e" vm="2">
        <f t="shared" ref="BZ28" si="233">AVERAGE(BZ17:BZ19)</f>
        <v>#VALUE!</v>
      </c>
      <c r="CA28">
        <f t="shared" ref="CA28:CB28" si="234">SUM(CA17:CA19)</f>
        <v>0</v>
      </c>
      <c r="CB28">
        <f t="shared" si="234"/>
        <v>0</v>
      </c>
      <c r="CE28" t="e" vm="2">
        <f t="shared" ref="CE28" si="235">AVERAGE(CE17:CE19)</f>
        <v>#VALUE!</v>
      </c>
      <c r="CF28">
        <f t="shared" ref="CF28:CG28" si="236">SUM(CF17:CF19)</f>
        <v>0</v>
      </c>
      <c r="CG28">
        <f t="shared" si="236"/>
        <v>0</v>
      </c>
      <c r="CJ28" t="e" vm="2">
        <f t="shared" ref="CJ28" si="237">AVERAGE(CJ17:CJ19)</f>
        <v>#VALUE!</v>
      </c>
      <c r="CK28">
        <f t="shared" ref="CK28:CL28" si="238">SUM(CK17:CK19)</f>
        <v>0</v>
      </c>
      <c r="CL28">
        <f t="shared" si="238"/>
        <v>0</v>
      </c>
    </row>
    <row r="29" spans="1:90" x14ac:dyDescent="0.35">
      <c r="A29">
        <f t="shared" si="0"/>
        <v>84</v>
      </c>
      <c r="B29" t="str">
        <f>LEFT(B17,LEN(B17)-5)&amp;45</f>
        <v>Llama-3.3-70B-Instruct M45</v>
      </c>
      <c r="C29">
        <f>AVERAGE(C20:C21)</f>
        <v>0.6171875</v>
      </c>
      <c r="D29">
        <f>SUM(D20:D21)</f>
        <v>512</v>
      </c>
      <c r="E29">
        <f>SUM(E20:E21)</f>
        <v>316</v>
      </c>
      <c r="H29">
        <f t="shared" ref="H29" si="239">AVERAGE(H20:H21)</f>
        <v>0.6063829787234043</v>
      </c>
      <c r="I29">
        <f t="shared" ref="I29:J29" si="240">SUM(I20:I21)</f>
        <v>94</v>
      </c>
      <c r="J29">
        <f t="shared" si="240"/>
        <v>57</v>
      </c>
      <c r="M29">
        <f t="shared" ref="M29" si="241">AVERAGE(M20:M21)</f>
        <v>0.61961722488038273</v>
      </c>
      <c r="N29">
        <f t="shared" ref="N29:O29" si="242">SUM(N20:N21)</f>
        <v>418</v>
      </c>
      <c r="O29">
        <f t="shared" si="242"/>
        <v>259</v>
      </c>
      <c r="R29" t="e">
        <f t="shared" ref="R29" si="243">AVERAGE(R20:R21)</f>
        <v>#DIV/0!</v>
      </c>
      <c r="S29">
        <f t="shared" ref="S29:T29" si="244">SUM(S20:S21)</f>
        <v>0</v>
      </c>
      <c r="T29">
        <f t="shared" si="244"/>
        <v>0</v>
      </c>
      <c r="W29" t="e">
        <f t="shared" ref="W29" si="245">AVERAGE(W20:W21)</f>
        <v>#DIV/0!</v>
      </c>
      <c r="X29">
        <f t="shared" ref="X29:Y29" si="246">SUM(X20:X21)</f>
        <v>0</v>
      </c>
      <c r="Y29">
        <f t="shared" si="246"/>
        <v>0</v>
      </c>
      <c r="AB29" t="e" vm="2">
        <f t="shared" ref="AB29" si="247">AVERAGE(AB20:AB21)</f>
        <v>#VALUE!</v>
      </c>
      <c r="AC29">
        <f t="shared" ref="AC29:AD29" si="248">SUM(AC20:AC21)</f>
        <v>0</v>
      </c>
      <c r="AD29">
        <f t="shared" si="248"/>
        <v>0</v>
      </c>
      <c r="AG29" t="e" vm="2">
        <f t="shared" ref="AG29" si="249">AVERAGE(AG20:AG21)</f>
        <v>#VALUE!</v>
      </c>
      <c r="AH29">
        <f t="shared" ref="AH29:AI29" si="250">SUM(AH20:AH21)</f>
        <v>0</v>
      </c>
      <c r="AI29">
        <f t="shared" si="250"/>
        <v>0</v>
      </c>
      <c r="AL29" t="e" vm="2">
        <f t="shared" ref="AL29" si="251">AVERAGE(AL20:AL21)</f>
        <v>#VALUE!</v>
      </c>
      <c r="AM29">
        <f t="shared" ref="AM29:AN29" si="252">SUM(AM20:AM21)</f>
        <v>0</v>
      </c>
      <c r="AN29">
        <f t="shared" si="252"/>
        <v>0</v>
      </c>
      <c r="AQ29" t="e" vm="2">
        <f t="shared" ref="AQ29" si="253">AVERAGE(AQ20:AQ21)</f>
        <v>#VALUE!</v>
      </c>
      <c r="AR29">
        <f t="shared" ref="AR29:AS29" si="254">SUM(AR20:AR21)</f>
        <v>0</v>
      </c>
      <c r="AS29">
        <f t="shared" si="254"/>
        <v>0</v>
      </c>
      <c r="AV29" t="e" vm="2">
        <f t="shared" ref="AV29" si="255">AVERAGE(AV20:AV21)</f>
        <v>#VALUE!</v>
      </c>
      <c r="AW29">
        <f t="shared" ref="AW29:AX29" si="256">SUM(AW20:AW21)</f>
        <v>0</v>
      </c>
      <c r="AX29">
        <f t="shared" si="256"/>
        <v>0</v>
      </c>
      <c r="BA29" t="e" vm="2">
        <f t="shared" ref="BA29" si="257">AVERAGE(BA20:BA21)</f>
        <v>#VALUE!</v>
      </c>
      <c r="BB29">
        <f t="shared" ref="BB29:BC29" si="258">SUM(BB20:BB21)</f>
        <v>0</v>
      </c>
      <c r="BC29">
        <f t="shared" si="258"/>
        <v>0</v>
      </c>
      <c r="BF29" t="e" vm="2">
        <f t="shared" ref="BF29" si="259">AVERAGE(BF20:BF21)</f>
        <v>#VALUE!</v>
      </c>
      <c r="BG29">
        <f t="shared" ref="BG29:BH29" si="260">SUM(BG20:BG21)</f>
        <v>0</v>
      </c>
      <c r="BH29">
        <f t="shared" si="260"/>
        <v>0</v>
      </c>
      <c r="BK29" t="e" vm="2">
        <f t="shared" ref="BK29" si="261">AVERAGE(BK20:BK21)</f>
        <v>#VALUE!</v>
      </c>
      <c r="BL29">
        <f t="shared" ref="BL29:BM29" si="262">SUM(BL20:BL21)</f>
        <v>0</v>
      </c>
      <c r="BM29">
        <f t="shared" si="262"/>
        <v>0</v>
      </c>
      <c r="BP29" t="e" vm="2">
        <f t="shared" ref="BP29" si="263">AVERAGE(BP20:BP21)</f>
        <v>#VALUE!</v>
      </c>
      <c r="BQ29">
        <f t="shared" ref="BQ29:BR29" si="264">SUM(BQ20:BQ21)</f>
        <v>0</v>
      </c>
      <c r="BR29">
        <f t="shared" si="264"/>
        <v>0</v>
      </c>
      <c r="BU29" t="e" vm="2">
        <f t="shared" ref="BU29" si="265">AVERAGE(BU20:BU21)</f>
        <v>#VALUE!</v>
      </c>
      <c r="BV29">
        <f t="shared" ref="BV29:BW29" si="266">SUM(BV20:BV21)</f>
        <v>0</v>
      </c>
      <c r="BW29">
        <f t="shared" si="266"/>
        <v>0</v>
      </c>
      <c r="BZ29" t="e" vm="2">
        <f t="shared" ref="BZ29" si="267">AVERAGE(BZ20:BZ21)</f>
        <v>#VALUE!</v>
      </c>
      <c r="CA29">
        <f t="shared" ref="CA29:CB29" si="268">SUM(CA20:CA21)</f>
        <v>0</v>
      </c>
      <c r="CB29">
        <f t="shared" si="268"/>
        <v>0</v>
      </c>
      <c r="CE29" t="e" vm="2">
        <f t="shared" ref="CE29" si="269">AVERAGE(CE20:CE21)</f>
        <v>#VALUE!</v>
      </c>
      <c r="CF29">
        <f t="shared" ref="CF29:CG29" si="270">SUM(CF20:CF21)</f>
        <v>0</v>
      </c>
      <c r="CG29">
        <f t="shared" si="270"/>
        <v>0</v>
      </c>
      <c r="CJ29" t="e" vm="2">
        <f t="shared" ref="CJ29" si="271">AVERAGE(CJ20:CJ21)</f>
        <v>#VALUE!</v>
      </c>
      <c r="CK29">
        <f t="shared" ref="CK29:CL29" si="272">SUM(CK20:CK21)</f>
        <v>0</v>
      </c>
      <c r="CL29">
        <f t="shared" si="272"/>
        <v>0</v>
      </c>
    </row>
    <row r="30" spans="1:90" x14ac:dyDescent="0.35">
      <c r="A30">
        <f t="shared" si="0"/>
        <v>87</v>
      </c>
      <c r="B30" t="s">
        <v>962</v>
      </c>
      <c r="C30">
        <f>AVERAGE(C22,C24,C26,C28)</f>
        <v>0.78352864583333326</v>
      </c>
      <c r="D30">
        <f>SUM(D22,D24,D26,D28)</f>
        <v>3072</v>
      </c>
      <c r="E30">
        <f>SUM(E22,E24,E26,E28)</f>
        <v>2407</v>
      </c>
      <c r="H30">
        <f t="shared" ref="H30:H31" si="273">AVERAGE(H22,H24,H26,H28)</f>
        <v>0.76950354609929073</v>
      </c>
      <c r="I30">
        <f t="shared" ref="I30:J31" si="274">SUM(I22,I24,I26,I28)</f>
        <v>564</v>
      </c>
      <c r="J30">
        <f t="shared" si="274"/>
        <v>434</v>
      </c>
      <c r="M30">
        <f t="shared" ref="M30:M31" si="275">AVERAGE(M22,M24,M26,M28)</f>
        <v>0.78668261562998409</v>
      </c>
      <c r="N30">
        <f t="shared" ref="N30:O31" si="276">SUM(N22,N24,N26,N28)</f>
        <v>2508</v>
      </c>
      <c r="O30">
        <f t="shared" si="276"/>
        <v>1973</v>
      </c>
      <c r="R30" t="e" vm="2">
        <f t="shared" ref="R30:R31" si="277">AVERAGE(R22,R24,R26,R28)</f>
        <v>#VALUE!</v>
      </c>
      <c r="S30">
        <f t="shared" ref="S30:T31" si="278">SUM(S22,S24,S26,S28)</f>
        <v>0</v>
      </c>
      <c r="T30">
        <f t="shared" si="278"/>
        <v>0</v>
      </c>
      <c r="W30" t="e" vm="2">
        <f t="shared" ref="W30:W31" si="279">AVERAGE(W22,W24,W26,W28)</f>
        <v>#VALUE!</v>
      </c>
      <c r="X30">
        <f t="shared" ref="X30:Y31" si="280">SUM(X22,X24,X26,X28)</f>
        <v>0</v>
      </c>
      <c r="Y30">
        <f t="shared" si="280"/>
        <v>0</v>
      </c>
      <c r="AB30" t="e" vm="2">
        <f t="shared" ref="AB30:AB31" si="281">AVERAGE(AB22,AB24,AB26,AB28)</f>
        <v>#VALUE!</v>
      </c>
      <c r="AC30">
        <f t="shared" ref="AC30:AD31" si="282">SUM(AC22,AC24,AC26,AC28)</f>
        <v>0</v>
      </c>
      <c r="AD30">
        <f t="shared" si="282"/>
        <v>0</v>
      </c>
      <c r="AG30" t="e" vm="2">
        <f t="shared" ref="AG30:AG31" si="283">AVERAGE(AG22,AG24,AG26,AG28)</f>
        <v>#VALUE!</v>
      </c>
      <c r="AH30">
        <f t="shared" ref="AH30:AI31" si="284">SUM(AH22,AH24,AH26,AH28)</f>
        <v>0</v>
      </c>
      <c r="AI30">
        <f t="shared" si="284"/>
        <v>0</v>
      </c>
      <c r="AL30" t="e" vm="2">
        <f t="shared" ref="AL30:AL31" si="285">AVERAGE(AL22,AL24,AL26,AL28)</f>
        <v>#VALUE!</v>
      </c>
      <c r="AM30">
        <f t="shared" ref="AM30:AN31" si="286">SUM(AM22,AM24,AM26,AM28)</f>
        <v>0</v>
      </c>
      <c r="AN30">
        <f t="shared" si="286"/>
        <v>0</v>
      </c>
      <c r="AQ30" t="e" vm="2">
        <f t="shared" ref="AQ30:AQ31" si="287">AVERAGE(AQ22,AQ24,AQ26,AQ28)</f>
        <v>#VALUE!</v>
      </c>
      <c r="AR30">
        <f t="shared" ref="AR30:AS31" si="288">SUM(AR22,AR24,AR26,AR28)</f>
        <v>0</v>
      </c>
      <c r="AS30">
        <f t="shared" si="288"/>
        <v>0</v>
      </c>
      <c r="AV30" t="e" vm="2">
        <f t="shared" ref="AV30:AV31" si="289">AVERAGE(AV22,AV24,AV26,AV28)</f>
        <v>#VALUE!</v>
      </c>
      <c r="AW30">
        <f t="shared" ref="AW30:AX31" si="290">SUM(AW22,AW24,AW26,AW28)</f>
        <v>0</v>
      </c>
      <c r="AX30">
        <f t="shared" si="290"/>
        <v>0</v>
      </c>
      <c r="BA30" t="e" vm="2">
        <f t="shared" ref="BA30:BA31" si="291">AVERAGE(BA22,BA24,BA26,BA28)</f>
        <v>#VALUE!</v>
      </c>
      <c r="BB30">
        <f t="shared" ref="BB30:BC31" si="292">SUM(BB22,BB24,BB26,BB28)</f>
        <v>0</v>
      </c>
      <c r="BC30">
        <f t="shared" si="292"/>
        <v>0</v>
      </c>
      <c r="BF30" t="e" vm="2">
        <f t="shared" ref="BF30:BF31" si="293">AVERAGE(BF22,BF24,BF26,BF28)</f>
        <v>#VALUE!</v>
      </c>
      <c r="BG30">
        <f t="shared" ref="BG30:BH31" si="294">SUM(BG22,BG24,BG26,BG28)</f>
        <v>0</v>
      </c>
      <c r="BH30">
        <f t="shared" si="294"/>
        <v>0</v>
      </c>
      <c r="BK30" t="e" vm="2">
        <f t="shared" ref="BK30:BK31" si="295">AVERAGE(BK22,BK24,BK26,BK28)</f>
        <v>#VALUE!</v>
      </c>
      <c r="BL30">
        <f t="shared" ref="BL30:BM31" si="296">SUM(BL22,BL24,BL26,BL28)</f>
        <v>0</v>
      </c>
      <c r="BM30">
        <f t="shared" si="296"/>
        <v>0</v>
      </c>
      <c r="BP30" t="e" vm="2">
        <f t="shared" ref="BP30:BP31" si="297">AVERAGE(BP22,BP24,BP26,BP28)</f>
        <v>#VALUE!</v>
      </c>
      <c r="BQ30">
        <f t="shared" ref="BQ30:BR31" si="298">SUM(BQ22,BQ24,BQ26,BQ28)</f>
        <v>0</v>
      </c>
      <c r="BR30">
        <f t="shared" si="298"/>
        <v>0</v>
      </c>
      <c r="BU30" t="e" vm="2">
        <f t="shared" ref="BU30:BU31" si="299">AVERAGE(BU22,BU24,BU26,BU28)</f>
        <v>#VALUE!</v>
      </c>
      <c r="BV30">
        <f t="shared" ref="BV30:BW31" si="300">SUM(BV22,BV24,BV26,BV28)</f>
        <v>0</v>
      </c>
      <c r="BW30">
        <f t="shared" si="300"/>
        <v>0</v>
      </c>
      <c r="BZ30" t="e" vm="2">
        <f t="shared" ref="BZ30:BZ31" si="301">AVERAGE(BZ22,BZ24,BZ26,BZ28)</f>
        <v>#VALUE!</v>
      </c>
      <c r="CA30">
        <f t="shared" ref="CA30:CB31" si="302">SUM(CA22,CA24,CA26,CA28)</f>
        <v>0</v>
      </c>
      <c r="CB30">
        <f t="shared" si="302"/>
        <v>0</v>
      </c>
      <c r="CE30" t="e" vm="2">
        <f t="shared" ref="CE30:CE31" si="303">AVERAGE(CE22,CE24,CE26,CE28)</f>
        <v>#VALUE!</v>
      </c>
      <c r="CF30">
        <f>SUM(CF22,CF24,CF26,CF28)</f>
        <v>0</v>
      </c>
      <c r="CG30">
        <f t="shared" ref="CG30" si="304">SUM(CG22,CG24,CG26,CG28)</f>
        <v>0</v>
      </c>
      <c r="CJ30" t="e" vm="2">
        <f t="shared" ref="CJ30:CJ31" si="305">AVERAGE(CJ22,CJ24,CJ26,CJ28)</f>
        <v>#VALUE!</v>
      </c>
      <c r="CK30">
        <f t="shared" ref="CK30:CL31" si="306">SUM(CK22,CK24,CK26,CK28)</f>
        <v>0</v>
      </c>
      <c r="CL30">
        <f t="shared" si="306"/>
        <v>0</v>
      </c>
    </row>
    <row r="31" spans="1:90" x14ac:dyDescent="0.35">
      <c r="A31">
        <f t="shared" si="0"/>
        <v>90</v>
      </c>
      <c r="B31" t="s">
        <v>963</v>
      </c>
      <c r="C31">
        <f>AVERAGE(C23,C25,C27,C29)</f>
        <v>0.63525390625</v>
      </c>
      <c r="D31">
        <f>SUM(D23,D25,D27,D29)</f>
        <v>2048</v>
      </c>
      <c r="E31">
        <f>SUM(E23,E25,E27,E29)</f>
        <v>1301</v>
      </c>
      <c r="H31">
        <f t="shared" si="273"/>
        <v>0.6356382978723405</v>
      </c>
      <c r="I31">
        <f t="shared" si="274"/>
        <v>376</v>
      </c>
      <c r="J31">
        <f t="shared" si="274"/>
        <v>239</v>
      </c>
      <c r="M31">
        <f t="shared" si="275"/>
        <v>0.63516746411483249</v>
      </c>
      <c r="N31">
        <f t="shared" si="276"/>
        <v>1672</v>
      </c>
      <c r="O31">
        <f t="shared" si="276"/>
        <v>1062</v>
      </c>
      <c r="R31" t="e">
        <f t="shared" si="277"/>
        <v>#DIV/0!</v>
      </c>
      <c r="S31">
        <f t="shared" si="278"/>
        <v>0</v>
      </c>
      <c r="T31">
        <f t="shared" si="278"/>
        <v>0</v>
      </c>
      <c r="W31" t="e">
        <f t="shared" si="279"/>
        <v>#DIV/0!</v>
      </c>
      <c r="X31">
        <f t="shared" si="280"/>
        <v>0</v>
      </c>
      <c r="Y31">
        <f t="shared" si="280"/>
        <v>0</v>
      </c>
      <c r="AB31" t="e" vm="2">
        <f t="shared" si="281"/>
        <v>#VALUE!</v>
      </c>
      <c r="AC31">
        <f t="shared" si="282"/>
        <v>0</v>
      </c>
      <c r="AD31">
        <f t="shared" si="282"/>
        <v>0</v>
      </c>
      <c r="AG31" t="e" vm="2">
        <f t="shared" si="283"/>
        <v>#VALUE!</v>
      </c>
      <c r="AH31">
        <f t="shared" si="284"/>
        <v>0</v>
      </c>
      <c r="AI31">
        <f t="shared" si="284"/>
        <v>0</v>
      </c>
      <c r="AL31" t="e" vm="2">
        <f t="shared" si="285"/>
        <v>#VALUE!</v>
      </c>
      <c r="AM31">
        <f t="shared" si="286"/>
        <v>0</v>
      </c>
      <c r="AN31">
        <f t="shared" si="286"/>
        <v>0</v>
      </c>
      <c r="AQ31" t="e" vm="2">
        <f t="shared" si="287"/>
        <v>#VALUE!</v>
      </c>
      <c r="AR31">
        <f t="shared" si="288"/>
        <v>0</v>
      </c>
      <c r="AS31">
        <f t="shared" si="288"/>
        <v>0</v>
      </c>
      <c r="AV31" t="e" vm="2">
        <f t="shared" si="289"/>
        <v>#VALUE!</v>
      </c>
      <c r="AW31">
        <f t="shared" si="290"/>
        <v>0</v>
      </c>
      <c r="AX31">
        <f t="shared" si="290"/>
        <v>0</v>
      </c>
      <c r="BA31" t="e" vm="2">
        <f t="shared" si="291"/>
        <v>#VALUE!</v>
      </c>
      <c r="BB31">
        <f t="shared" si="292"/>
        <v>0</v>
      </c>
      <c r="BC31">
        <f t="shared" si="292"/>
        <v>0</v>
      </c>
      <c r="BF31" t="e" vm="2">
        <f t="shared" si="293"/>
        <v>#VALUE!</v>
      </c>
      <c r="BG31">
        <f t="shared" si="294"/>
        <v>0</v>
      </c>
      <c r="BH31">
        <f t="shared" si="294"/>
        <v>0</v>
      </c>
      <c r="BK31" t="e" vm="2">
        <f t="shared" si="295"/>
        <v>#VALUE!</v>
      </c>
      <c r="BL31">
        <f t="shared" si="296"/>
        <v>0</v>
      </c>
      <c r="BM31">
        <f t="shared" si="296"/>
        <v>0</v>
      </c>
      <c r="BP31" t="e" vm="2">
        <f t="shared" si="297"/>
        <v>#VALUE!</v>
      </c>
      <c r="BQ31">
        <f t="shared" si="298"/>
        <v>0</v>
      </c>
      <c r="BR31">
        <f t="shared" si="298"/>
        <v>0</v>
      </c>
      <c r="BU31" t="e" vm="2">
        <f t="shared" si="299"/>
        <v>#VALUE!</v>
      </c>
      <c r="BV31">
        <f t="shared" si="300"/>
        <v>0</v>
      </c>
      <c r="BW31">
        <f t="shared" si="300"/>
        <v>0</v>
      </c>
      <c r="BZ31" t="e" vm="2">
        <f t="shared" si="301"/>
        <v>#VALUE!</v>
      </c>
      <c r="CA31">
        <f t="shared" si="302"/>
        <v>0</v>
      </c>
      <c r="CB31">
        <f t="shared" si="302"/>
        <v>0</v>
      </c>
      <c r="CE31" t="e" vm="2">
        <f t="shared" si="303"/>
        <v>#VALUE!</v>
      </c>
      <c r="CF31">
        <f t="shared" ref="CF31:CG31" si="307">SUM(CF23,CF25,CF27,CF29)</f>
        <v>0</v>
      </c>
      <c r="CG31">
        <f t="shared" si="307"/>
        <v>0</v>
      </c>
      <c r="CJ31" t="e" vm="2">
        <f t="shared" si="305"/>
        <v>#VALUE!</v>
      </c>
      <c r="CK31">
        <f t="shared" si="306"/>
        <v>0</v>
      </c>
      <c r="CL31">
        <f t="shared" si="306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7D43-42B1-40B4-98D1-B78F9D3943A5}">
  <dimension ref="A2:P34"/>
  <sheetViews>
    <sheetView workbookViewId="0">
      <selection activeCell="B26" sqref="B26"/>
    </sheetView>
  </sheetViews>
  <sheetFormatPr defaultRowHeight="14.5" x14ac:dyDescent="0.35"/>
  <cols>
    <col min="2" max="2" width="23.7265625" bestFit="1" customWidth="1"/>
  </cols>
  <sheetData>
    <row r="2" spans="1:16" x14ac:dyDescent="0.35">
      <c r="C2" t="s">
        <v>83</v>
      </c>
      <c r="D2" t="s">
        <v>84</v>
      </c>
      <c r="E2" t="s">
        <v>85</v>
      </c>
      <c r="F2" t="s">
        <v>89</v>
      </c>
      <c r="G2" t="s">
        <v>88</v>
      </c>
      <c r="H2" t="s">
        <v>87</v>
      </c>
      <c r="I2" t="s">
        <v>86</v>
      </c>
      <c r="J2" t="s">
        <v>90</v>
      </c>
      <c r="K2" t="s">
        <v>91</v>
      </c>
      <c r="L2" t="s">
        <v>92</v>
      </c>
      <c r="M2" t="s">
        <v>93</v>
      </c>
      <c r="O2" t="s">
        <v>94</v>
      </c>
      <c r="P2" t="s">
        <v>95</v>
      </c>
    </row>
    <row r="3" spans="1:16" x14ac:dyDescent="0.35">
      <c r="A3">
        <v>3</v>
      </c>
      <c r="B3" t="s">
        <v>96</v>
      </c>
      <c r="C3">
        <v>0.55022831050228316</v>
      </c>
      <c r="D3">
        <v>0.60345974717232198</v>
      </c>
      <c r="E3">
        <v>0.53569482288828341</v>
      </c>
      <c r="F3">
        <v>0.56823120382442416</v>
      </c>
      <c r="G3">
        <v>0.51579384871155443</v>
      </c>
      <c r="H3">
        <v>0.47199341021416802</v>
      </c>
      <c r="I3">
        <v>0.5591216216216216</v>
      </c>
      <c r="J3">
        <v>0.67770700636942671</v>
      </c>
      <c r="K3">
        <v>0.36114732724902215</v>
      </c>
      <c r="L3">
        <v>0.11337868480725624</v>
      </c>
      <c r="M3">
        <v>0.9232613908872902</v>
      </c>
      <c r="O3">
        <v>3856</v>
      </c>
      <c r="P3">
        <v>7008</v>
      </c>
    </row>
    <row r="4" spans="1:16" x14ac:dyDescent="0.35">
      <c r="A4">
        <v>6</v>
      </c>
      <c r="B4" t="s">
        <v>97</v>
      </c>
      <c r="C4">
        <v>0.49914383561643838</v>
      </c>
      <c r="D4">
        <v>0.50632069194943441</v>
      </c>
      <c r="E4">
        <v>0.49718437783832881</v>
      </c>
      <c r="F4">
        <v>0.50564971751412424</v>
      </c>
      <c r="G4">
        <v>0.48669991687448044</v>
      </c>
      <c r="H4">
        <v>0.58566721581548598</v>
      </c>
      <c r="I4">
        <v>0.38513513513513514</v>
      </c>
      <c r="J4">
        <v>0.65732484076433118</v>
      </c>
      <c r="K4">
        <v>0.28683181225554105</v>
      </c>
      <c r="L4">
        <v>0.45578231292517007</v>
      </c>
      <c r="M4">
        <v>0.56594724220623505</v>
      </c>
      <c r="O4">
        <v>3498</v>
      </c>
      <c r="P4">
        <v>7008</v>
      </c>
    </row>
    <row r="5" spans="1:16" x14ac:dyDescent="0.35">
      <c r="A5">
        <v>9</v>
      </c>
      <c r="B5" t="s">
        <v>98</v>
      </c>
      <c r="C5">
        <v>0.54794520547945202</v>
      </c>
      <c r="D5">
        <v>0.59015302727877583</v>
      </c>
      <c r="E5">
        <v>0.53642143505903728</v>
      </c>
      <c r="F5">
        <v>0.5641025641025641</v>
      </c>
      <c r="G5">
        <v>0.51704073150457186</v>
      </c>
      <c r="H5">
        <v>0.33443163097199341</v>
      </c>
      <c r="I5">
        <v>0.70354729729729726</v>
      </c>
      <c r="J5">
        <v>0.45477707006369428</v>
      </c>
      <c r="K5">
        <v>0.58279009126466752</v>
      </c>
      <c r="L5">
        <v>0.12925170068027211</v>
      </c>
      <c r="M5">
        <v>0.92565947242206237</v>
      </c>
      <c r="O5">
        <v>3840</v>
      </c>
      <c r="P5">
        <v>7008</v>
      </c>
    </row>
    <row r="6" spans="1:16" x14ac:dyDescent="0.35">
      <c r="A6">
        <v>12</v>
      </c>
      <c r="B6" t="s">
        <v>99</v>
      </c>
      <c r="C6">
        <v>0.50941780821917804</v>
      </c>
      <c r="D6">
        <v>0.49700598802395207</v>
      </c>
      <c r="E6">
        <v>0.51280653950953681</v>
      </c>
      <c r="F6">
        <v>0.51021295089091701</v>
      </c>
      <c r="G6">
        <v>0.50789692435577727</v>
      </c>
      <c r="H6">
        <v>0.49588138385502473</v>
      </c>
      <c r="I6">
        <v>0.52195945945945943</v>
      </c>
      <c r="J6">
        <v>0.49808917197452229</v>
      </c>
      <c r="K6">
        <v>0.51368970013037807</v>
      </c>
      <c r="L6">
        <v>0.48752834467120182</v>
      </c>
      <c r="M6">
        <v>0.53717026378896882</v>
      </c>
      <c r="O6">
        <v>3570</v>
      </c>
      <c r="P6">
        <v>7008</v>
      </c>
    </row>
    <row r="7" spans="1:16" x14ac:dyDescent="0.35">
      <c r="A7">
        <v>15</v>
      </c>
      <c r="B7" t="s">
        <v>100</v>
      </c>
      <c r="C7">
        <v>0.55014872099940515</v>
      </c>
      <c r="D7">
        <v>0.57862679955703211</v>
      </c>
      <c r="E7">
        <v>0.54235490225791783</v>
      </c>
      <c r="F7">
        <v>0.56236597569692637</v>
      </c>
      <c r="G7">
        <v>0.52580989676041301</v>
      </c>
      <c r="H7">
        <v>0.50573888091822095</v>
      </c>
      <c r="I7">
        <v>0.54623044096728313</v>
      </c>
      <c r="J7">
        <v>0.67282608695652169</v>
      </c>
      <c r="K7">
        <v>0.37267759562841529</v>
      </c>
      <c r="L7">
        <v>0.19301848049281314</v>
      </c>
      <c r="M7">
        <v>0.86965376782077397</v>
      </c>
      <c r="O7">
        <v>4624</v>
      </c>
      <c r="P7">
        <v>8405</v>
      </c>
    </row>
    <row r="8" spans="1:16" x14ac:dyDescent="0.35">
      <c r="A8">
        <v>18</v>
      </c>
      <c r="B8" t="s">
        <v>101</v>
      </c>
      <c r="C8">
        <v>0.50731707317073171</v>
      </c>
      <c r="D8">
        <v>0.51495016611295685</v>
      </c>
      <c r="E8">
        <v>0.50522806485831184</v>
      </c>
      <c r="F8">
        <v>0.51340243030736243</v>
      </c>
      <c r="G8">
        <v>0.49519401922392309</v>
      </c>
      <c r="H8">
        <v>0.56958393113342898</v>
      </c>
      <c r="I8">
        <v>0.42105263157894735</v>
      </c>
      <c r="J8">
        <v>0.64021739130434785</v>
      </c>
      <c r="K8">
        <v>0.36065573770491804</v>
      </c>
      <c r="L8">
        <v>0.43531827515400412</v>
      </c>
      <c r="M8">
        <v>0.53360488798370675</v>
      </c>
      <c r="O8">
        <v>4264</v>
      </c>
      <c r="P8">
        <v>8405</v>
      </c>
    </row>
    <row r="9" spans="1:16" x14ac:dyDescent="0.35">
      <c r="A9">
        <v>21</v>
      </c>
      <c r="B9" t="s">
        <v>102</v>
      </c>
      <c r="C9">
        <v>0.54610350981558597</v>
      </c>
      <c r="D9">
        <v>0.57696566998892584</v>
      </c>
      <c r="E9">
        <v>0.53765722079102896</v>
      </c>
      <c r="F9">
        <v>0.5595067905646891</v>
      </c>
      <c r="G9">
        <v>0.51940192239231042</v>
      </c>
      <c r="H9">
        <v>0.4964131994261119</v>
      </c>
      <c r="I9">
        <v>0.54267425320056895</v>
      </c>
      <c r="J9">
        <v>0.67391304347826086</v>
      </c>
      <c r="K9">
        <v>0.36284153005464481</v>
      </c>
      <c r="L9">
        <v>0.16427104722792607</v>
      </c>
      <c r="M9">
        <v>0.87780040733197551</v>
      </c>
      <c r="O9">
        <v>4590</v>
      </c>
      <c r="P9">
        <v>8405</v>
      </c>
    </row>
    <row r="10" spans="1:16" x14ac:dyDescent="0.35">
      <c r="A10">
        <v>24</v>
      </c>
      <c r="B10" t="s">
        <v>103</v>
      </c>
      <c r="C10">
        <v>0.51980963712076145</v>
      </c>
      <c r="D10">
        <v>0.52657807308970095</v>
      </c>
      <c r="E10">
        <v>0.51795726625246252</v>
      </c>
      <c r="F10">
        <v>0.52948534667619729</v>
      </c>
      <c r="G10">
        <v>0.50053399786400854</v>
      </c>
      <c r="H10">
        <v>0.51362984218077479</v>
      </c>
      <c r="I10">
        <v>0.4879089615931721</v>
      </c>
      <c r="J10">
        <v>0.5945652173913043</v>
      </c>
      <c r="K10">
        <v>0.39016393442622949</v>
      </c>
      <c r="L10">
        <v>0.35934291581108829</v>
      </c>
      <c r="M10">
        <v>0.67006109979633399</v>
      </c>
      <c r="O10">
        <v>4369</v>
      </c>
      <c r="P10">
        <v>8405</v>
      </c>
    </row>
    <row r="11" spans="1:16" x14ac:dyDescent="0.35">
      <c r="A11">
        <v>27</v>
      </c>
      <c r="B11" t="s">
        <v>104</v>
      </c>
      <c r="C11">
        <v>0.54003569303985721</v>
      </c>
      <c r="D11">
        <v>0.55094130675526021</v>
      </c>
      <c r="E11">
        <v>0.53705106834368843</v>
      </c>
      <c r="F11">
        <v>0.55110793423874194</v>
      </c>
      <c r="G11">
        <v>0.51797792808828769</v>
      </c>
      <c r="H11">
        <v>0.53012912482065999</v>
      </c>
      <c r="I11">
        <v>0.50640113798008535</v>
      </c>
      <c r="J11">
        <v>0.69021739130434778</v>
      </c>
      <c r="K11">
        <v>0.33879781420765026</v>
      </c>
      <c r="L11">
        <v>0.22792607802874743</v>
      </c>
      <c r="M11">
        <v>0.81873727087576376</v>
      </c>
      <c r="O11">
        <v>4539</v>
      </c>
      <c r="P11">
        <v>8405</v>
      </c>
    </row>
    <row r="12" spans="1:16" x14ac:dyDescent="0.35">
      <c r="A12">
        <v>30</v>
      </c>
      <c r="B12" t="s">
        <v>105</v>
      </c>
      <c r="C12">
        <v>0.52147531231409872</v>
      </c>
      <c r="D12">
        <v>0.51882613510520492</v>
      </c>
      <c r="E12">
        <v>0.52220033338384608</v>
      </c>
      <c r="F12">
        <v>0.52323087919942812</v>
      </c>
      <c r="G12">
        <v>0.51797792808828769</v>
      </c>
      <c r="H12">
        <v>0.54519368723098993</v>
      </c>
      <c r="I12">
        <v>0.49288762446657186</v>
      </c>
      <c r="J12">
        <v>0.57173913043478264</v>
      </c>
      <c r="K12">
        <v>0.4459016393442623</v>
      </c>
      <c r="L12">
        <v>0.49075975359342916</v>
      </c>
      <c r="M12">
        <v>0.58044806517311609</v>
      </c>
      <c r="O12">
        <v>4383</v>
      </c>
      <c r="P12">
        <v>8405</v>
      </c>
    </row>
    <row r="13" spans="1:16" x14ac:dyDescent="0.35">
      <c r="A13">
        <v>33</v>
      </c>
      <c r="B13" t="s">
        <v>106</v>
      </c>
      <c r="C13">
        <v>0.54146341463414638</v>
      </c>
      <c r="D13">
        <v>0.55924695459579177</v>
      </c>
      <c r="E13">
        <v>0.53659645400818301</v>
      </c>
      <c r="F13">
        <v>0.54985704074338815</v>
      </c>
      <c r="G13">
        <v>0.52474190103239582</v>
      </c>
      <c r="H13">
        <v>0.5351506456241033</v>
      </c>
      <c r="I13">
        <v>0.51706970128022756</v>
      </c>
      <c r="J13">
        <v>0.68260869565217386</v>
      </c>
      <c r="K13">
        <v>0.35628415300546445</v>
      </c>
      <c r="L13">
        <v>0.25256673511293637</v>
      </c>
      <c r="M13">
        <v>0.81670061099796332</v>
      </c>
      <c r="O13">
        <v>4551</v>
      </c>
      <c r="P13">
        <v>8405</v>
      </c>
    </row>
    <row r="14" spans="1:16" x14ac:dyDescent="0.35">
      <c r="A14">
        <v>36</v>
      </c>
      <c r="B14" t="s">
        <v>107</v>
      </c>
      <c r="C14">
        <v>0.50993456276026172</v>
      </c>
      <c r="D14">
        <v>0.53433001107419709</v>
      </c>
      <c r="E14">
        <v>0.50325806940445517</v>
      </c>
      <c r="F14">
        <v>0.51447462473195138</v>
      </c>
      <c r="G14">
        <v>0.5008899964400142</v>
      </c>
      <c r="H14">
        <v>0.56743185078909608</v>
      </c>
      <c r="I14">
        <v>0.43456614509246089</v>
      </c>
      <c r="J14">
        <v>0.59891304347826091</v>
      </c>
      <c r="K14">
        <v>0.38032786885245901</v>
      </c>
      <c r="L14">
        <v>0.50718685831622179</v>
      </c>
      <c r="M14">
        <v>0.53564154786150708</v>
      </c>
      <c r="O14">
        <v>4286</v>
      </c>
      <c r="P14">
        <v>8405</v>
      </c>
    </row>
    <row r="15" spans="1:16" x14ac:dyDescent="0.35">
      <c r="A15">
        <v>39</v>
      </c>
      <c r="B15" t="s">
        <v>110</v>
      </c>
      <c r="C15">
        <v>0.51097694840834251</v>
      </c>
      <c r="D15">
        <v>0.52886597938144331</v>
      </c>
      <c r="E15">
        <v>0.50613668061366801</v>
      </c>
      <c r="F15">
        <v>0.52112211221122107</v>
      </c>
      <c r="G15">
        <v>0.49081967213114752</v>
      </c>
      <c r="H15">
        <v>0.24190350297422339</v>
      </c>
      <c r="I15">
        <v>0.73756544502617805</v>
      </c>
      <c r="J15">
        <v>0.30538922155688625</v>
      </c>
      <c r="K15">
        <v>0.73453093812375247</v>
      </c>
      <c r="L15">
        <v>0.12595419847328243</v>
      </c>
      <c r="M15">
        <v>0.74334600760456271</v>
      </c>
      <c r="O15">
        <v>4655</v>
      </c>
      <c r="P15">
        <v>9110</v>
      </c>
    </row>
    <row r="16" spans="1:16" x14ac:dyDescent="0.35">
      <c r="A16">
        <v>42</v>
      </c>
      <c r="B16" t="s">
        <v>111</v>
      </c>
      <c r="C16">
        <v>0.51602634467618003</v>
      </c>
      <c r="D16">
        <v>0.53505154639175256</v>
      </c>
      <c r="E16">
        <v>0.51087866108786606</v>
      </c>
      <c r="F16">
        <v>0.52920792079207923</v>
      </c>
      <c r="G16">
        <v>0.48983606557377052</v>
      </c>
      <c r="H16">
        <v>0.19960343688037013</v>
      </c>
      <c r="I16">
        <v>0.77748691099476441</v>
      </c>
      <c r="J16">
        <v>0.24850299401197604</v>
      </c>
      <c r="K16">
        <v>0.78842315369261473</v>
      </c>
      <c r="L16">
        <v>0.11259541984732824</v>
      </c>
      <c r="M16">
        <v>0.75665399239543729</v>
      </c>
      <c r="O16">
        <v>4701</v>
      </c>
      <c r="P16">
        <v>9110</v>
      </c>
    </row>
    <row r="17" spans="1:16" x14ac:dyDescent="0.35">
      <c r="A17">
        <v>45</v>
      </c>
      <c r="B17" t="s">
        <v>108</v>
      </c>
      <c r="C17">
        <v>0.60120746432491767</v>
      </c>
      <c r="D17">
        <v>0.68402061855670104</v>
      </c>
      <c r="E17">
        <v>0.5788005578800558</v>
      </c>
      <c r="F17">
        <v>0.63811881188118813</v>
      </c>
      <c r="G17">
        <v>0.52786885245901638</v>
      </c>
      <c r="H17">
        <v>0.16920026437541308</v>
      </c>
      <c r="I17">
        <v>0.88416230366492143</v>
      </c>
      <c r="J17">
        <v>0.20359281437125748</v>
      </c>
      <c r="K17">
        <v>0.84530938123752497</v>
      </c>
      <c r="L17">
        <v>0.11259541984732824</v>
      </c>
      <c r="M17">
        <v>0.95817490494296575</v>
      </c>
      <c r="O17">
        <v>5477</v>
      </c>
      <c r="P17">
        <v>9110</v>
      </c>
    </row>
    <row r="18" spans="1:16" x14ac:dyDescent="0.35">
      <c r="A18">
        <v>48</v>
      </c>
      <c r="B18" t="s">
        <v>109</v>
      </c>
      <c r="C18">
        <v>0.60724478594950604</v>
      </c>
      <c r="D18">
        <v>0.68402061855670104</v>
      </c>
      <c r="E18">
        <v>0.58647140864714087</v>
      </c>
      <c r="F18">
        <v>0.6483498349834983</v>
      </c>
      <c r="G18">
        <v>0.52557377049180332</v>
      </c>
      <c r="H18">
        <v>0.10773298083278256</v>
      </c>
      <c r="I18">
        <v>0.94109947643979053</v>
      </c>
      <c r="J18">
        <v>0.12275449101796407</v>
      </c>
      <c r="K18">
        <v>0.92415169660678642</v>
      </c>
      <c r="L18">
        <v>8.7786259541984726E-2</v>
      </c>
      <c r="M18">
        <v>0.97338403041825095</v>
      </c>
      <c r="O18">
        <v>5532</v>
      </c>
      <c r="P18">
        <v>9110</v>
      </c>
    </row>
    <row r="19" spans="1:16" x14ac:dyDescent="0.35">
      <c r="A19">
        <v>51</v>
      </c>
      <c r="B19" t="s">
        <v>112</v>
      </c>
      <c r="C19">
        <v>0.5802414928649835</v>
      </c>
      <c r="D19">
        <v>0.63814432989690717</v>
      </c>
      <c r="E19">
        <v>0.56457461645746165</v>
      </c>
      <c r="F19">
        <v>0.60445544554455444</v>
      </c>
      <c r="G19">
        <v>0.53213114754098356</v>
      </c>
      <c r="H19">
        <v>0.45142101784534</v>
      </c>
      <c r="I19">
        <v>0.61256544502617805</v>
      </c>
      <c r="J19">
        <v>0.61377245508982037</v>
      </c>
      <c r="K19">
        <v>0.46107784431137727</v>
      </c>
      <c r="L19">
        <v>0.14503816793893129</v>
      </c>
      <c r="M19">
        <v>0.90114068441064643</v>
      </c>
      <c r="O19">
        <v>5286</v>
      </c>
      <c r="P19">
        <v>9110</v>
      </c>
    </row>
    <row r="20" spans="1:16" x14ac:dyDescent="0.35">
      <c r="A20">
        <v>54</v>
      </c>
      <c r="B20" t="s">
        <v>113</v>
      </c>
      <c r="C20" t="e">
        <v>#DIV/0!</v>
      </c>
      <c r="D20" t="e">
        <v>#DIV/0!</v>
      </c>
      <c r="E20" t="e">
        <v>#DIV/0!</v>
      </c>
      <c r="F20" t="e">
        <v>#DIV/0!</v>
      </c>
      <c r="G20" t="e">
        <v>#DIV/0!</v>
      </c>
      <c r="H20" t="e">
        <v>#DIV/0!</v>
      </c>
      <c r="I20" t="e">
        <v>#DIV/0!</v>
      </c>
      <c r="J20" t="e">
        <v>#DIV/0!</v>
      </c>
      <c r="K20" t="e">
        <v>#DIV/0!</v>
      </c>
      <c r="L20" t="e">
        <v>#DIV/0!</v>
      </c>
      <c r="M20" t="e">
        <v>#DIV/0!</v>
      </c>
      <c r="O20">
        <v>0</v>
      </c>
      <c r="P20">
        <v>0</v>
      </c>
    </row>
    <row r="21" spans="1:16" x14ac:dyDescent="0.35">
      <c r="A21">
        <v>57</v>
      </c>
      <c r="B21" t="s">
        <v>113</v>
      </c>
      <c r="C21" t="e">
        <v>#DIV/0!</v>
      </c>
      <c r="D21" t="e">
        <v>#DIV/0!</v>
      </c>
      <c r="E21" t="e">
        <v>#DIV/0!</v>
      </c>
      <c r="F21" t="e">
        <v>#DIV/0!</v>
      </c>
      <c r="G21" t="e">
        <v>#DIV/0!</v>
      </c>
      <c r="H21" t="e">
        <v>#DIV/0!</v>
      </c>
      <c r="I21" t="e">
        <v>#DIV/0!</v>
      </c>
      <c r="J21" t="e">
        <v>#DIV/0!</v>
      </c>
      <c r="K21" t="e">
        <v>#DIV/0!</v>
      </c>
      <c r="L21" t="e">
        <v>#DIV/0!</v>
      </c>
      <c r="M21" t="e">
        <v>#DIV/0!</v>
      </c>
      <c r="O21">
        <v>0</v>
      </c>
      <c r="P21">
        <v>0</v>
      </c>
    </row>
    <row r="22" spans="1:16" x14ac:dyDescent="0.35">
      <c r="A22">
        <v>60</v>
      </c>
      <c r="B22" t="s">
        <v>113</v>
      </c>
      <c r="C22" t="e">
        <v>#DIV/0!</v>
      </c>
      <c r="D22" t="e">
        <v>#DIV/0!</v>
      </c>
      <c r="E22" t="e">
        <v>#DIV/0!</v>
      </c>
      <c r="F22" t="e">
        <v>#DIV/0!</v>
      </c>
      <c r="G22" t="e">
        <v>#DIV/0!</v>
      </c>
      <c r="H22" t="e">
        <v>#DIV/0!</v>
      </c>
      <c r="I22" t="e">
        <v>#DIV/0!</v>
      </c>
      <c r="J22" t="e">
        <v>#DIV/0!</v>
      </c>
      <c r="K22" t="e">
        <v>#DIV/0!</v>
      </c>
      <c r="L22" t="e">
        <v>#DIV/0!</v>
      </c>
      <c r="M22" t="e">
        <v>#DIV/0!</v>
      </c>
      <c r="O22">
        <v>0</v>
      </c>
      <c r="P22">
        <v>0</v>
      </c>
    </row>
    <row r="23" spans="1:16" x14ac:dyDescent="0.35">
      <c r="A23">
        <v>63</v>
      </c>
      <c r="B23" t="s">
        <v>113</v>
      </c>
      <c r="C23" t="e">
        <v>#DIV/0!</v>
      </c>
      <c r="D23" t="e">
        <v>#DIV/0!</v>
      </c>
      <c r="E23" t="e">
        <v>#DIV/0!</v>
      </c>
      <c r="F23" t="e">
        <v>#DIV/0!</v>
      </c>
      <c r="G23" t="e">
        <v>#DIV/0!</v>
      </c>
      <c r="H23" t="e">
        <v>#DIV/0!</v>
      </c>
      <c r="I23" t="e">
        <v>#DIV/0!</v>
      </c>
      <c r="J23" t="e">
        <v>#DIV/0!</v>
      </c>
      <c r="K23" t="e">
        <v>#DIV/0!</v>
      </c>
      <c r="L23" t="e">
        <v>#DIV/0!</v>
      </c>
      <c r="M23" t="e">
        <v>#DIV/0!</v>
      </c>
      <c r="O23">
        <v>0</v>
      </c>
      <c r="P23">
        <v>0</v>
      </c>
    </row>
    <row r="24" spans="1:16" x14ac:dyDescent="0.35">
      <c r="A24">
        <v>66</v>
      </c>
      <c r="B24" t="s">
        <v>113</v>
      </c>
      <c r="C24" t="e">
        <v>#DIV/0!</v>
      </c>
      <c r="D24" t="e">
        <v>#DIV/0!</v>
      </c>
      <c r="E24" t="e">
        <v>#DIV/0!</v>
      </c>
      <c r="F24" t="e">
        <v>#DIV/0!</v>
      </c>
      <c r="G24" t="e">
        <v>#DIV/0!</v>
      </c>
      <c r="H24" t="e">
        <v>#DIV/0!</v>
      </c>
      <c r="I24" t="e">
        <v>#DIV/0!</v>
      </c>
      <c r="J24" t="e">
        <v>#DIV/0!</v>
      </c>
      <c r="K24" t="e">
        <v>#DIV/0!</v>
      </c>
      <c r="L24" t="e">
        <v>#DIV/0!</v>
      </c>
      <c r="M24" t="e">
        <v>#DIV/0!</v>
      </c>
      <c r="O24">
        <v>0</v>
      </c>
      <c r="P24">
        <v>0</v>
      </c>
    </row>
    <row r="25" spans="1:16" x14ac:dyDescent="0.35">
      <c r="A25">
        <v>69</v>
      </c>
      <c r="B25" t="s">
        <v>113</v>
      </c>
      <c r="C25" t="e">
        <v>#DIV/0!</v>
      </c>
      <c r="D25" t="e">
        <v>#DIV/0!</v>
      </c>
      <c r="E25" t="e">
        <v>#DIV/0!</v>
      </c>
      <c r="F25" t="e">
        <v>#DIV/0!</v>
      </c>
      <c r="G25" t="e">
        <v>#DIV/0!</v>
      </c>
      <c r="H25" t="e">
        <v>#DIV/0!</v>
      </c>
      <c r="I25" t="e">
        <v>#DIV/0!</v>
      </c>
      <c r="J25" t="e">
        <v>#DIV/0!</v>
      </c>
      <c r="K25" t="e">
        <v>#DIV/0!</v>
      </c>
      <c r="L25" t="e">
        <v>#DIV/0!</v>
      </c>
      <c r="M25" t="e">
        <v>#DIV/0!</v>
      </c>
      <c r="O25">
        <v>0</v>
      </c>
      <c r="P25">
        <v>0</v>
      </c>
    </row>
    <row r="26" spans="1:16" x14ac:dyDescent="0.35">
      <c r="A26">
        <v>72</v>
      </c>
      <c r="B26" t="s">
        <v>113</v>
      </c>
      <c r="C26" t="e">
        <v>#DIV/0!</v>
      </c>
      <c r="D26" t="e">
        <v>#DIV/0!</v>
      </c>
      <c r="E26" t="e">
        <v>#DIV/0!</v>
      </c>
      <c r="F26" t="e">
        <v>#DIV/0!</v>
      </c>
      <c r="G26" t="e">
        <v>#DIV/0!</v>
      </c>
      <c r="H26" t="e">
        <v>#DIV/0!</v>
      </c>
      <c r="I26" t="e">
        <v>#DIV/0!</v>
      </c>
      <c r="J26" t="e">
        <v>#DIV/0!</v>
      </c>
      <c r="K26" t="e">
        <v>#DIV/0!</v>
      </c>
      <c r="L26" t="e">
        <v>#DIV/0!</v>
      </c>
      <c r="M26" t="e">
        <v>#DIV/0!</v>
      </c>
      <c r="O26">
        <v>0</v>
      </c>
      <c r="P26">
        <v>0</v>
      </c>
    </row>
    <row r="27" spans="1:16" x14ac:dyDescent="0.35">
      <c r="A27">
        <v>75</v>
      </c>
      <c r="B27" t="s">
        <v>113</v>
      </c>
      <c r="C27" t="e">
        <v>#DIV/0!</v>
      </c>
      <c r="D27" t="e">
        <v>#DIV/0!</v>
      </c>
      <c r="E27" t="e">
        <v>#DIV/0!</v>
      </c>
      <c r="F27" t="e">
        <v>#DIV/0!</v>
      </c>
      <c r="G27" t="e">
        <v>#DIV/0!</v>
      </c>
      <c r="H27" t="e">
        <v>#DIV/0!</v>
      </c>
      <c r="I27" t="e">
        <v>#DIV/0!</v>
      </c>
      <c r="J27" t="e">
        <v>#DIV/0!</v>
      </c>
      <c r="K27" t="e">
        <v>#DIV/0!</v>
      </c>
      <c r="L27" t="e">
        <v>#DIV/0!</v>
      </c>
      <c r="M27" t="e">
        <v>#DIV/0!</v>
      </c>
      <c r="O27">
        <v>0</v>
      </c>
      <c r="P27">
        <v>0</v>
      </c>
    </row>
    <row r="28" spans="1:16" x14ac:dyDescent="0.35">
      <c r="A28">
        <v>78</v>
      </c>
      <c r="B28" t="s">
        <v>113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H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O28">
        <v>0</v>
      </c>
      <c r="P28">
        <v>0</v>
      </c>
    </row>
    <row r="29" spans="1:16" x14ac:dyDescent="0.35">
      <c r="A29">
        <v>81</v>
      </c>
      <c r="B29" t="s">
        <v>113</v>
      </c>
      <c r="C29" t="e">
        <v>#DIV/0!</v>
      </c>
      <c r="D29" t="e">
        <v>#DIV/0!</v>
      </c>
      <c r="E29" t="e">
        <v>#DIV/0!</v>
      </c>
      <c r="F29" t="e">
        <v>#DIV/0!</v>
      </c>
      <c r="G29" t="e">
        <v>#DIV/0!</v>
      </c>
      <c r="H29" t="e">
        <v>#DIV/0!</v>
      </c>
      <c r="I29" t="e">
        <v>#DIV/0!</v>
      </c>
      <c r="J29" t="e">
        <v>#DIV/0!</v>
      </c>
      <c r="K29" t="e">
        <v>#DIV/0!</v>
      </c>
      <c r="L29" t="e">
        <v>#DIV/0!</v>
      </c>
      <c r="M29" t="e">
        <v>#DIV/0!</v>
      </c>
      <c r="O29">
        <v>0</v>
      </c>
      <c r="P29">
        <v>0</v>
      </c>
    </row>
    <row r="30" spans="1:16" x14ac:dyDescent="0.35">
      <c r="A30">
        <v>84</v>
      </c>
      <c r="B30" t="s">
        <v>113</v>
      </c>
      <c r="C30" t="e">
        <v>#DIV/0!</v>
      </c>
      <c r="D30" t="e">
        <v>#DIV/0!</v>
      </c>
      <c r="E30" t="e">
        <v>#DIV/0!</v>
      </c>
      <c r="F30" t="e">
        <v>#DIV/0!</v>
      </c>
      <c r="G30" t="e">
        <v>#DIV/0!</v>
      </c>
      <c r="H30" t="e">
        <v>#DIV/0!</v>
      </c>
      <c r="I30" t="e">
        <v>#DIV/0!</v>
      </c>
      <c r="J30" t="e">
        <v>#DIV/0!</v>
      </c>
      <c r="K30" t="e">
        <v>#DIV/0!</v>
      </c>
      <c r="L30" t="e">
        <v>#DIV/0!</v>
      </c>
      <c r="M30" t="e">
        <v>#DIV/0!</v>
      </c>
      <c r="O30">
        <v>0</v>
      </c>
      <c r="P30">
        <v>0</v>
      </c>
    </row>
    <row r="31" spans="1:16" x14ac:dyDescent="0.35">
      <c r="A31">
        <v>87</v>
      </c>
      <c r="B31" t="s">
        <v>113</v>
      </c>
      <c r="C31" t="e">
        <v>#DIV/0!</v>
      </c>
      <c r="D31" t="e">
        <v>#DIV/0!</v>
      </c>
      <c r="E31" t="e">
        <v>#DIV/0!</v>
      </c>
      <c r="F31" t="e">
        <v>#DIV/0!</v>
      </c>
      <c r="G31" t="e">
        <v>#DIV/0!</v>
      </c>
      <c r="H31" t="e">
        <v>#DIV/0!</v>
      </c>
      <c r="I31" t="e">
        <v>#DIV/0!</v>
      </c>
      <c r="J31" t="e">
        <v>#DIV/0!</v>
      </c>
      <c r="K31" t="e">
        <v>#DIV/0!</v>
      </c>
      <c r="L31" t="e">
        <v>#DIV/0!</v>
      </c>
      <c r="M31" t="e">
        <v>#DIV/0!</v>
      </c>
      <c r="O31">
        <v>0</v>
      </c>
      <c r="P31">
        <v>0</v>
      </c>
    </row>
    <row r="32" spans="1:16" x14ac:dyDescent="0.35">
      <c r="A32">
        <v>90</v>
      </c>
      <c r="B32" t="s">
        <v>113</v>
      </c>
      <c r="C32" t="e">
        <v>#DIV/0!</v>
      </c>
      <c r="D32" t="e">
        <v>#DIV/0!</v>
      </c>
      <c r="E32" t="e">
        <v>#DIV/0!</v>
      </c>
      <c r="F32" t="e">
        <v>#DIV/0!</v>
      </c>
      <c r="G32" t="e">
        <v>#DIV/0!</v>
      </c>
      <c r="H32" t="e">
        <v>#DIV/0!</v>
      </c>
      <c r="I32" t="e">
        <v>#DIV/0!</v>
      </c>
      <c r="J32" t="e">
        <v>#DIV/0!</v>
      </c>
      <c r="K32" t="e">
        <v>#DIV/0!</v>
      </c>
      <c r="L32" t="e">
        <v>#DIV/0!</v>
      </c>
      <c r="M32" t="e">
        <v>#DIV/0!</v>
      </c>
      <c r="O32">
        <v>0</v>
      </c>
      <c r="P32">
        <v>0</v>
      </c>
    </row>
    <row r="33" spans="1:16" x14ac:dyDescent="0.35">
      <c r="A33">
        <v>93</v>
      </c>
      <c r="B33" t="s">
        <v>113</v>
      </c>
      <c r="C33" t="e">
        <v>#DIV/0!</v>
      </c>
      <c r="D33" t="e">
        <v>#DIV/0!</v>
      </c>
      <c r="E33" t="e">
        <v>#DIV/0!</v>
      </c>
      <c r="F33" t="e">
        <v>#DIV/0!</v>
      </c>
      <c r="G33" t="e">
        <v>#DIV/0!</v>
      </c>
      <c r="H33" t="e">
        <v>#DIV/0!</v>
      </c>
      <c r="I33" t="e">
        <v>#DIV/0!</v>
      </c>
      <c r="J33" t="e">
        <v>#DIV/0!</v>
      </c>
      <c r="K33" t="e">
        <v>#DIV/0!</v>
      </c>
      <c r="L33" t="e">
        <v>#DIV/0!</v>
      </c>
      <c r="M33" t="e">
        <v>#DIV/0!</v>
      </c>
      <c r="O33">
        <v>0</v>
      </c>
      <c r="P33">
        <v>0</v>
      </c>
    </row>
    <row r="34" spans="1:16" x14ac:dyDescent="0.35">
      <c r="A34">
        <v>96</v>
      </c>
      <c r="B34" t="s">
        <v>113</v>
      </c>
      <c r="C34" t="e">
        <v>#DIV/0!</v>
      </c>
      <c r="D34" t="e">
        <v>#DIV/0!</v>
      </c>
      <c r="E34" t="e">
        <v>#DIV/0!</v>
      </c>
      <c r="F34" t="e">
        <v>#DIV/0!</v>
      </c>
      <c r="G34" t="e">
        <v>#DIV/0!</v>
      </c>
      <c r="H34" t="e">
        <v>#DIV/0!</v>
      </c>
      <c r="I34" t="e">
        <v>#DIV/0!</v>
      </c>
      <c r="J34" t="e">
        <v>#DIV/0!</v>
      </c>
      <c r="K34" t="e">
        <v>#DIV/0!</v>
      </c>
      <c r="L34" t="e">
        <v>#DIV/0!</v>
      </c>
      <c r="M34" t="e">
        <v>#DIV/0!</v>
      </c>
      <c r="O34">
        <v>0</v>
      </c>
      <c r="P34">
        <v>0</v>
      </c>
    </row>
  </sheetData>
  <conditionalFormatting sqref="C3:M34">
    <cfRule type="colorScale" priority="1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test_output</vt:lpstr>
      <vt:lpstr>Summary</vt:lpstr>
      <vt:lpstr>counts for errors</vt:lpstr>
      <vt:lpstr>old incorrect ids copied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2026-02-04T13:42:48Z</dcterms:created>
  <dcterms:modified xsi:type="dcterms:W3CDTF">2026-02-05T13:40:21Z</dcterms:modified>
</cp:coreProperties>
</file>